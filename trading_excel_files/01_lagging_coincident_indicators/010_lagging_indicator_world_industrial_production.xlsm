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9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10" yWindow="-110" windowWidth="19420" windowHeight="11500" tabRatio="600" firstSheet="4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World Production data" sheetId="2" state="visible" r:id="rId2"/>
    <sheet xmlns:r="http://schemas.openxmlformats.org/officeDocument/2006/relationships" name="Database" sheetId="3" state="visible" r:id="rId3"/>
    <sheet xmlns:r="http://schemas.openxmlformats.org/officeDocument/2006/relationships" name="Data World GDP" sheetId="4" state="visible" r:id="rId4"/>
    <sheet xmlns:r="http://schemas.openxmlformats.org/officeDocument/2006/relationships" name="China Production data" sheetId="5" state="visible" r:id="rId5"/>
    <sheet xmlns:r="http://schemas.openxmlformats.org/officeDocument/2006/relationships" name="Big Picture" sheetId="6" state="visible" r:id="rId6"/>
    <sheet xmlns:r="http://schemas.openxmlformats.org/officeDocument/2006/relationships" name="Industrial production yoy" sheetId="7" state="visible" r:id="rId7"/>
    <sheet xmlns:r="http://schemas.openxmlformats.org/officeDocument/2006/relationships" name="IP World" sheetId="8" state="visible" r:id="rId8"/>
    <sheet xmlns:r="http://schemas.openxmlformats.org/officeDocument/2006/relationships" name="Per country" sheetId="9" state="visible" r:id="rId9"/>
    <sheet xmlns:r="http://schemas.openxmlformats.org/officeDocument/2006/relationships" name="China" sheetId="10" state="visible" r:id="rId10"/>
  </sheets>
  <definedNames>
    <definedName name="_xlnm._FilterDatabase" localSheetId="0" hidden="1">'Note'!$O$12:$P$12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0.0"/>
    <numFmt numFmtId="165" formatCode="0.000%"/>
    <numFmt numFmtId="166" formatCode="0.0%"/>
    <numFmt numFmtId="167" formatCode="0.000"/>
    <numFmt numFmtId="168" formatCode="dd\-mm\-yyyy"/>
    <numFmt numFmtId="169" formatCode="dd-mm-YYYY"/>
    <numFmt numFmtId="170" formatCode="yyyy-mm-dd h:mm:ss"/>
  </numFmts>
  <fonts count="2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color theme="1"/>
      <sz val="10"/>
      <scheme val="minor"/>
    </font>
    <font>
      <name val="Calibri"/>
      <family val="2"/>
      <color rgb="FF00B0F0"/>
      <sz val="9"/>
      <scheme val="minor"/>
    </font>
    <font>
      <name val="Calibri"/>
      <family val="2"/>
      <color rgb="FF00B0F0"/>
      <sz val="11"/>
      <scheme val="minor"/>
    </font>
    <font>
      <name val="Calibri"/>
      <family val="2"/>
      <sz val="11"/>
      <scheme val="minor"/>
    </font>
    <font>
      <name val="Arial"/>
      <family val="2"/>
      <sz val="10"/>
    </font>
    <font>
      <name val="Calibri"/>
      <family val="2"/>
      <b val="1"/>
      <sz val="11"/>
      <scheme val="minor"/>
    </font>
    <font>
      <name val="Calibri"/>
      <family val="2"/>
      <b val="1"/>
      <color rgb="FF00B0F0"/>
      <sz val="11"/>
      <scheme val="minor"/>
    </font>
    <font>
      <name val="Calibri"/>
      <family val="2"/>
      <b val="1"/>
      <color theme="0"/>
      <sz val="14"/>
      <scheme val="minor"/>
    </font>
    <font>
      <name val="Arial"/>
      <family val="2"/>
      <color rgb="FFFFFFFF"/>
      <sz val="11"/>
    </font>
    <font>
      <name val="Arial"/>
      <family val="2"/>
      <color rgb="FF333333"/>
      <sz val="11"/>
    </font>
  </fonts>
  <fills count="13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theme="4" tint="0.7999816888943144"/>
      </patternFill>
    </fill>
    <fill>
      <patternFill patternType="solid">
        <fgColor theme="4" tint="0.7999816888943144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"/>
      </left>
      <right/>
      <top style="thin">
        <color theme="4" tint="0.3999755851924192"/>
      </top>
      <bottom style="thin">
        <color theme="4" tint="0.399975585192419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 tint="0.3999755851924192"/>
      </left>
      <right/>
      <top style="thin">
        <color theme="4" tint="0.3999755851924192"/>
      </top>
      <bottom/>
      <diagonal/>
    </border>
    <border>
      <left/>
      <right style="thin">
        <color theme="4" tint="0.3999755851924192"/>
      </right>
      <top/>
      <bottom style="thin">
        <color theme="4" tint="0.399975585192419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">
    <xf numFmtId="0" fontId="1" fillId="0" borderId="0"/>
    <xf numFmtId="9" fontId="1" fillId="0" borderId="0"/>
    <xf numFmtId="0" fontId="9" fillId="0" borderId="0"/>
    <xf numFmtId="0" fontId="14" fillId="0" borderId="0"/>
  </cellStyleXfs>
  <cellXfs count="107">
    <xf numFmtId="0" fontId="0" fillId="0" borderId="0" pivotButton="0" quotePrefix="0" xfId="0"/>
    <xf numFmtId="17" fontId="0" fillId="0" borderId="0" pivotButton="0" quotePrefix="0" xfId="0"/>
    <xf numFmtId="14" fontId="0" fillId="0" borderId="0" pivotButton="0" quotePrefix="0" xfId="0"/>
    <xf numFmtId="10" fontId="8" fillId="7" borderId="1" applyAlignment="1" pivotButton="0" quotePrefix="0" xfId="0">
      <alignment horizontal="center" vertical="center"/>
    </xf>
    <xf numFmtId="2" fontId="8" fillId="7" borderId="1" applyAlignment="1" pivotButton="0" quotePrefix="0" xfId="0">
      <alignment horizontal="center" vertical="center"/>
    </xf>
    <xf numFmtId="164" fontId="6" fillId="0" borderId="1" applyAlignment="1" pivotButton="0" quotePrefix="0" xfId="0">
      <alignment horizontal="center" vertical="center"/>
    </xf>
    <xf numFmtId="10" fontId="0" fillId="0" borderId="0" pivotButton="0" quotePrefix="0" xfId="0"/>
    <xf numFmtId="165" fontId="0" fillId="0" borderId="0" pivotButton="0" quotePrefix="0" xfId="0"/>
    <xf numFmtId="0" fontId="3" fillId="8" borderId="0" pivotButton="0" quotePrefix="0" xfId="0"/>
    <xf numFmtId="166" fontId="0" fillId="0" borderId="0" pivotButton="0" quotePrefix="0" xfId="0"/>
    <xf numFmtId="0" fontId="9" fillId="0" borderId="0" pivotButton="0" quotePrefix="0" xfId="2"/>
    <xf numFmtId="166" fontId="10" fillId="3" borderId="1" applyAlignment="1" pivotButton="0" quotePrefix="0" xfId="0">
      <alignment horizontal="center"/>
    </xf>
    <xf numFmtId="164" fontId="0" fillId="3" borderId="1" applyAlignment="1" pivotButton="0" quotePrefix="0" xfId="0">
      <alignment horizontal="center"/>
    </xf>
    <xf numFmtId="166" fontId="6" fillId="3" borderId="1" applyAlignment="1" pivotButton="0" quotePrefix="0" xfId="1">
      <alignment horizontal="center" vertical="center"/>
    </xf>
    <xf numFmtId="17" fontId="11" fillId="2" borderId="1" applyAlignment="1" pivotButton="0" quotePrefix="0" xfId="0">
      <alignment horizontal="left" vertical="top" wrapText="1"/>
    </xf>
    <xf numFmtId="0" fontId="12" fillId="3" borderId="0" pivotButton="0" quotePrefix="0" xfId="0"/>
    <xf numFmtId="17" fontId="0" fillId="3" borderId="0" pivotButton="0" quotePrefix="0" xfId="0"/>
    <xf numFmtId="166" fontId="8" fillId="7" borderId="1" applyAlignment="1" pivotButton="0" quotePrefix="0" xfId="1">
      <alignment horizontal="center" vertical="center"/>
    </xf>
    <xf numFmtId="17" fontId="5" fillId="7" borderId="1" applyAlignment="1" pivotButton="0" quotePrefix="0" xfId="0">
      <alignment vertical="top" wrapText="1"/>
    </xf>
    <xf numFmtId="166" fontId="0" fillId="3" borderId="0" pivotButton="0" quotePrefix="0" xfId="0"/>
    <xf numFmtId="2" fontId="0" fillId="3" borderId="0" pivotButton="0" quotePrefix="0" xfId="0"/>
    <xf numFmtId="17" fontId="0" fillId="3" borderId="1" applyAlignment="1" pivotButton="0" quotePrefix="0" xfId="0">
      <alignment horizontal="center"/>
    </xf>
    <xf numFmtId="166" fontId="0" fillId="3" borderId="1" applyAlignment="1" pivotButton="0" quotePrefix="0" xfId="1">
      <alignment horizontal="center"/>
    </xf>
    <xf numFmtId="166" fontId="0" fillId="3" borderId="1" applyAlignment="1" pivotButton="0" quotePrefix="0" xfId="0">
      <alignment horizontal="center"/>
    </xf>
    <xf numFmtId="17" fontId="2" fillId="9" borderId="0" applyAlignment="1" pivotButton="0" quotePrefix="0" xfId="2">
      <alignment horizontal="center"/>
    </xf>
    <xf numFmtId="166" fontId="2" fillId="9" borderId="0" applyAlignment="1" pivotButton="0" quotePrefix="0" xfId="0">
      <alignment horizontal="center"/>
    </xf>
    <xf numFmtId="0" fontId="4" fillId="0" borderId="0" pivotButton="0" quotePrefix="0" xfId="0"/>
    <xf numFmtId="0" fontId="4" fillId="3" borderId="0" pivotButton="0" quotePrefix="0" xfId="0"/>
    <xf numFmtId="17" fontId="13" fillId="3" borderId="0" pivotButton="0" quotePrefix="0" xfId="0"/>
    <xf numFmtId="0" fontId="13" fillId="3" borderId="0" pivotButton="0" quotePrefix="0" xfId="0"/>
    <xf numFmtId="166" fontId="13" fillId="3" borderId="0" pivotButton="0" quotePrefix="0" xfId="0"/>
    <xf numFmtId="2" fontId="15" fillId="3" borderId="0" pivotButton="0" quotePrefix="0" xfId="0"/>
    <xf numFmtId="0" fontId="4" fillId="10" borderId="0" applyAlignment="1" pivotButton="0" quotePrefix="0" xfId="0">
      <alignment horizontal="center"/>
    </xf>
    <xf numFmtId="17" fontId="12" fillId="3" borderId="0" pivotButton="0" quotePrefix="0" xfId="0"/>
    <xf numFmtId="17" fontId="16" fillId="3" borderId="0" pivotButton="0" quotePrefix="0" xfId="0"/>
    <xf numFmtId="165" fontId="0" fillId="3" borderId="0" pivotButton="0" quotePrefix="0" xfId="0"/>
    <xf numFmtId="10" fontId="0" fillId="3" borderId="0" pivotButton="0" quotePrefix="0" xfId="0"/>
    <xf numFmtId="17" fontId="2" fillId="9" borderId="6" pivotButton="0" quotePrefix="0" xfId="2"/>
    <xf numFmtId="0" fontId="0" fillId="9" borderId="7" pivotButton="0" quotePrefix="0" xfId="0"/>
    <xf numFmtId="165" fontId="3" fillId="9" borderId="7" pivotButton="0" quotePrefix="0" xfId="0"/>
    <xf numFmtId="10" fontId="3" fillId="9" borderId="7" pivotButton="0" quotePrefix="0" xfId="0"/>
    <xf numFmtId="0" fontId="0" fillId="9" borderId="8" pivotButton="0" quotePrefix="0" xfId="0"/>
    <xf numFmtId="167" fontId="0" fillId="3" borderId="1" applyAlignment="1" pivotButton="0" quotePrefix="0" xfId="1">
      <alignment horizontal="center"/>
    </xf>
    <xf numFmtId="14" fontId="0" fillId="3" borderId="0" pivotButton="0" quotePrefix="0" xfId="0"/>
    <xf numFmtId="164" fontId="0" fillId="9" borderId="4" applyAlignment="1" pivotButton="0" quotePrefix="0" xfId="1">
      <alignment horizontal="center" wrapText="1"/>
    </xf>
    <xf numFmtId="14" fontId="0" fillId="9" borderId="3" applyAlignment="1" pivotButton="0" quotePrefix="0" xfId="0">
      <alignment horizontal="center" wrapText="1"/>
    </xf>
    <xf numFmtId="2" fontId="0" fillId="9" borderId="5" applyAlignment="1" pivotButton="0" quotePrefix="0" xfId="0">
      <alignment horizontal="center" wrapText="1"/>
    </xf>
    <xf numFmtId="0" fontId="6" fillId="0" borderId="11" pivotButton="0" quotePrefix="0" xfId="0"/>
    <xf numFmtId="0" fontId="8" fillId="7" borderId="11" applyAlignment="1" pivotButton="0" quotePrefix="0" xfId="0">
      <alignment horizontal="center" vertical="center"/>
    </xf>
    <xf numFmtId="0" fontId="6" fillId="0" borderId="12" pivotButton="0" quotePrefix="0" xfId="0"/>
    <xf numFmtId="0" fontId="7" fillId="4" borderId="13" applyAlignment="1" pivotButton="0" quotePrefix="0" xfId="0">
      <alignment horizontal="center" textRotation="90"/>
    </xf>
    <xf numFmtId="0" fontId="7" fillId="5" borderId="13" applyAlignment="1" pivotButton="0" quotePrefix="0" xfId="0">
      <alignment horizontal="center" textRotation="90"/>
    </xf>
    <xf numFmtId="0" fontId="7" fillId="6" borderId="13" applyAlignment="1" pivotButton="0" quotePrefix="0" xfId="0">
      <alignment horizontal="center" textRotation="90"/>
    </xf>
    <xf numFmtId="0" fontId="7" fillId="7" borderId="13" applyAlignment="1" pivotButton="0" quotePrefix="0" xfId="0">
      <alignment horizontal="center" textRotation="90"/>
    </xf>
    <xf numFmtId="0" fontId="7" fillId="7" borderId="14" applyAlignment="1" pivotButton="0" quotePrefix="0" xfId="0">
      <alignment horizontal="center" textRotation="90"/>
    </xf>
    <xf numFmtId="0" fontId="6" fillId="0" borderId="15" pivotButton="0" quotePrefix="0" xfId="0"/>
    <xf numFmtId="2" fontId="8" fillId="7" borderId="16" applyAlignment="1" pivotButton="0" quotePrefix="0" xfId="0">
      <alignment horizontal="center" vertical="center"/>
    </xf>
    <xf numFmtId="166" fontId="8" fillId="7" borderId="16" applyAlignment="1" pivotButton="0" quotePrefix="0" xfId="1">
      <alignment horizontal="center" vertical="center"/>
    </xf>
    <xf numFmtId="0" fontId="6" fillId="0" borderId="17" pivotButton="0" quotePrefix="0" xfId="0"/>
    <xf numFmtId="166" fontId="8" fillId="7" borderId="18" applyAlignment="1" pivotButton="0" quotePrefix="0" xfId="1">
      <alignment horizontal="center" vertical="center"/>
    </xf>
    <xf numFmtId="166" fontId="8" fillId="7" borderId="19" applyAlignment="1" pivotButton="0" quotePrefix="0" xfId="1">
      <alignment horizontal="center" vertical="center"/>
    </xf>
    <xf numFmtId="0" fontId="0" fillId="3" borderId="0" applyAlignment="1" pivotButton="0" quotePrefix="0" xfId="0">
      <alignment vertical="center"/>
    </xf>
    <xf numFmtId="0" fontId="14" fillId="0" borderId="1" applyAlignment="1" pivotButton="0" quotePrefix="0" xfId="3">
      <alignment horizontal="center"/>
    </xf>
    <xf numFmtId="0" fontId="3" fillId="3" borderId="0" pivotButton="0" quotePrefix="0" xfId="0"/>
    <xf numFmtId="0" fontId="0" fillId="0" borderId="0" applyAlignment="1" pivotButton="0" quotePrefix="0" xfId="0">
      <alignment vertical="center"/>
    </xf>
    <xf numFmtId="0" fontId="17" fillId="9" borderId="1" applyAlignment="1" pivotButton="0" quotePrefix="0" xfId="0">
      <alignment horizontal="center" vertical="center" wrapText="1"/>
    </xf>
    <xf numFmtId="0" fontId="7" fillId="3" borderId="1" pivotButton="0" quotePrefix="0" xfId="0"/>
    <xf numFmtId="166" fontId="0" fillId="11" borderId="10" applyAlignment="1" pivotButton="0" quotePrefix="0" xfId="1">
      <alignment horizontal="center"/>
    </xf>
    <xf numFmtId="14" fontId="0" fillId="11" borderId="9" pivotButton="0" quotePrefix="0" xfId="0"/>
    <xf numFmtId="0" fontId="0" fillId="0" borderId="0" applyAlignment="1" pivotButton="0" quotePrefix="0" xfId="0">
      <alignment horizontal="center"/>
    </xf>
    <xf numFmtId="10" fontId="19" fillId="0" borderId="0" applyAlignment="1" pivotButton="0" quotePrefix="0" xfId="0">
      <alignment horizontal="center" vertical="top" wrapText="1"/>
    </xf>
    <xf numFmtId="0" fontId="19" fillId="0" borderId="0" applyAlignment="1" pivotButton="0" quotePrefix="0" xfId="0">
      <alignment horizontal="center" vertical="top" wrapText="1"/>
    </xf>
    <xf numFmtId="14" fontId="9" fillId="3" borderId="0" pivotButton="0" quotePrefix="0" xfId="2"/>
    <xf numFmtId="14" fontId="0" fillId="11" borderId="2" pivotButton="0" quotePrefix="0" xfId="0"/>
    <xf numFmtId="14" fontId="0" fillId="3" borderId="2" pivotButton="0" quotePrefix="0" xfId="0"/>
    <xf numFmtId="14" fontId="0" fillId="3" borderId="1" pivotButton="0" quotePrefix="0" xfId="0"/>
    <xf numFmtId="2" fontId="0" fillId="3" borderId="1" applyAlignment="1" pivotButton="0" quotePrefix="0" xfId="0">
      <alignment horizontal="center"/>
    </xf>
    <xf numFmtId="14" fontId="0" fillId="11" borderId="1" pivotButton="0" quotePrefix="0" xfId="0"/>
    <xf numFmtId="166" fontId="0" fillId="3" borderId="0" applyAlignment="1" pivotButton="0" quotePrefix="0" xfId="1">
      <alignment horizontal="center"/>
    </xf>
    <xf numFmtId="2" fontId="0" fillId="3" borderId="0" applyAlignment="1" pivotButton="0" quotePrefix="0" xfId="0">
      <alignment horizontal="center"/>
    </xf>
    <xf numFmtId="0" fontId="0" fillId="0" borderId="0" pivotButton="0" quotePrefix="0" xfId="0"/>
    <xf numFmtId="0" fontId="0" fillId="3" borderId="0" pivotButton="0" quotePrefix="0" xfId="0"/>
    <xf numFmtId="0" fontId="3" fillId="12" borderId="1" applyAlignment="1" pivotButton="0" quotePrefix="0" xfId="0">
      <alignment horizontal="center"/>
    </xf>
    <xf numFmtId="0" fontId="0" fillId="3" borderId="0" applyAlignment="1" pivotButton="0" quotePrefix="0" xfId="0">
      <alignment horizontal="center"/>
    </xf>
    <xf numFmtId="0" fontId="0" fillId="3" borderId="0" applyAlignment="1" pivotButton="0" quotePrefix="0" xfId="0">
      <alignment horizontal="right"/>
    </xf>
    <xf numFmtId="168" fontId="0" fillId="0" borderId="0" pivotButton="0" quotePrefix="0" xfId="0"/>
    <xf numFmtId="0" fontId="0" fillId="3" borderId="0" pivotButton="0" quotePrefix="0" xfId="0"/>
    <xf numFmtId="164" fontId="0" fillId="3" borderId="0" applyAlignment="1" pivotButton="0" quotePrefix="0" xfId="0">
      <alignment horizontal="left" vertical="center" wrapText="1"/>
    </xf>
    <xf numFmtId="0" fontId="0" fillId="3" borderId="0" applyAlignment="1" pivotButton="0" quotePrefix="0" xfId="0">
      <alignment wrapText="1"/>
    </xf>
    <xf numFmtId="164" fontId="13" fillId="3" borderId="0" applyAlignment="1" pivotButton="0" quotePrefix="0" xfId="0">
      <alignment horizontal="left" vertical="center" wrapText="1"/>
    </xf>
    <xf numFmtId="0" fontId="9" fillId="0" borderId="0" applyAlignment="1" pivotButton="0" quotePrefix="0" xfId="2">
      <alignment wrapText="1"/>
    </xf>
    <xf numFmtId="0" fontId="9" fillId="3" borderId="0" pivotButton="0" quotePrefix="0" xfId="2"/>
    <xf numFmtId="0" fontId="3" fillId="3" borderId="20" applyAlignment="1" pivotButton="0" quotePrefix="0" xfId="0">
      <alignment horizontal="center" vertical="center"/>
    </xf>
    <xf numFmtId="0" fontId="0" fillId="0" borderId="20" pivotButton="0" quotePrefix="0" xfId="0"/>
    <xf numFmtId="0" fontId="2" fillId="9" borderId="23" applyAlignment="1" pivotButton="0" quotePrefix="0" xfId="0">
      <alignment horizontal="center"/>
    </xf>
    <xf numFmtId="0" fontId="0" fillId="0" borderId="4" pivotButton="0" quotePrefix="0" xfId="0"/>
    <xf numFmtId="0" fontId="0" fillId="0" borderId="5" pivotButton="0" quotePrefix="0" xfId="0"/>
    <xf numFmtId="0" fontId="3" fillId="12" borderId="1" applyAlignment="1" pivotButton="0" quotePrefix="0" xfId="0">
      <alignment horizontal="center"/>
    </xf>
    <xf numFmtId="0" fontId="0" fillId="0" borderId="21" pivotButton="0" quotePrefix="0" xfId="0"/>
    <xf numFmtId="0" fontId="0" fillId="0" borderId="22" pivotButton="0" quotePrefix="0" xfId="0"/>
    <xf numFmtId="0" fontId="0" fillId="3" borderId="0" applyAlignment="1" pivotButton="0" quotePrefix="0" xfId="0">
      <alignment vertical="center" wrapText="1"/>
    </xf>
    <xf numFmtId="0" fontId="9" fillId="3" borderId="20" applyAlignment="1" pivotButton="0" quotePrefix="0" xfId="2">
      <alignment horizontal="center" vertical="center"/>
    </xf>
    <xf numFmtId="0" fontId="0" fillId="3" borderId="0" applyAlignment="1" pivotButton="0" quotePrefix="0" xfId="0">
      <alignment horizontal="center"/>
    </xf>
    <xf numFmtId="0" fontId="18" fillId="3" borderId="0" applyAlignment="1" pivotButton="0" quotePrefix="0" xfId="0">
      <alignment horizontal="left" vertical="center"/>
    </xf>
    <xf numFmtId="0" fontId="0" fillId="3" borderId="0" applyAlignment="1" pivotButton="0" quotePrefix="0" xfId="0">
      <alignment horizontal="right"/>
    </xf>
    <xf numFmtId="169" fontId="0" fillId="0" borderId="0" pivotButton="0" quotePrefix="0" xfId="0"/>
    <xf numFmtId="169" fontId="0" fillId="0" borderId="0" pivotButton="0" quotePrefix="0" xfId="0"/>
  </cellXfs>
  <cellStyles count="4">
    <cellStyle name="Normal" xfId="0" builtinId="0"/>
    <cellStyle name="Percent" xfId="1" builtinId="5"/>
    <cellStyle name="Hyperlink" xfId="2" builtinId="8"/>
    <cellStyle name="Normal 2" xfId="3"/>
  </cellStyles>
  <dxfs count="32">
    <dxf>
      <numFmt numFmtId="2" formatCode="0.00"/>
      <fill>
        <patternFill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66" formatCode="0.0%"/>
      <fill>
        <patternFill>
          <bgColor theme="0"/>
        </patternFill>
      </fill>
      <alignment horizontal="center" vertical="bottom"/>
      <border>
        <left/>
        <right style="thin">
          <color theme="4" tint="0.3999755851924192"/>
        </right>
        <top style="thin">
          <color theme="4" tint="0.3999755851924192"/>
        </top>
        <bottom style="thin">
          <color theme="4" tint="0.3999755851924192"/>
        </bottom>
      </border>
    </dxf>
    <dxf>
      <font>
        <name val="Calibri"/>
        <family val="2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170" formatCode="dd/mm/yyyy"/>
      <fill>
        <patternFill>
          <bgColor theme="0"/>
        </patternFill>
      </fill>
      <border outline="0">
        <left style="thin">
          <color theme="4" tint="0.3999755851924192"/>
        </left>
        <right/>
        <top style="thin">
          <color theme="4" tint="0.3999755851924192"/>
        </top>
        <bottom style="thin">
          <color theme="4" tint="0.3999755851924192"/>
        </bottom>
      </border>
    </dxf>
    <dxf>
      <fill>
        <patternFill>
          <bgColor theme="0"/>
        </patternFill>
      </fill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6" formatCode="0.0%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theme="0"/>
        </patternFill>
      </fill>
      <alignment horizontal="center" vertical="bottom"/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/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7" formatCode="0.00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name val="Calibri"/>
        <strike val="0"/>
        <outline val="0"/>
        <shadow val="0"/>
        <condense val="0"/>
        <color theme="1"/>
        <extend val="0"/>
        <sz val="11"/>
        <vertAlign val="baseline"/>
        <scheme val="minor"/>
      </font>
      <numFmt numFmtId="22" formatCode="mmm\-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general" vertical="bottom"/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Type="http://schemas.microsoft.com/office/2006/relationships/vbaProject" Target="vbaProject.bin" Id="rId13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5"/>
          <order val="0"/>
          <tx>
            <strRef>
              <f>'IP World'!$H$1</f>
              <strCache>
                <ptCount val="1"/>
                <pt idx="0">
                  <v>Italy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World'!$H$2:$H$395</f>
              <numCache>
                <formatCode>0.00</formatCode>
                <ptCount val="394"/>
                <pt idx="0">
                  <v>90.62500000012851</v>
                </pt>
                <pt idx="1">
                  <v>91.11842105262346</v>
                </pt>
                <pt idx="2">
                  <v>91.4473684206793</v>
                </pt>
                <pt idx="3">
                  <v>92.18750000024416</v>
                </pt>
                <pt idx="4">
                  <v>91.11842105262346</v>
                </pt>
                <pt idx="5">
                  <v>90.2138157894419</v>
                </pt>
                <pt idx="6">
                  <v>90.46052631568938</v>
                </pt>
                <pt idx="7">
                  <v>91.4473684206793</v>
                </pt>
                <pt idx="8">
                  <v>91.20065789443181</v>
                </pt>
                <pt idx="9">
                  <v>90.70723684193686</v>
                </pt>
                <pt idx="10">
                  <v>89.39144736806868</v>
                </pt>
                <pt idx="11">
                  <v>90.87171052637599</v>
                </pt>
                <pt idx="12">
                  <v>91.36513157887094</v>
                </pt>
                <pt idx="13">
                  <v>89.63815789513859</v>
                </pt>
                <pt idx="14">
                  <v>89.14473684182121</v>
                </pt>
                <pt idx="15">
                  <v>88.32236842127043</v>
                </pt>
                <pt idx="16">
                  <v>89.39144736806868</v>
                </pt>
                <pt idx="17">
                  <v>89.72039473694694</v>
                </pt>
                <pt idx="18">
                  <v>89.72039473694694</v>
                </pt>
                <pt idx="19">
                  <v>90.2138157894419</v>
                </pt>
                <pt idx="20">
                  <v>91.20065789443181</v>
                </pt>
                <pt idx="21">
                  <v>90.62500000012851</v>
                </pt>
                <pt idx="22">
                  <v>91.11842105262346</v>
                </pt>
                <pt idx="23">
                  <v>89.88486842138607</v>
                </pt>
                <pt idx="24">
                  <v>90.62500000012851</v>
                </pt>
                <pt idx="25">
                  <v>90.62500000012851</v>
                </pt>
                <pt idx="26">
                  <v>90.46052631568938</v>
                </pt>
                <pt idx="27">
                  <v>90.70723684193686</v>
                </pt>
                <pt idx="28">
                  <v>90.46052631568938</v>
                </pt>
                <pt idx="29">
                  <v>90.29605263125025</v>
                </pt>
                <pt idx="30">
                  <v>89.14473684182121</v>
                </pt>
                <pt idx="31">
                  <v>87.58223684252799</v>
                </pt>
                <pt idx="32">
                  <v>86.92434210559389</v>
                </pt>
                <pt idx="33">
                  <v>87.4999999998972</v>
                </pt>
                <pt idx="34">
                  <v>88.07565789502294</v>
                </pt>
                <pt idx="35">
                  <v>86.59539473671563</v>
                </pt>
                <pt idx="36">
                  <v>88.07565789502294</v>
                </pt>
                <pt idx="37">
                  <v>87.82894736877546</v>
                </pt>
                <pt idx="38">
                  <v>87.41776315808886</v>
                </pt>
                <pt idx="39">
                  <v>87.25328947364972</v>
                </pt>
                <pt idx="40">
                  <v>86.75986842115476</v>
                </pt>
                <pt idx="41">
                  <v>86.4309210522765</v>
                </pt>
                <pt idx="42">
                  <v>85.93749999978155</v>
                </pt>
                <pt idx="43">
                  <v>86.01973684241233</v>
                </pt>
                <pt idx="44">
                  <v>86.51315789490728</v>
                </pt>
                <pt idx="45">
                  <v>86.4309210522765</v>
                </pt>
                <pt idx="46">
                  <v>87.0888157892106</v>
                </pt>
                <pt idx="47">
                  <v>87.00657894740225</v>
                </pt>
                <pt idx="48">
                  <v>87.25328947364972</v>
                </pt>
                <pt idx="49">
                  <v>88.65131578932625</v>
                </pt>
                <pt idx="50">
                  <v>89.88486842138607</v>
                </pt>
                <pt idx="51">
                  <v>91.36513157887094</v>
                </pt>
                <pt idx="52">
                  <v>91.6940789477492</v>
                </pt>
                <pt idx="53">
                  <v>92.59868421093078</v>
                </pt>
                <pt idx="54">
                  <v>92.76315789454748</v>
                </pt>
                <pt idx="55">
                  <v>93.09210526342574</v>
                </pt>
                <pt idx="56">
                  <v>93.58552631592069</v>
                </pt>
                <pt idx="57">
                  <v>93.33881578967321</v>
                </pt>
                <pt idx="58">
                  <v>94.90131578978887</v>
                </pt>
                <pt idx="59">
                  <v>97.20394736864696</v>
                </pt>
                <pt idx="60">
                  <v>96.8749999997687</v>
                </pt>
                <pt idx="61">
                  <v>96.29934210546539</v>
                </pt>
                <pt idx="62">
                  <v>96.54605263171287</v>
                </pt>
                <pt idx="63">
                  <v>96.62828947352121</v>
                </pt>
                <pt idx="64">
                  <v>97.20394736864696</v>
                </pt>
                <pt idx="65">
                  <v>97.03947368420783</v>
                </pt>
                <pt idx="66">
                  <v>96.95723684239948</v>
                </pt>
                <pt idx="67">
                  <v>98.68421052613182</v>
                </pt>
                <pt idx="68">
                  <v>98.02631578919774</v>
                </pt>
                <pt idx="69">
                  <v>98.68421052613182</v>
                </pt>
                <pt idx="70">
                  <v>98.68421052613182</v>
                </pt>
                <pt idx="71">
                  <v>100.3289473680558</v>
                </pt>
                <pt idx="72">
                  <v>98.84868421057095</v>
                </pt>
                <pt idx="73">
                  <v>97.77960526295026</v>
                </pt>
                <pt idx="74">
                  <v>96.79276315796034</v>
                </pt>
                <pt idx="75">
                  <v>95.72368421033966</v>
                </pt>
                <pt idx="76">
                  <v>95.6414473685313</v>
                </pt>
                <pt idx="77">
                  <v>95.80592105297043</v>
                </pt>
                <pt idx="78">
                  <v>95.72368421033966</v>
                </pt>
                <pt idx="79">
                  <v>96.21710526283461</v>
                </pt>
                <pt idx="80">
                  <v>94.90131578978887</v>
                </pt>
                <pt idx="81">
                  <v>95.31249999965304</v>
                </pt>
                <pt idx="82">
                  <v>94.90131578978887</v>
                </pt>
                <pt idx="83">
                  <v>94.65460526354138</v>
                </pt>
                <pt idx="84">
                  <v>95.39473684228382</v>
                </pt>
                <pt idx="85">
                  <v>97.03947368420783</v>
                </pt>
                <pt idx="86">
                  <v>97.53289473670279</v>
                </pt>
                <pt idx="87">
                  <v>99.25986842125758</v>
                </pt>
                <pt idx="88">
                  <v>99.01315789501008</v>
                </pt>
                <pt idx="89">
                  <v>99.83552631556087</v>
                </pt>
                <pt idx="90">
                  <v>100.493421052495</v>
                </pt>
                <pt idx="91">
                  <v>101.0690789476207</v>
                </pt>
                <pt idx="92">
                  <v>100.9868421049899</v>
                </pt>
                <pt idx="93">
                  <v>102.2203947370497</v>
                </pt>
                <pt idx="94">
                  <v>101.644736841924</v>
                </pt>
                <pt idx="95">
                  <v>102.3848684214889</v>
                </pt>
                <pt idx="96">
                  <v>101.644736841924</v>
                </pt>
                <pt idx="97">
                  <v>101.5625000001157</v>
                </pt>
                <pt idx="98">
                  <v>101.0690789476207</v>
                </pt>
                <pt idx="99">
                  <v>101.8914473681715</v>
                </pt>
                <pt idx="100">
                  <v>101.7269736845548</v>
                </pt>
                <pt idx="101">
                  <v>101.5625000001157</v>
                </pt>
                <pt idx="102">
                  <v>101.3980263156765</v>
                </pt>
                <pt idx="103">
                  <v>100</v>
                </pt>
                <pt idx="104">
                  <v>101.4802631583073</v>
                </pt>
                <pt idx="105">
                  <v>100.8223684213732</v>
                </pt>
                <pt idx="106">
                  <v>100.493421052495</v>
                </pt>
                <pt idx="107">
                  <v>98.10855263182853</v>
                </pt>
                <pt idx="108">
                  <v>100</v>
                </pt>
                <pt idx="109">
                  <formatCode>0.000</formatCode>
                  <v>99.50657894750505</v>
                </pt>
                <pt idx="110">
                  <v>99.83552631556087</v>
                </pt>
                <pt idx="111">
                  <v>99.09539473681845</v>
                </pt>
                <pt idx="112">
                  <v>98.355263158076</v>
                </pt>
                <pt idx="113">
                  <v>99.91776315819166</v>
                </pt>
                <pt idx="114">
                  <v>100.6578947369341</v>
                </pt>
                <pt idx="115">
                  <v>101.3157894738682</v>
                </pt>
                <pt idx="116">
                  <v>101.7269736845548</v>
                </pt>
                <pt idx="117">
                  <v>102.7138157895447</v>
                </pt>
                <pt idx="118">
                  <v>103.3717105264788</v>
                </pt>
                <pt idx="119">
                  <v>102.2203947370497</v>
                </pt>
                <pt idx="120">
                  <v>102.4671052632972</v>
                </pt>
                <pt idx="121">
                  <v>102.9605263157922</v>
                </pt>
                <pt idx="122">
                  <v>103.8651315789737</v>
                </pt>
                <pt idx="123">
                  <v>104.687500000347</v>
                </pt>
                <pt idx="124">
                  <v>105.2631578946503</v>
                </pt>
                <pt idx="125">
                  <v>105.0986842102111</v>
                </pt>
                <pt idx="126">
                  <v>104.2763157896604</v>
                </pt>
                <pt idx="127">
                  <v>105.2631578946503</v>
                </pt>
                <pt idx="128">
                  <v>105.1809210528419</v>
                </pt>
                <pt idx="129">
                  <v>105.5921052635285</v>
                </pt>
                <pt idx="130">
                  <v>106.9078947365743</v>
                </pt>
                <pt idx="131">
                  <v>108.3881578948816</v>
                </pt>
                <pt idx="132">
                  <v>105.4276315790894</v>
                </pt>
                <pt idx="133">
                  <v>104.7697368421553</v>
                </pt>
                <pt idx="134">
                  <v>104.8519736839637</v>
                </pt>
                <pt idx="135">
                  <v>103.7828947371654</v>
                </pt>
                <pt idx="136">
                  <v>103.7006578945346</v>
                </pt>
                <pt idx="137">
                  <v>103.8651315789737</v>
                </pt>
                <pt idx="138">
                  <v>101.8914473681715</v>
                </pt>
                <pt idx="139">
                  <v>103.7006578945346</v>
                </pt>
                <pt idx="140">
                  <v>102.138157894419</v>
                </pt>
                <pt idx="141">
                  <v>101.5625000001157</v>
                </pt>
                <pt idx="142">
                  <v>100.0822368418084</v>
                </pt>
                <pt idx="143">
                  <v>101.4802631583073</v>
                </pt>
                <pt idx="144">
                  <v>100.6578947369341</v>
                </pt>
                <pt idx="145">
                  <v>101.8092105263631</v>
                </pt>
                <pt idx="146">
                  <v>102.5493421051056</v>
                </pt>
                <pt idx="147">
                  <v>99.42434210569671</v>
                </pt>
                <pt idx="148">
                  <v>102.9605263157922</v>
                </pt>
                <pt idx="149">
                  <v>101.8914473681715</v>
                </pt>
                <pt idx="150">
                  <v>101.4802631583073</v>
                </pt>
                <pt idx="151">
                  <v>100.2467105262475</v>
                </pt>
                <pt idx="152">
                  <v>102.2203947370497</v>
                </pt>
                <pt idx="153">
                  <v>100.9868421049899</v>
                </pt>
                <pt idx="154">
                  <v>102.796052631353</v>
                </pt>
                <pt idx="155">
                  <v>101.7269736845548</v>
                </pt>
                <pt idx="156">
                  <v>102.796052631353</v>
                </pt>
                <pt idx="157">
                  <v>100.7401315787424</v>
                </pt>
                <pt idx="158">
                  <v>100.8223684213732</v>
                </pt>
                <pt idx="159">
                  <v>102.2203947370497</v>
                </pt>
                <pt idx="160">
                  <v>98.84868421057095</v>
                </pt>
                <pt idx="161">
                  <v>100.0822368418084</v>
                </pt>
                <pt idx="162">
                  <v>101.4802631583073</v>
                </pt>
                <pt idx="163">
                  <v>99.34210526306592</v>
                </pt>
                <pt idx="164">
                  <v>99.75328947375253</v>
                </pt>
                <pt idx="165">
                  <v>100.8223684213732</v>
                </pt>
                <pt idx="166">
                  <v>102.0559210526106</v>
                </pt>
                <pt idx="167">
                  <v>102.0559210526106</v>
                </pt>
                <pt idx="168">
                  <v>102.0559210526106</v>
                </pt>
                <pt idx="169">
                  <v>101.8092105263631</v>
                </pt>
                <pt idx="170">
                  <v>99.91776315819166</v>
                </pt>
                <pt idx="171">
                  <v>101.8092105263631</v>
                </pt>
                <pt idx="172">
                  <v>101.5625000001157</v>
                </pt>
                <pt idx="173">
                  <v>100.9868421049899</v>
                </pt>
                <pt idx="174">
                  <v>101.2335526312374</v>
                </pt>
                <pt idx="175">
                  <v>99.01315789501008</v>
                </pt>
                <pt idx="176">
                  <v>100.493421052495</v>
                </pt>
                <pt idx="177">
                  <v>101.3157894738682</v>
                </pt>
                <pt idx="178">
                  <v>99.67105263194418</v>
                </pt>
                <pt idx="179">
                  <v>98.93092105237932</v>
                </pt>
                <pt idx="180">
                  <v>99.01315789501008</v>
                </pt>
                <pt idx="181">
                  <v>99.42434210569671</v>
                </pt>
                <pt idx="182">
                  <v>99.50657894750505</v>
                </pt>
                <pt idx="183">
                  <v>101.644736841924</v>
                </pt>
                <pt idx="184">
                  <v>99.25986842125758</v>
                </pt>
                <pt idx="185">
                  <v>99.25986842125758</v>
                </pt>
                <pt idx="186">
                  <v>100.6578947369341</v>
                </pt>
                <pt idx="187">
                  <v>99.91776315819166</v>
                </pt>
                <pt idx="188">
                  <v>100.4111842106866</v>
                </pt>
                <pt idx="189">
                  <v>100.493421052495</v>
                </pt>
                <pt idx="190">
                  <v>101.5625000001157</v>
                </pt>
                <pt idx="191">
                  <v>100.0822368418084</v>
                </pt>
                <pt idx="192">
                  <v>100.493421052495</v>
                </pt>
                <pt idx="193">
                  <v>102.3848684214889</v>
                </pt>
                <pt idx="194">
                  <v>102.8782894739838</v>
                </pt>
                <pt idx="195">
                  <v>102.0559210526106</v>
                </pt>
                <pt idx="196">
                  <v>104.4407894740995</v>
                </pt>
                <pt idx="197">
                  <v>104.7697368421553</v>
                </pt>
                <pt idx="198">
                  <v>103.2072368420397</v>
                </pt>
                <pt idx="199">
                  <v>104.6052631577162</v>
                </pt>
                <pt idx="200">
                  <v>104.3585526314687</v>
                </pt>
                <pt idx="201">
                  <v>104.5230263159078</v>
                </pt>
                <pt idx="202">
                  <v>104.687500000347</v>
                </pt>
                <pt idx="203">
                  <v>106.4144736840793</v>
                </pt>
                <pt idx="204">
                  <v>105.3453947372811</v>
                </pt>
                <pt idx="205">
                  <v>106.0032894733927</v>
                </pt>
                <pt idx="206">
                  <v>106.7434210529576</v>
                </pt>
                <pt idx="207">
                  <v>104.7697368421553</v>
                </pt>
                <pt idx="208">
                  <v>106.9901315792051</v>
                </pt>
                <pt idx="209">
                  <v>106.332236842271</v>
                </pt>
                <pt idx="210">
                  <v>105.6743421053369</v>
                </pt>
                <pt idx="211">
                  <v>109.621710526119</v>
                </pt>
                <pt idx="212">
                  <v>106.8256578947659</v>
                </pt>
                <pt idx="213">
                  <v>105.6743421053369</v>
                </pt>
                <pt idx="214">
                  <v>104.5230263159078</v>
                </pt>
                <pt idx="215">
                  <v>105.2631578946503</v>
                </pt>
                <pt idx="216">
                  <v>107.4835526317</v>
                </pt>
                <pt idx="217">
                  <v>106.6611842103268</v>
                </pt>
                <pt idx="218">
                  <v>107.2368421054525</v>
                </pt>
                <pt idx="219">
                  <v>108.3059210530732</v>
                </pt>
                <pt idx="220">
                  <v>104.5230263159078</v>
                </pt>
                <pt idx="221">
                  <v>105.6743421053369</v>
                </pt>
                <pt idx="222">
                  <v>102.3026315788581</v>
                </pt>
                <pt idx="223">
                  <v>99.67105263194418</v>
                </pt>
                <pt idx="224">
                  <v>99.01315789501008</v>
                </pt>
                <pt idx="225">
                  <v>96.95723684239948</v>
                </pt>
                <pt idx="226">
                  <v>93.66776315772904</v>
                </pt>
                <pt idx="227">
                  <v>89.8026315787553</v>
                </pt>
                <pt idx="228">
                  <v>86.34868421046815</v>
                </pt>
                <pt idx="229">
                  <v>83.22368421023684</v>
                </pt>
                <pt idx="230">
                  <v>79.93421052638884</v>
                </pt>
                <pt idx="231">
                  <v>80.34539473707544</v>
                </pt>
                <pt idx="232">
                  <v>81.74342105275198</v>
                </pt>
                <pt idx="233">
                  <v>81.16776315762623</v>
                </pt>
                <pt idx="234">
                  <v>82.97697368398937</v>
                </pt>
                <pt idx="235">
                  <v>81.08552631581789</v>
                </pt>
                <pt idx="236">
                  <v>83.5526315791151</v>
                </pt>
                <pt idx="237">
                  <v>84.95065789479163</v>
                </pt>
                <pt idx="238">
                  <v>85.11513157923076</v>
                </pt>
                <pt idx="239">
                  <v>83.88157894717094</v>
                </pt>
                <pt idx="240">
                  <v>86.8421052629631</v>
                </pt>
                <pt idx="241">
                  <v>86.01973684241233</v>
                </pt>
                <pt idx="242">
                  <v>86.4309210522765</v>
                </pt>
                <pt idx="243">
                  <v>87.25328947364972</v>
                </pt>
                <pt idx="244">
                  <v>87.58223684252799</v>
                </pt>
                <pt idx="245">
                  <v>89.72039473694694</v>
                </pt>
                <pt idx="246">
                  <v>89.47368421069947</v>
                </pt>
                <pt idx="247">
                  <v>92.51644736829999</v>
                </pt>
                <pt idx="248">
                  <v>88.81578947376538</v>
                </pt>
                <pt idx="249">
                  <v>89.14473684182121</v>
                </pt>
                <pt idx="250">
                  <v>89.63815789513859</v>
                </pt>
                <pt idx="251">
                  <v>90.37828947388104</v>
                </pt>
                <pt idx="252">
                  <v>88.65131578932625</v>
                </pt>
                <pt idx="253">
                  <v>90.95394736818433</v>
                </pt>
                <pt idx="254">
                  <v>91.11842105262346</v>
                </pt>
                <pt idx="255">
                  <v>92.02302631580503</v>
                </pt>
                <pt idx="256">
                  <v>90.2138157894419</v>
                </pt>
                <pt idx="257">
                  <v>89.55592105250781</v>
                </pt>
                <pt idx="258">
                  <v>89.22697368445198</v>
                </pt>
                <pt idx="259">
                  <v>88.65131578932625</v>
                </pt>
                <pt idx="260">
                  <v>88.24013157863963</v>
                </pt>
                <pt idx="261">
                  <v>87.17105263184138</v>
                </pt>
                <pt idx="262">
                  <v>87.82894736877546</v>
                </pt>
                <pt idx="263">
                  <v>88.56907894751789</v>
                </pt>
                <pt idx="264">
                  <v>85.19736842103912</v>
                </pt>
                <pt idx="265">
                  <v>85.44407894728658</v>
                </pt>
                <pt idx="266">
                  <v>85.77302631616485</v>
                </pt>
                <pt idx="267">
                  <v>84.53947368410502</v>
                </pt>
                <pt idx="268">
                  <v>85.77302631616485</v>
                </pt>
                <pt idx="269">
                  <v>84.04605263161007</v>
                </pt>
                <pt idx="270">
                  <v>84.95065789479163</v>
                </pt>
                <pt idx="271">
                  <v>84.37499999966589</v>
                </pt>
                <pt idx="272">
                  <v>84.2105263160492</v>
                </pt>
                <pt idx="273">
                  <v>82.64802631593355</v>
                </pt>
                <pt idx="274">
                  <v>81.49671052650449</v>
                </pt>
                <pt idx="275">
                  <v>82.15460526343858</v>
                </pt>
                <pt idx="276">
                  <v>82.15460526343858</v>
                </pt>
                <pt idx="277">
                  <v>81.66118421094363</v>
                </pt>
                <pt idx="278">
                  <v>81.25000000025702</v>
                </pt>
                <pt idx="279">
                  <v>80.59210526332294</v>
                </pt>
                <pt idx="280">
                  <v>82.15460526343858</v>
                </pt>
                <pt idx="281">
                  <v>81.99013157899945</v>
                </pt>
                <pt idx="282">
                  <v>81.82565789456032</v>
                </pt>
                <pt idx="283">
                  <v>80.50986842069214</v>
                </pt>
                <pt idx="284">
                  <v>81.99013157899945</v>
                </pt>
                <pt idx="285">
                  <v>82.31907894705527</v>
                </pt>
                <pt idx="286">
                  <v>81.99013157899945</v>
                </pt>
                <pt idx="287">
                  <v>81.16776315762623</v>
                </pt>
                <pt idx="288">
                  <v>82.4835526314944</v>
                </pt>
                <pt idx="289">
                  <v>81.82565789456032</v>
                </pt>
                <pt idx="290">
                  <v>81.00328947400953</v>
                </pt>
                <pt idx="291">
                  <v>81.82565789456032</v>
                </pt>
                <pt idx="292">
                  <v>80.59210526332294</v>
                </pt>
                <pt idx="293">
                  <v>82.15460526343858</v>
                </pt>
                <pt idx="294">
                  <v>81.00328947400953</v>
                </pt>
                <pt idx="295">
                  <v>79.93421052638884</v>
                </pt>
                <pt idx="296">
                  <v>80.50986842069214</v>
                </pt>
                <pt idx="297">
                  <v>80.34539473707544</v>
                </pt>
                <pt idx="298">
                  <v>80.4276315788838</v>
                </pt>
                <pt idx="299">
                  <v>81.25000000025702</v>
                </pt>
                <pt idx="300">
                  <v>80.8388157895704</v>
                </pt>
                <pt idx="301">
                  <v>81.49671052650449</v>
                </pt>
                <pt idx="302">
                  <v>81.74342105275198</v>
                </pt>
                <pt idx="303">
                  <v>81.99013157899945</v>
                </pt>
                <pt idx="304">
                  <v>82.64802631593355</v>
                </pt>
                <pt idx="305">
                  <v>82.23684210524692</v>
                </pt>
                <pt idx="306">
                  <v>83.05921052662015</v>
                </pt>
                <pt idx="307">
                  <v>81.25000000025702</v>
                </pt>
                <pt idx="308">
                  <v>82.07236842080781</v>
                </pt>
                <pt idx="309">
                  <v>82.15460526343858</v>
                </pt>
                <pt idx="310">
                  <v>82.73026315774189</v>
                </pt>
                <pt idx="311">
                  <v>81.16776315762623</v>
                </pt>
                <pt idx="312">
                  <v>83.63486842092345</v>
                </pt>
                <pt idx="313">
                  <v>82.56578947330276</v>
                </pt>
                <pt idx="314">
                  <v>82.64802631593355</v>
                </pt>
                <pt idx="315">
                  <v>83.96381578980171</v>
                </pt>
                <pt idx="316">
                  <v>82.56578947330276</v>
                </pt>
                <pt idx="317">
                  <v>81.66118421094363</v>
                </pt>
                <pt idx="318">
                  <v>83.30592105286763</v>
                </pt>
                <pt idx="319">
                  <v>83.96381578980171</v>
                </pt>
                <pt idx="320">
                  <v>83.7993421053626</v>
                </pt>
                <pt idx="321">
                  <v>84.2105263160492</v>
                </pt>
                <pt idx="322">
                  <v>84.95065789479163</v>
                </pt>
                <pt idx="323">
                  <v>86.34868421046815</v>
                </pt>
                <pt idx="324">
                  <v>83.96381578980171</v>
                </pt>
                <pt idx="325">
                  <v>84.70394736854415</v>
                </pt>
                <pt idx="326">
                  <v>85.36184210547825</v>
                </pt>
                <pt idx="327">
                  <v>85.11513157923076</v>
                </pt>
                <pt idx="328">
                  <v>85.77302631616485</v>
                </pt>
                <pt idx="329">
                  <v>86.92434210559389</v>
                </pt>
                <pt idx="330">
                  <v>87.58223684252799</v>
                </pt>
                <pt idx="331">
                  <v>88.98026315820451</v>
                </pt>
                <pt idx="332">
                  <v>86.51315789490728</v>
                </pt>
                <pt idx="333">
                  <v>86.92434210559389</v>
                </pt>
                <pt idx="334">
                  <v>88.24013157863963</v>
                </pt>
                <pt idx="335">
                  <v>91.03618421081512</v>
                </pt>
                <pt idx="336">
                  <v>87.66447368433633</v>
                </pt>
                <pt idx="337">
                  <v>87.0888157892106</v>
                </pt>
                <pt idx="338">
                  <v>88.32236842127043</v>
                </pt>
                <pt idx="339">
                  <v>87.00657894740225</v>
                </pt>
                <pt idx="340">
                  <v>87.74671052614468</v>
                </pt>
                <pt idx="341">
                  <v>88.24013157863963</v>
                </pt>
                <pt idx="342">
                  <v>87.25328947364972</v>
                </pt>
                <pt idx="343">
                  <v>87.9111842105838</v>
                </pt>
                <pt idx="344">
                  <v>88.1578947368313</v>
                </pt>
                <pt idx="345">
                  <v>87.74671052614468</v>
                </pt>
                <pt idx="346">
                  <v>86.26644736865981</v>
                </pt>
                <pt idx="347">
                  <v>86.75986842115476</v>
                </pt>
                <pt idx="348">
                  <v>87.33552631545807</v>
                </pt>
                <pt idx="349">
                  <v>87.58223684252799</v>
                </pt>
                <pt idx="350">
                  <v>86.8421052629631</v>
                </pt>
                <pt idx="351">
                  <v>85.60855263172571</v>
                </pt>
                <pt idx="352">
                  <v>87.4999999998972</v>
                </pt>
                <pt idx="353">
                  <v>87.25328947364972</v>
                </pt>
                <pt idx="354">
                  <v>87.41776315808886</v>
                </pt>
                <pt idx="355">
                  <v>86.67763157934641</v>
                </pt>
                <pt idx="356">
                  <v>86.4309210522765</v>
                </pt>
                <pt idx="357">
                  <v>85.69078947353407</v>
                </pt>
                <pt idx="358">
                  <v>85.85526315797318</v>
                </pt>
                <pt idx="359">
                  <v>83.71710526355423</v>
                </pt>
                <pt idx="360">
                  <v>86.92434210559389</v>
                </pt>
                <pt idx="361">
                  <v>84.86842105298328</v>
                </pt>
                <pt idx="362">
                  <v>60.93750000039837</v>
                </pt>
                <pt idx="363">
                  <v>47.86184210516983</v>
                </pt>
                <pt idx="364">
                  <v>69.49013157889665</v>
                </pt>
                <pt idx="365">
                  <v>75.32894736867266</v>
                </pt>
                <pt idx="366">
                  <v>80.59210526332294</v>
                </pt>
                <pt idx="367">
                  <v>85.93749999978155</v>
                </pt>
                <pt idx="368">
                  <v>82.4835526314944</v>
                </pt>
                <pt idx="369">
                  <v>84.04605263161007</v>
                </pt>
                <pt idx="370">
                  <v>82.31907894705527</v>
                </pt>
                <pt idx="371">
                  <v>82.81250000037268</v>
                </pt>
                <pt idx="372">
                  <v>85.60855263172571</v>
                </pt>
                <pt idx="373">
                  <v>84.37499999966589</v>
                </pt>
                <pt idx="374">
                  <v>84.6217105267358</v>
                </pt>
                <pt idx="375">
                  <v>85.52631578909492</v>
                </pt>
                <pt idx="376">
                  <v>84.53947368410502</v>
                </pt>
                <pt idx="377">
                  <v>86.4309210522765</v>
                </pt>
                <pt idx="378">
                  <v>87.0888157892106</v>
                </pt>
                <pt idx="379">
                  <v>85.77302631616485</v>
                </pt>
                <pt idx="380">
                  <v>86.8421052629631</v>
                </pt>
                <pt idx="381">
                  <v>86.10197368422068</v>
                </pt>
                <pt idx="382">
                  <v>87.74671052614468</v>
                </pt>
                <pt idx="383">
                  <v>86.8421052629631</v>
                </pt>
                <pt idx="384">
                  <v>83.88157894717094</v>
                </pt>
                <pt idx="385">
                  <v>87.17105263184138</v>
                </pt>
                <pt idx="386">
                  <v>87.25328947364972</v>
                </pt>
                <pt idx="387">
                  <v>88.32236842127043</v>
                </pt>
                <pt idx="388">
                  <v>87.41776315808886</v>
                </pt>
                <pt idx="389">
                  <v>85.69078947353407</v>
                </pt>
                <pt idx="390">
                  <v>86.01973684241233</v>
                </pt>
                <pt idx="391">
                  <v>87.99342105239216</v>
                </pt>
                <pt idx="392">
                  <v>86.4309210522765</v>
                </pt>
              </numCache>
            </numRef>
          </val>
          <smooth val="0"/>
        </ser>
        <ser>
          <idx val="6"/>
          <order val="1"/>
          <tx>
            <strRef>
              <f>'IP World'!$I$1</f>
              <strCache>
                <ptCount val="1"/>
                <pt idx="0">
                  <v>France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World'!$I$2:$I$395</f>
              <numCache>
                <formatCode>0.00</formatCode>
                <ptCount val="394"/>
                <pt idx="0">
                  <v>88.97345823575333</v>
                </pt>
                <pt idx="1">
                  <v>90.38836846213894</v>
                </pt>
                <pt idx="2">
                  <v>89.98829039812645</v>
                </pt>
                <pt idx="3">
                  <v>90.42740046838408</v>
                </pt>
                <pt idx="4">
                  <v>90.6615925058548</v>
                </pt>
                <pt idx="5">
                  <v>89.34426229508196</v>
                </pt>
                <pt idx="6">
                  <v>89.36377829820452</v>
                </pt>
                <pt idx="7">
                  <v>88.80757220921156</v>
                </pt>
                <pt idx="8">
                  <v>89.61748633879782</v>
                </pt>
                <pt idx="9">
                  <v>89.31498829039812</v>
                </pt>
                <pt idx="10">
                  <v>88.2903981264637</v>
                </pt>
                <pt idx="11">
                  <v>89.38329430132708</v>
                </pt>
                <pt idx="12">
                  <v>90.54449648711945</v>
                </pt>
                <pt idx="13">
                  <v>90.13466042154568</v>
                </pt>
                <pt idx="14">
                  <v>89.09055425448868</v>
                </pt>
                <pt idx="15">
                  <v>89.07103825136612</v>
                </pt>
                <pt idx="16">
                  <v>89.17837626854021</v>
                </pt>
                <pt idx="17">
                  <v>89.52966432474629</v>
                </pt>
                <pt idx="18">
                  <v>88.00741608118656</v>
                </pt>
                <pt idx="19">
                  <v>88.8856362217018</v>
                </pt>
                <pt idx="20">
                  <v>89.21740827478533</v>
                </pt>
                <pt idx="21">
                  <v>88.84660421545667</v>
                </pt>
                <pt idx="22">
                  <v>90.25175644028103</v>
                </pt>
                <pt idx="23">
                  <v>89.41256830601093</v>
                </pt>
                <pt idx="24">
                  <v>89.65651834504293</v>
                </pt>
                <pt idx="25">
                  <v>88.96370023419203</v>
                </pt>
                <pt idx="26">
                  <v>89.8224043715847</v>
                </pt>
                <pt idx="27">
                  <v>89.15886026541764</v>
                </pt>
                <pt idx="28">
                  <v>89.18813427010149</v>
                </pt>
                <pt idx="29">
                  <v>88.06596409055425</v>
                </pt>
                <pt idx="30">
                  <v>87.76346604215456</v>
                </pt>
                <pt idx="31">
                  <v>88.0464480874317</v>
                </pt>
                <pt idx="32">
                  <v>86.81693989071039</v>
                </pt>
                <pt idx="33">
                  <v>87.70491803278688</v>
                </pt>
                <pt idx="34">
                  <v>86.56323185011709</v>
                </pt>
                <pt idx="35">
                  <v>85.43130366900859</v>
                </pt>
                <pt idx="36">
                  <v>85.33372365339578</v>
                </pt>
                <pt idx="37">
                  <v>85.46057767369243</v>
                </pt>
                <pt idx="38">
                  <v>85.0312256049961</v>
                </pt>
                <pt idx="39">
                  <v>84.4847775175644</v>
                </pt>
                <pt idx="40">
                  <v>84.39695550351287</v>
                </pt>
                <pt idx="41">
                  <v>83.70413739266198</v>
                </pt>
                <pt idx="42">
                  <v>84.85558157689304</v>
                </pt>
                <pt idx="43">
                  <v>84.27010148321624</v>
                </pt>
                <pt idx="44">
                  <v>84.84582357533178</v>
                </pt>
                <pt idx="45">
                  <v>85.19711163153787</v>
                </pt>
                <pt idx="46">
                  <v>84.61163153786103</v>
                </pt>
                <pt idx="47">
                  <v>83.85050741608119</v>
                </pt>
                <pt idx="48">
                  <v>85.41178766588602</v>
                </pt>
                <pt idx="49">
                  <v>85.14832162373146</v>
                </pt>
                <pt idx="50">
                  <v>85.12880562060889</v>
                </pt>
                <pt idx="51">
                  <v>87.48048399687744</v>
                </pt>
                <pt idx="52">
                  <v>87.40241998438719</v>
                </pt>
                <pt idx="53">
                  <v>87.86104605776737</v>
                </pt>
                <pt idx="54">
                  <v>88.67096018735363</v>
                </pt>
                <pt idx="55">
                  <v>89.16861826697891</v>
                </pt>
                <pt idx="56">
                  <v>88.8856362217018</v>
                </pt>
                <pt idx="57">
                  <v>89.74434035909445</v>
                </pt>
                <pt idx="58">
                  <v>90.5152224824356</v>
                </pt>
                <pt idx="59">
                  <v>90.41764246682278</v>
                </pt>
                <pt idx="60">
                  <v>91.06167056986729</v>
                </pt>
                <pt idx="61">
                  <v>90.43715846994536</v>
                </pt>
                <pt idx="62">
                  <v>91.20804059328648</v>
                </pt>
                <pt idx="63">
                  <v>91.21779859484778</v>
                </pt>
                <pt idx="64">
                  <v>90.77868852459017</v>
                </pt>
                <pt idx="65">
                  <v>91.4032006245121</v>
                </pt>
                <pt idx="66">
                  <v>91.81303669008587</v>
                </pt>
                <pt idx="67">
                  <v>91.24707259953162</v>
                </pt>
                <pt idx="68">
                  <v>91.36416861826697</v>
                </pt>
                <pt idx="69">
                  <v>89.60772833723652</v>
                </pt>
                <pt idx="70">
                  <v>89.61748633879782</v>
                </pt>
                <pt idx="71">
                  <v>91.5007806401249</v>
                </pt>
                <pt idx="72">
                  <v>90.68110850897736</v>
                </pt>
                <pt idx="73">
                  <v>90.93481654957064</v>
                </pt>
                <pt idx="74">
                  <v>91.57884465261513</v>
                </pt>
                <pt idx="75">
                  <v>90.6615925058548</v>
                </pt>
                <pt idx="76">
                  <v>92.45706479313036</v>
                </pt>
                <pt idx="77">
                  <v>91.7447306791569</v>
                </pt>
                <pt idx="78">
                  <v>90.10538641686182</v>
                </pt>
                <pt idx="79">
                  <v>92.06674473067915</v>
                </pt>
                <pt idx="80">
                  <v>92.21311475409836</v>
                </pt>
                <pt idx="81">
                  <v>91.26658860265417</v>
                </pt>
                <pt idx="82">
                  <v>92.37900078064013</v>
                </pt>
                <pt idx="83">
                  <v>92.5351288056206</v>
                </pt>
                <pt idx="84">
                  <v>91.70569867291179</v>
                </pt>
                <pt idx="85">
                  <v>92.51561280249804</v>
                </pt>
                <pt idx="86">
                  <v>92.82786885245901</v>
                </pt>
                <pt idx="87">
                  <v>96.08704137392661</v>
                </pt>
                <pt idx="88">
                  <v>94.31108508977361</v>
                </pt>
                <pt idx="89">
                  <v>94.99414519906323</v>
                </pt>
                <pt idx="90">
                  <v>95.19906323185012</v>
                </pt>
                <pt idx="91">
                  <v>98.83879781420765</v>
                </pt>
                <pt idx="92">
                  <v>96.53590944574552</v>
                </pt>
                <pt idx="93">
                  <v>98.9168618266979</v>
                </pt>
                <pt idx="94">
                  <v>96.67252146760342</v>
                </pt>
                <pt idx="95">
                  <v>98.55581576893051</v>
                </pt>
                <pt idx="96">
                  <v>98.58508977361436</v>
                </pt>
                <pt idx="97">
                  <v>99.26814988290398</v>
                </pt>
                <pt idx="98">
                  <v>98.10694769711164</v>
                </pt>
                <pt idx="99">
                  <v>99.36572989851678</v>
                </pt>
                <pt idx="100">
                  <v>100.6342701014832</v>
                </pt>
                <pt idx="101">
                  <v>99.98048399687742</v>
                </pt>
                <pt idx="102">
                  <v>100.5757220921155</v>
                </pt>
                <pt idx="103">
                  <v>98.02888368462138</v>
                </pt>
                <pt idx="104">
                  <v>99.80483996877439</v>
                </pt>
                <pt idx="105">
                  <v>99.84387197501951</v>
                </pt>
                <pt idx="106">
                  <v>100.4391100702576</v>
                </pt>
                <pt idx="107">
                  <v>99.7072599531616</v>
                </pt>
                <pt idx="108">
                  <v>100</v>
                </pt>
                <pt idx="109">
                  <v>99.67798594847775</v>
                </pt>
                <pt idx="110">
                  <v>99.60967993754879</v>
                </pt>
                <pt idx="111">
                  <v>100.419594067135</v>
                </pt>
                <pt idx="112">
                  <v>100.8391881342701</v>
                </pt>
                <pt idx="113">
                  <v>102.2150663544106</v>
                </pt>
                <pt idx="114">
                  <v>102.4492583918813</v>
                </pt>
                <pt idx="115">
                  <v>100.5464480874317</v>
                </pt>
                <pt idx="116">
                  <v>103.2884465261514</v>
                </pt>
                <pt idx="117">
                  <v>104.5862607338017</v>
                </pt>
                <pt idx="118">
                  <v>104.6740827478532</v>
                </pt>
                <pt idx="119">
                  <v>103.7861046057767</v>
                </pt>
                <pt idx="120">
                  <v>104.5081967213115</v>
                </pt>
                <pt idx="121">
                  <v>104.8204527712724</v>
                </pt>
                <pt idx="122">
                  <v>105.5132708821233</v>
                </pt>
                <pt idx="123">
                  <v>106.1377829820453</v>
                </pt>
                <pt idx="124">
                  <v>107.4453551912568</v>
                </pt>
                <pt idx="125">
                  <v>106.0499609679938</v>
                </pt>
                <pt idx="126">
                  <v>107.2892271662763</v>
                </pt>
                <pt idx="127">
                  <v>106.3329430132709</v>
                </pt>
                <pt idx="128">
                  <v>106.6354410616706</v>
                </pt>
                <pt idx="129">
                  <v>107.7868852459016</v>
                </pt>
                <pt idx="130">
                  <v>107.6014832162373</v>
                </pt>
                <pt idx="131">
                  <v>108.5675253708041</v>
                </pt>
                <pt idx="132">
                  <v>108.0991412958626</v>
                </pt>
                <pt idx="133">
                  <v>108.8017174082748</v>
                </pt>
                <pt idx="134">
                  <v>109.2408274785324</v>
                </pt>
                <pt idx="135">
                  <v>107.4648711943794</v>
                </pt>
                <pt idx="136">
                  <v>108.2943013270882</v>
                </pt>
                <pt idx="137">
                  <v>108.323575331772</v>
                </pt>
                <pt idx="138">
                  <v>106.8208430913349</v>
                </pt>
                <pt idx="139">
                  <v>109.4555035128806</v>
                </pt>
                <pt idx="140">
                  <v>107.8454332552693</v>
                </pt>
                <pt idx="141">
                  <v>107.103825136612</v>
                </pt>
                <pt idx="142">
                  <v>105.9035909445745</v>
                </pt>
                <pt idx="143">
                  <v>106.5573770491803</v>
                </pt>
                <pt idx="144">
                  <v>106.5573770491803</v>
                </pt>
                <pt idx="145">
                  <v>106.9574551131928</v>
                </pt>
                <pt idx="146">
                  <v>107.4551131928181</v>
                </pt>
                <pt idx="147">
                  <v>108.1186572989852</v>
                </pt>
                <pt idx="148">
                  <v>107.172131147541</v>
                </pt>
                <pt idx="149">
                  <v>107.0160031225605</v>
                </pt>
                <pt idx="150">
                  <v>105.9231069476971</v>
                </pt>
                <pt idx="151">
                  <v>107.903981264637</v>
                </pt>
                <pt idx="152">
                  <v>106.5573770491803</v>
                </pt>
                <pt idx="153">
                  <v>105.7181889149102</v>
                </pt>
                <pt idx="154">
                  <v>106.7232630757221</v>
                </pt>
                <pt idx="155">
                  <v>104.1959406713505</v>
                </pt>
                <pt idx="156">
                  <v>106.3427010148322</v>
                </pt>
                <pt idx="157">
                  <v>107.3185011709602</v>
                </pt>
                <pt idx="158">
                  <v>106.4890710382514</v>
                </pt>
                <pt idx="159">
                  <v>106.5378610460578</v>
                </pt>
                <pt idx="160">
                  <v>104.0007806401249</v>
                </pt>
                <pt idx="161">
                  <v>103.7177985948478</v>
                </pt>
                <pt idx="162">
                  <v>105.5815768930523</v>
                </pt>
                <pt idx="163">
                  <v>105.1229508196721</v>
                </pt>
                <pt idx="164">
                  <v>104.7423887587822</v>
                </pt>
                <pt idx="165">
                  <v>107.2892271662763</v>
                </pt>
                <pt idx="166">
                  <v>105.2010148321624</v>
                </pt>
                <pt idx="167">
                  <v>105.8255269320843</v>
                </pt>
                <pt idx="168">
                  <v>106.4988290398126</v>
                </pt>
                <pt idx="169">
                  <v>107.5819672131148</v>
                </pt>
                <pt idx="170">
                  <v>107.2404371584699</v>
                </pt>
                <pt idx="171">
                  <v>107.2501951600312</v>
                </pt>
                <pt idx="172">
                  <v>106.6744730679157</v>
                </pt>
                <pt idx="173">
                  <v>107.6893052302888</v>
                </pt>
                <pt idx="174">
                  <v>108.1186572989852</v>
                </pt>
                <pt idx="175">
                  <v>104.3618266978923</v>
                </pt>
                <pt idx="176">
                  <v>107.972287275566</v>
                </pt>
                <pt idx="177">
                  <v>108.7724434035909</v>
                </pt>
                <pt idx="178">
                  <v>106.9574551131928</v>
                </pt>
                <pt idx="179">
                  <v>107.2306791569087</v>
                </pt>
                <pt idx="180">
                  <v>108.9578454332553</v>
                </pt>
                <pt idx="181">
                  <v>107.7088212334114</v>
                </pt>
                <pt idx="182">
                  <v>105.3571428571428</v>
                </pt>
                <pt idx="183">
                  <v>108.0991412958626</v>
                </pt>
                <pt idx="184">
                  <v>106.9184231069477</v>
                </pt>
                <pt idx="185">
                  <v>106.8696330991413</v>
                </pt>
                <pt idx="186">
                  <v>106.547619047619</v>
                </pt>
                <pt idx="187">
                  <v>105.9328649492584</v>
                </pt>
                <pt idx="188">
                  <v>108.5967993754879</v>
                </pt>
                <pt idx="189">
                  <v>105.4254488680718</v>
                </pt>
                <pt idx="190">
                  <v>109.6311475409836</v>
                </pt>
                <pt idx="191">
                  <v>108.3333333333333</v>
                </pt>
                <pt idx="192">
                  <v>107.6307572209212</v>
                </pt>
                <pt idx="193">
                  <v>106.9086651053864</v>
                </pt>
                <pt idx="194">
                  <v>108.8602654176425</v>
                </pt>
                <pt idx="195">
                  <v>108.3528493364559</v>
                </pt>
                <pt idx="196">
                  <v>110.0897736143638</v>
                </pt>
                <pt idx="197">
                  <v>109.8750975800156</v>
                </pt>
                <pt idx="198">
                  <v>108.4016393442623</v>
                </pt>
                <pt idx="199">
                  <v>107.6307572209212</v>
                </pt>
                <pt idx="200">
                  <v>109.3384074941452</v>
                </pt>
                <pt idx="201">
                  <v>108.4211553473849</v>
                </pt>
                <pt idx="202">
                  <v>107.8064012490242</v>
                </pt>
                <pt idx="203">
                  <v>109.6311475409836</v>
                </pt>
                <pt idx="204">
                  <v>108.3430913348946</v>
                </pt>
                <pt idx="205">
                  <v>109.3481654957065</v>
                </pt>
                <pt idx="206">
                  <v>110.1775956284153</v>
                </pt>
                <pt idx="207">
                  <v>108.3626073380172</v>
                </pt>
                <pt idx="208">
                  <v>110.9484777517564</v>
                </pt>
                <pt idx="209">
                  <v>110.5288836846214</v>
                </pt>
                <pt idx="210">
                  <v>110.6947697111631</v>
                </pt>
                <pt idx="211">
                  <v>111.3583138173302</v>
                </pt>
                <pt idx="212">
                  <v>108.7724434035909</v>
                </pt>
                <pt idx="213">
                  <v>111.2412177985948</v>
                </pt>
                <pt idx="214">
                  <v>109.3091334894613</v>
                </pt>
                <pt idx="215">
                  <v>109.4945355191257</v>
                </pt>
                <pt idx="216">
                  <v>110.4605776736924</v>
                </pt>
                <pt idx="217">
                  <v>111.4656518345043</v>
                </pt>
                <pt idx="218">
                  <v>110.2263856362217</v>
                </pt>
                <pt idx="219">
                  <v>112.5097580015613</v>
                </pt>
                <pt idx="220">
                  <v>107.2501951600312</v>
                </pt>
                <pt idx="221">
                  <v>106.9379391100703</v>
                </pt>
                <pt idx="222">
                  <v>107.7576112412178</v>
                </pt>
                <pt idx="223">
                  <v>106.303669008587</v>
                </pt>
                <pt idx="224">
                  <v>105.815768930523</v>
                </pt>
                <pt idx="225">
                  <v>103.8934426229508</v>
                </pt>
                <pt idx="226">
                  <v>98.68266978922716</v>
                </pt>
                <pt idx="227">
                  <v>97.30679156908664</v>
                </pt>
                <pt idx="228">
                  <v>93.74512099921935</v>
                </pt>
                <pt idx="229">
                  <v>92.43754879000781</v>
                </pt>
                <pt idx="230">
                  <v>90.72989851678376</v>
                </pt>
                <pt idx="231">
                  <v>90.70062451209992</v>
                </pt>
                <pt idx="232">
                  <v>91.80327868852459</v>
                </pt>
                <pt idx="233">
                  <v>92.96448087431693</v>
                </pt>
                <pt idx="234">
                  <v>92.63270882123342</v>
                </pt>
                <pt idx="235">
                  <v>94.13544106167056</v>
                </pt>
                <pt idx="236">
                  <v>94.62334113973458</v>
                </pt>
                <pt idx="237">
                  <v>93.99882903981265</v>
                </pt>
                <pt idx="238">
                  <v>94.91608118657298</v>
                </pt>
                <pt idx="239">
                  <v>94.58430913348947</v>
                </pt>
                <pt idx="240">
                  <v>95.56010928961749</v>
                </pt>
                <pt idx="241">
                  <v>94.94535519125682</v>
                </pt>
                <pt idx="242">
                  <v>96.82864949258392</v>
                </pt>
                <pt idx="243">
                  <v>96.44808743169399</v>
                </pt>
                <pt idx="244">
                  <v>97.20921155347385</v>
                </pt>
                <pt idx="245">
                  <v>96.82864949258392</v>
                </pt>
                <pt idx="246">
                  <v>97.5312256049961</v>
                </pt>
                <pt idx="247">
                  <v>96.40905542544886</v>
                </pt>
                <pt idx="248">
                  <v>97.67759562841529</v>
                </pt>
                <pt idx="249">
                  <v>97.49219359875097</v>
                </pt>
                <pt idx="250">
                  <v>98.77049180327869</v>
                </pt>
                <pt idx="251">
                  <v>100.0292740046838</v>
                </pt>
                <pt idx="252">
                  <v>101.2392661982826</v>
                </pt>
                <pt idx="253">
                  <v>101.5807962529274</v>
                </pt>
                <pt idx="254">
                  <v>100.3024980483997</v>
                </pt>
                <pt idx="255">
                  <v>98.60460577673692</v>
                </pt>
                <pt idx="256">
                  <v>101.8345042935207</v>
                </pt>
                <pt idx="257">
                  <v>99.07298985167837</v>
                </pt>
                <pt idx="258">
                  <v>100.1366120218579</v>
                </pt>
                <pt idx="259">
                  <v>99.31693989071039</v>
                </pt>
                <pt idx="260">
                  <v>98.6143637782982</v>
                </pt>
                <pt idx="261">
                  <v>98.80952380952381</v>
                </pt>
                <pt idx="262">
                  <v>100.7903981264637</v>
                </pt>
                <pt idx="263">
                  <v>98.79976580796253</v>
                </pt>
                <pt idx="264">
                  <v>98.43871975019515</v>
                </pt>
                <pt idx="265">
                  <v>99.33645589383293</v>
                </pt>
                <pt idx="266">
                  <v>98.21428571428572</v>
                </pt>
                <pt idx="267">
                  <v>98.51678376268539</v>
                </pt>
                <pt idx="268">
                  <v>97.23848555815769</v>
                </pt>
                <pt idx="269">
                  <v>96.44808743169399</v>
                </pt>
                <pt idx="270">
                  <v>97.10187353629976</v>
                </pt>
                <pt idx="271">
                  <v>99.28766588602653</v>
                </pt>
                <pt idx="272">
                  <v>97.01405152224824</v>
                </pt>
                <pt idx="273">
                  <v>95.60889929742389</v>
                </pt>
                <pt idx="274">
                  <v>95.60889929742389</v>
                </pt>
                <pt idx="275">
                  <v>96.40905542544886</v>
                </pt>
                <pt idx="276">
                  <v>96.32123341139733</v>
                </pt>
                <pt idx="277">
                  <v>97.23848555815769</v>
                </pt>
                <pt idx="278">
                  <v>97.49219359875097</v>
                </pt>
                <pt idx="279">
                  <v>98.94613583138174</v>
                </pt>
                <pt idx="280">
                  <v>98.69242779078844</v>
                </pt>
                <pt idx="281">
                  <v>97.44340359094457</v>
                </pt>
                <pt idx="282">
                  <v>96.72131147540983</v>
                </pt>
                <pt idx="283">
                  <v>96.00897736143638</v>
                </pt>
                <pt idx="284">
                  <v>96.63348946135831</v>
                </pt>
                <pt idx="285">
                  <v>96.54566744730678</v>
                </pt>
                <pt idx="286">
                  <v>98.26307572209211</v>
                </pt>
                <pt idx="287">
                  <v>97.04332552693208</v>
                </pt>
                <pt idx="288">
                  <v>95.647931303669</v>
                </pt>
                <pt idx="289">
                  <v>96.96526151444185</v>
                </pt>
                <pt idx="290">
                  <v>96.4383294301327</v>
                </pt>
                <pt idx="291">
                  <v>96.70179547228727</v>
                </pt>
                <pt idx="292">
                  <v>94.8575331772053</v>
                </pt>
                <pt idx="293">
                  <v>96.71155347384855</v>
                </pt>
                <pt idx="294">
                  <v>97.72638563622171</v>
                </pt>
                <pt idx="295">
                  <v>95.93091334894613</v>
                </pt>
                <pt idx="296">
                  <v>96.75058548009368</v>
                </pt>
                <pt idx="297">
                  <v>95.23809523809523</v>
                </pt>
                <pt idx="298">
                  <v>94.42818110850897</v>
                </pt>
                <pt idx="299">
                  <v>97.23848555815769</v>
                </pt>
                <pt idx="300">
                  <v>97.0823575331772</v>
                </pt>
                <pt idx="301">
                  <v>97.60928961748634</v>
                </pt>
                <pt idx="302">
                  <v>97.52146760343481</v>
                </pt>
                <pt idx="303">
                  <v>96.86768149882903</v>
                </pt>
                <pt idx="304">
                  <v>97.83372365339578</v>
                </pt>
                <pt idx="305">
                  <v>97.79469164715066</v>
                </pt>
                <pt idx="306">
                  <v>96.79937548790008</v>
                </pt>
                <pt idx="307">
                  <v>97.65807962529273</v>
                </pt>
                <pt idx="308">
                  <v>98.72170179547228</v>
                </pt>
                <pt idx="309">
                  <v>98.83879781420765</v>
                </pt>
                <pt idx="310">
                  <v>96.94574551131927</v>
                </pt>
                <pt idx="311">
                  <v>97.28727556596409</v>
                </pt>
                <pt idx="312">
                  <v>98.99492583918813</v>
                </pt>
                <pt idx="313">
                  <v>98.39968774395004</v>
                </pt>
                <pt idx="314">
                  <v>97.64832162373145</v>
                </pt>
                <pt idx="315">
                  <v>98.69242779078844</v>
                </pt>
                <pt idx="316">
                  <v>97.21896955503512</v>
                </pt>
                <pt idx="317">
                  <v>96.91647150663543</v>
                </pt>
                <pt idx="318">
                  <v>96.75058548009368</v>
                </pt>
                <pt idx="319">
                  <v>98.63387978142076</v>
                </pt>
                <pt idx="320">
                  <v>97.48243559718969</v>
                </pt>
                <pt idx="321">
                  <v>97.1311475409836</v>
                </pt>
                <pt idx="322">
                  <v>99.78532396565184</v>
                </pt>
                <pt idx="323">
                  <v>98.33138173302108</v>
                </pt>
                <pt idx="324">
                  <v>98.67291178766588</v>
                </pt>
                <pt idx="325">
                  <v>97.68735362997657</v>
                </pt>
                <pt idx="326">
                  <v>98.97540983606558</v>
                </pt>
                <pt idx="327">
                  <v>98.58508977361436</v>
                </pt>
                <pt idx="328">
                  <v>100.8294301327088</v>
                </pt>
                <pt idx="329">
                  <v>99.58040593286495</v>
                </pt>
                <pt idx="330">
                  <v>100.0780640124902</v>
                </pt>
                <pt idx="331">
                  <v>100.4000780640125</v>
                </pt>
                <pt idx="332">
                  <v>101.0928961748634</v>
                </pt>
                <pt idx="333">
                  <v>101.5612802498048</v>
                </pt>
                <pt idx="334">
                  <v>101.9320843091335</v>
                </pt>
                <pt idx="335">
                  <v>103.1225604996097</v>
                </pt>
                <pt idx="336">
                  <v>99.34621389539421</v>
                </pt>
                <pt idx="337">
                  <v>100.800156128025</v>
                </pt>
                <pt idx="338">
                  <v>101.775956284153</v>
                </pt>
                <pt idx="339">
                  <v>100.7513661202186</v>
                </pt>
                <pt idx="340">
                  <v>99.72677595628416</v>
                </pt>
                <pt idx="341">
                  <v>101.4246682279469</v>
                </pt>
                <pt idx="342">
                  <v>101.21975019516</v>
                </pt>
                <pt idx="343">
                  <v>101.5515222482435</v>
                </pt>
                <pt idx="344">
                  <v>100.4293520686963</v>
                </pt>
                <pt idx="345">
                  <v>101.4149102263856</v>
                </pt>
                <pt idx="346">
                  <v>100.3708040593286</v>
                </pt>
                <pt idx="347">
                  <v>101.7174082747853</v>
                </pt>
                <pt idx="348">
                  <v>102.0491803278689</v>
                </pt>
                <pt idx="349">
                  <v>102.1467603434817</v>
                </pt>
                <pt idx="350">
                  <v>101.9418423106948</v>
                </pt>
                <pt idx="351">
                  <v>102.2833723653396</v>
                </pt>
                <pt idx="352">
                  <v>103.6982825917252</v>
                </pt>
                <pt idx="353">
                  <v>101.1514441842311</v>
                </pt>
                <pt idx="354">
                  <v>101.6198282591725</v>
                </pt>
                <pt idx="355">
                  <v>100.4976580796253</v>
                </pt>
                <pt idx="356">
                  <v>101.3856362217018</v>
                </pt>
                <pt idx="357">
                  <v>101.0343481654957</v>
                </pt>
                <pt idx="358">
                  <v>100.6635441061671</v>
                </pt>
                <pt idx="359">
                  <v>98.73145979703357</v>
                </pt>
                <pt idx="360">
                  <v>98.76073380171739</v>
                </pt>
                <pt idx="361">
                  <v>100.9172521467603</v>
                </pt>
                <pt idx="362">
                  <v>83.61631537861045</v>
                </pt>
                <pt idx="363">
                  <v>66.47150663544107</v>
                </pt>
                <pt idx="364">
                  <v>79.30327868852459</v>
                </pt>
                <pt idx="365">
                  <v>89.16861826697891</v>
                </pt>
                <pt idx="366">
                  <v>92.62295081967213</v>
                </pt>
                <pt idx="367">
                  <v>93.05230288836846</v>
                </pt>
                <pt idx="368">
                  <v>94.76971116315379</v>
                </pt>
                <pt idx="369">
                  <v>96.84816549570648</v>
                </pt>
                <pt idx="370">
                  <v>95.86260733801717</v>
                </pt>
                <pt idx="371">
                  <v>95.45277127244339</v>
                </pt>
                <pt idx="372">
                  <v>98.15573770491804</v>
                </pt>
                <pt idx="373">
                  <v>93.95003903200625</v>
                </pt>
                <pt idx="374">
                  <v>95.61865729898516</v>
                </pt>
                <pt idx="375">
                  <v>95.8040593286495</v>
                </pt>
                <pt idx="376">
                  <v>95.60889929742389</v>
                </pt>
                <pt idx="377">
                  <v>95.42349726775956</v>
                </pt>
                <pt idx="378">
                  <v>96.11631537861045</v>
                </pt>
                <pt idx="379">
                  <v>96.06752537080406</v>
                </pt>
                <pt idx="380">
                  <v>95.02341920374707</v>
                </pt>
                <pt idx="381">
                  <v>96.11631537861045</v>
                </pt>
                <pt idx="382">
                  <v>95.31615925058549</v>
                </pt>
                <pt idx="383">
                  <v>95.37470725995315</v>
                </pt>
                <pt idx="384">
                  <v>97.07259953161592</v>
                </pt>
                <pt idx="385">
                  <v>95.79430132708821</v>
                </pt>
                <pt idx="386">
                  <v>95.38446526151444</v>
                </pt>
                <pt idx="387">
                  <v>95.03317720530835</v>
                </pt>
                <pt idx="388">
                  <v>95.23809523809523</v>
                </pt>
                <pt idx="389">
                  <v>96.53590944574552</v>
                </pt>
                <pt idx="390">
                  <v>94.98438719750195</v>
                </pt>
                <pt idx="391">
                  <v>97.51170960187353</v>
                </pt>
                <pt idx="392">
                  <v>96.7310694769711</v>
                </pt>
              </numCache>
            </numRef>
          </val>
          <smooth val="0"/>
        </ser>
        <ser>
          <idx val="7"/>
          <order val="2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World'!$J$2:$J$406</f>
              <numCache>
                <formatCode>0.00</formatCode>
                <ptCount val="405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128.3244680851753</v>
                </pt>
              </numCache>
            </numRef>
          </val>
          <smooth val="0"/>
        </ser>
        <ser>
          <idx val="8"/>
          <order val="3"/>
          <tx>
            <strRef>
              <f>'IP World'!$K$1</f>
              <strCache>
                <ptCount val="1"/>
                <pt idx="0">
                  <v>Spain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World'!$K$2:$K$395</f>
              <numCache>
                <formatCode>0.00</formatCode>
                <ptCount val="394"/>
                <pt idx="0">
                  <v>85.34874193481622</v>
                </pt>
                <pt idx="1">
                  <v>83.21382973118841</v>
                </pt>
                <pt idx="2">
                  <v>84.08121063919538</v>
                </pt>
                <pt idx="3">
                  <v>85.2246422495669</v>
                </pt>
                <pt idx="4">
                  <v>84.32565339468019</v>
                </pt>
                <pt idx="5">
                  <v>86.52926938902941</v>
                </pt>
                <pt idx="6">
                  <v>83.95054259531608</v>
                </pt>
                <pt idx="7">
                  <v>82.85828926700685</v>
                </pt>
                <pt idx="8">
                  <v>85.73885123388825</v>
                </pt>
                <pt idx="9">
                  <v>82.3101842992327</v>
                </pt>
                <pt idx="10">
                  <v>84.97834533741391</v>
                </pt>
                <pt idx="11">
                  <v>84.56367185292171</v>
                </pt>
                <pt idx="12">
                  <v>84.65069603312355</v>
                </pt>
                <pt idx="13">
                  <v>83.30605453260587</v>
                </pt>
                <pt idx="14">
                  <v>80.40636034642758</v>
                </pt>
                <pt idx="15">
                  <v>86.40469853777657</v>
                </pt>
                <pt idx="16">
                  <v>82.15079631749592</v>
                </pt>
                <pt idx="17">
                  <v>84.7259224210334</v>
                </pt>
                <pt idx="18">
                  <v>82.65184570552724</v>
                </pt>
                <pt idx="19">
                  <v>82.46007354082937</v>
                </pt>
                <pt idx="20">
                  <v>84.5226422817164</v>
                </pt>
                <pt idx="21">
                  <v>85.02991767051054</v>
                </pt>
                <pt idx="22">
                  <v>84.78165643660232</v>
                </pt>
                <pt idx="23">
                  <v>85.63316006951274</v>
                </pt>
                <pt idx="24">
                  <v>84.30124433610041</v>
                </pt>
                <pt idx="25">
                  <v>84.56414418041749</v>
                </pt>
                <pt idx="26">
                  <v>83.4956380604585</v>
                </pt>
                <pt idx="27">
                  <v>83.45083519321588</v>
                </pt>
                <pt idx="28">
                  <v>82.62409548942202</v>
                </pt>
                <pt idx="29">
                  <v>81.65618448665495</v>
                </pt>
                <pt idx="30">
                  <v>80.79478596106377</v>
                </pt>
                <pt idx="31">
                  <v>80.44904307866143</v>
                </pt>
                <pt idx="32">
                  <v>79.95536620004057</v>
                </pt>
                <pt idx="33">
                  <v>79.36278487875047</v>
                </pt>
                <pt idx="34">
                  <v>78.00179211455445</v>
                </pt>
                <pt idx="35">
                  <v>76.72955974842768</v>
                </pt>
                <pt idx="36">
                  <v>77.86569283830391</v>
                </pt>
                <pt idx="37">
                  <v>76.68898356664639</v>
                </pt>
                <pt idx="38">
                  <v>76.88679245283018</v>
                </pt>
                <pt idx="39">
                  <v>76.47426793777191</v>
                </pt>
                <pt idx="40">
                  <v>77.08967336173666</v>
                </pt>
                <pt idx="41">
                  <v>76.50385473769188</v>
                </pt>
                <pt idx="42">
                  <v>77.23760735795517</v>
                </pt>
                <pt idx="43">
                  <v>76.0634340972363</v>
                </pt>
                <pt idx="44">
                  <v>78.21650774342891</v>
                </pt>
                <pt idx="45">
                  <v>78.78541962562836</v>
                </pt>
                <pt idx="46">
                  <v>79.14891458713734</v>
                </pt>
                <pt idx="47">
                  <v>79.36109420422781</v>
                </pt>
                <pt idx="48">
                  <v>79.12693582172403</v>
                </pt>
                <pt idx="49">
                  <v>81.34087374058858</v>
                </pt>
                <pt idx="50">
                  <v>81.32650300968193</v>
                </pt>
                <pt idx="51">
                  <v>82.59704470128604</v>
                </pt>
                <pt idx="52">
                  <v>82.01545276270259</v>
                </pt>
                <pt idx="53">
                  <v>83.33417867059467</v>
                </pt>
                <pt idx="54">
                  <v>84.40775681327629</v>
                </pt>
                <pt idx="55">
                  <v>84.50412524500688</v>
                </pt>
                <pt idx="56">
                  <v>84.55061878677216</v>
                </pt>
                <pt idx="57">
                  <v>85.39172922147269</v>
                </pt>
                <pt idx="58">
                  <v>86.73158855751674</v>
                </pt>
                <pt idx="59">
                  <v>89.01399878271454</v>
                </pt>
                <pt idx="60">
                  <v>88.61330898762427</v>
                </pt>
                <pt idx="61">
                  <v>87.71387029119046</v>
                </pt>
                <pt idx="62">
                  <v>87.57777101493993</v>
                </pt>
                <pt idx="63">
                  <v>87.97169811363021</v>
                </pt>
                <pt idx="64">
                  <v>88.67501859755754</v>
                </pt>
                <pt idx="65">
                  <v>88.05707716265412</v>
                </pt>
                <pt idx="66">
                  <v>87.66399540122518</v>
                </pt>
                <pt idx="67">
                  <v>87.26330560613488</v>
                </pt>
                <pt idx="68">
                  <v>87.70541692026779</v>
                </pt>
                <pt idx="69">
                  <v>87.07056874267373</v>
                </pt>
                <pt idx="70">
                  <v>87.51521606859065</v>
                </pt>
                <pt idx="71">
                  <v>88.26756610522193</v>
                </pt>
                <pt idx="72">
                  <v>85.41878000960865</v>
                </pt>
                <pt idx="73">
                  <v>85.50162304769393</v>
                </pt>
                <pt idx="74">
                  <v>85.72648272116837</v>
                </pt>
                <pt idx="75">
                  <v>85.12206667991028</v>
                </pt>
                <pt idx="76">
                  <v>86.19987150889858</v>
                </pt>
                <pt idx="77">
                  <v>87.30641779970018</v>
                </pt>
                <pt idx="78">
                  <v>86.29962128882914</v>
                </pt>
                <pt idx="79">
                  <v>86.87952255373526</v>
                </pt>
                <pt idx="80">
                  <v>87.2159667279536</v>
                </pt>
                <pt idx="81">
                  <v>87.30050043971619</v>
                </pt>
                <pt idx="82">
                  <v>88.52032190409369</v>
                </pt>
                <pt idx="83">
                  <v>87.21765740163093</v>
                </pt>
                <pt idx="84">
                  <v>89.56431324854601</v>
                </pt>
                <pt idx="85">
                  <v>88.84155001014405</v>
                </pt>
                <pt idx="86">
                  <v>92.40633664691396</v>
                </pt>
                <pt idx="87">
                  <v>91.88814499194112</v>
                </pt>
                <pt idx="88">
                  <v>91.32176912152566</v>
                </pt>
                <pt idx="89">
                  <v>92.21275444619147</v>
                </pt>
                <pt idx="90">
                  <v>93.16122269532923</v>
                </pt>
                <pt idx="91">
                  <v>94.80455805747165</v>
                </pt>
                <pt idx="92">
                  <v>94.46642320957598</v>
                </pt>
                <pt idx="93">
                  <v>95.24751470886589</v>
                </pt>
                <pt idx="94">
                  <v>94.35145736147742</v>
                </pt>
                <pt idx="95">
                  <v>94.5230607967866</v>
                </pt>
                <pt idx="96">
                  <v>95.85700277284664</v>
                </pt>
                <pt idx="97">
                  <v>97.93315074093798</v>
                </pt>
                <pt idx="98">
                  <v>96.91451951009896</v>
                </pt>
                <pt idx="99">
                  <v>97.51386352863439</v>
                </pt>
                <pt idx="100">
                  <v>97.88412118738869</v>
                </pt>
                <pt idx="101">
                  <v>97.72266179752485</v>
                </pt>
                <pt idx="102">
                  <v>97.56035707039968</v>
                </pt>
                <pt idx="103">
                  <v>97.6076959494263</v>
                </pt>
                <pt idx="104">
                  <v>97.8088861838101</v>
                </pt>
                <pt idx="105">
                  <v>98.9128964628277</v>
                </pt>
                <pt idx="106">
                  <v>98.47163048595613</v>
                </pt>
                <pt idx="107">
                  <v>99.20622844432609</v>
                </pt>
                <pt idx="108">
                  <v>100</v>
                </pt>
                <pt idx="109">
                  <v>98.39977683142287</v>
                </pt>
                <pt idx="110">
                  <v>97.3261986878959</v>
                </pt>
                <pt idx="111">
                  <v>98.97037938729964</v>
                </pt>
                <pt idx="112">
                  <v>98.91036045188903</v>
                </pt>
                <pt idx="113">
                  <v>99.88587948916278</v>
                </pt>
                <pt idx="114">
                  <v>101.2510989379748</v>
                </pt>
                <pt idx="115">
                  <v>100.2206329888585</v>
                </pt>
                <pt idx="116">
                  <v>101.3601474269347</v>
                </pt>
                <pt idx="117">
                  <v>101.7954960438223</v>
                </pt>
                <pt idx="118">
                  <v>102.4269628732163</v>
                </pt>
                <pt idx="119">
                  <v>103.1302833571437</v>
                </pt>
                <pt idx="120">
                  <v>103.5368905122179</v>
                </pt>
                <pt idx="121">
                  <v>103.9536417127375</v>
                </pt>
                <pt idx="122">
                  <v>104.9063366473366</v>
                </pt>
                <pt idx="123">
                  <v>104.5605937649343</v>
                </pt>
                <pt idx="124">
                  <v>105.4828565631974</v>
                </pt>
                <pt idx="125">
                  <v>104.5369243258436</v>
                </pt>
                <pt idx="126">
                  <v>105.3653547033148</v>
                </pt>
                <pt idx="127">
                  <v>104.4109690941931</v>
                </pt>
                <pt idx="128">
                  <v>104.5453776967663</v>
                </pt>
                <pt idx="129">
                  <v>103.4075539323674</v>
                </pt>
                <pt idx="130">
                  <v>105.9807601272796</v>
                </pt>
                <pt idx="131">
                  <v>106.8751268009907</v>
                </pt>
                <pt idx="132">
                  <v>104.3534861705665</v>
                </pt>
                <pt idx="133">
                  <v>104.144687901676</v>
                </pt>
                <pt idx="134">
                  <v>103.6171975385192</v>
                </pt>
                <pt idx="135">
                  <v>102.6619665921361</v>
                </pt>
                <pt idx="136">
                  <v>104.0508554808841</v>
                </pt>
                <pt idx="137">
                  <v>104.3687022387345</v>
                </pt>
                <pt idx="138">
                  <v>102.8115912628773</v>
                </pt>
                <pt idx="139">
                  <v>105.9249678773303</v>
                </pt>
                <pt idx="140">
                  <v>103.8682626628683</v>
                </pt>
                <pt idx="141">
                  <v>103.0584297017651</v>
                </pt>
                <pt idx="142">
                  <v>101.3068911879241</v>
                </pt>
                <pt idx="143">
                  <v>101.3094271997081</v>
                </pt>
                <pt idx="144">
                  <v>102.3551092178377</v>
                </pt>
                <pt idx="145">
                  <v>102.9138770545919</v>
                </pt>
                <pt idx="146">
                  <v>102.6535132212135</v>
                </pt>
                <pt idx="147">
                  <v>103.5377358494793</v>
                </pt>
                <pt idx="148">
                  <v>102.6492865357521</v>
                </pt>
                <pt idx="149">
                  <v>102.6442145130295</v>
                </pt>
                <pt idx="150">
                  <v>103.1294380198823</v>
                </pt>
                <pt idx="151">
                  <v>103.8344491783323</v>
                </pt>
                <pt idx="152">
                  <v>104.0922769999267</v>
                </pt>
                <pt idx="153">
                  <v>104.7144451211368</v>
                </pt>
                <pt idx="154">
                  <v>104.3560221815052</v>
                </pt>
                <pt idx="155">
                  <v>103.7076486102658</v>
                </pt>
                <pt idx="156">
                  <v>104.5039561777237</v>
                </pt>
                <pt idx="157">
                  <v>104.846317711926</v>
                </pt>
                <pt idx="158">
                  <v>104.517481571369</v>
                </pt>
                <pt idx="159">
                  <v>104.7871441129314</v>
                </pt>
                <pt idx="160">
                  <v>103.9071481709722</v>
                </pt>
                <pt idx="161">
                  <v>104.2638804352359</v>
                </pt>
                <pt idx="162">
                  <v>104.5732738213183</v>
                </pt>
                <pt idx="163">
                  <v>104.7372692229661</v>
                </pt>
                <pt idx="164">
                  <v>104.1345438562307</v>
                </pt>
                <pt idx="165">
                  <v>105.8742476501037</v>
                </pt>
                <pt idx="166">
                  <v>105.1007641844751</v>
                </pt>
                <pt idx="167">
                  <v>104.5631297758729</v>
                </pt>
                <pt idx="168">
                  <v>104.6214580376062</v>
                </pt>
                <pt idx="169">
                  <v>105.3315412187789</v>
                </pt>
                <pt idx="170">
                  <v>106.5090958276977</v>
                </pt>
                <pt idx="171">
                  <v>106.1785690134634</v>
                </pt>
                <pt idx="172">
                  <v>106.7998917965668</v>
                </pt>
                <pt idx="173">
                  <v>106.9486711300466</v>
                </pt>
                <pt idx="174">
                  <v>107.1439440052918</v>
                </pt>
                <pt idx="175">
                  <v>105.7322310138692</v>
                </pt>
                <pt idx="176">
                  <v>107.4102251978089</v>
                </pt>
                <pt idx="177">
                  <v>106.4786636913618</v>
                </pt>
                <pt idx="178">
                  <v>107.2504564824677</v>
                </pt>
                <pt idx="179">
                  <v>105.0542706435551</v>
                </pt>
                <pt idx="180">
                  <v>105.4608777977841</v>
                </pt>
                <pt idx="181">
                  <v>105.9325759109916</v>
                </pt>
                <pt idx="182">
                  <v>106.6908433084522</v>
                </pt>
                <pt idx="183">
                  <v>107.7204639211526</v>
                </pt>
                <pt idx="184">
                  <v>106.8607560692387</v>
                </pt>
                <pt idx="185">
                  <v>107.3806383987342</v>
                </pt>
                <pt idx="186">
                  <v>107.5184283495074</v>
                </pt>
                <pt idx="187">
                  <v>108.3130452424427</v>
                </pt>
                <pt idx="188">
                  <v>107.8802326364938</v>
                </pt>
                <pt idx="189">
                  <v>107.3595049705823</v>
                </pt>
                <pt idx="190">
                  <v>108.7255697575009</v>
                </pt>
                <pt idx="191">
                  <v>109.5886589576148</v>
                </pt>
                <pt idx="192">
                  <v>110.3274836006008</v>
                </pt>
                <pt idx="193">
                  <v>110.1423547708009</v>
                </pt>
                <pt idx="194">
                  <v>110.7163386757231</v>
                </pt>
                <pt idx="195">
                  <v>110.0282342599637</v>
                </pt>
                <pt idx="196">
                  <v>111.4002164060211</v>
                </pt>
                <pt idx="197">
                  <v>111.7738554138207</v>
                </pt>
                <pt idx="198">
                  <v>111.5202542776876</v>
                </pt>
                <pt idx="199">
                  <v>111.2581997697865</v>
                </pt>
                <pt idx="200">
                  <v>112.0722594171964</v>
                </pt>
                <pt idx="201">
                  <v>111.8803678909966</v>
                </pt>
                <pt idx="202">
                  <v>113.3225130179099</v>
                </pt>
                <pt idx="203">
                  <v>114.7097112329805</v>
                </pt>
                <pt idx="204">
                  <v>113.9243930482293</v>
                </pt>
                <pt idx="205">
                  <v>113.3165956587712</v>
                </pt>
                <pt idx="206">
                  <v>114.7054845475192</v>
                </pt>
                <pt idx="207">
                  <v>112.5710083185399</v>
                </pt>
                <pt idx="208">
                  <v>115.2109961452627</v>
                </pt>
                <pt idx="209">
                  <v>115.1036383308255</v>
                </pt>
                <pt idx="210">
                  <v>113.0367890717635</v>
                </pt>
                <pt idx="211">
                  <v>113.1652803135074</v>
                </pt>
                <pt idx="212">
                  <v>113.5955569085176</v>
                </pt>
                <pt idx="213">
                  <v>113.8094271992854</v>
                </pt>
                <pt idx="214">
                  <v>112.9598633936622</v>
                </pt>
                <pt idx="215">
                  <v>112.7400757420651</v>
                </pt>
                <pt idx="216">
                  <v>113.0951173326514</v>
                </pt>
                <pt idx="217">
                  <v>113.0004395754435</v>
                </pt>
                <pt idx="218">
                  <v>110.9386623382588</v>
                </pt>
                <pt idx="219">
                  <v>111.6233854058182</v>
                </pt>
                <pt idx="220">
                  <v>108.7636099274983</v>
                </pt>
                <pt idx="221">
                  <v>105.3357679042402</v>
                </pt>
                <pt idx="222">
                  <v>106.916548319188</v>
                </pt>
                <pt idx="223">
                  <v>104.0956583489721</v>
                </pt>
                <pt idx="224">
                  <v>103.5757760194766</v>
                </pt>
                <pt idx="225">
                  <v>97.39889768053582</v>
                </pt>
                <pt idx="226">
                  <v>95.05900453086608</v>
                </pt>
                <pt idx="227">
                  <v>90.10532900534817</v>
                </pt>
                <pt idx="228">
                  <v>89.28197064975429</v>
                </pt>
                <pt idx="229">
                  <v>89.02667883994386</v>
                </pt>
                <pt idx="230">
                  <v>86.70115642118076</v>
                </pt>
                <pt idx="231">
                  <v>87.44674376141205</v>
                </pt>
                <pt idx="232">
                  <v>86.88713058739658</v>
                </pt>
                <pt idx="233">
                  <v>87.7087982684678</v>
                </pt>
                <pt idx="234">
                  <v>88.54314600676832</v>
                </pt>
                <pt idx="235">
                  <v>88.93284641915196</v>
                </pt>
                <pt idx="236">
                  <v>89.82383174381776</v>
                </pt>
                <pt idx="237">
                  <v>89.58967336215933</v>
                </pt>
                <pt idx="238">
                  <v>89.21857036614368</v>
                </pt>
                <pt idx="239">
                  <v>88.72827483572281</v>
                </pt>
                <pt idx="240">
                  <v>87.95817271913955</v>
                </pt>
                <pt idx="241">
                  <v>87.96155406818488</v>
                </pt>
                <pt idx="242">
                  <v>89.89737607371903</v>
                </pt>
                <pt idx="243">
                  <v>90.2033881116014</v>
                </pt>
                <pt idx="244">
                  <v>89.79931696746578</v>
                </pt>
                <pt idx="245">
                  <v>89.87624264556705</v>
                </pt>
                <pt idx="246">
                  <v>88.86268343829602</v>
                </pt>
                <pt idx="247">
                  <v>88.10103469263542</v>
                </pt>
                <pt idx="248">
                  <v>88.63866910123757</v>
                </pt>
                <pt idx="249">
                  <v>89.18222086982371</v>
                </pt>
                <pt idx="250">
                  <v>91.31838777332567</v>
                </pt>
                <pt idx="251">
                  <v>89.06979103266383</v>
                </pt>
                <pt idx="252">
                  <v>89.47977953593809</v>
                </pt>
                <pt idx="253">
                  <v>89.84158382376975</v>
                </pt>
                <pt idx="254">
                  <v>89.11205788896778</v>
                </pt>
                <pt idx="255">
                  <v>88.69023466572551</v>
                </pt>
                <pt idx="256">
                  <v>87.96239940460089</v>
                </pt>
                <pt idx="257">
                  <v>88.29799824155789</v>
                </pt>
                <pt idx="258">
                  <v>88.48481774503506</v>
                </pt>
                <pt idx="259">
                  <v>88.40535605599513</v>
                </pt>
                <pt idx="260">
                  <v>87.20244133346296</v>
                </pt>
                <pt idx="261">
                  <v>85.93189964185883</v>
                </pt>
                <pt idx="262">
                  <v>85.47288158503527</v>
                </pt>
                <pt idx="263">
                  <v>86.48475011862897</v>
                </pt>
                <pt idx="264">
                  <v>85.11783999444894</v>
                </pt>
                <pt idx="265">
                  <v>84.08314735902594</v>
                </pt>
                <pt idx="266">
                  <v>82.77202948564053</v>
                </pt>
                <pt idx="267">
                  <v>82.1101305199105</v>
                </pt>
                <pt idx="268">
                  <v>82.52603638316877</v>
                </pt>
                <pt idx="269">
                  <v>82.57929262217939</v>
                </pt>
                <pt idx="270">
                  <v>81.95796983823065</v>
                </pt>
                <pt idx="271">
                  <v>83.58017177222109</v>
                </pt>
                <pt idx="272">
                  <v>80.94863731642096</v>
                </pt>
                <pt idx="273">
                  <v>81.35778048327923</v>
                </pt>
                <pt idx="274">
                  <v>79.4354838713904</v>
                </pt>
                <pt idx="275">
                  <v>79.76854669656342</v>
                </pt>
                <pt idx="276">
                  <v>80.42621897598679</v>
                </pt>
                <pt idx="277">
                  <v>79.97734496545388</v>
                </pt>
                <pt idx="278">
                  <v>80.65023331304523</v>
                </pt>
                <pt idx="279">
                  <v>79.78291742747007</v>
                </pt>
                <pt idx="280">
                  <v>80.25799688887761</v>
                </pt>
                <pt idx="281">
                  <v>81.00442956637022</v>
                </pt>
                <pt idx="282">
                  <v>81.01372827455421</v>
                </pt>
                <pt idx="283">
                  <v>81.70014201663622</v>
                </pt>
                <pt idx="284">
                  <v>81.43217014959649</v>
                </pt>
                <pt idx="285">
                  <v>80.81253804017041</v>
                </pt>
                <pt idx="286">
                  <v>81.51585852409774</v>
                </pt>
                <pt idx="287">
                  <v>81.72381145572687</v>
                </pt>
                <pt idx="288">
                  <v>81.61814431581232</v>
                </pt>
                <pt idx="289">
                  <v>82.09491445174251</v>
                </pt>
                <pt idx="290">
                  <v>81.55897071766303</v>
                </pt>
                <pt idx="291">
                  <v>82.4355853114222</v>
                </pt>
                <pt idx="292">
                  <v>82.10590383444918</v>
                </pt>
                <pt idx="293">
                  <v>81.69506999391356</v>
                </pt>
                <pt idx="294">
                  <v>81.61560830487365</v>
                </pt>
                <pt idx="295">
                  <v>82.01460742544126</v>
                </pt>
                <pt idx="296">
                  <v>82.2191790088704</v>
                </pt>
                <pt idx="297">
                  <v>81.84300399013209</v>
                </pt>
                <pt idx="298">
                  <v>81.50994116495909</v>
                </pt>
                <pt idx="299">
                  <v>81.70267802842024</v>
                </pt>
                <pt idx="300">
                  <v>81.8742814637294</v>
                </pt>
                <pt idx="301">
                  <v>82.93687022370437</v>
                </pt>
                <pt idx="302">
                  <v>83.54973963588512</v>
                </pt>
                <pt idx="303">
                  <v>84.32744978697504</v>
                </pt>
                <pt idx="304">
                  <v>85.32156624061676</v>
                </pt>
                <pt idx="305">
                  <v>85.4830256304806</v>
                </pt>
                <pt idx="306">
                  <v>86.28271454698384</v>
                </pt>
                <pt idx="307">
                  <v>84.35365523784968</v>
                </pt>
                <pt idx="308">
                  <v>85.53459119496854</v>
                </pt>
                <pt idx="309">
                  <v>85.00879150633439</v>
                </pt>
                <pt idx="310">
                  <v>84.94454588461711</v>
                </pt>
                <pt idx="311">
                  <v>84.7873131802146</v>
                </pt>
                <pt idx="312">
                  <v>86.09251369446135</v>
                </pt>
                <pt idx="313">
                  <v>85.758605532027</v>
                </pt>
                <pt idx="314">
                  <v>86.5270169740876</v>
                </pt>
                <pt idx="315">
                  <v>86.69185771299676</v>
                </pt>
                <pt idx="316">
                  <v>84.82958003651856</v>
                </pt>
                <pt idx="317">
                  <v>85.0916345435743</v>
                </pt>
                <pt idx="318">
                  <v>85.21082707797953</v>
                </pt>
                <pt idx="319">
                  <v>86.34442415607177</v>
                </pt>
                <pt idx="320">
                  <v>86.14238858442663</v>
                </pt>
                <pt idx="321">
                  <v>86.37147494420775</v>
                </pt>
                <pt idx="322">
                  <v>87.25654290973489</v>
                </pt>
                <pt idx="323">
                  <v>87.28443903428686</v>
                </pt>
                <pt idx="324">
                  <v>88.1128694126034</v>
                </pt>
                <pt idx="325">
                  <v>87.48140258320936</v>
                </pt>
                <pt idx="326">
                  <v>87.31487117062284</v>
                </pt>
                <pt idx="327">
                  <v>87.32416987880683</v>
                </pt>
                <pt idx="328">
                  <v>88.32589436695521</v>
                </pt>
                <pt idx="329">
                  <v>88.33096638967785</v>
                </pt>
                <pt idx="330">
                  <v>88.11202407534208</v>
                </pt>
                <pt idx="331">
                  <v>88.45523094596041</v>
                </pt>
                <pt idx="332">
                  <v>89.03259619908252</v>
                </pt>
                <pt idx="333">
                  <v>89.94725096368431</v>
                </pt>
                <pt idx="334">
                  <v>90.97095421640066</v>
                </pt>
                <pt idx="335">
                  <v>92.47734496503122</v>
                </pt>
                <pt idx="336">
                  <v>89.06640968446384</v>
                </pt>
                <pt idx="337">
                  <v>90.07658754353486</v>
                </pt>
                <pt idx="338">
                  <v>91.05717860268591</v>
                </pt>
                <pt idx="339">
                  <v>89.02076147995987</v>
                </pt>
                <pt idx="340">
                  <v>89.32423750605824</v>
                </pt>
                <pt idx="341">
                  <v>88.36477987421384</v>
                </pt>
                <pt idx="342">
                  <v>88.44424156325375</v>
                </pt>
                <pt idx="343">
                  <v>89.11290322622911</v>
                </pt>
                <pt idx="344">
                  <v>89.01991614269853</v>
                </pt>
                <pt idx="345">
                  <v>89.80861567564978</v>
                </pt>
                <pt idx="346">
                  <v>88.41127341597911</v>
                </pt>
                <pt idx="347">
                  <v>88.14668289713937</v>
                </pt>
                <pt idx="348">
                  <v>90.75032122838755</v>
                </pt>
                <pt idx="349">
                  <v>90.14167850166812</v>
                </pt>
                <pt idx="350">
                  <v>89.87117062284439</v>
                </pt>
                <pt idx="351">
                  <v>90.0377020354309</v>
                </pt>
                <pt idx="352">
                  <v>90.26425238427333</v>
                </pt>
                <pt idx="353">
                  <v>89.66321769121525</v>
                </pt>
                <pt idx="354">
                  <v>89.00300940000788</v>
                </pt>
                <pt idx="355">
                  <v>89.64800162304726</v>
                </pt>
                <pt idx="356">
                  <v>89.21265300615968</v>
                </pt>
                <pt idx="357">
                  <v>88.92946507095196</v>
                </pt>
                <pt idx="358">
                  <v>89.74183404383918</v>
                </pt>
                <pt idx="359">
                  <v>88.7688510175041</v>
                </pt>
                <pt idx="360">
                  <v>89.30648542610626</v>
                </pt>
                <pt idx="361">
                  <v>89.09937783173845</v>
                </pt>
                <pt idx="362">
                  <v>77.32974910422443</v>
                </pt>
                <pt idx="363">
                  <v>59.32660444971371</v>
                </pt>
                <pt idx="364">
                  <v>68.56106715400351</v>
                </pt>
                <pt idx="365">
                  <v>76.23419219612947</v>
                </pt>
                <pt idx="366">
                  <v>82.25214715614504</v>
                </pt>
                <pt idx="367">
                  <v>84.68164604030002</v>
                </pt>
                <pt idx="368">
                  <v>86.18296476620793</v>
                </pt>
                <pt idx="369">
                  <v>87.32332454154549</v>
                </pt>
                <pt idx="370">
                  <v>86.35964022423975</v>
                </pt>
                <pt idx="371">
                  <v>87.44420775047338</v>
                </pt>
                <pt idx="372">
                  <v>87.24639886428957</v>
                </pt>
                <pt idx="373">
                  <v>87.13227835260702</v>
                </pt>
                <pt idx="374">
                  <v>88.05115980267013</v>
                </pt>
                <pt idx="375">
                  <v>87.76036383295575</v>
                </pt>
                <pt idx="376">
                  <v>86.17282072076262</v>
                </pt>
                <pt idx="377">
                  <v>85.01809021451838</v>
                </pt>
                <pt idx="378">
                  <v>85.36975045690471</v>
                </pt>
                <pt idx="379">
                  <v>85.71718401298438</v>
                </pt>
                <pt idx="380">
                  <v>86.86007980010595</v>
                </pt>
                <pt idx="381">
                  <v>87.21089470523094</v>
                </pt>
                <pt idx="382">
                  <v>89.15686075621041</v>
                </pt>
                <pt idx="383">
                  <v>89.09853249447713</v>
                </pt>
                <pt idx="384">
                  <v>88.81788057105339</v>
                </pt>
                <pt idx="385">
                  <v>89.78410089929781</v>
                </pt>
                <pt idx="386">
                  <v>87.95056468547824</v>
                </pt>
                <pt idx="387">
                  <v>89.97683776275895</v>
                </pt>
                <pt idx="388">
                  <v>89.92189085007101</v>
                </pt>
                <pt idx="389">
                  <v>90.93206870914204</v>
                </pt>
                <pt idx="390">
                  <v>89.90075742191902</v>
                </pt>
                <pt idx="391">
                  <v>90.18479069438808</v>
                </pt>
                <pt idx="392">
                  <v>89.95401366092965</v>
                </pt>
              </numCache>
            </numRef>
          </val>
          <smooth val="0"/>
        </ser>
        <ser>
          <idx val="9"/>
          <order val="4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World'!$L$2:$L$406</f>
              <numCache>
                <formatCode>0.00</formatCode>
                <ptCount val="405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</numCache>
            </numRef>
          </val>
          <smooth val="0"/>
        </ser>
        <ser>
          <idx val="10"/>
          <order val="5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117.2375690606791</v>
                </pt>
                <pt idx="391">
                  <v>115.580110497753</v>
                </pt>
                <pt idx="392">
                  <v>115.9116022103382</v>
                </pt>
              </numCache>
            </numRef>
          </val>
          <smooth val="0"/>
        </ser>
        <ser>
          <idx val="11"/>
          <order val="6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World'!$O$2:$O$406</f>
              <numCache>
                <formatCode>0.00</formatCode>
                <ptCount val="405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119.0471397268176</v>
                </pt>
                <pt idx="390">
                  <v>119.8255194167017</v>
                </pt>
                <pt idx="391">
                  <v>119.7073612653016</v>
                </pt>
                <pt idx="392">
                  <v>119.8796228091251</v>
                </pt>
              </numCache>
            </numRef>
          </val>
          <smooth val="0"/>
        </ser>
        <ser>
          <idx val="12"/>
          <order val="7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World'!$A$2:$A$406</f>
              <numCache>
                <formatCode>mmm\-yy</formatCode>
                <ptCount val="405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Industrial Production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9"/>
          <order val="0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World'!$L$2:$L$401</f>
              <numCache>
                <formatCode>0.00</formatCode>
                <ptCount val="400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</numCache>
            </numRef>
          </val>
          <smooth val="0"/>
        </ser>
        <ser>
          <idx val="10"/>
          <order val="1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World'!$A$2:$A$401</f>
              <numCache>
                <formatCode>mmm\-yy</formatCode>
                <ptCount val="400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World'!$O$2:$O$401</f>
              <numCache>
                <formatCode>0.00</formatCode>
                <ptCount val="400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119.0471397268176</v>
                </pt>
                <pt idx="390">
                  <v>119.8255194167017</v>
                </pt>
                <pt idx="391">
                  <v>119.7073612653016</v>
                </pt>
                <pt idx="392">
                  <v>119.8796228091251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Industrial Production - base January</a:t>
            </a:r>
            <a:r>
              <a:rPr lang="en-GB" b="1" baseline="0"/>
              <a:t xml:space="preserve"> 1999</a:t>
            </a:r>
            <a:r>
              <a:rPr lang="en-GB" b="1"/>
              <a:t xml:space="preserve"> 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7"/>
          <order val="0"/>
          <tx>
            <strRef>
              <f>'IP World'!$J$1</f>
              <strCache>
                <ptCount val="1"/>
                <pt idx="0">
                  <v>Germany</v>
                </pt>
              </strCache>
            </strRef>
          </tx>
          <spPr>
            <a:ln xmlns:a="http://schemas.openxmlformats.org/drawingml/2006/main" w="28575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World'!$J$2:$J$395</f>
              <numCache>
                <formatCode>0.00</formatCode>
                <ptCount val="394"/>
                <pt idx="0">
                  <v>94.38974614655902</v>
                </pt>
                <pt idx="1">
                  <v>93.97935594566742</v>
                </pt>
                <pt idx="2">
                  <v>94.88221438736296</v>
                </pt>
                <pt idx="3">
                  <v>93.2406535851263</v>
                </pt>
                <pt idx="4">
                  <v>95.62091674790409</v>
                </pt>
                <pt idx="5">
                  <v>95.62091674790409</v>
                </pt>
                <pt idx="6">
                  <v>96.52377518959963</v>
                </pt>
                <pt idx="7">
                  <v>97.09832147031598</v>
                </pt>
                <pt idx="8">
                  <v>98.00117991201154</v>
                </pt>
                <pt idx="9">
                  <v>98.1653359918363</v>
                </pt>
                <pt idx="10">
                  <v>98.1653359918363</v>
                </pt>
                <pt idx="11">
                  <v>98.5757261927279</v>
                </pt>
                <pt idx="12">
                  <v>101.5957446804055</v>
                </pt>
                <pt idx="13">
                  <v>100.3989361701014</v>
                </pt>
                <pt idx="14">
                  <v>99.73404255326575</v>
                </pt>
                <pt idx="15">
                  <v>98.93617021306301</v>
                </pt>
                <pt idx="16">
                  <v>97.34042553132787</v>
                </pt>
                <pt idx="17">
                  <v>101.5957446804055</v>
                </pt>
                <pt idx="18">
                  <v>98.67021276632876</v>
                </pt>
                <pt idx="19">
                  <v>97.0744680845936</v>
                </pt>
                <pt idx="20">
                  <v>96.80851063785936</v>
                </pt>
                <pt idx="21">
                  <v>98.27127659622739</v>
                </pt>
                <pt idx="22">
                  <v>99.33510638316439</v>
                </pt>
                <pt idx="23">
                  <v>99.4680851065315</v>
                </pt>
                <pt idx="24">
                  <v>100.6648936168356</v>
                </pt>
                <pt idx="25">
                  <v>102.3936170206082</v>
                </pt>
                <pt idx="26">
                  <v>99.4680851065315</v>
                </pt>
                <pt idx="27">
                  <v>99.33510638316439</v>
                </pt>
                <pt idx="28">
                  <v>98.67021276632876</v>
                </pt>
                <pt idx="29">
                  <v>97.0744680845936</v>
                </pt>
                <pt idx="30">
                  <v>95.345744680821</v>
                </pt>
                <pt idx="31">
                  <v>95.61170212755526</v>
                </pt>
                <pt idx="32">
                  <v>94.8138297873525</v>
                </pt>
                <pt idx="33">
                  <v>94.68085106398539</v>
                </pt>
                <pt idx="34">
                  <v>93.21808510694703</v>
                </pt>
                <pt idx="35">
                  <v>91.62234042521187</v>
                </pt>
                <pt idx="36">
                  <v>90.5585106382749</v>
                </pt>
                <pt idx="37">
                  <v>89.22872340460366</v>
                </pt>
                <pt idx="38">
                  <v>89.36170212797077</v>
                </pt>
                <pt idx="39">
                  <v>88.69680851113515</v>
                </pt>
                <pt idx="40">
                  <v>88.69680851113515</v>
                </pt>
                <pt idx="41">
                  <v>88.03191489296987</v>
                </pt>
                <pt idx="42">
                  <v>86.03723404246301</v>
                </pt>
                <pt idx="43">
                  <v>89.76063829807214</v>
                </pt>
                <pt idx="44">
                  <v>89.36170212797077</v>
                </pt>
                <pt idx="45">
                  <v>89.36170212797077</v>
                </pt>
                <pt idx="46">
                  <v>88.56382978776803</v>
                </pt>
                <pt idx="47">
                  <v>89.62765957470502</v>
                </pt>
                <pt idx="48">
                  <v>89.22872340460366</v>
                </pt>
                <pt idx="49">
                  <v>90.5585106382749</v>
                </pt>
                <pt idx="50">
                  <v>90.15957446817352</v>
                </pt>
                <pt idx="51">
                  <v>91.22340425511051</v>
                </pt>
                <pt idx="52">
                  <v>90.82446808500913</v>
                </pt>
                <pt idx="53">
                  <v>91.48936170184474</v>
                </pt>
                <pt idx="54">
                  <v>91.09042553174338</v>
                </pt>
                <pt idx="55">
                  <v>91.09042553174338</v>
                </pt>
                <pt idx="56">
                  <v>92.42021276541462</v>
                </pt>
                <pt idx="57">
                  <v>94.1489361705169</v>
                </pt>
                <pt idx="58">
                  <v>94.68085106398539</v>
                </pt>
                <pt idx="59">
                  <v>94.68085106398539</v>
                </pt>
                <pt idx="60">
                  <v>92.81914893551598</v>
                </pt>
                <pt idx="61">
                  <v>94.1489361705169</v>
                </pt>
                <pt idx="62">
                  <v>93.08510638225023</v>
                </pt>
                <pt idx="63">
                  <v>93.61702127704839</v>
                </pt>
                <pt idx="64">
                  <v>94.1489361705169</v>
                </pt>
                <pt idx="65">
                  <v>93.08510638225023</v>
                </pt>
                <pt idx="66">
                  <v>92.81914893551598</v>
                </pt>
                <pt idx="67">
                  <v>91.75531914857899</v>
                </pt>
                <pt idx="68">
                  <v>93.61702127704839</v>
                </pt>
                <pt idx="69">
                  <v>91.22340425511051</v>
                </pt>
                <pt idx="70">
                  <v>91.75531914857899</v>
                </pt>
                <pt idx="71">
                  <v>91.75531914857899</v>
                </pt>
                <pt idx="72">
                  <v>92.15425531868036</v>
                </pt>
                <pt idx="73">
                  <v>91.35638297847763</v>
                </pt>
                <pt idx="74">
                  <v>91.48936170184474</v>
                </pt>
                <pt idx="75">
                  <v>91.48936170184474</v>
                </pt>
                <pt idx="76">
                  <v>92.2872340420475</v>
                </pt>
                <pt idx="77">
                  <v>92.81914893551598</v>
                </pt>
                <pt idx="78">
                  <v>91.75531914857899</v>
                </pt>
                <pt idx="79">
                  <v>92.9521276588831</v>
                </pt>
                <pt idx="80">
                  <v>93.75000000041551</v>
                </pt>
                <pt idx="81">
                  <v>92.42021276541462</v>
                </pt>
                <pt idx="82">
                  <v>93.75000000041551</v>
                </pt>
                <pt idx="83">
                  <v>93.75000000041551</v>
                </pt>
                <pt idx="84">
                  <v>92.55319148878174</v>
                </pt>
                <pt idx="85">
                  <v>93.88297872378264</v>
                </pt>
                <pt idx="86">
                  <v>94.94680851071963</v>
                </pt>
                <pt idx="87">
                  <v>94.54787234061827</v>
                </pt>
                <pt idx="88">
                  <v>93.35106383031415</v>
                </pt>
                <pt idx="89">
                  <v>97.0744680845936</v>
                </pt>
                <pt idx="90">
                  <v>98.13829787286028</v>
                </pt>
                <pt idx="91">
                  <v>94.94680851071963</v>
                </pt>
                <pt idx="92">
                  <v>95.74468085092236</v>
                </pt>
                <pt idx="93">
                  <v>97.0744680845936</v>
                </pt>
                <pt idx="94">
                  <v>97.6063829780621</v>
                </pt>
                <pt idx="95">
                  <v>98.53723404296164</v>
                </pt>
                <pt idx="96">
                  <v>99.60106382989864</v>
                </pt>
                <pt idx="97">
                  <v>99.33510638316439</v>
                </pt>
                <pt idx="98">
                  <v>100.6648936168356</v>
                </pt>
                <pt idx="99">
                  <v>99.73404255326575</v>
                </pt>
                <pt idx="100">
                  <v>100.2659574467342</v>
                </pt>
                <pt idx="101">
                  <v>99.4680851065315</v>
                </pt>
                <pt idx="102">
                  <v>101.5957446804055</v>
                </pt>
                <pt idx="103">
                  <v>99.33510638316439</v>
                </pt>
                <pt idx="104">
                  <v>98.67021276632876</v>
                </pt>
                <pt idx="105">
                  <v>99.33510638316439</v>
                </pt>
                <pt idx="106">
                  <v>98.00531914949315</v>
                </pt>
                <pt idx="107">
                  <v>98.40425531959451</v>
                </pt>
                <pt idx="108">
                  <v>100</v>
                </pt>
                <pt idx="109">
                  <v>98.13829787286028</v>
                </pt>
                <pt idx="110">
                  <v>98.80319148969588</v>
                </pt>
                <pt idx="111">
                  <v>99.4680851065315</v>
                </pt>
                <pt idx="112">
                  <v>100.1329787233671</v>
                </pt>
                <pt idx="113">
                  <v>100.1329787233671</v>
                </pt>
                <pt idx="114">
                  <v>100.9308510635699</v>
                </pt>
                <pt idx="115">
                  <v>101.8617021271397</v>
                </pt>
                <pt idx="116">
                  <v>101.4627659570384</v>
                </pt>
                <pt idx="117">
                  <v>102.5265957439753</v>
                </pt>
                <pt idx="118">
                  <v>102.3936170206082</v>
                </pt>
                <pt idx="119">
                  <v>102.5265957439753</v>
                </pt>
                <pt idx="120">
                  <v>101.7287234037726</v>
                </pt>
                <pt idx="121">
                  <v>104.2553191490776</v>
                </pt>
                <pt idx="122">
                  <v>104.3882978724447</v>
                </pt>
                <pt idx="123">
                  <v>105.718085106116</v>
                </pt>
                <pt idx="124">
                  <v>108.244680851421</v>
                </pt>
                <pt idx="125">
                  <v>105.8510638294831</v>
                </pt>
                <pt idx="126">
                  <v>107.5797872345854</v>
                </pt>
                <pt idx="127">
                  <v>108.6436170215224</v>
                </pt>
                <pt idx="128">
                  <v>108.7765957448895</v>
                </pt>
                <pt idx="129">
                  <v>108.3776595747881</v>
                </pt>
                <pt idx="130">
                  <v>109.308510638358</v>
                </pt>
                <pt idx="131">
                  <v>109.9734042551936</v>
                </pt>
                <pt idx="132">
                  <v>109.7074468084594</v>
                </pt>
                <pt idx="133">
                  <v>110.9042553187635</v>
                </pt>
                <pt idx="134">
                  <v>109.0425531916237</v>
                </pt>
                <pt idx="135">
                  <v>107.1808510631543</v>
                </pt>
                <pt idx="136">
                  <v>108.3776595747881</v>
                </pt>
                <pt idx="137">
                  <v>108.9095744682566</v>
                </pt>
                <pt idx="138">
                  <v>105.5851063827488</v>
                </pt>
                <pt idx="139">
                  <v>108.5106382981552</v>
                </pt>
                <pt idx="140">
                  <v>107.0478723397872</v>
                </pt>
                <pt idx="141">
                  <v>105.1861702126475</v>
                </pt>
                <pt idx="142">
                  <v>103.8563829789763</v>
                </pt>
                <pt idx="143">
                  <v>104.5212765958119</v>
                </pt>
                <pt idx="144">
                  <v>105.0531914892804</v>
                </pt>
                <pt idx="145">
                  <v>105.3191489360146</v>
                </pt>
                <pt idx="146">
                  <v>105.5851063827488</v>
                </pt>
                <pt idx="147">
                  <v>105.718085106116</v>
                </pt>
                <pt idx="148">
                  <v>104.654255319179</v>
                </pt>
                <pt idx="149">
                  <v>107.5797872345854</v>
                </pt>
                <pt idx="150">
                  <v>105.5851063827488</v>
                </pt>
                <pt idx="151">
                  <v>108.1117021280539</v>
                </pt>
                <pt idx="152">
                  <v>106.6489361696858</v>
                </pt>
                <pt idx="153">
                  <v>105.8510638294831</v>
                </pt>
                <pt idx="154">
                  <v>107.7127659579525</v>
                </pt>
                <pt idx="155">
                  <v>105.8510638294831</v>
                </pt>
                <pt idx="156">
                  <v>106.6489361696858</v>
                </pt>
                <pt idx="157">
                  <v>106.6489361696858</v>
                </pt>
                <pt idx="158">
                  <v>106.3829787229516</v>
                </pt>
                <pt idx="159">
                  <v>106.1170212762174</v>
                </pt>
                <pt idx="160">
                  <v>105.1861702126475</v>
                </pt>
                <pt idx="161">
                  <v>104.654255319179</v>
                </pt>
                <pt idx="162">
                  <v>107.1808510631543</v>
                </pt>
                <pt idx="163">
                  <v>104.5212765958119</v>
                </pt>
                <pt idx="164">
                  <v>104.2553191490776</v>
                </pt>
                <pt idx="165">
                  <v>107.4468085098886</v>
                </pt>
                <pt idx="166">
                  <v>108.5106382981552</v>
                </pt>
                <pt idx="167">
                  <v>109.0425531916237</v>
                </pt>
                <pt idx="168">
                  <v>108.1117021280539</v>
                </pt>
                <pt idx="169">
                  <v>108.6436170215224</v>
                </pt>
                <pt idx="170">
                  <v>107.9787234046868</v>
                </pt>
                <pt idx="171">
                  <v>109.5744680850922</v>
                </pt>
                <pt idx="172">
                  <v>110.7712765953963</v>
                </pt>
                <pt idx="173">
                  <v>109.9734042551936</v>
                </pt>
                <pt idx="174">
                  <v>111.3031914888648</v>
                </pt>
                <pt idx="175">
                  <v>110.2393617019278</v>
                </pt>
                <pt idx="176">
                  <v>109.9734042551936</v>
                </pt>
                <pt idx="177">
                  <v>111.3031914888648</v>
                </pt>
                <pt idx="178">
                  <v>109.4414893617251</v>
                </pt>
                <pt idx="179">
                  <v>108.9095744682566</v>
                </pt>
                <pt idx="180">
                  <v>112.2340425524347</v>
                </pt>
                <pt idx="181">
                  <v>110.5053191486621</v>
                </pt>
                <pt idx="182">
                  <v>111.9680851057005</v>
                </pt>
                <pt idx="183">
                  <v>112.7659574472329</v>
                </pt>
                <pt idx="184">
                  <v>111.3031914888648</v>
                </pt>
                <pt idx="185">
                  <v>113.6968085108027</v>
                </pt>
                <pt idx="186">
                  <v>115.4255319145753</v>
                </pt>
                <pt idx="187">
                  <v>112.1010638290676</v>
                </pt>
                <pt idx="188">
                  <v>115.2925531912082</v>
                </pt>
                <pt idx="189">
                  <v>117.553191489779</v>
                </pt>
                <pt idx="190">
                  <v>116.2234042547781</v>
                </pt>
                <pt idx="191">
                  <v>115.9574468080438</v>
                </pt>
                <pt idx="192">
                  <v>116.6223404248794</v>
                </pt>
                <pt idx="193">
                  <v>117.2872340430447</v>
                </pt>
                <pt idx="194">
                  <v>116.2234042547781</v>
                </pt>
                <pt idx="195">
                  <v>118.8829787234502</v>
                </pt>
                <pt idx="196">
                  <v>120.6117021272228</v>
                </pt>
                <pt idx="197">
                  <v>119.9468085103872</v>
                </pt>
                <pt idx="198">
                  <v>122.0744680855909</v>
                </pt>
                <pt idx="199">
                  <v>122.8723404257936</v>
                </pt>
                <pt idx="200">
                  <v>122.7393617024265</v>
                </pt>
                <pt idx="201">
                  <v>122.4734042556922</v>
                </pt>
                <pt idx="202">
                  <v>124.6010638295662</v>
                </pt>
                <pt idx="203">
                  <v>125.7978723398703</v>
                </pt>
                <pt idx="204">
                  <v>126.4627659567059</v>
                </pt>
                <pt idx="205">
                  <v>126.9946808515041</v>
                </pt>
                <pt idx="206">
                  <v>127.6595744683397</v>
                </pt>
                <pt idx="207">
                  <v>126.4627659567059</v>
                </pt>
                <pt idx="208">
                  <v>128.7234042552767</v>
                </pt>
                <pt idx="209">
                  <v>128.5904255319096</v>
                </pt>
                <pt idx="210">
                  <v>129.5212765954794</v>
                </pt>
                <pt idx="211">
                  <v>129.9202127655808</v>
                </pt>
                <pt idx="212">
                  <v>131.2499999992521</v>
                </pt>
                <pt idx="213">
                  <v>131.3829787239489</v>
                </pt>
                <pt idx="214">
                  <v>131.1170212758849</v>
                </pt>
                <pt idx="215">
                  <v>132.4468085108858</v>
                </pt>
                <pt idx="216">
                  <v>134.4414893613927</v>
                </pt>
                <pt idx="217">
                  <v>134.0425531912913</v>
                </pt>
                <pt idx="218">
                  <v>133.1117021277215</v>
                </pt>
                <pt idx="219">
                  <v>133.3776595744557</v>
                </pt>
                <pt idx="220">
                  <v>130.7180851057836</v>
                </pt>
                <pt idx="221">
                  <v>132.1808510641516</v>
                </pt>
                <pt idx="222">
                  <v>129.9202127655808</v>
                </pt>
                <pt idx="223">
                  <v>132.579787234253</v>
                </pt>
                <pt idx="224">
                  <v>129.5212765954794</v>
                </pt>
                <pt idx="225">
                  <v>126.7287234047699</v>
                </pt>
                <pt idx="226">
                  <v>121.1436170206913</v>
                </pt>
                <pt idx="227">
                  <v>116.6223404248794</v>
                </pt>
                <pt idx="228">
                  <v>107.3138297865215</v>
                </pt>
                <pt idx="229">
                  <v>103.9893617023434</v>
                </pt>
                <pt idx="230">
                  <v>104.3882978724447</v>
                </pt>
                <pt idx="231">
                  <v>101.3297872336712</v>
                </pt>
                <pt idx="232">
                  <v>105.9840425528502</v>
                </pt>
                <pt idx="233">
                  <v>106.781914893053</v>
                </pt>
                <pt idx="234">
                  <v>105.718085106116</v>
                </pt>
                <pt idx="235">
                  <v>107.0478723397872</v>
                </pt>
                <pt idx="236">
                  <v>111.8351063823333</v>
                </pt>
                <pt idx="237">
                  <v>109.4414893617251</v>
                </pt>
                <pt idx="238">
                  <v>110.7712765953963</v>
                </pt>
                <pt idx="239">
                  <v>110.7712765953963</v>
                </pt>
                <pt idx="240">
                  <v>111.8351063823333</v>
                </pt>
                <pt idx="241">
                  <v>110.7712765953963</v>
                </pt>
                <pt idx="242">
                  <v>114.4946808510055</v>
                </pt>
                <pt idx="243">
                  <v>116.6223404248794</v>
                </pt>
                <pt idx="244">
                  <v>120.2127659571215</v>
                </pt>
                <pt idx="245">
                  <v>119.8138297870201</v>
                </pt>
                <pt idx="246">
                  <v>119.0159574468174</v>
                </pt>
                <pt idx="247">
                  <v>121.0106382973242</v>
                </pt>
                <pt idx="248">
                  <v>122.8723404257936</v>
                </pt>
                <pt idx="249">
                  <v>125.5319148931361</v>
                </pt>
                <pt idx="250">
                  <v>124.8670212763004</v>
                </pt>
                <pt idx="251">
                  <v>126.861702128137</v>
                </pt>
                <pt idx="252">
                  <v>126.5957446800731</v>
                </pt>
                <pt idx="253">
                  <v>128.0585106384411</v>
                </pt>
                <pt idx="254">
                  <v>128.8563829786438</v>
                </pt>
                <pt idx="255">
                  <v>129.6542553188466</v>
                </pt>
                <pt idx="256">
                  <v>131.2499999992521</v>
                </pt>
                <pt idx="257">
                  <v>129.1223404253781</v>
                </pt>
                <pt idx="258">
                  <v>133.1117021277215</v>
                </pt>
                <pt idx="259">
                  <v>132.0478723407845</v>
                </pt>
                <pt idx="260">
                  <v>130.0531914889479</v>
                </pt>
                <pt idx="261">
                  <v>131.515957447316</v>
                </pt>
                <pt idx="262">
                  <v>130.5851063824164</v>
                </pt>
                <pt idx="263">
                  <v>128.7234042552767</v>
                </pt>
                <pt idx="264">
                  <v>129.3882978721123</v>
                </pt>
                <pt idx="265">
                  <v>129.2553191487452</v>
                </pt>
                <pt idx="266">
                  <v>130.8510638291507</v>
                </pt>
                <pt idx="267">
                  <v>128.4574468085425</v>
                </pt>
                <pt idx="268">
                  <v>130.9840425525178</v>
                </pt>
                <pt idx="269">
                  <v>129.3882978721123</v>
                </pt>
                <pt idx="270">
                  <v>130.8510638291507</v>
                </pt>
                <pt idx="271">
                  <v>130.8510638291507</v>
                </pt>
                <pt idx="272">
                  <v>129.1223404253781</v>
                </pt>
                <pt idx="273">
                  <v>127.3936170216055</v>
                </pt>
                <pt idx="274">
                  <v>126.4627659567059</v>
                </pt>
                <pt idx="275">
                  <v>127.5265957449726</v>
                </pt>
                <pt idx="276">
                  <v>125.9308510632374</v>
                </pt>
                <pt idx="277">
                  <v>126.9946808515041</v>
                </pt>
                <pt idx="278">
                  <v>128.7234042552767</v>
                </pt>
                <pt idx="279">
                  <v>129.1223404253781</v>
                </pt>
                <pt idx="280">
                  <v>128.3244680851753</v>
                </pt>
                <pt idx="281">
                  <v>130.5851063824164</v>
                </pt>
                <pt idx="282">
                  <v>128.3244680851753</v>
                </pt>
                <pt idx="283">
                  <v>131.2499999992521</v>
                </pt>
                <pt idx="284">
                  <v>130.5851063824164</v>
                </pt>
                <pt idx="285">
                  <v>129.6542553188466</v>
                </pt>
                <pt idx="286">
                  <v>132.579787234253</v>
                </pt>
                <pt idx="287">
                  <v>132.7127659576201</v>
                </pt>
                <pt idx="288">
                  <v>132.0478723407845</v>
                </pt>
                <pt idx="289">
                  <v>132.1808510641516</v>
                </pt>
                <pt idx="290">
                  <v>132.7127659576201</v>
                </pt>
                <pt idx="291">
                  <v>132.1808510641516</v>
                </pt>
                <pt idx="292">
                  <v>131.2499999992521</v>
                </pt>
                <pt idx="293">
                  <v>131.3829787239489</v>
                </pt>
                <pt idx="294">
                  <v>134.1755319146584</v>
                </pt>
                <pt idx="295">
                  <v>128.5904255319096</v>
                </pt>
                <pt idx="296">
                  <v>131.7819148940502</v>
                </pt>
                <pt idx="297">
                  <v>132.0478723407845</v>
                </pt>
                <pt idx="298">
                  <v>132.1808510641516</v>
                </pt>
                <pt idx="299">
                  <v>134.4414893613927</v>
                </pt>
                <pt idx="300">
                  <v>130.8510638291507</v>
                </pt>
                <pt idx="301">
                  <v>132.0478723407845</v>
                </pt>
                <pt idx="302">
                  <v>131.9148936174173</v>
                </pt>
                <pt idx="303">
                  <v>133.1117021277215</v>
                </pt>
                <pt idx="304">
                  <v>133.6436170211899</v>
                </pt>
                <pt idx="305">
                  <v>133.2446808510886</v>
                </pt>
                <pt idx="306">
                  <v>135.1063829782283</v>
                </pt>
                <pt idx="307">
                  <v>131.6489361706831</v>
                </pt>
                <pt idx="308">
                  <v>131.9148936174173</v>
                </pt>
                <pt idx="309">
                  <v>133.3776595744557</v>
                </pt>
                <pt idx="310">
                  <v>131.6489361706831</v>
                </pt>
                <pt idx="311">
                  <v>132.8457446809872</v>
                </pt>
                <pt idx="312">
                  <v>134.5744680847598</v>
                </pt>
                <pt idx="313">
                  <v>134.5744680847598</v>
                </pt>
                <pt idx="314">
                  <v>133.2446808510886</v>
                </pt>
                <pt idx="315">
                  <v>134.3085106380256</v>
                </pt>
                <pt idx="316">
                  <v>131.6489361706831</v>
                </pt>
                <pt idx="317">
                  <v>134.5744680847598</v>
                </pt>
                <pt idx="318">
                  <v>132.4468085108858</v>
                </pt>
                <pt idx="319">
                  <v>134.7074468081269</v>
                </pt>
                <pt idx="320">
                  <v>134.3085106380256</v>
                </pt>
                <pt idx="321">
                  <v>135.3723404249625</v>
                </pt>
                <pt idx="322">
                  <v>134.8404255314941</v>
                </pt>
                <pt idx="323">
                  <v>132.3138297875187</v>
                </pt>
                <pt idx="324">
                  <v>134.1755319146584</v>
                </pt>
                <pt idx="325">
                  <v>135.7712765950639</v>
                </pt>
                <pt idx="326">
                  <v>135.1063829782283</v>
                </pt>
                <pt idx="327">
                  <v>137.2340425534319</v>
                </pt>
                <pt idx="328">
                  <v>137.5000000001662</v>
                </pt>
                <pt idx="329">
                  <v>137.6329787235333</v>
                </pt>
                <pt idx="330">
                  <v>138.5638297871032</v>
                </pt>
                <pt idx="331">
                  <v>141.4893617025096</v>
                </pt>
                <pt idx="332">
                  <v>140.1595744675087</v>
                </pt>
                <pt idx="333">
                  <v>138.0319148936347</v>
                </pt>
                <pt idx="334">
                  <v>143.0851063829151</v>
                </pt>
                <pt idx="335">
                  <v>142.2872340427123</v>
                </pt>
                <pt idx="336">
                  <v>141.6223404258767</v>
                </pt>
                <pt idx="337">
                  <v>139.0957446805717</v>
                </pt>
                <pt idx="338">
                  <v>140.8244680843443</v>
                </pt>
                <pt idx="339">
                  <v>140.1595744675087</v>
                </pt>
                <pt idx="340">
                  <v>142.4202127660795</v>
                </pt>
                <pt idx="341">
                  <v>142.2872340427123</v>
                </pt>
                <pt idx="342">
                  <v>139.2287234039388</v>
                </pt>
                <pt idx="343">
                  <v>140.5585106376101</v>
                </pt>
                <pt idx="344">
                  <v>139.6276595740402</v>
                </pt>
                <pt idx="345">
                  <v>139.6276595740402</v>
                </pt>
                <pt idx="346">
                  <v>136.9680851066977</v>
                </pt>
                <pt idx="347">
                  <v>138.1648936170018</v>
                </pt>
                <pt idx="348">
                  <v>137.7659574469005</v>
                </pt>
                <pt idx="349">
                  <v>137.7659574469005</v>
                </pt>
                <pt idx="350">
                  <v>138.8297872338374</v>
                </pt>
                <pt idx="351">
                  <v>136.7021276599635</v>
                </pt>
                <pt idx="352">
                  <v>137.6329787235333</v>
                </pt>
                <pt idx="353">
                  <v>136.4361702132292</v>
                </pt>
                <pt idx="354">
                  <v>135.6382978716968</v>
                </pt>
                <pt idx="355">
                  <v>135.9042553184311</v>
                </pt>
                <pt idx="356">
                  <v>134.8404255314941</v>
                </pt>
                <pt idx="357">
                  <v>133.9095744679242</v>
                </pt>
                <pt idx="358">
                  <v>134.0425531912913</v>
                </pt>
                <pt idx="359">
                  <v>130.9840425525178</v>
                </pt>
                <pt idx="360">
                  <v>134.9734042548612</v>
                </pt>
                <pt idx="361">
                  <v>136.7021276599635</v>
                </pt>
                <pt idx="362">
                  <v>121.6755319141598</v>
                </pt>
                <pt idx="363">
                  <v>94.54787234061827</v>
                </pt>
                <pt idx="364">
                  <v>106.1170212762174</v>
                </pt>
                <pt idx="365">
                  <v>119.0159574468174</v>
                </pt>
                <pt idx="366">
                  <v>121.808510637527</v>
                </pt>
                <pt idx="367">
                  <v>120.6117021272228</v>
                </pt>
                <pt idx="368">
                  <v>124.4680851061991</v>
                </pt>
                <pt idx="369">
                  <v>129.2553191487452</v>
                </pt>
                <pt idx="370">
                  <v>131.1170212758849</v>
                </pt>
                <pt idx="371">
                  <v>131.2499999992521</v>
                </pt>
                <pt idx="372">
                  <v>130.5851063824164</v>
                </pt>
                <pt idx="373">
                  <v>128.9893617020109</v>
                </pt>
                <pt idx="374">
                  <v>130.9840425525178</v>
                </pt>
                <pt idx="375">
                  <v>130.3191489356822</v>
                </pt>
                <pt idx="376">
                  <v>128.9893617020109</v>
                </pt>
                <pt idx="377">
                  <v>128.0585106384411</v>
                </pt>
                <pt idx="378">
                  <v>129.6542553188466</v>
                </pt>
                <pt idx="379">
                  <v>123.5372340426292</v>
                </pt>
                <pt idx="380">
                  <v>123.271276595895</v>
                </pt>
                <pt idx="381">
                  <v>127.5265957449726</v>
                </pt>
                <pt idx="382">
                  <v>128.4574468085425</v>
                </pt>
                <pt idx="383">
                  <v>130.0531914889479</v>
                </pt>
                <pt idx="384">
                  <v>130.4521276590493</v>
                </pt>
                <pt idx="385">
                  <v>130.5851063824164</v>
                </pt>
                <pt idx="386">
                  <v>124.335106382832</v>
                </pt>
                <pt idx="387">
                  <v>126.1968085099717</v>
                </pt>
                <pt idx="388">
                  <v>126.9946808515041</v>
                </pt>
                <pt idx="389">
                  <v>128.7234042552767</v>
                </pt>
                <pt idx="390">
                  <v>127.925531915074</v>
                </pt>
                <pt idx="391">
                  <v>127.3936170216055</v>
                </pt>
                <pt idx="392">
                  <v>128.3244680851753</v>
                </pt>
              </numCache>
            </numRef>
          </val>
          <smooth val="0"/>
        </ser>
        <ser>
          <idx val="8"/>
          <order val="1"/>
          <tx>
            <strRef>
              <f>'IP World'!$L$1</f>
              <strCache>
                <ptCount val="1"/>
                <pt idx="0">
                  <v>Eurozone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'IP World'!$A$2:$A$395</f>
              <numCache>
                <formatCode>mmm\-yy</formatCode>
                <ptCount val="394"/>
                <pt idx="0">
                  <v>32874</v>
                </pt>
                <pt idx="1">
                  <v>32905</v>
                </pt>
                <pt idx="2">
                  <v>32933</v>
                </pt>
                <pt idx="3">
                  <v>32964</v>
                </pt>
                <pt idx="4">
                  <v>32994</v>
                </pt>
                <pt idx="5">
                  <v>33025</v>
                </pt>
                <pt idx="6">
                  <v>33055</v>
                </pt>
                <pt idx="7">
                  <v>33086</v>
                </pt>
                <pt idx="8">
                  <v>33117</v>
                </pt>
                <pt idx="9">
                  <v>33147</v>
                </pt>
                <pt idx="10">
                  <v>33178</v>
                </pt>
                <pt idx="11">
                  <v>33208</v>
                </pt>
                <pt idx="12">
                  <v>33239</v>
                </pt>
                <pt idx="13">
                  <v>33270</v>
                </pt>
                <pt idx="14">
                  <v>33298</v>
                </pt>
                <pt idx="15">
                  <v>33329</v>
                </pt>
                <pt idx="16">
                  <v>33359</v>
                </pt>
                <pt idx="17">
                  <v>33390</v>
                </pt>
                <pt idx="18">
                  <v>33420</v>
                </pt>
                <pt idx="19">
                  <v>33451</v>
                </pt>
                <pt idx="20">
                  <v>33482</v>
                </pt>
                <pt idx="21">
                  <v>33512</v>
                </pt>
                <pt idx="22">
                  <v>33543</v>
                </pt>
                <pt idx="23">
                  <v>33573</v>
                </pt>
                <pt idx="24">
                  <v>33604</v>
                </pt>
                <pt idx="25">
                  <v>33635</v>
                </pt>
                <pt idx="26">
                  <v>33664</v>
                </pt>
                <pt idx="27">
                  <v>33695</v>
                </pt>
                <pt idx="28">
                  <v>33725</v>
                </pt>
                <pt idx="29">
                  <v>33756</v>
                </pt>
                <pt idx="30">
                  <v>33786</v>
                </pt>
                <pt idx="31">
                  <v>33817</v>
                </pt>
                <pt idx="32">
                  <v>33848</v>
                </pt>
                <pt idx="33">
                  <v>33878</v>
                </pt>
                <pt idx="34">
                  <v>33909</v>
                </pt>
                <pt idx="35">
                  <v>33939</v>
                </pt>
                <pt idx="36">
                  <v>33970</v>
                </pt>
                <pt idx="37">
                  <v>34001</v>
                </pt>
                <pt idx="38">
                  <v>34029</v>
                </pt>
                <pt idx="39">
                  <v>34060</v>
                </pt>
                <pt idx="40">
                  <v>34090</v>
                </pt>
                <pt idx="41">
                  <v>34121</v>
                </pt>
                <pt idx="42">
                  <v>34151</v>
                </pt>
                <pt idx="43">
                  <v>34182</v>
                </pt>
                <pt idx="44">
                  <v>34213</v>
                </pt>
                <pt idx="45">
                  <v>34243</v>
                </pt>
                <pt idx="46">
                  <v>34274</v>
                </pt>
                <pt idx="47">
                  <v>34304</v>
                </pt>
                <pt idx="48">
                  <v>34335</v>
                </pt>
                <pt idx="49">
                  <v>34366</v>
                </pt>
                <pt idx="50">
                  <v>34394</v>
                </pt>
                <pt idx="51">
                  <v>34425</v>
                </pt>
                <pt idx="52">
                  <v>34455</v>
                </pt>
                <pt idx="53">
                  <v>34486</v>
                </pt>
                <pt idx="54">
                  <v>34516</v>
                </pt>
                <pt idx="55">
                  <v>34547</v>
                </pt>
                <pt idx="56">
                  <v>34578</v>
                </pt>
                <pt idx="57">
                  <v>34608</v>
                </pt>
                <pt idx="58">
                  <v>34639</v>
                </pt>
                <pt idx="59">
                  <v>34669</v>
                </pt>
                <pt idx="60">
                  <v>34700</v>
                </pt>
                <pt idx="61">
                  <v>34731</v>
                </pt>
                <pt idx="62">
                  <v>34759</v>
                </pt>
                <pt idx="63">
                  <v>34790</v>
                </pt>
                <pt idx="64">
                  <v>34820</v>
                </pt>
                <pt idx="65">
                  <v>34851</v>
                </pt>
                <pt idx="66">
                  <v>34881</v>
                </pt>
                <pt idx="67">
                  <v>34912</v>
                </pt>
                <pt idx="68">
                  <v>34943</v>
                </pt>
                <pt idx="69">
                  <v>34973</v>
                </pt>
                <pt idx="70">
                  <v>35004</v>
                </pt>
                <pt idx="71">
                  <v>35034</v>
                </pt>
                <pt idx="72">
                  <v>35065</v>
                </pt>
                <pt idx="73">
                  <v>35096</v>
                </pt>
                <pt idx="74">
                  <v>35125</v>
                </pt>
                <pt idx="75">
                  <v>35156</v>
                </pt>
                <pt idx="76">
                  <v>35186</v>
                </pt>
                <pt idx="77">
                  <v>35217</v>
                </pt>
                <pt idx="78">
                  <v>35247</v>
                </pt>
                <pt idx="79">
                  <v>35278</v>
                </pt>
                <pt idx="80">
                  <v>35309</v>
                </pt>
                <pt idx="81">
                  <v>35339</v>
                </pt>
                <pt idx="82">
                  <v>35370</v>
                </pt>
                <pt idx="83">
                  <v>35400</v>
                </pt>
                <pt idx="84">
                  <v>35431</v>
                </pt>
                <pt idx="85">
                  <v>35462</v>
                </pt>
                <pt idx="86">
                  <v>35490</v>
                </pt>
                <pt idx="87">
                  <v>35521</v>
                </pt>
                <pt idx="88">
                  <v>35551</v>
                </pt>
                <pt idx="89">
                  <v>35582</v>
                </pt>
                <pt idx="90">
                  <v>35612</v>
                </pt>
                <pt idx="91">
                  <v>35643</v>
                </pt>
                <pt idx="92">
                  <v>35674</v>
                </pt>
                <pt idx="93">
                  <v>35704</v>
                </pt>
                <pt idx="94">
                  <v>35735</v>
                </pt>
                <pt idx="95">
                  <v>35765</v>
                </pt>
                <pt idx="96">
                  <v>35796</v>
                </pt>
                <pt idx="97">
                  <v>35827</v>
                </pt>
                <pt idx="98">
                  <v>35855</v>
                </pt>
                <pt idx="99">
                  <v>35886</v>
                </pt>
                <pt idx="100">
                  <v>35916</v>
                </pt>
                <pt idx="101">
                  <v>35947</v>
                </pt>
                <pt idx="102">
                  <v>35977</v>
                </pt>
                <pt idx="103">
                  <v>36008</v>
                </pt>
                <pt idx="104">
                  <v>36039</v>
                </pt>
                <pt idx="105">
                  <v>36069</v>
                </pt>
                <pt idx="106">
                  <v>36100</v>
                </pt>
                <pt idx="107">
                  <v>36130</v>
                </pt>
                <pt idx="108">
                  <v>36161</v>
                </pt>
                <pt idx="109">
                  <v>36192</v>
                </pt>
                <pt idx="110">
                  <v>36220</v>
                </pt>
                <pt idx="111">
                  <v>36251</v>
                </pt>
                <pt idx="112">
                  <v>36281</v>
                </pt>
                <pt idx="113">
                  <v>36312</v>
                </pt>
                <pt idx="114">
                  <v>36342</v>
                </pt>
                <pt idx="115">
                  <v>36373</v>
                </pt>
                <pt idx="116">
                  <v>36404</v>
                </pt>
                <pt idx="117">
                  <v>36434</v>
                </pt>
                <pt idx="118">
                  <v>36465</v>
                </pt>
                <pt idx="119">
                  <v>36495</v>
                </pt>
                <pt idx="120">
                  <v>36526</v>
                </pt>
                <pt idx="121">
                  <v>36557</v>
                </pt>
                <pt idx="122">
                  <v>36586</v>
                </pt>
                <pt idx="123">
                  <v>36617</v>
                </pt>
                <pt idx="124">
                  <v>36647</v>
                </pt>
                <pt idx="125">
                  <v>36678</v>
                </pt>
                <pt idx="126">
                  <v>36708</v>
                </pt>
                <pt idx="127">
                  <v>36739</v>
                </pt>
                <pt idx="128">
                  <v>36770</v>
                </pt>
                <pt idx="129">
                  <v>36800</v>
                </pt>
                <pt idx="130">
                  <v>36831</v>
                </pt>
                <pt idx="131">
                  <v>36861</v>
                </pt>
                <pt idx="132">
                  <v>36892</v>
                </pt>
                <pt idx="133">
                  <v>36923</v>
                </pt>
                <pt idx="134">
                  <v>36951</v>
                </pt>
                <pt idx="135">
                  <v>36982</v>
                </pt>
                <pt idx="136">
                  <v>37012</v>
                </pt>
                <pt idx="137">
                  <v>37043</v>
                </pt>
                <pt idx="138">
                  <v>37073</v>
                </pt>
                <pt idx="139">
                  <v>37104</v>
                </pt>
                <pt idx="140">
                  <v>37135</v>
                </pt>
                <pt idx="141">
                  <v>37165</v>
                </pt>
                <pt idx="142">
                  <v>37196</v>
                </pt>
                <pt idx="143">
                  <v>37226</v>
                </pt>
                <pt idx="144">
                  <v>37257</v>
                </pt>
                <pt idx="145">
                  <v>37288</v>
                </pt>
                <pt idx="146">
                  <v>37316</v>
                </pt>
                <pt idx="147">
                  <v>37347</v>
                </pt>
                <pt idx="148">
                  <v>37377</v>
                </pt>
                <pt idx="149">
                  <v>37408</v>
                </pt>
                <pt idx="150">
                  <v>37438</v>
                </pt>
                <pt idx="151">
                  <v>37469</v>
                </pt>
                <pt idx="152">
                  <v>37500</v>
                </pt>
                <pt idx="153">
                  <v>37530</v>
                </pt>
                <pt idx="154">
                  <v>37561</v>
                </pt>
                <pt idx="155">
                  <v>37591</v>
                </pt>
                <pt idx="156">
                  <v>37622</v>
                </pt>
                <pt idx="157">
                  <v>37653</v>
                </pt>
                <pt idx="158">
                  <v>37681</v>
                </pt>
                <pt idx="159">
                  <v>37712</v>
                </pt>
                <pt idx="160">
                  <v>37742</v>
                </pt>
                <pt idx="161">
                  <v>37773</v>
                </pt>
                <pt idx="162">
                  <v>37803</v>
                </pt>
                <pt idx="163">
                  <v>37834</v>
                </pt>
                <pt idx="164">
                  <v>37865</v>
                </pt>
                <pt idx="165">
                  <v>37895</v>
                </pt>
                <pt idx="166">
                  <v>37926</v>
                </pt>
                <pt idx="167">
                  <v>37956</v>
                </pt>
                <pt idx="168">
                  <v>37987</v>
                </pt>
                <pt idx="169">
                  <v>38018</v>
                </pt>
                <pt idx="170">
                  <v>38047</v>
                </pt>
                <pt idx="171">
                  <v>38078</v>
                </pt>
                <pt idx="172">
                  <v>38108</v>
                </pt>
                <pt idx="173">
                  <v>38139</v>
                </pt>
                <pt idx="174">
                  <v>38169</v>
                </pt>
                <pt idx="175">
                  <v>38200</v>
                </pt>
                <pt idx="176">
                  <v>38231</v>
                </pt>
                <pt idx="177">
                  <v>38261</v>
                </pt>
                <pt idx="178">
                  <v>38292</v>
                </pt>
                <pt idx="179">
                  <v>38322</v>
                </pt>
                <pt idx="180">
                  <v>38353</v>
                </pt>
                <pt idx="181">
                  <v>38384</v>
                </pt>
                <pt idx="182">
                  <v>38412</v>
                </pt>
                <pt idx="183">
                  <v>38443</v>
                </pt>
                <pt idx="184">
                  <v>38473</v>
                </pt>
                <pt idx="185">
                  <v>38504</v>
                </pt>
                <pt idx="186">
                  <v>38534</v>
                </pt>
                <pt idx="187">
                  <v>38565</v>
                </pt>
                <pt idx="188">
                  <v>38596</v>
                </pt>
                <pt idx="189">
                  <v>38626</v>
                </pt>
                <pt idx="190">
                  <v>38657</v>
                </pt>
                <pt idx="191">
                  <v>38687</v>
                </pt>
                <pt idx="192">
                  <v>38718</v>
                </pt>
                <pt idx="193">
                  <v>38749</v>
                </pt>
                <pt idx="194">
                  <v>38777</v>
                </pt>
                <pt idx="195">
                  <v>38808</v>
                </pt>
                <pt idx="196">
                  <v>38838</v>
                </pt>
                <pt idx="197">
                  <v>38869</v>
                </pt>
                <pt idx="198">
                  <v>38899</v>
                </pt>
                <pt idx="199">
                  <v>38930</v>
                </pt>
                <pt idx="200">
                  <v>38961</v>
                </pt>
                <pt idx="201">
                  <v>38991</v>
                </pt>
                <pt idx="202">
                  <v>39022</v>
                </pt>
                <pt idx="203">
                  <v>39052</v>
                </pt>
                <pt idx="204">
                  <v>39083</v>
                </pt>
                <pt idx="205">
                  <v>39114</v>
                </pt>
                <pt idx="206">
                  <v>39142</v>
                </pt>
                <pt idx="207">
                  <v>39173</v>
                </pt>
                <pt idx="208">
                  <v>39203</v>
                </pt>
                <pt idx="209">
                  <v>39234</v>
                </pt>
                <pt idx="210">
                  <v>39264</v>
                </pt>
                <pt idx="211">
                  <v>39295</v>
                </pt>
                <pt idx="212">
                  <v>39326</v>
                </pt>
                <pt idx="213">
                  <v>39356</v>
                </pt>
                <pt idx="214">
                  <v>39387</v>
                </pt>
                <pt idx="215">
                  <v>39417</v>
                </pt>
                <pt idx="216">
                  <v>39448</v>
                </pt>
                <pt idx="217">
                  <v>39479</v>
                </pt>
                <pt idx="218">
                  <v>39508</v>
                </pt>
                <pt idx="219">
                  <v>39539</v>
                </pt>
                <pt idx="220">
                  <v>39569</v>
                </pt>
                <pt idx="221">
                  <v>39600</v>
                </pt>
                <pt idx="222">
                  <v>39630</v>
                </pt>
                <pt idx="223">
                  <v>39661</v>
                </pt>
                <pt idx="224">
                  <v>39692</v>
                </pt>
                <pt idx="225">
                  <v>39722</v>
                </pt>
                <pt idx="226">
                  <v>39753</v>
                </pt>
                <pt idx="227">
                  <v>39783</v>
                </pt>
                <pt idx="228">
                  <v>39814</v>
                </pt>
                <pt idx="229">
                  <v>39845</v>
                </pt>
                <pt idx="230">
                  <v>39873</v>
                </pt>
                <pt idx="231">
                  <v>39904</v>
                </pt>
                <pt idx="232">
                  <v>39934</v>
                </pt>
                <pt idx="233">
                  <v>39965</v>
                </pt>
                <pt idx="234">
                  <v>39995</v>
                </pt>
                <pt idx="235">
                  <v>40026</v>
                </pt>
                <pt idx="236">
                  <v>40057</v>
                </pt>
                <pt idx="237">
                  <v>40087</v>
                </pt>
                <pt idx="238">
                  <v>40118</v>
                </pt>
                <pt idx="239">
                  <v>40148</v>
                </pt>
                <pt idx="240">
                  <v>40179</v>
                </pt>
                <pt idx="241">
                  <v>40210</v>
                </pt>
                <pt idx="242">
                  <v>40238</v>
                </pt>
                <pt idx="243">
                  <v>40269</v>
                </pt>
                <pt idx="244">
                  <v>40299</v>
                </pt>
                <pt idx="245">
                  <v>40330</v>
                </pt>
                <pt idx="246">
                  <v>40360</v>
                </pt>
                <pt idx="247">
                  <v>40391</v>
                </pt>
                <pt idx="248">
                  <v>40422</v>
                </pt>
                <pt idx="249">
                  <v>40452</v>
                </pt>
                <pt idx="250">
                  <v>40483</v>
                </pt>
                <pt idx="251">
                  <v>40513</v>
                </pt>
                <pt idx="252">
                  <v>40544</v>
                </pt>
                <pt idx="253">
                  <v>40575</v>
                </pt>
                <pt idx="254">
                  <v>40603</v>
                </pt>
                <pt idx="255">
                  <v>40634</v>
                </pt>
                <pt idx="256">
                  <v>40664</v>
                </pt>
                <pt idx="257">
                  <v>40695</v>
                </pt>
                <pt idx="258">
                  <v>40725</v>
                </pt>
                <pt idx="259">
                  <v>40756</v>
                </pt>
                <pt idx="260">
                  <v>40787</v>
                </pt>
                <pt idx="261">
                  <v>40817</v>
                </pt>
                <pt idx="262">
                  <v>40848</v>
                </pt>
                <pt idx="263">
                  <v>40878</v>
                </pt>
                <pt idx="264">
                  <v>40909</v>
                </pt>
                <pt idx="265">
                  <v>40940</v>
                </pt>
                <pt idx="266">
                  <v>40969</v>
                </pt>
                <pt idx="267">
                  <v>41000</v>
                </pt>
                <pt idx="268">
                  <v>41030</v>
                </pt>
                <pt idx="269">
                  <v>41061</v>
                </pt>
                <pt idx="270">
                  <v>41091</v>
                </pt>
                <pt idx="271">
                  <v>41122</v>
                </pt>
                <pt idx="272">
                  <v>41153</v>
                </pt>
                <pt idx="273">
                  <v>41183</v>
                </pt>
                <pt idx="274">
                  <v>41214</v>
                </pt>
                <pt idx="275">
                  <v>41244</v>
                </pt>
                <pt idx="276">
                  <v>41275</v>
                </pt>
                <pt idx="277">
                  <v>41306</v>
                </pt>
                <pt idx="278">
                  <v>41334</v>
                </pt>
                <pt idx="279">
                  <v>41365</v>
                </pt>
                <pt idx="280">
                  <v>41395</v>
                </pt>
                <pt idx="281">
                  <v>41426</v>
                </pt>
                <pt idx="282">
                  <v>41456</v>
                </pt>
                <pt idx="283">
                  <v>41487</v>
                </pt>
                <pt idx="284">
                  <v>41518</v>
                </pt>
                <pt idx="285">
                  <v>41548</v>
                </pt>
                <pt idx="286">
                  <v>41579</v>
                </pt>
                <pt idx="287">
                  <v>41609</v>
                </pt>
                <pt idx="288">
                  <v>41640</v>
                </pt>
                <pt idx="289">
                  <v>41671</v>
                </pt>
                <pt idx="290">
                  <v>41699</v>
                </pt>
                <pt idx="291">
                  <v>41730</v>
                </pt>
                <pt idx="292">
                  <v>41760</v>
                </pt>
                <pt idx="293">
                  <v>41791</v>
                </pt>
                <pt idx="294">
                  <v>41821</v>
                </pt>
                <pt idx="295">
                  <v>41852</v>
                </pt>
                <pt idx="296">
                  <v>41883</v>
                </pt>
                <pt idx="297">
                  <v>41913</v>
                </pt>
                <pt idx="298">
                  <v>41944</v>
                </pt>
                <pt idx="299">
                  <v>41974</v>
                </pt>
                <pt idx="300">
                  <v>42005</v>
                </pt>
                <pt idx="301">
                  <v>42036</v>
                </pt>
                <pt idx="302">
                  <v>42064</v>
                </pt>
                <pt idx="303">
                  <v>42095</v>
                </pt>
                <pt idx="304">
                  <v>42125</v>
                </pt>
                <pt idx="305">
                  <v>42156</v>
                </pt>
                <pt idx="306">
                  <v>42186</v>
                </pt>
                <pt idx="307">
                  <v>42217</v>
                </pt>
                <pt idx="308">
                  <v>42248</v>
                </pt>
                <pt idx="309">
                  <v>42278</v>
                </pt>
                <pt idx="310">
                  <v>42309</v>
                </pt>
                <pt idx="311">
                  <v>42339</v>
                </pt>
                <pt idx="312">
                  <v>42370</v>
                </pt>
                <pt idx="313">
                  <v>42401</v>
                </pt>
                <pt idx="314">
                  <v>42430</v>
                </pt>
                <pt idx="315">
                  <v>42461</v>
                </pt>
                <pt idx="316">
                  <v>42491</v>
                </pt>
                <pt idx="317">
                  <v>42522</v>
                </pt>
                <pt idx="318">
                  <v>42552</v>
                </pt>
                <pt idx="319">
                  <v>42583</v>
                </pt>
                <pt idx="320">
                  <v>42614</v>
                </pt>
                <pt idx="321">
                  <v>42644</v>
                </pt>
                <pt idx="322">
                  <v>42675</v>
                </pt>
                <pt idx="323">
                  <v>42705</v>
                </pt>
                <pt idx="324">
                  <v>42736</v>
                </pt>
                <pt idx="325">
                  <v>42767</v>
                </pt>
                <pt idx="326">
                  <v>42795</v>
                </pt>
                <pt idx="327">
                  <v>42826</v>
                </pt>
                <pt idx="328">
                  <v>42856</v>
                </pt>
                <pt idx="329">
                  <v>42887</v>
                </pt>
                <pt idx="330">
                  <v>42917</v>
                </pt>
                <pt idx="331">
                  <v>42948</v>
                </pt>
                <pt idx="332">
                  <v>42979</v>
                </pt>
                <pt idx="333">
                  <v>43009</v>
                </pt>
                <pt idx="334">
                  <v>43040</v>
                </pt>
                <pt idx="335">
                  <v>43070</v>
                </pt>
                <pt idx="336">
                  <v>43101</v>
                </pt>
                <pt idx="337">
                  <v>43132</v>
                </pt>
                <pt idx="338">
                  <v>43160</v>
                </pt>
                <pt idx="339">
                  <v>43191</v>
                </pt>
                <pt idx="340">
                  <v>43221</v>
                </pt>
                <pt idx="341">
                  <v>43252</v>
                </pt>
                <pt idx="342">
                  <v>43282</v>
                </pt>
                <pt idx="343">
                  <v>43313</v>
                </pt>
                <pt idx="344">
                  <v>43344</v>
                </pt>
                <pt idx="345">
                  <v>43374</v>
                </pt>
                <pt idx="346">
                  <v>43405</v>
                </pt>
                <pt idx="347">
                  <v>43435</v>
                </pt>
                <pt idx="348">
                  <v>43466</v>
                </pt>
                <pt idx="349">
                  <v>43497</v>
                </pt>
                <pt idx="350">
                  <v>43525</v>
                </pt>
                <pt idx="351">
                  <v>43556</v>
                </pt>
                <pt idx="352">
                  <v>43586</v>
                </pt>
                <pt idx="353">
                  <v>43617</v>
                </pt>
                <pt idx="354">
                  <v>43647</v>
                </pt>
                <pt idx="355">
                  <v>43678</v>
                </pt>
                <pt idx="356">
                  <v>43709</v>
                </pt>
                <pt idx="357">
                  <v>43739</v>
                </pt>
                <pt idx="358">
                  <v>43770</v>
                </pt>
                <pt idx="359">
                  <v>43800</v>
                </pt>
                <pt idx="360">
                  <v>43831</v>
                </pt>
                <pt idx="361">
                  <v>43862</v>
                </pt>
                <pt idx="362">
                  <v>43891</v>
                </pt>
                <pt idx="363">
                  <v>43922</v>
                </pt>
                <pt idx="364">
                  <v>43952</v>
                </pt>
                <pt idx="365">
                  <v>43983</v>
                </pt>
                <pt idx="366">
                  <v>44013</v>
                </pt>
                <pt idx="367">
                  <v>44044</v>
                </pt>
                <pt idx="368">
                  <v>44075</v>
                </pt>
                <pt idx="369">
                  <v>44105</v>
                </pt>
                <pt idx="370">
                  <v>44136</v>
                </pt>
                <pt idx="371">
                  <v>44166</v>
                </pt>
                <pt idx="372">
                  <v>44197</v>
                </pt>
                <pt idx="373">
                  <v>44228</v>
                </pt>
                <pt idx="374">
                  <v>44256</v>
                </pt>
                <pt idx="375">
                  <v>44287</v>
                </pt>
                <pt idx="376">
                  <v>44317</v>
                </pt>
                <pt idx="377">
                  <v>44348</v>
                </pt>
                <pt idx="378">
                  <v>44378</v>
                </pt>
                <pt idx="379">
                  <v>44409</v>
                </pt>
                <pt idx="380">
                  <v>44440</v>
                </pt>
                <pt idx="381">
                  <v>44470</v>
                </pt>
                <pt idx="382">
                  <v>44501</v>
                </pt>
                <pt idx="383">
                  <v>44531</v>
                </pt>
                <pt idx="384">
                  <v>44562</v>
                </pt>
                <pt idx="385">
                  <v>44593</v>
                </pt>
                <pt idx="386">
                  <v>44621</v>
                </pt>
                <pt idx="387">
                  <v>44652</v>
                </pt>
                <pt idx="388">
                  <v>44682</v>
                </pt>
                <pt idx="389">
                  <v>44713</v>
                </pt>
                <pt idx="390">
                  <v>44743</v>
                </pt>
                <pt idx="391">
                  <v>44774</v>
                </pt>
                <pt idx="392">
                  <v>44805</v>
                </pt>
              </numCache>
            </numRef>
          </cat>
          <val>
            <numRef>
              <f>'IP World'!$L$2:$L$395</f>
              <numCache>
                <formatCode>0.00</formatCode>
                <ptCount val="394"/>
                <pt idx="0">
                  <v>88.13696525255205</v>
                </pt>
                <pt idx="1">
                  <v>89.16936298579186</v>
                </pt>
                <pt idx="2">
                  <v>88.91392437140506</v>
                </pt>
                <pt idx="3">
                  <v>89.27579574160013</v>
                </pt>
                <pt idx="4">
                  <v>89.254509190215</v>
                </pt>
                <pt idx="5">
                  <v>88.67977230728596</v>
                </pt>
                <pt idx="6">
                  <v>89.02035712721332</v>
                </pt>
                <pt idx="7">
                  <v>89.61638056041009</v>
                </pt>
                <pt idx="8">
                  <v>90.06339813614571</v>
                </pt>
                <pt idx="9">
                  <v>90.24433382068455</v>
                </pt>
                <pt idx="10">
                  <v>89.39287177310098</v>
                </pt>
                <pt idx="11">
                  <v>90.32948002622508</v>
                </pt>
                <pt idx="12">
                  <v>92.17877095001407</v>
                </pt>
                <pt idx="13">
                  <v>91.0614525138229</v>
                </pt>
                <pt idx="14">
                  <v>90.16759776509346</v>
                </pt>
                <pt idx="15">
                  <v>89.60893854811528</v>
                </pt>
                <pt idx="16">
                  <v>89.60893854811528</v>
                </pt>
                <pt idx="17">
                  <v>91.28491620128462</v>
                </pt>
                <pt idx="18">
                  <v>89.60893854811528</v>
                </pt>
                <pt idx="19">
                  <v>89.49720670382573</v>
                </pt>
                <pt idx="20">
                  <v>89.72067039128743</v>
                </pt>
                <pt idx="21">
                  <v>90.05586592192131</v>
                </pt>
                <pt idx="22">
                  <v>91.0614525138229</v>
                </pt>
                <pt idx="23">
                  <v>90.39106145255518</v>
                </pt>
                <pt idx="24">
                  <v>91.50837988874633</v>
                </pt>
                <pt idx="25">
                  <v>91.84357541938022</v>
                </pt>
                <pt idx="26">
                  <v>90.94972067065075</v>
                </pt>
                <pt idx="27">
                  <v>90.8379888274786</v>
                </pt>
                <pt idx="28">
                  <v>90.27932960938303</v>
                </pt>
                <pt idx="29">
                  <v>89.38547486065357</v>
                </pt>
                <pt idx="30">
                  <v>88.26815642446239</v>
                </pt>
                <pt idx="31">
                  <v>88.15642458129025</v>
                </pt>
                <pt idx="32">
                  <v>87.37430167573295</v>
                </pt>
                <pt idx="33">
                  <v>87.59776536319467</v>
                </pt>
                <pt idx="34">
                  <v>86.70391061446522</v>
                </pt>
                <pt idx="35">
                  <v>85.25139664764018</v>
                </pt>
                <pt idx="36">
                  <v>85.69832402256361</v>
                </pt>
                <pt idx="37">
                  <v>85.02793296129587</v>
                </pt>
                <pt idx="38">
                  <v>84.80446927383416</v>
                </pt>
                <pt idx="39">
                  <v>84.35754190002815</v>
                </pt>
                <pt idx="40">
                  <v>84.13407821256644</v>
                </pt>
                <pt idx="41">
                  <v>83.68715083764299</v>
                </pt>
                <pt idx="42">
                  <v>83.24022346383697</v>
                </pt>
                <pt idx="43">
                  <v>84.35754190002815</v>
                </pt>
                <pt idx="44">
                  <v>84.69273743066201</v>
                </pt>
                <pt idx="45">
                  <v>84.80446927383416</v>
                </pt>
                <pt idx="46">
                  <v>84.80446927383416</v>
                </pt>
                <pt idx="47">
                  <v>84.91620111700631</v>
                </pt>
                <pt idx="48">
                  <v>85.02793296129587</v>
                </pt>
                <pt idx="49">
                  <v>86.2569832406592</v>
                </pt>
                <pt idx="50">
                  <v>86.36871508383135</v>
                </pt>
                <pt idx="51">
                  <v>87.93296089382854</v>
                </pt>
                <pt idx="52">
                  <v>87.70949720636682</v>
                </pt>
                <pt idx="53">
                  <v>88.37988826875196</v>
                </pt>
                <pt idx="54">
                  <v>88.60335195509627</v>
                </pt>
                <pt idx="55">
                  <v>88.82681564255799</v>
                </pt>
                <pt idx="56">
                  <v>89.38547486065357</v>
                </pt>
                <pt idx="57">
                  <v>90.39106145255518</v>
                </pt>
                <pt idx="58">
                  <v>90.94972067065075</v>
                </pt>
                <pt idx="59">
                  <v>91.95530726255237</v>
                </pt>
                <pt idx="60">
                  <v>91.28491620128462</v>
                </pt>
                <pt idx="61">
                  <v>91.50837988874633</v>
                </pt>
                <pt idx="62">
                  <v>91.39664804445678</v>
                </pt>
                <pt idx="63">
                  <v>91.73184357509065</v>
                </pt>
                <pt idx="64">
                  <v>92.06703910684192</v>
                </pt>
                <pt idx="65">
                  <v>91.73184357509065</v>
                </pt>
                <pt idx="66">
                  <v>91.6201117319185</v>
                </pt>
                <pt idx="67">
                  <v>91.6201117319185</v>
                </pt>
                <pt idx="68">
                  <v>92.17877095001407</v>
                </pt>
                <pt idx="69">
                  <v>90.94972067065075</v>
                </pt>
                <pt idx="70">
                  <v>91.28491620128462</v>
                </pt>
                <pt idx="71">
                  <v>92.40223463747579</v>
                </pt>
                <pt idx="72">
                  <v>91.50837988874633</v>
                </pt>
                <pt idx="73">
                  <v>91.17318435811247</v>
                </pt>
                <pt idx="74">
                  <v>91.28491620128462</v>
                </pt>
                <pt idx="75">
                  <v>90.50279329572733</v>
                </pt>
                <pt idx="76">
                  <v>91.50837988874633</v>
                </pt>
                <pt idx="77">
                  <v>91.50837988874633</v>
                </pt>
                <pt idx="78">
                  <v>90.72625698318905</v>
                </pt>
                <pt idx="79">
                  <v>91.84357541938022</v>
                </pt>
                <pt idx="80">
                  <v>91.84357541938022</v>
                </pt>
                <pt idx="81">
                  <v>91.39664804445678</v>
                </pt>
                <pt idx="82">
                  <v>92.17877095001407</v>
                </pt>
                <pt idx="83">
                  <v>92.06703910684192</v>
                </pt>
                <pt idx="84">
                  <v>92.29050279318622</v>
                </pt>
                <pt idx="85">
                  <v>92.84916201128181</v>
                </pt>
                <pt idx="86">
                  <v>93.85474860318341</v>
                </pt>
                <pt idx="87">
                  <v>94.97206703937458</v>
                </pt>
                <pt idx="88">
                  <v>94.07821229064513</v>
                </pt>
                <pt idx="89">
                  <v>95.6424581006423</v>
                </pt>
                <pt idx="90">
                  <v>96.42458100619962</v>
                </pt>
                <pt idx="91">
                  <v>96.53631284937177</v>
                </pt>
                <pt idx="92">
                  <v>96.31284916191005</v>
                </pt>
                <pt idx="93">
                  <v>97.65363128556294</v>
                </pt>
                <pt idx="94">
                  <v>97.31843575381166</v>
                </pt>
                <pt idx="95">
                  <v>98.32402234683066</v>
                </pt>
                <pt idx="96">
                  <v>98.65921787746453</v>
                </pt>
                <pt idx="97">
                  <v>99.10614525127056</v>
                </pt>
                <pt idx="98">
                  <v>99.10614525127056</v>
                </pt>
                <pt idx="99">
                  <v>99.44134078190442</v>
                </pt>
                <pt idx="100">
                  <v>99.88826815682785</v>
                </pt>
                <pt idx="101">
                  <v>99.32960893873228</v>
                </pt>
                <pt idx="102">
                  <v>100.4469273749234</v>
                </pt>
                <pt idx="103">
                  <v>98.88268156492624</v>
                </pt>
                <pt idx="104">
                  <v>99.32960893873228</v>
                </pt>
                <pt idx="105">
                  <v>99.55307262619398</v>
                </pt>
                <pt idx="106">
                  <v>98.99441340809841</v>
                </pt>
                <pt idx="107">
                  <v>98.43575419000281</v>
                </pt>
                <pt idx="108">
                  <v>100</v>
                </pt>
                <pt idx="109">
                  <v>98.77094972063668</v>
                </pt>
                <pt idx="110">
                  <v>98.88268156492624</v>
                </pt>
                <pt idx="111">
                  <v>99.55307262619398</v>
                </pt>
                <pt idx="112">
                  <v>99.66480446936613</v>
                </pt>
                <pt idx="113">
                  <v>100.4469273749234</v>
                </pt>
                <pt idx="114">
                  <v>101.2290502793633</v>
                </pt>
                <pt idx="115">
                  <v>101.1173184361912</v>
                </pt>
                <pt idx="116">
                  <v>102.0111731849206</v>
                </pt>
                <pt idx="117">
                  <v>103.1284916199944</v>
                </pt>
                <pt idx="118">
                  <v>103.5754189949178</v>
                </pt>
                <pt idx="119">
                  <v>103.2402234642839</v>
                </pt>
                <pt idx="120">
                  <v>102.9050279336501</v>
                </pt>
                <pt idx="121">
                  <v>104.1340782130134</v>
                </pt>
                <pt idx="122">
                  <v>104.5810055868194</v>
                </pt>
                <pt idx="123">
                  <v>105.8100558661827</v>
                </pt>
                <pt idx="124">
                  <v>107.2625698330078</v>
                </pt>
                <pt idx="125">
                  <v>105.8100558661827</v>
                </pt>
                <pt idx="126">
                  <v>107.039106145546</v>
                </pt>
                <pt idx="127">
                  <v>107.1508379887182</v>
                </pt>
                <pt idx="128">
                  <v>107.2625698330078</v>
                </pt>
                <pt idx="129">
                  <v>107.4860335193521</v>
                </pt>
                <pt idx="130">
                  <v>108.4916201123711</v>
                </pt>
                <pt idx="131">
                  <v>109.273743016811</v>
                </pt>
                <pt idx="132">
                  <v>108.2681564249094</v>
                </pt>
                <pt idx="133">
                  <v>108.7150837987154</v>
                </pt>
                <pt idx="134">
                  <v>108.1564245806198</v>
                </pt>
                <pt idx="135">
                  <v>107.1508379887182</v>
                </pt>
                <pt idx="136">
                  <v>107.4860335193521</v>
                </pt>
                <pt idx="137">
                  <v>107.4860335193521</v>
                </pt>
                <pt idx="138">
                  <v>105.4748603355489</v>
                </pt>
                <pt idx="139">
                  <v>108.1564245806198</v>
                </pt>
                <pt idx="140">
                  <v>106.7039106149122</v>
                </pt>
                <pt idx="141">
                  <v>105.2513966480872</v>
                </pt>
                <pt idx="142">
                  <v>104.4692737436472</v>
                </pt>
                <pt idx="143">
                  <v>105.2513966480872</v>
                </pt>
                <pt idx="144">
                  <v>105.2513966480872</v>
                </pt>
                <pt idx="145">
                  <v>105.586592178721</v>
                </pt>
                <pt idx="146">
                  <v>106.4804469274505</v>
                </pt>
                <pt idx="147">
                  <v>106.2569832399888</v>
                </pt>
                <pt idx="148">
                  <v>106.7039106149122</v>
                </pt>
                <pt idx="149">
                  <v>107.1508379887182</v>
                </pt>
                <pt idx="150">
                  <v>106.3687150842783</v>
                </pt>
                <pt idx="151">
                  <v>106.8156424580843</v>
                </pt>
                <pt idx="152">
                  <v>107.1508379887182</v>
                </pt>
                <pt idx="153">
                  <v>106.4804469274505</v>
                </pt>
                <pt idx="154">
                  <v>107.1508379887182</v>
                </pt>
                <pt idx="155">
                  <v>105.4748603355489</v>
                </pt>
                <pt idx="156">
                  <v>107.2625698330078</v>
                </pt>
                <pt idx="157">
                  <v>107.3743016761799</v>
                </pt>
                <pt idx="158">
                  <v>106.5921787706226</v>
                </pt>
                <pt idx="159">
                  <v>107.039106145546</v>
                </pt>
                <pt idx="160">
                  <v>105.2513966480872</v>
                </pt>
                <pt idx="161">
                  <v>105.2513966480872</v>
                </pt>
                <pt idx="162">
                  <v>107.039106145546</v>
                </pt>
                <pt idx="163">
                  <v>105.8100558661827</v>
                </pt>
                <pt idx="164">
                  <v>105.4748603355489</v>
                </pt>
                <pt idx="165">
                  <v>108.1564245806198</v>
                </pt>
                <pt idx="166">
                  <v>107.8212290499859</v>
                </pt>
                <pt idx="167">
                  <v>108.1564245806198</v>
                </pt>
                <pt idx="168">
                  <v>108.0446927374477</v>
                </pt>
                <pt idx="169">
                  <v>108.6033519555432</v>
                </pt>
                <pt idx="170">
                  <v>108.2681564249094</v>
                </pt>
                <pt idx="171">
                  <v>109.273743016811</v>
                </pt>
                <pt idx="172">
                  <v>109.273743016811</v>
                </pt>
                <pt idx="173">
                  <v>109.273743016811</v>
                </pt>
                <pt idx="174">
                  <v>110.2793296087126</v>
                </pt>
                <pt idx="175">
                  <v>107.9329608942755</v>
                </pt>
                <pt idx="176">
                  <v>109.6089385474448</v>
                </pt>
                <pt idx="177">
                  <v>110.1675977655404</v>
                </pt>
                <pt idx="178">
                  <v>108.9385474861771</v>
                </pt>
                <pt idx="179">
                  <v>108.9385474861771</v>
                </pt>
                <pt idx="180">
                  <v>109.8324022349066</v>
                </pt>
                <pt idx="181">
                  <v>109.6089385474448</v>
                </pt>
                <pt idx="182">
                  <v>109.4972067042727</v>
                </pt>
                <pt idx="183">
                  <v>111.0614525142699</v>
                </pt>
                <pt idx="184">
                  <v>109.6089385474448</v>
                </pt>
                <pt idx="185">
                  <v>110.6145251393465</v>
                </pt>
                <pt idx="186">
                  <v>111.173184357442</v>
                </pt>
                <pt idx="187">
                  <v>109.8324022349066</v>
                </pt>
                <pt idx="188">
                  <v>111.3966480449037</v>
                </pt>
                <pt idx="189">
                  <v>111.6201117323655</v>
                </pt>
                <pt idx="190">
                  <v>113.5195530729965</v>
                </pt>
                <pt idx="191">
                  <v>112.2905027936332</v>
                </pt>
                <pt idx="192">
                  <v>113.0726256980731</v>
                </pt>
                <pt idx="193">
                  <v>113.0726256980731</v>
                </pt>
                <pt idx="194">
                  <v>113.9664804468025</v>
                </pt>
                <pt idx="195">
                  <v>114.3016759774364</v>
                </pt>
                <pt idx="196">
                  <v>115.9776536317231</v>
                </pt>
                <pt idx="197">
                  <v>115.8659217874336</v>
                </pt>
                <pt idx="198">
                  <v>115.6424581010893</v>
                </pt>
                <pt idx="199">
                  <v>115.9776536317231</v>
                </pt>
                <pt idx="200">
                  <v>116.0893854748953</v>
                </pt>
                <pt idx="201">
                  <v>115.7541899442614</v>
                </pt>
                <pt idx="202">
                  <v>116.8715083804526</v>
                </pt>
                <pt idx="203">
                  <v>118.5474860336219</v>
                </pt>
                <pt idx="204">
                  <v>117.9888268155264</v>
                </pt>
                <pt idx="205">
                  <v>118.7709497210837</v>
                </pt>
                <pt idx="206">
                  <v>119.4413407823514</v>
                </pt>
                <pt idx="207">
                  <v>117.765363129182</v>
                </pt>
                <pt idx="208">
                  <v>119.8882681561574</v>
                </pt>
                <pt idx="209">
                  <v>120.000000000447</v>
                </pt>
                <pt idx="210">
                  <v>120.2234636867913</v>
                </pt>
                <pt idx="211">
                  <v>121.0055865923486</v>
                </pt>
                <pt idx="212">
                  <v>120.5586592185426</v>
                </pt>
                <pt idx="213">
                  <v>121.4525139661546</v>
                </pt>
                <pt idx="214">
                  <v>120.7821229048868</v>
                </pt>
                <pt idx="215">
                  <v>121.2290502798103</v>
                </pt>
                <pt idx="216">
                  <v>122.346368714884</v>
                </pt>
                <pt idx="217">
                  <v>122.1229050285397</v>
                </pt>
                <pt idx="218">
                  <v>121.5642458104442</v>
                </pt>
                <pt idx="219">
                  <v>123.0167597772692</v>
                </pt>
                <pt idx="220">
                  <v>119.4413407823514</v>
                </pt>
                <pt idx="221">
                  <v>119.5530726255235</v>
                </pt>
                <pt idx="222">
                  <v>118.5474860336219</v>
                </pt>
                <pt idx="223">
                  <v>117.9888268155264</v>
                </pt>
                <pt idx="224">
                  <v>117.0949720667969</v>
                </pt>
                <pt idx="225">
                  <v>114.3016759774364</v>
                </pt>
                <pt idx="226">
                  <v>110.0558659223683</v>
                </pt>
                <pt idx="227">
                  <v>106.0335195536444</v>
                </pt>
                <pt idx="228">
                  <v>101.6759776542868</v>
                </pt>
                <pt idx="229">
                  <v>99.44134078190442</v>
                </pt>
                <pt idx="230">
                  <v>98.10055865936896</v>
                </pt>
                <pt idx="231">
                  <v>96.75977653683348</v>
                </pt>
                <pt idx="232">
                  <v>99.10614525127056</v>
                </pt>
                <pt idx="233">
                  <v>99.66480446936613</v>
                </pt>
                <pt idx="234">
                  <v>99.88826815682785</v>
                </pt>
                <pt idx="235">
                  <v>100</v>
                </pt>
                <pt idx="236">
                  <v>102.3463687155545</v>
                </pt>
                <pt idx="237">
                  <v>102.0111731849206</v>
                </pt>
                <pt idx="238">
                  <v>102.2346368712649</v>
                </pt>
                <pt idx="239">
                  <v>102.2346368712649</v>
                </pt>
                <pt idx="240">
                  <v>104.0223463687238</v>
                </pt>
                <pt idx="241">
                  <v>103.4636871506282</v>
                </pt>
                <pt idx="242">
                  <v>105.3631284912593</v>
                </pt>
                <pt idx="243">
                  <v>105.8100558661827</v>
                </pt>
                <pt idx="244">
                  <v>107.8212290499859</v>
                </pt>
                <pt idx="245">
                  <v>107.9329608942755</v>
                </pt>
                <pt idx="246">
                  <v>107.4860335193521</v>
                </pt>
                <pt idx="247">
                  <v>108.3798882680815</v>
                </pt>
                <pt idx="248">
                  <v>108.6033519555432</v>
                </pt>
                <pt idx="249">
                  <v>109.4972067042727</v>
                </pt>
                <pt idx="250">
                  <v>110.5027932961743</v>
                </pt>
                <pt idx="251">
                  <v>111.2849162017316</v>
                </pt>
                <pt idx="252">
                  <v>110.726256983636</v>
                </pt>
                <pt idx="253">
                  <v>111.8435754187097</v>
                </pt>
                <pt idx="254">
                  <v>111.9553072629993</v>
                </pt>
                <pt idx="255">
                  <v>111.5083798880759</v>
                </pt>
                <pt idx="256">
                  <v>112.1787709493436</v>
                </pt>
                <pt idx="257">
                  <v>110.6145251393465</v>
                </pt>
                <pt idx="258">
                  <v>111.7318435755376</v>
                </pt>
                <pt idx="259">
                  <v>111.8435754187097</v>
                </pt>
                <pt idx="260">
                  <v>110.726256983636</v>
                </pt>
                <pt idx="261">
                  <v>110.3910614530021</v>
                </pt>
                <pt idx="262">
                  <v>110.726256983636</v>
                </pt>
                <pt idx="263">
                  <v>110.0558659223683</v>
                </pt>
                <pt idx="264">
                  <v>109.1620111736388</v>
                </pt>
                <pt idx="265">
                  <v>109.9441340780787</v>
                </pt>
                <pt idx="266">
                  <v>109.7206703917344</v>
                </pt>
                <pt idx="267">
                  <v>108.8268156430049</v>
                </pt>
                <pt idx="268">
                  <v>109.8324022349066</v>
                </pt>
                <pt idx="269">
                  <v>108.8268156430049</v>
                </pt>
                <pt idx="270">
                  <v>109.1620111736388</v>
                </pt>
                <pt idx="271">
                  <v>109.9441340780787</v>
                </pt>
                <pt idx="272">
                  <v>107.9329608942755</v>
                </pt>
                <pt idx="273">
                  <v>107.039106145546</v>
                </pt>
                <pt idx="274">
                  <v>106.2569832399888</v>
                </pt>
                <pt idx="275">
                  <v>106.8156424580843</v>
                </pt>
                <pt idx="276">
                  <v>106.3687150842783</v>
                </pt>
                <pt idx="277">
                  <v>106.4804469274505</v>
                </pt>
                <pt idx="278">
                  <v>107.7094972068138</v>
                </pt>
                <pt idx="279">
                  <v>107.9329608942755</v>
                </pt>
                <pt idx="280">
                  <v>108.1564245806198</v>
                </pt>
                <pt idx="281">
                  <v>108.1564245806198</v>
                </pt>
                <pt idx="282">
                  <v>107.2625698330078</v>
                </pt>
                <pt idx="283">
                  <v>107.7094972068138</v>
                </pt>
                <pt idx="284">
                  <v>107.9329608942755</v>
                </pt>
                <pt idx="285">
                  <v>107.3743016761799</v>
                </pt>
                <pt idx="286">
                  <v>108.8268156430049</v>
                </pt>
                <pt idx="287">
                  <v>108.6033519555432</v>
                </pt>
                <pt idx="288">
                  <v>108.2681564249094</v>
                </pt>
                <pt idx="289">
                  <v>109.0502793293493</v>
                </pt>
                <pt idx="290">
                  <v>108.4916201123711</v>
                </pt>
                <pt idx="291">
                  <v>110.1675977655404</v>
                </pt>
                <pt idx="292">
                  <v>109.273743016811</v>
                </pt>
                <pt idx="293">
                  <v>108.7150837987154</v>
                </pt>
                <pt idx="294">
                  <v>109.6089385474448</v>
                </pt>
                <pt idx="295">
                  <v>107.7094972068138</v>
                </pt>
                <pt idx="296">
                  <v>108.8268156430049</v>
                </pt>
                <pt idx="297">
                  <v>108.4916201123711</v>
                </pt>
                <pt idx="298">
                  <v>108.1564245806198</v>
                </pt>
                <pt idx="299">
                  <v>109.7206703917344</v>
                </pt>
                <pt idx="300">
                  <v>109.0502793293493</v>
                </pt>
                <pt idx="301">
                  <v>112.0670391061715</v>
                </pt>
                <pt idx="302">
                  <v>112.1787709493436</v>
                </pt>
                <pt idx="303">
                  <v>111.0614525142699</v>
                </pt>
                <pt idx="304">
                  <v>111.9553072629993</v>
                </pt>
                <pt idx="305">
                  <v>112.1787709493436</v>
                </pt>
                <pt idx="306">
                  <v>112.7374301674392</v>
                </pt>
                <pt idx="307">
                  <v>111.3966480449037</v>
                </pt>
                <pt idx="308">
                  <v>112.0670391061715</v>
                </pt>
                <pt idx="309">
                  <v>112.5139664810949</v>
                </pt>
                <pt idx="310">
                  <v>111.6201117323655</v>
                </pt>
                <pt idx="311">
                  <v>111.9553072629993</v>
                </pt>
                <pt idx="312">
                  <v>114.7486033523598</v>
                </pt>
                <pt idx="313">
                  <v>112.9608938549009</v>
                </pt>
                <pt idx="314">
                  <v>112.4022346368053</v>
                </pt>
                <pt idx="315">
                  <v>113.5195530729965</v>
                </pt>
                <pt idx="316">
                  <v>111.9553072629993</v>
                </pt>
                <pt idx="317">
                  <v>113.0726256980731</v>
                </pt>
                <pt idx="318">
                  <v>112.9608938549009</v>
                </pt>
                <pt idx="319">
                  <v>113.0726256980731</v>
                </pt>
                <pt idx="320">
                  <v>113.2960893855348</v>
                </pt>
                <pt idx="321">
                  <v>114.860335195532</v>
                </pt>
                <pt idx="322">
                  <v>114.6368715080703</v>
                </pt>
                <pt idx="323">
                  <v>114.5251396648981</v>
                </pt>
                <pt idx="324">
                  <v>113.9664804468025</v>
                </pt>
                <pt idx="325">
                  <v>114.860335195532</v>
                </pt>
                <pt idx="326">
                  <v>114.413407821726</v>
                </pt>
                <pt idx="327">
                  <v>115.3072625704554</v>
                </pt>
                <pt idx="328">
                  <v>115.7541899442614</v>
                </pt>
                <pt idx="329">
                  <v>115.3072625704554</v>
                </pt>
                <pt idx="330">
                  <v>116.9832402236248</v>
                </pt>
                <pt idx="331">
                  <v>117.8770949723542</v>
                </pt>
                <pt idx="332">
                  <v>117.3184357542586</v>
                </pt>
                <pt idx="333">
                  <v>118.1005586598159</v>
                </pt>
                <pt idx="334">
                  <v>120.446927374253</v>
                </pt>
                <pt idx="335">
                  <v>120.7821229048868</v>
                </pt>
                <pt idx="336">
                  <v>118.2122905029881</v>
                </pt>
                <pt idx="337">
                  <v>117.3184357542586</v>
                </pt>
                <pt idx="338">
                  <v>117.5418994417203</v>
                </pt>
                <pt idx="339">
                  <v>117.2067039110865</v>
                </pt>
                <pt idx="340">
                  <v>118.7709497210837</v>
                </pt>
                <pt idx="341">
                  <v>118.5474860336219</v>
                </pt>
                <pt idx="342">
                  <v>116.8715083804526</v>
                </pt>
                <pt idx="343">
                  <v>118.6592178767941</v>
                </pt>
                <pt idx="344">
                  <v>117.6536312848925</v>
                </pt>
                <pt idx="345">
                  <v>118.4357541904498</v>
                </pt>
                <pt idx="346">
                  <v>116.5363128498187</v>
                </pt>
                <pt idx="347">
                  <v>116.9832402236248</v>
                </pt>
                <pt idx="348">
                  <v>118.1005586598159</v>
                </pt>
                <pt idx="349">
                  <v>117.8770949723542</v>
                </pt>
                <pt idx="350">
                  <v>117.8770949723542</v>
                </pt>
                <pt idx="351">
                  <v>117.2067039110865</v>
                </pt>
                <pt idx="352">
                  <v>117.765363129182</v>
                </pt>
                <pt idx="353">
                  <v>116.759776536163</v>
                </pt>
                <pt idx="354">
                  <v>116.2011173180674</v>
                </pt>
                <pt idx="355">
                  <v>116.6480446929909</v>
                </pt>
                <pt idx="356">
                  <v>116.759776536163</v>
                </pt>
                <pt idx="357">
                  <v>117.0949720667969</v>
                </pt>
                <pt idx="358">
                  <v>115.9776536317231</v>
                </pt>
                <pt idx="359">
                  <v>113.7430167604582</v>
                </pt>
                <pt idx="360">
                  <v>116.4245810055292</v>
                </pt>
                <pt idx="361">
                  <v>116.2011173180674</v>
                </pt>
                <pt idx="362">
                  <v>103.5754189949178</v>
                </pt>
                <pt idx="363">
                  <v>83.57541899447084</v>
                </pt>
                <pt idx="364">
                  <v>95.30726257000845</v>
                </pt>
                <pt idx="365">
                  <v>104.9162011174533</v>
                </pt>
                <pt idx="366">
                  <v>109.4972067042727</v>
                </pt>
                <pt idx="367">
                  <v>109.6089385474448</v>
                </pt>
                <pt idx="368">
                  <v>110.5027932961743</v>
                </pt>
                <pt idx="369">
                  <v>113.1843575423626</v>
                </pt>
                <pt idx="370">
                  <v>117.765363129182</v>
                </pt>
                <pt idx="371">
                  <v>116.5363128498187</v>
                </pt>
                <pt idx="372">
                  <v>118.2122905029881</v>
                </pt>
                <pt idx="373">
                  <v>116.5363128498187</v>
                </pt>
                <pt idx="374">
                  <v>117.4301675974308</v>
                </pt>
                <pt idx="375">
                  <v>118.2122905029881</v>
                </pt>
                <pt idx="376">
                  <v>116.312849162357</v>
                </pt>
                <pt idx="377">
                  <v>116.312849162357</v>
                </pt>
                <pt idx="378">
                  <v>118.7709497210837</v>
                </pt>
                <pt idx="379">
                  <v>114.9720670398215</v>
                </pt>
                <pt idx="380">
                  <v>114.6368715080703</v>
                </pt>
                <pt idx="381">
                  <v>113.7430167604582</v>
                </pt>
                <pt idx="382">
                  <v>116.759776536163</v>
                </pt>
                <pt idx="383">
                  <v>118.2122905029881</v>
                </pt>
                <pt idx="384">
                  <v>117.4301675974308</v>
                </pt>
                <pt idx="385">
                  <v>118.1005586598159</v>
                </pt>
                <pt idx="386">
                  <v>116.0893854748953</v>
                </pt>
                <pt idx="387">
                  <v>115.7541899442614</v>
                </pt>
                <pt idx="388">
                  <v>117.6536312848925</v>
                </pt>
                <pt idx="389">
                  <v>118.8826815642558</v>
                </pt>
                <pt idx="390">
                  <v>116.0893854748953</v>
                </pt>
                <pt idx="391">
                  <v>118.4357541904498</v>
                </pt>
                <pt idx="392">
                  <v>119.5530726255235</v>
                </pt>
              </numCache>
            </numRef>
          </val>
          <smooth val="0"/>
        </ser>
        <ser>
          <idx val="9"/>
          <order val="2"/>
          <tx>
            <strRef>
              <f>'IP World'!$M$1</f>
              <strCache>
                <ptCount val="1"/>
                <pt idx="0">
                  <v>United Kingdom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World'!$M$2:$M$395</f>
              <numCache>
                <formatCode>0.00</formatCode>
                <ptCount val="394"/>
                <pt idx="0">
                  <v>85.08287292845867</v>
                </pt>
                <pt idx="1">
                  <v>84.97237569023609</v>
                </pt>
                <pt idx="2">
                  <v>85.52486187822522</v>
                </pt>
                <pt idx="3">
                  <v>86.29834254161824</v>
                </pt>
                <pt idx="4">
                  <v>86.74033149138479</v>
                </pt>
                <pt idx="5">
                  <v>86.40883977879957</v>
                </pt>
                <pt idx="6">
                  <v>85.6353591164478</v>
                </pt>
                <pt idx="7">
                  <v>84.86187845305477</v>
                </pt>
                <pt idx="8">
                  <v>84.41988950328822</v>
                </pt>
                <pt idx="9">
                  <v>84.30939226506565</v>
                </pt>
                <pt idx="10">
                  <v>84.19889502788433</v>
                </pt>
                <pt idx="11">
                  <v>83.97790055248043</v>
                </pt>
                <pt idx="12">
                  <v>83.53591160271388</v>
                </pt>
                <pt idx="13">
                  <v>83.2044198890874</v>
                </pt>
                <pt idx="14">
                  <v>82.87292817650219</v>
                </pt>
                <pt idx="15">
                  <v>82.65193370213953</v>
                </pt>
                <pt idx="16">
                  <v>82.32044198851305</v>
                </pt>
                <pt idx="17">
                  <v>81.98895027592785</v>
                </pt>
                <pt idx="18">
                  <v>81.54696132616129</v>
                </pt>
                <pt idx="19">
                  <v>81.43646408897996</v>
                </pt>
                <pt idx="20">
                  <v>81.65745856334262</v>
                </pt>
                <pt idx="21">
                  <v>82.09944751415041</v>
                </pt>
                <pt idx="22">
                  <v>82.54143646391697</v>
                </pt>
                <pt idx="23">
                  <v>82.65193370213953</v>
                </pt>
                <pt idx="24">
                  <v>82.65193370213953</v>
                </pt>
                <pt idx="25">
                  <v>82.43093922673563</v>
                </pt>
                <pt idx="26">
                  <v>82.20994475133173</v>
                </pt>
                <pt idx="27">
                  <v>81.98895027592785</v>
                </pt>
                <pt idx="28">
                  <v>81.87845303874651</v>
                </pt>
                <pt idx="29">
                  <v>82.09944751415041</v>
                </pt>
                <pt idx="30">
                  <v>82.54143646391697</v>
                </pt>
                <pt idx="31">
                  <v>82.87292817650219</v>
                </pt>
                <pt idx="32">
                  <v>83.09392265190608</v>
                </pt>
                <pt idx="33">
                  <v>83.2044198890874</v>
                </pt>
                <pt idx="34">
                  <v>83.31491712730997</v>
                </pt>
                <pt idx="35">
                  <v>83.4254143644913</v>
                </pt>
                <pt idx="36">
                  <v>83.4254143644913</v>
                </pt>
                <pt idx="37">
                  <v>83.53591160271388</v>
                </pt>
                <pt idx="38">
                  <v>83.53591160271388</v>
                </pt>
                <pt idx="39">
                  <v>83.53591160271388</v>
                </pt>
                <pt idx="40">
                  <v>83.6464088398952</v>
                </pt>
                <pt idx="41">
                  <v>83.97790055248043</v>
                </pt>
                <pt idx="42">
                  <v>84.30939226506565</v>
                </pt>
                <pt idx="43">
                  <v>84.75138121587345</v>
                </pt>
                <pt idx="44">
                  <v>85.19337016564</v>
                </pt>
                <pt idx="45">
                  <v>85.52486187822522</v>
                </pt>
                <pt idx="46">
                  <v>85.85635359081046</v>
                </pt>
                <pt idx="47">
                  <v>86.07734806621434</v>
                </pt>
                <pt idx="48">
                  <v>86.40883977879957</v>
                </pt>
                <pt idx="49">
                  <v>86.96132596678869</v>
                </pt>
                <pt idx="50">
                  <v>87.73480663018171</v>
                </pt>
                <pt idx="51">
                  <v>88.5082872925335</v>
                </pt>
                <pt idx="52">
                  <v>89.06077348052261</v>
                </pt>
                <pt idx="53">
                  <v>89.17127071874519</v>
                </pt>
                <pt idx="54">
                  <v>89.28176795592651</v>
                </pt>
                <pt idx="55">
                  <v>89.39226519310783</v>
                </pt>
                <pt idx="56">
                  <v>89.94475138109695</v>
                </pt>
                <pt idx="57">
                  <v>90.6077348062674</v>
                </pt>
                <pt idx="58">
                  <v>90.82872928167131</v>
                </pt>
                <pt idx="59">
                  <v>90.49723756908608</v>
                </pt>
                <pt idx="60">
                  <v>89.94475138109695</v>
                </pt>
                <pt idx="61">
                  <v>89.61325966851174</v>
                </pt>
                <pt idx="62">
                  <v>89.72375690569307</v>
                </pt>
                <pt idx="63">
                  <v>90.16574585650085</v>
                </pt>
                <pt idx="64">
                  <v>90.6077348062674</v>
                </pt>
                <pt idx="65">
                  <v>90.82872928167131</v>
                </pt>
                <pt idx="66">
                  <v>90.93922651989388</v>
                </pt>
                <pt idx="67">
                  <v>90.82872928167131</v>
                </pt>
                <pt idx="68">
                  <v>90.82872928167131</v>
                </pt>
                <pt idx="69">
                  <v>90.93922651989388</v>
                </pt>
                <pt idx="70">
                  <v>91.16022099425652</v>
                </pt>
                <pt idx="71">
                  <v>91.49171270684175</v>
                </pt>
                <pt idx="72">
                  <v>91.82320442046823</v>
                </pt>
                <pt idx="73">
                  <v>91.93370165764955</v>
                </pt>
                <pt idx="74">
                  <v>91.71270718224565</v>
                </pt>
                <pt idx="75">
                  <v>91.38121546966042</v>
                </pt>
                <pt idx="76">
                  <v>91.0497237570752</v>
                </pt>
                <pt idx="77">
                  <v>91.0497237570752</v>
                </pt>
                <pt idx="78">
                  <v>91.2707182324791</v>
                </pt>
                <pt idx="79">
                  <v>91.60220994506433</v>
                </pt>
                <pt idx="80">
                  <v>92.04419889483087</v>
                </pt>
                <pt idx="81">
                  <v>92.3756906074161</v>
                </pt>
                <pt idx="82">
                  <v>92.59668508281999</v>
                </pt>
                <pt idx="83">
                  <v>92.8176795582239</v>
                </pt>
                <pt idx="84">
                  <v>92.70718232104257</v>
                </pt>
                <pt idx="85">
                  <v>93.25966850799044</v>
                </pt>
                <pt idx="86">
                  <v>92.48618784563867</v>
                </pt>
                <pt idx="87">
                  <v>92.59668508281999</v>
                </pt>
                <pt idx="88">
                  <v>92.59668508281999</v>
                </pt>
                <pt idx="89">
                  <v>92.8176795582239</v>
                </pt>
                <pt idx="90">
                  <v>94.47513812115001</v>
                </pt>
                <pt idx="91">
                  <v>93.48066298339435</v>
                </pt>
                <pt idx="92">
                  <v>94.25414364678737</v>
                </pt>
                <pt idx="93">
                  <v>95.35911602172436</v>
                </pt>
                <pt idx="94">
                  <v>96.24309392229871</v>
                </pt>
                <pt idx="95">
                  <v>97.01657458569173</v>
                </pt>
                <pt idx="96">
                  <v>97.90055248626608</v>
                </pt>
                <pt idx="97">
                  <v>98.6740331496591</v>
                </pt>
                <pt idx="98">
                  <v>99.00552486224431</v>
                </pt>
                <pt idx="99">
                  <v>98.78453038684042</v>
                </pt>
                <pt idx="100">
                  <v>97.23756906109564</v>
                </pt>
                <pt idx="101">
                  <v>96.79558011028783</v>
                </pt>
                <pt idx="102">
                  <v>96.02209944793607</v>
                </pt>
                <pt idx="103">
                  <v>95.80110497253216</v>
                </pt>
                <pt idx="104">
                  <v>95.02762430913913</v>
                </pt>
                <pt idx="105">
                  <v>95.13812154736171</v>
                </pt>
                <pt idx="106">
                  <v>95.69060773535084</v>
                </pt>
                <pt idx="107">
                  <v>97.34806629827696</v>
                </pt>
                <pt idx="108">
                  <v>100</v>
                </pt>
                <pt idx="109">
                  <v>99.44751381201087</v>
                </pt>
                <pt idx="110">
                  <v>100.3314917125852</v>
                </pt>
                <pt idx="111">
                  <v>100</v>
                </pt>
                <pt idx="112">
                  <v>100.773480663393</v>
                </pt>
                <pt idx="113">
                  <v>100.2209944754039</v>
                </pt>
                <pt idx="114">
                  <v>101.7679558011487</v>
                </pt>
                <pt idx="115">
                  <v>102.5414364645417</v>
                </pt>
                <pt idx="116">
                  <v>103.2044198897122</v>
                </pt>
                <pt idx="117">
                  <v>103.0939226525308</v>
                </pt>
                <pt idx="118">
                  <v>104.0883977902865</v>
                </pt>
                <pt idx="119">
                  <v>102.651933701723</v>
                </pt>
                <pt idx="120">
                  <v>103.0939226525308</v>
                </pt>
                <pt idx="121">
                  <v>103.3149171268935</v>
                </pt>
                <pt idx="122">
                  <v>102.9834254143083</v>
                </pt>
                <pt idx="123">
                  <v>102.9834254143083</v>
                </pt>
                <pt idx="124">
                  <v>102.3204419891378</v>
                </pt>
                <pt idx="125">
                  <v>102.9834254143083</v>
                </pt>
                <pt idx="126">
                  <v>102.3204419891378</v>
                </pt>
                <pt idx="127">
                  <v>103.6464088394787</v>
                </pt>
                <pt idx="128">
                  <v>103.2044198897122</v>
                </pt>
                <pt idx="129">
                  <v>103.6464088394787</v>
                </pt>
                <pt idx="130">
                  <v>104.6408839782756</v>
                </pt>
                <pt idx="131">
                  <v>107.2928176799987</v>
                </pt>
                <pt idx="132">
                  <v>108.0662983423504</v>
                </pt>
                <pt idx="133">
                  <v>108.0662983423504</v>
                </pt>
                <pt idx="134">
                  <v>108.0662983423504</v>
                </pt>
                <pt idx="135">
                  <v>107.5138121543613</v>
                </pt>
                <pt idx="136">
                  <v>106.5193370166056</v>
                </pt>
                <pt idx="137">
                  <v>106.629834253787</v>
                </pt>
                <pt idx="138">
                  <v>105.8563535914352</v>
                </pt>
                <pt idx="139">
                  <v>107.2928176799987</v>
                </pt>
                <pt idx="140">
                  <v>105.7458563532126</v>
                </pt>
                <pt idx="141">
                  <v>105.0828729280422</v>
                </pt>
                <pt idx="142">
                  <v>104.8618784526383</v>
                </pt>
                <pt idx="143">
                  <v>105.1933701662647</v>
                </pt>
                <pt idx="144">
                  <v>105.6353591160313</v>
                </pt>
                <pt idx="145">
                  <v>106.8508287291909</v>
                </pt>
                <pt idx="146">
                  <v>110.1657458560844</v>
                </pt>
                <pt idx="147">
                  <v>107.0718232045948</v>
                </pt>
                <pt idx="148">
                  <v>110.1657458560844</v>
                </pt>
                <pt idx="149">
                  <v>104.8618784526383</v>
                </pt>
                <pt idx="150">
                  <v>108.6187845303396</v>
                </pt>
                <pt idx="151">
                  <v>107.1823204417761</v>
                </pt>
                <pt idx="152">
                  <v>108.7292817685621</v>
                </pt>
                <pt idx="153">
                  <v>106.8508287291909</v>
                </pt>
                <pt idx="154">
                  <v>107.7348066297652</v>
                </pt>
                <pt idx="155">
                  <v>108.7292817685621</v>
                </pt>
                <pt idx="156">
                  <v>108.8397790057435</v>
                </pt>
                <pt idx="157">
                  <v>110.9392265194774</v>
                </pt>
                <pt idx="158">
                  <v>111.1602209948813</v>
                </pt>
                <pt idx="159">
                  <v>110.3867403314883</v>
                </pt>
                <pt idx="160">
                  <v>109.6132596691365</v>
                </pt>
                <pt idx="161">
                  <v>110.8287292822961</v>
                </pt>
                <pt idx="162">
                  <v>111.1602209948813</v>
                </pt>
                <pt idx="163">
                  <v>111.0497237566587</v>
                </pt>
                <pt idx="164">
                  <v>110.6077348068922</v>
                </pt>
                <pt idx="165">
                  <v>111.8232044200517</v>
                </pt>
                <pt idx="166">
                  <v>110.6077348068922</v>
                </pt>
                <pt idx="167">
                  <v>110.6077348068922</v>
                </pt>
                <pt idx="168">
                  <v>111.6022099446478</v>
                </pt>
                <pt idx="169">
                  <v>111.3812154692439</v>
                </pt>
                <pt idx="170">
                  <v>112.7071823206261</v>
                </pt>
                <pt idx="171">
                  <v>112.3756906080409</v>
                </pt>
                <pt idx="172">
                  <v>110.7182320440735</v>
                </pt>
                <pt idx="173">
                  <v>110.3867403314883</v>
                </pt>
                <pt idx="174">
                  <v>109.28176795551</v>
                </pt>
                <pt idx="175">
                  <v>107.9558011051691</v>
                </pt>
                <pt idx="176">
                  <v>107.7348066297652</v>
                </pt>
                <pt idx="177">
                  <v>108.6187845303396</v>
                </pt>
                <pt idx="178">
                  <v>109.1712707183287</v>
                </pt>
                <pt idx="179">
                  <v>108.5082872931582</v>
                </pt>
                <pt idx="180">
                  <v>108.5082872931582</v>
                </pt>
                <pt idx="181">
                  <v>108.3977900549357</v>
                </pt>
                <pt idx="182">
                  <v>105.9668508286165</v>
                </pt>
                <pt idx="183">
                  <v>109.5027624309139</v>
                </pt>
                <pt idx="184">
                  <v>108.8397790057435</v>
                </pt>
                <pt idx="185">
                  <v>110.2762430943069</v>
                </pt>
                <pt idx="186">
                  <v>109.5027624309139</v>
                </pt>
                <pt idx="187">
                  <v>108.6187845303396</v>
                </pt>
                <pt idx="188">
                  <v>108.9502762429248</v>
                </pt>
                <pt idx="189">
                  <v>108.176795580573</v>
                </pt>
                <pt idx="190">
                  <v>108.7292817685621</v>
                </pt>
                <pt idx="191">
                  <v>112.2651933698183</v>
                </pt>
                <pt idx="192">
                  <v>110.6077348068922</v>
                </pt>
                <pt idx="193">
                  <v>111.1602209948813</v>
                </pt>
                <pt idx="194">
                  <v>112.1546961326369</v>
                </pt>
                <pt idx="195">
                  <v>112.0441988954556</v>
                </pt>
                <pt idx="196">
                  <v>112.3756906080409</v>
                </pt>
                <pt idx="197">
                  <v>113.1491712703926</v>
                </pt>
                <pt idx="198">
                  <v>112.3756906080409</v>
                </pt>
                <pt idx="199">
                  <v>113.4806629840191</v>
                </pt>
                <pt idx="200">
                  <v>114.1436464091895</v>
                </pt>
                <pt idx="201">
                  <v>113.4806629840191</v>
                </pt>
                <pt idx="202">
                  <v>113.8121546966043</v>
                </pt>
                <pt idx="203">
                  <v>113.2596685086152</v>
                </pt>
                <pt idx="204">
                  <v>113.3701657457965</v>
                </pt>
                <pt idx="205">
                  <v>112.7071823206261</v>
                </pt>
                <pt idx="206">
                  <v>112.2651933698183</v>
                </pt>
                <pt idx="207">
                  <v>111.1602209948813</v>
                </pt>
                <pt idx="208">
                  <v>112.92817679603</v>
                </pt>
                <pt idx="209">
                  <v>110.8287292822961</v>
                </pt>
                <pt idx="210">
                  <v>109.3922651937326</v>
                </pt>
                <pt idx="211">
                  <v>110.9392265194774</v>
                </pt>
                <pt idx="212">
                  <v>109.6132596691365</v>
                </pt>
                <pt idx="213">
                  <v>109.3922651937326</v>
                </pt>
                <pt idx="214">
                  <v>109.3922651937326</v>
                </pt>
                <pt idx="215">
                  <v>109.6132596691365</v>
                </pt>
                <pt idx="216">
                  <v>109.9447513817217</v>
                </pt>
                <pt idx="217">
                  <v>110.4972375686696</v>
                </pt>
                <pt idx="218">
                  <v>108.7292817685621</v>
                </pt>
                <pt idx="219">
                  <v>111.2707182320626</v>
                </pt>
                <pt idx="220">
                  <v>110.2762430943069</v>
                </pt>
                <pt idx="221">
                  <v>110.1657458560844</v>
                </pt>
                <pt idx="222">
                  <v>110.4972375686696</v>
                </pt>
                <pt idx="223">
                  <v>110.8287292822961</v>
                </pt>
                <pt idx="224">
                  <v>110.4972375686696</v>
                </pt>
                <pt idx="225">
                  <v>109.28176795551</v>
                </pt>
                <pt idx="226">
                  <v>105.8563535914352</v>
                </pt>
                <pt idx="227">
                  <v>105.8563535914352</v>
                </pt>
                <pt idx="228">
                  <v>102.3204419891378</v>
                </pt>
                <pt idx="229">
                  <v>102.8729281771269</v>
                </pt>
                <pt idx="230">
                  <v>102.4309392263191</v>
                </pt>
                <pt idx="231">
                  <v>103.3149171268935</v>
                </pt>
                <pt idx="232">
                  <v>101.3259668513821</v>
                </pt>
                <pt idx="233">
                  <v>102.4309392263191</v>
                </pt>
                <pt idx="234">
                  <v>102.651933701723</v>
                </pt>
                <pt idx="235">
                  <v>100</v>
                </pt>
                <pt idx="236">
                  <v>101.7679558011487</v>
                </pt>
                <pt idx="237">
                  <v>101.7679558011487</v>
                </pt>
                <pt idx="238">
                  <v>101.6574585639674</v>
                </pt>
                <pt idx="239">
                  <v>101.4364640885635</v>
                </pt>
                <pt idx="240">
                  <v>100.5524861879891</v>
                </pt>
                <pt idx="241">
                  <v>102.5414364645417</v>
                </pt>
                <pt idx="242">
                  <v>103.7569060777013</v>
                </pt>
                <pt idx="243">
                  <v>102.3204419891378</v>
                </pt>
                <pt idx="244">
                  <v>102.3204419891378</v>
                </pt>
                <pt idx="245">
                  <v>100.6629834251704</v>
                </pt>
                <pt idx="246">
                  <v>99.55801105023345</v>
                </pt>
                <pt idx="247">
                  <v>100</v>
                </pt>
                <pt idx="248">
                  <v>99.7790055245961</v>
                </pt>
                <pt idx="249">
                  <v>100.8839779005743</v>
                </pt>
                <pt idx="250">
                  <v>98.6740331496591</v>
                </pt>
                <pt idx="251">
                  <v>97.01657458569173</v>
                </pt>
                <pt idx="252">
                  <v>96.90607734851041</v>
                </pt>
                <pt idx="253">
                  <v>95.35911602172436</v>
                </pt>
                <pt idx="254">
                  <v>95.13812154736171</v>
                </pt>
                <pt idx="255">
                  <v>94.25414364678737</v>
                </pt>
                <pt idx="256">
                  <v>95.58011049712826</v>
                </pt>
                <pt idx="257">
                  <v>96.02209944793607</v>
                </pt>
                <pt idx="258">
                  <v>95.69060773535084</v>
                </pt>
                <pt idx="259">
                  <v>95.13812154736171</v>
                </pt>
                <pt idx="260">
                  <v>95.02762430913913</v>
                </pt>
                <pt idx="261">
                  <v>94.69613259655392</v>
                </pt>
                <pt idx="262">
                  <v>94.25414364678737</v>
                </pt>
                <pt idx="263">
                  <v>94.80662983477649</v>
                </pt>
                <pt idx="264">
                  <v>94.14364640856479</v>
                </pt>
                <pt idx="265">
                  <v>94.25414364678737</v>
                </pt>
                <pt idx="266">
                  <v>94.80662983477649</v>
                </pt>
                <pt idx="267">
                  <v>95.24861878454303</v>
                </pt>
                <pt idx="268">
                  <v>95.80110497253216</v>
                </pt>
                <pt idx="269">
                  <v>94.47513812115001</v>
                </pt>
                <pt idx="270">
                  <v>97.67955801086217</v>
                </pt>
                <pt idx="271">
                  <v>96.79558011028783</v>
                </pt>
                <pt idx="272">
                  <v>94.47513812115001</v>
                </pt>
                <pt idx="273">
                  <v>94.58563535937259</v>
                </pt>
                <pt idx="274">
                  <v>94.91712707195781</v>
                </pt>
                <pt idx="275">
                  <v>96.02209944793607</v>
                </pt>
                <pt idx="276">
                  <v>94.58563535937259</v>
                </pt>
                <pt idx="277">
                  <v>95.35911602172436</v>
                </pt>
                <pt idx="278">
                  <v>96.79558011028783</v>
                </pt>
                <pt idx="279">
                  <v>96.24309392229871</v>
                </pt>
                <pt idx="280">
                  <v>96.68508287310651</v>
                </pt>
                <pt idx="281">
                  <v>97.79005524908474</v>
                </pt>
                <pt idx="282">
                  <v>98.0110497234474</v>
                </pt>
                <pt idx="283">
                  <v>97.12707182287306</v>
                </pt>
                <pt idx="284">
                  <v>98.78453038684042</v>
                </pt>
                <pt idx="285">
                  <v>98.56353591143653</v>
                </pt>
                <pt idx="286">
                  <v>99.22651933660697</v>
                </pt>
                <pt idx="287">
                  <v>99.11602209942565</v>
                </pt>
                <pt idx="288">
                  <v>100</v>
                </pt>
                <pt idx="289">
                  <v>99.88950276281868</v>
                </pt>
                <pt idx="290">
                  <v>98.6740331496591</v>
                </pt>
                <pt idx="291">
                  <v>98.89502762402174</v>
                </pt>
                <pt idx="292">
                  <v>98.34254143707388</v>
                </pt>
                <pt idx="293">
                  <v>98.2320441988513</v>
                </pt>
                <pt idx="294">
                  <v>99.33701657482955</v>
                </pt>
                <pt idx="295">
                  <v>98.2320441988513</v>
                </pt>
                <pt idx="296">
                  <v>98.89502762402174</v>
                </pt>
                <pt idx="297">
                  <v>98.78453038684042</v>
                </pt>
                <pt idx="298">
                  <v>99.7790055245961</v>
                </pt>
                <pt idx="299">
                  <v>101.7679558011487</v>
                </pt>
                <pt idx="300">
                  <v>103.4254143651161</v>
                </pt>
                <pt idx="301">
                  <v>104.530386740053</v>
                </pt>
                <pt idx="302">
                  <v>105.0828729280422</v>
                </pt>
                <pt idx="303">
                  <v>104.9723756908609</v>
                </pt>
                <pt idx="304">
                  <v>104.4198895028717</v>
                </pt>
                <pt idx="305">
                  <v>104.6408839782756</v>
                </pt>
                <pt idx="306">
                  <v>104.0883977902865</v>
                </pt>
                <pt idx="307">
                  <v>104.4198895028717</v>
                </pt>
                <pt idx="308">
                  <v>104.1988950274678</v>
                </pt>
                <pt idx="309">
                  <v>104.1988950274678</v>
                </pt>
                <pt idx="310">
                  <v>102.8729281771269</v>
                </pt>
                <pt idx="311">
                  <v>102.651933701723</v>
                </pt>
                <pt idx="312">
                  <v>104.1988950274678</v>
                </pt>
                <pt idx="313">
                  <v>103.5359116022974</v>
                </pt>
                <pt idx="314">
                  <v>104.4198895028717</v>
                </pt>
                <pt idx="315">
                  <v>107.7348066297652</v>
                </pt>
                <pt idx="316">
                  <v>105.9668508286165</v>
                </pt>
                <pt idx="317">
                  <v>104.7513812154569</v>
                </pt>
                <pt idx="318">
                  <v>104.7513812154569</v>
                </pt>
                <pt idx="319">
                  <v>104.530386740053</v>
                </pt>
                <pt idx="320">
                  <v>104.3093922656904</v>
                </pt>
                <pt idx="321">
                  <v>102.7624309389043</v>
                </pt>
                <pt idx="322">
                  <v>103.6464088394787</v>
                </pt>
                <pt idx="323">
                  <v>105.1933701662647</v>
                </pt>
                <pt idx="324">
                  <v>103.8674033148826</v>
                </pt>
                <pt idx="325">
                  <v>103.3149171268935</v>
                </pt>
                <pt idx="326">
                  <v>102.0994475137339</v>
                </pt>
                <pt idx="327">
                  <v>102.9834254143083</v>
                </pt>
                <pt idx="328">
                  <v>103.2044198897122</v>
                </pt>
                <pt idx="329">
                  <v>103.0939226525308</v>
                </pt>
                <pt idx="330">
                  <v>104.0883977902865</v>
                </pt>
                <pt idx="331">
                  <v>104.1988950274678</v>
                </pt>
                <pt idx="332">
                  <v>106.0773480668391</v>
                </pt>
                <pt idx="333">
                  <v>106.2983425412017</v>
                </pt>
                <pt idx="334">
                  <v>107.0718232045948</v>
                </pt>
                <pt idx="335">
                  <v>107.40331491718</v>
                </pt>
                <pt idx="336">
                  <v>107.2928176799987</v>
                </pt>
                <pt idx="337">
                  <v>107.6243093925839</v>
                </pt>
                <pt idx="338">
                  <v>107.40331491718</v>
                </pt>
                <pt idx="339">
                  <v>107.2928176799987</v>
                </pt>
                <pt idx="340">
                  <v>107.0718232045948</v>
                </pt>
                <pt idx="341">
                  <v>108.9502762429248</v>
                </pt>
                <pt idx="342">
                  <v>108.0662983423504</v>
                </pt>
                <pt idx="343">
                  <v>108.8397790057435</v>
                </pt>
                <pt idx="344">
                  <v>109.0607734811474</v>
                </pt>
                <pt idx="345">
                  <v>107.9558011051691</v>
                </pt>
                <pt idx="346">
                  <v>107.8453038679878</v>
                </pt>
                <pt idx="347">
                  <v>108.0662983423504</v>
                </pt>
                <pt idx="348">
                  <v>109.1712707183287</v>
                </pt>
                <pt idx="349">
                  <v>109.8342541434991</v>
                </pt>
                <pt idx="350">
                  <v>110.8287292822961</v>
                </pt>
                <pt idx="351">
                  <v>108.2872928177543</v>
                </pt>
                <pt idx="352">
                  <v>109.6132596691365</v>
                </pt>
                <pt idx="353">
                  <v>109.9447513817217</v>
                </pt>
                <pt idx="354">
                  <v>110.3867403314883</v>
                </pt>
                <pt idx="355">
                  <v>109.7237569063178</v>
                </pt>
                <pt idx="356">
                  <v>111.3812154692439</v>
                </pt>
                <pt idx="357">
                  <v>112.3756906080409</v>
                </pt>
                <pt idx="358">
                  <v>112.0441988954556</v>
                </pt>
                <pt idx="359">
                  <v>112.1546961326369</v>
                </pt>
                <pt idx="360">
                  <v>114.5856353589561</v>
                </pt>
                <pt idx="361">
                  <v>115.580110497753</v>
                </pt>
                <pt idx="362">
                  <v>109.7237569063178</v>
                </pt>
                <pt idx="363">
                  <v>89.72375690569307</v>
                </pt>
                <pt idx="364">
                  <v>96.4640883977026</v>
                </pt>
                <pt idx="365">
                  <v>107.7348066297652</v>
                </pt>
                <pt idx="366">
                  <v>113.7016574583817</v>
                </pt>
                <pt idx="367">
                  <v>115.9116022103382</v>
                </pt>
                <pt idx="368">
                  <v>117.6795580114869</v>
                </pt>
                <pt idx="369">
                  <v>118.8950276246465</v>
                </pt>
                <pt idx="370">
                  <v>120.7734806629765</v>
                </pt>
                <pt idx="371">
                  <v>121.6574585635509</v>
                </pt>
                <pt idx="372">
                  <v>119.6685082869983</v>
                </pt>
                <pt idx="373">
                  <v>120.1104972378061</v>
                </pt>
                <pt idx="374">
                  <v>121.2154696137843</v>
                </pt>
                <pt idx="375">
                  <v>120.5524861875726</v>
                </pt>
                <pt idx="376">
                  <v>122.5414364641252</v>
                </pt>
                <pt idx="377">
                  <v>120.2209944749874</v>
                </pt>
                <pt idx="378">
                  <v>120.4419889503913</v>
                </pt>
                <pt idx="379">
                  <v>120.8839779001578</v>
                </pt>
                <pt idx="380">
                  <v>119.6685082869983</v>
                </pt>
                <pt idx="381">
                  <v>118.7845303864239</v>
                </pt>
                <pt idx="382">
                  <v>118.8950276246465</v>
                </pt>
                <pt idx="383">
                  <v>119.0055248618278</v>
                </pt>
                <pt idx="384">
                  <v>118.4530386738387</v>
                </pt>
                <pt idx="385">
                  <v>118.1215469612535</v>
                </pt>
                <pt idx="386">
                  <v>118.1215469612535</v>
                </pt>
                <pt idx="387">
                  <v>117.9005524858496</v>
                </pt>
                <pt idx="388">
                  <v>118.3425414366574</v>
                </pt>
                <pt idx="389">
                  <v>118.0110497240722</v>
                </pt>
                <pt idx="390">
                  <v>117.2375690606791</v>
                </pt>
                <pt idx="391">
                  <v>115.580110497753</v>
                </pt>
                <pt idx="392">
                  <v>115.9116022103382</v>
                </pt>
              </numCache>
            </numRef>
          </val>
          <smooth val="0"/>
        </ser>
        <ser>
          <idx val="10"/>
          <order val="3"/>
          <tx>
            <strRef>
              <f>'IP World'!$O$1</f>
              <strCache>
                <ptCount val="1"/>
                <pt idx="0">
                  <v xml:space="preserve">USA </v>
                </pt>
              </strCache>
            </strRef>
          </tx>
          <spPr>
            <a:ln xmlns:a="http://schemas.openxmlformats.org/drawingml/2006/main" w="28575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World'!$O$2:$O$395</f>
              <numCache>
                <formatCode>0.00</formatCode>
                <ptCount val="394"/>
                <pt idx="0">
                  <v>70.66395043981007</v>
                </pt>
                <pt idx="1">
                  <v>71.30964527461524</v>
                </pt>
                <pt idx="2">
                  <v>71.6550834317637</v>
                </pt>
                <pt idx="3">
                  <v>71.5015807798443</v>
                </pt>
                <pt idx="4">
                  <v>71.7067847715041</v>
                </pt>
                <pt idx="5">
                  <v>71.93841135075154</v>
                </pt>
                <pt idx="6">
                  <v>71.82517168999119</v>
                </pt>
                <pt idx="7">
                  <v>72.08916879878072</v>
                </pt>
                <pt idx="8">
                  <v>72.099120163027</v>
                </pt>
                <pt idx="9">
                  <v>71.65737110147997</v>
                </pt>
                <pt idx="10">
                  <v>70.76689558627042</v>
                </pt>
                <pt idx="11">
                  <v>70.27092874817976</v>
                </pt>
                <pt idx="12">
                  <v>70.03026587303397</v>
                </pt>
                <pt idx="13">
                  <v>69.52114493378639</v>
                </pt>
                <pt idx="14">
                  <v>69.13075406192607</v>
                </pt>
                <pt idx="15">
                  <v>69.31433957251772</v>
                </pt>
                <pt idx="16">
                  <v>70.00738917471774</v>
                </pt>
                <pt idx="17">
                  <v>70.56580940102275</v>
                </pt>
                <pt idx="18">
                  <v>70.7540846351672</v>
                </pt>
                <pt idx="19">
                  <v>70.76689558627042</v>
                </pt>
                <pt idx="20">
                  <v>71.35871579458566</v>
                </pt>
                <pt idx="21">
                  <v>71.28711172519917</v>
                </pt>
                <pt idx="22">
                  <v>71.19537616254024</v>
                </pt>
                <pt idx="23">
                  <v>70.8840242863559</v>
                </pt>
                <pt idx="24">
                  <v>70.51410806128234</v>
                </pt>
                <pt idx="25">
                  <v>71.00858791273086</v>
                </pt>
                <pt idx="26">
                  <v>71.5989211355575</v>
                </pt>
                <pt idx="27">
                  <v>72.14464479372597</v>
                </pt>
                <pt idx="28">
                  <v>72.37741520840834</v>
                </pt>
                <pt idx="29">
                  <v>72.41641998001222</v>
                </pt>
                <pt idx="30">
                  <v>73.06463125046712</v>
                </pt>
                <pt idx="31">
                  <v>72.6587986077336</v>
                </pt>
                <pt idx="32">
                  <v>72.88710806479659</v>
                </pt>
                <pt idx="33">
                  <v>73.38341805409449</v>
                </pt>
                <pt idx="34">
                  <v>73.67944254121883</v>
                </pt>
                <pt idx="35">
                  <v>73.7957705559231</v>
                </pt>
                <pt idx="36">
                  <v>74.09053682464582</v>
                </pt>
                <pt idx="37">
                  <v>74.44135100660802</v>
                </pt>
                <pt idx="38">
                  <v>74.36940378832139</v>
                </pt>
                <pt idx="39">
                  <v>74.58272900753161</v>
                </pt>
                <pt idx="40">
                  <v>74.284416850691</v>
                </pt>
                <pt idx="41">
                  <v>74.46182565224126</v>
                </pt>
                <pt idx="42">
                  <v>74.64140774054106</v>
                </pt>
                <pt idx="43">
                  <v>74.57186257493741</v>
                </pt>
                <pt idx="44">
                  <v>74.95344591798637</v>
                </pt>
                <pt idx="45">
                  <v>75.51049354176945</v>
                </pt>
                <pt idx="46">
                  <v>75.86965771952262</v>
                </pt>
                <pt idx="47">
                  <v>76.29813829463892</v>
                </pt>
                <pt idx="48">
                  <v>76.54131760658795</v>
                </pt>
                <pt idx="49">
                  <v>76.59599291730557</v>
                </pt>
                <pt idx="50">
                  <v>77.3615616549329</v>
                </pt>
                <pt idx="51">
                  <v>77.81898125559364</v>
                </pt>
                <pt idx="52">
                  <v>78.18466529128835</v>
                </pt>
                <pt idx="53">
                  <v>78.69607390140575</v>
                </pt>
                <pt idx="54">
                  <v>78.79455809140029</v>
                </pt>
                <pt idx="55">
                  <v>79.31488861329578</v>
                </pt>
                <pt idx="56">
                  <v>79.56218573165692</v>
                </pt>
                <pt idx="57">
                  <v>80.20456344427765</v>
                </pt>
                <pt idx="58">
                  <v>80.74811381685015</v>
                </pt>
                <pt idx="59">
                  <v>81.53415720011073</v>
                </pt>
                <pt idx="60">
                  <v>81.7044742254252</v>
                </pt>
                <pt idx="61">
                  <v>81.59466606981603</v>
                </pt>
                <pt idx="62">
                  <v>81.72140298294055</v>
                </pt>
                <pt idx="63">
                  <v>81.58848936077463</v>
                </pt>
                <pt idx="64">
                  <v>81.96721311465956</v>
                </pt>
                <pt idx="65">
                  <v>82.23795884963114</v>
                </pt>
                <pt idx="66">
                  <v>81.88988987155918</v>
                </pt>
                <pt idx="67">
                  <v>82.96681048537087</v>
                </pt>
                <pt idx="68">
                  <v>83.29943769141612</v>
                </pt>
                <pt idx="69">
                  <v>83.17167132582341</v>
                </pt>
                <pt idx="70">
                  <v>83.37229997805069</v>
                </pt>
                <pt idx="71">
                  <v>83.66340597453525</v>
                </pt>
                <pt idx="72">
                  <v>83.21067609858085</v>
                </pt>
                <pt idx="73">
                  <v>84.40026445485867</v>
                </pt>
                <pt idx="74">
                  <v>84.27192617327884</v>
                </pt>
                <pt idx="75">
                  <v>85.11882157629842</v>
                </pt>
                <pt idx="76">
                  <v>85.75536572993147</v>
                </pt>
                <pt idx="77">
                  <v>86.39579892288963</v>
                </pt>
                <pt idx="78">
                  <v>86.39648522415057</v>
                </pt>
                <pt idx="79">
                  <v>86.8318288095692</v>
                </pt>
                <pt idx="80">
                  <v>87.39265108971071</v>
                </pt>
                <pt idx="81">
                  <v>87.38109835700912</v>
                </pt>
                <pt idx="82">
                  <v>88.15215750241693</v>
                </pt>
                <pt idx="83">
                  <v>88.7093195103203</v>
                </pt>
                <pt idx="84">
                  <v>88.8696851713885</v>
                </pt>
                <pt idx="85">
                  <v>89.91915374514436</v>
                </pt>
                <pt idx="86">
                  <v>90.4797472581989</v>
                </pt>
                <pt idx="87">
                  <v>90.55546913284397</v>
                </pt>
                <pt idx="88">
                  <v>91.05887089837763</v>
                </pt>
                <pt idx="89">
                  <v>91.48414873542973</v>
                </pt>
                <pt idx="90">
                  <v>92.24937432300339</v>
                </pt>
                <pt idx="91">
                  <v>93.17084776523312</v>
                </pt>
                <pt idx="92">
                  <v>94.03695959548432</v>
                </pt>
                <pt idx="93">
                  <v>94.85926254761209</v>
                </pt>
                <pt idx="94">
                  <v>95.61533745516714</v>
                </pt>
                <pt idx="95">
                  <v>96.0473639184013</v>
                </pt>
                <pt idx="96">
                  <v>96.47870408152808</v>
                </pt>
                <pt idx="97">
                  <v>96.63861220842233</v>
                </pt>
                <pt idx="98">
                  <v>96.67830328128716</v>
                </pt>
                <pt idx="99">
                  <v>97.02865992907542</v>
                </pt>
                <pt idx="100">
                  <v>97.63729451078574</v>
                </pt>
                <pt idx="101">
                  <v>97.05050717723053</v>
                </pt>
                <pt idx="102">
                  <v>96.66103137371813</v>
                </pt>
                <pt idx="103">
                  <v>98.65164735110929</v>
                </pt>
                <pt idx="104">
                  <v>98.56505904502359</v>
                </pt>
                <pt idx="105">
                  <v>99.24724221462941</v>
                </pt>
                <pt idx="106">
                  <v>99.16236966111929</v>
                </pt>
                <pt idx="107">
                  <v>99.58604612856253</v>
                </pt>
                <pt idx="108">
                  <v>100</v>
                </pt>
                <pt idx="109">
                  <v>100.5728325481706</v>
                </pt>
                <pt idx="110">
                  <v>100.7834125634906</v>
                </pt>
                <pt idx="111">
                  <v>101.0127514730218</v>
                </pt>
                <pt idx="112">
                  <v>101.6282490638809</v>
                </pt>
                <pt idx="113">
                  <v>101.5700278638919</v>
                </pt>
                <pt idx="114">
                  <v>102.1580734170022</v>
                </pt>
                <pt idx="115">
                  <v>102.6144635651948</v>
                </pt>
                <pt idx="116">
                  <v>102.1823227178403</v>
                </pt>
                <pt idx="117">
                  <v>103.508370584402</v>
                </pt>
                <pt idx="118">
                  <v>104.0489469859972</v>
                </pt>
                <pt idx="119">
                  <v>104.8672465158332</v>
                </pt>
                <pt idx="120">
                  <v>104.805136276519</v>
                </pt>
                <pt idx="121">
                  <v>105.1900367405989</v>
                </pt>
                <pt idx="122">
                  <v>105.5894639083575</v>
                </pt>
                <pt idx="123">
                  <v>106.2476265430587</v>
                </pt>
                <pt idx="124">
                  <v>106.5619523890667</v>
                </pt>
                <pt idx="125">
                  <v>106.6246345455216</v>
                </pt>
                <pt idx="126">
                  <v>106.422404524839</v>
                </pt>
                <pt idx="127">
                  <v>106.1364457849276</v>
                </pt>
                <pt idx="128">
                  <v>106.5536023944293</v>
                </pt>
                <pt idx="129">
                  <v>106.1891765771362</v>
                </pt>
                <pt idx="130">
                  <v>106.1930656153078</v>
                </pt>
                <pt idx="131">
                  <v>105.8429377346066</v>
                </pt>
                <pt idx="132">
                  <v>105.2675887507862</v>
                </pt>
                <pt idx="133">
                  <v>104.5555514895951</v>
                </pt>
                <pt idx="134">
                  <v>104.2892667110893</v>
                </pt>
                <pt idx="135">
                  <v>103.9479463591994</v>
                </pt>
                <pt idx="136">
                  <v>103.3740843608677</v>
                </pt>
                <pt idx="137">
                  <v>102.7879833285734</v>
                </pt>
                <pt idx="138">
                  <v>102.1774042272006</v>
                </pt>
                <pt idx="139">
                  <v>102.053069366759</v>
                </pt>
                <pt idx="140">
                  <v>101.512836116371</v>
                </pt>
                <pt idx="141">
                  <v>101.2013698572199</v>
                </pt>
                <pt idx="142">
                  <v>100.6152688249257</v>
                </pt>
                <pt idx="143">
                  <v>100.5807250086341</v>
                </pt>
                <pt idx="144">
                  <v>101.2810951541568</v>
                </pt>
                <pt idx="145">
                  <v>101.2708006398569</v>
                </pt>
                <pt idx="146">
                  <v>102.0411734840037</v>
                </pt>
                <pt idx="147">
                  <v>102.5321074473344</v>
                </pt>
                <pt idx="148">
                  <v>102.9761441785977</v>
                </pt>
                <pt idx="149">
                  <v>103.8196080764661</v>
                </pt>
                <pt idx="150">
                  <v>103.7958163098019</v>
                </pt>
                <pt idx="151">
                  <v>103.6621020034083</v>
                </pt>
                <pt idx="152">
                  <v>103.7733971445061</v>
                </pt>
                <pt idx="153">
                  <v>103.5032233278287</v>
                </pt>
                <pt idx="154">
                  <v>104.0687353303695</v>
                </pt>
                <pt idx="155">
                  <v>103.5077986672613</v>
                </pt>
                <pt idx="156">
                  <v>104.3629296819516</v>
                </pt>
                <pt idx="157">
                  <v>104.4760549597452</v>
                </pt>
                <pt idx="158">
                  <v>104.167905821625</v>
                </pt>
                <pt idx="159">
                  <v>103.5071123660003</v>
                </pt>
                <pt idx="160">
                  <v>103.4824055309883</v>
                </pt>
                <pt idx="161">
                  <v>103.6198944937403</v>
                </pt>
                <pt idx="162">
                  <v>104.1592126757804</v>
                </pt>
                <pt idx="163">
                  <v>103.9119155585728</v>
                </pt>
                <pt idx="164">
                  <v>104.5983309164039</v>
                </pt>
                <pt idx="165">
                  <v>104.7289568688535</v>
                </pt>
                <pt idx="166">
                  <v>105.4344742709495</v>
                </pt>
                <pt idx="167">
                  <v>105.5224351795571</v>
                </pt>
                <pt idx="168">
                  <v>105.6980138455651</v>
                </pt>
                <pt idx="169">
                  <v>106.3408490923598</v>
                </pt>
                <pt idx="170">
                  <v>105.9191171434256</v>
                </pt>
                <pt idx="171">
                  <v>106.3493134711174</v>
                </pt>
                <pt idx="172">
                  <v>107.1139671403969</v>
                </pt>
                <pt idx="173">
                  <v>106.2969258301161</v>
                </pt>
                <pt idx="174">
                  <v>107.0754199029669</v>
                </pt>
                <pt idx="175">
                  <v>107.1725314904396</v>
                </pt>
                <pt idx="176">
                  <v>107.2869149866348</v>
                </pt>
                <pt idx="177">
                  <v>108.2326377297027</v>
                </pt>
                <pt idx="178">
                  <v>108.4917163478524</v>
                </pt>
                <pt idx="179">
                  <v>109.3324350418306</v>
                </pt>
                <pt idx="180">
                  <v>109.7263718018088</v>
                </pt>
                <pt idx="181">
                  <v>110.5272850399554</v>
                </pt>
                <pt idx="182">
                  <v>110.3694358156905</v>
                </pt>
                <pt idx="183">
                  <v>110.5869932242796</v>
                </pt>
                <pt idx="184">
                  <v>110.714645205752</v>
                </pt>
                <pt idx="185">
                  <v>111.1693196013689</v>
                </pt>
                <pt idx="186">
                  <v>110.8354341780756</v>
                </pt>
                <pt idx="187">
                  <v>111.2062654714971</v>
                </pt>
                <pt idx="188">
                  <v>109.0604310896109</v>
                </pt>
                <pt idx="189">
                  <v>110.3779001944482</v>
                </pt>
                <pt idx="190">
                  <v>111.5978001776388</v>
                </pt>
                <pt idx="191">
                  <v>112.1212190546317</v>
                </pt>
                <pt idx="192">
                  <v>112.3296257832022</v>
                </pt>
                <pt idx="193">
                  <v>112.3708038415556</v>
                </pt>
                <pt idx="194">
                  <v>112.6382324554963</v>
                </pt>
                <pt idx="195">
                  <v>112.9840137626985</v>
                </pt>
                <pt idx="196">
                  <v>112.9976253991829</v>
                </pt>
                <pt idx="197">
                  <v>113.3619368335093</v>
                </pt>
                <pt idx="198">
                  <v>113.2804957839968</v>
                </pt>
                <pt idx="199">
                  <v>113.7638804380712</v>
                </pt>
                <pt idx="200">
                  <v>113.5306524903684</v>
                </pt>
                <pt idx="201">
                  <v>113.412837489022</v>
                </pt>
                <pt idx="202">
                  <v>113.3510704009151</v>
                </pt>
                <pt idx="203">
                  <v>114.5112621997816</v>
                </pt>
                <pt idx="204">
                  <v>114.0661960172037</v>
                </pt>
                <pt idx="205">
                  <v>115.1749152422632</v>
                </pt>
                <pt idx="206">
                  <v>115.3965904572644</v>
                </pt>
                <pt idx="207">
                  <v>116.1881242483054</v>
                </pt>
                <pt idx="208">
                  <v>116.26865022947</v>
                </pt>
                <pt idx="209">
                  <v>116.2983899380885</v>
                </pt>
                <pt idx="210">
                  <v>116.1709667237031</v>
                </pt>
                <pt idx="211">
                  <v>116.4139172697187</v>
                </pt>
                <pt idx="212">
                  <v>116.7030787465407</v>
                </pt>
                <pt idx="213">
                  <v>116.3610720945434</v>
                </pt>
                <pt idx="214">
                  <v>117.0354771854989</v>
                </pt>
                <pt idx="215">
                  <v>117.0227806173624</v>
                </pt>
                <pt idx="216">
                  <v>116.8640163259031</v>
                </pt>
                <pt idx="217">
                  <v>116.4049953567871</v>
                </pt>
                <pt idx="218">
                  <v>115.9832634078528</v>
                </pt>
                <pt idx="219">
                  <v>115.2114035782174</v>
                </pt>
                <pt idx="220">
                  <v>114.5435183452034</v>
                </pt>
                <pt idx="221">
                  <v>114.2852404124348</v>
                </pt>
                <pt idx="222">
                  <v>113.8050584964246</v>
                </pt>
                <pt idx="223">
                  <v>112.0234211647446</v>
                </pt>
                <pt idx="224">
                  <v>107.1298664465976</v>
                </pt>
                <pt idx="225">
                  <v>108.1890576175127</v>
                </pt>
                <pt idx="226">
                  <v>106.7718461042793</v>
                </pt>
                <pt idx="227">
                  <v>103.7667629024443</v>
                </pt>
                <pt idx="228">
                  <v>101.1931342455493</v>
                </pt>
                <pt idx="229">
                  <v>100.584270896752</v>
                </pt>
                <pt idx="230">
                  <v>98.99925879500732</v>
                </pt>
                <pt idx="231">
                  <v>98.20944075654185</v>
                </pt>
                <pt idx="232">
                  <v>97.22494200780356</v>
                </pt>
                <pt idx="233">
                  <v>96.91450519996715</v>
                </pt>
                <pt idx="234">
                  <v>98.0370648285981</v>
                </pt>
                <pt idx="235">
                  <v>99.09419709688397</v>
                </pt>
                <pt idx="236">
                  <v>99.92713771336543</v>
                </pt>
                <pt idx="237">
                  <v>100.1413780009236</v>
                </pt>
                <pt idx="238">
                  <v>100.5595640617399</v>
                </pt>
                <pt idx="239">
                  <v>100.9226172776646</v>
                </pt>
                <pt idx="240">
                  <v>102.0227577409998</v>
                </pt>
                <pt idx="241">
                  <v>102.383408903088</v>
                </pt>
                <pt idx="242">
                  <v>103.1108879363059</v>
                </pt>
                <pt idx="243">
                  <v>103.4873240216281</v>
                </pt>
                <pt idx="244">
                  <v>104.9046499189817</v>
                </pt>
                <pt idx="245">
                  <v>105.1512607349284</v>
                </pt>
                <pt idx="246">
                  <v>105.5458837961676</v>
                </pt>
                <pt idx="247">
                  <v>105.9362746668743</v>
                </pt>
                <pt idx="248">
                  <v>106.224292309415</v>
                </pt>
                <pt idx="249">
                  <v>105.934902065506</v>
                </pt>
                <pt idx="250">
                  <v>106.0074212020869</v>
                </pt>
                <pt idx="251">
                  <v>107.0333267762656</v>
                </pt>
                <pt idx="252">
                  <v>106.8105077258295</v>
                </pt>
                <pt idx="253">
                  <v>106.3824846848872</v>
                </pt>
                <pt idx="254">
                  <v>107.4953217152053</v>
                </pt>
                <pt idx="255">
                  <v>107.1230034362952</v>
                </pt>
                <pt idx="256">
                  <v>107.2777643066162</v>
                </pt>
                <pt idx="257">
                  <v>107.5637230465276</v>
                </pt>
                <pt idx="258">
                  <v>108.1091035546424</v>
                </pt>
                <pt idx="259">
                  <v>108.8087873977507</v>
                </pt>
                <pt idx="260">
                  <v>108.7480497621119</v>
                </pt>
                <pt idx="261">
                  <v>109.4982911106793</v>
                </pt>
                <pt idx="262">
                  <v>109.5170500048905</v>
                </pt>
                <pt idx="263">
                  <v>110.0537373671606</v>
                </pt>
                <pt idx="264">
                  <v>110.7290575264641</v>
                </pt>
                <pt idx="265">
                  <v>111.070149111267</v>
                </pt>
                <pt idx="266">
                  <v>110.4913686222955</v>
                </pt>
                <pt idx="267">
                  <v>111.29582774856</v>
                </pt>
                <pt idx="268">
                  <v>111.5291700792295</v>
                </pt>
                <pt idx="269">
                  <v>111.5128132400084</v>
                </pt>
                <pt idx="270">
                  <v>111.7794411685679</v>
                </pt>
                <pt idx="271">
                  <v>111.3100113021851</v>
                </pt>
                <pt idx="272">
                  <v>111.227083267184</v>
                </pt>
                <pt idx="273">
                  <v>111.5936823712266</v>
                </pt>
                <pt idx="274">
                  <v>112.0488143010176</v>
                </pt>
                <pt idx="275">
                  <v>112.3315703028647</v>
                </pt>
                <pt idx="276">
                  <v>112.3234490753143</v>
                </pt>
                <pt idx="277">
                  <v>112.8776371122405</v>
                </pt>
                <pt idx="278">
                  <v>113.3533580717849</v>
                </pt>
                <pt idx="279">
                  <v>113.2279937600287</v>
                </pt>
                <pt idx="280">
                  <v>113.3291087697932</v>
                </pt>
                <pt idx="281">
                  <v>113.4845559413752</v>
                </pt>
                <pt idx="282">
                  <v>113.1403760026283</v>
                </pt>
                <pt idx="283">
                  <v>113.7991105544702</v>
                </pt>
                <pt idx="284">
                  <v>114.4031697955944</v>
                </pt>
                <pt idx="285">
                  <v>114.2734589114927</v>
                </pt>
                <pt idx="286">
                  <v>114.552669025222</v>
                </pt>
                <pt idx="287">
                  <v>114.7925312161401</v>
                </pt>
                <pt idx="288">
                  <v>114.3638218739368</v>
                </pt>
                <pt idx="289">
                  <v>115.2396563013473</v>
                </pt>
                <pt idx="290">
                  <v>116.3727392113652</v>
                </pt>
                <pt idx="291">
                  <v>116.4450295797056</v>
                </pt>
                <pt idx="292">
                  <v>116.9132012288403</v>
                </pt>
                <pt idx="293">
                  <v>117.3159455176298</v>
                </pt>
                <pt idx="294">
                  <v>117.6348467042239</v>
                </pt>
                <pt idx="295">
                  <v>117.4145440905911</v>
                </pt>
                <pt idx="296">
                  <v>117.7746233355386</v>
                </pt>
                <pt idx="297">
                  <v>117.7811431946337</v>
                </pt>
                <pt idx="298">
                  <v>118.5032462041914</v>
                </pt>
                <pt idx="299">
                  <v>118.4921510056637</v>
                </pt>
                <pt idx="300">
                  <v>117.5839460487112</v>
                </pt>
                <pt idx="301">
                  <v>116.8489177039301</v>
                </pt>
                <pt idx="302">
                  <v>116.451206288747</v>
                </pt>
                <pt idx="303">
                  <v>115.7886970817003</v>
                </pt>
                <pt idx="304">
                  <v>115.2454898591815</v>
                </pt>
                <pt idx="305">
                  <v>114.9015386875216</v>
                </pt>
                <pt idx="306">
                  <v>115.6531526386108</v>
                </pt>
                <pt idx="307">
                  <v>115.3902993652562</v>
                </pt>
                <pt idx="308">
                  <v>115.0789474890719</v>
                </pt>
                <pt idx="309">
                  <v>114.5562149133399</v>
                </pt>
                <pt idx="310">
                  <v>113.6762626795173</v>
                </pt>
                <pt idx="311">
                  <v>113.0763212448051</v>
                </pt>
                <pt idx="312">
                  <v>113.707031840604</v>
                </pt>
                <pt idx="313">
                  <v>113.1191006716139</v>
                </pt>
                <pt idx="314">
                  <v>112.2542470597643</v>
                </pt>
                <pt idx="315">
                  <v>112.59499549336</v>
                </pt>
                <pt idx="316">
                  <v>112.3355737251566</v>
                </pt>
                <pt idx="317">
                  <v>112.8697446506235</v>
                </pt>
                <pt idx="318">
                  <v>113.0533301612151</v>
                </pt>
                <pt idx="319">
                  <v>112.9310542045564</v>
                </pt>
                <pt idx="320">
                  <v>112.8149549569391</v>
                </pt>
                <pt idx="321">
                  <v>112.9109227089769</v>
                </pt>
                <pt idx="322">
                  <v>112.4394339399649</v>
                </pt>
                <pt idx="323">
                  <v>113.1324835410114</v>
                </pt>
                <pt idx="324">
                  <v>112.9364302293702</v>
                </pt>
                <pt idx="325">
                  <v>112.5737201634991</v>
                </pt>
                <pt idx="326">
                  <v>113.3227032948184</v>
                </pt>
                <pt idx="327">
                  <v>114.44583484059</v>
                </pt>
                <pt idx="328">
                  <v>114.5424888938887</v>
                </pt>
                <pt idx="329">
                  <v>114.7435750791364</v>
                </pt>
                <pt idx="330">
                  <v>114.5456916319529</v>
                </pt>
                <pt idx="331">
                  <v>114.0263905613721</v>
                </pt>
                <pt idx="332">
                  <v>114.1351692656666</v>
                </pt>
                <pt idx="333">
                  <v>115.573198574587</v>
                </pt>
                <pt idx="334">
                  <v>115.7858374936898</v>
                </pt>
                <pt idx="335">
                  <v>115.97090998977</v>
                </pt>
                <pt idx="336">
                  <v>115.9219538539199</v>
                </pt>
                <pt idx="337">
                  <v>116.3357933412371</v>
                </pt>
                <pt idx="338">
                  <v>116.989723787713</v>
                </pt>
                <pt idx="339">
                  <v>118.311425081929</v>
                </pt>
                <pt idx="340">
                  <v>117.2127716040825</v>
                </pt>
                <pt idx="341">
                  <v>118.1018745179237</v>
                </pt>
                <pt idx="342">
                  <v>118.3397921891792</v>
                </pt>
                <pt idx="343">
                  <v>119.164954728164</v>
                </pt>
                <pt idx="344">
                  <v>119.1492841890503</v>
                </pt>
                <pt idx="345">
                  <v>119.0132822117869</v>
                </pt>
                <pt idx="346">
                  <v>118.913425420424</v>
                </pt>
                <pt idx="347">
                  <v>118.808993288475</v>
                </pt>
                <pt idx="348">
                  <v>118.1220060123497</v>
                </pt>
                <pt idx="349">
                  <v>117.6041919272574</v>
                </pt>
                <pt idx="350">
                  <v>117.7006172134692</v>
                </pt>
                <pt idx="351">
                  <v>117.1087970063075</v>
                </pt>
                <pt idx="352">
                  <v>117.3295571529607</v>
                </pt>
                <pt idx="353">
                  <v>117.3492311143663</v>
                </pt>
                <pt idx="354">
                  <v>116.9013053449314</v>
                </pt>
                <pt idx="355">
                  <v>117.7104541947487</v>
                </pt>
                <pt idx="356">
                  <v>117.3334461922859</v>
                </pt>
                <pt idx="357">
                  <v>116.4166624736089</v>
                </pt>
                <pt idx="358">
                  <v>116.7831471935313</v>
                </pt>
                <pt idx="359">
                  <v>116.4003056332343</v>
                </pt>
                <pt idx="360">
                  <v>115.8739127852641</v>
                </pt>
                <pt idx="361">
                  <v>116.3323618372395</v>
                </pt>
                <pt idx="362">
                  <v>111.9523890148058</v>
                </pt>
                <pt idx="363">
                  <v>97.17907422589734</v>
                </pt>
                <pt idx="364">
                  <v>98.75241921197366</v>
                </pt>
                <pt idx="365">
                  <v>104.9494882484198</v>
                </pt>
                <pt idx="366">
                  <v>108.9433023895255</v>
                </pt>
                <pt idx="367">
                  <v>109.9423278419425</v>
                </pt>
                <pt idx="368">
                  <v>109.8894826667672</v>
                </pt>
                <pt idx="369">
                  <v>110.7518198418136</v>
                </pt>
                <pt idx="370">
                  <v>111.0873066358693</v>
                </pt>
                <pt idx="371">
                  <v>112.2536751426237</v>
                </pt>
                <pt idx="372">
                  <v>113.54220522307</v>
                </pt>
                <pt idx="373">
                  <v>110.0633455801996</v>
                </pt>
                <pt idx="374">
                  <v>113.0819260355523</v>
                </pt>
                <pt idx="375">
                  <v>113.2677992158603</v>
                </pt>
                <pt idx="376">
                  <v>114.1301363920601</v>
                </pt>
                <pt idx="377">
                  <v>114.603455297768</v>
                </pt>
                <pt idx="378">
                  <v>115.3813774523246</v>
                </pt>
                <pt idx="379">
                  <v>115.3408856952321</v>
                </pt>
                <pt idx="380">
                  <v>114.2116918245393</v>
                </pt>
                <pt idx="381">
                  <v>115.9393401456092</v>
                </pt>
                <pt idx="382">
                  <v>116.626556187668</v>
                </pt>
                <pt idx="383">
                  <v>116.3951583755075</v>
                </pt>
                <pt idx="384">
                  <v>116.8381656554561</v>
                </pt>
                <pt idx="385">
                  <v>117.6991302291341</v>
                </pt>
                <pt idx="386">
                  <v>118.4689311549867</v>
                </pt>
                <pt idx="387">
                  <v>119.268700558852</v>
                </pt>
                <pt idx="388">
                  <v>119.1471109023007</v>
                </pt>
                <pt idx="389">
                  <v>119.0471397268176</v>
                </pt>
                <pt idx="390">
                  <v>119.8255194167017</v>
                </pt>
                <pt idx="391">
                  <v>119.7073612653016</v>
                </pt>
                <pt idx="392">
                  <v>119.8796228091251</v>
                </pt>
              </numCache>
            </numRef>
          </val>
          <smooth val="0"/>
        </ser>
        <ser>
          <idx val="11"/>
          <order val="4"/>
          <tx>
            <v>Japan</v>
          </tx>
          <spPr>
            <a:ln xmlns:a="http://schemas.openxmlformats.org/drawingml/2006/main" w="28575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'IP World'!$Q$2:$Q$395</f>
              <numCache>
                <formatCode>0.00</formatCode>
                <ptCount val="394"/>
                <pt idx="0">
                  <v>101.3046935938661</v>
                </pt>
                <pt idx="1">
                  <v>101.8137624061579</v>
                </pt>
                <pt idx="2">
                  <v>103.6464101292037</v>
                </pt>
                <pt idx="3">
                  <v>103.8500376543213</v>
                </pt>
                <pt idx="4">
                  <v>104.5627339907266</v>
                </pt>
                <pt idx="5">
                  <v>104.8681752779009</v>
                </pt>
                <pt idx="6">
                  <v>105.7844991394238</v>
                </pt>
                <pt idx="7">
                  <v>106.7008230019507</v>
                </pt>
                <pt idx="8">
                  <v>105.7844991394238</v>
                </pt>
                <pt idx="9">
                  <v>107.9225881506479</v>
                </pt>
                <pt idx="10">
                  <v>107.2098918132385</v>
                </pt>
                <pt idx="11">
                  <v>107.3117055762993</v>
                </pt>
                <pt idx="12">
                  <v>108.0244019127047</v>
                </pt>
                <pt idx="13">
                  <v>108.4316569619357</v>
                </pt>
                <pt idx="14">
                  <v>107.4135193383561</v>
                </pt>
                <pt idx="15">
                  <v>107.8207743875871</v>
                </pt>
                <pt idx="16">
                  <v>108.9407257742276</v>
                </pt>
                <pt idx="17">
                  <v>105.7844991394238</v>
                </pt>
                <pt idx="18">
                  <v>108.1262156747614</v>
                </pt>
                <pt idx="19">
                  <v>106.3953817137724</v>
                </pt>
                <pt idx="20">
                  <v>106.4971954768332</v>
                </pt>
                <pt idx="21">
                  <v>105.7844991394238</v>
                </pt>
                <pt idx="22">
                  <v>106.4971954768332</v>
                </pt>
                <pt idx="23">
                  <v>105.0718028030185</v>
                </pt>
                <pt idx="24">
                  <v>104.3591064666131</v>
                </pt>
                <pt idx="25">
                  <v>104.0536651784348</v>
                </pt>
                <pt idx="26">
                  <v>102.5264587425633</v>
                </pt>
                <pt idx="27">
                  <v>102.0173899312755</v>
                </pt>
                <pt idx="28">
                  <v>99.67567339593785</v>
                </pt>
                <pt idx="29">
                  <v>101.7119486430972</v>
                </pt>
                <pt idx="30">
                  <v>101.5083211189836</v>
                </pt>
                <pt idx="31">
                  <v>98.55572200929743</v>
                </pt>
                <pt idx="32">
                  <v>102.3228312184498</v>
                </pt>
                <pt idx="33">
                  <v>99.16660458364602</v>
                </pt>
                <pt idx="34">
                  <v>97.94483943494883</v>
                </pt>
                <pt idx="35">
                  <v>97.53758438471377</v>
                </pt>
                <pt idx="36">
                  <v>99.57385963287709</v>
                </pt>
                <pt idx="37">
                  <v>99.77748715799461</v>
                </pt>
                <pt idx="38">
                  <v>96.41763299807336</v>
                </pt>
                <pt idx="39">
                  <v>98.25028072212312</v>
                </pt>
                <pt idx="40">
                  <v>99.57385963287709</v>
                </pt>
                <pt idx="41">
                  <v>97.74121190983129</v>
                </pt>
                <pt idx="42">
                  <v>97.63939814777453</v>
                </pt>
                <pt idx="43">
                  <v>96.72307428524765</v>
                </pt>
                <pt idx="44">
                  <v>97.02851557242195</v>
                </pt>
                <pt idx="45">
                  <v>96.2140054739598</v>
                </pt>
                <pt idx="46">
                  <v>96.01037794884228</v>
                </pt>
                <pt idx="47">
                  <v>95.2976816124369</v>
                </pt>
                <pt idx="48">
                  <v>94.89042656220187</v>
                </pt>
                <pt idx="49">
                  <v>95.70493666166799</v>
                </pt>
                <pt idx="50">
                  <v>96.72307428524765</v>
                </pt>
                <pt idx="51">
                  <v>97.63939814777453</v>
                </pt>
                <pt idx="52">
                  <v>97.53758438471377</v>
                </pt>
                <pt idx="53">
                  <v>98.75934953341097</v>
                </pt>
                <pt idx="54">
                  <v>99.77748715799461</v>
                </pt>
                <pt idx="55">
                  <v>100.5919972574607</v>
                </pt>
                <pt idx="56">
                  <v>99.57385963287709</v>
                </pt>
                <pt idx="57">
                  <v>100.5919972574607</v>
                </pt>
                <pt idx="58">
                  <v>101.2028798318093</v>
                </pt>
                <pt idx="59">
                  <v>101.9155761682147</v>
                </pt>
                <pt idx="60">
                  <v>99.87930092005139</v>
                </pt>
                <pt idx="61">
                  <v>101.3046935938661</v>
                </pt>
                <pt idx="62">
                  <v>102.3228312184498</v>
                </pt>
                <pt idx="63">
                  <v>103.544596367147</v>
                </pt>
                <pt idx="64">
                  <v>101.8137624061579</v>
                </pt>
                <pt idx="65">
                  <v>101.7119486430972</v>
                </pt>
                <pt idx="66">
                  <v>100.2865559702864</v>
                </pt>
                <pt idx="67">
                  <v>101.8137624061579</v>
                </pt>
                <pt idx="68">
                  <v>100.1847422072257</v>
                </pt>
                <pt idx="69">
                  <v>101.7119486430972</v>
                </pt>
                <pt idx="70">
                  <v>102.5264587425633</v>
                </pt>
                <pt idx="71">
                  <v>103.8500376543213</v>
                </pt>
                <pt idx="72">
                  <v>102.3228312184498</v>
                </pt>
                <pt idx="73">
                  <v>102.221017455389</v>
                </pt>
                <pt idx="74">
                  <v>102.1192036933322</v>
                </pt>
                <pt idx="75">
                  <v>102.4246449805065</v>
                </pt>
                <pt idx="76">
                  <v>103.0355275548551</v>
                </pt>
                <pt idx="77">
                  <v>103.2391550799726</v>
                </pt>
                <pt idx="78">
                  <v>103.8500376543213</v>
                </pt>
                <pt idx="79">
                  <v>103.951851416378</v>
                </pt>
                <pt idx="80">
                  <v>105.0718028030185</v>
                </pt>
                <pt idx="81">
                  <v>105.6826853773671</v>
                </pt>
                <pt idx="82">
                  <v>106.1917541896589</v>
                </pt>
                <pt idx="83">
                  <v>107.2098918132385</v>
                </pt>
                <pt idx="84">
                  <v>108.8389120121708</v>
                </pt>
                <pt idx="85">
                  <v>108.8389120121708</v>
                </pt>
                <pt idx="86">
                  <v>109.2461670614019</v>
                </pt>
                <pt idx="87">
                  <v>106.4971954768332</v>
                </pt>
                <pt idx="88">
                  <v>109.6534221116369</v>
                </pt>
                <pt idx="89">
                  <v>109.0425395372883</v>
                </pt>
                <pt idx="90">
                  <v>109.3479808244626</v>
                </pt>
                <pt idx="91">
                  <v>108.8389120121708</v>
                </pt>
                <pt idx="92">
                  <v>108.1262156747614</v>
                </pt>
                <pt idx="93">
                  <v>107.4135193383561</v>
                </pt>
                <pt idx="94">
                  <v>106.0899404265981</v>
                </pt>
                <pt idx="95">
                  <v>105.0718028030185</v>
                </pt>
                <pt idx="96">
                  <v>106.6168623263213</v>
                </pt>
                <pt idx="97">
                  <v>103.8420490929942</v>
                </pt>
                <pt idx="98">
                  <v>101.6008537884966</v>
                </pt>
                <pt idx="99">
                  <v>101.3874066171656</v>
                </pt>
                <pt idx="100">
                  <v>100.640341516001</v>
                </pt>
                <pt idx="101">
                  <v>100.640341516001</v>
                </pt>
                <pt idx="102">
                  <v>100.426894343666</v>
                </pt>
                <pt idx="103">
                  <v>98.61259338283445</v>
                </pt>
                <pt idx="104">
                  <v>99.8932764138325</v>
                </pt>
                <pt idx="105">
                  <v>99.35965848500297</v>
                </pt>
                <pt idx="106">
                  <v>98.82604055516944</v>
                </pt>
                <pt idx="107">
                  <v>98.71931696900195</v>
                </pt>
                <pt idx="108">
                  <v>100</v>
                </pt>
                <pt idx="109">
                  <v>100</v>
                </pt>
                <pt idx="110">
                  <v>101.2806830309981</v>
                </pt>
                <pt idx="111">
                  <v>99.57310565633399</v>
                </pt>
                <pt idx="112">
                  <v>101.1739594448306</v>
                </pt>
                <pt idx="113">
                  <v>100.426894343666</v>
                </pt>
                <pt idx="114">
                  <v>100.9605122734995</v>
                </pt>
                <pt idx="115">
                  <v>101.9210245469991</v>
                </pt>
                <pt idx="116">
                  <v>102.6680896481636</v>
                </pt>
                <pt idx="117">
                  <v>102.5613660619961</v>
                </pt>
                <pt idx="118">
                  <v>103.6286019216631</v>
                </pt>
                <pt idx="119">
                  <v>103.5218783354957</v>
                </pt>
                <pt idx="120">
                  <v>103.4151547493282</v>
                </pt>
                <pt idx="121">
                  <v>103.3084311631607</v>
                </pt>
                <pt idx="122">
                  <v>104.8025613664937</v>
                </pt>
                <pt idx="123">
                  <v>106.4034151549903</v>
                </pt>
                <pt idx="124">
                  <v>105.7630736389893</v>
                </pt>
                <pt idx="125">
                  <v>107.1504802561548</v>
                </pt>
                <pt idx="126">
                  <v>106.9370330848238</v>
                </pt>
                <pt idx="127">
                  <v>108.4311632871529</v>
                </pt>
                <pt idx="128">
                  <v>106.1899679826553</v>
                </pt>
                <pt idx="129">
                  <v>107.7908217721559</v>
                </pt>
                <pt idx="130">
                  <v>108.2177161158219</v>
                </pt>
                <pt idx="131">
                  <v>109.2849519744849</v>
                </pt>
                <pt idx="132">
                  <v>105.2294557101597</v>
                </pt>
                <pt idx="133">
                  <v>106.1899679826553</v>
                </pt>
                <pt idx="134">
                  <v>104.3756670228277</v>
                </pt>
                <pt idx="135">
                  <v>103.6286019216631</v>
                </pt>
                <pt idx="136">
                  <v>101.6008537884966</v>
                </pt>
                <pt idx="137">
                  <v>100.5336179298335</v>
                </pt>
                <pt idx="138">
                  <v>99.14621131266797</v>
                </pt>
                <pt idx="139">
                  <v>97.75880469550241</v>
                </pt>
                <pt idx="140">
                  <v>95.94450373567481</v>
                </pt>
                <pt idx="141">
                  <v>95.94450373567481</v>
                </pt>
                <pt idx="142">
                  <v>94.45037353234177</v>
                </pt>
                <pt idx="143">
                  <v>95.41088580584129</v>
                </pt>
                <pt idx="144">
                  <v>94.87726787600778</v>
                </pt>
                <pt idx="145">
                  <v>96.05122732184232</v>
                </pt>
                <pt idx="146">
                  <v>96.47812166550833</v>
                </pt>
                <pt idx="147">
                  <v>96.37139807934084</v>
                </pt>
                <pt idx="148">
                  <v>100.213447172335</v>
                </pt>
                <pt idx="149">
                  <v>99.03948772650047</v>
                </pt>
                <pt idx="150">
                  <v>99.78655282866899</v>
                </pt>
                <pt idx="151">
                  <v>100.213447172335</v>
                </pt>
                <pt idx="152">
                  <v>100.853788687332</v>
                </pt>
                <pt idx="153">
                  <v>100.853788687332</v>
                </pt>
                <pt idx="154">
                  <v>100.7470651011646</v>
                </pt>
                <pt idx="155">
                  <v>100.640341516001</v>
                </pt>
                <pt idx="156">
                  <v>102.0277481321626</v>
                </pt>
                <pt idx="157">
                  <v>101.591265787457</v>
                </pt>
                <pt idx="158">
                  <v>102.3551098916958</v>
                </pt>
                <pt idx="159">
                  <v>100.9365422703986</v>
                </pt>
                <pt idx="160">
                  <v>102.2459893045154</v>
                </pt>
                <pt idx="161">
                  <v>101.3730246151042</v>
                </pt>
                <pt idx="162">
                  <v>101.8095069598098</v>
                </pt>
                <pt idx="163">
                  <v>100.8274216842222</v>
                </pt>
                <pt idx="164">
                  <v>103.8827980981654</v>
                </pt>
                <pt idx="165">
                  <v>105.0831245471098</v>
                </pt>
                <pt idx="166">
                  <v>105.3013657194626</v>
                </pt>
                <pt idx="167">
                  <v>104.9740039609334</v>
                </pt>
                <pt idx="168">
                  <v>106.8290539269362</v>
                </pt>
                <pt idx="169">
                  <v>106.501692168407</v>
                </pt>
                <pt idx="170">
                  <v>105.956089237525</v>
                </pt>
                <pt idx="171">
                  <v>107.8111392035278</v>
                </pt>
                <pt idx="172">
                  <v>107.9202597897042</v>
                </pt>
                <pt idx="173">
                  <v>108.2476215482334</v>
                </pt>
                <pt idx="174">
                  <v>109.775309755707</v>
                </pt>
                <pt idx="175">
                  <v>108.2476215482334</v>
                </pt>
                <pt idx="176">
                  <v>108.5749833067626</v>
                </pt>
                <pt idx="177">
                  <v>106.501692168407</v>
                </pt>
                <pt idx="178">
                  <v>107.8111392035278</v>
                </pt>
                <pt idx="179">
                  <v>106.3925715822306</v>
                </pt>
                <pt idx="180">
                  <v>108.9023450652918</v>
                </pt>
                <pt idx="181">
                  <v>108.9023450652918</v>
                </pt>
                <pt idx="182">
                  <v>109.229706823821</v>
                </pt>
                <pt idx="183">
                  <v>109.6661891695306</v>
                </pt>
                <pt idx="184">
                  <v>108.7932244791154</v>
                </pt>
                <pt idx="185">
                  <v>109.229706823821</v>
                </pt>
                <pt idx="186">
                  <v>108.5749833067626</v>
                </pt>
                <pt idx="187">
                  <v>108.5749833067626</v>
                </pt>
                <pt idx="188">
                  <v>109.4479479971778</v>
                </pt>
                <pt idx="189">
                  <v>108.4658627205862</v>
                </pt>
                <pt idx="190">
                  <v>110.6482744451182</v>
                </pt>
                <pt idx="191">
                  <v>111.0847567898239</v>
                </pt>
                <pt idx="192">
                  <v>111.412118549357</v>
                </pt>
                <pt idx="193">
                  <v>111.1938773760003</v>
                </pt>
                <pt idx="194">
                  <v>111.957721480239</v>
                </pt>
                <pt idx="195">
                  <v>114.0310126185947</v>
                </pt>
                <pt idx="196">
                  <v>112.2850832387683</v>
                </pt>
                <pt idx="197">
                  <v>113.8127714462419</v>
                </pt>
                <pt idx="198">
                  <v>114.2492537909475</v>
                </pt>
                <pt idx="199">
                  <v>114.5766155494767</v>
                </pt>
                <pt idx="200">
                  <v>114.4674949633003</v>
                </pt>
                <pt idx="201">
                  <v>114.9039773090099</v>
                </pt>
                <pt idx="202">
                  <v>115.9951831707739</v>
                </pt>
                <pt idx="203">
                  <v>116.1043037569503</v>
                </pt>
                <pt idx="204">
                  <v>114.9039773090099</v>
                </pt>
                <pt idx="205">
                  <v>115.5587008260683</v>
                </pt>
                <pt idx="206">
                  <v>115.5587008260683</v>
                </pt>
                <pt idx="207">
                  <v>115.2313390675391</v>
                </pt>
                <pt idx="208">
                  <v>116.5407861016559</v>
                </pt>
                <pt idx="209">
                  <v>116.5407861016559</v>
                </pt>
                <pt idx="210">
                  <v>116.6499066888363</v>
                </pt>
                <pt idx="211">
                  <v>119.5961625166031</v>
                </pt>
                <pt idx="212">
                  <v>117.8502331367767</v>
                </pt>
                <pt idx="213">
                  <v>119.3779213442503</v>
                </pt>
                <pt idx="214">
                  <v>118.1775948953059</v>
                </pt>
                <pt idx="215">
                  <v>118.8323184133683</v>
                </pt>
                <pt idx="216">
                  <v>119.639517909736</v>
                </pt>
                <pt idx="217">
                  <v>119.9486639514768</v>
                </pt>
                <pt idx="218">
                  <v>118.7120797865215</v>
                </pt>
                <pt idx="219">
                  <v>118.1968363849587</v>
                </pt>
                <pt idx="220">
                  <v>118.8151284674364</v>
                </pt>
                <pt idx="221">
                  <v>115.620619375137</v>
                </pt>
                <pt idx="222">
                  <v>115.620619375137</v>
                </pt>
                <pt idx="223">
                  <v>111.3956234807161</v>
                </pt>
                <pt idx="224">
                  <v>112.8383050054934</v>
                </pt>
                <pt idx="225">
                  <v>110.3651366765866</v>
                </pt>
                <pt idx="226">
                  <v>103.2547777316071</v>
                </pt>
                <pt idx="227">
                  <v>94.90783462066821</v>
                </pt>
                <pt idx="228">
                  <v>87.28223227412595</v>
                </pt>
                <pt idx="229">
                  <v>79.96577596731657</v>
                </pt>
                <pt idx="230">
                  <v>80.68711672970522</v>
                </pt>
                <pt idx="231">
                  <v>84.19077186274149</v>
                </pt>
                <pt idx="232">
                  <v>87.28223227412595</v>
                </pt>
                <pt idx="233">
                  <v>88.72491379890326</v>
                </pt>
                <pt idx="234">
                  <v>89.75540060303273</v>
                </pt>
                <pt idx="235">
                  <v>91.09503344789907</v>
                </pt>
                <pt idx="236">
                  <v>93.87734781754271</v>
                </pt>
                <pt idx="237">
                  <v>96.45356482636045</v>
                </pt>
                <pt idx="238">
                  <v>98.41148975370447</v>
                </pt>
                <pt idx="239">
                  <v>99.23587919700806</v>
                </pt>
                <pt idx="240">
                  <v>101.5029501650889</v>
                </pt>
                <pt idx="241">
                  <v>101.8120962058258</v>
                </pt>
                <pt idx="242">
                  <v>102.1212422475666</v>
                </pt>
                <pt idx="243">
                  <v>103.357826411518</v>
                </pt>
                <pt idx="244">
                  <v>102.9456316898662</v>
                </pt>
                <pt idx="245">
                  <v>102.3273396073886</v>
                </pt>
                <pt idx="246">
                  <v>103.5639237723439</v>
                </pt>
                <pt idx="247">
                  <v>104.0791671739067</v>
                </pt>
                <pt idx="248">
                  <v>105.418800018773</v>
                </pt>
                <pt idx="249">
                  <v>102.4303882883035</v>
                </pt>
                <pt idx="250">
                  <v>104.1822158548216</v>
                </pt>
                <pt idx="251">
                  <v>104.4913618955585</v>
                </pt>
                <pt idx="252">
                  <v>105.2127026579471</v>
                </pt>
                <pt idx="253">
                  <v>105.6248973795989</v>
                </pt>
                <pt idx="254">
                  <v>88.93101115972914</v>
                </pt>
                <pt idx="255">
                  <v>90.57979004533233</v>
                </pt>
                <pt idx="256">
                  <v>96.55661350727539</v>
                </pt>
                <pt idx="257">
                  <v>100.4724633609595</v>
                </pt>
                <pt idx="258">
                  <v>101.399901484174</v>
                </pt>
                <pt idx="259">
                  <v>102.9456316898662</v>
                </pt>
                <pt idx="260">
                  <v>102.3273396073886</v>
                </pt>
                <pt idx="261">
                  <v>103.9761184939957</v>
                </pt>
                <pt idx="262">
                  <v>101.9151448867407</v>
                </pt>
                <pt idx="263">
                  <v>103.9761184939957</v>
                </pt>
                <pt idx="264">
                  <v>104.2852645347326</v>
                </pt>
                <pt idx="265">
                  <v>104.0791671739067</v>
                </pt>
                <pt idx="266">
                  <v>103.8730698130808</v>
                </pt>
                <pt idx="267">
                  <v>103.357826411518</v>
                </pt>
                <pt idx="268">
                  <v>101.5029501650889</v>
                </pt>
                <pt idx="269">
                  <v>100.7816094027003</v>
                </pt>
                <pt idx="270">
                  <v>100.2663660001336</v>
                </pt>
                <pt idx="271">
                  <v>99.02978183618215</v>
                </pt>
                <pt idx="272">
                  <v>96.86575954801225</v>
                </pt>
                <pt idx="273">
                  <v>97.17490558975308</v>
                </pt>
                <pt idx="274">
                  <v>96.45356482636045</v>
                </pt>
                <pt idx="275">
                  <v>97.79319767122678</v>
                </pt>
                <pt idx="276">
                  <v>95.77166159484142</v>
                </pt>
                <pt idx="277">
                  <v>97.37789491322542</v>
                </pt>
                <pt idx="278">
                  <v>98.28140115443993</v>
                </pt>
                <pt idx="279">
                  <v>98.48218031948893</v>
                </pt>
                <pt idx="280">
                  <v>99.98802405585043</v>
                </pt>
                <pt idx="281">
                  <v>98.98412823160942</v>
                </pt>
                <pt idx="282">
                  <v>100.4899719669669</v>
                </pt>
                <pt idx="283">
                  <v>100.7911407140384</v>
                </pt>
                <pt idx="284">
                  <v>101.5942573732304</v>
                </pt>
                <pt idx="285">
                  <v>101.8954261203019</v>
                </pt>
                <pt idx="286">
                  <v>102.2969844503999</v>
                </pt>
                <pt idx="287">
                  <v>102.2969844503999</v>
                </pt>
                <pt idx="288">
                  <v>104.0036073508064</v>
                </pt>
                <pt idx="289">
                  <v>103.3008802746409</v>
                </pt>
                <pt idx="290">
                  <v>104.7063344279759</v>
                </pt>
                <pt idx="291">
                  <v>100.1888032198954</v>
                </pt>
                <pt idx="292">
                  <v>102.2969844503999</v>
                </pt>
                <pt idx="293">
                  <v>100.9919198790874</v>
                </pt>
                <pt idx="294">
                  <v>100.7911407140384</v>
                </pt>
                <pt idx="295">
                  <v>99.88763447282393</v>
                </pt>
                <pt idx="296">
                  <v>100.9919198790874</v>
                </pt>
                <pt idx="297">
                  <v>100.9919198790874</v>
                </pt>
                <pt idx="298">
                  <v>100.9919198790874</v>
                </pt>
                <pt idx="299">
                  <v>100.5903615499934</v>
                </pt>
                <pt idx="300">
                  <v>103.1001011095919</v>
                </pt>
                <pt idx="301">
                  <v>100.1888032198954</v>
                </pt>
                <pt idx="302">
                  <v>99.68685530877893</v>
                </pt>
                <pt idx="303">
                  <v>100.0884136378729</v>
                </pt>
                <pt idx="304">
                  <v>100.0884136378729</v>
                </pt>
                <pt idx="305">
                  <v>100.8915302970649</v>
                </pt>
                <pt idx="306">
                  <v>100.7911407140384</v>
                </pt>
                <pt idx="307">
                  <v>99.18490739665842</v>
                </pt>
                <pt idx="308">
                  <v>100.8915302970649</v>
                </pt>
                <pt idx="309">
                  <v>100.9919198790874</v>
                </pt>
                <pt idx="310">
                  <v>100.3895823849444</v>
                </pt>
                <pt idx="311">
                  <v>98.48218031948893</v>
                </pt>
                <pt idx="312">
                  <v>100.6907511320159</v>
                </pt>
                <pt idx="313">
                  <v>99.88763447282393</v>
                </pt>
                <pt idx="314">
                  <v>100.2891928029219</v>
                </pt>
                <pt idx="315">
                  <v>99.58646572575243</v>
                </pt>
                <pt idx="316">
                  <v>99.08451781363193</v>
                </pt>
                <pt idx="317">
                  <v>99.58646572575243</v>
                </pt>
                <pt idx="318">
                  <v>100.0884136378729</v>
                </pt>
                <pt idx="319">
                  <v>100.9919198790874</v>
                </pt>
                <pt idx="320">
                  <v>101.3934782091854</v>
                </pt>
                <pt idx="321">
                  <v>101.4938677912079</v>
                </pt>
                <pt idx="322">
                  <v>102.4977636154489</v>
                </pt>
                <pt idx="323">
                  <v>101.8954261203019</v>
                </pt>
                <pt idx="324">
                  <v>101.0923094621139</v>
                </pt>
                <pt idx="325">
                  <v>101.7950365382794</v>
                </pt>
                <pt idx="326">
                  <v>101.8954261203019</v>
                </pt>
                <pt idx="327">
                  <v>104.2043865158554</v>
                </pt>
                <pt idx="328">
                  <v>102.5981531974714</v>
                </pt>
                <pt idx="329">
                  <v>103.4012698566634</v>
                </pt>
                <pt idx="330">
                  <v>102.8993219445429</v>
                </pt>
                <pt idx="331">
                  <v>104.2043865158554</v>
                </pt>
                <pt idx="332">
                  <v>102.9997115265654</v>
                </pt>
                <pt idx="333">
                  <v>103.6020490217124</v>
                </pt>
                <pt idx="334">
                  <v>104.4051656799004</v>
                </pt>
                <pt idx="335">
                  <v>105.9110094162619</v>
                </pt>
                <pt idx="336">
                  <v>101.6946469562569</v>
                </pt>
                <pt idx="337">
                  <v>104.2043865158554</v>
                </pt>
                <pt idx="338">
                  <v>105.3086719221189</v>
                </pt>
                <pt idx="339">
                  <v>104.7063344279759</v>
                </pt>
                <pt idx="340">
                  <v>105.0075031750474</v>
                </pt>
                <pt idx="341">
                  <v>104.0036073508064</v>
                </pt>
                <pt idx="342">
                  <v>104.2043865158554</v>
                </pt>
                <pt idx="343">
                  <v>104.0036073508064</v>
                </pt>
                <pt idx="344">
                  <v>103.7024386037349</v>
                </pt>
                <pt idx="345">
                  <v>105.7102302512129</v>
                </pt>
                <pt idx="346">
                  <v>104.5055552629269</v>
                </pt>
                <pt idx="347">
                  <v>104.8067240099984</v>
                </pt>
                <pt idx="348">
                  <v>102.7989323625204</v>
                </pt>
                <pt idx="349">
                  <v>103.3008802746409</v>
                </pt>
                <pt idx="350">
                  <v>102.8993219445429</v>
                </pt>
                <pt idx="351">
                  <v>103.1001011095919</v>
                </pt>
                <pt idx="352">
                  <v>104.3047760978779</v>
                </pt>
                <pt idx="353">
                  <v>101.7950365382794</v>
                </pt>
                <pt idx="354">
                  <v>102.1965948683774</v>
                </pt>
                <pt idx="355">
                  <v>100.8915302970649</v>
                </pt>
                <pt idx="356">
                  <v>102.8993219445429</v>
                </pt>
                <pt idx="357">
                  <v>98.68295948453792</v>
                </pt>
                <pt idx="358">
                  <v>98.08062199039492</v>
                </pt>
                <pt idx="359">
                  <v>98.18101157241743</v>
                </pt>
                <pt idx="360">
                  <v>98.48218031948893</v>
                </pt>
                <pt idx="361">
                  <v>98.78334906656043</v>
                </pt>
                <pt idx="362">
                  <v>96.6751678370599</v>
                </pt>
                <pt idx="363">
                  <v>87.43932625685389</v>
                </pt>
                <pt idx="364">
                  <v>78.60504300774983</v>
                </pt>
                <pt idx="365">
                  <v>82.41984713765686</v>
                </pt>
                <pt idx="366">
                  <v>87.74049500492937</v>
                </pt>
                <pt idx="367">
                  <v>90.25023456452787</v>
                </pt>
                <pt idx="368">
                  <v>92.3584157940284</v>
                </pt>
                <pt idx="369">
                  <v>94.06503869443492</v>
                </pt>
                <pt idx="370">
                  <v>94.36620744150642</v>
                </pt>
                <pt idx="371">
                  <v>94.4665970245329</v>
                </pt>
                <pt idx="372">
                  <v>96.57477825403342</v>
                </pt>
                <pt idx="373">
                  <v>96.4743886720109</v>
                </pt>
                <pt idx="374">
                  <v>97.67906366029692</v>
                </pt>
                <pt idx="375">
                  <v>98.88373864958692</v>
                </pt>
                <pt idx="376">
                  <v>92.96075328817142</v>
                </pt>
                <pt idx="377">
                  <v>99.08451781363193</v>
                </pt>
                <pt idx="378">
                  <v>98.58256990251542</v>
                </pt>
                <pt idx="379">
                  <v>96.17321992493942</v>
                </pt>
                <pt idx="380">
                  <v>90.4510137285729</v>
                </pt>
                <pt idx="381">
                  <v>92.55919495907739</v>
                </pt>
                <pt idx="382">
                  <v>97.47828449625192</v>
                </pt>
                <pt idx="383">
                  <v>97.37789491322542</v>
                </pt>
                <pt idx="384">
                  <v>95.2697136837249</v>
                </pt>
                <pt idx="385">
                  <v>97.47828449625192</v>
                </pt>
                <pt idx="386">
                  <v>97.07672616615392</v>
                </pt>
                <pt idx="387">
                  <v>95.77166159484142</v>
                </pt>
                <pt idx="388">
                  <v>89.04555957523789</v>
                </pt>
                <pt idx="389">
                  <v>96.87594700110493</v>
                </pt>
                <pt idx="390">
                  <v>97.57867407827442</v>
                </pt>
                <pt idx="391">
                  <v>100.0884136378729</v>
                </pt>
                <pt idx="392">
                  <v>98.78334906656043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937319072"/>
        <axId val="937319400"/>
      </lineChart>
      <dateAx>
        <axId val="937319072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400"/>
        <crosses val="autoZero"/>
        <lblOffset val="100"/>
        <baseTimeUnit val="months"/>
      </dateAx>
      <valAx>
        <axId val="937319400"/>
        <scaling>
          <orientation val="minMax"/>
          <max val="150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937319072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country'!$A$5:$A$393</f>
              <numCache>
                <formatCode>mmm\-yy</formatCode>
                <ptCount val="389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</numCache>
            </numRef>
          </cat>
          <val>
            <numRef>
              <f>'Per country'!$C$5:$C$393</f>
              <numCache>
                <formatCode>0.0%</formatCode>
                <ptCount val="389"/>
                <pt idx="1">
                  <v>-0.003424785746154394</v>
                </pt>
                <pt idx="2">
                  <v>-0.007270012942270154</v>
                </pt>
                <pt idx="3">
                  <v>-0.005615426389081178</v>
                </pt>
                <pt idx="4">
                  <v>0.002655627196359025</v>
                </pt>
                <pt idx="5">
                  <v>0.009998646838075189</v>
                </pt>
                <pt idx="6">
                  <v>0.007976589798418835</v>
                </pt>
                <pt idx="7">
                  <v>0.002668080133177539</v>
                </pt>
                <pt idx="8">
                  <v>0.0001810630604476653</v>
                </pt>
                <pt idx="9">
                  <v>0.00836295281024115</v>
                </pt>
                <pt idx="10">
                  <v>-0.001003438312883951</v>
                </pt>
                <pt idx="11">
                  <v>-0.001286846393953435</v>
                </pt>
                <pt idx="12">
                  <v>-0.004373203611896553</v>
                </pt>
                <pt idx="13">
                  <v>-0.005218612075115392</v>
                </pt>
                <pt idx="14">
                  <v>0.007012495301206573</v>
                </pt>
                <pt idx="15">
                  <v>0.008313546856503552</v>
                </pt>
                <pt idx="16">
                  <v>0.0076219536483695</v>
                </pt>
                <pt idx="17">
                  <v>0.00322644065055526</v>
                </pt>
                <pt idx="18">
                  <v>0.000538908048754925</v>
                </pt>
                <pt idx="19">
                  <v>0.008951164261279549</v>
                </pt>
                <pt idx="20">
                  <v>-0.005554433599237713</v>
                </pt>
                <pt idx="21">
                  <v>0.003142213488769195</v>
                </pt>
                <pt idx="22">
                  <v>0.006809297315743129</v>
                </pt>
                <pt idx="23">
                  <v>0.004033942476025466</v>
                </pt>
                <pt idx="24">
                  <v>0.001578839506544786</v>
                </pt>
                <pt idx="25">
                  <v>0.003994351796887145</v>
                </pt>
                <pt idx="26">
                  <v>0.004734939129844416</v>
                </pt>
                <pt idx="27">
                  <v>-0.0009664953324160816</v>
                </pt>
                <pt idx="28">
                  <v>0.002868454073094484</v>
                </pt>
                <pt idx="29">
                  <v>-0.003999748478102473</v>
                </pt>
                <pt idx="30">
                  <v>0.002388237117171498</v>
                </pt>
                <pt idx="31">
                  <v>0.002411733619566284</v>
                </pt>
                <pt idx="32">
                  <v>-0.0009317236599475092</v>
                </pt>
                <pt idx="33">
                  <v>0.005116988229514952</v>
                </pt>
                <pt idx="34">
                  <v>0.00743191479672071</v>
                </pt>
                <pt idx="35">
                  <v>0.004756480336795715</v>
                </pt>
                <pt idx="36">
                  <v>0.005647588087194381</v>
                </pt>
                <pt idx="37">
                  <v>0.003187224713268287</v>
                </pt>
                <pt idx="38">
                  <v>0.0007143241379594943</v>
                </pt>
                <pt idx="39">
                  <v>0.00999489279359384</v>
                </pt>
                <pt idx="40">
                  <v>0.005912750348823498</v>
                </pt>
                <pt idx="41">
                  <v>0.004699162463893554</v>
                </pt>
                <pt idx="42">
                  <v>0.006541034718407533</v>
                </pt>
                <pt idx="43">
                  <v>0.001251449851461894</v>
                </pt>
                <pt idx="44">
                  <v>0.006603635257296577</v>
                </pt>
                <pt idx="45">
                  <v>0.003117915471921865</v>
                </pt>
                <pt idx="46">
                  <v>0.008073907305504521</v>
                </pt>
                <pt idx="47">
                  <v>0.006777050447386588</v>
                </pt>
                <pt idx="48">
                  <v>0.00973451076570603</v>
                </pt>
                <pt idx="49">
                  <v>0.00208890397795434</v>
                </pt>
                <pt idx="50">
                  <v>-0.001343967471183994</v>
                </pt>
                <pt idx="51">
                  <v>0.00155324997612056</v>
                </pt>
                <pt idx="52">
                  <v>-0.001626423645634899</v>
                </pt>
                <pt idx="53">
                  <v>0.004641877265434522</v>
                </pt>
                <pt idx="54">
                  <v>0.003303097966657139</v>
                </pt>
                <pt idx="55">
                  <v>-0.004232461298174961</v>
                </pt>
                <pt idx="56">
                  <v>0.0131508372462193</v>
                </pt>
                <pt idx="57">
                  <v>0.004009159856806863</v>
                </pt>
                <pt idx="58">
                  <v>-0.001533820264982065</v>
                </pt>
                <pt idx="59">
                  <v>0.002412223405266378</v>
                </pt>
                <pt idx="60">
                  <v>0.003491639268212604</v>
                </pt>
                <pt idx="61">
                  <v>-0.005411324947638291</v>
                </pt>
                <pt idx="62">
                  <v>0.01429610252016815</v>
                </pt>
                <pt idx="63">
                  <v>-0.001520590988769656</v>
                </pt>
                <pt idx="64">
                  <v>0.01004955554567731</v>
                </pt>
                <pt idx="65">
                  <v>0.007478300825187721</v>
                </pt>
                <pt idx="66">
                  <v>0.00746814135193677</v>
                </pt>
                <pt idx="67">
                  <v>7.943687881762146e-06</v>
                </pt>
                <pt idx="68">
                  <v>0.00503890388930942</v>
                </pt>
                <pt idx="69">
                  <v>0.006458717820759605</v>
                </pt>
                <pt idx="70">
                  <v>-0.0001321934116603749</v>
                </pt>
                <pt idx="71">
                  <v>0.008824095369659085</v>
                </pt>
                <pt idx="72">
                  <v>0.006320457986386685</v>
                </pt>
                <pt idx="73">
                  <v>0.001807765654763508</v>
                </pt>
                <pt idx="74">
                  <v>0.01180907270833608</v>
                </pt>
                <pt idx="75">
                  <v>0.006234417137014268</v>
                </pt>
                <pt idx="76">
                  <v>0.0008368930831445896</v>
                </pt>
                <pt idx="77">
                  <v>0.005559043206934209</v>
                </pt>
                <pt idx="78">
                  <v>0.00467036141406479</v>
                </pt>
                <pt idx="79">
                  <v>0.0083645702359507</v>
                </pt>
                <pt idx="80">
                  <v>0.009988939751539824</v>
                </pt>
                <pt idx="81">
                  <v>0.009295953090751898</v>
                </pt>
                <pt idx="82">
                  <v>0.008744465534243755</v>
                </pt>
                <pt idx="83">
                  <v>0.007970491096486683</v>
                </pt>
                <pt idx="84">
                  <v>0.004518380363785715</v>
                </pt>
                <pt idx="85">
                  <v>0.004490910999839956</v>
                </pt>
                <pt idx="86">
                  <v>0.001657444805219521</v>
                </pt>
                <pt idx="87">
                  <v>0.00041071650303952</v>
                </pt>
                <pt idx="88">
                  <v>0.003623942869258707</v>
                </pt>
                <pt idx="89">
                  <v>0.006272729955821447</v>
                </pt>
                <pt idx="90">
                  <v>-0.006009868836445312</v>
                </pt>
                <pt idx="91">
                  <v>-0.004013124864985469</v>
                </pt>
                <pt idx="92">
                  <v>0.0205937796141952</v>
                </pt>
                <pt idx="93">
                  <v>-0.000877717791954727</v>
                </pt>
                <pt idx="94">
                  <v>0.006921146055360413</v>
                </pt>
                <pt idx="95">
                  <v>-0.0008551628399565864</v>
                </pt>
                <pt idx="96">
                  <v>0.004272552873545866</v>
                </pt>
                <pt idx="97">
                  <v>0.004156745724226006</v>
                </pt>
                <pt idx="98">
                  <v>0.005728325481706115</v>
                </pt>
                <pt idx="99">
                  <v>0.002093806150076697</v>
                </pt>
                <pt idx="100">
                  <v>0.002275562056272882</v>
                </pt>
                <pt idx="101">
                  <v>0.006093266264739924</v>
                </pt>
                <pt idx="102">
                  <v>-0.0005728840211784118</v>
                </pt>
                <pt idx="103">
                  <v>0.005789557859513318</v>
                </pt>
                <pt idx="104">
                  <v>0.004467489772732731</v>
                </pt>
                <pt idx="105">
                  <v>-0.0042113054275227</v>
                </pt>
                <pt idx="106">
                  <v>0.0129772726954277</v>
                </pt>
                <pt idx="107">
                  <v>0.005222538028018617</v>
                </pt>
                <pt idx="108">
                  <v>0.007864563299675241</v>
                </pt>
                <pt idx="109">
                  <v>-0.0005922749130711621</v>
                </pt>
                <pt idx="110">
                  <v>0.003672534359998702</v>
                </pt>
                <pt idx="111">
                  <v>0.003797195819445091</v>
                </pt>
                <pt idx="112">
                  <v>0.006233222618427063</v>
                </pt>
                <pt idx="113">
                  <v>0.00295842699018436</v>
                </pt>
                <pt idx="114">
                  <v>0.0005882226728166082</v>
                </pt>
                <pt idx="115">
                  <v>-0.001896653822492079</v>
                </pt>
                <pt idx="116">
                  <v>-0.002687016340103418</v>
                </pt>
                <pt idx="117">
                  <v>0.003930380430742833</v>
                </pt>
                <pt idx="118">
                  <v>-0.003420117284670607</v>
                </pt>
                <pt idx="119">
                  <v>3.662367763788301e-05</v>
                </pt>
                <pt idx="120">
                  <v>-0.003297087984724156</v>
                </pt>
                <pt idx="121">
                  <v>-0.005435875044048499</v>
                </pt>
                <pt idx="122">
                  <v>-0.006764069260452197</v>
                </pt>
                <pt idx="123">
                  <v>-0.002546825823325776</v>
                </pt>
                <pt idx="124">
                  <v>-0.003272823394524932</v>
                </pt>
                <pt idx="125">
                  <v>-0.005520667011050856</v>
                </pt>
                <pt idx="126">
                  <v>-0.005669709540045357</v>
                </pt>
                <pt idx="127">
                  <v>-0.005940179791455696</v>
                </pt>
                <pt idx="128">
                  <v>-0.001216852800106906</v>
                </pt>
                <pt idx="129">
                  <v>-0.00529365019337664</v>
                </pt>
                <pt idx="130">
                  <v>-0.003068245071924035</v>
                </pt>
                <pt idx="131">
                  <v>-0.005791433783170624</v>
                </pt>
                <pt idx="132">
                  <v>-0.0003433257863847192</v>
                </pt>
                <pt idx="133">
                  <v>0.00696326403953311</v>
                </pt>
                <pt idx="134">
                  <v>-0.0001016429994591785</v>
                </pt>
                <pt idx="135">
                  <v>0.007607057900988656</v>
                </pt>
                <pt idx="136">
                  <v>0.00481113600097492</v>
                </pt>
                <pt idx="137">
                  <v>0.004330709104866176</v>
                </pt>
                <pt idx="138">
                  <v>0.008190866968232459</v>
                </pt>
                <pt idx="139">
                  <v>-0.0002291644815940673</v>
                </pt>
                <pt idx="140">
                  <v>-0.001288243699480953</v>
                </pt>
                <pt idx="141">
                  <v>0.001073633844450986</v>
                </pt>
                <pt idx="142">
                  <v>-0.002603497853126624</v>
                </pt>
                <pt idx="143">
                  <v>0.005463713924634158</v>
                </pt>
                <pt idx="144">
                  <v>-0.005390059380730759</v>
                </pt>
                <pt idx="145">
                  <v>0.008261512907246735</v>
                </pt>
                <pt idx="146">
                  <v>0.001083960350081955</v>
                </pt>
                <pt idx="147">
                  <v>-0.00294947141944535</v>
                </pt>
                <pt idx="148">
                  <v>-0.006343541711937651</v>
                </pt>
                <pt idx="149">
                  <v>-0.0002386969788578197</v>
                </pt>
                <pt idx="150">
                  <v>0.001328621634242969</v>
                </pt>
                <pt idx="151">
                  <v>0.005204774475742065</v>
                </pt>
                <pt idx="152">
                  <v>-0.002374222220528654</v>
                </pt>
                <pt idx="153">
                  <v>0.00660574250932949</v>
                </pt>
                <pt idx="154">
                  <v>0.001248834004378564</v>
                </pt>
                <pt idx="155">
                  <v>0.006736602971988729</v>
                </pt>
                <pt idx="156">
                  <v>0.0008342708513115073</v>
                </pt>
                <pt idx="157">
                  <v>0.001663898920728928</v>
                </pt>
                <pt idx="158">
                  <v>0.006081810087121746</v>
                </pt>
                <pt idx="159">
                  <v>-0.003965850870420682</v>
                </pt>
                <pt idx="160">
                  <v>0.004061555074230374</v>
                </pt>
                <pt idx="161">
                  <v>0.007190019797232538</v>
                </pt>
                <pt idx="162">
                  <v>-0.007627775649555127</v>
                </pt>
                <pt idx="163">
                  <v>0.00732376846057637</v>
                </pt>
                <pt idx="164">
                  <v>0.0009069456609245556</v>
                </pt>
                <pt idx="165">
                  <v>0.001067283702311772</v>
                </pt>
                <pt idx="166">
                  <v>0.008814893625990238</v>
                </pt>
                <pt idx="167">
                  <v>0.002393719894333167</v>
                </pt>
                <pt idx="168">
                  <v>0.007749151016125655</v>
                </pt>
                <pt idx="169">
                  <v>0.003603109725192621</v>
                </pt>
                <pt idx="170">
                  <v>0.007299186376026899</v>
                </pt>
                <pt idx="171">
                  <v>-0.00142814712410507</v>
                </pt>
                <pt idx="172">
                  <v>0.001971174419631547</v>
                </pt>
                <pt idx="173">
                  <v>0.00115431279710764</v>
                </pt>
                <pt idx="174">
                  <v>0.004106723141929238</v>
                </pt>
                <pt idx="175">
                  <v>-0.003003395401632089</v>
                </pt>
                <pt idx="176">
                  <v>0.003345782837153631</v>
                </pt>
                <pt idx="177">
                  <v>-0.01929598456335321</v>
                </pt>
                <pt idx="178">
                  <v>0.01208017510727354</v>
                </pt>
                <pt idx="179">
                  <v>0.01105203107724972</v>
                </pt>
                <pt idx="180">
                  <v>0.0046902257585703</v>
                </pt>
                <pt idx="181">
                  <v>0.001858762599333641</v>
                </pt>
                <pt idx="182">
                  <v>0.0003665823514174297</v>
                </pt>
                <pt idx="183">
                  <v>0.002379876309488372</v>
                </pt>
                <pt idx="184">
                  <v>0.003069839606536721</v>
                </pt>
                <pt idx="185">
                  <v>0.0001204740036321904</v>
                </pt>
                <pt idx="186">
                  <v>0.003224062745030115</v>
                </pt>
                <pt idx="187">
                  <v>-0.0007184161790752899</v>
                </pt>
                <pt idx="188">
                  <v>0.004267148115207274</v>
                </pt>
                <pt idx="189">
                  <v>-0.002050105418386539</v>
                </pt>
                <pt idx="190">
                  <v>-0.001037737375431865</v>
                </pt>
                <pt idx="191">
                  <v>-0.0005446216625425079</v>
                </pt>
                <pt idx="192">
                  <v>0.01023538458669149</v>
                </pt>
                <pt idx="193">
                  <v>-0.003886658604822993</v>
                </pt>
                <pt idx="194">
                  <v>0.009719963177279389</v>
                </pt>
                <pt idx="195">
                  <v>0.001924683118150148</v>
                </pt>
                <pt idx="196">
                  <v>0.006859247642452389</v>
                </pt>
                <pt idx="197">
                  <v>0.0006930655063549665</v>
                </pt>
                <pt idx="198">
                  <v>0.0002557844144561563</v>
                </pt>
                <pt idx="199">
                  <v>-0.00109565759640593</v>
                </pt>
                <pt idx="200">
                  <v>0.002091318966066855</v>
                </pt>
                <pt idx="201">
                  <v>0.002483908140914425</v>
                </pt>
                <pt idx="202">
                  <v>-0.002930570946976267</v>
                </pt>
                <pt idx="203">
                  <v>0.005795796470555148</v>
                </pt>
                <pt idx="204">
                  <v>-0.0001084847812119774</v>
                </pt>
                <pt idx="205">
                  <v>-0.001356695599111293</v>
                </pt>
                <pt idx="206">
                  <v>-0.003927821270800387</v>
                </pt>
                <pt idx="207">
                  <v>-0.00362297122766579</v>
                </pt>
                <pt idx="208">
                  <v>-0.00665492422748302</v>
                </pt>
                <pt idx="209">
                  <v>-0.005797041024333869</v>
                </pt>
                <pt idx="210">
                  <v>-0.002254845463975929</v>
                </pt>
                <pt idx="211">
                  <v>-0.004201609186604817</v>
                </pt>
                <pt idx="212">
                  <v>-0.01565516819040177</v>
                </pt>
                <pt idx="213">
                  <v>-0.04368331789251841</v>
                </pt>
                <pt idx="214">
                  <v>0.009886983023946356</v>
                </pt>
                <pt idx="215">
                  <v>-0.01309939789145549</v>
                </pt>
                <pt idx="216">
                  <v>-0.02814490253264018</v>
                </pt>
                <pt idx="217">
                  <v>-0.02480205207244087</v>
                </pt>
                <pt idx="218">
                  <v>-0.006016844456263913</v>
                </pt>
                <pt idx="219">
                  <v>-0.01575805130974828</v>
                </pt>
                <pt idx="220">
                  <v>-0.007978019715287929</v>
                </pt>
                <pt idx="221">
                  <v>-0.0100244817723668</v>
                </pt>
                <pt idx="222">
                  <v>-0.003192974985899227</v>
                </pt>
                <pt idx="223">
                  <v>0.01158298880353092</v>
                </pt>
                <pt idx="224">
                  <v>0.01078298570172504</v>
                </pt>
                <pt idx="225">
                  <v>0.008405543824802351</v>
                </pt>
                <pt idx="226">
                  <v>0.002143965017517947</v>
                </pt>
                <pt idx="227">
                  <v>0.004175956724027258</v>
                </pt>
                <pt idx="228">
                  <v>0.003610330049778674</v>
                </pt>
                <pt idx="229">
                  <v>0.0109008316768915</v>
                </pt>
                <pt idx="230">
                  <v>0.003535006993280669</v>
                </pt>
                <pt idx="231">
                  <v>0.00710543867421383</v>
                </pt>
                <pt idx="232">
                  <v>0.003650788901698956</v>
                </pt>
                <pt idx="233">
                  <v>0.01369564737278795</v>
                </pt>
                <pt idx="234">
                  <v>0.002350809198039777</v>
                </pt>
                <pt idx="235">
                  <v>0.003752908509903069</v>
                </pt>
                <pt idx="236">
                  <v>0.003698778736466066</v>
                </pt>
                <pt idx="237">
                  <v>0.002718782055026201</v>
                </pt>
                <pt idx="238">
                  <v>-0.002724332048887868</v>
                </pt>
                <pt idx="239">
                  <v>0.0006845632097344997</v>
                </pt>
                <pt idx="240">
                  <v>0.009677676926249996</v>
                </pt>
                <pt idx="241">
                  <v>-0.002081772632386144</v>
                </pt>
                <pt idx="242">
                  <v>-0.004007312108664614</v>
                </pt>
                <pt idx="243">
                  <v>0.01046071666416169</v>
                </pt>
                <pt idx="244">
                  <v>-0.003463576581467228</v>
                </pt>
                <pt idx="245">
                  <v>0.001444702494857234</v>
                </pt>
                <pt idx="246">
                  <v>0.002665591903034453</v>
                </pt>
                <pt idx="247">
                  <v>0.005070301516793625</v>
                </pt>
                <pt idx="248">
                  <v>0.006472015955202683</v>
                </pt>
                <pt idx="249">
                  <v>-0.0005582052432650481</v>
                </pt>
                <pt idx="250">
                  <v>0.006898894740719545</v>
                </pt>
                <pt idx="251">
                  <v>0.0001713167760053918</v>
                </pt>
                <pt idx="252">
                  <v>0.004900491405184497</v>
                </pt>
                <pt idx="253">
                  <v>0.00613627647237901</v>
                </pt>
                <pt idx="254">
                  <v>0.003080416219756981</v>
                </pt>
                <pt idx="255">
                  <v>-0.005210945457466717</v>
                </pt>
                <pt idx="256">
                  <v>0.007280741801782647</v>
                </pt>
                <pt idx="257">
                  <v>0.002096595491402001</v>
                </pt>
                <pt idx="258">
                  <v>-0.0001466597412092791</v>
                </pt>
                <pt idx="259">
                  <v>0.002391007103243099</v>
                </pt>
                <pt idx="260">
                  <v>-0.004199608277472408</v>
                </pt>
                <pt idx="261">
                  <v>-0.000745018655832896</v>
                </pt>
                <pt idx="262">
                  <v>0.003295951788666567</v>
                </pt>
                <pt idx="263">
                  <v>0.004078473979171008</v>
                </pt>
                <pt idx="264">
                  <v>0.002523507308944239</v>
                </pt>
                <pt idx="265">
                  <v>-7.229692889125614e-05</v>
                </pt>
                <pt idx="266">
                  <v>0.004933858793408069</v>
                </pt>
                <pt idx="267">
                  <v>0.004214483680867406</v>
                </pt>
                <pt idx="268">
                  <v>-0.001105960281095373</v>
                </pt>
                <pt idx="269">
                  <v>0.000893021296295566</v>
                </pt>
                <pt idx="270">
                  <v>0.001371643819221528</v>
                </pt>
                <pt idx="271">
                  <v>-0.003032835048714863</v>
                </pt>
                <pt idx="272">
                  <v>0.005822276495055443</v>
                </pt>
                <pt idx="273">
                  <v>0.005308119177566948</v>
                </pt>
                <pt idx="274">
                  <v>-0.001133804984018081</v>
                </pt>
                <pt idx="275">
                  <v>0.002443350506660613</v>
                </pt>
                <pt idx="276">
                  <v>0.002093903118619795</v>
                </pt>
                <pt idx="277">
                  <v>-0.003734644908178427</v>
                </pt>
                <pt idx="278">
                  <v>0.007658317228816718</v>
                </pt>
                <pt idx="279">
                  <v>0.009832404455068245</v>
                </pt>
                <pt idx="280">
                  <v>0.0006211967581947773</v>
                </pt>
                <pt idx="281">
                  <v>0.004020537852276589</v>
                </pt>
                <pt idx="282">
                  <v>0.003444814482508835</v>
                </pt>
                <pt idx="283">
                  <v>0.002718310671128407</v>
                </pt>
                <pt idx="284">
                  <v>-0.001872766614698334</v>
                </pt>
                <pt idx="285">
                  <v>0.003066734600355125</v>
                </pt>
                <pt idx="286">
                  <v>5.535877687782676e-05</v>
                </pt>
                <pt idx="287">
                  <v>0.006130888102897494</v>
                </pt>
                <pt idx="288">
                  <v>-9.362780246978529e-05</v>
                </pt>
                <pt idx="289">
                  <v>-0.007664684531797783</v>
                </pt>
                <pt idx="290">
                  <v>-0.006251094383893354</v>
                </pt>
                <pt idx="291">
                  <v>-0.003403637988250794</v>
                </pt>
                <pt idx="292">
                  <v>-0.0056891570998757</v>
                </pt>
                <pt idx="293">
                  <v>-0.004691366568668666</v>
                </pt>
                <pt idx="294">
                  <v>-0.002984508739388758</v>
                </pt>
                <pt idx="295">
                  <v>0.006541374116262043</v>
                </pt>
                <pt idx="296">
                  <v>-0.002272772227627689</v>
                </pt>
                <pt idx="297">
                  <v>-0.002698250007990725</v>
                </pt>
                <pt idx="298">
                  <v>-0.004542382313512585</v>
                </pt>
                <pt idx="299">
                  <v>-0.007681401087564486</v>
                </pt>
                <pt idx="300">
                  <v>-0.005277631587902521</v>
                </pt>
                <pt idx="301">
                  <v>0.005577742438520047</v>
                </pt>
                <pt idx="302">
                  <v>-0.005170578806544451</v>
                </pt>
                <pt idx="303">
                  <v>-0.00764551350492309</v>
                </pt>
                <pt idx="304">
                  <v>0.003035505938713089</v>
                </pt>
                <pt idx="305">
                  <v>-0.002304025743477548</v>
                </pt>
                <pt idx="306">
                  <v>0.004755135953405095</v>
                </pt>
                <pt idx="307">
                  <v>0.001626525435668664</v>
                </pt>
                <pt idx="308">
                  <v>-0.001081577663252594</v>
                </pt>
                <pt idx="309">
                  <v>-0.001028054226847028</v>
                </pt>
                <pt idx="310">
                  <v>0.0008506651629155587</v>
                </pt>
                <pt idx="311">
                  <v>-0.004175758710494909</v>
                </pt>
                <pt idx="312">
                  <v>0.006163759250304581</v>
                </pt>
                <pt idx="313">
                  <v>-0.001732953308411263</v>
                </pt>
                <pt idx="314">
                  <v>-0.003211630340487961</v>
                </pt>
                <pt idx="315">
                  <v>0.006653268011676735</v>
                </pt>
                <pt idx="316">
                  <v>0.009910913816181343</v>
                </pt>
                <pt idx="317">
                  <v>0.0008445397198887966</v>
                </pt>
                <pt idx="318">
                  <v>0.001755559768165776</v>
                </pt>
                <pt idx="319">
                  <v>-0.001724571045019516</v>
                </pt>
                <pt idx="320">
                  <v>-0.004533571391313352</v>
                </pt>
                <pt idx="321">
                  <v>0.0009539783181681947</v>
                </pt>
                <pt idx="322">
                  <v>0.01259935318948984</v>
                </pt>
                <pt idx="323">
                  <v>0.001839863581914975</v>
                </pt>
                <pt idx="324">
                  <v>0.001598403570647086</v>
                </pt>
                <pt idx="325">
                  <v>-0.0004221415168207399</v>
                </pt>
                <pt idx="326">
                  <v>0.003569983713686508</v>
                </pt>
                <pt idx="327">
                  <v>0.005621059758949326</v>
                </pt>
                <pt idx="328">
                  <v>0.01129758453498365</v>
                </pt>
                <pt idx="329">
                  <v>-0.009286114820151705</v>
                </pt>
                <pt idx="330">
                  <v>0.007585375737418736</v>
                </pt>
                <pt idx="331">
                  <v>0.002014512235531503</v>
                </pt>
                <pt idx="332">
                  <v>0.006972823964957025</v>
                </pt>
                <pt idx="333">
                  <v>-0.0001315029166877164</v>
                </pt>
                <pt idx="334">
                  <v>-0.001141441832311734</v>
                </pt>
                <pt idx="335">
                  <v>-0.0008390390509959934</v>
                </pt>
                <pt idx="336">
                  <v>-0.0008782198610438662</v>
                </pt>
                <pt idx="337">
                  <v>-0.005782283454395565</v>
                </pt>
                <pt idx="338">
                  <v>-0.004383722411877321</v>
                </pt>
                <pt idx="339">
                  <v>0.0008199136836157538</v>
                </pt>
                <pt idx="340">
                  <v>-0.005028182699232015</v>
                </pt>
                <pt idx="341">
                  <v>0.001885085939712534</v>
                </pt>
                <pt idx="342">
                  <v>0.0001676812039776222</v>
                </pt>
                <pt idx="343">
                  <v>-0.003817031992296068</v>
                </pt>
                <pt idx="344">
                  <v>0.006921640844213213</v>
                </pt>
                <pt idx="345">
                  <v>-0.003202842135322294</v>
                </pt>
                <pt idx="346">
                  <v>-0.007813490086829319</v>
                </pt>
                <pt idx="347">
                  <v>0.003148043520019803</v>
                </pt>
                <pt idx="348">
                  <v>-0.003278226092525063</v>
                </pt>
                <pt idx="349">
                  <v>-0.004522263452028857</v>
                </pt>
                <pt idx="350">
                  <v>0.003956447495002275</v>
                </pt>
                <pt idx="351">
                  <v>-0.03765051059963553</v>
                </pt>
                <pt idx="352">
                  <v>-0.1319606925668617</v>
                </pt>
                <pt idx="353">
                  <v>0.01619016232259012</v>
                </pt>
                <pt idx="354">
                  <v>0.06275359212359162</v>
                </pt>
                <pt idx="355">
                  <v>0.03805463187826271</v>
                </pt>
                <pt idx="356">
                  <v>0.009170141078017688</v>
                </pt>
                <pt idx="357">
                  <v>-0.0004806626911818286</v>
                </pt>
                <pt idx="358">
                  <v>0.007847313083284761</v>
                </pt>
                <pt idx="359">
                  <v>0.003029176356062724</v>
                </pt>
                <pt idx="360">
                  <v>0.01049956599071739</v>
                </pt>
                <pt idx="361">
                  <v>0.01147873402638446</v>
                </pt>
                <pt idx="362">
                  <v>-0.03063935244198988</v>
                </pt>
                <pt idx="363">
                  <v>0.02742584681067292</v>
                </pt>
                <pt idx="364">
                  <v>0.001643703700708943</v>
                </pt>
                <pt idx="365">
                  <v>0.007613259745220676</v>
                </pt>
                <pt idx="366">
                  <v>0.004147186016513071</v>
                </pt>
                <pt idx="367">
                  <v>0.006787946772943052</v>
                </pt>
                <pt idx="368">
                  <v>-0.0003509384095299261</v>
                </pt>
                <pt idx="369">
                  <v>-0.009790057219401561</v>
                </pt>
                <pt idx="370">
                  <v>0.01512672033371139</v>
                </pt>
                <pt idx="371">
                  <v>0.00592737582597686</v>
                </pt>
                <pt idx="372">
                  <v>-0.001984091957479314</v>
                </pt>
                <pt idx="373">
                  <v>0.003806062778998345</v>
                </pt>
                <pt idx="374">
                  <v>0.007368864179337306</v>
                </pt>
                <pt idx="375">
                  <v>0.006540413037496676</v>
                </pt>
                <pt idx="376">
                  <v>0.006750878868139363</v>
                </pt>
                <pt idx="377">
                  <v>-0.001019459891669443</v>
                </pt>
                <pt idx="378">
                  <v>-0.0008390566479210261</v>
                </pt>
                <pt idx="379">
                  <v>0.006538415720615328</v>
                </pt>
                <pt idx="380">
                  <v>-0.0009860850341004146</v>
                </pt>
                <pt idx="381">
                  <v>0.001439022145360922</v>
                </pt>
                <pt idx="382">
                  <v>-0.001103000808698679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Table13456789101112131415161734[[#Headers],[yoy]]</f>
          <strCache>
            <ptCount val="1"/>
            <pt idx="0">
              <v>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2"/>
          <order val="0"/>
          <tx>
            <strRef>
              <f>'Per country'!$G$3</f>
              <strCache>
                <ptCount val="1"/>
                <pt idx="0">
                  <v>United States Industrial Production yoy</v>
                </pt>
              </strCache>
            </strRef>
          </tx>
          <spPr>
            <a:ln xmlns:a="http://schemas.openxmlformats.org/drawingml/2006/main" w="28575" cap="rnd">
              <a:solidFill>
                <a:sysClr val="windowText" lastClr="000000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country'!$A$5:$A$400</f>
              <numCache>
                <formatCode>mmm\-yy</formatCode>
                <ptCount val="396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</numCache>
            </numRef>
          </cat>
          <val>
            <numRef>
              <f>'Per country'!$D$5:$D$400</f>
              <numCache>
                <formatCode>0.0%</formatCode>
                <ptCount val="396"/>
                <pt idx="12">
                  <v>0.008724739363744528</v>
                </pt>
                <pt idx="13">
                  <v>0.006909043999998405</v>
                </pt>
                <pt idx="14">
                  <v>0.02139554779141147</v>
                </pt>
                <pt idx="15">
                  <v>0.0357028808252329</v>
                </pt>
                <pt idx="16">
                  <v>0.04083289603080106</v>
                </pt>
                <pt idx="17">
                  <v>0.03385394115720691</v>
                </pt>
                <pt idx="18">
                  <v>0.0262253149889138</v>
                </pt>
                <pt idx="19">
                  <v>0.03265601734817003</v>
                </pt>
                <pt idx="20">
                  <v>0.02673429441534293</v>
                </pt>
                <pt idx="21">
                  <v>0.02141843856342066</v>
                </pt>
                <pt idx="22">
                  <v>0.02940652634344689</v>
                </pt>
                <pt idx="23">
                  <v>0.03489083859894806</v>
                </pt>
                <pt idx="24">
                  <v>0.04107760950202824</v>
                </pt>
                <pt idx="25">
                  <v>0.05071933633841452</v>
                </pt>
                <pt idx="26">
                  <v>0.04834292857782232</v>
                </pt>
                <pt idx="27">
                  <v>0.03869447484437042</v>
                </pt>
                <pt idx="28">
                  <v>0.03379438932406601</v>
                </pt>
                <pt idx="29">
                  <v>0.02634802081272907</v>
                </pt>
                <pt idx="30">
                  <v>0.02824505371562975</v>
                </pt>
                <pt idx="31">
                  <v>0.02158057138027184</v>
                </pt>
                <pt idx="32">
                  <v>0.02632941920127181</v>
                </pt>
                <pt idx="33">
                  <v>0.02834984002044376</v>
                </pt>
                <pt idx="34">
                  <v>0.02898577831448241</v>
                </pt>
                <pt idx="35">
                  <v>0.02972627238701633</v>
                </pt>
                <pt idx="36">
                  <v>0.03390936526395494</v>
                </pt>
                <pt idx="37">
                  <v>0.0330781890235526</v>
                </pt>
                <pt idx="38">
                  <v>0.0289441537742413</v>
                </pt>
                <pt idx="39">
                  <v>0.04023372131808572</v>
                </pt>
                <pt idx="40">
                  <v>0.04339144318164088</v>
                </pt>
                <pt idx="41">
                  <v>0.05250426140433614</v>
                </pt>
                <pt idx="42">
                  <v>0.05686468485126423</v>
                </pt>
                <pt idx="43">
                  <v>0.05564137221655691</v>
                </pt>
                <pt idx="44">
                  <v>0.06360342727918439</v>
                </pt>
                <pt idx="45">
                  <v>0.06148803110017666</v>
                </pt>
                <pt idx="46">
                  <v>0.06216447121897864</v>
                </pt>
                <pt idx="47">
                  <v>0.06430048907512347</v>
                </pt>
                <pt idx="48">
                  <v>0.06862577544489998</v>
                </pt>
                <pt idx="49">
                  <v>0.06745581053850123</v>
                </pt>
                <pt idx="50">
                  <v>0.06526024354703688</v>
                </pt>
                <pt idx="51">
                  <v>0.05635668715497854</v>
                </pt>
                <pt idx="52">
                  <v>0.04843944297857326</v>
                </pt>
                <pt idx="53">
                  <v>0.04837966382894601</v>
                </pt>
                <pt idx="54">
                  <v>0.04500713660331815</v>
                </pt>
                <pt idx="55">
                  <v>0.039283573068185</v>
                </pt>
                <pt idx="56">
                  <v>0.04604333355216882</v>
                </pt>
                <pt idx="57">
                  <v>0.04697271606343238</v>
                </pt>
                <pt idx="58">
                  <v>0.03699425262263487</v>
                </pt>
                <pt idx="59">
                  <v>0.03249842054704362</v>
                </pt>
                <pt idx="60">
                  <v>0.02611480694157009</v>
                </pt>
                <pt idx="61">
                  <v>0.01843475387896141</v>
                </pt>
                <pt idx="62">
                  <v>0.03438458075975266</v>
                </pt>
                <pt idx="63">
                  <v>0.0312099780136022</v>
                </pt>
                <pt idx="64">
                  <v>0.0432699789294184</v>
                </pt>
                <pt idx="65">
                  <v>0.04621546190637058</v>
                </pt>
                <pt idx="66">
                  <v>0.05055864872401481</v>
                </pt>
                <pt idx="67">
                  <v>0.05503237774113261</v>
                </pt>
                <pt idx="68">
                  <v>0.04658511399422584</v>
                </pt>
                <pt idx="69">
                  <v>0.04913854777097004</v>
                </pt>
                <pt idx="70">
                  <v>0.05061130748106955</v>
                </pt>
                <pt idx="71">
                  <v>0.05733148210646254</v>
                </pt>
                <pt idx="72">
                  <v>0.06031207404251361</v>
                </pt>
                <pt idx="73">
                  <v>0.06800820926035177</v>
                </pt>
                <pt idx="74">
                  <v>0.0653894786459757</v>
                </pt>
                <pt idx="75">
                  <v>0.07366416512369287</v>
                </pt>
                <pt idx="76">
                  <v>0.06387127377782437</v>
                </pt>
                <pt idx="77">
                  <v>0.06184458690489941</v>
                </pt>
                <pt idx="78">
                  <v>0.05889580136971224</v>
                </pt>
                <pt idx="79">
                  <v>0.06774452784355585</v>
                </pt>
                <pt idx="80">
                  <v>0.07300340258370022</v>
                </pt>
                <pt idx="81">
                  <v>0.07602822918088449</v>
                </pt>
                <pt idx="82">
                  <v>0.0855810276045029</v>
                </pt>
                <pt idx="83">
                  <v>0.08466247638403612</v>
                </pt>
                <pt idx="84">
                  <v>0.08272010707090717</v>
                </pt>
                <pt idx="85">
                  <v>0.08561996023126799</v>
                </pt>
                <pt idx="86">
                  <v>0.07472777693529858</v>
                </pt>
                <pt idx="87">
                  <v>0.06850766288503934</v>
                </pt>
                <pt idx="88">
                  <v>0.07148315676809472</v>
                </pt>
                <pt idx="89">
                  <v>0.07224363258083512</v>
                </pt>
                <pt idx="90">
                  <v>0.06084505915771915</v>
                </pt>
                <pt idx="91">
                  <v>0.04782316501429807</v>
                </pt>
                <pt idx="92">
                  <v>0.05882526259379327</v>
                </pt>
                <pt idx="93">
                  <v>0.04815233785755778</v>
                </pt>
                <pt idx="94">
                  <v>0.04625778810809209</v>
                </pt>
                <pt idx="95">
                  <v>0.03709689575289445</v>
                </pt>
                <pt idx="96">
                  <v>0.03684309559154136</v>
                </pt>
                <pt idx="97">
                  <v>0.03649816767331671</v>
                </pt>
                <pt idx="98">
                  <v>0.04071064608485148</v>
                </pt>
                <pt idx="99">
                  <v>0.04246153627934037</v>
                </pt>
                <pt idx="100">
                  <v>0.04106097669346977</v>
                </pt>
                <pt idx="101">
                  <v>0.04087530869317869</v>
                </pt>
                <pt idx="102">
                  <v>0.04656874876921489</v>
                </pt>
                <pt idx="103">
                  <v>0.05686926743033638</v>
                </pt>
                <pt idx="104">
                  <v>0.04016979260347779</v>
                </pt>
                <pt idx="105">
                  <v>0.03669924928634634</v>
                </pt>
                <pt idx="106">
                  <v>0.04293447631076282</v>
                </pt>
                <pt idx="107">
                  <v>0.04927854529472721</v>
                </pt>
                <pt idx="108">
                  <v>0.05303152994399215</v>
                </pt>
                <pt idx="109">
                  <v>0.04805136276518993</v>
                </pt>
                <pt idx="110">
                  <v>0.04590905988669233</v>
                </pt>
                <pt idx="111">
                  <v>0.04768692806308038</v>
                </pt>
                <pt idx="112">
                  <v>0.05182390335575635</v>
                </pt>
                <pt idx="113">
                  <v>0.04854657411331182</v>
                </pt>
                <pt idx="114">
                  <v>0.04976474643093615</v>
                </pt>
                <pt idx="115">
                  <v>0.04174247776218355</v>
                </pt>
                <pt idx="116">
                  <v>0.03432247362960884</v>
                </pt>
                <pt idx="117">
                  <v>0.04277921621198157</v>
                </pt>
                <pt idx="118">
                  <v>0.02589941255570523</v>
                </pt>
                <pt idx="119">
                  <v>0.02060682680045876</v>
                </pt>
                <pt idx="120">
                  <v>0.009304060621311951</v>
                </pt>
                <pt idx="121">
                  <v>0.004412498191377634</v>
                </pt>
                <pt idx="122">
                  <v>-0.006031799880138917</v>
                </pt>
                <pt idx="123">
                  <v>-0.01231370204130079</v>
                </pt>
                <pt idx="124">
                  <v>-0.02164453229387932</v>
                </pt>
                <pt idx="125">
                  <v>-0.02991563083003413</v>
                </pt>
                <pt idx="126">
                  <v>-0.03598278421587573</v>
                </pt>
                <pt idx="127">
                  <v>-0.03988822012236739</v>
                </pt>
                <pt idx="128">
                  <v>-0.03847289578966161</v>
                </pt>
                <pt idx="129">
                  <v>-0.04730732856312914</v>
                </pt>
                <pt idx="130">
                  <v>-0.04697095203759406</v>
                </pt>
                <pt idx="131">
                  <v>-0.05252505667920063</v>
                </pt>
                <pt idx="132">
                  <v>-0.04971718320184102</v>
                </pt>
                <pt idx="133">
                  <v>-0.03787009509704947</v>
                </pt>
                <pt idx="134">
                  <v>-0.0314163217824461</v>
                </pt>
                <pt idx="135">
                  <v>-0.02155632403968707</v>
                </pt>
                <pt idx="136">
                  <v>-0.01362065304275026</v>
                </pt>
                <pt idx="137">
                  <v>-0.003849515908464067</v>
                </pt>
                <pt idx="138">
                  <v>0.01003643338925049</v>
                </pt>
                <pt idx="139">
                  <v>0.0158392366183297</v>
                </pt>
                <pt idx="140">
                  <v>0.01576662658588678</v>
                </pt>
                <pt idx="141">
                  <v>0.02226872102700067</v>
                </pt>
                <pt idx="142">
                  <v>0.02274527977097925</v>
                </pt>
                <pt idx="143">
                  <v>0.03432348336168539</v>
                </pt>
                <pt idx="144">
                  <v>0.02910173553010238</v>
                </pt>
                <pt idx="145">
                  <v>0.03042852689442133</v>
                </pt>
                <pt idx="146">
                  <v>0.03165033059516299</v>
                </pt>
                <pt idx="147">
                  <v>0.02084190395903929</v>
                </pt>
                <pt idx="148">
                  <v>0.009509264394734065</v>
                </pt>
                <pt idx="149">
                  <v>0.004916297424310196</v>
                </pt>
                <pt idx="150">
                  <v>-0.001923659570923382</v>
                </pt>
                <pt idx="151">
                  <v>0.003501069492953369</v>
                </pt>
                <pt idx="152">
                  <v>0.002409883171732353</v>
                </pt>
                <pt idx="153">
                  <v>0.007949376185006391</v>
                </pt>
                <pt idx="154">
                  <v>0.0118424673320798</v>
                </pt>
                <pt idx="155">
                  <v>0.01312343170352183</v>
                </pt>
                <pt idx="156">
                  <v>0.01946362050237533</v>
                </pt>
                <pt idx="157">
                  <v>0.01279270491622094</v>
                </pt>
                <pt idx="158">
                  <v>0.01784900983611121</v>
                </pt>
                <pt idx="159">
                  <v>0.01681142870241902</v>
                </pt>
                <pt idx="160">
                  <v>0.02745899330151439</v>
                </pt>
                <pt idx="161">
                  <v>0.03509351749965937</v>
                </pt>
                <pt idx="162">
                  <v>0.02583510965201343</v>
                </pt>
                <pt idx="163">
                  <v>0.02799759284148908</v>
                </pt>
                <pt idx="164">
                  <v>0.03137865291328319</v>
                </pt>
                <pt idx="165">
                  <v>0.02570389074735535</v>
                </pt>
                <pt idx="166">
                  <v>0.03345474800476277</v>
                </pt>
                <pt idx="167">
                  <v>0.02899660759009708</v>
                </pt>
                <pt idx="168">
                  <v>0.03610606460882351</v>
                </pt>
                <pt idx="169">
                  <v>0.03811195508488507</v>
                </pt>
                <pt idx="170">
                  <v>0.03936808839996794</v>
                </pt>
                <pt idx="171">
                  <v>0.04201619870224871</v>
                </pt>
                <pt idx="172">
                  <v>0.03984679933371622</v>
                </pt>
                <pt idx="173">
                  <v>0.03361539266523125</v>
                </pt>
                <pt idx="174">
                  <v>0.04583757933921719</v>
                </pt>
                <pt idx="175">
                  <v>0.03511556880669769</v>
                </pt>
                <pt idx="176">
                  <v>0.03763775964755783</v>
                </pt>
                <pt idx="177">
                  <v>0.01653059092245325</v>
                </pt>
                <pt idx="178">
                  <v>0.01982084618599979</v>
                </pt>
                <pt idx="179">
                  <v>0.02862968652673384</v>
                </pt>
                <pt idx="180">
                  <v>0.02550738041948957</v>
                </pt>
                <pt idx="181">
                  <v>0.02372496181770611</v>
                </pt>
                <pt idx="182">
                  <v>0.0166793095563121</v>
                </pt>
                <pt idx="183">
                  <v>0.02055638522601977</v>
                </pt>
                <pt idx="184">
                  <v>0.02167542916695057</v>
                </pt>
                <pt idx="185">
                  <v>0.02062039930840415</v>
                </pt>
                <pt idx="186">
                  <v>0.01972322255818976</v>
                </pt>
                <pt idx="187">
                  <v>0.02206028806629424</v>
                </pt>
                <pt idx="188">
                  <v>0.02299883874105661</v>
                </pt>
                <pt idx="189">
                  <v>0.04098848093754991</v>
                </pt>
                <pt idx="190">
                  <v>0.02749587815339219</v>
                </pt>
                <pt idx="191">
                  <v>0.01571061634266512</v>
                </pt>
                <pt idx="192">
                  <v>0.02131659970612066</v>
                </pt>
                <pt idx="193">
                  <v>0.01545959244405472</v>
                </pt>
                <pt idx="194">
                  <v>0.02495409220940902</v>
                </pt>
                <pt idx="195">
                  <v>0.02448864778535923</v>
                </pt>
                <pt idx="196">
                  <v>0.02835897202533941</v>
                </pt>
                <pt idx="197">
                  <v>0.02894773070435462</v>
                </pt>
                <pt idx="198">
                  <v>0.02590334274979734</v>
                </pt>
                <pt idx="199">
                  <v>0.02551605128227788</v>
                </pt>
                <pt idx="200">
                  <v>0.02329418459921539</v>
                </pt>
                <pt idx="201">
                  <v>0.0279433455774545</v>
                </pt>
                <pt idx="202">
                  <v>0.02599559865351897</v>
                </pt>
                <pt idx="203">
                  <v>0.03250438457751119</v>
                </pt>
                <pt idx="204">
                  <v>0.02193250139186452</v>
                </pt>
                <pt idx="205">
                  <v>0.02452804079025728</v>
                </pt>
                <pt idx="206">
                  <v>0.01068010436071482</v>
                </pt>
                <pt idx="207">
                  <v>0.005083971270414219</v>
                </pt>
                <pt idx="208">
                  <v>-0.008406372651310419</v>
                </pt>
                <pt idx="209">
                  <v>-0.01483746376053955</v>
                </pt>
                <pt idx="210">
                  <v>-0.01731020976924433</v>
                </pt>
                <pt idx="211">
                  <v>-0.02036574450572887</v>
                </pt>
                <pt idx="212">
                  <v>-0.03771452939601539</v>
                </pt>
                <pt idx="213">
                  <v>-0.08203050341743348</v>
                </pt>
                <pt idx="214">
                  <v>-0.0702297970440742</v>
                </pt>
                <pt idx="215">
                  <v>-0.08769675083181813</v>
                </pt>
                <pt idx="216">
                  <v>-0.1132772409353548</v>
                </pt>
                <pt idx="217">
                  <v>-0.1340950154977718</v>
                </pt>
                <pt idx="218">
                  <v>-0.1359110441226667</v>
                </pt>
                <pt idx="219">
                  <v>-0.1464349606470514</v>
                </pt>
                <pt idx="220">
                  <v>-0.1475718747765522</v>
                </pt>
                <pt idx="221">
                  <v>-0.1511964761306377</v>
                </pt>
                <pt idx="222">
                  <v>-0.1519945633380114</v>
                </pt>
                <pt idx="223">
                  <v>-0.1385526608056872</v>
                </pt>
                <pt idx="224">
                  <v>-0.1154153652283708</v>
                </pt>
                <pt idx="225">
                  <v>-0.06723362001783667</v>
                </pt>
                <pt idx="226">
                  <v>-0.07438533797974813</v>
                </pt>
                <pt idx="227">
                  <v>-0.0581827726053566</v>
                </pt>
                <pt idx="228">
                  <v>-0.02740902332525856</v>
                </pt>
                <pt idx="229">
                  <v>0.008198416835646451</v>
                </pt>
                <pt idx="230">
                  <v>0.01788687227432254</v>
                </pt>
                <pt idx="231">
                  <v>0.04153191843397826</v>
                </pt>
                <pt idx="232">
                  <v>0.05374109886410928</v>
                </pt>
                <pt idx="233">
                  <v>0.07898907165778261</v>
                </pt>
                <pt idx="234">
                  <v>0.08498991474976908</v>
                </pt>
                <pt idx="235">
                  <v>0.07659163379378403</v>
                </pt>
                <pt idx="236">
                  <v>0.06904619816739521</v>
                </pt>
                <pt idx="237">
                  <v>0.06301746192423241</v>
                </pt>
                <pt idx="238">
                  <v>0.05785344859673267</v>
                </pt>
                <pt idx="239">
                  <v>0.05417542519379046</v>
                </pt>
                <pt idx="240">
                  <v>0.06054846439216651</v>
                </pt>
                <pt idx="241">
                  <v>0.04692825493880608</v>
                </pt>
                <pt idx="242">
                  <v>0.03905980299585948</v>
                </pt>
                <pt idx="243">
                  <v>0.0425215403208223</v>
                </pt>
                <pt idx="244">
                  <v>0.03513164002489164</v>
                </pt>
                <pt idx="245">
                  <v>0.02262163201981298</v>
                </pt>
                <pt idx="246">
                  <v>0.02294278066413923</v>
                </pt>
                <pt idx="247">
                  <v>0.02428535975334625</v>
                </pt>
                <pt idx="248">
                  <v>0.02711547805422827</v>
                </pt>
                <pt idx="249">
                  <v>0.02375875986394574</v>
                </pt>
                <pt idx="250">
                  <v>0.03363753565345085</v>
                </pt>
                <pt idx="251">
                  <v>0.03310738779422831</v>
                </pt>
                <pt idx="252">
                  <v>0.02821934701897714</v>
                </pt>
                <pt idx="253">
                  <v>0.0366869316892777</v>
                </pt>
                <pt idx="254">
                  <v>0.04406425024067676</v>
                </pt>
                <pt idx="255">
                  <v>0.0278714167210721</v>
                </pt>
                <pt idx="256">
                  <v>0.0389535783950113</v>
                </pt>
                <pt idx="257">
                  <v>0.03962988789048672</v>
                </pt>
                <pt idx="258">
                  <v>0.03671395970342703</v>
                </pt>
                <pt idx="259">
                  <v>0.03395031031841252</v>
                </pt>
                <pt idx="260">
                  <v>0.02298733369108519</v>
                </pt>
                <pt idx="261">
                  <v>0.02279611919933279</v>
                </pt>
                <pt idx="262">
                  <v>0.01913629189362769</v>
                </pt>
                <pt idx="263">
                  <v>0.02311753554368075</v>
                </pt>
                <pt idx="264">
                  <v>0.02069746098767053</v>
                </pt>
                <pt idx="265">
                  <v>0.01439903476527986</v>
                </pt>
                <pt idx="266">
                  <v>0.01627339132463734</v>
                </pt>
                <pt idx="267">
                  <v>0.02590238029608297</v>
                </pt>
                <pt idx="268">
                  <v>0.01736063292357955</v>
                </pt>
                <pt idx="269">
                  <v>0.01613872576371785</v>
                </pt>
                <pt idx="270">
                  <v>0.01768175910980774</v>
                </pt>
                <pt idx="271">
                  <v>0.01217518015686031</v>
                </pt>
                <pt idx="272">
                  <v>0.0223618632606878</v>
                </pt>
                <pt idx="273">
                  <v>0.02855497451804061</v>
                </pt>
                <pt idx="274">
                  <v>0.02401369399525275</v>
                </pt>
                <pt idx="275">
                  <v>0.02234610638072288</v>
                </pt>
                <pt idx="276">
                  <v>0.02190800775454504</v>
                </pt>
                <pt idx="277">
                  <v>0.01816515443052719</v>
                </pt>
                <pt idx="278">
                  <v>0.02092548399784617</v>
                </pt>
                <pt idx="279">
                  <v>0.02663689184812892</v>
                </pt>
                <pt idx="280">
                  <v>0.02841201820192059</v>
                </pt>
                <pt idx="281">
                  <v>0.03162552408602668</v>
                </pt>
                <pt idx="282">
                  <v>0.03376133029267781</v>
                </pt>
                <pt idx="283">
                  <v>0.03972472834535363</v>
                </pt>
                <pt idx="284">
                  <v>0.03177031453501895</v>
                </pt>
                <pt idx="285">
                  <v>0.02946993117383045</v>
                </pt>
                <pt idx="286">
                  <v>0.03069552909794914</v>
                </pt>
                <pt idx="287">
                  <v>0.03448699373472983</v>
                </pt>
                <pt idx="288">
                  <v>0.03222874999208543</v>
                </pt>
                <pt idx="289">
                  <v>0.02815684297717766</v>
                </pt>
                <pt idx="290">
                  <v>0.01396447589512574</v>
                </pt>
                <pt idx="291">
                  <v>0.0006742736994377555</v>
                </pt>
                <pt idx="292">
                  <v>-0.005636414884982746</v>
                </pt>
                <pt idx="293">
                  <v>-0.0142645257518394</v>
                </pt>
                <pt idx="294">
                  <v>-0.02058038077820708</v>
                </pt>
                <pt idx="295">
                  <v>-0.01684614823867422</v>
                </pt>
                <pt idx="296">
                  <v>-0.01724015317704648</v>
                </pt>
                <pt idx="297">
                  <v>-0.0228884268114941</v>
                </pt>
                <pt idx="298">
                  <v>-0.02738068415556692</v>
                </pt>
                <pt idx="299">
                  <v>-0.04073292234000747</v>
                </pt>
                <pt idx="300">
                  <v>-0.04570623214190563</v>
                </pt>
                <pt idx="301">
                  <v>-0.03297145859096352</v>
                </pt>
                <pt idx="302">
                  <v>-0.03191999639882592</v>
                </pt>
                <pt idx="303">
                  <v>-0.03604049595309525</v>
                </pt>
                <pt idx="304">
                  <v>-0.02758215325703839</v>
                </pt>
                <pt idx="305">
                  <v>-0.02524971812415849</v>
                </pt>
                <pt idx="306">
                  <v>-0.01768291408545607</v>
                </pt>
                <pt idx="307">
                  <v>-0.02247947780134936</v>
                </pt>
                <pt idx="308">
                  <v>-0.02131240818533022</v>
                </pt>
                <pt idx="309">
                  <v>-0.0196733858062763</v>
                </pt>
                <pt idx="310">
                  <v>-0.01436231290993337</v>
                </pt>
                <pt idx="311">
                  <v>-0.01088027271831877</v>
                </pt>
                <pt idx="312">
                  <v>0.0004966760112810468</v>
                </pt>
                <pt idx="313">
                  <v>-0.006777079647229638</v>
                </pt>
                <pt idx="314">
                  <v>-0.004821294590186326</v>
                </pt>
                <pt idx="315">
                  <v>0.00951818094227823</v>
                </pt>
                <pt idx="316">
                  <v>0.01643802496834011</v>
                </pt>
                <pt idx="317">
                  <v>0.01964573728115412</v>
                </pt>
                <pt idx="318">
                  <v>0.01660170698811447</v>
                </pt>
                <pt idx="319">
                  <v>0.01320050872105812</v>
                </pt>
                <pt idx="320">
                  <v>0.009699159939051186</v>
                </pt>
                <pt idx="321">
                  <v>0.01170247605232288</v>
                </pt>
                <pt idx="322">
                  <v>0.0235785502565766</v>
                </pt>
                <pt idx="323">
                  <v>0.02976183209452692</v>
                </pt>
                <pt idx="324">
                  <v>0.02508940279499604</v>
                </pt>
                <pt idx="325">
                  <v>0.02643543468202606</v>
                </pt>
                <pt idx="326">
                  <v>0.03341875148368582</v>
                </pt>
                <pt idx="327">
                  <v>0.03235909827666684</v>
                </pt>
                <pt idx="328">
                  <v>0.03377659175384889</v>
                </pt>
                <pt idx="329">
                  <v>0.02331259549168234</v>
                </pt>
                <pt idx="330">
                  <v>0.02926786477126162</v>
                </pt>
                <pt idx="331">
                  <v>0.03312303154462735</v>
                </pt>
                <pt idx="332">
                  <v>0.04506469196730546</v>
                </pt>
                <pt idx="333">
                  <v>0.04393137501476482</v>
                </pt>
                <pt idx="334">
                  <v>0.02976540997071936</v>
                </pt>
                <pt idx="335">
                  <v>0.02701183490515136</v>
                </pt>
                <pt idx="336">
                  <v>0.02447237241611135</v>
                </pt>
                <pt idx="337">
                  <v>0.01897873599682608</v>
                </pt>
                <pt idx="338">
                  <v>0.0109029091528165</v>
                </pt>
                <pt idx="339">
                  <v>0.006076545894288749</v>
                </pt>
                <pt idx="340">
                  <v>-0.01016493609800376</v>
                </pt>
                <pt idx="341">
                  <v>0.0009963551520879891</v>
                </pt>
                <pt idx="342">
                  <v>-0.006372831986194904</v>
                </pt>
                <pt idx="343">
                  <v>-0.01215556337929228</v>
                </pt>
                <pt idx="344">
                  <v>-0.01220577422895213</v>
                </pt>
                <pt idx="345">
                  <v>-0.01524002438724931</v>
                </pt>
                <pt idx="346">
                  <v>-0.02181789872459147</v>
                </pt>
                <pt idx="347">
                  <v>-0.01791453083923046</v>
                </pt>
                <pt idx="348">
                  <v>-0.0202736138786425</v>
                </pt>
                <pt idx="349">
                  <v>-0.01903195943735119</v>
                </pt>
                <pt idx="350">
                  <v>-0.01081449622820121</v>
                </pt>
                <pt idx="351">
                  <v>-0.04883770650274488</v>
                </pt>
                <pt idx="352">
                  <v>-0.1701812612705493</v>
                </pt>
                <pt idx="353">
                  <v>-0.1583329758653085</v>
                </pt>
                <pt idx="354">
                  <v>-0.1056653098464868</v>
                </pt>
                <pt idx="355">
                  <v>-0.06807454315351655</v>
                </pt>
                <pt idx="356">
                  <v>-0.06599351269135384</v>
                </pt>
                <pt idx="357">
                  <v>-0.06344280993263811</v>
                </pt>
                <pt idx="358">
                  <v>-0.04866006730848808</v>
                </pt>
                <pt idx="359">
                  <v>-0.04877279551494637</v>
                </pt>
                <pt idx="360">
                  <v>-0.03562387974887461</v>
                </pt>
                <pt idx="361">
                  <v>-0.02012279991368869</v>
                </pt>
                <pt idx="362">
                  <v>-0.05388884191838911</v>
                </pt>
                <pt idx="363">
                  <v>0.01008944097295777</v>
                </pt>
                <pt idx="364">
                  <v>0.1655575042067588</v>
                </pt>
                <pt idx="365">
                  <v>0.1557199033988012</v>
                </pt>
                <pt idx="366">
                  <v>0.09198679489028921</v>
                </pt>
                <pt idx="367">
                  <v>0.05909564811776941</v>
                </pt>
                <pt idx="368">
                  <v>0.04910354327816984</v>
                </pt>
                <pt idx="369">
                  <v>0.03933232783412866</v>
                </pt>
                <pt idx="370">
                  <v>0.04683914278975215</v>
                </pt>
                <pt idx="371">
                  <v>0.0498639288281212</v>
                </pt>
                <pt idx="372">
                  <v>0.03689396563294593</v>
                </pt>
                <pt idx="373">
                  <v>0.02902850465085419</v>
                </pt>
                <pt idx="374">
                  <v>0.06937627244276827</v>
                </pt>
                <pt idx="375">
                  <v>0.04763807363646051</v>
                </pt>
                <pt idx="376">
                  <v>0.05297976463333168</v>
                </pt>
                <pt idx="377">
                  <v>0.04395836777944692</v>
                </pt>
                <pt idx="378">
                  <v>0.03877443675239801</v>
                </pt>
                <pt idx="379">
                  <v>0.03851697789111069</v>
                </pt>
                <pt idx="380">
                  <v>0.03785713577410092</v>
                </pt>
                <pt idx="381">
                  <v>0.04962653905252738</v>
                </pt>
                <pt idx="382">
                  <v>0.03284523905197631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Table13456789101112131415161734[[#Headers],[USA]]</f>
          <strCache>
            <ptCount val="1"/>
            <pt idx="0">
              <v>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'Per country'!$G$4</f>
              <strCache>
                <ptCount val="1"/>
                <pt idx="0">
                  <v>United States Industrial Production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'Per country'!$A$5:$A$391</f>
              <numCache>
                <formatCode>mmm\-yy</formatCode>
                <ptCount val="387"/>
                <pt idx="0">
                  <v>33208</v>
                </pt>
                <pt idx="1">
                  <v>33239</v>
                </pt>
                <pt idx="2">
                  <v>33270</v>
                </pt>
                <pt idx="3">
                  <v>33298</v>
                </pt>
                <pt idx="4">
                  <v>33329</v>
                </pt>
                <pt idx="5">
                  <v>33359</v>
                </pt>
                <pt idx="6">
                  <v>33390</v>
                </pt>
                <pt idx="7">
                  <v>33420</v>
                </pt>
                <pt idx="8">
                  <v>33451</v>
                </pt>
                <pt idx="9">
                  <v>33482</v>
                </pt>
                <pt idx="10">
                  <v>33512</v>
                </pt>
                <pt idx="11">
                  <v>33543</v>
                </pt>
                <pt idx="12">
                  <v>33573</v>
                </pt>
                <pt idx="13">
                  <v>33604</v>
                </pt>
                <pt idx="14">
                  <v>33635</v>
                </pt>
                <pt idx="15">
                  <v>33664</v>
                </pt>
                <pt idx="16">
                  <v>33695</v>
                </pt>
                <pt idx="17">
                  <v>33725</v>
                </pt>
                <pt idx="18">
                  <v>33756</v>
                </pt>
                <pt idx="19">
                  <v>33786</v>
                </pt>
                <pt idx="20">
                  <v>33817</v>
                </pt>
                <pt idx="21">
                  <v>33848</v>
                </pt>
                <pt idx="22">
                  <v>33878</v>
                </pt>
                <pt idx="23">
                  <v>33909</v>
                </pt>
                <pt idx="24">
                  <v>33939</v>
                </pt>
                <pt idx="25">
                  <v>33970</v>
                </pt>
                <pt idx="26">
                  <v>34001</v>
                </pt>
                <pt idx="27">
                  <v>34029</v>
                </pt>
                <pt idx="28">
                  <v>34060</v>
                </pt>
                <pt idx="29">
                  <v>34090</v>
                </pt>
                <pt idx="30">
                  <v>34121</v>
                </pt>
                <pt idx="31">
                  <v>34151</v>
                </pt>
                <pt idx="32">
                  <v>34182</v>
                </pt>
                <pt idx="33">
                  <v>34213</v>
                </pt>
                <pt idx="34">
                  <v>34243</v>
                </pt>
                <pt idx="35">
                  <v>34274</v>
                </pt>
                <pt idx="36">
                  <v>34304</v>
                </pt>
                <pt idx="37">
                  <v>34335</v>
                </pt>
                <pt idx="38">
                  <v>34366</v>
                </pt>
                <pt idx="39">
                  <v>34394</v>
                </pt>
                <pt idx="40">
                  <v>34425</v>
                </pt>
                <pt idx="41">
                  <v>34455</v>
                </pt>
                <pt idx="42">
                  <v>34486</v>
                </pt>
                <pt idx="43">
                  <v>34516</v>
                </pt>
                <pt idx="44">
                  <v>34547</v>
                </pt>
                <pt idx="45">
                  <v>34578</v>
                </pt>
                <pt idx="46">
                  <v>34608</v>
                </pt>
                <pt idx="47">
                  <v>34639</v>
                </pt>
                <pt idx="48">
                  <v>34669</v>
                </pt>
                <pt idx="49">
                  <v>34700</v>
                </pt>
                <pt idx="50">
                  <v>34731</v>
                </pt>
                <pt idx="51">
                  <v>34759</v>
                </pt>
                <pt idx="52">
                  <v>34790</v>
                </pt>
                <pt idx="53">
                  <v>34820</v>
                </pt>
                <pt idx="54">
                  <v>34851</v>
                </pt>
                <pt idx="55">
                  <v>34881</v>
                </pt>
                <pt idx="56">
                  <v>34912</v>
                </pt>
                <pt idx="57">
                  <v>34943</v>
                </pt>
                <pt idx="58">
                  <v>34973</v>
                </pt>
                <pt idx="59">
                  <v>35004</v>
                </pt>
                <pt idx="60">
                  <v>35034</v>
                </pt>
                <pt idx="61">
                  <v>35065</v>
                </pt>
                <pt idx="62">
                  <v>35096</v>
                </pt>
                <pt idx="63">
                  <v>35125</v>
                </pt>
                <pt idx="64">
                  <v>35156</v>
                </pt>
                <pt idx="65">
                  <v>35186</v>
                </pt>
                <pt idx="66">
                  <v>35217</v>
                </pt>
                <pt idx="67">
                  <v>35247</v>
                </pt>
                <pt idx="68">
                  <v>35278</v>
                </pt>
                <pt idx="69">
                  <v>35309</v>
                </pt>
                <pt idx="70">
                  <v>35339</v>
                </pt>
                <pt idx="71">
                  <v>35370</v>
                </pt>
                <pt idx="72">
                  <v>35400</v>
                </pt>
                <pt idx="73">
                  <v>35431</v>
                </pt>
                <pt idx="74">
                  <v>35462</v>
                </pt>
                <pt idx="75">
                  <v>35490</v>
                </pt>
                <pt idx="76">
                  <v>35521</v>
                </pt>
                <pt idx="77">
                  <v>35551</v>
                </pt>
                <pt idx="78">
                  <v>35582</v>
                </pt>
                <pt idx="79">
                  <v>35612</v>
                </pt>
                <pt idx="80">
                  <v>35643</v>
                </pt>
                <pt idx="81">
                  <v>35674</v>
                </pt>
                <pt idx="82">
                  <v>35704</v>
                </pt>
                <pt idx="83">
                  <v>35735</v>
                </pt>
                <pt idx="84">
                  <v>35765</v>
                </pt>
                <pt idx="85">
                  <v>35796</v>
                </pt>
                <pt idx="86">
                  <v>35827</v>
                </pt>
                <pt idx="87">
                  <v>35855</v>
                </pt>
                <pt idx="88">
                  <v>35886</v>
                </pt>
                <pt idx="89">
                  <v>35916</v>
                </pt>
                <pt idx="90">
                  <v>35947</v>
                </pt>
                <pt idx="91">
                  <v>35977</v>
                </pt>
                <pt idx="92">
                  <v>36008</v>
                </pt>
                <pt idx="93">
                  <v>36039</v>
                </pt>
                <pt idx="94">
                  <v>36069</v>
                </pt>
                <pt idx="95">
                  <v>36100</v>
                </pt>
                <pt idx="96">
                  <v>36130</v>
                </pt>
                <pt idx="97">
                  <v>36161</v>
                </pt>
                <pt idx="98">
                  <v>36192</v>
                </pt>
                <pt idx="99">
                  <v>36220</v>
                </pt>
                <pt idx="100">
                  <v>36251</v>
                </pt>
                <pt idx="101">
                  <v>36281</v>
                </pt>
                <pt idx="102">
                  <v>36312</v>
                </pt>
                <pt idx="103">
                  <v>36342</v>
                </pt>
                <pt idx="104">
                  <v>36373</v>
                </pt>
                <pt idx="105">
                  <v>36404</v>
                </pt>
                <pt idx="106">
                  <v>36434</v>
                </pt>
                <pt idx="107">
                  <v>36465</v>
                </pt>
                <pt idx="108">
                  <v>36495</v>
                </pt>
                <pt idx="109">
                  <v>36526</v>
                </pt>
                <pt idx="110">
                  <v>36557</v>
                </pt>
                <pt idx="111">
                  <v>36586</v>
                </pt>
                <pt idx="112">
                  <v>36617</v>
                </pt>
                <pt idx="113">
                  <v>36647</v>
                </pt>
                <pt idx="114">
                  <v>36678</v>
                </pt>
                <pt idx="115">
                  <v>36708</v>
                </pt>
                <pt idx="116">
                  <v>36739</v>
                </pt>
                <pt idx="117">
                  <v>36770</v>
                </pt>
                <pt idx="118">
                  <v>36800</v>
                </pt>
                <pt idx="119">
                  <v>36831</v>
                </pt>
                <pt idx="120">
                  <v>36861</v>
                </pt>
                <pt idx="121">
                  <v>36892</v>
                </pt>
                <pt idx="122">
                  <v>36923</v>
                </pt>
                <pt idx="123">
                  <v>36951</v>
                </pt>
                <pt idx="124">
                  <v>36982</v>
                </pt>
                <pt idx="125">
                  <v>37012</v>
                </pt>
                <pt idx="126">
                  <v>37043</v>
                </pt>
                <pt idx="127">
                  <v>37073</v>
                </pt>
                <pt idx="128">
                  <v>37104</v>
                </pt>
                <pt idx="129">
                  <v>37135</v>
                </pt>
                <pt idx="130">
                  <v>37165</v>
                </pt>
                <pt idx="131">
                  <v>37196</v>
                </pt>
                <pt idx="132">
                  <v>37226</v>
                </pt>
                <pt idx="133">
                  <v>37257</v>
                </pt>
                <pt idx="134">
                  <v>37288</v>
                </pt>
                <pt idx="135">
                  <v>37316</v>
                </pt>
                <pt idx="136">
                  <v>37347</v>
                </pt>
                <pt idx="137">
                  <v>37377</v>
                </pt>
                <pt idx="138">
                  <v>37408</v>
                </pt>
                <pt idx="139">
                  <v>37438</v>
                </pt>
                <pt idx="140">
                  <v>37469</v>
                </pt>
                <pt idx="141">
                  <v>37500</v>
                </pt>
                <pt idx="142">
                  <v>37530</v>
                </pt>
                <pt idx="143">
                  <v>37561</v>
                </pt>
                <pt idx="144">
                  <v>37591</v>
                </pt>
                <pt idx="145">
                  <v>37622</v>
                </pt>
                <pt idx="146">
                  <v>37653</v>
                </pt>
                <pt idx="147">
                  <v>37681</v>
                </pt>
                <pt idx="148">
                  <v>37712</v>
                </pt>
                <pt idx="149">
                  <v>37742</v>
                </pt>
                <pt idx="150">
                  <v>37773</v>
                </pt>
                <pt idx="151">
                  <v>37803</v>
                </pt>
                <pt idx="152">
                  <v>37834</v>
                </pt>
                <pt idx="153">
                  <v>37865</v>
                </pt>
                <pt idx="154">
                  <v>37895</v>
                </pt>
                <pt idx="155">
                  <v>37926</v>
                </pt>
                <pt idx="156">
                  <v>37956</v>
                </pt>
                <pt idx="157">
                  <v>37987</v>
                </pt>
                <pt idx="158">
                  <v>38018</v>
                </pt>
                <pt idx="159">
                  <v>38047</v>
                </pt>
                <pt idx="160">
                  <v>38078</v>
                </pt>
                <pt idx="161">
                  <v>38108</v>
                </pt>
                <pt idx="162">
                  <v>38139</v>
                </pt>
                <pt idx="163">
                  <v>38169</v>
                </pt>
                <pt idx="164">
                  <v>38200</v>
                </pt>
                <pt idx="165">
                  <v>38231</v>
                </pt>
                <pt idx="166">
                  <v>38261</v>
                </pt>
                <pt idx="167">
                  <v>38292</v>
                </pt>
                <pt idx="168">
                  <v>38322</v>
                </pt>
                <pt idx="169">
                  <v>38353</v>
                </pt>
                <pt idx="170">
                  <v>38384</v>
                </pt>
                <pt idx="171">
                  <v>38412</v>
                </pt>
                <pt idx="172">
                  <v>38443</v>
                </pt>
                <pt idx="173">
                  <v>38473</v>
                </pt>
                <pt idx="174">
                  <v>38504</v>
                </pt>
                <pt idx="175">
                  <v>38534</v>
                </pt>
                <pt idx="176">
                  <v>38565</v>
                </pt>
                <pt idx="177">
                  <v>38596</v>
                </pt>
                <pt idx="178">
                  <v>38626</v>
                </pt>
                <pt idx="179">
                  <v>38657</v>
                </pt>
                <pt idx="180">
                  <v>38687</v>
                </pt>
                <pt idx="181">
                  <v>38718</v>
                </pt>
                <pt idx="182">
                  <v>38749</v>
                </pt>
                <pt idx="183">
                  <v>38777</v>
                </pt>
                <pt idx="184">
                  <v>38808</v>
                </pt>
                <pt idx="185">
                  <v>38838</v>
                </pt>
                <pt idx="186">
                  <v>38869</v>
                </pt>
                <pt idx="187">
                  <v>38899</v>
                </pt>
                <pt idx="188">
                  <v>38930</v>
                </pt>
                <pt idx="189">
                  <v>38961</v>
                </pt>
                <pt idx="190">
                  <v>38991</v>
                </pt>
                <pt idx="191">
                  <v>39022</v>
                </pt>
                <pt idx="192">
                  <v>39052</v>
                </pt>
                <pt idx="193">
                  <v>39083</v>
                </pt>
                <pt idx="194">
                  <v>39114</v>
                </pt>
                <pt idx="195">
                  <v>39142</v>
                </pt>
                <pt idx="196">
                  <v>39173</v>
                </pt>
                <pt idx="197">
                  <v>39203</v>
                </pt>
                <pt idx="198">
                  <v>39234</v>
                </pt>
                <pt idx="199">
                  <v>39264</v>
                </pt>
                <pt idx="200">
                  <v>39295</v>
                </pt>
                <pt idx="201">
                  <v>39326</v>
                </pt>
                <pt idx="202">
                  <v>39356</v>
                </pt>
                <pt idx="203">
                  <v>39387</v>
                </pt>
                <pt idx="204">
                  <v>39417</v>
                </pt>
                <pt idx="205">
                  <v>39448</v>
                </pt>
                <pt idx="206">
                  <v>39479</v>
                </pt>
                <pt idx="207">
                  <v>39508</v>
                </pt>
                <pt idx="208">
                  <v>39539</v>
                </pt>
                <pt idx="209">
                  <v>39569</v>
                </pt>
                <pt idx="210">
                  <v>39600</v>
                </pt>
                <pt idx="211">
                  <v>39630</v>
                </pt>
                <pt idx="212">
                  <v>39661</v>
                </pt>
                <pt idx="213">
                  <v>39692</v>
                </pt>
                <pt idx="214">
                  <v>39722</v>
                </pt>
                <pt idx="215">
                  <v>39753</v>
                </pt>
                <pt idx="216">
                  <v>39783</v>
                </pt>
                <pt idx="217">
                  <v>39814</v>
                </pt>
                <pt idx="218">
                  <v>39845</v>
                </pt>
                <pt idx="219">
                  <v>39873</v>
                </pt>
                <pt idx="220">
                  <v>39904</v>
                </pt>
                <pt idx="221">
                  <v>39934</v>
                </pt>
                <pt idx="222">
                  <v>39965</v>
                </pt>
                <pt idx="223">
                  <v>39995</v>
                </pt>
                <pt idx="224">
                  <v>40026</v>
                </pt>
                <pt idx="225">
                  <v>40057</v>
                </pt>
                <pt idx="226">
                  <v>40087</v>
                </pt>
                <pt idx="227">
                  <v>40118</v>
                </pt>
                <pt idx="228">
                  <v>40148</v>
                </pt>
                <pt idx="229">
                  <v>40179</v>
                </pt>
                <pt idx="230">
                  <v>40210</v>
                </pt>
                <pt idx="231">
                  <v>40238</v>
                </pt>
                <pt idx="232">
                  <v>40269</v>
                </pt>
                <pt idx="233">
                  <v>40299</v>
                </pt>
                <pt idx="234">
                  <v>40330</v>
                </pt>
                <pt idx="235">
                  <v>40360</v>
                </pt>
                <pt idx="236">
                  <v>40391</v>
                </pt>
                <pt idx="237">
                  <v>40422</v>
                </pt>
                <pt idx="238">
                  <v>40452</v>
                </pt>
                <pt idx="239">
                  <v>40483</v>
                </pt>
                <pt idx="240">
                  <v>40513</v>
                </pt>
                <pt idx="241">
                  <v>40544</v>
                </pt>
                <pt idx="242">
                  <v>40575</v>
                </pt>
                <pt idx="243">
                  <v>40603</v>
                </pt>
                <pt idx="244">
                  <v>40634</v>
                </pt>
                <pt idx="245">
                  <v>40664</v>
                </pt>
                <pt idx="246">
                  <v>40695</v>
                </pt>
                <pt idx="247">
                  <v>40725</v>
                </pt>
                <pt idx="248">
                  <v>40756</v>
                </pt>
                <pt idx="249">
                  <v>40787</v>
                </pt>
                <pt idx="250">
                  <v>40817</v>
                </pt>
                <pt idx="251">
                  <v>40848</v>
                </pt>
                <pt idx="252">
                  <v>40878</v>
                </pt>
                <pt idx="253">
                  <v>40909</v>
                </pt>
                <pt idx="254">
                  <v>40940</v>
                </pt>
                <pt idx="255">
                  <v>40969</v>
                </pt>
                <pt idx="256">
                  <v>41000</v>
                </pt>
                <pt idx="257">
                  <v>41030</v>
                </pt>
                <pt idx="258">
                  <v>41061</v>
                </pt>
                <pt idx="259">
                  <v>41091</v>
                </pt>
                <pt idx="260">
                  <v>41122</v>
                </pt>
                <pt idx="261">
                  <v>41153</v>
                </pt>
                <pt idx="262">
                  <v>41183</v>
                </pt>
                <pt idx="263">
                  <v>41214</v>
                </pt>
                <pt idx="264">
                  <v>41244</v>
                </pt>
                <pt idx="265">
                  <v>41275</v>
                </pt>
                <pt idx="266">
                  <v>41306</v>
                </pt>
                <pt idx="267">
                  <v>41334</v>
                </pt>
                <pt idx="268">
                  <v>41365</v>
                </pt>
                <pt idx="269">
                  <v>41395</v>
                </pt>
                <pt idx="270">
                  <v>41426</v>
                </pt>
                <pt idx="271">
                  <v>41456</v>
                </pt>
                <pt idx="272">
                  <v>41487</v>
                </pt>
                <pt idx="273">
                  <v>41518</v>
                </pt>
                <pt idx="274">
                  <v>41548</v>
                </pt>
                <pt idx="275">
                  <v>41579</v>
                </pt>
                <pt idx="276">
                  <v>41609</v>
                </pt>
                <pt idx="277">
                  <v>41640</v>
                </pt>
                <pt idx="278">
                  <v>41671</v>
                </pt>
                <pt idx="279">
                  <v>41699</v>
                </pt>
                <pt idx="280">
                  <v>41730</v>
                </pt>
                <pt idx="281">
                  <v>41760</v>
                </pt>
                <pt idx="282">
                  <v>41791</v>
                </pt>
                <pt idx="283">
                  <v>41821</v>
                </pt>
                <pt idx="284">
                  <v>41852</v>
                </pt>
                <pt idx="285">
                  <v>41883</v>
                </pt>
                <pt idx="286">
                  <v>41913</v>
                </pt>
                <pt idx="287">
                  <v>41944</v>
                </pt>
                <pt idx="288">
                  <v>41974</v>
                </pt>
                <pt idx="289">
                  <v>42005</v>
                </pt>
                <pt idx="290">
                  <v>42036</v>
                </pt>
                <pt idx="291">
                  <v>42064</v>
                </pt>
                <pt idx="292">
                  <v>42095</v>
                </pt>
                <pt idx="293">
                  <v>42125</v>
                </pt>
                <pt idx="294">
                  <v>42156</v>
                </pt>
                <pt idx="295">
                  <v>42186</v>
                </pt>
                <pt idx="296">
                  <v>42217</v>
                </pt>
                <pt idx="297">
                  <v>42248</v>
                </pt>
                <pt idx="298">
                  <v>42278</v>
                </pt>
                <pt idx="299">
                  <v>42309</v>
                </pt>
                <pt idx="300">
                  <v>42339</v>
                </pt>
                <pt idx="301">
                  <v>42370</v>
                </pt>
                <pt idx="302">
                  <v>42401</v>
                </pt>
                <pt idx="303">
                  <v>42430</v>
                </pt>
                <pt idx="304">
                  <v>42461</v>
                </pt>
                <pt idx="305">
                  <v>42491</v>
                </pt>
                <pt idx="306">
                  <v>42522</v>
                </pt>
                <pt idx="307">
                  <v>42552</v>
                </pt>
                <pt idx="308">
                  <v>42583</v>
                </pt>
                <pt idx="309">
                  <v>42614</v>
                </pt>
                <pt idx="310">
                  <v>42644</v>
                </pt>
                <pt idx="311">
                  <v>42675</v>
                </pt>
                <pt idx="312">
                  <v>42705</v>
                </pt>
                <pt idx="313">
                  <v>42736</v>
                </pt>
                <pt idx="314">
                  <v>42767</v>
                </pt>
                <pt idx="315">
                  <v>42795</v>
                </pt>
                <pt idx="316">
                  <v>42826</v>
                </pt>
                <pt idx="317">
                  <v>42856</v>
                </pt>
                <pt idx="318">
                  <v>42887</v>
                </pt>
                <pt idx="319">
                  <v>42917</v>
                </pt>
                <pt idx="320">
                  <v>42948</v>
                </pt>
                <pt idx="321">
                  <v>42979</v>
                </pt>
                <pt idx="322">
                  <v>43009</v>
                </pt>
                <pt idx="323">
                  <v>43040</v>
                </pt>
                <pt idx="324">
                  <v>43070</v>
                </pt>
                <pt idx="325">
                  <v>43101</v>
                </pt>
                <pt idx="326">
                  <v>43132</v>
                </pt>
                <pt idx="327">
                  <v>43160</v>
                </pt>
                <pt idx="328">
                  <v>43191</v>
                </pt>
                <pt idx="329">
                  <v>43221</v>
                </pt>
                <pt idx="330">
                  <v>43252</v>
                </pt>
                <pt idx="331">
                  <v>43282</v>
                </pt>
                <pt idx="332">
                  <v>43313</v>
                </pt>
                <pt idx="333">
                  <v>43344</v>
                </pt>
                <pt idx="334">
                  <v>43374</v>
                </pt>
                <pt idx="335">
                  <v>43405</v>
                </pt>
                <pt idx="336">
                  <v>43435</v>
                </pt>
                <pt idx="337">
                  <v>43466</v>
                </pt>
                <pt idx="338">
                  <v>43497</v>
                </pt>
                <pt idx="339">
                  <v>43525</v>
                </pt>
                <pt idx="340">
                  <v>43556</v>
                </pt>
                <pt idx="341">
                  <v>43586</v>
                </pt>
                <pt idx="342">
                  <v>43617</v>
                </pt>
                <pt idx="343">
                  <v>43647</v>
                </pt>
                <pt idx="344">
                  <v>43678</v>
                </pt>
                <pt idx="345">
                  <v>43709</v>
                </pt>
                <pt idx="346">
                  <v>43739</v>
                </pt>
                <pt idx="347">
                  <v>43770</v>
                </pt>
                <pt idx="348">
                  <v>43800</v>
                </pt>
                <pt idx="349">
                  <v>43831</v>
                </pt>
                <pt idx="350">
                  <v>43862</v>
                </pt>
                <pt idx="351">
                  <v>43891</v>
                </pt>
                <pt idx="352">
                  <v>43922</v>
                </pt>
                <pt idx="353">
                  <v>43952</v>
                </pt>
                <pt idx="354">
                  <v>43983</v>
                </pt>
                <pt idx="355">
                  <v>44013</v>
                </pt>
                <pt idx="356">
                  <v>44044</v>
                </pt>
                <pt idx="357">
                  <v>44075</v>
                </pt>
                <pt idx="358">
                  <v>44105</v>
                </pt>
                <pt idx="359">
                  <v>44136</v>
                </pt>
                <pt idx="360">
                  <v>44166</v>
                </pt>
                <pt idx="361">
                  <v>44197</v>
                </pt>
                <pt idx="362">
                  <v>44228</v>
                </pt>
                <pt idx="363">
                  <v>44256</v>
                </pt>
                <pt idx="364">
                  <v>44287</v>
                </pt>
                <pt idx="365">
                  <v>44317</v>
                </pt>
                <pt idx="366">
                  <v>44348</v>
                </pt>
                <pt idx="367">
                  <v>44378</v>
                </pt>
                <pt idx="368">
                  <v>44409</v>
                </pt>
                <pt idx="369">
                  <v>44440</v>
                </pt>
                <pt idx="370">
                  <v>44470</v>
                </pt>
                <pt idx="371">
                  <v>44501</v>
                </pt>
                <pt idx="372">
                  <v>44531</v>
                </pt>
                <pt idx="373">
                  <v>44562</v>
                </pt>
                <pt idx="374">
                  <v>44593</v>
                </pt>
                <pt idx="375">
                  <v>44621</v>
                </pt>
                <pt idx="376">
                  <v>44652</v>
                </pt>
                <pt idx="377">
                  <v>44682</v>
                </pt>
                <pt idx="378">
                  <v>44713</v>
                </pt>
                <pt idx="379">
                  <v>44743</v>
                </pt>
                <pt idx="380">
                  <v>44774</v>
                </pt>
                <pt idx="381">
                  <v>44805</v>
                </pt>
                <pt idx="382">
                  <v>44835</v>
                </pt>
              </numCache>
            </numRef>
          </cat>
          <val>
            <numRef>
              <f>'Per country'!$B$5:$B$391</f>
              <numCache>
                <formatCode>0.00</formatCode>
                <ptCount val="387"/>
                <pt idx="0">
                  <v>60.917503302</v>
                </pt>
                <pt idx="1">
                  <v>60.708873905</v>
                </pt>
                <pt idx="2">
                  <v>60.267519606</v>
                </pt>
                <pt idx="3">
                  <v>59.929091786</v>
                </pt>
                <pt idx="4">
                  <v>60.088241112</v>
                </pt>
                <pt idx="5">
                  <v>60.689042214</v>
                </pt>
                <pt idx="6">
                  <v>61.173133809</v>
                </pt>
                <pt idx="7">
                  <v>61.336348632</v>
                </pt>
                <pt idx="8">
                  <v>61.347454379</v>
                </pt>
                <pt idx="9">
                  <v>61.860500245</v>
                </pt>
                <pt idx="10">
                  <v>61.798427049</v>
                </pt>
                <pt idx="11">
                  <v>61.718901966</v>
                </pt>
                <pt idx="12">
                  <v>61.448992641</v>
                </pt>
                <pt idx="13">
                  <v>61.128314186</v>
                </pt>
                <pt idx="14">
                  <v>61.556976202</v>
                </pt>
                <pt idx="15">
                  <v>62.068733008</v>
                </pt>
                <pt idx="16">
                  <v>62.541818014</v>
                </pt>
                <pt idx="17">
                  <v>62.743605478</v>
                </pt>
                <pt idx="18">
                  <v>62.777418512</v>
                </pt>
                <pt idx="19">
                  <v>63.339349497</v>
                </pt>
                <pt idx="20">
                  <v>62.987535286</v>
                </pt>
                <pt idx="21">
                  <v>63.185455569</v>
                </pt>
                <pt idx="22">
                  <v>63.615704122</v>
                </pt>
                <pt idx="23">
                  <v>63.872326213</v>
                </pt>
                <pt idx="24">
                  <v>63.973170365</v>
                </pt>
                <pt idx="25">
                  <v>64.22870171300001</v>
                </pt>
                <pt idx="26">
                  <v>64.532820706</v>
                </pt>
                <pt idx="27">
                  <v>64.470450036</v>
                </pt>
                <pt idx="28">
                  <v>64.655380561</v>
                </pt>
                <pt idx="29">
                  <v>64.39677530100001</v>
                </pt>
                <pt idx="30">
                  <v>64.55057007000001</v>
                </pt>
                <pt idx="31">
                  <v>64.70624884999999</v>
                </pt>
                <pt idx="32">
                  <v>64.645960507</v>
                </pt>
                <pt idx="33">
                  <v>64.97675312600001</v>
                </pt>
                <pt idx="34">
                  <v>65.45965481899999</v>
                </pt>
                <pt idx="35">
                  <v>65.77101238</v>
                </pt>
                <pt idx="36">
                  <v>66.142459966</v>
                </pt>
                <pt idx="37">
                  <v>66.353270849</v>
                </pt>
                <pt idx="38">
                  <v>66.400668592</v>
                </pt>
                <pt idx="39">
                  <v>67.064336156</v>
                </pt>
                <pt idx="40">
                  <v>67.460870833</v>
                </pt>
                <pt idx="41">
                  <v>67.77788042500001</v>
                </pt>
                <pt idx="42">
                  <v>68.22121789400001</v>
                </pt>
                <pt idx="43">
                  <v>68.306593327</v>
                </pt>
                <pt idx="44">
                  <v>68.757665155</v>
                </pt>
                <pt idx="45">
                  <v>68.972045743</v>
                </pt>
                <pt idx="46">
                  <v>69.528919647</v>
                </pt>
                <pt idx="47">
                  <v>70.000120643</v>
                </pt>
                <pt idx="48">
                  <v>70.68153757100001</v>
                </pt>
                <pt idx="49">
                  <v>70.829184516</v>
                </pt>
                <pt idx="50">
                  <v>70.733992396</v>
                </pt>
                <pt idx="51">
                  <v>70.843859968</v>
                </pt>
                <pt idx="52">
                  <v>70.728637839</v>
                </pt>
                <pt idx="53">
                  <v>71.05695149500001</v>
                </pt>
                <pt idx="54">
                  <v>71.291659567</v>
                </pt>
                <pt idx="55">
                  <v>70.989920377</v>
                </pt>
                <pt idx="56">
                  <v>71.923497266</v>
                </pt>
                <pt idx="57">
                  <v>72.211850064</v>
                </pt>
                <pt idx="58">
                  <v>72.10109006499999</v>
                </pt>
                <pt idx="59">
                  <v>72.27501400200001</v>
                </pt>
                <pt idx="60">
                  <v>72.52737227900001</v>
                </pt>
                <pt idx="61">
                  <v>72.1349031</v>
                </pt>
                <pt idx="62">
                  <v>73.16615107</v>
                </pt>
                <pt idx="63">
                  <v>73.05489528</v>
                </pt>
                <pt idx="64">
                  <v>73.789064508</v>
                </pt>
                <pt idx="65">
                  <v>74.34088133</v>
                </pt>
                <pt idx="66">
                  <v>74.89606954</v>
                </pt>
                <pt idx="67">
                  <v>74.896664491</v>
                </pt>
                <pt idx="68">
                  <v>75.274061585</v>
                </pt>
                <pt idx="69">
                  <v>75.76023550799999</v>
                </pt>
                <pt idx="70">
                  <v>75.750220504</v>
                </pt>
                <pt idx="71">
                  <v>76.418647674</v>
                </pt>
                <pt idx="72">
                  <v>76.901648526</v>
                </pt>
                <pt idx="73">
                  <v>77.040668685</v>
                </pt>
                <pt idx="74">
                  <v>77.950447543</v>
                </pt>
                <pt idx="75">
                  <v>78.43642314900001</v>
                </pt>
                <pt idx="76">
                  <v>78.50206604900001</v>
                </pt>
                <pt idx="77">
                  <v>78.938462426</v>
                </pt>
                <pt idx="78">
                  <v>79.30713357499999</v>
                </pt>
                <pt idx="79">
                  <v>79.97050366400001</v>
                </pt>
                <pt idx="80">
                  <v>80.769324207</v>
                </pt>
                <pt idx="81">
                  <v>81.520152056</v>
                </pt>
                <pt idx="82">
                  <v>82.233002216</v>
                </pt>
                <pt idx="83">
                  <v>82.888439628</v>
                </pt>
                <pt idx="84">
                  <v>83.26296112599999</v>
                </pt>
                <pt idx="85">
                  <v>83.63688767399999</v>
                </pt>
                <pt idx="86">
                  <v>83.77551119899999</v>
                </pt>
                <pt idx="87">
                  <v>83.80991918399999</v>
                </pt>
                <pt idx="88">
                  <v>84.113641543</v>
                </pt>
                <pt idx="89">
                  <v>84.641263702</v>
                </pt>
                <pt idx="90">
                  <v>84.132580809</v>
                </pt>
                <pt idx="91">
                  <v>83.79494625700001</v>
                </pt>
                <pt idx="92">
                  <v>85.520600913</v>
                </pt>
                <pt idx="93">
                  <v>85.44553796</v>
                </pt>
                <pt idx="94">
                  <v>86.036919008</v>
                </pt>
                <pt idx="95">
                  <v>85.963343432</v>
                </pt>
                <pt idx="96">
                  <v>86.330626362</v>
                </pt>
                <pt idx="97">
                  <v>86.689480824</v>
                </pt>
                <pt idx="98">
                  <v>87.18606638599999</v>
                </pt>
                <pt idx="99">
                  <v>87.368617108</v>
                </pt>
                <pt idx="100">
                  <v>87.56742981799999</v>
                </pt>
                <pt idx="101">
                  <v>88.10100148399999</v>
                </pt>
                <pt idx="102">
                  <v>88.05052982799999</v>
                </pt>
                <pt idx="103">
                  <v>88.560303465</v>
                </pt>
                <pt idx="104">
                  <v>88.955945715</v>
                </pt>
                <pt idx="105">
                  <v>88.581325058</v>
                </pt>
                <pt idx="106">
                  <v>89.73086906899999</v>
                </pt>
                <pt idx="107">
                  <v>90.19949194500001</v>
                </pt>
                <pt idx="108">
                  <v>90.908871559</v>
                </pt>
                <pt idx="109">
                  <v>90.855028515</v>
                </pt>
                <pt idx="110">
                  <v>91.188696729</v>
                </pt>
                <pt idx="111">
                  <v>91.53495806700001</v>
                </pt>
                <pt idx="112">
                  <v>92.105515838</v>
                </pt>
                <pt idx="113">
                  <v>92.37800328199999</v>
                </pt>
                <pt idx="114">
                  <v>92.43234211799999</v>
                </pt>
                <pt idx="115">
                  <v>92.25702996299999</v>
                </pt>
                <pt idx="116">
                  <v>92.009133816</v>
                </pt>
                <pt idx="117">
                  <v>92.37076471500001</v>
                </pt>
                <pt idx="118">
                  <v>92.05484586599999</v>
                </pt>
                <pt idx="119">
                  <v>92.058217253</v>
                </pt>
                <pt idx="120">
                  <v>91.754693211</v>
                </pt>
                <pt idx="121">
                  <v>91.255926164</v>
                </pt>
                <pt idx="122">
                  <v>90.63866475899999</v>
                </pt>
                <pt idx="123">
                  <v>90.407823867</v>
                </pt>
                <pt idx="124">
                  <v>90.111935026</v>
                </pt>
                <pt idx="125">
                  <v>89.614457039</v>
                </pt>
                <pt idx="126">
                  <v>89.106369097</v>
                </pt>
                <pt idx="127">
                  <v>88.57706124400001</v>
                </pt>
                <pt idx="128">
                  <v>88.469275999</v>
                </pt>
                <pt idx="129">
                  <v>88.00095059900001</v>
                </pt>
                <pt idx="130">
                  <v>87.73094211599999</v>
                </pt>
                <pt idx="131">
                  <v>87.22285417400001</v>
                </pt>
                <pt idx="132">
                  <v>87.192908319</v>
                </pt>
                <pt idx="133">
                  <v>87.800055562</v>
                </pt>
                <pt idx="134">
                  <v>87.79113130099999</v>
                </pt>
                <pt idx="135">
                  <v>88.45896352</v>
                </pt>
                <pt idx="136">
                  <v>88.884551624</v>
                </pt>
                <pt idx="137">
                  <v>89.269484761</v>
                </pt>
                <pt idx="138">
                  <v>90.00067923500001</v>
                </pt>
                <pt idx="139">
                  <v>89.980054276</v>
                </pt>
                <pt idx="140">
                  <v>89.86413803799999</v>
                </pt>
                <pt idx="141">
                  <v>89.96061921800001</v>
                </pt>
                <pt idx="142">
                  <v>89.726406939</v>
                </pt>
                <pt idx="143">
                  <v>90.21664635800001</v>
                </pt>
                <pt idx="144">
                  <v>89.730373277</v>
                </pt>
                <pt idx="145">
                  <v>90.471681914</v>
                </pt>
                <pt idx="146">
                  <v>90.56974963</v>
                </pt>
                <pt idx="147">
                  <v>90.302616742</v>
                </pt>
                <pt idx="148">
                  <v>89.729778326</v>
                </pt>
                <pt idx="149">
                  <v>89.708360099</v>
                </pt>
                <pt idx="150">
                  <v>89.82754856699999</v>
                </pt>
                <pt idx="151">
                  <v>90.295080699</v>
                </pt>
                <pt idx="152">
                  <v>90.080700112</v>
                </pt>
                <pt idx="153">
                  <v>90.675750022</v>
                </pt>
                <pt idx="154">
                  <v>90.78898898200001</v>
                </pt>
                <pt idx="155">
                  <v>91.400598355</v>
                </pt>
                <pt idx="156">
                  <v>91.47685121000001</v>
                </pt>
                <pt idx="157">
                  <v>91.62905944400001</v>
                </pt>
                <pt idx="158">
                  <v>92.186329982</v>
                </pt>
                <pt idx="159">
                  <v>91.820732745</v>
                </pt>
                <pt idx="160">
                  <v>92.19366770800001</v>
                </pt>
                <pt idx="161">
                  <v>92.856542004</v>
                </pt>
                <pt idx="162">
                  <v>92.148253134</v>
                </pt>
                <pt idx="163">
                  <v>92.823125604</v>
                </pt>
                <pt idx="164">
                  <v>92.907311135</v>
                </pt>
                <pt idx="165">
                  <v>93.006469594</v>
                </pt>
                <pt idx="166">
                  <v>93.82631173</v>
                </pt>
                <pt idx="167">
                  <v>94.05090563900001</v>
                </pt>
                <pt idx="168">
                  <v>94.77972031</v>
                </pt>
                <pt idx="169">
                  <v>95.121222042</v>
                </pt>
                <pt idx="170">
                  <v>95.81552957</v>
                </pt>
                <pt idx="171">
                  <v>95.678690897</v>
                </pt>
                <pt idx="172">
                  <v>95.867290285</v>
                </pt>
                <pt idx="173">
                  <v>95.977951125</v>
                </pt>
                <pt idx="174">
                  <v>96.37210599799999</v>
                </pt>
                <pt idx="175">
                  <v>96.082662458</v>
                </pt>
                <pt idx="176">
                  <v>96.404134181</v>
                </pt>
                <pt idx="177">
                  <v>94.543921496</v>
                </pt>
                <pt idx="178">
                  <v>95.686028623</v>
                </pt>
                <pt idx="179">
                  <v>96.743553585</v>
                </pt>
                <pt idx="180">
                  <v>97.19730269199999</v>
                </pt>
                <pt idx="181">
                  <v>97.37796940299999</v>
                </pt>
                <pt idx="182">
                  <v>97.413666448</v>
                </pt>
                <pt idx="183">
                  <v>97.645498925</v>
                </pt>
                <pt idx="184">
                  <v>97.945254945</v>
                </pt>
                <pt idx="185">
                  <v>97.957054802</v>
                </pt>
                <pt idx="186">
                  <v>98.272874493</v>
                </pt>
                <pt idx="187">
                  <v>98.20227367</v>
                </pt>
                <pt idx="188">
                  <v>98.62131731700001</v>
                </pt>
                <pt idx="189">
                  <v>98.41913322000001</v>
                </pt>
                <pt idx="190">
                  <v>98.317000007</v>
                </pt>
                <pt idx="191">
                  <v>98.263454439</v>
                </pt>
                <pt idx="192">
                  <v>99.269218686</v>
                </pt>
                <pt idx="193">
                  <v>98.883393123</v>
                </pt>
                <pt idx="194">
                  <v>99.84453606300001</v>
                </pt>
                <pt idx="195">
                  <v>100.036705156</v>
                </pt>
                <pt idx="196">
                  <v>100.72288169</v>
                </pt>
                <pt idx="197">
                  <v>100.792689245</v>
                </pt>
                <pt idx="198">
                  <v>100.818470444</v>
                </pt>
                <pt idx="199">
                  <v>100.708007921</v>
                </pt>
                <pt idx="200">
                  <v>100.918620488</v>
                </pt>
                <pt idx="201">
                  <v>101.169293071</v>
                </pt>
                <pt idx="202">
                  <v>100.87280928</v>
                </pt>
                <pt idx="203">
                  <v>101.457447552</v>
                </pt>
                <pt idx="204">
                  <v>101.446440963</v>
                </pt>
                <pt idx="205">
                  <v>101.308809023</v>
                </pt>
                <pt idx="206">
                  <v>100.910886128</v>
                </pt>
                <pt idx="207">
                  <v>100.545288891</v>
                </pt>
                <pt idx="208">
                  <v>99.876167612</v>
                </pt>
                <pt idx="209">
                  <v>99.29718137099999</v>
                </pt>
                <pt idx="210">
                  <v>99.073281572</v>
                </pt>
                <pt idx="211">
                  <v>98.657014362</v>
                </pt>
                <pt idx="212">
                  <v>97.11252220900001</v>
                </pt>
                <pt idx="213">
                  <v>92.87032503</v>
                </pt>
                <pt idx="214">
                  <v>93.78853235699999</v>
                </pt>
                <pt idx="215">
                  <v>92.559959054</v>
                </pt>
                <pt idx="216">
                  <v>89.95486802800001</v>
                </pt>
                <pt idx="217">
                  <v>87.723802707</v>
                </pt>
                <pt idx="218">
                  <v>87.195982231</v>
                </pt>
                <pt idx="219">
                  <v>85.821943469</v>
                </pt>
                <pt idx="220">
                  <v>85.137254312</v>
                </pt>
                <pt idx="221">
                  <v>84.283797458</v>
                </pt>
                <pt idx="222">
                  <v>84.014681401</v>
                </pt>
                <pt idx="223">
                  <v>84.987822515</v>
                </pt>
                <pt idx="224">
                  <v>85.90424499</v>
                </pt>
                <pt idx="225">
                  <v>86.626316886</v>
                </pt>
                <pt idx="226">
                  <v>86.81204067900001</v>
                </pt>
                <pt idx="227">
                  <v>87.174564004</v>
                </pt>
                <pt idx="228">
                  <v>87.489292952</v>
                </pt>
                <pt idx="229">
                  <v>88.442999008</v>
                </pt>
                <pt idx="230">
                  <v>88.755645628</v>
                </pt>
                <pt idx="231">
                  <v>89.38629342500001</v>
                </pt>
                <pt idx="232">
                  <v>89.712623913</v>
                </pt>
                <pt idx="233">
                  <v>90.94129637499999</v>
                </pt>
                <pt idx="234">
                  <v>91.155082011</v>
                </pt>
                <pt idx="235">
                  <v>91.497178694</v>
                </pt>
                <pt idx="236">
                  <v>91.835606513</v>
                </pt>
                <pt idx="237">
                  <v>92.08528751199999</v>
                </pt>
                <pt idx="238">
                  <v>91.834416612</v>
                </pt>
                <pt idx="239">
                  <v>91.897283075</v>
                </pt>
                <pt idx="240">
                  <v>92.786635291</v>
                </pt>
                <pt idx="241">
                  <v>92.593474613</v>
                </pt>
                <pt idx="242">
                  <v>92.22242366099999</v>
                </pt>
                <pt idx="243">
                  <v>93.187136305</v>
                </pt>
                <pt idx="244">
                  <v>92.864375522</v>
                </pt>
                <pt idx="245">
                  <v>92.998536917</v>
                </pt>
                <pt idx="246">
                  <v>93.246433064</v>
                </pt>
                <pt idx="247">
                  <v>93.719220595</v>
                </pt>
                <pt idx="248">
                  <v>94.325772886</v>
                </pt>
                <pt idx="249">
                  <v>94.273119745</v>
                </pt>
                <pt idx="250">
                  <v>94.92350007500001</v>
                </pt>
                <pt idx="251">
                  <v>94.939762063</v>
                </pt>
                <pt idx="252">
                  <v>95.405013551</v>
                </pt>
                <pt idx="253">
                  <v>95.990445091</v>
                </pt>
                <pt idx="254">
                  <v>96.28613561500001</v>
                </pt>
                <pt idx="255">
                  <v>95.784393814</v>
                </pt>
                <pt idx="256">
                  <v>96.481775254</v>
                </pt>
                <pt idx="257">
                  <v>96.684058509</v>
                </pt>
                <pt idx="258">
                  <v>96.66987885</v>
                </pt>
                <pt idx="259">
                  <v>96.901017217</v>
                </pt>
                <pt idx="260">
                  <v>96.49407090299999</v>
                </pt>
                <pt idx="261">
                  <v>96.42218102</v>
                </pt>
                <pt idx="262">
                  <v>96.73998388</v>
                </pt>
                <pt idx="263">
                  <v>97.134535387</v>
                </pt>
                <pt idx="264">
                  <v>97.379655097</v>
                </pt>
                <pt idx="265">
                  <v>97.37261484699999</v>
                </pt>
                <pt idx="266">
                  <v>97.853037579</v>
                </pt>
                <pt idx="267">
                  <v>98.265437609</v>
                </pt>
                <pt idx="268">
                  <v>98.15675993799999</v>
                </pt>
                <pt idx="269">
                  <v>98.244416015</v>
                </pt>
                <pt idx="270">
                  <v>98.379172361</v>
                </pt>
                <pt idx="271">
                  <v>98.080804559</v>
                </pt>
                <pt idx="272">
                  <v>98.65185812199999</v>
                </pt>
                <pt idx="273">
                  <v>99.17551394199999</v>
                </pt>
                <pt idx="274">
                  <v>99.06306825</v>
                </pt>
                <pt idx="275">
                  <v>99.30511404799999</v>
                </pt>
                <pt idx="276">
                  <v>99.51304933599999</v>
                </pt>
                <pt idx="277">
                  <v>99.14140343299999</v>
                </pt>
                <pt idx="278">
                  <v>99.90065975100001</v>
                </pt>
                <pt idx="279">
                  <v>100.882923443</v>
                </pt>
                <pt idx="280">
                  <v>100.945591588</v>
                </pt>
                <pt idx="281">
                  <v>101.35144716</v>
                </pt>
                <pt idx="282">
                  <v>101.700584093</v>
                </pt>
                <pt idx="283">
                  <v>101.977037876</v>
                </pt>
                <pt idx="284">
                  <v>101.786058684</v>
                </pt>
                <pt idx="285">
                  <v>102.098209512</v>
                </pt>
                <pt idx="286">
                  <v>102.103861544</v>
                </pt>
                <pt idx="287">
                  <v>102.729848894</v>
                </pt>
                <pt idx="288">
                  <v>102.720230524</v>
                </pt>
                <pt idx="289">
                  <v>101.932912362</v>
                </pt>
                <pt idx="290">
                  <v>101.295720106</v>
                </pt>
                <pt idx="291">
                  <v>100.950946145</v>
                </pt>
                <pt idx="292">
                  <v>100.376620353</v>
                </pt>
                <pt idx="293">
                  <v>99.905716832</v>
                </pt>
                <pt idx="294">
                  <v>99.60754734699999</v>
                </pt>
                <pt idx="295">
                  <v>100.259117579</v>
                </pt>
                <pt idx="296">
                  <v>100.031251441</v>
                </pt>
                <pt idx="297">
                  <v>99.76134211599999</v>
                </pt>
                <pt idx="298">
                  <v>99.30818796</v>
                </pt>
                <pt idx="299">
                  <v>98.545361937</v>
                </pt>
                <pt idx="300">
                  <v>98.025275822</v>
                </pt>
                <pt idx="301">
                  <v>98.572035563</v>
                </pt>
                <pt idx="302">
                  <v>98.06236108500001</v>
                </pt>
                <pt idx="303">
                  <v>97.31262397899999</v>
                </pt>
                <pt idx="304">
                  <v>97.608017027</v>
                </pt>
                <pt idx="305">
                  <v>97.383125643</v>
                </pt>
                <pt idx="306">
                  <v>97.84619564499999</v>
                </pt>
                <pt idx="307">
                  <v>98.005344971</v>
                </pt>
                <pt idx="308">
                  <v>97.899344579</v>
                </pt>
                <pt idx="309">
                  <v>97.79869874400001</v>
                </pt>
                <pt idx="310">
                  <v>97.88189269</v>
                </pt>
                <pt idx="311">
                  <v>97.47316152400001</v>
                </pt>
                <pt idx="312">
                  <v>98.07396262499999</v>
                </pt>
                <pt idx="313">
                  <v>97.904005027</v>
                </pt>
                <pt idx="314">
                  <v>97.589573554</v>
                </pt>
                <pt idx="315">
                  <v>98.238863142</v>
                </pt>
                <pt idx="316">
                  <v>99.212500048</v>
                </pt>
                <pt idx="317">
                  <v>99.296288945</v>
                </pt>
                <pt idx="318">
                  <v>99.47060951500001</v>
                </pt>
                <pt idx="319">
                  <v>99.29906538199999</v>
                </pt>
                <pt idx="320">
                  <v>98.84888598000001</v>
                </pt>
                <pt idx="321">
                  <v>98.94318567400001</v>
                </pt>
                <pt idx="322">
                  <v>100.189805816</v>
                </pt>
                <pt idx="323">
                  <v>100.374141391</v>
                </pt>
                <pt idx="324">
                  <v>100.534579777</v>
                </pt>
                <pt idx="325">
                  <v>100.492139957</v>
                </pt>
                <pt idx="326">
                  <v>100.85089526</v>
                </pt>
                <pt idx="327">
                  <v>101.417784169</v>
                </pt>
                <pt idx="328">
                  <v>102.563560159</v>
                </pt>
                <pt idx="329">
                  <v>101.611143163</v>
                </pt>
                <pt idx="330">
                  <v>102.381901863</v>
                </pt>
                <pt idx="331">
                  <v>102.588151457</v>
                </pt>
                <pt idx="332">
                  <v>103.303480578</v>
                </pt>
                <pt idx="333">
                  <v>103.289895869</v>
                </pt>
                <pt idx="334">
                  <v>103.171996461</v>
                </pt>
                <pt idx="335">
                  <v>103.085431127</v>
                </pt>
                <pt idx="336">
                  <v>102.994899454</v>
                </pt>
                <pt idx="337">
                  <v>102.399353751</v>
                </pt>
                <pt idx="338">
                  <v>101.950463409</v>
                </pt>
                <pt idx="339">
                  <v>102.034053989</v>
                </pt>
                <pt idx="340">
                  <v>101.521008124</v>
                </pt>
                <pt idx="341">
                  <v>101.712383949</v>
                </pt>
                <pt idx="342">
                  <v>101.729439204</v>
                </pt>
                <pt idx="343">
                  <v>101.34113468</v>
                </pt>
                <pt idx="344">
                  <v>102.042581617</v>
                </pt>
                <pt idx="345">
                  <v>101.715755337</v>
                </pt>
                <pt idx="346">
                  <v>100.921000291</v>
                </pt>
                <pt idx="347">
                  <v>101.238703992</v>
                </pt>
                <pt idx="348">
                  <v>100.906820631</v>
                </pt>
                <pt idx="349">
                  <v>100.450493404</v>
                </pt>
                <pt idx="350">
                  <v>100.847920507</v>
                </pt>
                <pt idx="351">
                  <v>97.05094480699999</v>
                </pt>
                <pt idx="352">
                  <v>84.244034916</v>
                </pt>
                <pt idx="353">
                  <v>85.60795951599999</v>
                </pt>
                <pt idx="354">
                  <v>90.98016649</v>
                </pt>
                <pt idx="355">
                  <v>94.442383234</v>
                </pt>
                <pt idx="356">
                  <v>95.308433212</v>
                </pt>
                <pt idx="357">
                  <v>95.26262200399999</v>
                </pt>
                <pt idx="358">
                  <v>96.01017762399999</v>
                </pt>
                <pt idx="359">
                  <v>96.301009384</v>
                </pt>
                <pt idx="360">
                  <v>97.312128187</v>
                </pt>
                <pt idx="361">
                  <v>98.429148224</v>
                </pt>
                <pt idx="362">
                  <v>95.413342861</v>
                </pt>
                <pt idx="363">
                  <v>98.030134586</v>
                </pt>
                <pt idx="364">
                  <v>98.19126708100001</v>
                </pt>
                <pt idx="365">
                  <v>98.938822702</v>
                </pt>
                <pt idx="366">
                  <v>99.349140404</v>
                </pt>
                <pt idx="367">
                  <v>100.023517081</v>
                </pt>
                <pt idx="368">
                  <v>99.988414987</v>
                </pt>
                <pt idx="369">
                  <v>99.009522683</v>
                </pt>
                <pt idx="370">
                  <v>100.507212043</v>
                </pt>
                <pt idx="371">
                  <v>101.102956062</v>
                </pt>
                <pt idx="372">
                  <v>100.9023585</v>
                </pt>
                <pt idx="373">
                  <v>101.286399211</v>
                </pt>
                <pt idx="374">
                  <v>102.03276493</v>
                </pt>
                <pt idx="375">
                  <v>102.700101356</v>
                </pt>
                <pt idx="376">
                  <v>103.3934173</v>
                </pt>
                <pt idx="377">
                  <v>103.288011858</v>
                </pt>
                <pt idx="378">
                  <v>103.201347365</v>
                </pt>
                <pt idx="379">
                  <v>103.876120677</v>
                </pt>
                <pt idx="380">
                  <v>103.773689989</v>
                </pt>
                <pt idx="381">
                  <v>103.923022627</v>
                </pt>
                <pt idx="382">
                  <v>103.808395449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53554296"/>
        <axId val="1253554624"/>
      </line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  <min val="6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Table13456789101112131415161734[[#Headers],[USA]:[mom]]</f>
          <strCache>
            <ptCount val="2"/>
            <pt idx="0">
              <v>USA</v>
            </pt>
            <pt idx="1">
              <v>mom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'Per country'!$G$2</f>
              <strCache>
                <ptCount val="1"/>
                <pt idx="0">
                  <v>United States Industrial Production mom</v>
                </pt>
              </strCache>
            </strRef>
          </tx>
          <spPr>
            <a:solidFill xmlns:a="http://schemas.openxmlformats.org/drawingml/2006/main">
              <a:srgbClr val="00B050"/>
            </a:solidFill>
            <a:ln xmlns:a="http://schemas.openxmlformats.org/drawingml/2006/main">
              <a:noFill/>
              <a:prstDash val="solid"/>
            </a:ln>
          </spPr>
          <invertIfNegative val="1"/>
          <cat>
            <numRef>
              <f>'Per country'!$A$300:$A$395</f>
              <numCache>
                <formatCode>mmm\-yy</formatCode>
                <ptCount val="96"/>
                <pt idx="0">
                  <v>42186</v>
                </pt>
                <pt idx="1">
                  <v>42217</v>
                </pt>
                <pt idx="2">
                  <v>42248</v>
                </pt>
                <pt idx="3">
                  <v>42278</v>
                </pt>
                <pt idx="4">
                  <v>42309</v>
                </pt>
                <pt idx="5">
                  <v>42339</v>
                </pt>
                <pt idx="6">
                  <v>42370</v>
                </pt>
                <pt idx="7">
                  <v>42401</v>
                </pt>
                <pt idx="8">
                  <v>42430</v>
                </pt>
                <pt idx="9">
                  <v>42461</v>
                </pt>
                <pt idx="10">
                  <v>42491</v>
                </pt>
                <pt idx="11">
                  <v>42522</v>
                </pt>
                <pt idx="12">
                  <v>42552</v>
                </pt>
                <pt idx="13">
                  <v>42583</v>
                </pt>
                <pt idx="14">
                  <v>42614</v>
                </pt>
                <pt idx="15">
                  <v>42644</v>
                </pt>
                <pt idx="16">
                  <v>42675</v>
                </pt>
                <pt idx="17">
                  <v>42705</v>
                </pt>
                <pt idx="18">
                  <v>42736</v>
                </pt>
                <pt idx="19">
                  <v>42767</v>
                </pt>
                <pt idx="20">
                  <v>42795</v>
                </pt>
                <pt idx="21">
                  <v>42826</v>
                </pt>
                <pt idx="22">
                  <v>42856</v>
                </pt>
                <pt idx="23">
                  <v>42887</v>
                </pt>
                <pt idx="24">
                  <v>42917</v>
                </pt>
                <pt idx="25">
                  <v>42948</v>
                </pt>
                <pt idx="26">
                  <v>42979</v>
                </pt>
                <pt idx="27">
                  <v>43009</v>
                </pt>
                <pt idx="28">
                  <v>43040</v>
                </pt>
                <pt idx="29">
                  <v>43070</v>
                </pt>
                <pt idx="30">
                  <v>43101</v>
                </pt>
                <pt idx="31">
                  <v>43132</v>
                </pt>
                <pt idx="32">
                  <v>43160</v>
                </pt>
                <pt idx="33">
                  <v>43191</v>
                </pt>
                <pt idx="34">
                  <v>43221</v>
                </pt>
                <pt idx="35">
                  <v>43252</v>
                </pt>
                <pt idx="36">
                  <v>43282</v>
                </pt>
                <pt idx="37">
                  <v>43313</v>
                </pt>
                <pt idx="38">
                  <v>43344</v>
                </pt>
                <pt idx="39">
                  <v>43374</v>
                </pt>
                <pt idx="40">
                  <v>43405</v>
                </pt>
                <pt idx="41">
                  <v>43435</v>
                </pt>
                <pt idx="42">
                  <v>43466</v>
                </pt>
                <pt idx="43">
                  <v>43497</v>
                </pt>
                <pt idx="44">
                  <v>43525</v>
                </pt>
                <pt idx="45">
                  <v>43556</v>
                </pt>
                <pt idx="46">
                  <v>43586</v>
                </pt>
                <pt idx="47">
                  <v>43617</v>
                </pt>
                <pt idx="48">
                  <v>43647</v>
                </pt>
                <pt idx="49">
                  <v>43678</v>
                </pt>
                <pt idx="50">
                  <v>43709</v>
                </pt>
                <pt idx="51">
                  <v>43739</v>
                </pt>
                <pt idx="52">
                  <v>43770</v>
                </pt>
                <pt idx="53">
                  <v>43800</v>
                </pt>
                <pt idx="54">
                  <v>43831</v>
                </pt>
                <pt idx="55">
                  <v>43862</v>
                </pt>
                <pt idx="56">
                  <v>43891</v>
                </pt>
                <pt idx="57">
                  <v>43922</v>
                </pt>
                <pt idx="58">
                  <v>43952</v>
                </pt>
                <pt idx="59">
                  <v>43983</v>
                </pt>
                <pt idx="60">
                  <v>44013</v>
                </pt>
                <pt idx="61">
                  <v>44044</v>
                </pt>
                <pt idx="62">
                  <v>44075</v>
                </pt>
                <pt idx="63">
                  <v>44105</v>
                </pt>
                <pt idx="64">
                  <v>44136</v>
                </pt>
                <pt idx="65">
                  <v>44166</v>
                </pt>
                <pt idx="66">
                  <v>44197</v>
                </pt>
                <pt idx="67">
                  <v>44228</v>
                </pt>
                <pt idx="68">
                  <v>44256</v>
                </pt>
                <pt idx="69">
                  <v>44287</v>
                </pt>
                <pt idx="70">
                  <v>44317</v>
                </pt>
                <pt idx="71">
                  <v>44348</v>
                </pt>
                <pt idx="72">
                  <v>44378</v>
                </pt>
                <pt idx="73">
                  <v>44409</v>
                </pt>
                <pt idx="74">
                  <v>44440</v>
                </pt>
                <pt idx="75">
                  <v>44470</v>
                </pt>
                <pt idx="76">
                  <v>44501</v>
                </pt>
                <pt idx="77">
                  <v>44531</v>
                </pt>
                <pt idx="78">
                  <v>44562</v>
                </pt>
                <pt idx="79">
                  <v>44593</v>
                </pt>
                <pt idx="80">
                  <v>44621</v>
                </pt>
                <pt idx="81">
                  <v>44652</v>
                </pt>
                <pt idx="82">
                  <v>44682</v>
                </pt>
                <pt idx="83">
                  <v>44713</v>
                </pt>
                <pt idx="84">
                  <v>44743</v>
                </pt>
                <pt idx="85">
                  <v>44774</v>
                </pt>
                <pt idx="86">
                  <v>44805</v>
                </pt>
                <pt idx="87">
                  <v>44835</v>
                </pt>
              </numCache>
            </numRef>
          </cat>
          <val>
            <numRef>
              <f>'Per country'!$C$300:$C$395</f>
              <numCache>
                <formatCode>0.0%</formatCode>
                <ptCount val="96"/>
                <pt idx="0">
                  <v>0.006541374116262043</v>
                </pt>
                <pt idx="1">
                  <v>-0.002272772227627689</v>
                </pt>
                <pt idx="2">
                  <v>-0.002698250007990725</v>
                </pt>
                <pt idx="3">
                  <v>-0.004542382313512585</v>
                </pt>
                <pt idx="4">
                  <v>-0.007681401087564486</v>
                </pt>
                <pt idx="5">
                  <v>-0.005277631587902521</v>
                </pt>
                <pt idx="6">
                  <v>0.005577742438520047</v>
                </pt>
                <pt idx="7">
                  <v>-0.005170578806544451</v>
                </pt>
                <pt idx="8">
                  <v>-0.00764551350492309</v>
                </pt>
                <pt idx="9">
                  <v>0.003035505938713089</v>
                </pt>
                <pt idx="10">
                  <v>-0.002304025743477548</v>
                </pt>
                <pt idx="11">
                  <v>0.004755135953405095</v>
                </pt>
                <pt idx="12">
                  <v>0.001626525435668664</v>
                </pt>
                <pt idx="13">
                  <v>-0.001081577663252594</v>
                </pt>
                <pt idx="14">
                  <v>-0.001028054226847028</v>
                </pt>
                <pt idx="15">
                  <v>0.0008506651629155587</v>
                </pt>
                <pt idx="16">
                  <v>-0.004175758710494909</v>
                </pt>
                <pt idx="17">
                  <v>0.006163759250304581</v>
                </pt>
                <pt idx="18">
                  <v>-0.001732953308411263</v>
                </pt>
                <pt idx="19">
                  <v>-0.003211630340487961</v>
                </pt>
                <pt idx="20">
                  <v>0.006653268011676735</v>
                </pt>
                <pt idx="21">
                  <v>0.009910913816181343</v>
                </pt>
                <pt idx="22">
                  <v>0.0008445397198887966</v>
                </pt>
                <pt idx="23">
                  <v>0.001755559768165776</v>
                </pt>
                <pt idx="24">
                  <v>-0.001724571045019516</v>
                </pt>
                <pt idx="25">
                  <v>-0.004533571391313352</v>
                </pt>
                <pt idx="26">
                  <v>0.0009539783181681947</v>
                </pt>
                <pt idx="27">
                  <v>0.01259935318948984</v>
                </pt>
                <pt idx="28">
                  <v>0.001839863581914975</v>
                </pt>
                <pt idx="29">
                  <v>0.001598403570647086</v>
                </pt>
                <pt idx="30">
                  <v>-0.0004221415168207399</v>
                </pt>
                <pt idx="31">
                  <v>0.003569983713686508</v>
                </pt>
                <pt idx="32">
                  <v>0.005621059758949326</v>
                </pt>
                <pt idx="33">
                  <v>0.01129758453498365</v>
                </pt>
                <pt idx="34">
                  <v>-0.009286114820151705</v>
                </pt>
                <pt idx="35">
                  <v>0.007585375737418736</v>
                </pt>
                <pt idx="36">
                  <v>0.002014512235531503</v>
                </pt>
                <pt idx="37">
                  <v>0.006972823964957025</v>
                </pt>
                <pt idx="38">
                  <v>-0.0001315029166877164</v>
                </pt>
                <pt idx="39">
                  <v>-0.001141441832311734</v>
                </pt>
                <pt idx="40">
                  <v>-0.0008390390509959934</v>
                </pt>
                <pt idx="41">
                  <v>-0.0008782198610438662</v>
                </pt>
                <pt idx="42">
                  <v>-0.005782283454395565</v>
                </pt>
                <pt idx="43">
                  <v>-0.004383722411877321</v>
                </pt>
                <pt idx="44">
                  <v>0.0008199136836157538</v>
                </pt>
                <pt idx="45">
                  <v>-0.005028182699232015</v>
                </pt>
                <pt idx="46">
                  <v>0.001885085939712534</v>
                </pt>
                <pt idx="47">
                  <v>0.0001676812039776222</v>
                </pt>
                <pt idx="48">
                  <v>-0.003817031992296068</v>
                </pt>
                <pt idx="49">
                  <v>0.006921640844213213</v>
                </pt>
                <pt idx="50">
                  <v>-0.003202842135322294</v>
                </pt>
                <pt idx="51">
                  <v>-0.007813490086829319</v>
                </pt>
                <pt idx="52">
                  <v>0.003148043520019803</v>
                </pt>
                <pt idx="53">
                  <v>-0.003278226092525063</v>
                </pt>
                <pt idx="54">
                  <v>-0.004522263452028857</v>
                </pt>
                <pt idx="55">
                  <v>0.003956447495002275</v>
                </pt>
                <pt idx="56">
                  <v>-0.03765051059963553</v>
                </pt>
                <pt idx="57">
                  <v>-0.1319606925668617</v>
                </pt>
                <pt idx="58">
                  <v>0.01619016232259012</v>
                </pt>
                <pt idx="59">
                  <v>0.06275359212359162</v>
                </pt>
                <pt idx="60">
                  <v>0.03805463187826271</v>
                </pt>
                <pt idx="61">
                  <v>0.009170141078017688</v>
                </pt>
                <pt idx="62">
                  <v>-0.0004806626911818286</v>
                </pt>
                <pt idx="63">
                  <v>0.007847313083284761</v>
                </pt>
                <pt idx="64">
                  <v>0.003029176356062724</v>
                </pt>
                <pt idx="65">
                  <v>0.01049956599071739</v>
                </pt>
                <pt idx="66">
                  <v>0.01147873402638446</v>
                </pt>
                <pt idx="67">
                  <v>-0.03063935244198988</v>
                </pt>
                <pt idx="68">
                  <v>0.02742584681067292</v>
                </pt>
                <pt idx="69">
                  <v>0.001643703700708943</v>
                </pt>
                <pt idx="70">
                  <v>0.007613259745220676</v>
                </pt>
                <pt idx="71">
                  <v>0.004147186016513071</v>
                </pt>
                <pt idx="72">
                  <v>0.006787946772943052</v>
                </pt>
                <pt idx="73">
                  <v>-0.0003509384095299261</v>
                </pt>
                <pt idx="74">
                  <v>-0.009790057219401561</v>
                </pt>
                <pt idx="75">
                  <v>0.01512672033371139</v>
                </pt>
                <pt idx="76">
                  <v>0.00592737582597686</v>
                </pt>
                <pt idx="77">
                  <v>-0.001984091957479314</v>
                </pt>
                <pt idx="78">
                  <v>0.003806062778998345</v>
                </pt>
                <pt idx="79">
                  <v>0.007368864179337306</v>
                </pt>
                <pt idx="80">
                  <v>0.006540413037496676</v>
                </pt>
                <pt idx="81">
                  <v>0.006750878868139363</v>
                </pt>
                <pt idx="82">
                  <v>-0.001019459891669443</v>
                </pt>
                <pt idx="83">
                  <v>-0.0008390566479210261</v>
                </pt>
                <pt idx="84">
                  <v>0.006538415720615328</v>
                </pt>
                <pt idx="85">
                  <v>-0.0009860850341004146</v>
                </pt>
                <pt idx="86">
                  <v>0.001439022145360922</v>
                </pt>
                <pt idx="87">
                  <v>-0.001103000808698679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253554296"/>
        <axId val="1253554624"/>
      </barChart>
      <dateAx>
        <axId val="1253554296"/>
        <scaling>
          <orientation val="minMax"/>
        </scaling>
        <delete val="0"/>
        <axPos val="b"/>
        <numFmt formatCode="mmm\-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624"/>
        <crosses val="autoZero"/>
        <lblOffset val="100"/>
        <baseTimeUnit val="months"/>
      </dateAx>
      <valAx>
        <axId val="12535546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53554296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legend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China Industrial Production YoY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areaChart>
        <grouping val="stacked"/>
        <varyColors val="0"/>
        <ser>
          <idx val="0"/>
          <order val="0"/>
          <tx>
            <strRef>
              <f>China!$B$7</f>
              <strCache>
                <ptCount val="1"/>
                <pt idx="0">
                  <v>China Industrial Production YoY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cat>
            <numRef>
              <f>China!$A$8:$A$376</f>
              <numCache>
                <formatCode>m/d/yyyy</formatCode>
                <ptCount val="369"/>
                <pt idx="0">
                  <v>32963</v>
                </pt>
                <pt idx="1">
                  <v>32993</v>
                </pt>
                <pt idx="2">
                  <v>33024</v>
                </pt>
                <pt idx="3">
                  <v>33054</v>
                </pt>
                <pt idx="4">
                  <v>33085</v>
                </pt>
                <pt idx="5">
                  <v>33116</v>
                </pt>
                <pt idx="6">
                  <v>33146</v>
                </pt>
                <pt idx="7">
                  <v>33177</v>
                </pt>
                <pt idx="8">
                  <v>33207</v>
                </pt>
                <pt idx="9">
                  <v>33238</v>
                </pt>
                <pt idx="10">
                  <v>33269</v>
                </pt>
                <pt idx="11">
                  <v>33297</v>
                </pt>
                <pt idx="12">
                  <v>33328</v>
                </pt>
                <pt idx="13">
                  <v>33358</v>
                </pt>
                <pt idx="14">
                  <v>33389</v>
                </pt>
                <pt idx="15">
                  <v>33419</v>
                </pt>
                <pt idx="16">
                  <v>33450</v>
                </pt>
                <pt idx="17">
                  <v>33481</v>
                </pt>
                <pt idx="18">
                  <v>33511</v>
                </pt>
                <pt idx="19">
                  <v>33542</v>
                </pt>
                <pt idx="20">
                  <v>33572</v>
                </pt>
                <pt idx="21">
                  <v>33603</v>
                </pt>
                <pt idx="22">
                  <v>33634</v>
                </pt>
                <pt idx="23">
                  <v>33663</v>
                </pt>
                <pt idx="24">
                  <v>33694</v>
                </pt>
                <pt idx="25">
                  <v>33724</v>
                </pt>
                <pt idx="26">
                  <v>33755</v>
                </pt>
                <pt idx="27">
                  <v>33785</v>
                </pt>
                <pt idx="28">
                  <v>33816</v>
                </pt>
                <pt idx="29">
                  <v>33847</v>
                </pt>
                <pt idx="30">
                  <v>33877</v>
                </pt>
                <pt idx="31">
                  <v>33908</v>
                </pt>
                <pt idx="32">
                  <v>33938</v>
                </pt>
                <pt idx="33">
                  <v>33969</v>
                </pt>
                <pt idx="34">
                  <v>34000</v>
                </pt>
                <pt idx="35">
                  <v>34028</v>
                </pt>
                <pt idx="36">
                  <v>34059</v>
                </pt>
                <pt idx="37">
                  <v>34089</v>
                </pt>
                <pt idx="38">
                  <v>34120</v>
                </pt>
                <pt idx="39">
                  <v>34150</v>
                </pt>
                <pt idx="40">
                  <v>34181</v>
                </pt>
                <pt idx="41">
                  <v>34212</v>
                </pt>
                <pt idx="42">
                  <v>34242</v>
                </pt>
                <pt idx="43">
                  <v>34273</v>
                </pt>
                <pt idx="44">
                  <v>34303</v>
                </pt>
                <pt idx="45">
                  <v>34334</v>
                </pt>
                <pt idx="46">
                  <v>34365</v>
                </pt>
                <pt idx="47">
                  <v>34393</v>
                </pt>
                <pt idx="48">
                  <v>34424</v>
                </pt>
                <pt idx="49">
                  <v>34454</v>
                </pt>
                <pt idx="50">
                  <v>34485</v>
                </pt>
                <pt idx="51">
                  <v>34515</v>
                </pt>
                <pt idx="52">
                  <v>34546</v>
                </pt>
                <pt idx="53">
                  <v>34577</v>
                </pt>
                <pt idx="54">
                  <v>34607</v>
                </pt>
                <pt idx="55">
                  <v>34638</v>
                </pt>
                <pt idx="56">
                  <v>34668</v>
                </pt>
                <pt idx="57">
                  <v>34699</v>
                </pt>
                <pt idx="58">
                  <v>34730</v>
                </pt>
                <pt idx="59">
                  <v>34758</v>
                </pt>
                <pt idx="60">
                  <v>34789</v>
                </pt>
                <pt idx="61">
                  <v>34819</v>
                </pt>
                <pt idx="62">
                  <v>34850</v>
                </pt>
                <pt idx="63">
                  <v>34880</v>
                </pt>
                <pt idx="64">
                  <v>34911</v>
                </pt>
                <pt idx="65">
                  <v>34942</v>
                </pt>
                <pt idx="66">
                  <v>34972</v>
                </pt>
                <pt idx="67">
                  <v>35003</v>
                </pt>
                <pt idx="68">
                  <v>35033</v>
                </pt>
                <pt idx="69">
                  <v>35064</v>
                </pt>
                <pt idx="70">
                  <v>35095</v>
                </pt>
                <pt idx="71">
                  <v>35124</v>
                </pt>
                <pt idx="72">
                  <v>35155</v>
                </pt>
                <pt idx="73">
                  <v>35185</v>
                </pt>
                <pt idx="74">
                  <v>35216</v>
                </pt>
                <pt idx="75">
                  <v>35246</v>
                </pt>
                <pt idx="76">
                  <v>35277</v>
                </pt>
                <pt idx="77">
                  <v>35308</v>
                </pt>
                <pt idx="78">
                  <v>35338</v>
                </pt>
                <pt idx="79">
                  <v>35369</v>
                </pt>
                <pt idx="80">
                  <v>35399</v>
                </pt>
                <pt idx="81">
                  <v>35430</v>
                </pt>
                <pt idx="82">
                  <v>35461</v>
                </pt>
                <pt idx="83">
                  <v>35489</v>
                </pt>
                <pt idx="84">
                  <v>35520</v>
                </pt>
                <pt idx="85">
                  <v>35550</v>
                </pt>
                <pt idx="86">
                  <v>35581</v>
                </pt>
                <pt idx="87">
                  <v>35611</v>
                </pt>
                <pt idx="88">
                  <v>35642</v>
                </pt>
                <pt idx="89">
                  <v>35673</v>
                </pt>
                <pt idx="90">
                  <v>35703</v>
                </pt>
                <pt idx="91">
                  <v>35734</v>
                </pt>
                <pt idx="92">
                  <v>35764</v>
                </pt>
                <pt idx="93">
                  <v>35795</v>
                </pt>
                <pt idx="94">
                  <v>35826</v>
                </pt>
                <pt idx="95">
                  <v>35854</v>
                </pt>
                <pt idx="96">
                  <v>35885</v>
                </pt>
                <pt idx="97">
                  <v>35915</v>
                </pt>
                <pt idx="98">
                  <v>35946</v>
                </pt>
                <pt idx="99">
                  <v>35976</v>
                </pt>
                <pt idx="100">
                  <v>36007</v>
                </pt>
                <pt idx="101">
                  <v>36038</v>
                </pt>
                <pt idx="102">
                  <v>36068</v>
                </pt>
                <pt idx="103">
                  <v>36099</v>
                </pt>
                <pt idx="104">
                  <v>36129</v>
                </pt>
                <pt idx="105">
                  <v>36160</v>
                </pt>
                <pt idx="106">
                  <v>36191</v>
                </pt>
                <pt idx="107">
                  <v>36219</v>
                </pt>
                <pt idx="108">
                  <v>36250</v>
                </pt>
                <pt idx="109">
                  <v>36280</v>
                </pt>
                <pt idx="110">
                  <v>36311</v>
                </pt>
                <pt idx="111">
                  <v>36341</v>
                </pt>
                <pt idx="112">
                  <v>36372</v>
                </pt>
                <pt idx="113">
                  <v>36403</v>
                </pt>
                <pt idx="114">
                  <v>36433</v>
                </pt>
                <pt idx="115">
                  <v>36464</v>
                </pt>
                <pt idx="116">
                  <v>36494</v>
                </pt>
                <pt idx="117">
                  <v>36525</v>
                </pt>
                <pt idx="118">
                  <v>36556</v>
                </pt>
                <pt idx="119">
                  <v>36585</v>
                </pt>
                <pt idx="120">
                  <v>36616</v>
                </pt>
                <pt idx="121">
                  <v>36646</v>
                </pt>
                <pt idx="122">
                  <v>36677</v>
                </pt>
                <pt idx="123">
                  <v>36707</v>
                </pt>
                <pt idx="124">
                  <v>36738</v>
                </pt>
                <pt idx="125">
                  <v>36769</v>
                </pt>
                <pt idx="126">
                  <v>36799</v>
                </pt>
                <pt idx="127">
                  <v>36830</v>
                </pt>
                <pt idx="128">
                  <v>36860</v>
                </pt>
                <pt idx="129">
                  <v>36891</v>
                </pt>
                <pt idx="130">
                  <v>36922</v>
                </pt>
                <pt idx="131">
                  <v>36950</v>
                </pt>
                <pt idx="132">
                  <v>36981</v>
                </pt>
                <pt idx="133">
                  <v>37011</v>
                </pt>
                <pt idx="134">
                  <v>37042</v>
                </pt>
                <pt idx="135">
                  <v>37072</v>
                </pt>
                <pt idx="136">
                  <v>37103</v>
                </pt>
                <pt idx="137">
                  <v>37134</v>
                </pt>
                <pt idx="138">
                  <v>37164</v>
                </pt>
                <pt idx="139">
                  <v>37195</v>
                </pt>
                <pt idx="140">
                  <v>37225</v>
                </pt>
                <pt idx="141">
                  <v>37256</v>
                </pt>
                <pt idx="142">
                  <v>37287</v>
                </pt>
                <pt idx="143">
                  <v>37315</v>
                </pt>
                <pt idx="144">
                  <v>37346</v>
                </pt>
                <pt idx="145">
                  <v>37376</v>
                </pt>
                <pt idx="146">
                  <v>37407</v>
                </pt>
                <pt idx="147">
                  <v>37437</v>
                </pt>
                <pt idx="148">
                  <v>37468</v>
                </pt>
                <pt idx="149">
                  <v>37499</v>
                </pt>
                <pt idx="150">
                  <v>37529</v>
                </pt>
                <pt idx="151">
                  <v>37560</v>
                </pt>
                <pt idx="152">
                  <v>37590</v>
                </pt>
                <pt idx="153">
                  <v>37621</v>
                </pt>
                <pt idx="154">
                  <v>37652</v>
                </pt>
                <pt idx="155">
                  <v>37680</v>
                </pt>
                <pt idx="156">
                  <v>37711</v>
                </pt>
                <pt idx="157">
                  <v>37741</v>
                </pt>
                <pt idx="158">
                  <v>37772</v>
                </pt>
                <pt idx="159">
                  <v>37802</v>
                </pt>
                <pt idx="160">
                  <v>37833</v>
                </pt>
                <pt idx="161">
                  <v>37864</v>
                </pt>
                <pt idx="162">
                  <v>37894</v>
                </pt>
                <pt idx="163">
                  <v>37925</v>
                </pt>
                <pt idx="164">
                  <v>37955</v>
                </pt>
                <pt idx="165">
                  <v>37986</v>
                </pt>
                <pt idx="166">
                  <v>38017</v>
                </pt>
                <pt idx="167">
                  <v>38046</v>
                </pt>
                <pt idx="168">
                  <v>38077</v>
                </pt>
                <pt idx="169">
                  <v>38107</v>
                </pt>
                <pt idx="170">
                  <v>38138</v>
                </pt>
                <pt idx="171">
                  <v>38168</v>
                </pt>
                <pt idx="172">
                  <v>38199</v>
                </pt>
                <pt idx="173">
                  <v>38230</v>
                </pt>
                <pt idx="174">
                  <v>38260</v>
                </pt>
                <pt idx="175">
                  <v>38291</v>
                </pt>
                <pt idx="176">
                  <v>38321</v>
                </pt>
                <pt idx="177">
                  <v>38352</v>
                </pt>
                <pt idx="178">
                  <v>38383</v>
                </pt>
                <pt idx="179">
                  <v>38411</v>
                </pt>
                <pt idx="180">
                  <v>38442</v>
                </pt>
                <pt idx="181">
                  <v>38472</v>
                </pt>
                <pt idx="182">
                  <v>38503</v>
                </pt>
                <pt idx="183">
                  <v>38533</v>
                </pt>
                <pt idx="184">
                  <v>38564</v>
                </pt>
                <pt idx="185">
                  <v>38595</v>
                </pt>
                <pt idx="186">
                  <v>38625</v>
                </pt>
                <pt idx="187">
                  <v>38656</v>
                </pt>
                <pt idx="188">
                  <v>38686</v>
                </pt>
                <pt idx="189">
                  <v>38717</v>
                </pt>
                <pt idx="190">
                  <v>38776</v>
                </pt>
                <pt idx="191">
                  <v>38807</v>
                </pt>
                <pt idx="192">
                  <v>38837</v>
                </pt>
                <pt idx="193">
                  <v>38868</v>
                </pt>
                <pt idx="194">
                  <v>38898</v>
                </pt>
                <pt idx="195">
                  <v>38929</v>
                </pt>
                <pt idx="196">
                  <v>38960</v>
                </pt>
                <pt idx="197">
                  <v>38990</v>
                </pt>
                <pt idx="198">
                  <v>39021</v>
                </pt>
                <pt idx="199">
                  <v>39051</v>
                </pt>
                <pt idx="200">
                  <v>39082</v>
                </pt>
                <pt idx="201">
                  <v>39141</v>
                </pt>
                <pt idx="202">
                  <v>39172</v>
                </pt>
                <pt idx="203">
                  <v>39202</v>
                </pt>
                <pt idx="204">
                  <v>39233</v>
                </pt>
                <pt idx="205">
                  <v>39263</v>
                </pt>
                <pt idx="206">
                  <v>39294</v>
                </pt>
                <pt idx="207">
                  <v>39325</v>
                </pt>
                <pt idx="208">
                  <v>39355</v>
                </pt>
                <pt idx="209">
                  <v>39386</v>
                </pt>
                <pt idx="210">
                  <v>39416</v>
                </pt>
                <pt idx="211">
                  <v>39447</v>
                </pt>
                <pt idx="212">
                  <v>39507</v>
                </pt>
                <pt idx="213">
                  <v>39538</v>
                </pt>
                <pt idx="214">
                  <v>39568</v>
                </pt>
                <pt idx="215">
                  <v>39599</v>
                </pt>
                <pt idx="216">
                  <v>39629</v>
                </pt>
                <pt idx="217">
                  <v>39660</v>
                </pt>
                <pt idx="218">
                  <v>39691</v>
                </pt>
                <pt idx="219">
                  <v>39721</v>
                </pt>
                <pt idx="220">
                  <v>39752</v>
                </pt>
                <pt idx="221">
                  <v>39782</v>
                </pt>
                <pt idx="222">
                  <v>39813</v>
                </pt>
                <pt idx="223">
                  <v>39872</v>
                </pt>
                <pt idx="224">
                  <v>39903</v>
                </pt>
                <pt idx="225">
                  <v>39933</v>
                </pt>
                <pt idx="226">
                  <v>39964</v>
                </pt>
                <pt idx="227">
                  <v>39994</v>
                </pt>
                <pt idx="228">
                  <v>40025</v>
                </pt>
                <pt idx="229">
                  <v>40056</v>
                </pt>
                <pt idx="230">
                  <v>40086</v>
                </pt>
                <pt idx="231">
                  <v>40117</v>
                </pt>
                <pt idx="232">
                  <v>40147</v>
                </pt>
                <pt idx="233">
                  <v>40178</v>
                </pt>
                <pt idx="234">
                  <v>40237</v>
                </pt>
                <pt idx="235">
                  <v>40268</v>
                </pt>
                <pt idx="236">
                  <v>40298</v>
                </pt>
                <pt idx="237">
                  <v>40329</v>
                </pt>
                <pt idx="238">
                  <v>40359</v>
                </pt>
                <pt idx="239">
                  <v>40390</v>
                </pt>
                <pt idx="240">
                  <v>40421</v>
                </pt>
                <pt idx="241">
                  <v>40451</v>
                </pt>
                <pt idx="242">
                  <v>40482</v>
                </pt>
                <pt idx="243">
                  <v>40512</v>
                </pt>
                <pt idx="244">
                  <v>40543</v>
                </pt>
                <pt idx="245">
                  <v>40602</v>
                </pt>
                <pt idx="246">
                  <v>40633</v>
                </pt>
                <pt idx="247">
                  <v>40663</v>
                </pt>
                <pt idx="248">
                  <v>40694</v>
                </pt>
                <pt idx="249">
                  <v>40724</v>
                </pt>
                <pt idx="250">
                  <v>40755</v>
                </pt>
                <pt idx="251">
                  <v>40786</v>
                </pt>
                <pt idx="252">
                  <v>40816</v>
                </pt>
                <pt idx="253">
                  <v>40847</v>
                </pt>
                <pt idx="254">
                  <v>40877</v>
                </pt>
                <pt idx="255">
                  <v>40908</v>
                </pt>
                <pt idx="256">
                  <v>40968</v>
                </pt>
                <pt idx="257">
                  <v>40999</v>
                </pt>
                <pt idx="258">
                  <v>41029</v>
                </pt>
                <pt idx="259">
                  <v>41060</v>
                </pt>
                <pt idx="260">
                  <v>41090</v>
                </pt>
                <pt idx="261">
                  <v>41121</v>
                </pt>
                <pt idx="262">
                  <v>41152</v>
                </pt>
                <pt idx="263">
                  <v>41182</v>
                </pt>
                <pt idx="264">
                  <v>41213</v>
                </pt>
                <pt idx="265">
                  <v>41243</v>
                </pt>
                <pt idx="266">
                  <v>41274</v>
                </pt>
                <pt idx="267">
                  <v>41333</v>
                </pt>
                <pt idx="268">
                  <v>41364</v>
                </pt>
                <pt idx="269">
                  <v>41394</v>
                </pt>
                <pt idx="270">
                  <v>41425</v>
                </pt>
                <pt idx="271">
                  <v>41455</v>
                </pt>
                <pt idx="272">
                  <v>41486</v>
                </pt>
                <pt idx="273">
                  <v>41517</v>
                </pt>
                <pt idx="274">
                  <v>41547</v>
                </pt>
                <pt idx="275">
                  <v>41578</v>
                </pt>
                <pt idx="276">
                  <v>41608</v>
                </pt>
                <pt idx="277">
                  <v>41639</v>
                </pt>
                <pt idx="278">
                  <v>41698</v>
                </pt>
                <pt idx="279">
                  <v>41729</v>
                </pt>
                <pt idx="280">
                  <v>41759</v>
                </pt>
                <pt idx="281">
                  <v>41790</v>
                </pt>
                <pt idx="282">
                  <v>41820</v>
                </pt>
                <pt idx="283">
                  <v>41851</v>
                </pt>
                <pt idx="284">
                  <v>41882</v>
                </pt>
                <pt idx="285">
                  <v>41912</v>
                </pt>
                <pt idx="286">
                  <v>41943</v>
                </pt>
                <pt idx="287">
                  <v>41973</v>
                </pt>
                <pt idx="288">
                  <v>42004</v>
                </pt>
                <pt idx="289">
                  <v>42063</v>
                </pt>
                <pt idx="290">
                  <v>42094</v>
                </pt>
                <pt idx="291">
                  <v>42124</v>
                </pt>
                <pt idx="292">
                  <v>42155</v>
                </pt>
                <pt idx="293">
                  <v>42185</v>
                </pt>
                <pt idx="294">
                  <v>42216</v>
                </pt>
                <pt idx="295">
                  <v>42247</v>
                </pt>
                <pt idx="296">
                  <v>42277</v>
                </pt>
                <pt idx="297">
                  <v>42308</v>
                </pt>
                <pt idx="298">
                  <v>42338</v>
                </pt>
                <pt idx="299">
                  <v>42369</v>
                </pt>
                <pt idx="300">
                  <v>42400</v>
                </pt>
                <pt idx="301">
                  <v>42460</v>
                </pt>
                <pt idx="302">
                  <v>42490</v>
                </pt>
                <pt idx="303">
                  <v>42521</v>
                </pt>
                <pt idx="304">
                  <v>42551</v>
                </pt>
                <pt idx="305">
                  <v>42582</v>
                </pt>
                <pt idx="306">
                  <v>42613</v>
                </pt>
                <pt idx="307">
                  <v>42643</v>
                </pt>
                <pt idx="308">
                  <v>42674</v>
                </pt>
                <pt idx="309">
                  <v>42704</v>
                </pt>
                <pt idx="310">
                  <v>42735</v>
                </pt>
                <pt idx="311">
                  <v>42766</v>
                </pt>
                <pt idx="312">
                  <v>42825</v>
                </pt>
                <pt idx="313">
                  <v>42855</v>
                </pt>
                <pt idx="314">
                  <v>42886</v>
                </pt>
                <pt idx="315">
                  <v>42916</v>
                </pt>
                <pt idx="316">
                  <v>42947</v>
                </pt>
                <pt idx="317">
                  <v>42978</v>
                </pt>
                <pt idx="318">
                  <v>43008</v>
                </pt>
                <pt idx="319">
                  <v>43039</v>
                </pt>
                <pt idx="320">
                  <v>43069</v>
                </pt>
                <pt idx="321">
                  <v>43100</v>
                </pt>
                <pt idx="322">
                  <v>43159</v>
                </pt>
                <pt idx="323">
                  <v>43190</v>
                </pt>
                <pt idx="324">
                  <v>43220</v>
                </pt>
                <pt idx="325">
                  <v>43251</v>
                </pt>
                <pt idx="326">
                  <v>43281</v>
                </pt>
                <pt idx="327">
                  <v>43312</v>
                </pt>
                <pt idx="328">
                  <v>43343</v>
                </pt>
                <pt idx="329">
                  <v>43373</v>
                </pt>
                <pt idx="330">
                  <v>43404</v>
                </pt>
                <pt idx="331">
                  <v>43434</v>
                </pt>
                <pt idx="332">
                  <v>43465</v>
                </pt>
                <pt idx="333">
                  <v>43496</v>
                </pt>
                <pt idx="334">
                  <v>43524</v>
                </pt>
                <pt idx="335">
                  <v>43555</v>
                </pt>
                <pt idx="336">
                  <v>43585</v>
                </pt>
                <pt idx="337">
                  <v>43616</v>
                </pt>
                <pt idx="338">
                  <v>43646</v>
                </pt>
                <pt idx="339">
                  <v>43677</v>
                </pt>
                <pt idx="340">
                  <v>43708</v>
                </pt>
                <pt idx="341">
                  <v>43738</v>
                </pt>
                <pt idx="342">
                  <v>43769</v>
                </pt>
                <pt idx="343">
                  <v>43799</v>
                </pt>
                <pt idx="344">
                  <v>43830</v>
                </pt>
                <pt idx="345">
                  <v>43890</v>
                </pt>
                <pt idx="346">
                  <v>43921</v>
                </pt>
                <pt idx="347">
                  <v>43951</v>
                </pt>
                <pt idx="348">
                  <v>43982</v>
                </pt>
                <pt idx="349">
                  <v>44012</v>
                </pt>
                <pt idx="350">
                  <v>44043</v>
                </pt>
                <pt idx="351">
                  <v>44074</v>
                </pt>
                <pt idx="352">
                  <v>44104</v>
                </pt>
                <pt idx="353">
                  <v>44135</v>
                </pt>
                <pt idx="354">
                  <v>44165</v>
                </pt>
                <pt idx="355">
                  <v>44196</v>
                </pt>
                <pt idx="356">
                  <v>44227</v>
                </pt>
                <pt idx="357">
                  <v>44255</v>
                </pt>
                <pt idx="358">
                  <v>44286</v>
                </pt>
                <pt idx="359">
                  <v>44316</v>
                </pt>
                <pt idx="360">
                  <v>44347</v>
                </pt>
                <pt idx="361">
                  <v>44377</v>
                </pt>
                <pt idx="362">
                  <v>44408</v>
                </pt>
                <pt idx="363">
                  <v>44439</v>
                </pt>
                <pt idx="364">
                  <v>44469</v>
                </pt>
                <pt idx="365">
                  <v>44500</v>
                </pt>
                <pt idx="366">
                  <v>44530</v>
                </pt>
                <pt idx="367">
                  <v>44561</v>
                </pt>
                <pt idx="368">
                  <v>44592</v>
                </pt>
              </numCache>
            </numRef>
          </cat>
          <val>
            <numRef>
              <f>China!$B$8:$B$390</f>
              <numCache>
                <formatCode>0.0%</formatCode>
                <ptCount val="383"/>
                <pt idx="0">
                  <v>0.05</v>
                </pt>
                <pt idx="1">
                  <v>0.008</v>
                </pt>
                <pt idx="2">
                  <v>0.017</v>
                </pt>
                <pt idx="3">
                  <v>0.033</v>
                </pt>
                <pt idx="4">
                  <v>0.05</v>
                </pt>
                <pt idx="5">
                  <v>0.025</v>
                </pt>
                <pt idx="6">
                  <v>0.042</v>
                </pt>
                <pt idx="7">
                  <v>0.067</v>
                </pt>
                <pt idx="8">
                  <v>0.109</v>
                </pt>
                <pt idx="9">
                  <v>0.126</v>
                </pt>
                <pt idx="10">
                  <v>0.126</v>
                </pt>
                <pt idx="11">
                  <v>0.235</v>
                </pt>
                <pt idx="12">
                  <v>0.092</v>
                </pt>
                <pt idx="13">
                  <v>0.109</v>
                </pt>
                <pt idx="14">
                  <v>0.109</v>
                </pt>
                <pt idx="15">
                  <v>0.109</v>
                </pt>
                <pt idx="16">
                  <v>0.092</v>
                </pt>
                <pt idx="17">
                  <v>0.109</v>
                </pt>
                <pt idx="18">
                  <v>0.118</v>
                </pt>
                <pt idx="19">
                  <v>0.126</v>
                </pt>
                <pt idx="20">
                  <v>0.118</v>
                </pt>
                <pt idx="21">
                  <v>0.076</v>
                </pt>
                <pt idx="22">
                  <v>0.05</v>
                </pt>
                <pt idx="23">
                  <v>0.109</v>
                </pt>
                <pt idx="24">
                  <v>0.185</v>
                </pt>
                <pt idx="25">
                  <v>0.168</v>
                </pt>
                <pt idx="26">
                  <v>0.151</v>
                </pt>
                <pt idx="27">
                  <v>0.143</v>
                </pt>
                <pt idx="28">
                  <v>0.168</v>
                </pt>
                <pt idx="29">
                  <v>0.193</v>
                </pt>
                <pt idx="30">
                  <v>0.176</v>
                </pt>
                <pt idx="31">
                  <v>0.176</v>
                </pt>
                <pt idx="32">
                  <v>0.185</v>
                </pt>
                <pt idx="33">
                  <v>0.218</v>
                </pt>
                <pt idx="34">
                  <v>0.269</v>
                </pt>
                <pt idx="35">
                  <v>0.08400000000000001</v>
                </pt>
                <pt idx="36">
                  <v>0.277</v>
                </pt>
                <pt idx="37">
                  <v>0.218</v>
                </pt>
                <pt idx="38">
                  <v>0.21</v>
                </pt>
                <pt idx="39">
                  <v>0.227</v>
                </pt>
                <pt idx="40">
                  <v>0.252</v>
                </pt>
                <pt idx="41">
                  <v>0.21</v>
                </pt>
                <pt idx="42">
                  <v>0.193</v>
                </pt>
                <pt idx="43">
                  <v>0.16</v>
                </pt>
                <pt idx="44">
                  <v>0.134</v>
                </pt>
                <pt idx="45">
                  <v>0.16</v>
                </pt>
                <pt idx="46">
                  <v>0.252</v>
                </pt>
                <pt idx="47">
                  <v>0.277</v>
                </pt>
                <pt idx="48">
                  <v>0.034</v>
                </pt>
                <pt idx="49">
                  <v>0.16</v>
                </pt>
                <pt idx="50">
                  <v>0.168</v>
                </pt>
                <pt idx="51">
                  <v>0.176</v>
                </pt>
                <pt idx="52">
                  <v>0.151</v>
                </pt>
                <pt idx="53">
                  <v>0.151</v>
                </pt>
                <pt idx="54">
                  <v>0.294</v>
                </pt>
                <pt idx="55">
                  <v>0.218</v>
                </pt>
                <pt idx="56">
                  <v>0.244</v>
                </pt>
                <pt idx="57">
                  <v>0.235</v>
                </pt>
                <pt idx="58">
                  <v>0.185</v>
                </pt>
                <pt idx="59">
                  <v>0.114</v>
                </pt>
                <pt idx="60">
                  <v>0.155</v>
                </pt>
                <pt idx="61">
                  <v>0.164</v>
                </pt>
                <pt idx="62">
                  <v>0.154</v>
                </pt>
                <pt idx="63">
                  <v>0.131</v>
                </pt>
                <pt idx="64">
                  <v>0.139</v>
                </pt>
                <pt idx="65">
                  <v>0.136</v>
                </pt>
                <pt idx="66">
                  <v>0.118</v>
                </pt>
                <pt idx="67">
                  <v>0.114</v>
                </pt>
                <pt idx="68">
                  <v>0.129</v>
                </pt>
                <pt idx="69">
                  <v>0.121</v>
                </pt>
                <pt idx="70">
                  <v>0.149</v>
                </pt>
                <pt idx="71">
                  <v>0.169</v>
                </pt>
                <pt idx="72">
                  <v>0.122</v>
                </pt>
                <pt idx="73">
                  <v>0.122</v>
                </pt>
                <pt idx="74">
                  <v>0.137</v>
                </pt>
                <pt idx="75">
                  <v>0.131</v>
                </pt>
                <pt idx="76">
                  <v>0.138</v>
                </pt>
                <pt idx="77">
                  <v>0.122</v>
                </pt>
                <pt idx="78">
                  <v>0.106</v>
                </pt>
                <pt idx="79">
                  <v>0.137</v>
                </pt>
                <pt idx="80">
                  <v>0.133</v>
                </pt>
                <pt idx="81">
                  <v>0.134</v>
                </pt>
                <pt idx="82">
                  <v>0.14</v>
                </pt>
                <pt idx="83">
                  <v>0.103</v>
                </pt>
                <pt idx="84">
                  <v>0.104</v>
                </pt>
                <pt idx="85">
                  <v>0.135</v>
                </pt>
                <pt idx="86">
                  <v>0.119</v>
                </pt>
                <pt idx="87">
                  <v>0.119</v>
                </pt>
                <pt idx="88">
                  <v>0.121</v>
                </pt>
                <pt idx="89">
                  <v>0.08400000000000001</v>
                </pt>
                <pt idx="90">
                  <v>0.109</v>
                </pt>
                <pt idx="91">
                  <v>0.111</v>
                </pt>
                <pt idx="92">
                  <v>0.118</v>
                </pt>
                <pt idx="93">
                  <v>0.116</v>
                </pt>
                <pt idx="94">
                  <v>0.092</v>
                </pt>
                <pt idx="95">
                  <v>0.018</v>
                </pt>
                <pt idx="96">
                  <v>0.095</v>
                </pt>
                <pt idx="97">
                  <v>0.09</v>
                </pt>
                <pt idx="98">
                  <v>0.07199999999999999</v>
                </pt>
                <pt idx="99">
                  <v>0.08</v>
                </pt>
                <pt idx="100">
                  <v>0.079</v>
                </pt>
                <pt idx="101">
                  <v>0.076</v>
                </pt>
                <pt idx="102">
                  <v>0.079</v>
                </pt>
                <pt idx="103">
                  <v>0.102</v>
                </pt>
                <pt idx="104">
                  <v>0.106</v>
                </pt>
                <pt idx="105">
                  <v>0.11</v>
                </pt>
                <pt idx="106">
                  <v>0.115</v>
                </pt>
                <pt idx="107">
                  <v>0.179</v>
                </pt>
                <pt idx="108">
                  <v>0.021</v>
                </pt>
                <pt idx="109">
                  <v>0.09</v>
                </pt>
                <pt idx="110">
                  <v>0.091</v>
                </pt>
                <pt idx="111">
                  <v>0.089</v>
                </pt>
                <pt idx="112">
                  <v>0.091</v>
                </pt>
                <pt idx="113">
                  <v>0.093</v>
                </pt>
                <pt idx="114">
                  <v>0.095</v>
                </pt>
                <pt idx="115">
                  <v>0.082</v>
                </pt>
                <pt idx="116">
                  <v>0.07000000000000001</v>
                </pt>
                <pt idx="117">
                  <v>0.076</v>
                </pt>
                <pt idx="118">
                  <v>0.074</v>
                </pt>
                <pt idx="119">
                  <v>0.089</v>
                </pt>
                <pt idx="120">
                  <v>0.12</v>
                </pt>
                <pt idx="121">
                  <v>0.119</v>
                </pt>
                <pt idx="122">
                  <v>0.114</v>
                </pt>
                <pt idx="123">
                  <v>0.115</v>
                </pt>
                <pt idx="124">
                  <v>0.122</v>
                </pt>
                <pt idx="125">
                  <v>0.128</v>
                </pt>
                <pt idx="126">
                  <v>0.128</v>
                </pt>
                <pt idx="127">
                  <v>0.12</v>
                </pt>
                <pt idx="128">
                  <v>0.114</v>
                </pt>
                <pt idx="129">
                  <v>0.106</v>
                </pt>
                <pt idx="130">
                  <v>0.104</v>
                </pt>
                <pt idx="131">
                  <v>0.023</v>
                </pt>
                <pt idx="132">
                  <v>0.19</v>
                </pt>
                <pt idx="133">
                  <v>0.121</v>
                </pt>
                <pt idx="134">
                  <v>0.115</v>
                </pt>
                <pt idx="135">
                  <v>0.102</v>
                </pt>
                <pt idx="136">
                  <v>0.101</v>
                </pt>
                <pt idx="137">
                  <v>0.081</v>
                </pt>
                <pt idx="138">
                  <v>0.081</v>
                </pt>
                <pt idx="139">
                  <v>0.095</v>
                </pt>
                <pt idx="140">
                  <v>0.08799999999999999</v>
                </pt>
                <pt idx="141">
                  <v>0.079</v>
                </pt>
                <pt idx="142">
                  <v>0.08699999999999999</v>
                </pt>
                <pt idx="143">
                  <v>0.186</v>
                </pt>
                <pt idx="144">
                  <v>0.027</v>
                </pt>
                <pt idx="145">
                  <v>0.109</v>
                </pt>
                <pt idx="146">
                  <v>0.121</v>
                </pt>
                <pt idx="147">
                  <v>0.129</v>
                </pt>
                <pt idx="148">
                  <v>0.124</v>
                </pt>
                <pt idx="149">
                  <v>0.128</v>
                </pt>
                <pt idx="150">
                  <v>0.127</v>
                </pt>
                <pt idx="151">
                  <v>0.138</v>
                </pt>
                <pt idx="152">
                  <v>0.142</v>
                </pt>
                <pt idx="153">
                  <v>0.145</v>
                </pt>
                <pt idx="154">
                  <v>0.149</v>
                </pt>
                <pt idx="155">
                  <v>0.148</v>
                </pt>
                <pt idx="156">
                  <v>0.198</v>
                </pt>
                <pt idx="157">
                  <v>0.169</v>
                </pt>
                <pt idx="158">
                  <v>0.149</v>
                </pt>
                <pt idx="159">
                  <v>0.137</v>
                </pt>
                <pt idx="160">
                  <v>0.169</v>
                </pt>
                <pt idx="161">
                  <v>0.165</v>
                </pt>
                <pt idx="162">
                  <v>0.171</v>
                </pt>
                <pt idx="163">
                  <v>0.163</v>
                </pt>
                <pt idx="164">
                  <v>0.172</v>
                </pt>
                <pt idx="165">
                  <v>0.179</v>
                </pt>
                <pt idx="166">
                  <v>0.181</v>
                </pt>
                <pt idx="167">
                  <v>0.07199999999999999</v>
                </pt>
                <pt idx="168">
                  <v>0.232</v>
                </pt>
                <pt idx="169">
                  <v>0.194</v>
                </pt>
                <pt idx="170">
                  <v>0.191</v>
                </pt>
                <pt idx="171">
                  <v>0.175</v>
                </pt>
                <pt idx="172">
                  <v>0.162</v>
                </pt>
                <pt idx="173">
                  <v>0.155</v>
                </pt>
                <pt idx="174">
                  <v>0.159</v>
                </pt>
                <pt idx="175">
                  <v>0.161</v>
                </pt>
                <pt idx="176">
                  <v>0.157</v>
                </pt>
                <pt idx="177">
                  <v>0.148</v>
                </pt>
                <pt idx="178">
                  <v>0.144</v>
                </pt>
                <pt idx="179">
                  <v>0.209</v>
                </pt>
                <pt idx="180">
                  <v>0.076</v>
                </pt>
                <pt idx="181">
                  <v>0.151</v>
                </pt>
                <pt idx="182">
                  <v>0.16</v>
                </pt>
                <pt idx="183">
                  <v>0.166</v>
                </pt>
                <pt idx="184">
                  <v>0.168</v>
                </pt>
                <pt idx="185">
                  <v>0.161</v>
                </pt>
                <pt idx="186">
                  <v>0.16</v>
                </pt>
                <pt idx="187">
                  <v>0.165</v>
                </pt>
                <pt idx="188">
                  <v>0.161</v>
                </pt>
                <pt idx="189">
                  <v>0.166</v>
                </pt>
                <pt idx="190">
                  <v>0.165</v>
                </pt>
                <pt idx="191">
                  <v>0.201</v>
                </pt>
                <pt idx="192">
                  <v>0.178</v>
                </pt>
                <pt idx="193">
                  <v>0.166</v>
                </pt>
                <pt idx="194">
                  <v>0.179</v>
                </pt>
                <pt idx="195">
                  <v>0.195</v>
                </pt>
                <pt idx="196">
                  <v>0.167</v>
                </pt>
                <pt idx="197">
                  <v>0.157</v>
                </pt>
                <pt idx="198">
                  <v>0.161</v>
                </pt>
                <pt idx="199">
                  <v>0.147</v>
                </pt>
                <pt idx="200">
                  <v>0.149</v>
                </pt>
                <pt idx="201">
                  <v>0.147</v>
                </pt>
                <pt idx="202">
                  <v>0.126</v>
                </pt>
                <pt idx="203">
                  <v>0.176</v>
                </pt>
                <pt idx="204">
                  <v>0.174</v>
                </pt>
                <pt idx="205">
                  <v>0.181</v>
                </pt>
                <pt idx="206">
                  <v>0.194</v>
                </pt>
                <pt idx="207">
                  <v>0.18</v>
                </pt>
                <pt idx="208">
                  <v>0.175</v>
                </pt>
                <pt idx="209">
                  <v>0.189</v>
                </pt>
                <pt idx="210">
                  <v>0.179</v>
                </pt>
                <pt idx="211">
                  <v>0.173</v>
                </pt>
                <pt idx="212">
                  <v>0.174</v>
                </pt>
                <pt idx="213">
                  <v>0.154</v>
                </pt>
                <pt idx="214">
                  <v>0.178</v>
                </pt>
                <pt idx="215">
                  <v>0.157</v>
                </pt>
                <pt idx="216">
                  <v>0.16</v>
                </pt>
                <pt idx="217">
                  <v>0.16</v>
                </pt>
                <pt idx="218">
                  <v>0.147</v>
                </pt>
                <pt idx="219">
                  <v>0.128</v>
                </pt>
                <pt idx="220">
                  <v>0.114</v>
                </pt>
                <pt idx="221">
                  <v>0.082</v>
                </pt>
                <pt idx="222">
                  <v>0.054</v>
                </pt>
                <pt idx="223">
                  <v>0.057</v>
                </pt>
                <pt idx="224">
                  <v>0.11</v>
                </pt>
                <pt idx="225">
                  <v>0.083</v>
                </pt>
                <pt idx="226">
                  <v>0.073</v>
                </pt>
                <pt idx="227">
                  <v>0.089</v>
                </pt>
                <pt idx="228">
                  <v>0.107</v>
                </pt>
                <pt idx="229">
                  <v>0.108</v>
                </pt>
                <pt idx="230">
                  <v>0.123</v>
                </pt>
                <pt idx="231">
                  <v>0.139</v>
                </pt>
                <pt idx="232">
                  <v>0.161</v>
                </pt>
                <pt idx="233">
                  <v>0.192</v>
                </pt>
                <pt idx="234">
                  <v>0.185</v>
                </pt>
                <pt idx="235">
                  <v>0.128</v>
                </pt>
                <pt idx="236">
                  <v>0.181</v>
                </pt>
                <pt idx="237">
                  <v>0.178</v>
                </pt>
                <pt idx="238">
                  <v>0.165</v>
                </pt>
                <pt idx="239">
                  <v>0.137</v>
                </pt>
                <pt idx="240">
                  <v>0.134</v>
                </pt>
                <pt idx="241">
                  <v>0.139</v>
                </pt>
                <pt idx="242">
                  <v>0.133</v>
                </pt>
                <pt idx="243">
                  <v>0.131</v>
                </pt>
                <pt idx="244">
                  <v>0.133</v>
                </pt>
                <pt idx="245">
                  <v>0.135</v>
                </pt>
                <pt idx="246">
                  <v>0.141</v>
                </pt>
                <pt idx="247">
                  <v>0.148</v>
                </pt>
                <pt idx="248">
                  <v>0.134</v>
                </pt>
                <pt idx="249">
                  <v>0.133</v>
                </pt>
                <pt idx="250">
                  <v>0.151</v>
                </pt>
                <pt idx="251">
                  <v>0.14</v>
                </pt>
                <pt idx="252">
                  <v>0.135</v>
                </pt>
                <pt idx="253">
                  <v>0.138</v>
                </pt>
                <pt idx="254">
                  <v>0.132</v>
                </pt>
                <pt idx="255">
                  <v>0.124</v>
                </pt>
                <pt idx="256">
                  <v>0.128</v>
                </pt>
                <pt idx="257">
                  <v>0.114</v>
                </pt>
                <pt idx="258">
                  <v>0.119</v>
                </pt>
                <pt idx="259">
                  <v>0.093</v>
                </pt>
                <pt idx="260">
                  <v>0.096</v>
                </pt>
                <pt idx="261">
                  <v>0.095</v>
                </pt>
                <pt idx="262">
                  <v>0.092</v>
                </pt>
                <pt idx="263">
                  <v>0.089</v>
                </pt>
                <pt idx="264">
                  <v>0.092</v>
                </pt>
                <pt idx="265">
                  <v>0.096</v>
                </pt>
                <pt idx="266">
                  <v>0.101</v>
                </pt>
                <pt idx="267">
                  <v>0.103</v>
                </pt>
                <pt idx="268">
                  <v>0.099</v>
                </pt>
                <pt idx="269">
                  <v>0.089</v>
                </pt>
                <pt idx="270">
                  <v>0.093</v>
                </pt>
                <pt idx="271">
                  <v>0.092</v>
                </pt>
                <pt idx="272">
                  <v>0.089</v>
                </pt>
                <pt idx="273">
                  <v>0.097</v>
                </pt>
                <pt idx="274">
                  <v>0.104</v>
                </pt>
                <pt idx="275">
                  <v>0.102</v>
                </pt>
                <pt idx="276">
                  <v>0.103</v>
                </pt>
                <pt idx="277">
                  <v>0.1</v>
                </pt>
                <pt idx="278">
                  <v>0.097</v>
                </pt>
                <pt idx="279">
                  <v>0.08599999999999999</v>
                </pt>
                <pt idx="280">
                  <v>0.08799999999999999</v>
                </pt>
                <pt idx="281">
                  <v>0.08699999999999999</v>
                </pt>
                <pt idx="282">
                  <v>0.08799999999999999</v>
                </pt>
                <pt idx="283">
                  <v>0.092</v>
                </pt>
                <pt idx="284">
                  <v>0.09</v>
                </pt>
                <pt idx="285">
                  <v>0.06900000000000001</v>
                </pt>
                <pt idx="286">
                  <v>0.08</v>
                </pt>
                <pt idx="287">
                  <v>0.077</v>
                </pt>
                <pt idx="288">
                  <v>0.07199999999999999</v>
                </pt>
                <pt idx="289">
                  <v>0.079</v>
                </pt>
                <pt idx="290">
                  <v>0.068</v>
                </pt>
                <pt idx="291">
                  <v>0.056</v>
                </pt>
                <pt idx="292">
                  <v>0.059</v>
                </pt>
                <pt idx="293">
                  <v>0.061</v>
                </pt>
                <pt idx="294">
                  <v>0.068</v>
                </pt>
                <pt idx="295">
                  <v>0.06</v>
                </pt>
                <pt idx="296">
                  <v>0.061</v>
                </pt>
                <pt idx="297">
                  <v>0.057</v>
                </pt>
                <pt idx="298">
                  <v>0.056</v>
                </pt>
                <pt idx="299">
                  <v>0.062</v>
                </pt>
                <pt idx="300">
                  <v>0.059</v>
                </pt>
                <pt idx="301">
                  <v>0.054</v>
                </pt>
                <pt idx="302">
                  <v>0.068</v>
                </pt>
                <pt idx="303">
                  <v>0.06</v>
                </pt>
                <pt idx="304">
                  <v>0.06</v>
                </pt>
                <pt idx="305">
                  <v>0.062</v>
                </pt>
                <pt idx="306">
                  <v>0.06</v>
                </pt>
                <pt idx="307">
                  <v>0.063</v>
                </pt>
                <pt idx="308">
                  <v>0.061</v>
                </pt>
                <pt idx="309">
                  <v>0.061</v>
                </pt>
                <pt idx="310">
                  <v>0.062</v>
                </pt>
                <pt idx="311">
                  <v>0.06</v>
                </pt>
                <pt idx="312">
                  <v>0.063</v>
                </pt>
                <pt idx="313">
                  <v>0.076</v>
                </pt>
                <pt idx="314">
                  <v>0.065</v>
                </pt>
                <pt idx="315">
                  <v>0.065</v>
                </pt>
                <pt idx="316">
                  <v>0.076</v>
                </pt>
                <pt idx="317">
                  <v>0.064</v>
                </pt>
                <pt idx="318">
                  <v>0.06</v>
                </pt>
                <pt idx="319">
                  <v>0.066</v>
                </pt>
                <pt idx="320">
                  <v>0.062</v>
                </pt>
                <pt idx="321">
                  <v>0.061</v>
                </pt>
                <pt idx="322">
                  <v>0.062</v>
                </pt>
                <pt idx="323">
                  <v>0.07199999999999999</v>
                </pt>
                <pt idx="324">
                  <v>0.06</v>
                </pt>
                <pt idx="325">
                  <v>0.07000000000000001</v>
                </pt>
                <pt idx="326">
                  <v>0.068</v>
                </pt>
                <pt idx="327">
                  <v>0.06</v>
                </pt>
                <pt idx="328">
                  <v>0.06</v>
                </pt>
                <pt idx="329">
                  <v>0.061</v>
                </pt>
                <pt idx="330">
                  <v>0.058</v>
                </pt>
                <pt idx="331">
                  <v>0.059</v>
                </pt>
                <pt idx="332">
                  <v>0.054</v>
                </pt>
                <pt idx="333">
                  <v>0.057</v>
                </pt>
                <pt idx="334">
                  <v>0.053</v>
                </pt>
                <pt idx="335">
                  <v>0.08500000000000001</v>
                </pt>
                <pt idx="336">
                  <v>0.054</v>
                </pt>
                <pt idx="337">
                  <v>0.054</v>
                </pt>
                <pt idx="338">
                  <v>0.05</v>
                </pt>
                <pt idx="339">
                  <v>0.063</v>
                </pt>
                <pt idx="340">
                  <v>0.048</v>
                </pt>
                <pt idx="341">
                  <v>0.044</v>
                </pt>
                <pt idx="342">
                  <v>0.058</v>
                </pt>
                <pt idx="343">
                  <v>0.047</v>
                </pt>
                <pt idx="344">
                  <v>0.062</v>
                </pt>
                <pt idx="345">
                  <v>0.06900000000000001</v>
                </pt>
                <pt idx="346">
                  <v>-0.135</v>
                </pt>
                <pt idx="347">
                  <v>-0.011</v>
                </pt>
                <pt idx="348">
                  <v>0.039</v>
                </pt>
                <pt idx="349">
                  <v>0.044</v>
                </pt>
                <pt idx="350">
                  <v>0.048</v>
                </pt>
                <pt idx="351">
                  <v>0.048</v>
                </pt>
                <pt idx="352">
                  <v>0.056</v>
                </pt>
                <pt idx="353">
                  <v>0.06900000000000001</v>
                </pt>
                <pt idx="354">
                  <v>0.06900000000000001</v>
                </pt>
                <pt idx="355">
                  <v>0.07000000000000001</v>
                </pt>
                <pt idx="356">
                  <v>0.038</v>
                </pt>
                <pt idx="357">
                  <v>0.351</v>
                </pt>
                <pt idx="358">
                  <v>0.141</v>
                </pt>
                <pt idx="359">
                  <v>0.098</v>
                </pt>
                <pt idx="360">
                  <v>0.08799999999999999</v>
                </pt>
                <pt idx="361">
                  <v>0.083</v>
                </pt>
                <pt idx="362">
                  <v>0.064</v>
                </pt>
                <pt idx="363">
                  <v>0.053</v>
                </pt>
                <pt idx="364">
                  <v>0.031</v>
                </pt>
                <pt idx="365">
                  <v>0.035</v>
                </pt>
                <pt idx="366">
                  <v>0.038</v>
                </pt>
                <pt idx="367">
                  <v>0.043</v>
                </pt>
                <pt idx="368">
                  <v>#N/A</v>
                </pt>
                <pt idx="369">
                  <v>0.075</v>
                </pt>
                <pt idx="370">
                  <v>0.05</v>
                </pt>
                <pt idx="371">
                  <v>#N/A</v>
                </pt>
                <pt idx="372">
                  <v>0.006999999999999999</v>
                </pt>
                <pt idx="373">
                  <v>0.039</v>
                </pt>
                <pt idx="374">
                  <v>0</v>
                </pt>
                <pt idx="375">
                  <v>0</v>
                </pt>
                <pt idx="376">
                  <v>0</v>
                </pt>
                <pt idx="377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axId val="10"/>
        <axId val="100"/>
      </area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zero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/Relationships>
</file>

<file path=xl/drawings/_rels/drawing2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Relationship Type="http://schemas.openxmlformats.org/officeDocument/2006/relationships/chart" Target="/xl/charts/chart6.xml" Id="rId3"/><Relationship Type="http://schemas.openxmlformats.org/officeDocument/2006/relationships/chart" Target="/xl/charts/chart7.xml" Id="rId4"/></Relationships>
</file>

<file path=xl/drawings/_rels/drawing3.xml.rels><Relationships xmlns="http://schemas.openxmlformats.org/package/2006/relationships"><Relationship Type="http://schemas.openxmlformats.org/officeDocument/2006/relationships/chart" Target="/xl/charts/chart8.xml" Id="rId1"/></Relationships>
</file>

<file path=xl/drawings/drawing1.xml><?xml version="1.0" encoding="utf-8"?>
<wsDr xmlns="http://schemas.openxmlformats.org/drawingml/2006/spreadsheetDrawing">
  <twoCellAnchor>
    <from>
      <col>17</col>
      <colOff>165098</colOff>
      <row>335</row>
      <rowOff>21167</rowOff>
    </from>
    <to>
      <col>28</col>
      <colOff>508000</colOff>
      <row>364</row>
      <rowOff>64559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17</col>
      <colOff>158748</colOff>
      <row>365</row>
      <rowOff>21167</rowOff>
    </from>
    <to>
      <col>28</col>
      <colOff>518582</colOff>
      <row>395</row>
      <rowOff>52917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29</col>
      <colOff>148166</colOff>
      <row>334</row>
      <rowOff>179916</rowOff>
    </from>
    <to>
      <col>45</col>
      <colOff>148166</colOff>
      <row>364</row>
      <rowOff>84667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4</col>
      <colOff>258885</colOff>
      <row>349</row>
      <rowOff>170475</rowOff>
    </from>
    <to>
      <col>13</col>
      <colOff>554160</colOff>
      <row>369</row>
      <rowOff>151425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14</col>
      <colOff>54707</colOff>
      <row>370</row>
      <rowOff>66187</rowOff>
    </from>
    <to>
      <col>23</col>
      <colOff>359019</colOff>
      <row>388</row>
      <rowOff>47137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4</col>
      <colOff>258884</colOff>
      <row>370</row>
      <rowOff>77910</rowOff>
    </from>
    <to>
      <col>13</col>
      <colOff>593481</colOff>
      <row>388</row>
      <rowOff>21980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  <twoCellAnchor>
    <from>
      <col>14</col>
      <colOff>26378</colOff>
      <row>349</row>
      <rowOff>141410</rowOff>
    </from>
    <to>
      <col>23</col>
      <colOff>347053</colOff>
      <row>369</row>
      <rowOff>122360</rowOff>
    </to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3</col>
      <colOff>262467</colOff>
      <row>360</row>
      <rowOff>121707</rowOff>
    </from>
    <to>
      <col>15</col>
      <colOff>472018</colOff>
      <row>386</row>
      <rowOff>122766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34567891011121314151617343" displayName="Table134567891011121314151617343" ref="A1:Q394" headerRowCount="1" totalsRowShown="0" headerRowDxfId="31" dataDxfId="29" headerRowBorderDxfId="30">
  <autoFilter ref="A1:Q394"/>
  <tableColumns count="17">
    <tableColumn id="1" name="Data" dataDxfId="28">
      <calculatedColumnFormula>IF(Database!#REF!="",#N/A,Database!#REF!)</calculatedColumnFormula>
    </tableColumn>
    <tableColumn id="2" name="ITA" dataDxfId="27">
      <calculatedColumnFormula>IF(VLOOKUP(A2,Database!$A:$AS,MATCH($B$1,Database!$A$1:$AS$1,0),FALSE)=0,#N/A,VLOOKUP(A2,Database!$A:$AS,MATCH($B$1,Database!$A$1:$AS$1,0),FALSE))</calculatedColumnFormula>
    </tableColumn>
    <tableColumn id="3" name="FRA" dataDxfId="26">
      <calculatedColumnFormula>IF(VLOOKUP(A2,Database!$A:$AS,MATCH($C$1,Database!$A$1:$AS$1,0),FALSE)=0,#N/A,VLOOKUP(A2,Database!$A:$AS,MATCH($C$1,Database!$A$1:$AS$1,0),FALSE))</calculatedColumnFormula>
    </tableColumn>
    <tableColumn id="4" name="DEU" dataDxfId="25">
      <calculatedColumnFormula>IF(VLOOKUP(A2,Database!$A:$AS,MATCH($D$1,Database!$A$1:$AS$1,0),FALSE)=0,#N/A,VLOOKUP(A2,Database!$A:$AS,MATCH($D$1,Database!$A$1:$AS$1,0),FALSE))</calculatedColumnFormula>
    </tableColumn>
    <tableColumn id="5" name="ESP" dataDxfId="24">
      <calculatedColumnFormula>IF(VLOOKUP(A2,Database!$A:$AS,MATCH($E$1,Database!$A$1:$AS$1,0),FALSE)=0,#N/A,VLOOKUP(A2,Database!$A:$AS,MATCH($E$1,Database!$A$1:$AS$1,0),FALSE))</calculatedColumnFormula>
    </tableColumn>
    <tableColumn id="6" name="EA19" dataDxfId="23">
      <calculatedColumnFormula>IF(VLOOKUP(A2,Database!$A:$AS,MATCH($F$1,Database!$A$1:$AS$1,0),FALSE)=0,#N/A,VLOOKUP(A2,Database!$A:$AS,MATCH($F$1,Database!$A$1:$AS$1,0),FALSE))</calculatedColumnFormula>
    </tableColumn>
    <tableColumn id="12" name="GBR" dataDxfId="22">
      <calculatedColumnFormula>IF(VLOOKUP(A2,Database!$A:$AS,MATCH($G$1,Database!$A$1:$AS$1,0),FALSE)=0,#N/A,VLOOKUP(A2,Database!$A:$AS,MATCH($G$1,Database!$A$1:$AS$1,0),FALSE))</calculatedColumnFormula>
    </tableColumn>
    <tableColumn id="7" name="Italy" dataDxfId="21">
      <calculatedColumnFormula>(((Table134567891011121314151617343[[#This Row],[ITA]]-VLOOKUP($U$1,A:B,2,))/VLOOKUP($U$1,A:B,2,))*100)+100</calculatedColumnFormula>
    </tableColumn>
    <tableColumn id="8" name="France" dataDxfId="20">
      <calculatedColumnFormula>(((Table134567891011121314151617343[[#This Row],[FRA]]-VLOOKUP($U$1,A:C,3,))/VLOOKUP($U$1,A:C,3,))*100)+100</calculatedColumnFormula>
    </tableColumn>
    <tableColumn id="9" name="Germany" dataDxfId="19">
      <calculatedColumnFormula>(((Table134567891011121314151617343[[#This Row],[DEU]]-VLOOKUP($U$1,A:D,4,))/VLOOKUP($U$1,A:D,4,))*100)+100</calculatedColumnFormula>
    </tableColumn>
    <tableColumn id="10" name="Spain" dataDxfId="18">
      <calculatedColumnFormula>(((Table134567891011121314151617343[[#This Row],[ESP]]-VLOOKUP($U$1,A:E,5,))/VLOOKUP($U$1,A:E,5,))*100)+100</calculatedColumnFormula>
    </tableColumn>
    <tableColumn id="11" name="Eurozone" dataDxfId="17">
      <calculatedColumnFormula>(((Table134567891011121314151617343[[#This Row],[EA19]]-VLOOKUP($U$1,A:F,6,))/VLOOKUP($U$1,A:F,6,))*100)+100</calculatedColumnFormula>
    </tableColumn>
    <tableColumn id="13" name="United Kingdom" dataDxfId="16">
      <calculatedColumnFormula>(((Table134567891011121314151617343[[#This Row],[GBR]]-VLOOKUP($U$1,A:G,7,))/VLOOKUP($U$1,A:G,7,))*100)+100</calculatedColumnFormula>
    </tableColumn>
    <tableColumn id="14" name="USA" dataDxfId="15">
      <calculatedColumnFormula>IF(VLOOKUP(A2,Database!$A:$AU,MATCH($N$1,Database!$A$1:$AU$1,0),FALSE)=0,#N/A,VLOOKUP(A2,Database!$A:$AU,MATCH($N$1,Database!$A$1:$AU$1,0),FALSE))</calculatedColumnFormula>
    </tableColumn>
    <tableColumn id="15" name="USA " dataDxfId="14">
      <calculatedColumnFormula>(((Table134567891011121314151617343[[#This Row],[USA]]-VLOOKUP($U$1,A:N,14,))/VLOOKUP($U$1,A:N,14,))*100)+100</calculatedColumnFormula>
    </tableColumn>
    <tableColumn id="16" name="JPN" dataDxfId="13">
      <calculatedColumnFormula>IF(VLOOKUP(A2,Database!$A:$AS,MATCH($P$1,Database!$A$1:$AS$1,0),FALSE)=0,#N/A,VLOOKUP(A2,Database!$A:$AS,MATCH($P$1,Database!$A$1:$AS$1,0),FALSE))</calculatedColumnFormula>
    </tableColumn>
    <tableColumn id="17" name="JPN " dataDxfId="12">
      <calculatedColumnFormula>(((Table134567891011121314151617343[[#This Row],[JPN]]-VLOOKUP($U$1,A:Q,16,))/VLOOKUP($U$1,A:Q,16,))*100)+100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13456789101112131415161734" displayName="Table13456789101112131415161734" ref="A4:D387" headerRowCount="1" totalsRowShown="0" headerRowDxfId="11" dataDxfId="10">
  <autoFilter ref="A4:D387"/>
  <tableColumns count="4">
    <tableColumn id="1" name="Month" dataDxfId="9">
      <calculatedColumnFormula>IF(Database!#REF!="",#N/A,Database!#REF!)</calculatedColumnFormula>
    </tableColumn>
    <tableColumn id="2" name="USA" dataDxfId="8">
      <calculatedColumnFormula>VLOOKUP(A5,Database!$A:$AU,MATCH($B$4,Database!$A$1:$AU$1,0),FALSE)</calculatedColumnFormula>
    </tableColumn>
    <tableColumn id="3" name="mom" dataDxfId="7">
      <calculatedColumnFormula>(B5/B4)-1</calculatedColumnFormula>
    </tableColumn>
    <tableColumn id="4" name="yoy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7:C385" headerRowCount="1" totalsRowShown="0" headerRowDxfId="5" dataDxfId="3" headerRowBorderDxfId="4">
  <autoFilter ref="A7:C385"/>
  <sortState ref="A8:B340">
    <sortCondition ref="A8:A340"/>
  </sortState>
  <tableColumns count="3">
    <tableColumn id="1" name="Date" dataDxfId="2"/>
    <tableColumn id="2" name="China Industrial Production YoY" dataDxfId="1">
      <calculatedColumnFormula>VLOOKUP(A8,'China Production data'!$A$1:$C$508,3,FALSE)</calculatedColumnFormula>
    </tableColumn>
    <tableColumn id="3" name="HSBC China PM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data.oecd.org/industry/industrial-production.htm" TargetMode="External" Id="rId1"/><Relationship Type="http://schemas.openxmlformats.org/officeDocument/2006/relationships/hyperlink" Target="https://www.investing.com/economic-calendar/chinese-industrial-production-462" TargetMode="External" Id="rId2"/><Relationship Type="http://schemas.openxmlformats.org/officeDocument/2006/relationships/hyperlink" Target="https://tradingeconomics.com/country-list/industrial-production" TargetMode="External" Id="rId3"/><Relationship Type="http://schemas.openxmlformats.org/officeDocument/2006/relationships/hyperlink" Target="https://www.theglobaleconomy.com/rankings/Capital_investment/" TargetMode="External" Id="rId4"/></Relationships>
</file>

<file path=xl/worksheets/_rels/sheet6.xml.rels><Relationships xmlns="http://schemas.openxmlformats.org/package/2006/relationships"><Relationship Type="http://schemas.openxmlformats.org/officeDocument/2006/relationships/hyperlink" Target="https://www.theglobaleconomy.com/rankings/Capital_investment/" TargetMode="External" Id="rId1"/></Relationships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www.investing.com/economic-calendar/chinese-industrial-production-462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sheet1.xml><?xml version="1.0" encoding="utf-8"?>
<worksheet xmlns="http://schemas.openxmlformats.org/spreadsheetml/2006/main">
  <sheetPr codeName="Sheet1">
    <tabColor rgb="FFFFFF00"/>
    <outlinePr summaryBelow="1" summaryRight="1"/>
    <pageSetUpPr/>
  </sheetPr>
  <dimension ref="B1:P246"/>
  <sheetViews>
    <sheetView zoomScale="150" zoomScaleNormal="150" workbookViewId="0">
      <selection activeCell="H30" sqref="H30:H31"/>
    </sheetView>
  </sheetViews>
  <sheetFormatPr baseColWidth="8" defaultColWidth="9.1796875" defaultRowHeight="14.5"/>
  <cols>
    <col width="9.1796875" customWidth="1" style="86" min="1" max="1"/>
    <col width="12.81640625" customWidth="1" style="86" min="2" max="10"/>
    <col width="9.1796875" customWidth="1" style="86" min="11" max="14"/>
    <col width="19.1796875" customWidth="1" style="86" min="15" max="16"/>
    <col width="9.1796875" customWidth="1" style="86" min="17" max="60"/>
    <col width="9.1796875" customWidth="1" style="86" min="61" max="16384"/>
  </cols>
  <sheetData>
    <row r="1">
      <c r="B1" s="92" t="n"/>
    </row>
    <row r="2" ht="16" customHeight="1" s="80" thickBot="1">
      <c r="B2" s="93" t="n"/>
      <c r="C2" s="93" t="n"/>
      <c r="D2" s="93" t="n"/>
      <c r="E2" s="93" t="n"/>
      <c r="F2" s="93" t="n"/>
      <c r="G2" s="93" t="n"/>
      <c r="H2" s="93" t="n"/>
      <c r="I2" s="93" t="n"/>
      <c r="J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5" t="n"/>
      <c r="G3" s="95" t="n"/>
      <c r="H3" s="95" t="n"/>
      <c r="I3" s="95" t="n"/>
      <c r="J3" s="96" t="n"/>
    </row>
    <row r="5">
      <c r="B5" s="97" t="inlineStr">
        <is>
          <t>Definition</t>
        </is>
      </c>
      <c r="C5" s="98" t="n"/>
      <c r="D5" s="98" t="n"/>
      <c r="E5" s="98" t="n"/>
      <c r="F5" s="98" t="n"/>
      <c r="G5" s="98" t="n"/>
      <c r="H5" s="98" t="n"/>
      <c r="I5" s="98" t="n"/>
      <c r="J5" s="99" t="n"/>
    </row>
    <row r="7" ht="63" customHeight="1" s="80">
      <c r="B7" s="100" t="inlineStr">
        <is>
          <t>Industrial production refers to the output of industrial establishments and covers sectors such as mining, manufacturing, electricity, gas and steam and air-conditioning. This indicator is measured in an index based on a reference period that expresses change in the volume of production output.</t>
        </is>
      </c>
    </row>
    <row r="8" ht="33.75" customHeight="1" s="80">
      <c r="B8" s="91" t="inlineStr">
        <is>
          <t>https://data.oecd.org/industry/industrial-production.htm</t>
        </is>
      </c>
    </row>
    <row r="9">
      <c r="B9" s="61" t="n"/>
      <c r="C9" s="61" t="n"/>
      <c r="D9" s="61" t="n"/>
      <c r="E9" s="61" t="n"/>
    </row>
    <row r="10">
      <c r="B10" s="97" t="inlineStr">
        <is>
          <t>Process / TO DO LIST</t>
        </is>
      </c>
      <c r="C10" s="98" t="n"/>
      <c r="D10" s="98" t="n"/>
      <c r="E10" s="98" t="n"/>
      <c r="F10" s="98" t="n"/>
      <c r="G10" s="98" t="n"/>
      <c r="H10" s="98" t="n"/>
      <c r="I10" s="98" t="n"/>
      <c r="J10" s="99" t="n"/>
    </row>
    <row r="12">
      <c r="B12" s="97" t="inlineStr">
        <is>
          <t>TO DO LIST</t>
        </is>
      </c>
      <c r="C12" s="98" t="n"/>
      <c r="D12" s="98" t="n"/>
      <c r="E12" s="98" t="n"/>
      <c r="F12" s="99" t="n"/>
      <c r="G12" s="97" t="inlineStr">
        <is>
          <t>Comments</t>
        </is>
      </c>
      <c r="H12" s="98" t="n"/>
      <c r="I12" s="98" t="n"/>
      <c r="J12" s="99" t="n"/>
      <c r="O12" s="97" t="inlineStr">
        <is>
          <t xml:space="preserve">Ticker </t>
        </is>
      </c>
      <c r="P12" s="97" t="inlineStr">
        <is>
          <t>Country</t>
        </is>
      </c>
    </row>
    <row r="13">
      <c r="O13" s="62" t="inlineStr">
        <is>
          <t>ABW</t>
        </is>
      </c>
      <c r="P13" s="62" t="inlineStr">
        <is>
          <t>Aruba</t>
        </is>
      </c>
    </row>
    <row r="14">
      <c r="B14" s="86" t="inlineStr">
        <is>
          <t>https://data.oecd.org/industry/industrial-production.htm</t>
        </is>
      </c>
      <c r="G14" s="86" t="inlineStr">
        <is>
          <t>Industrial Production</t>
        </is>
      </c>
      <c r="O14" s="62" t="inlineStr">
        <is>
          <t>AFG</t>
        </is>
      </c>
      <c r="P14" s="62" t="inlineStr">
        <is>
          <t>Afghanistan</t>
        </is>
      </c>
    </row>
    <row r="15">
      <c r="B15" s="86" t="inlineStr">
        <is>
          <t>Total</t>
        </is>
      </c>
      <c r="G15" s="86" t="inlineStr">
        <is>
          <t>In Database</t>
        </is>
      </c>
      <c r="O15" s="62" t="inlineStr">
        <is>
          <t>AFRI</t>
        </is>
      </c>
      <c r="P15" s="62" t="inlineStr">
        <is>
          <t>Africa</t>
        </is>
      </c>
    </row>
    <row r="16" ht="15.75" customHeight="1" s="80">
      <c r="B16" s="86" t="inlineStr">
        <is>
          <t>Monthly</t>
        </is>
      </c>
      <c r="G16" s="87" t="inlineStr">
        <is>
          <t>Manually or create macro</t>
        </is>
      </c>
      <c r="O16" s="62" t="inlineStr">
        <is>
          <t>AGO</t>
        </is>
      </c>
      <c r="P16" s="62" t="inlineStr">
        <is>
          <t>Angola</t>
        </is>
      </c>
    </row>
    <row r="17" ht="15.75" customHeight="1" s="80">
      <c r="B17" s="86" t="inlineStr">
        <is>
          <t>Unclik latest data available</t>
        </is>
      </c>
      <c r="G17" s="87" t="n"/>
      <c r="O17" s="62" t="inlineStr">
        <is>
          <t>AIA</t>
        </is>
      </c>
      <c r="P17" s="62" t="inlineStr">
        <is>
          <t>Anguilla</t>
        </is>
      </c>
    </row>
    <row r="18" ht="15.75" customHeight="1" s="80">
      <c r="B18" s="86" t="inlineStr">
        <is>
          <t>Table</t>
        </is>
      </c>
      <c r="G18" s="89" t="n"/>
      <c r="O18" s="62" t="inlineStr">
        <is>
          <t>ALB</t>
        </is>
      </c>
      <c r="P18" s="62" t="inlineStr">
        <is>
          <t>Albania</t>
        </is>
      </c>
    </row>
    <row r="19" ht="15.75" customHeight="1" s="80">
      <c r="B19" s="86" t="inlineStr">
        <is>
          <t>Download</t>
        </is>
      </c>
      <c r="G19" s="87" t="n"/>
      <c r="O19" s="62" t="inlineStr">
        <is>
          <t>AND</t>
        </is>
      </c>
      <c r="P19" s="62" t="inlineStr">
        <is>
          <t>Andorra</t>
        </is>
      </c>
    </row>
    <row r="20" ht="15.75" customHeight="1" s="80">
      <c r="G20" s="87" t="n"/>
      <c r="O20" s="62" t="inlineStr">
        <is>
          <t>ANT</t>
        </is>
      </c>
      <c r="P20" s="62" t="inlineStr">
        <is>
          <t>Netherlands Antilles</t>
        </is>
      </c>
    </row>
    <row r="21" ht="31.5" customHeight="1" s="80">
      <c r="B21" s="90" t="inlineStr">
        <is>
          <t>https://www.investing.com/economic-calendar/chinese-industrial-production-462</t>
        </is>
      </c>
      <c r="G21" s="87" t="inlineStr">
        <is>
          <t>China Industrial Production</t>
        </is>
      </c>
      <c r="O21" s="62" t="inlineStr">
        <is>
          <t>ARE</t>
        </is>
      </c>
      <c r="P21" s="62" t="inlineStr">
        <is>
          <t>United Arab Emirates</t>
        </is>
      </c>
    </row>
    <row r="22" ht="15.75" customHeight="1" s="80">
      <c r="G22" s="87" t="n"/>
      <c r="O22" s="62" t="inlineStr">
        <is>
          <t>ARG</t>
        </is>
      </c>
      <c r="P22" s="62" t="inlineStr">
        <is>
          <t>Argentina</t>
        </is>
      </c>
    </row>
    <row r="23" ht="15.75" customHeight="1" s="80">
      <c r="B23" s="91" t="inlineStr">
        <is>
          <t>https://tradingeconomics.com/country-list/industrial-production</t>
        </is>
      </c>
      <c r="G23" s="87" t="inlineStr">
        <is>
          <t>World Production data</t>
        </is>
      </c>
      <c r="O23" s="62" t="inlineStr">
        <is>
          <t>ASIA</t>
        </is>
      </c>
      <c r="P23" s="62" t="inlineStr">
        <is>
          <t>Asia</t>
        </is>
      </c>
    </row>
    <row r="24" ht="15.75" customHeight="1" s="80">
      <c r="G24" s="87" t="n"/>
      <c r="O24" s="62" t="inlineStr">
        <is>
          <t>ASM</t>
        </is>
      </c>
      <c r="P24" s="62" t="inlineStr">
        <is>
          <t>American Samoa</t>
        </is>
      </c>
    </row>
    <row r="25" ht="15.75" customHeight="1" s="80">
      <c r="B25" s="10" t="inlineStr">
        <is>
          <t>https://www.theglobaleconomy.com/rankings/Capital_investment/</t>
        </is>
      </c>
      <c r="G25" s="87" t="n"/>
      <c r="O25" s="62" t="inlineStr">
        <is>
          <t>ATG</t>
        </is>
      </c>
      <c r="P25" s="62" t="inlineStr">
        <is>
          <t>Antigua and Barbuda</t>
        </is>
      </c>
    </row>
    <row r="26" ht="15.75" customHeight="1" s="80">
      <c r="G26" s="87" t="n"/>
      <c r="O26" s="62" t="inlineStr">
        <is>
          <t>AUS</t>
        </is>
      </c>
      <c r="P26" s="62" t="inlineStr">
        <is>
          <t>Australia</t>
        </is>
      </c>
    </row>
    <row r="27" ht="15.75" customHeight="1" s="80">
      <c r="B27" s="86" t="n"/>
      <c r="G27" s="87" t="n"/>
      <c r="O27" s="62" t="inlineStr">
        <is>
          <t>AUT</t>
        </is>
      </c>
      <c r="P27" s="62" t="inlineStr">
        <is>
          <t>Austria</t>
        </is>
      </c>
    </row>
    <row r="28">
      <c r="O28" s="62" t="inlineStr">
        <is>
          <t>BDI</t>
        </is>
      </c>
      <c r="P28" s="62" t="inlineStr">
        <is>
          <t>Burundi</t>
        </is>
      </c>
    </row>
    <row r="29">
      <c r="O29" s="62" t="inlineStr">
        <is>
          <t>BEL</t>
        </is>
      </c>
      <c r="P29" s="62" t="inlineStr">
        <is>
          <t>Belgium</t>
        </is>
      </c>
    </row>
    <row r="30">
      <c r="B30" s="63" t="n"/>
      <c r="O30" s="62" t="inlineStr">
        <is>
          <t>BEN</t>
        </is>
      </c>
      <c r="P30" s="62" t="inlineStr">
        <is>
          <t>Benin</t>
        </is>
      </c>
    </row>
    <row r="31" ht="33.75" customHeight="1" s="80">
      <c r="B31" s="88" t="n"/>
      <c r="O31" s="62" t="inlineStr">
        <is>
          <t>BFA</t>
        </is>
      </c>
      <c r="P31" s="62" t="inlineStr">
        <is>
          <t>Burkina Faso</t>
        </is>
      </c>
    </row>
    <row r="32">
      <c r="B32" s="64" t="n"/>
      <c r="O32" s="62" t="inlineStr">
        <is>
          <t>BGD</t>
        </is>
      </c>
      <c r="P32" s="62" t="inlineStr">
        <is>
          <t>Bangladesh</t>
        </is>
      </c>
    </row>
    <row r="33">
      <c r="O33" s="62" t="inlineStr">
        <is>
          <t>BGR</t>
        </is>
      </c>
      <c r="P33" s="62" t="inlineStr">
        <is>
          <t>Bulgaria</t>
        </is>
      </c>
    </row>
    <row r="34">
      <c r="O34" s="62" t="inlineStr">
        <is>
          <t>BHR</t>
        </is>
      </c>
      <c r="P34" s="62" t="inlineStr">
        <is>
          <t>Bahrain</t>
        </is>
      </c>
    </row>
    <row r="35">
      <c r="O35" s="62" t="inlineStr">
        <is>
          <t>BHS</t>
        </is>
      </c>
      <c r="P35" s="62" t="inlineStr">
        <is>
          <t>Bahamas</t>
        </is>
      </c>
    </row>
    <row r="36">
      <c r="O36" s="62" t="inlineStr">
        <is>
          <t>BLZ</t>
        </is>
      </c>
      <c r="P36" s="62" t="inlineStr">
        <is>
          <t>Belize</t>
        </is>
      </c>
    </row>
    <row r="37">
      <c r="O37" s="62" t="inlineStr">
        <is>
          <t>BMU</t>
        </is>
      </c>
      <c r="P37" s="62" t="inlineStr">
        <is>
          <t>Bermuda</t>
        </is>
      </c>
    </row>
    <row r="38">
      <c r="O38" s="62" t="inlineStr">
        <is>
          <t>BOL</t>
        </is>
      </c>
      <c r="P38" s="62" t="inlineStr">
        <is>
          <t>Bolivia</t>
        </is>
      </c>
    </row>
    <row r="39">
      <c r="O39" s="62" t="inlineStr">
        <is>
          <t>BRA</t>
        </is>
      </c>
      <c r="P39" s="62" t="inlineStr">
        <is>
          <t>Brazil</t>
        </is>
      </c>
    </row>
    <row r="40">
      <c r="O40" s="62" t="inlineStr">
        <is>
          <t>BRB</t>
        </is>
      </c>
      <c r="P40" s="62" t="inlineStr">
        <is>
          <t>Barbados</t>
        </is>
      </c>
    </row>
    <row r="41">
      <c r="O41" s="62" t="inlineStr">
        <is>
          <t>BRN</t>
        </is>
      </c>
      <c r="P41" s="62" t="inlineStr">
        <is>
          <t>Brunei Darussalam</t>
        </is>
      </c>
    </row>
    <row r="42">
      <c r="O42" s="62" t="inlineStr">
        <is>
          <t>BTN</t>
        </is>
      </c>
      <c r="P42" s="62" t="inlineStr">
        <is>
          <t>Bhutan</t>
        </is>
      </c>
    </row>
    <row r="43">
      <c r="O43" s="62" t="inlineStr">
        <is>
          <t>BWA</t>
        </is>
      </c>
      <c r="P43" s="62" t="inlineStr">
        <is>
          <t>Botswana</t>
        </is>
      </c>
    </row>
    <row r="44">
      <c r="O44" s="62" t="inlineStr">
        <is>
          <t>CAF</t>
        </is>
      </c>
      <c r="P44" s="62" t="inlineStr">
        <is>
          <t>Central African Republic</t>
        </is>
      </c>
    </row>
    <row r="45">
      <c r="O45" s="62" t="inlineStr">
        <is>
          <t>CAN</t>
        </is>
      </c>
      <c r="P45" s="62" t="inlineStr">
        <is>
          <t>Canada</t>
        </is>
      </c>
    </row>
    <row r="46">
      <c r="O46" s="62" t="inlineStr">
        <is>
          <t>CCK</t>
        </is>
      </c>
      <c r="P46" s="62" t="inlineStr">
        <is>
          <t>Cocos (Keeling) Islands</t>
        </is>
      </c>
    </row>
    <row r="47">
      <c r="O47" s="62" t="inlineStr">
        <is>
          <t>CHE</t>
        </is>
      </c>
      <c r="P47" s="62" t="inlineStr">
        <is>
          <t>Switzerland</t>
        </is>
      </c>
    </row>
    <row r="48">
      <c r="O48" s="62" t="inlineStr">
        <is>
          <t>CHL</t>
        </is>
      </c>
      <c r="P48" s="62" t="inlineStr">
        <is>
          <t>Chile</t>
        </is>
      </c>
    </row>
    <row r="49">
      <c r="O49" s="62" t="inlineStr">
        <is>
          <t>CHN</t>
        </is>
      </c>
      <c r="P49" s="62" t="inlineStr">
        <is>
          <t>China</t>
        </is>
      </c>
    </row>
    <row r="50">
      <c r="O50" s="62" t="inlineStr">
        <is>
          <t>CIV</t>
        </is>
      </c>
      <c r="P50" s="62" t="inlineStr">
        <is>
          <t>Côte d'Ivoire</t>
        </is>
      </c>
    </row>
    <row r="51">
      <c r="O51" s="62" t="inlineStr">
        <is>
          <t>CMR</t>
        </is>
      </c>
      <c r="P51" s="62" t="inlineStr">
        <is>
          <t>Cameroon</t>
        </is>
      </c>
    </row>
    <row r="52">
      <c r="O52" s="62" t="inlineStr">
        <is>
          <t>COD</t>
        </is>
      </c>
      <c r="P52" s="62" t="inlineStr">
        <is>
          <t>Congo, Dem. Rep. Of</t>
        </is>
      </c>
    </row>
    <row r="53">
      <c r="O53" s="62" t="inlineStr">
        <is>
          <t>COG</t>
        </is>
      </c>
      <c r="P53" s="62" t="inlineStr">
        <is>
          <t>Congo</t>
        </is>
      </c>
    </row>
    <row r="54">
      <c r="O54" s="62" t="inlineStr">
        <is>
          <t>COK</t>
        </is>
      </c>
      <c r="P54" s="62" t="inlineStr">
        <is>
          <t>Cook Islands</t>
        </is>
      </c>
    </row>
    <row r="55">
      <c r="O55" s="62" t="inlineStr">
        <is>
          <t>COL</t>
        </is>
      </c>
      <c r="P55" s="62" t="inlineStr">
        <is>
          <t>Colombia</t>
        </is>
      </c>
    </row>
    <row r="56">
      <c r="O56" s="62" t="inlineStr">
        <is>
          <t>COM</t>
        </is>
      </c>
      <c r="P56" s="62" t="inlineStr">
        <is>
          <t>Comoros</t>
        </is>
      </c>
    </row>
    <row r="57">
      <c r="O57" s="62" t="inlineStr">
        <is>
          <t>CPV</t>
        </is>
      </c>
      <c r="P57" s="62" t="inlineStr">
        <is>
          <t>Cape Verde</t>
        </is>
      </c>
    </row>
    <row r="58">
      <c r="O58" s="62" t="inlineStr">
        <is>
          <t>CRI</t>
        </is>
      </c>
      <c r="P58" s="62" t="inlineStr">
        <is>
          <t>Costa Rica</t>
        </is>
      </c>
    </row>
    <row r="59">
      <c r="O59" s="62" t="inlineStr">
        <is>
          <t>CSFR</t>
        </is>
      </c>
      <c r="P59" s="62" t="inlineStr">
        <is>
          <t>Former Czechoslovakia</t>
        </is>
      </c>
    </row>
    <row r="60">
      <c r="O60" s="62" t="inlineStr">
        <is>
          <t>CSFR-CZE</t>
        </is>
      </c>
      <c r="P60" s="62" t="inlineStr">
        <is>
          <t>Czech Republic</t>
        </is>
      </c>
    </row>
    <row r="61">
      <c r="O61" s="62" t="inlineStr">
        <is>
          <t>CSFR-SVK</t>
        </is>
      </c>
      <c r="P61" s="62" t="inlineStr">
        <is>
          <t>Slovak Republic</t>
        </is>
      </c>
    </row>
    <row r="62">
      <c r="O62" s="62" t="inlineStr">
        <is>
          <t>CUB</t>
        </is>
      </c>
      <c r="P62" s="62" t="inlineStr">
        <is>
          <t>Cuba</t>
        </is>
      </c>
    </row>
    <row r="63">
      <c r="O63" s="62" t="inlineStr">
        <is>
          <t>CYM</t>
        </is>
      </c>
      <c r="P63" s="62" t="inlineStr">
        <is>
          <t>Cayman Islands</t>
        </is>
      </c>
    </row>
    <row r="64">
      <c r="O64" s="62" t="inlineStr">
        <is>
          <t>CYP</t>
        </is>
      </c>
      <c r="P64" s="62" t="inlineStr">
        <is>
          <t>Cyprus</t>
        </is>
      </c>
    </row>
    <row r="65">
      <c r="O65" s="62" t="inlineStr">
        <is>
          <t>DEU</t>
        </is>
      </c>
      <c r="P65" s="62" t="inlineStr">
        <is>
          <t>Germany</t>
        </is>
      </c>
    </row>
    <row r="66">
      <c r="O66" s="62" t="inlineStr">
        <is>
          <t>DJI</t>
        </is>
      </c>
      <c r="P66" s="62" t="inlineStr">
        <is>
          <t>Djibouti</t>
        </is>
      </c>
    </row>
    <row r="67">
      <c r="O67" s="62" t="inlineStr">
        <is>
          <t>DMA</t>
        </is>
      </c>
      <c r="P67" s="62" t="inlineStr">
        <is>
          <t>Dominica</t>
        </is>
      </c>
    </row>
    <row r="68">
      <c r="O68" s="62" t="inlineStr">
        <is>
          <t>DNK</t>
        </is>
      </c>
      <c r="P68" s="62" t="inlineStr">
        <is>
          <t>Denmark</t>
        </is>
      </c>
    </row>
    <row r="69">
      <c r="O69" s="62" t="inlineStr">
        <is>
          <t>DOM</t>
        </is>
      </c>
      <c r="P69" s="62" t="inlineStr">
        <is>
          <t>Dominican Republic</t>
        </is>
      </c>
    </row>
    <row r="70">
      <c r="O70" s="62" t="inlineStr">
        <is>
          <t>DZA</t>
        </is>
      </c>
      <c r="P70" s="62" t="inlineStr">
        <is>
          <t>Algeria</t>
        </is>
      </c>
    </row>
    <row r="71">
      <c r="O71" s="62" t="inlineStr">
        <is>
          <t>ECU</t>
        </is>
      </c>
      <c r="P71" s="62" t="inlineStr">
        <is>
          <t>Ecuador</t>
        </is>
      </c>
    </row>
    <row r="72">
      <c r="O72" s="62" t="inlineStr">
        <is>
          <t>EGY</t>
        </is>
      </c>
      <c r="P72" s="62" t="inlineStr">
        <is>
          <t>Egypt</t>
        </is>
      </c>
    </row>
    <row r="73">
      <c r="O73" s="62" t="inlineStr">
        <is>
          <t>ERI</t>
        </is>
      </c>
      <c r="P73" s="62" t="inlineStr">
        <is>
          <t>Eritrea</t>
        </is>
      </c>
    </row>
    <row r="74">
      <c r="O74" s="62" t="inlineStr">
        <is>
          <t>ESH</t>
        </is>
      </c>
      <c r="P74" s="62" t="inlineStr">
        <is>
          <t>Western Sahara</t>
        </is>
      </c>
    </row>
    <row r="75">
      <c r="O75" s="62" t="inlineStr">
        <is>
          <t>ESP</t>
        </is>
      </c>
      <c r="P75" s="62" t="inlineStr">
        <is>
          <t>Spain</t>
        </is>
      </c>
    </row>
    <row r="76">
      <c r="O76" s="62" t="inlineStr">
        <is>
          <t>ETH</t>
        </is>
      </c>
      <c r="P76" s="62" t="inlineStr">
        <is>
          <t>Ethiopia</t>
        </is>
      </c>
    </row>
    <row r="77">
      <c r="O77" s="62" t="inlineStr">
        <is>
          <t>EURO</t>
        </is>
      </c>
      <c r="P77" s="62" t="inlineStr">
        <is>
          <t>Europe</t>
        </is>
      </c>
    </row>
    <row r="78">
      <c r="O78" s="62" t="inlineStr">
        <is>
          <t>FIN</t>
        </is>
      </c>
      <c r="P78" s="62" t="inlineStr">
        <is>
          <t>Finland</t>
        </is>
      </c>
    </row>
    <row r="79">
      <c r="O79" s="62" t="inlineStr">
        <is>
          <t>FJI</t>
        </is>
      </c>
      <c r="P79" s="62" t="inlineStr">
        <is>
          <t>Fiji</t>
        </is>
      </c>
    </row>
    <row r="80">
      <c r="O80" s="62" t="inlineStr">
        <is>
          <t>FLK</t>
        </is>
      </c>
      <c r="P80" s="62" t="inlineStr">
        <is>
          <t>Falkland Islands</t>
        </is>
      </c>
    </row>
    <row r="81">
      <c r="O81" s="62" t="inlineStr">
        <is>
          <t>FRA</t>
        </is>
      </c>
      <c r="P81" s="62" t="inlineStr">
        <is>
          <t>France</t>
        </is>
      </c>
    </row>
    <row r="82">
      <c r="O82" s="62" t="inlineStr">
        <is>
          <t>FSM</t>
        </is>
      </c>
      <c r="P82" s="62" t="inlineStr">
        <is>
          <t>Micronesia, Federated states of</t>
        </is>
      </c>
    </row>
    <row r="83">
      <c r="O83" s="62" t="inlineStr">
        <is>
          <t>FYUG</t>
        </is>
      </c>
      <c r="P83" s="62" t="inlineStr">
        <is>
          <t>Former Yugoslavia</t>
        </is>
      </c>
    </row>
    <row r="84">
      <c r="O84" s="62" t="inlineStr">
        <is>
          <t>FYUG-BIH</t>
        </is>
      </c>
      <c r="P84" s="62" t="inlineStr">
        <is>
          <t>Bosnia-Herzegovina</t>
        </is>
      </c>
    </row>
    <row r="85">
      <c r="O85" s="62" t="inlineStr">
        <is>
          <t>FYUG-HRV</t>
        </is>
      </c>
      <c r="P85" s="62" t="inlineStr">
        <is>
          <t>Croatia</t>
        </is>
      </c>
    </row>
    <row r="86">
      <c r="O86" s="62" t="inlineStr">
        <is>
          <t>FYUG-MKD</t>
        </is>
      </c>
      <c r="P86" s="62" t="inlineStr">
        <is>
          <t>Macedonia</t>
        </is>
      </c>
    </row>
    <row r="87">
      <c r="O87" s="62" t="inlineStr">
        <is>
          <t>FYUG-SVN</t>
        </is>
      </c>
      <c r="P87" s="62" t="inlineStr">
        <is>
          <t>Slovenia</t>
        </is>
      </c>
    </row>
    <row r="88">
      <c r="O88" s="62" t="inlineStr">
        <is>
          <t>FYUG-YUG</t>
        </is>
      </c>
      <c r="P88" s="62" t="inlineStr">
        <is>
          <t>Serbia and Montenegro</t>
        </is>
      </c>
    </row>
    <row r="89">
      <c r="O89" s="62" t="inlineStr">
        <is>
          <t>GAB</t>
        </is>
      </c>
      <c r="P89" s="62" t="inlineStr">
        <is>
          <t>Gabon</t>
        </is>
      </c>
    </row>
    <row r="90">
      <c r="O90" s="62" t="inlineStr">
        <is>
          <t>GBR</t>
        </is>
      </c>
      <c r="P90" s="62" t="inlineStr">
        <is>
          <t>United Kingdom</t>
        </is>
      </c>
    </row>
    <row r="91">
      <c r="O91" s="62" t="inlineStr">
        <is>
          <t>GHA</t>
        </is>
      </c>
      <c r="P91" s="62" t="inlineStr">
        <is>
          <t>Ghana</t>
        </is>
      </c>
    </row>
    <row r="92">
      <c r="O92" s="62" t="inlineStr">
        <is>
          <t>GIB</t>
        </is>
      </c>
      <c r="P92" s="62" t="inlineStr">
        <is>
          <t>Gibraltar</t>
        </is>
      </c>
    </row>
    <row r="93">
      <c r="O93" s="62" t="inlineStr">
        <is>
          <t>GIN</t>
        </is>
      </c>
      <c r="P93" s="62" t="inlineStr">
        <is>
          <t>Guinea</t>
        </is>
      </c>
    </row>
    <row r="94">
      <c r="O94" s="62" t="inlineStr">
        <is>
          <t>GMB</t>
        </is>
      </c>
      <c r="P94" s="62" t="inlineStr">
        <is>
          <t>Gambia</t>
        </is>
      </c>
    </row>
    <row r="95">
      <c r="O95" s="62" t="inlineStr">
        <is>
          <t>GNB</t>
        </is>
      </c>
      <c r="P95" s="62" t="inlineStr">
        <is>
          <t>Guinea-Bissau</t>
        </is>
      </c>
    </row>
    <row r="96">
      <c r="O96" s="62" t="inlineStr">
        <is>
          <t>GNQ</t>
        </is>
      </c>
      <c r="P96" s="62" t="inlineStr">
        <is>
          <t>Equatorial Guinea</t>
        </is>
      </c>
    </row>
    <row r="97">
      <c r="O97" s="62" t="inlineStr">
        <is>
          <t>GRC</t>
        </is>
      </c>
      <c r="P97" s="62" t="inlineStr">
        <is>
          <t>Greece</t>
        </is>
      </c>
    </row>
    <row r="98">
      <c r="O98" s="62" t="inlineStr">
        <is>
          <t>GRD</t>
        </is>
      </c>
      <c r="P98" s="62" t="inlineStr">
        <is>
          <t>Grenada</t>
        </is>
      </c>
    </row>
    <row r="99">
      <c r="O99" s="62" t="inlineStr">
        <is>
          <t>GTM</t>
        </is>
      </c>
      <c r="P99" s="62" t="inlineStr">
        <is>
          <t>Guatemala</t>
        </is>
      </c>
    </row>
    <row r="100">
      <c r="O100" s="62" t="inlineStr">
        <is>
          <t>GUM</t>
        </is>
      </c>
      <c r="P100" s="62" t="inlineStr">
        <is>
          <t>Guam</t>
        </is>
      </c>
    </row>
    <row r="101">
      <c r="O101" s="62" t="inlineStr">
        <is>
          <t>GUY</t>
        </is>
      </c>
      <c r="P101" s="62" t="inlineStr">
        <is>
          <t>Guyana</t>
        </is>
      </c>
    </row>
    <row r="102">
      <c r="O102" s="62" t="inlineStr">
        <is>
          <t>HKG</t>
        </is>
      </c>
      <c r="P102" s="62" t="inlineStr">
        <is>
          <t>Hong Kong</t>
        </is>
      </c>
    </row>
    <row r="103">
      <c r="O103" s="62" t="inlineStr">
        <is>
          <t>HND</t>
        </is>
      </c>
      <c r="P103" s="62" t="inlineStr">
        <is>
          <t>Honduras</t>
        </is>
      </c>
    </row>
    <row r="104">
      <c r="O104" s="62" t="inlineStr">
        <is>
          <t>HTI</t>
        </is>
      </c>
      <c r="P104" s="62" t="inlineStr">
        <is>
          <t>Haiti</t>
        </is>
      </c>
    </row>
    <row r="105">
      <c r="O105" s="62" t="inlineStr">
        <is>
          <t>HUN</t>
        </is>
      </c>
      <c r="P105" s="62" t="inlineStr">
        <is>
          <t>Hungary</t>
        </is>
      </c>
    </row>
    <row r="106">
      <c r="O106" s="62" t="inlineStr">
        <is>
          <t>IDN</t>
        </is>
      </c>
      <c r="P106" s="62" t="inlineStr">
        <is>
          <t>Indonesia</t>
        </is>
      </c>
    </row>
    <row r="107">
      <c r="O107" s="62" t="inlineStr">
        <is>
          <t>IND</t>
        </is>
      </c>
      <c r="P107" s="62" t="inlineStr">
        <is>
          <t>India</t>
        </is>
      </c>
    </row>
    <row r="108">
      <c r="O108" s="62" t="inlineStr">
        <is>
          <t>IOT</t>
        </is>
      </c>
      <c r="P108" s="62" t="inlineStr">
        <is>
          <t>British Indian Ocean Territory</t>
        </is>
      </c>
    </row>
    <row r="109">
      <c r="O109" s="62" t="inlineStr">
        <is>
          <t>IRL</t>
        </is>
      </c>
      <c r="P109" s="62" t="inlineStr">
        <is>
          <t>Ireland</t>
        </is>
      </c>
    </row>
    <row r="110">
      <c r="O110" s="62" t="inlineStr">
        <is>
          <t>IRN</t>
        </is>
      </c>
      <c r="P110" s="62" t="inlineStr">
        <is>
          <t>Iran</t>
        </is>
      </c>
    </row>
    <row r="111">
      <c r="O111" s="62" t="inlineStr">
        <is>
          <t>IRQ</t>
        </is>
      </c>
      <c r="P111" s="62" t="inlineStr">
        <is>
          <t>Iraq</t>
        </is>
      </c>
    </row>
    <row r="112">
      <c r="O112" s="62" t="inlineStr">
        <is>
          <t>ISL</t>
        </is>
      </c>
      <c r="P112" s="62" t="inlineStr">
        <is>
          <t>Iceland</t>
        </is>
      </c>
    </row>
    <row r="113">
      <c r="O113" s="62" t="inlineStr">
        <is>
          <t>ISR</t>
        </is>
      </c>
      <c r="P113" s="62" t="inlineStr">
        <is>
          <t>Israel</t>
        </is>
      </c>
    </row>
    <row r="114">
      <c r="O114" s="62" t="inlineStr">
        <is>
          <t>ITA</t>
        </is>
      </c>
      <c r="P114" s="62" t="inlineStr">
        <is>
          <t>Italy</t>
        </is>
      </c>
    </row>
    <row r="115">
      <c r="O115" s="62" t="inlineStr">
        <is>
          <t>JAM</t>
        </is>
      </c>
      <c r="P115" s="62" t="inlineStr">
        <is>
          <t>Jamaica</t>
        </is>
      </c>
    </row>
    <row r="116">
      <c r="O116" s="62" t="inlineStr">
        <is>
          <t>JOR</t>
        </is>
      </c>
      <c r="P116" s="62" t="inlineStr">
        <is>
          <t>Jordan</t>
        </is>
      </c>
    </row>
    <row r="117">
      <c r="O117" s="62" t="inlineStr">
        <is>
          <t>JPN</t>
        </is>
      </c>
      <c r="P117" s="62" t="inlineStr">
        <is>
          <t>Japan</t>
        </is>
      </c>
    </row>
    <row r="118">
      <c r="O118" s="62" t="inlineStr">
        <is>
          <t>KEN</t>
        </is>
      </c>
      <c r="P118" s="62" t="inlineStr">
        <is>
          <t>Kenya</t>
        </is>
      </c>
    </row>
    <row r="119">
      <c r="O119" s="62" t="inlineStr">
        <is>
          <t>KHM</t>
        </is>
      </c>
      <c r="P119" s="62" t="inlineStr">
        <is>
          <t>Cambodia</t>
        </is>
      </c>
    </row>
    <row r="120">
      <c r="O120" s="62" t="inlineStr">
        <is>
          <t>KIR</t>
        </is>
      </c>
      <c r="P120" s="62" t="inlineStr">
        <is>
          <t>Kiribati</t>
        </is>
      </c>
    </row>
    <row r="121">
      <c r="O121" s="62" t="inlineStr">
        <is>
          <t>KNA</t>
        </is>
      </c>
      <c r="P121" s="62" t="inlineStr">
        <is>
          <t>Saint Kitts and Nevis</t>
        </is>
      </c>
    </row>
    <row r="122">
      <c r="O122" s="62" t="inlineStr">
        <is>
          <t>KOREA-NO</t>
        </is>
      </c>
      <c r="P122" s="62" t="inlineStr">
        <is>
          <t>North Korea</t>
        </is>
      </c>
    </row>
    <row r="123">
      <c r="O123" s="62" t="inlineStr">
        <is>
          <t>KOREA-NS</t>
        </is>
      </c>
      <c r="P123" s="62" t="inlineStr">
        <is>
          <t>South Korea</t>
        </is>
      </c>
    </row>
    <row r="124">
      <c r="O124" s="62" t="inlineStr">
        <is>
          <t>KOREA-SO</t>
        </is>
      </c>
      <c r="P124" s="62" t="inlineStr">
        <is>
          <t>North and South Korea</t>
        </is>
      </c>
    </row>
    <row r="125">
      <c r="O125" s="62" t="inlineStr">
        <is>
          <t>KWT</t>
        </is>
      </c>
      <c r="P125" s="62" t="inlineStr">
        <is>
          <t>Kuwait</t>
        </is>
      </c>
    </row>
    <row r="126">
      <c r="O126" s="62" t="inlineStr">
        <is>
          <t>LAO</t>
        </is>
      </c>
      <c r="P126" s="62" t="inlineStr">
        <is>
          <t>Laos</t>
        </is>
      </c>
    </row>
    <row r="127">
      <c r="O127" s="62" t="inlineStr">
        <is>
          <t>LBN</t>
        </is>
      </c>
      <c r="P127" s="62" t="inlineStr">
        <is>
          <t>Lebanon</t>
        </is>
      </c>
    </row>
    <row r="128">
      <c r="O128" s="62" t="inlineStr">
        <is>
          <t>LBR</t>
        </is>
      </c>
      <c r="P128" s="62" t="inlineStr">
        <is>
          <t>Liberia</t>
        </is>
      </c>
    </row>
    <row r="129">
      <c r="O129" s="62" t="inlineStr">
        <is>
          <t>LBY</t>
        </is>
      </c>
      <c r="P129" s="62" t="inlineStr">
        <is>
          <t>Libya</t>
        </is>
      </c>
    </row>
    <row r="130">
      <c r="O130" s="62" t="inlineStr">
        <is>
          <t>LCA</t>
        </is>
      </c>
      <c r="P130" s="62" t="inlineStr">
        <is>
          <t>Saint Lucia</t>
        </is>
      </c>
    </row>
    <row r="131">
      <c r="O131" s="62" t="inlineStr">
        <is>
          <t>LIE</t>
        </is>
      </c>
      <c r="P131" s="62" t="inlineStr">
        <is>
          <t>Liechtenstein</t>
        </is>
      </c>
    </row>
    <row r="132">
      <c r="O132" s="62" t="inlineStr">
        <is>
          <t>LKA</t>
        </is>
      </c>
      <c r="P132" s="62" t="inlineStr">
        <is>
          <t>Sri Lanka</t>
        </is>
      </c>
    </row>
    <row r="133">
      <c r="O133" s="62" t="inlineStr">
        <is>
          <t>LSO</t>
        </is>
      </c>
      <c r="P133" s="62" t="inlineStr">
        <is>
          <t>Lesotho</t>
        </is>
      </c>
    </row>
    <row r="134">
      <c r="O134" s="62" t="inlineStr">
        <is>
          <t>LUX</t>
        </is>
      </c>
      <c r="P134" s="62" t="inlineStr">
        <is>
          <t>Luxembourg</t>
        </is>
      </c>
    </row>
    <row r="135">
      <c r="O135" s="62" t="inlineStr">
        <is>
          <t>MAC</t>
        </is>
      </c>
      <c r="P135" s="62" t="inlineStr">
        <is>
          <t>Macau</t>
        </is>
      </c>
    </row>
    <row r="136">
      <c r="O136" s="62" t="inlineStr">
        <is>
          <t>MAR</t>
        </is>
      </c>
      <c r="P136" s="62" t="inlineStr">
        <is>
          <t>Morocco</t>
        </is>
      </c>
    </row>
    <row r="137">
      <c r="O137" s="62" t="inlineStr">
        <is>
          <t>MCO</t>
        </is>
      </c>
      <c r="P137" s="62" t="inlineStr">
        <is>
          <t>Monaco</t>
        </is>
      </c>
    </row>
    <row r="138">
      <c r="O138" s="62" t="inlineStr">
        <is>
          <t>MDG</t>
        </is>
      </c>
      <c r="P138" s="62" t="inlineStr">
        <is>
          <t>Madagascar</t>
        </is>
      </c>
    </row>
    <row r="139">
      <c r="O139" s="62" t="inlineStr">
        <is>
          <t>MDV</t>
        </is>
      </c>
      <c r="P139" s="62" t="inlineStr">
        <is>
          <t>Maldives</t>
        </is>
      </c>
    </row>
    <row r="140">
      <c r="O140" s="62" t="inlineStr">
        <is>
          <t>MEX</t>
        </is>
      </c>
      <c r="P140" s="62" t="inlineStr">
        <is>
          <t>Mexico</t>
        </is>
      </c>
    </row>
    <row r="141">
      <c r="O141" s="62" t="inlineStr">
        <is>
          <t>MHL</t>
        </is>
      </c>
      <c r="P141" s="62" t="inlineStr">
        <is>
          <t>Marshall Islands</t>
        </is>
      </c>
    </row>
    <row r="142">
      <c r="O142" s="62" t="inlineStr">
        <is>
          <t>MLI</t>
        </is>
      </c>
      <c r="P142" s="62" t="inlineStr">
        <is>
          <t>Mali</t>
        </is>
      </c>
    </row>
    <row r="143">
      <c r="O143" s="62" t="inlineStr">
        <is>
          <t>MLT</t>
        </is>
      </c>
      <c r="P143" s="62" t="inlineStr">
        <is>
          <t>Malta</t>
        </is>
      </c>
    </row>
    <row r="144">
      <c r="O144" s="62" t="inlineStr">
        <is>
          <t>MMR</t>
        </is>
      </c>
      <c r="P144" s="62" t="inlineStr">
        <is>
          <t>Myanmar</t>
        </is>
      </c>
    </row>
    <row r="145">
      <c r="O145" s="62" t="inlineStr">
        <is>
          <t>MNG</t>
        </is>
      </c>
      <c r="P145" s="62" t="inlineStr">
        <is>
          <t>Mongolia</t>
        </is>
      </c>
    </row>
    <row r="146">
      <c r="O146" s="62" t="inlineStr">
        <is>
          <t>MNP</t>
        </is>
      </c>
      <c r="P146" s="62" t="inlineStr">
        <is>
          <t>Northern Mariana Islands</t>
        </is>
      </c>
    </row>
    <row r="147">
      <c r="O147" s="62" t="inlineStr">
        <is>
          <t>MOZ</t>
        </is>
      </c>
      <c r="P147" s="62" t="inlineStr">
        <is>
          <t>Mozambique</t>
        </is>
      </c>
    </row>
    <row r="148">
      <c r="O148" s="62" t="inlineStr">
        <is>
          <t>MRT</t>
        </is>
      </c>
      <c r="P148" s="62" t="inlineStr">
        <is>
          <t>Mauritania</t>
        </is>
      </c>
    </row>
    <row r="149">
      <c r="O149" s="62" t="inlineStr">
        <is>
          <t>MSR</t>
        </is>
      </c>
      <c r="P149" s="62" t="inlineStr">
        <is>
          <t>Montserrat</t>
        </is>
      </c>
    </row>
    <row r="150">
      <c r="O150" s="62" t="inlineStr">
        <is>
          <t>MUS</t>
        </is>
      </c>
      <c r="P150" s="62" t="inlineStr">
        <is>
          <t>Mauritius</t>
        </is>
      </c>
    </row>
    <row r="151">
      <c r="O151" s="62" t="inlineStr">
        <is>
          <t>MWI</t>
        </is>
      </c>
      <c r="P151" s="62" t="inlineStr">
        <is>
          <t>Malawi</t>
        </is>
      </c>
    </row>
    <row r="152">
      <c r="O152" s="62" t="inlineStr">
        <is>
          <t>MYS</t>
        </is>
      </c>
      <c r="P152" s="62" t="inlineStr">
        <is>
          <t>Malaysia</t>
        </is>
      </c>
    </row>
    <row r="153">
      <c r="O153" s="62" t="inlineStr">
        <is>
          <t>NAM</t>
        </is>
      </c>
      <c r="P153" s="62" t="inlineStr">
        <is>
          <t>Namibia</t>
        </is>
      </c>
    </row>
    <row r="154">
      <c r="O154" s="62" t="inlineStr">
        <is>
          <t>NER</t>
        </is>
      </c>
      <c r="P154" s="62" t="inlineStr">
        <is>
          <t>Niger</t>
        </is>
      </c>
    </row>
    <row r="155">
      <c r="O155" s="62" t="inlineStr">
        <is>
          <t>NFK</t>
        </is>
      </c>
      <c r="P155" s="62" t="inlineStr">
        <is>
          <t>Norfolk Islands</t>
        </is>
      </c>
    </row>
    <row r="156">
      <c r="O156" s="62" t="inlineStr">
        <is>
          <t>NGA</t>
        </is>
      </c>
      <c r="P156" s="62" t="inlineStr">
        <is>
          <t>Nigeria</t>
        </is>
      </c>
    </row>
    <row r="157">
      <c r="O157" s="62" t="inlineStr">
        <is>
          <t>NIC</t>
        </is>
      </c>
      <c r="P157" s="62" t="inlineStr">
        <is>
          <t>Nicaragua</t>
        </is>
      </c>
    </row>
    <row r="158">
      <c r="O158" s="62" t="inlineStr">
        <is>
          <t>NIU</t>
        </is>
      </c>
      <c r="P158" s="62" t="inlineStr">
        <is>
          <t>Niue</t>
        </is>
      </c>
    </row>
    <row r="159">
      <c r="O159" s="62" t="inlineStr">
        <is>
          <t>NLD</t>
        </is>
      </c>
      <c r="P159" s="62" t="inlineStr">
        <is>
          <t>Netherlands</t>
        </is>
      </c>
    </row>
    <row r="160">
      <c r="O160" s="62" t="inlineStr">
        <is>
          <t>NOAM</t>
        </is>
      </c>
      <c r="P160" s="62" t="inlineStr">
        <is>
          <t>North America</t>
        </is>
      </c>
    </row>
    <row r="161">
      <c r="O161" s="62" t="inlineStr">
        <is>
          <t>NOR</t>
        </is>
      </c>
      <c r="P161" s="62" t="inlineStr">
        <is>
          <t>Norway</t>
        </is>
      </c>
    </row>
    <row r="162">
      <c r="O162" s="62" t="inlineStr">
        <is>
          <t>NPL</t>
        </is>
      </c>
      <c r="P162" s="62" t="inlineStr">
        <is>
          <t>Nepal</t>
        </is>
      </c>
    </row>
    <row r="163">
      <c r="O163" s="62" t="inlineStr">
        <is>
          <t>NRU</t>
        </is>
      </c>
      <c r="P163" s="62" t="inlineStr">
        <is>
          <t>Nauru</t>
        </is>
      </c>
    </row>
    <row r="164">
      <c r="O164" s="62" t="inlineStr">
        <is>
          <t>NZL</t>
        </is>
      </c>
      <c r="P164" s="62" t="inlineStr">
        <is>
          <t>New Zealand</t>
        </is>
      </c>
    </row>
    <row r="165">
      <c r="O165" s="62" t="inlineStr">
        <is>
          <t>OCEA</t>
        </is>
      </c>
      <c r="P165" s="62" t="inlineStr">
        <is>
          <t>Oceania</t>
        </is>
      </c>
    </row>
    <row r="166">
      <c r="O166" s="62" t="inlineStr">
        <is>
          <t>OMN</t>
        </is>
      </c>
      <c r="P166" s="62" t="inlineStr">
        <is>
          <t>Oman</t>
        </is>
      </c>
    </row>
    <row r="167">
      <c r="O167" s="62" t="inlineStr">
        <is>
          <t>OTH</t>
        </is>
      </c>
      <c r="P167" s="62" t="inlineStr">
        <is>
          <t>Other</t>
        </is>
      </c>
    </row>
    <row r="168">
      <c r="O168" s="62" t="inlineStr">
        <is>
          <t>PAK</t>
        </is>
      </c>
      <c r="P168" s="62" t="inlineStr">
        <is>
          <t>Pakistan</t>
        </is>
      </c>
    </row>
    <row r="169">
      <c r="O169" s="62" t="inlineStr">
        <is>
          <t>PAN</t>
        </is>
      </c>
      <c r="P169" s="62" t="inlineStr">
        <is>
          <t>Panama</t>
        </is>
      </c>
    </row>
    <row r="170">
      <c r="O170" s="62" t="inlineStr">
        <is>
          <t>PCN</t>
        </is>
      </c>
      <c r="P170" s="62" t="inlineStr">
        <is>
          <t>Pitcairn</t>
        </is>
      </c>
    </row>
    <row r="171">
      <c r="O171" s="62" t="inlineStr">
        <is>
          <t>PER</t>
        </is>
      </c>
      <c r="P171" s="62" t="inlineStr">
        <is>
          <t>Peru</t>
        </is>
      </c>
    </row>
    <row r="172">
      <c r="O172" s="62" t="inlineStr">
        <is>
          <t>PHL</t>
        </is>
      </c>
      <c r="P172" s="62" t="inlineStr">
        <is>
          <t>Philippines</t>
        </is>
      </c>
    </row>
    <row r="173">
      <c r="O173" s="62" t="inlineStr">
        <is>
          <t>PLW</t>
        </is>
      </c>
      <c r="P173" s="62" t="inlineStr">
        <is>
          <t>Pacific Islands (Palau)</t>
        </is>
      </c>
    </row>
    <row r="174">
      <c r="O174" s="62" t="inlineStr">
        <is>
          <t>PNG</t>
        </is>
      </c>
      <c r="P174" s="62" t="inlineStr">
        <is>
          <t>Papua New Guinea</t>
        </is>
      </c>
    </row>
    <row r="175">
      <c r="O175" s="62" t="inlineStr">
        <is>
          <t>POL</t>
        </is>
      </c>
      <c r="P175" s="62" t="inlineStr">
        <is>
          <t>Poland</t>
        </is>
      </c>
    </row>
    <row r="176">
      <c r="O176" s="62" t="inlineStr">
        <is>
          <t>PRI</t>
        </is>
      </c>
      <c r="P176" s="62" t="inlineStr">
        <is>
          <t>Puerto Rico</t>
        </is>
      </c>
    </row>
    <row r="177">
      <c r="O177" s="62" t="inlineStr">
        <is>
          <t>PRT</t>
        </is>
      </c>
      <c r="P177" s="62" t="inlineStr">
        <is>
          <t>Portugal</t>
        </is>
      </c>
    </row>
    <row r="178">
      <c r="O178" s="62" t="inlineStr">
        <is>
          <t>PRY</t>
        </is>
      </c>
      <c r="P178" s="62" t="inlineStr">
        <is>
          <t>Paraguay</t>
        </is>
      </c>
    </row>
    <row r="179">
      <c r="O179" s="62" t="inlineStr">
        <is>
          <t>PSE</t>
        </is>
      </c>
      <c r="P179" s="62" t="inlineStr">
        <is>
          <t>Occupied Palestinian Territory</t>
        </is>
      </c>
    </row>
    <row r="180">
      <c r="O180" s="62" t="inlineStr">
        <is>
          <t>QAT</t>
        </is>
      </c>
      <c r="P180" s="62" t="inlineStr">
        <is>
          <t>Qatar</t>
        </is>
      </c>
    </row>
    <row r="181">
      <c r="O181" s="62" t="inlineStr">
        <is>
          <t>ROU</t>
        </is>
      </c>
      <c r="P181" s="62" t="inlineStr">
        <is>
          <t>Romania</t>
        </is>
      </c>
    </row>
    <row r="182">
      <c r="O182" s="62" t="inlineStr">
        <is>
          <t>RWA</t>
        </is>
      </c>
      <c r="P182" s="62" t="inlineStr">
        <is>
          <t>Rwanda</t>
        </is>
      </c>
    </row>
    <row r="183">
      <c r="O183" s="62" t="inlineStr">
        <is>
          <t>SAU</t>
        </is>
      </c>
      <c r="P183" s="62" t="inlineStr">
        <is>
          <t>Saudi Arabia</t>
        </is>
      </c>
    </row>
    <row r="184">
      <c r="O184" s="62" t="inlineStr">
        <is>
          <t>SCAC</t>
        </is>
      </c>
      <c r="P184" s="62" t="inlineStr">
        <is>
          <t>South and Central America</t>
        </is>
      </c>
    </row>
    <row r="185">
      <c r="O185" s="62" t="inlineStr">
        <is>
          <t>SDN</t>
        </is>
      </c>
      <c r="P185" s="62" t="inlineStr">
        <is>
          <t>Sudan</t>
        </is>
      </c>
    </row>
    <row r="186">
      <c r="O186" s="62" t="inlineStr">
        <is>
          <t>SEN</t>
        </is>
      </c>
      <c r="P186" s="62" t="inlineStr">
        <is>
          <t>Senegal</t>
        </is>
      </c>
    </row>
    <row r="187">
      <c r="O187" s="62" t="inlineStr">
        <is>
          <t>SGP</t>
        </is>
      </c>
      <c r="P187" s="62" t="inlineStr">
        <is>
          <t>Singapore</t>
        </is>
      </c>
    </row>
    <row r="188">
      <c r="O188" s="62" t="inlineStr">
        <is>
          <t>SHN</t>
        </is>
      </c>
      <c r="P188" s="62" t="inlineStr">
        <is>
          <t>Saint Helena</t>
        </is>
      </c>
    </row>
    <row r="189">
      <c r="O189" s="62" t="inlineStr">
        <is>
          <t>SJM</t>
        </is>
      </c>
      <c r="P189" s="62" t="inlineStr">
        <is>
          <t>Svalbard and Jan Mayen Islands</t>
        </is>
      </c>
    </row>
    <row r="190">
      <c r="O190" s="62" t="inlineStr">
        <is>
          <t>SLB</t>
        </is>
      </c>
      <c r="P190" s="62" t="inlineStr">
        <is>
          <t>Solomon Islands</t>
        </is>
      </c>
    </row>
    <row r="191">
      <c r="O191" s="62" t="inlineStr">
        <is>
          <t>SLE</t>
        </is>
      </c>
      <c r="P191" s="62" t="inlineStr">
        <is>
          <t>Sierra Leone</t>
        </is>
      </c>
    </row>
    <row r="192">
      <c r="O192" s="62" t="inlineStr">
        <is>
          <t>SLV</t>
        </is>
      </c>
      <c r="P192" s="62" t="inlineStr">
        <is>
          <t>El Salvador</t>
        </is>
      </c>
    </row>
    <row r="193">
      <c r="O193" s="62" t="inlineStr">
        <is>
          <t>SMR</t>
        </is>
      </c>
      <c r="P193" s="62" t="inlineStr">
        <is>
          <t>San Marino</t>
        </is>
      </c>
    </row>
    <row r="194">
      <c r="O194" s="62" t="inlineStr">
        <is>
          <t>SOM</t>
        </is>
      </c>
      <c r="P194" s="62" t="inlineStr">
        <is>
          <t>Somalia</t>
        </is>
      </c>
    </row>
    <row r="195">
      <c r="O195" s="62" t="inlineStr">
        <is>
          <t>STP</t>
        </is>
      </c>
      <c r="P195" s="62" t="inlineStr">
        <is>
          <t>Sao Tome and Principe</t>
        </is>
      </c>
    </row>
    <row r="196">
      <c r="O196" s="62" t="inlineStr">
        <is>
          <t>SUR</t>
        </is>
      </c>
      <c r="P196" s="62" t="inlineStr">
        <is>
          <t>Suriname</t>
        </is>
      </c>
    </row>
    <row r="197">
      <c r="O197" s="62" t="inlineStr">
        <is>
          <t>SWE</t>
        </is>
      </c>
      <c r="P197" s="62" t="inlineStr">
        <is>
          <t>Sweden</t>
        </is>
      </c>
    </row>
    <row r="198">
      <c r="O198" s="62" t="inlineStr">
        <is>
          <t>SWZ</t>
        </is>
      </c>
      <c r="P198" s="62" t="inlineStr">
        <is>
          <t>Swaziland</t>
        </is>
      </c>
    </row>
    <row r="199">
      <c r="O199" s="62" t="inlineStr">
        <is>
          <t>SYC</t>
        </is>
      </c>
      <c r="P199" s="62" t="inlineStr">
        <is>
          <t>Seychelles</t>
        </is>
      </c>
    </row>
    <row r="200">
      <c r="O200" s="62" t="inlineStr">
        <is>
          <t>SYR</t>
        </is>
      </c>
      <c r="P200" s="62" t="inlineStr">
        <is>
          <t>Syria</t>
        </is>
      </c>
    </row>
    <row r="201">
      <c r="O201" s="62" t="inlineStr">
        <is>
          <t>TCA</t>
        </is>
      </c>
      <c r="P201" s="62" t="inlineStr">
        <is>
          <t>Turks and Caicos Islands</t>
        </is>
      </c>
    </row>
    <row r="202">
      <c r="O202" s="62" t="inlineStr">
        <is>
          <t>TCD</t>
        </is>
      </c>
      <c r="P202" s="62" t="inlineStr">
        <is>
          <t>Chad</t>
        </is>
      </c>
    </row>
    <row r="203">
      <c r="O203" s="62" t="inlineStr">
        <is>
          <t>TGO</t>
        </is>
      </c>
      <c r="P203" s="62" t="inlineStr">
        <is>
          <t>Togo</t>
        </is>
      </c>
    </row>
    <row r="204">
      <c r="O204" s="62" t="inlineStr">
        <is>
          <t>THA</t>
        </is>
      </c>
      <c r="P204" s="62" t="inlineStr">
        <is>
          <t>Thailand</t>
        </is>
      </c>
    </row>
    <row r="205">
      <c r="O205" s="62" t="inlineStr">
        <is>
          <t>TKL</t>
        </is>
      </c>
      <c r="P205" s="62" t="inlineStr">
        <is>
          <t>Tokelau</t>
        </is>
      </c>
    </row>
    <row r="206">
      <c r="O206" s="62" t="inlineStr">
        <is>
          <t>TLS</t>
        </is>
      </c>
      <c r="P206" s="62" t="inlineStr">
        <is>
          <t>Timor-Leste</t>
        </is>
      </c>
    </row>
    <row r="207">
      <c r="O207" s="62" t="inlineStr">
        <is>
          <t>TMP</t>
        </is>
      </c>
      <c r="P207" s="62" t="inlineStr">
        <is>
          <t>East Timor</t>
        </is>
      </c>
    </row>
    <row r="208">
      <c r="O208" s="62" t="inlineStr">
        <is>
          <t>TON</t>
        </is>
      </c>
      <c r="P208" s="62" t="inlineStr">
        <is>
          <t>Tonga</t>
        </is>
      </c>
    </row>
    <row r="209">
      <c r="O209" s="62" t="inlineStr">
        <is>
          <t>TTO</t>
        </is>
      </c>
      <c r="P209" s="62" t="inlineStr">
        <is>
          <t>Trinidad and Tobago</t>
        </is>
      </c>
    </row>
    <row r="210">
      <c r="O210" s="62" t="inlineStr">
        <is>
          <t>TUN</t>
        </is>
      </c>
      <c r="P210" s="62" t="inlineStr">
        <is>
          <t>Tunisia</t>
        </is>
      </c>
    </row>
    <row r="211">
      <c r="O211" s="62" t="inlineStr">
        <is>
          <t>TUR</t>
        </is>
      </c>
      <c r="P211" s="62" t="inlineStr">
        <is>
          <t>Turkey</t>
        </is>
      </c>
    </row>
    <row r="212">
      <c r="O212" s="62" t="inlineStr">
        <is>
          <t>TUV</t>
        </is>
      </c>
      <c r="P212" s="62" t="inlineStr">
        <is>
          <t>Tuvalu</t>
        </is>
      </c>
    </row>
    <row r="213">
      <c r="O213" s="62" t="inlineStr">
        <is>
          <t>TWN</t>
        </is>
      </c>
      <c r="P213" s="62" t="inlineStr">
        <is>
          <t>Chinese Taipei</t>
        </is>
      </c>
    </row>
    <row r="214">
      <c r="O214" s="62" t="inlineStr">
        <is>
          <t>TZA</t>
        </is>
      </c>
      <c r="P214" s="62" t="inlineStr">
        <is>
          <t>United Republic of Tanzania</t>
        </is>
      </c>
    </row>
    <row r="215">
      <c r="O215" s="62" t="inlineStr">
        <is>
          <t>UGA</t>
        </is>
      </c>
      <c r="P215" s="62" t="inlineStr">
        <is>
          <t>Unknown</t>
        </is>
      </c>
    </row>
    <row r="216">
      <c r="O216" s="62" t="inlineStr">
        <is>
          <t>UNK</t>
        </is>
      </c>
      <c r="P216" s="62" t="inlineStr">
        <is>
          <t>Unknown</t>
        </is>
      </c>
    </row>
    <row r="217">
      <c r="O217" s="62" t="inlineStr">
        <is>
          <t>URY</t>
        </is>
      </c>
      <c r="P217" s="62" t="inlineStr">
        <is>
          <t>Uruguay</t>
        </is>
      </c>
    </row>
    <row r="218">
      <c r="O218" s="62" t="inlineStr">
        <is>
          <t>USA</t>
        </is>
      </c>
      <c r="P218" s="62" t="inlineStr">
        <is>
          <t>United States</t>
        </is>
      </c>
    </row>
    <row r="219">
      <c r="O219" s="62" t="inlineStr">
        <is>
          <t>USSR</t>
        </is>
      </c>
      <c r="P219" s="62" t="inlineStr">
        <is>
          <t>Former USSR</t>
        </is>
      </c>
    </row>
    <row r="220">
      <c r="O220" s="62" t="inlineStr">
        <is>
          <t>USSR-ARM</t>
        </is>
      </c>
      <c r="P220" s="62" t="inlineStr">
        <is>
          <t>Armenia</t>
        </is>
      </c>
    </row>
    <row r="221">
      <c r="O221" s="62" t="inlineStr">
        <is>
          <t>USSR-AZE</t>
        </is>
      </c>
      <c r="P221" s="62" t="inlineStr">
        <is>
          <t>Azerbaidjan</t>
        </is>
      </c>
    </row>
    <row r="222">
      <c r="O222" s="62" t="inlineStr">
        <is>
          <t>USSR-BLR</t>
        </is>
      </c>
      <c r="P222" s="62" t="inlineStr">
        <is>
          <t>Belarus</t>
        </is>
      </c>
    </row>
    <row r="223">
      <c r="O223" s="62" t="inlineStr">
        <is>
          <t>USSR-EST</t>
        </is>
      </c>
      <c r="P223" s="62" t="inlineStr">
        <is>
          <t>Estonia</t>
        </is>
      </c>
    </row>
    <row r="224">
      <c r="O224" s="62" t="inlineStr">
        <is>
          <t>USSR-GEO</t>
        </is>
      </c>
      <c r="P224" s="62" t="inlineStr">
        <is>
          <t>Georgia</t>
        </is>
      </c>
    </row>
    <row r="225">
      <c r="O225" s="62" t="inlineStr">
        <is>
          <t>USSR-KAZ</t>
        </is>
      </c>
      <c r="P225" s="62" t="inlineStr">
        <is>
          <t>Kazakhstan</t>
        </is>
      </c>
    </row>
    <row r="226">
      <c r="O226" s="62" t="inlineStr">
        <is>
          <t>USSR-KGZ</t>
        </is>
      </c>
      <c r="P226" s="62" t="inlineStr">
        <is>
          <t>Kirghizistan</t>
        </is>
      </c>
    </row>
    <row r="227">
      <c r="O227" s="62" t="inlineStr">
        <is>
          <t>USSR-LTU</t>
        </is>
      </c>
      <c r="P227" s="62" t="inlineStr">
        <is>
          <t>Lithuania</t>
        </is>
      </c>
    </row>
    <row r="228">
      <c r="O228" s="62" t="inlineStr">
        <is>
          <t>USSR-LVA</t>
        </is>
      </c>
      <c r="P228" s="62" t="inlineStr">
        <is>
          <t>Latvia</t>
        </is>
      </c>
    </row>
    <row r="229">
      <c r="O229" s="62" t="inlineStr">
        <is>
          <t>USSR-MDA</t>
        </is>
      </c>
      <c r="P229" s="62" t="inlineStr">
        <is>
          <t>Moldova</t>
        </is>
      </c>
    </row>
    <row r="230">
      <c r="O230" s="62" t="inlineStr">
        <is>
          <t>USSR-RUS</t>
        </is>
      </c>
      <c r="P230" s="62" t="inlineStr">
        <is>
          <t>Russia</t>
        </is>
      </c>
    </row>
    <row r="231">
      <c r="O231" s="62" t="inlineStr">
        <is>
          <t>USSR-TJK</t>
        </is>
      </c>
      <c r="P231" s="62" t="inlineStr">
        <is>
          <t>Tadjikistan</t>
        </is>
      </c>
    </row>
    <row r="232">
      <c r="O232" s="62" t="inlineStr">
        <is>
          <t>USSR-TKM</t>
        </is>
      </c>
      <c r="P232" s="62" t="inlineStr">
        <is>
          <t>Turkménistan</t>
        </is>
      </c>
    </row>
    <row r="233">
      <c r="O233" s="62" t="inlineStr">
        <is>
          <t>USSR-UKR</t>
        </is>
      </c>
      <c r="P233" s="62" t="inlineStr">
        <is>
          <t>Ukraine</t>
        </is>
      </c>
    </row>
    <row r="234">
      <c r="O234" s="62" t="inlineStr">
        <is>
          <t>USSR-UZB</t>
        </is>
      </c>
      <c r="P234" s="62" t="inlineStr">
        <is>
          <t>Uzbekistan</t>
        </is>
      </c>
    </row>
    <row r="235">
      <c r="O235" s="62" t="inlineStr">
        <is>
          <t>VAT</t>
        </is>
      </c>
      <c r="P235" s="62" t="inlineStr">
        <is>
          <t>Holy See</t>
        </is>
      </c>
    </row>
    <row r="236">
      <c r="O236" s="62" t="inlineStr">
        <is>
          <t>VCT</t>
        </is>
      </c>
      <c r="P236" s="62" t="inlineStr">
        <is>
          <t>Saint Vincent and the Grenadines</t>
        </is>
      </c>
    </row>
    <row r="237">
      <c r="O237" s="62" t="inlineStr">
        <is>
          <t>VEN</t>
        </is>
      </c>
      <c r="P237" s="62" t="inlineStr">
        <is>
          <t>Venezuela</t>
        </is>
      </c>
    </row>
    <row r="238">
      <c r="O238" s="62" t="inlineStr">
        <is>
          <t>VGB</t>
        </is>
      </c>
      <c r="P238" s="62" t="inlineStr">
        <is>
          <t>British Virgin Islands</t>
        </is>
      </c>
    </row>
    <row r="239">
      <c r="O239" s="62" t="inlineStr">
        <is>
          <t>VIR</t>
        </is>
      </c>
      <c r="P239" s="62" t="inlineStr">
        <is>
          <t>United States Virgin Islands</t>
        </is>
      </c>
    </row>
    <row r="240">
      <c r="O240" s="62" t="inlineStr">
        <is>
          <t>VNM</t>
        </is>
      </c>
      <c r="P240" s="62" t="inlineStr">
        <is>
          <t>Vietnam</t>
        </is>
      </c>
    </row>
    <row r="241">
      <c r="O241" s="62" t="inlineStr">
        <is>
          <t>VUT</t>
        </is>
      </c>
      <c r="P241" s="62" t="inlineStr">
        <is>
          <t>Vanuatu</t>
        </is>
      </c>
    </row>
    <row r="242">
      <c r="O242" s="62" t="inlineStr">
        <is>
          <t>WSM</t>
        </is>
      </c>
      <c r="P242" s="62" t="inlineStr">
        <is>
          <t>Samoa</t>
        </is>
      </c>
    </row>
    <row r="243">
      <c r="O243" s="62" t="inlineStr">
        <is>
          <t>YEM</t>
        </is>
      </c>
      <c r="P243" s="62" t="inlineStr">
        <is>
          <t>Yemen</t>
        </is>
      </c>
    </row>
    <row r="244">
      <c r="O244" s="62" t="inlineStr">
        <is>
          <t>ZAF</t>
        </is>
      </c>
      <c r="P244" s="62" t="inlineStr">
        <is>
          <t>South Africa</t>
        </is>
      </c>
    </row>
    <row r="245">
      <c r="O245" s="62" t="inlineStr">
        <is>
          <t>ZMB</t>
        </is>
      </c>
      <c r="P245" s="62" t="inlineStr">
        <is>
          <t>Zambia</t>
        </is>
      </c>
    </row>
    <row r="246">
      <c r="O246" s="62" t="inlineStr">
        <is>
          <t>ZWE</t>
        </is>
      </c>
      <c r="P246" s="62" t="inlineStr">
        <is>
          <t>Zimbabwe</t>
        </is>
      </c>
    </row>
  </sheetData>
  <autoFilter ref="O12:P12"/>
  <mergeCells count="26">
    <mergeCell ref="G17:J17"/>
    <mergeCell ref="B1:J2"/>
    <mergeCell ref="B3:J3"/>
    <mergeCell ref="B5:J5"/>
    <mergeCell ref="B7:J7"/>
    <mergeCell ref="B8:J8"/>
    <mergeCell ref="B10:J10"/>
    <mergeCell ref="B12:F12"/>
    <mergeCell ref="G12:J12"/>
    <mergeCell ref="G14:J14"/>
    <mergeCell ref="G15:J15"/>
    <mergeCell ref="G16:J16"/>
    <mergeCell ref="B27:F27"/>
    <mergeCell ref="G27:J27"/>
    <mergeCell ref="B31:J31"/>
    <mergeCell ref="G18:J18"/>
    <mergeCell ref="G19:J19"/>
    <mergeCell ref="G20:J20"/>
    <mergeCell ref="G21:J21"/>
    <mergeCell ref="G22:J22"/>
    <mergeCell ref="G23:J23"/>
    <mergeCell ref="B21:F21"/>
    <mergeCell ref="B23:F23"/>
    <mergeCell ref="G24:J24"/>
    <mergeCell ref="G25:J25"/>
    <mergeCell ref="G26:J26"/>
  </mergeCells>
  <hyperlinks>
    <hyperlink xmlns:r="http://schemas.openxmlformats.org/officeDocument/2006/relationships" ref="B8" r:id="rId1"/>
    <hyperlink xmlns:r="http://schemas.openxmlformats.org/officeDocument/2006/relationships" ref="B21" r:id="rId2"/>
    <hyperlink xmlns:r="http://schemas.openxmlformats.org/officeDocument/2006/relationships" ref="B23" r:id="rId3"/>
    <hyperlink xmlns:r="http://schemas.openxmlformats.org/officeDocument/2006/relationships" ref="B25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9">
    <tabColor theme="1" tint="0.499984740745262"/>
    <outlinePr summaryBelow="1" summaryRight="1"/>
    <pageSetUpPr/>
  </sheetPr>
  <dimension ref="A1:E116"/>
  <sheetViews>
    <sheetView topLeftCell="A86" zoomScale="120" zoomScaleNormal="120" workbookViewId="0">
      <selection activeCell="P27" sqref="P27"/>
    </sheetView>
  </sheetViews>
  <sheetFormatPr baseColWidth="8" defaultColWidth="9.1796875" defaultRowHeight="14.5"/>
  <cols>
    <col width="15.36328125" customWidth="1" style="86" min="1" max="2"/>
    <col width="9.1796875" customWidth="1" style="86" min="3" max="44"/>
    <col width="9.1796875" customWidth="1" style="86" min="45" max="16384"/>
  </cols>
  <sheetData>
    <row r="1" ht="20" customHeight="1" s="80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Unit</t>
        </is>
      </c>
    </row>
    <row r="2">
      <c r="A2" t="inlineStr">
        <is>
          <t>Albania</t>
        </is>
      </c>
      <c r="B2" t="n">
        <v>5.04</v>
      </c>
      <c r="C2" t="inlineStr">
        <is>
          <t>Jun-22</t>
        </is>
      </c>
      <c r="D2" t="n">
        <v>19.49</v>
      </c>
      <c r="E2" t="inlineStr">
        <is>
          <t>%</t>
        </is>
      </c>
    </row>
    <row r="3">
      <c r="A3" t="inlineStr">
        <is>
          <t>Algeria</t>
        </is>
      </c>
      <c r="B3" t="n">
        <v>2.1</v>
      </c>
      <c r="C3" t="inlineStr">
        <is>
          <t>Dec-21</t>
        </is>
      </c>
      <c r="D3" t="n">
        <v>4.4</v>
      </c>
      <c r="E3" t="inlineStr">
        <is>
          <t>%</t>
        </is>
      </c>
    </row>
    <row r="4">
      <c r="A4" t="inlineStr">
        <is>
          <t>Angola</t>
        </is>
      </c>
      <c r="B4" t="n">
        <v>6.06</v>
      </c>
      <c r="C4" t="inlineStr">
        <is>
          <t>Jun-22</t>
        </is>
      </c>
      <c r="D4" t="n">
        <v>2.54</v>
      </c>
      <c r="E4" t="inlineStr">
        <is>
          <t>%</t>
        </is>
      </c>
    </row>
    <row r="5">
      <c r="A5" t="inlineStr">
        <is>
          <t>Argentina</t>
        </is>
      </c>
      <c r="B5" t="n">
        <v>3.5</v>
      </c>
      <c r="C5" t="inlineStr">
        <is>
          <t>Oct-22</t>
        </is>
      </c>
      <c r="D5" t="n">
        <v>4.3</v>
      </c>
      <c r="E5" t="inlineStr">
        <is>
          <t>%</t>
        </is>
      </c>
    </row>
    <row r="6">
      <c r="A6" t="inlineStr">
        <is>
          <t>Armenia</t>
        </is>
      </c>
      <c r="B6" t="n">
        <v>9.699999999999999</v>
      </c>
      <c r="C6" t="inlineStr">
        <is>
          <t>Oct-22</t>
        </is>
      </c>
      <c r="D6" t="n">
        <v>14.8</v>
      </c>
      <c r="E6" t="inlineStr">
        <is>
          <t>%</t>
        </is>
      </c>
    </row>
    <row r="7">
      <c r="A7" t="inlineStr">
        <is>
          <t>Australia</t>
        </is>
      </c>
      <c r="B7" t="n">
        <v>0.49</v>
      </c>
      <c r="C7" t="inlineStr">
        <is>
          <t>Sep-22</t>
        </is>
      </c>
      <c r="D7" t="n">
        <v>0.4</v>
      </c>
      <c r="E7" t="inlineStr">
        <is>
          <t>%</t>
        </is>
      </c>
    </row>
    <row r="8">
      <c r="A8" t="inlineStr">
        <is>
          <t>Austria</t>
        </is>
      </c>
      <c r="B8" t="n">
        <v>3.9</v>
      </c>
      <c r="C8" t="inlineStr">
        <is>
          <t>Oct-22</t>
        </is>
      </c>
      <c r="D8" t="n">
        <v>5.9</v>
      </c>
      <c r="E8" t="inlineStr">
        <is>
          <t>%</t>
        </is>
      </c>
    </row>
    <row r="9">
      <c r="A9" t="inlineStr">
        <is>
          <t>Azerbaijan</t>
        </is>
      </c>
      <c r="B9" t="n">
        <v>-0.1</v>
      </c>
      <c r="C9" t="inlineStr">
        <is>
          <t>Aug-22</t>
        </is>
      </c>
      <c r="D9" t="n">
        <v>1.5</v>
      </c>
      <c r="E9" t="inlineStr">
        <is>
          <t>%</t>
        </is>
      </c>
    </row>
    <row r="10">
      <c r="A10" t="inlineStr">
        <is>
          <t>Belarus</t>
        </is>
      </c>
      <c r="B10" t="n">
        <v>-5.6</v>
      </c>
      <c r="C10" t="inlineStr">
        <is>
          <t>Nov-22</t>
        </is>
      </c>
      <c r="D10" t="n">
        <v>-5.9</v>
      </c>
      <c r="E10" t="inlineStr">
        <is>
          <t>%</t>
        </is>
      </c>
    </row>
    <row r="11">
      <c r="A11" t="inlineStr">
        <is>
          <t>Belgium</t>
        </is>
      </c>
      <c r="B11" t="n">
        <v>-2.8</v>
      </c>
      <c r="C11" t="inlineStr">
        <is>
          <t>Oct-22</t>
        </is>
      </c>
      <c r="D11" t="n">
        <v>1.3</v>
      </c>
      <c r="E11" t="inlineStr">
        <is>
          <t>%</t>
        </is>
      </c>
    </row>
    <row r="12">
      <c r="A12" t="inlineStr">
        <is>
          <t>Benin</t>
        </is>
      </c>
      <c r="B12" t="n">
        <v>16</v>
      </c>
      <c r="C12" t="inlineStr">
        <is>
          <t>Jun-22</t>
        </is>
      </c>
      <c r="D12" t="n">
        <v>20.5</v>
      </c>
      <c r="E12" t="inlineStr">
        <is>
          <t>%</t>
        </is>
      </c>
    </row>
    <row r="13">
      <c r="A13" t="inlineStr">
        <is>
          <t>Bosnia and Herzegovina</t>
        </is>
      </c>
      <c r="B13" t="n">
        <v>-3</v>
      </c>
      <c r="C13" t="inlineStr">
        <is>
          <t>Oct-22</t>
        </is>
      </c>
      <c r="D13" t="n">
        <v>-1</v>
      </c>
      <c r="E13" t="inlineStr">
        <is>
          <t>%</t>
        </is>
      </c>
    </row>
    <row r="14">
      <c r="A14" t="inlineStr">
        <is>
          <t>Botswana</t>
        </is>
      </c>
      <c r="B14" t="n">
        <v>1.9</v>
      </c>
      <c r="C14" t="inlineStr">
        <is>
          <t>Jun-22</t>
        </is>
      </c>
      <c r="D14" t="n">
        <v>19.9</v>
      </c>
      <c r="E14" t="inlineStr">
        <is>
          <t>%</t>
        </is>
      </c>
    </row>
    <row r="15">
      <c r="A15" t="inlineStr">
        <is>
          <t>Brazil</t>
        </is>
      </c>
      <c r="B15" t="n">
        <v>1.7</v>
      </c>
      <c r="C15" t="inlineStr">
        <is>
          <t>Oct-22</t>
        </is>
      </c>
      <c r="D15" t="n">
        <v>0.4</v>
      </c>
      <c r="E15" t="inlineStr">
        <is>
          <t>%</t>
        </is>
      </c>
    </row>
    <row r="16">
      <c r="A16" t="inlineStr">
        <is>
          <t>Bulgaria</t>
        </is>
      </c>
      <c r="B16" t="n">
        <v>5.7</v>
      </c>
      <c r="C16" t="inlineStr">
        <is>
          <t>Oct-22</t>
        </is>
      </c>
      <c r="D16" t="n">
        <v>10.7</v>
      </c>
      <c r="E16" t="inlineStr">
        <is>
          <t>%</t>
        </is>
      </c>
    </row>
    <row r="17">
      <c r="A17" t="inlineStr">
        <is>
          <t>Burkina Faso</t>
        </is>
      </c>
      <c r="B17" t="n">
        <v>-6.6</v>
      </c>
      <c r="C17" t="inlineStr">
        <is>
          <t>Jun-22</t>
        </is>
      </c>
      <c r="D17" t="n">
        <v>0.1</v>
      </c>
      <c r="E17" t="inlineStr">
        <is>
          <t>%</t>
        </is>
      </c>
    </row>
    <row r="18">
      <c r="A18" t="inlineStr">
        <is>
          <t>Burundi</t>
        </is>
      </c>
      <c r="B18" t="n">
        <v>15.7</v>
      </c>
      <c r="C18" t="inlineStr">
        <is>
          <t>Jun-22</t>
        </is>
      </c>
      <c r="D18" t="n">
        <v>17.4</v>
      </c>
      <c r="E18" t="inlineStr">
        <is>
          <t>%</t>
        </is>
      </c>
    </row>
    <row r="19">
      <c r="A19" t="inlineStr">
        <is>
          <t>Cameroon</t>
        </is>
      </c>
      <c r="B19" t="n">
        <v>16.3</v>
      </c>
      <c r="C19" t="inlineStr">
        <is>
          <t>Jun-22</t>
        </is>
      </c>
      <c r="D19" t="n">
        <v>15.2</v>
      </c>
      <c r="E19" t="inlineStr">
        <is>
          <t>%</t>
        </is>
      </c>
    </row>
    <row r="20">
      <c r="A20" t="inlineStr">
        <is>
          <t>Canada</t>
        </is>
      </c>
      <c r="B20" t="n">
        <v>3.8</v>
      </c>
      <c r="C20" t="inlineStr">
        <is>
          <t>Sep-22</t>
        </is>
      </c>
      <c r="D20" t="n">
        <v>3.8</v>
      </c>
      <c r="E20" t="inlineStr">
        <is>
          <t>%</t>
        </is>
      </c>
    </row>
    <row r="21">
      <c r="A21" t="inlineStr">
        <is>
          <t>Chad</t>
        </is>
      </c>
      <c r="B21" t="n">
        <v>-12.9</v>
      </c>
      <c r="C21" t="inlineStr">
        <is>
          <t>Jun-22</t>
        </is>
      </c>
      <c r="D21" t="n">
        <v>11.7</v>
      </c>
      <c r="E21" t="inlineStr">
        <is>
          <t>%</t>
        </is>
      </c>
    </row>
    <row r="22">
      <c r="A22" t="inlineStr">
        <is>
          <t>Chile</t>
        </is>
      </c>
      <c r="B22" t="n">
        <v>-4.2</v>
      </c>
      <c r="C22" t="inlineStr">
        <is>
          <t>Oct-22</t>
        </is>
      </c>
      <c r="D22" t="n">
        <v>-1.5</v>
      </c>
      <c r="E22" t="inlineStr">
        <is>
          <t>%</t>
        </is>
      </c>
    </row>
    <row r="23">
      <c r="A23" t="inlineStr">
        <is>
          <t>China</t>
        </is>
      </c>
      <c r="B23" t="n">
        <v>2.2</v>
      </c>
      <c r="C23" t="inlineStr">
        <is>
          <t>Nov-22</t>
        </is>
      </c>
      <c r="D23" t="n">
        <v>5</v>
      </c>
      <c r="E23" t="inlineStr">
        <is>
          <t>%</t>
        </is>
      </c>
    </row>
    <row r="24">
      <c r="A24" t="inlineStr">
        <is>
          <t>Colombia</t>
        </is>
      </c>
      <c r="B24" t="n">
        <v>5.3</v>
      </c>
      <c r="C24" t="inlineStr">
        <is>
          <t>Oct-22</t>
        </is>
      </c>
      <c r="D24" t="n">
        <v>6.9</v>
      </c>
      <c r="E24" t="inlineStr">
        <is>
          <t>%</t>
        </is>
      </c>
    </row>
    <row r="25">
      <c r="A25" t="inlineStr">
        <is>
          <t>Congo</t>
        </is>
      </c>
      <c r="B25" t="n">
        <v>-1.3</v>
      </c>
      <c r="C25" t="inlineStr">
        <is>
          <t>Dec-20</t>
        </is>
      </c>
      <c r="D25" t="n">
        <v>6.8</v>
      </c>
      <c r="E25" t="inlineStr">
        <is>
          <t>%</t>
        </is>
      </c>
    </row>
    <row r="26">
      <c r="A26" t="inlineStr">
        <is>
          <t>Costa Rica</t>
        </is>
      </c>
      <c r="B26" t="n">
        <v>2.2</v>
      </c>
      <c r="C26" t="inlineStr">
        <is>
          <t>Oct-22</t>
        </is>
      </c>
      <c r="D26" t="n">
        <v>2.5</v>
      </c>
      <c r="E26" t="inlineStr">
        <is>
          <t>%</t>
        </is>
      </c>
    </row>
    <row r="27">
      <c r="A27" t="inlineStr">
        <is>
          <t>Croatia</t>
        </is>
      </c>
      <c r="B27" t="n">
        <v>-0.3</v>
      </c>
      <c r="C27" t="inlineStr">
        <is>
          <t>Oct-22</t>
        </is>
      </c>
      <c r="D27" t="n">
        <v>2.2</v>
      </c>
      <c r="E27" t="inlineStr">
        <is>
          <t>%</t>
        </is>
      </c>
    </row>
    <row r="28">
      <c r="A28" t="inlineStr">
        <is>
          <t>Cuba</t>
        </is>
      </c>
      <c r="B28" t="n">
        <v>1.9</v>
      </c>
      <c r="C28" t="inlineStr">
        <is>
          <t>Dec-21</t>
        </is>
      </c>
      <c r="D28" t="n">
        <v>-12.7</v>
      </c>
      <c r="E28" t="inlineStr">
        <is>
          <t>%</t>
        </is>
      </c>
    </row>
    <row r="29">
      <c r="A29" t="inlineStr">
        <is>
          <t>Cyprus</t>
        </is>
      </c>
      <c r="B29" t="n">
        <v>1.06</v>
      </c>
      <c r="C29" t="inlineStr">
        <is>
          <t>Sep-22</t>
        </is>
      </c>
      <c r="D29" t="n">
        <v>-1.9</v>
      </c>
      <c r="E29" t="inlineStr">
        <is>
          <t>%</t>
        </is>
      </c>
    </row>
    <row r="30">
      <c r="A30" t="inlineStr">
        <is>
          <t>Czech Republic</t>
        </is>
      </c>
      <c r="B30" t="n">
        <v>3.1</v>
      </c>
      <c r="C30" t="inlineStr">
        <is>
          <t>Oct-22</t>
        </is>
      </c>
      <c r="D30" t="n">
        <v>8.300000000000001</v>
      </c>
      <c r="E30" t="inlineStr">
        <is>
          <t>%</t>
        </is>
      </c>
    </row>
    <row r="31">
      <c r="A31" t="inlineStr">
        <is>
          <t>Denmark</t>
        </is>
      </c>
      <c r="B31" t="n">
        <v>11.1</v>
      </c>
      <c r="C31" t="inlineStr">
        <is>
          <t>Oct-22</t>
        </is>
      </c>
      <c r="D31" t="n">
        <v>19.6</v>
      </c>
      <c r="E31" t="inlineStr">
        <is>
          <t>%</t>
        </is>
      </c>
    </row>
    <row r="32">
      <c r="A32" t="inlineStr">
        <is>
          <t>El Salvador</t>
        </is>
      </c>
      <c r="B32" t="n">
        <v>-0.24</v>
      </c>
      <c r="C32" t="inlineStr">
        <is>
          <t>Mar-22</t>
        </is>
      </c>
      <c r="D32" t="n">
        <v>2.12</v>
      </c>
      <c r="E32" t="inlineStr">
        <is>
          <t>%</t>
        </is>
      </c>
    </row>
    <row r="33">
      <c r="A33" t="inlineStr">
        <is>
          <t>Estonia</t>
        </is>
      </c>
      <c r="B33" t="n">
        <v>-5.8</v>
      </c>
      <c r="C33" t="inlineStr">
        <is>
          <t>Oct-22</t>
        </is>
      </c>
      <c r="D33" t="n">
        <v>-7.8</v>
      </c>
      <c r="E33" t="inlineStr">
        <is>
          <t>%</t>
        </is>
      </c>
    </row>
    <row r="34">
      <c r="A34" t="inlineStr">
        <is>
          <t>Euro Area</t>
        </is>
      </c>
      <c r="B34" t="n">
        <v>3.4</v>
      </c>
      <c r="C34" t="inlineStr">
        <is>
          <t>Oct-22</t>
        </is>
      </c>
      <c r="D34" t="n">
        <v>5.1</v>
      </c>
      <c r="E34" t="inlineStr">
        <is>
          <t>%</t>
        </is>
      </c>
    </row>
    <row r="35">
      <c r="A35" t="inlineStr">
        <is>
          <t>European Union</t>
        </is>
      </c>
      <c r="B35" t="n">
        <v>3.7</v>
      </c>
      <c r="C35" t="inlineStr">
        <is>
          <t>Oct-22</t>
        </is>
      </c>
      <c r="D35" t="n">
        <v>5.8</v>
      </c>
      <c r="E35" t="inlineStr">
        <is>
          <t>%</t>
        </is>
      </c>
    </row>
    <row r="36">
      <c r="A36" t="inlineStr">
        <is>
          <t>Fiji</t>
        </is>
      </c>
      <c r="B36" t="n">
        <v>8.6</v>
      </c>
      <c r="C36" t="inlineStr">
        <is>
          <t>Jun-22</t>
        </is>
      </c>
      <c r="D36" t="n">
        <v>2.9</v>
      </c>
      <c r="E36" t="inlineStr">
        <is>
          <t>%</t>
        </is>
      </c>
    </row>
    <row r="37">
      <c r="A37" t="inlineStr">
        <is>
          <t>Finland</t>
        </is>
      </c>
      <c r="B37" t="n">
        <v>-0.6</v>
      </c>
      <c r="C37" t="inlineStr">
        <is>
          <t>Oct-22</t>
        </is>
      </c>
      <c r="D37" t="n">
        <v>4</v>
      </c>
      <c r="E37" t="inlineStr">
        <is>
          <t>%</t>
        </is>
      </c>
    </row>
    <row r="38">
      <c r="A38" t="inlineStr">
        <is>
          <t>France</t>
        </is>
      </c>
      <c r="B38" t="n">
        <v>-2.74</v>
      </c>
      <c r="C38" t="inlineStr">
        <is>
          <t>Oct-22</t>
        </is>
      </c>
      <c r="D38" t="n">
        <v>1.56</v>
      </c>
      <c r="E38" t="inlineStr">
        <is>
          <t>%</t>
        </is>
      </c>
    </row>
    <row r="39">
      <c r="A39" t="inlineStr">
        <is>
          <t>Georgia</t>
        </is>
      </c>
      <c r="B39" t="n">
        <v>17.6</v>
      </c>
      <c r="C39" t="inlineStr">
        <is>
          <t>Sep-22</t>
        </is>
      </c>
      <c r="D39" t="n">
        <v>23.1</v>
      </c>
      <c r="E39" t="inlineStr">
        <is>
          <t>%</t>
        </is>
      </c>
    </row>
    <row r="40">
      <c r="A40" t="inlineStr">
        <is>
          <t>Germany</t>
        </is>
      </c>
      <c r="B40" t="n">
        <v>0</v>
      </c>
      <c r="C40" t="inlineStr">
        <is>
          <t>Oct-22</t>
        </is>
      </c>
      <c r="D40" t="n">
        <v>2.6</v>
      </c>
      <c r="E40" t="inlineStr">
        <is>
          <t>%</t>
        </is>
      </c>
    </row>
    <row r="41">
      <c r="A41" t="inlineStr">
        <is>
          <t>Greece</t>
        </is>
      </c>
      <c r="B41" t="n">
        <v>-2.5</v>
      </c>
      <c r="C41" t="inlineStr">
        <is>
          <t>Oct-22</t>
        </is>
      </c>
      <c r="D41" t="n">
        <v>-1.2</v>
      </c>
      <c r="E41" t="inlineStr">
        <is>
          <t>%</t>
        </is>
      </c>
    </row>
    <row r="42">
      <c r="A42" t="inlineStr">
        <is>
          <t>Guinea Bissau</t>
        </is>
      </c>
      <c r="B42" t="n">
        <v>5</v>
      </c>
      <c r="C42" t="inlineStr">
        <is>
          <t>Jun-22</t>
        </is>
      </c>
      <c r="D42" t="n">
        <v>6.9</v>
      </c>
      <c r="E42" t="inlineStr">
        <is>
          <t>%</t>
        </is>
      </c>
    </row>
    <row r="43">
      <c r="A43" t="inlineStr">
        <is>
          <t>Hong Kong</t>
        </is>
      </c>
      <c r="B43" t="n">
        <v>-0.6</v>
      </c>
      <c r="C43" t="inlineStr">
        <is>
          <t>Sep-22</t>
        </is>
      </c>
      <c r="D43" t="n">
        <v>2.7</v>
      </c>
      <c r="E43" t="inlineStr">
        <is>
          <t>%</t>
        </is>
      </c>
    </row>
    <row r="44">
      <c r="A44" t="inlineStr">
        <is>
          <t>Hungary</t>
        </is>
      </c>
      <c r="B44" t="n">
        <v>5.9</v>
      </c>
      <c r="C44" t="inlineStr">
        <is>
          <t>Oct-22</t>
        </is>
      </c>
      <c r="D44" t="n">
        <v>11.3</v>
      </c>
      <c r="E44" t="inlineStr">
        <is>
          <t>%</t>
        </is>
      </c>
    </row>
    <row r="45">
      <c r="A45" t="inlineStr">
        <is>
          <t>India</t>
        </is>
      </c>
      <c r="B45" t="n">
        <v>-4</v>
      </c>
      <c r="C45" t="inlineStr">
        <is>
          <t>Oct-22</t>
        </is>
      </c>
      <c r="D45" t="n">
        <v>3.5</v>
      </c>
      <c r="E45" t="inlineStr">
        <is>
          <t>%</t>
        </is>
      </c>
    </row>
    <row r="46">
      <c r="A46" t="inlineStr">
        <is>
          <t>Indonesia</t>
        </is>
      </c>
      <c r="B46" t="n">
        <v>3.16</v>
      </c>
      <c r="C46" t="inlineStr">
        <is>
          <t>Sep-22</t>
        </is>
      </c>
      <c r="D46" t="n">
        <v>0.04</v>
      </c>
      <c r="E46" t="inlineStr">
        <is>
          <t>%</t>
        </is>
      </c>
    </row>
    <row r="47">
      <c r="A47" t="inlineStr">
        <is>
          <t>Iran</t>
        </is>
      </c>
      <c r="B47" t="n">
        <v>6.4</v>
      </c>
      <c r="C47" t="inlineStr">
        <is>
          <t>Dec-21</t>
        </is>
      </c>
      <c r="D47" t="n">
        <v>-1.4</v>
      </c>
      <c r="E47" t="inlineStr">
        <is>
          <t>%</t>
        </is>
      </c>
    </row>
    <row r="48">
      <c r="A48" t="inlineStr">
        <is>
          <t>Iraq</t>
        </is>
      </c>
      <c r="B48" t="n">
        <v>-22.5</v>
      </c>
      <c r="C48" t="inlineStr">
        <is>
          <t>Mar-20</t>
        </is>
      </c>
      <c r="D48" t="n">
        <v>0.9</v>
      </c>
      <c r="E48" t="inlineStr">
        <is>
          <t>%</t>
        </is>
      </c>
    </row>
    <row r="49">
      <c r="A49" t="inlineStr">
        <is>
          <t>Ireland</t>
        </is>
      </c>
      <c r="B49" t="n">
        <v>55.7</v>
      </c>
      <c r="C49" t="inlineStr">
        <is>
          <t>Oct-22</t>
        </is>
      </c>
      <c r="D49" t="n">
        <v>26.3</v>
      </c>
      <c r="E49" t="inlineStr">
        <is>
          <t>%</t>
        </is>
      </c>
    </row>
    <row r="50">
      <c r="A50" t="inlineStr">
        <is>
          <t>Israel</t>
        </is>
      </c>
      <c r="B50" t="n">
        <v>37.3</v>
      </c>
      <c r="C50" t="inlineStr">
        <is>
          <t>Sep-22</t>
        </is>
      </c>
      <c r="D50" t="n">
        <v>17.76</v>
      </c>
      <c r="E50" t="inlineStr">
        <is>
          <t>%</t>
        </is>
      </c>
    </row>
    <row r="51">
      <c r="A51" t="inlineStr">
        <is>
          <t>Italy</t>
        </is>
      </c>
      <c r="B51" t="n">
        <v>-1.6</v>
      </c>
      <c r="C51" t="inlineStr">
        <is>
          <t>Oct-22</t>
        </is>
      </c>
      <c r="D51" t="n">
        <v>-0.5</v>
      </c>
      <c r="E51" t="inlineStr">
        <is>
          <t>%</t>
        </is>
      </c>
    </row>
    <row r="52">
      <c r="A52" t="inlineStr">
        <is>
          <t>Ivory Coast</t>
        </is>
      </c>
      <c r="B52" t="n">
        <v>-0.7</v>
      </c>
      <c r="C52" t="inlineStr">
        <is>
          <t>Dec-20</t>
        </is>
      </c>
      <c r="D52" t="n">
        <v>-14.3</v>
      </c>
      <c r="E52" t="inlineStr">
        <is>
          <t>%</t>
        </is>
      </c>
    </row>
    <row r="53">
      <c r="A53" t="inlineStr">
        <is>
          <t>Japan</t>
        </is>
      </c>
      <c r="B53" t="n">
        <v>3.02</v>
      </c>
      <c r="C53" t="inlineStr">
        <is>
          <t>Oct-22</t>
        </is>
      </c>
      <c r="D53" t="n">
        <v>9.57</v>
      </c>
      <c r="E53" t="inlineStr">
        <is>
          <t>%</t>
        </is>
      </c>
    </row>
    <row r="54">
      <c r="A54" t="inlineStr">
        <is>
          <t>Jordan</t>
        </is>
      </c>
      <c r="B54" t="n">
        <v>5.08</v>
      </c>
      <c r="C54" t="inlineStr">
        <is>
          <t>Oct-22</t>
        </is>
      </c>
      <c r="D54" t="n">
        <v>2.6</v>
      </c>
      <c r="E54" t="inlineStr">
        <is>
          <t>%</t>
        </is>
      </c>
    </row>
    <row r="55">
      <c r="A55" t="inlineStr">
        <is>
          <t>Kazakhstan</t>
        </is>
      </c>
      <c r="B55" t="n">
        <v>1.1</v>
      </c>
      <c r="C55" t="inlineStr">
        <is>
          <t>Nov-22</t>
        </is>
      </c>
      <c r="D55" t="n">
        <v>-5.3</v>
      </c>
      <c r="E55" t="inlineStr">
        <is>
          <t>%</t>
        </is>
      </c>
    </row>
    <row r="56">
      <c r="A56" t="inlineStr">
        <is>
          <t>Kosovo</t>
        </is>
      </c>
      <c r="B56" t="n">
        <v>0.12</v>
      </c>
      <c r="C56" t="inlineStr">
        <is>
          <t>Aug-22</t>
        </is>
      </c>
      <c r="D56" t="n">
        <v>0.02</v>
      </c>
      <c r="E56" t="inlineStr">
        <is>
          <t>%</t>
        </is>
      </c>
    </row>
    <row r="57">
      <c r="A57" t="inlineStr">
        <is>
          <t>Kyrgyzstan</t>
        </is>
      </c>
      <c r="B57" t="n">
        <v>11.4</v>
      </c>
      <c r="C57" t="inlineStr">
        <is>
          <t>Nov-22</t>
        </is>
      </c>
      <c r="D57" t="n">
        <v>-0.5</v>
      </c>
      <c r="E57" t="inlineStr">
        <is>
          <t>%</t>
        </is>
      </c>
    </row>
    <row r="58">
      <c r="A58" t="inlineStr">
        <is>
          <t>Latvia</t>
        </is>
      </c>
      <c r="B58" t="n">
        <v>-2.7</v>
      </c>
      <c r="C58" t="inlineStr">
        <is>
          <t>Oct-22</t>
        </is>
      </c>
      <c r="D58" t="n">
        <v>-3.8</v>
      </c>
      <c r="E58" t="inlineStr">
        <is>
          <t>%</t>
        </is>
      </c>
    </row>
    <row r="59">
      <c r="A59" t="inlineStr">
        <is>
          <t>Lithuania</t>
        </is>
      </c>
      <c r="B59" t="n">
        <v>1</v>
      </c>
      <c r="C59" t="inlineStr">
        <is>
          <t>Oct-22</t>
        </is>
      </c>
      <c r="D59" t="n">
        <v>3.6</v>
      </c>
      <c r="E59" t="inlineStr">
        <is>
          <t>%</t>
        </is>
      </c>
    </row>
    <row r="60">
      <c r="A60" t="inlineStr">
        <is>
          <t>Luxembourg</t>
        </is>
      </c>
      <c r="B60" t="n">
        <v>1.75</v>
      </c>
      <c r="C60" t="inlineStr">
        <is>
          <t>Sep-22</t>
        </is>
      </c>
      <c r="D60" t="n">
        <v>-1.8</v>
      </c>
      <c r="E60" t="inlineStr">
        <is>
          <t>%</t>
        </is>
      </c>
    </row>
    <row r="61">
      <c r="A61" t="inlineStr">
        <is>
          <t>Macau</t>
        </is>
      </c>
      <c r="B61" t="n">
        <v>-5.2</v>
      </c>
      <c r="C61" t="inlineStr">
        <is>
          <t>Sep-22</t>
        </is>
      </c>
      <c r="D61" t="n">
        <v>50.1</v>
      </c>
      <c r="E61" t="inlineStr">
        <is>
          <t>%</t>
        </is>
      </c>
    </row>
    <row r="62">
      <c r="A62" t="inlineStr">
        <is>
          <t>Macedonia</t>
        </is>
      </c>
      <c r="B62" t="n">
        <v>-5.3</v>
      </c>
      <c r="C62" t="inlineStr">
        <is>
          <t>Oct-22</t>
        </is>
      </c>
      <c r="D62" t="n">
        <v>-0.5</v>
      </c>
      <c r="E62" t="inlineStr">
        <is>
          <t>%</t>
        </is>
      </c>
    </row>
    <row r="63">
      <c r="A63" t="inlineStr">
        <is>
          <t>Malaysia</t>
        </is>
      </c>
      <c r="B63" t="n">
        <v>4.6</v>
      </c>
      <c r="C63" t="inlineStr">
        <is>
          <t>Oct-22</t>
        </is>
      </c>
      <c r="D63" t="n">
        <v>10.8</v>
      </c>
      <c r="E63" t="inlineStr">
        <is>
          <t>%</t>
        </is>
      </c>
    </row>
    <row r="64">
      <c r="A64" t="inlineStr">
        <is>
          <t>Mali</t>
        </is>
      </c>
      <c r="B64" t="n">
        <v>-0.89</v>
      </c>
      <c r="C64" t="inlineStr">
        <is>
          <t>Jun-22</t>
        </is>
      </c>
      <c r="D64" t="n">
        <v>-1</v>
      </c>
      <c r="E64" t="inlineStr">
        <is>
          <t>%</t>
        </is>
      </c>
    </row>
    <row r="65">
      <c r="A65" t="inlineStr">
        <is>
          <t>Malta</t>
        </is>
      </c>
      <c r="B65" t="n">
        <v>7.2</v>
      </c>
      <c r="C65" t="inlineStr">
        <is>
          <t>Oct-22</t>
        </is>
      </c>
      <c r="D65" t="n">
        <v>13.2</v>
      </c>
      <c r="E65" t="inlineStr">
        <is>
          <t>%</t>
        </is>
      </c>
    </row>
    <row r="66">
      <c r="A66" t="inlineStr">
        <is>
          <t>Mauritania</t>
        </is>
      </c>
      <c r="B66" t="n">
        <v>35.9</v>
      </c>
      <c r="C66" t="inlineStr">
        <is>
          <t>Jun-22</t>
        </is>
      </c>
      <c r="D66" t="n">
        <v>16.5</v>
      </c>
      <c r="E66" t="inlineStr">
        <is>
          <t>%</t>
        </is>
      </c>
    </row>
    <row r="67">
      <c r="A67" t="inlineStr">
        <is>
          <t>Mauritius</t>
        </is>
      </c>
      <c r="B67" t="n">
        <v>7.6</v>
      </c>
      <c r="C67" t="inlineStr">
        <is>
          <t>Jun-22</t>
        </is>
      </c>
      <c r="D67" t="n">
        <v>7.8</v>
      </c>
      <c r="E67" t="inlineStr">
        <is>
          <t>%</t>
        </is>
      </c>
    </row>
    <row r="68">
      <c r="A68" t="inlineStr">
        <is>
          <t>Mexico</t>
        </is>
      </c>
      <c r="B68" t="n">
        <v>3.1</v>
      </c>
      <c r="C68" t="inlineStr">
        <is>
          <t>Oct-22</t>
        </is>
      </c>
      <c r="D68" t="n">
        <v>3.8</v>
      </c>
      <c r="E68" t="inlineStr">
        <is>
          <t>%</t>
        </is>
      </c>
    </row>
    <row r="69">
      <c r="A69" t="inlineStr">
        <is>
          <t>Moldova</t>
        </is>
      </c>
      <c r="B69" t="n">
        <v>-13.4</v>
      </c>
      <c r="C69" t="inlineStr">
        <is>
          <t>Sep-22</t>
        </is>
      </c>
      <c r="D69" t="n">
        <v>4.1</v>
      </c>
      <c r="E69" t="inlineStr">
        <is>
          <t>%</t>
        </is>
      </c>
    </row>
    <row r="70">
      <c r="A70" t="inlineStr">
        <is>
          <t>Mongolia</t>
        </is>
      </c>
      <c r="B70" t="n">
        <v>25.2</v>
      </c>
      <c r="C70" t="inlineStr">
        <is>
          <t>Nov-22</t>
        </is>
      </c>
      <c r="D70" t="n">
        <v>14</v>
      </c>
      <c r="E70" t="inlineStr">
        <is>
          <t>%</t>
        </is>
      </c>
    </row>
    <row r="71">
      <c r="A71" t="inlineStr">
        <is>
          <t>Montenegro</t>
        </is>
      </c>
      <c r="B71" t="n">
        <v>-13.8</v>
      </c>
      <c r="C71" t="inlineStr">
        <is>
          <t>Oct-22</t>
        </is>
      </c>
      <c r="D71" t="n">
        <v>-12.5</v>
      </c>
      <c r="E71" t="inlineStr">
        <is>
          <t>%</t>
        </is>
      </c>
    </row>
    <row r="72">
      <c r="A72" t="inlineStr">
        <is>
          <t>Morocco</t>
        </is>
      </c>
      <c r="B72" t="n">
        <v>3.1</v>
      </c>
      <c r="C72" t="inlineStr">
        <is>
          <t>Sep-22</t>
        </is>
      </c>
      <c r="D72" t="n">
        <v>1.8</v>
      </c>
      <c r="E72" t="inlineStr">
        <is>
          <t>%</t>
        </is>
      </c>
    </row>
    <row r="73">
      <c r="A73" t="inlineStr">
        <is>
          <t>Mozambique</t>
        </is>
      </c>
      <c r="B73" t="n">
        <v>0.3</v>
      </c>
      <c r="C73" t="inlineStr">
        <is>
          <t>Jun-22</t>
        </is>
      </c>
      <c r="D73" t="n">
        <v>1.5</v>
      </c>
      <c r="E73" t="inlineStr">
        <is>
          <t>%</t>
        </is>
      </c>
    </row>
    <row r="74">
      <c r="A74" t="inlineStr">
        <is>
          <t>Netherlands</t>
        </is>
      </c>
      <c r="B74" t="n">
        <v>2.8</v>
      </c>
      <c r="C74" t="inlineStr">
        <is>
          <t>Sep-22</t>
        </is>
      </c>
      <c r="D74" t="n">
        <v>1.3</v>
      </c>
      <c r="E74" t="inlineStr">
        <is>
          <t>%</t>
        </is>
      </c>
    </row>
    <row r="75">
      <c r="A75" t="inlineStr">
        <is>
          <t>New Zealand</t>
        </is>
      </c>
      <c r="B75" t="n">
        <v>16.1</v>
      </c>
      <c r="C75" t="inlineStr">
        <is>
          <t>Jun-21</t>
        </is>
      </c>
      <c r="D75" t="n">
        <v>0.5</v>
      </c>
      <c r="E75" t="inlineStr">
        <is>
          <t>%</t>
        </is>
      </c>
    </row>
    <row r="76">
      <c r="A76" t="inlineStr">
        <is>
          <t>Niger</t>
        </is>
      </c>
      <c r="B76" t="n">
        <v>17.6</v>
      </c>
      <c r="C76" t="inlineStr">
        <is>
          <t>Mar-20</t>
        </is>
      </c>
      <c r="D76" t="n">
        <v>5.8</v>
      </c>
      <c r="E76" t="inlineStr">
        <is>
          <t>%</t>
        </is>
      </c>
    </row>
    <row r="77">
      <c r="A77" t="inlineStr">
        <is>
          <t>Nigeria</t>
        </is>
      </c>
      <c r="B77" t="n">
        <v>-7.2</v>
      </c>
      <c r="C77" t="inlineStr">
        <is>
          <t>Jun-22</t>
        </is>
      </c>
      <c r="D77" t="n">
        <v>-9.699999999999999</v>
      </c>
      <c r="E77" t="inlineStr">
        <is>
          <t>%</t>
        </is>
      </c>
    </row>
    <row r="78">
      <c r="A78" t="inlineStr">
        <is>
          <t>Norway</t>
        </is>
      </c>
      <c r="B78" t="n">
        <v>3.5</v>
      </c>
      <c r="C78" t="inlineStr">
        <is>
          <t>Oct-22</t>
        </is>
      </c>
      <c r="D78" t="n">
        <v>0.9</v>
      </c>
      <c r="E78" t="inlineStr">
        <is>
          <t>%</t>
        </is>
      </c>
    </row>
    <row r="79">
      <c r="A79" t="inlineStr">
        <is>
          <t>Pakistan</t>
        </is>
      </c>
      <c r="B79" t="n">
        <v>1.16</v>
      </c>
      <c r="C79" t="inlineStr">
        <is>
          <t>Sep-22</t>
        </is>
      </c>
      <c r="D79" t="n">
        <v>1.69</v>
      </c>
      <c r="E79" t="inlineStr">
        <is>
          <t>%</t>
        </is>
      </c>
    </row>
    <row r="80">
      <c r="A80" t="inlineStr">
        <is>
          <t>Palestine</t>
        </is>
      </c>
      <c r="B80" t="n">
        <v>14.13</v>
      </c>
      <c r="C80" t="inlineStr">
        <is>
          <t>Dec-21</t>
        </is>
      </c>
      <c r="D80" t="n">
        <v>-7.95</v>
      </c>
      <c r="E80" t="inlineStr">
        <is>
          <t>%</t>
        </is>
      </c>
    </row>
    <row r="81">
      <c r="A81" t="inlineStr">
        <is>
          <t>Panama</t>
        </is>
      </c>
      <c r="B81" t="n">
        <v>5.92</v>
      </c>
      <c r="C81" t="inlineStr">
        <is>
          <t>Sep-22</t>
        </is>
      </c>
      <c r="D81" t="n">
        <v>4.07</v>
      </c>
      <c r="E81" t="inlineStr">
        <is>
          <t>%</t>
        </is>
      </c>
    </row>
    <row r="82">
      <c r="A82" t="inlineStr">
        <is>
          <t>Peru</t>
        </is>
      </c>
      <c r="B82" t="n">
        <v>-0.34</v>
      </c>
      <c r="C82" t="inlineStr">
        <is>
          <t>Oct-22</t>
        </is>
      </c>
      <c r="D82" t="n">
        <v>-0.2</v>
      </c>
      <c r="E82" t="inlineStr">
        <is>
          <t>%</t>
        </is>
      </c>
    </row>
    <row r="83">
      <c r="A83" t="inlineStr">
        <is>
          <t>Philippines</t>
        </is>
      </c>
      <c r="B83" t="n">
        <v>12.7</v>
      </c>
      <c r="C83" t="inlineStr">
        <is>
          <t>Oct-22</t>
        </is>
      </c>
      <c r="D83" t="n">
        <v>12</v>
      </c>
      <c r="E83" t="inlineStr">
        <is>
          <t>%</t>
        </is>
      </c>
    </row>
    <row r="84">
      <c r="A84" t="inlineStr">
        <is>
          <t>Poland</t>
        </is>
      </c>
      <c r="B84" t="n">
        <v>6.8</v>
      </c>
      <c r="C84" t="inlineStr">
        <is>
          <t>Oct-22</t>
        </is>
      </c>
      <c r="D84" t="n">
        <v>9.800000000000001</v>
      </c>
      <c r="E84" t="inlineStr">
        <is>
          <t>%</t>
        </is>
      </c>
    </row>
    <row r="85">
      <c r="A85" t="inlineStr">
        <is>
          <t>Portugal</t>
        </is>
      </c>
      <c r="B85" t="n">
        <v>-2</v>
      </c>
      <c r="C85" t="inlineStr">
        <is>
          <t>Oct-22</t>
        </is>
      </c>
      <c r="D85" t="n">
        <v>0.3</v>
      </c>
      <c r="E85" t="inlineStr">
        <is>
          <t>%</t>
        </is>
      </c>
    </row>
    <row r="86">
      <c r="A86" t="inlineStr">
        <is>
          <t>Qatar</t>
        </is>
      </c>
      <c r="B86" t="n">
        <v>7.3</v>
      </c>
      <c r="C86" t="inlineStr">
        <is>
          <t>Aug-22</t>
        </is>
      </c>
      <c r="D86" t="n">
        <v>7.84</v>
      </c>
      <c r="E86" t="inlineStr">
        <is>
          <t>%</t>
        </is>
      </c>
    </row>
    <row r="87">
      <c r="A87" t="inlineStr">
        <is>
          <t>Romania</t>
        </is>
      </c>
      <c r="B87" t="n">
        <v>0.7</v>
      </c>
      <c r="C87" t="inlineStr">
        <is>
          <t>Oct-22</t>
        </is>
      </c>
      <c r="D87" t="n">
        <v>1.6</v>
      </c>
      <c r="E87" t="inlineStr">
        <is>
          <t>%</t>
        </is>
      </c>
    </row>
    <row r="88">
      <c r="A88" t="inlineStr">
        <is>
          <t>Russia</t>
        </is>
      </c>
      <c r="B88" t="n">
        <v>-2.6</v>
      </c>
      <c r="C88" t="inlineStr">
        <is>
          <t>Oct-22</t>
        </is>
      </c>
      <c r="D88" t="n">
        <v>-3.1</v>
      </c>
      <c r="E88" t="inlineStr">
        <is>
          <t>%</t>
        </is>
      </c>
    </row>
    <row r="89">
      <c r="A89" t="inlineStr">
        <is>
          <t>Rwanda</t>
        </is>
      </c>
      <c r="B89" t="n">
        <v>9.4</v>
      </c>
      <c r="C89" t="inlineStr">
        <is>
          <t>Oct-22</t>
        </is>
      </c>
      <c r="D89" t="n">
        <v>6.4</v>
      </c>
      <c r="E89" t="inlineStr">
        <is>
          <t>%</t>
        </is>
      </c>
    </row>
    <row r="90">
      <c r="A90" t="inlineStr">
        <is>
          <t>Saudi Arabia</t>
        </is>
      </c>
      <c r="B90" t="n">
        <v>14.1</v>
      </c>
      <c r="C90" t="inlineStr">
        <is>
          <t>Oct-22</t>
        </is>
      </c>
      <c r="D90" t="n">
        <v>15.7</v>
      </c>
      <c r="E90" t="inlineStr">
        <is>
          <t>%</t>
        </is>
      </c>
    </row>
    <row r="91">
      <c r="A91" t="inlineStr">
        <is>
          <t>Senegal</t>
        </is>
      </c>
      <c r="B91" t="n">
        <v>0.9</v>
      </c>
      <c r="C91" t="inlineStr">
        <is>
          <t>Oct-22</t>
        </is>
      </c>
      <c r="D91" t="n">
        <v>1.1</v>
      </c>
      <c r="E91" t="inlineStr">
        <is>
          <t>%</t>
        </is>
      </c>
    </row>
    <row r="92">
      <c r="A92" t="inlineStr">
        <is>
          <t>Serbia</t>
        </is>
      </c>
      <c r="B92" t="n">
        <v>-0.1</v>
      </c>
      <c r="C92" t="inlineStr">
        <is>
          <t>Oct-22</t>
        </is>
      </c>
      <c r="D92" t="n">
        <v>-0.3</v>
      </c>
      <c r="E92" t="inlineStr">
        <is>
          <t>%</t>
        </is>
      </c>
    </row>
    <row r="93">
      <c r="A93" t="inlineStr">
        <is>
          <t>Seychelles</t>
        </is>
      </c>
      <c r="B93" t="n">
        <v>26.4</v>
      </c>
      <c r="C93" t="inlineStr">
        <is>
          <t>Oct-22</t>
        </is>
      </c>
      <c r="D93" t="n">
        <v>22.9</v>
      </c>
      <c r="E93" t="inlineStr">
        <is>
          <t>%</t>
        </is>
      </c>
    </row>
    <row r="94">
      <c r="A94" t="inlineStr">
        <is>
          <t>Singapore</t>
        </is>
      </c>
      <c r="B94" t="n">
        <v>-0.8</v>
      </c>
      <c r="C94" t="inlineStr">
        <is>
          <t>Oct-22</t>
        </is>
      </c>
      <c r="D94" t="n">
        <v>1.6</v>
      </c>
      <c r="E94" t="inlineStr">
        <is>
          <t>%</t>
        </is>
      </c>
    </row>
    <row r="95">
      <c r="A95" t="inlineStr">
        <is>
          <t>Slovakia</t>
        </is>
      </c>
      <c r="B95" t="n">
        <v>-2.6</v>
      </c>
      <c r="C95" t="inlineStr">
        <is>
          <t>Oct-22</t>
        </is>
      </c>
      <c r="D95" t="n">
        <v>-1.9</v>
      </c>
      <c r="E95" t="inlineStr">
        <is>
          <t>%</t>
        </is>
      </c>
    </row>
    <row r="96">
      <c r="A96" t="inlineStr">
        <is>
          <t>Slovenia</t>
        </is>
      </c>
      <c r="B96" t="n">
        <v>0.1</v>
      </c>
      <c r="C96" t="inlineStr">
        <is>
          <t>Oct-22</t>
        </is>
      </c>
      <c r="D96" t="n">
        <v>1.1</v>
      </c>
      <c r="E96" t="inlineStr">
        <is>
          <t>%</t>
        </is>
      </c>
    </row>
    <row r="97">
      <c r="A97" t="inlineStr">
        <is>
          <t>South Africa</t>
        </is>
      </c>
      <c r="B97" t="n">
        <v>1</v>
      </c>
      <c r="C97" t="inlineStr">
        <is>
          <t>Oct-22</t>
        </is>
      </c>
      <c r="D97" t="n">
        <v>2.9</v>
      </c>
      <c r="E97" t="inlineStr">
        <is>
          <t>%</t>
        </is>
      </c>
    </row>
    <row r="98">
      <c r="A98" t="inlineStr">
        <is>
          <t>South Korea</t>
        </is>
      </c>
      <c r="B98" t="n">
        <v>-1.1</v>
      </c>
      <c r="C98" t="inlineStr">
        <is>
          <t>Oct-22</t>
        </is>
      </c>
      <c r="D98" t="n">
        <v>0.7</v>
      </c>
      <c r="E98" t="inlineStr">
        <is>
          <t>%</t>
        </is>
      </c>
    </row>
    <row r="99">
      <c r="A99" t="inlineStr">
        <is>
          <t>Spain</t>
        </is>
      </c>
      <c r="B99" t="n">
        <v>2.5</v>
      </c>
      <c r="C99" t="inlineStr">
        <is>
          <t>Oct-22</t>
        </is>
      </c>
      <c r="D99" t="n">
        <v>3.6</v>
      </c>
      <c r="E99" t="inlineStr">
        <is>
          <t>%</t>
        </is>
      </c>
    </row>
    <row r="100">
      <c r="A100" t="inlineStr">
        <is>
          <t>Sri Lanka</t>
        </is>
      </c>
      <c r="B100" t="n">
        <v>-21.81</v>
      </c>
      <c r="C100" t="inlineStr">
        <is>
          <t>Oct-22</t>
        </is>
      </c>
      <c r="D100" t="n">
        <v>-9.119999999999999</v>
      </c>
      <c r="E100" t="inlineStr">
        <is>
          <t>%</t>
        </is>
      </c>
    </row>
    <row r="101">
      <c r="A101" t="inlineStr">
        <is>
          <t>Sweden</t>
        </is>
      </c>
      <c r="B101" t="n">
        <v>3.1</v>
      </c>
      <c r="C101" t="inlineStr">
        <is>
          <t>Oct-22</t>
        </is>
      </c>
      <c r="D101" t="n">
        <v>4.3</v>
      </c>
      <c r="E101" t="inlineStr">
        <is>
          <t>%</t>
        </is>
      </c>
    </row>
    <row r="102">
      <c r="A102" t="inlineStr">
        <is>
          <t>Switzerland</t>
        </is>
      </c>
      <c r="B102" t="n">
        <v>5.2</v>
      </c>
      <c r="C102" t="inlineStr">
        <is>
          <t>Sep-22</t>
        </is>
      </c>
      <c r="D102" t="n">
        <v>5</v>
      </c>
      <c r="E102" t="inlineStr">
        <is>
          <t>%</t>
        </is>
      </c>
    </row>
    <row r="103">
      <c r="A103" t="inlineStr">
        <is>
          <t>Taiwan</t>
        </is>
      </c>
      <c r="B103" t="n">
        <v>-3.56</v>
      </c>
      <c r="C103" t="inlineStr">
        <is>
          <t>Oct-22</t>
        </is>
      </c>
      <c r="D103" t="n">
        <v>-4.49</v>
      </c>
      <c r="E103" t="inlineStr">
        <is>
          <t>%</t>
        </is>
      </c>
    </row>
    <row r="104">
      <c r="A104" t="inlineStr">
        <is>
          <t>Tajikistan</t>
        </is>
      </c>
      <c r="B104" t="n">
        <v>18</v>
      </c>
      <c r="C104" t="inlineStr">
        <is>
          <t>Sep-22</t>
        </is>
      </c>
      <c r="D104" t="n">
        <v>17.4</v>
      </c>
      <c r="E104" t="inlineStr">
        <is>
          <t>%</t>
        </is>
      </c>
    </row>
    <row r="105">
      <c r="A105" t="inlineStr">
        <is>
          <t>Thailand</t>
        </is>
      </c>
      <c r="B105" t="n">
        <v>-3.71</v>
      </c>
      <c r="C105" t="inlineStr">
        <is>
          <t>Oct-22</t>
        </is>
      </c>
      <c r="D105" t="n">
        <v>3.34</v>
      </c>
      <c r="E105" t="inlineStr">
        <is>
          <t>%</t>
        </is>
      </c>
    </row>
    <row r="106">
      <c r="A106" t="inlineStr">
        <is>
          <t>Togo</t>
        </is>
      </c>
      <c r="B106" t="n">
        <v>1.1</v>
      </c>
      <c r="C106" t="inlineStr">
        <is>
          <t>Jun-22</t>
        </is>
      </c>
      <c r="D106" t="n">
        <v>1.12</v>
      </c>
      <c r="E106" t="inlineStr">
        <is>
          <t>%</t>
        </is>
      </c>
    </row>
    <row r="107">
      <c r="A107" t="inlineStr">
        <is>
          <t>Trinidad And Tobago</t>
        </is>
      </c>
      <c r="B107" t="n">
        <v>33.7</v>
      </c>
      <c r="C107" t="inlineStr">
        <is>
          <t>Dec-21</t>
        </is>
      </c>
      <c r="D107" t="n">
        <v>40.6</v>
      </c>
      <c r="E107" t="inlineStr">
        <is>
          <t>%</t>
        </is>
      </c>
    </row>
    <row r="108">
      <c r="A108" t="inlineStr">
        <is>
          <t>Tunisia</t>
        </is>
      </c>
      <c r="B108" t="n">
        <v>4.1</v>
      </c>
      <c r="C108" t="inlineStr">
        <is>
          <t>Sep-22</t>
        </is>
      </c>
      <c r="D108" t="n">
        <v>0.7</v>
      </c>
      <c r="E108" t="inlineStr">
        <is>
          <t>%</t>
        </is>
      </c>
    </row>
    <row r="109">
      <c r="A109" t="inlineStr">
        <is>
          <t>Turkey</t>
        </is>
      </c>
      <c r="B109" t="n">
        <v>2.5</v>
      </c>
      <c r="C109" t="inlineStr">
        <is>
          <t>Oct-22</t>
        </is>
      </c>
      <c r="D109" t="n">
        <v>0.4</v>
      </c>
      <c r="E109" t="inlineStr">
        <is>
          <t>%</t>
        </is>
      </c>
    </row>
    <row r="110">
      <c r="A110" t="inlineStr">
        <is>
          <t>Ukraine</t>
        </is>
      </c>
      <c r="B110" t="n">
        <v>2.9</v>
      </c>
      <c r="C110" t="inlineStr">
        <is>
          <t>Jan-22</t>
        </is>
      </c>
      <c r="D110" t="n">
        <v>-0.3</v>
      </c>
      <c r="E110" t="inlineStr">
        <is>
          <t>%</t>
        </is>
      </c>
    </row>
    <row r="111">
      <c r="A111" t="inlineStr">
        <is>
          <t>United Kingdom</t>
        </is>
      </c>
      <c r="B111" t="n">
        <v>-2.4</v>
      </c>
      <c r="C111" t="inlineStr">
        <is>
          <t>Oct-22</t>
        </is>
      </c>
      <c r="D111" t="n">
        <v>-3.1</v>
      </c>
      <c r="E111" t="inlineStr">
        <is>
          <t>%</t>
        </is>
      </c>
    </row>
    <row r="112">
      <c r="A112" t="inlineStr">
        <is>
          <t>United States</t>
        </is>
      </c>
      <c r="B112" t="n">
        <v>2.51</v>
      </c>
      <c r="C112" t="inlineStr">
        <is>
          <t>Nov-22</t>
        </is>
      </c>
      <c r="D112" t="n">
        <v>3.34</v>
      </c>
      <c r="E112" t="inlineStr">
        <is>
          <t>%</t>
        </is>
      </c>
    </row>
    <row r="113">
      <c r="A113" t="inlineStr">
        <is>
          <t>Uruguay</t>
        </is>
      </c>
      <c r="B113" t="n">
        <v>-4.2</v>
      </c>
      <c r="C113" t="inlineStr">
        <is>
          <t>Oct-22</t>
        </is>
      </c>
      <c r="D113" t="n">
        <v>2.7</v>
      </c>
      <c r="E113" t="inlineStr">
        <is>
          <t>%</t>
        </is>
      </c>
    </row>
    <row r="114">
      <c r="A114" t="inlineStr">
        <is>
          <t>Uzbekistan</t>
        </is>
      </c>
      <c r="B114" t="n">
        <v>5.3</v>
      </c>
      <c r="C114" t="inlineStr">
        <is>
          <t>Sep-22</t>
        </is>
      </c>
      <c r="D114" t="n">
        <v>5.1</v>
      </c>
      <c r="E114" t="inlineStr">
        <is>
          <t>%</t>
        </is>
      </c>
    </row>
    <row r="115">
      <c r="A115" t="inlineStr">
        <is>
          <t>Venezuela</t>
        </is>
      </c>
      <c r="B115" t="n">
        <v>-20.6</v>
      </c>
      <c r="C115" t="inlineStr">
        <is>
          <t>Jan-19</t>
        </is>
      </c>
      <c r="D115" t="n">
        <v>-47.04</v>
      </c>
      <c r="E115" t="inlineStr">
        <is>
          <t>%</t>
        </is>
      </c>
    </row>
    <row r="116">
      <c r="A116" t="inlineStr">
        <is>
          <t>Vietnam</t>
        </is>
      </c>
      <c r="B116" t="n">
        <v>5.3</v>
      </c>
      <c r="C116" t="inlineStr">
        <is>
          <t>Nov-22</t>
        </is>
      </c>
      <c r="D116" t="n">
        <v>5.5</v>
      </c>
      <c r="E116" t="inlineStr">
        <is>
          <t>%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4">
    <tabColor theme="1" tint="0.499984740745262"/>
    <outlinePr summaryBelow="1" summaryRight="1"/>
    <pageSetUpPr/>
  </sheetPr>
  <dimension ref="A1:AU1250"/>
  <sheetViews>
    <sheetView workbookViewId="0">
      <pane xSplit="1" ySplit="1" topLeftCell="B1222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H30" sqref="H30:H31"/>
    </sheetView>
  </sheetViews>
  <sheetFormatPr baseColWidth="8" defaultColWidth="9.1796875" defaultRowHeight="14.5"/>
  <cols>
    <col width="11.1796875" customWidth="1" style="86" min="1" max="1"/>
    <col width="9.1796875" customWidth="1" style="20" min="2" max="4"/>
    <col width="10.6328125" bestFit="1" customWidth="1" style="20" min="5" max="5"/>
    <col width="10.6328125" customWidth="1" style="20" min="6" max="6"/>
    <col width="9.1796875" customWidth="1" style="20" min="7" max="45"/>
    <col width="9.1796875" customWidth="1" style="86" min="46" max="89"/>
    <col width="9.1796875" customWidth="1" style="86" min="90" max="16384"/>
  </cols>
  <sheetData>
    <row r="1">
      <c r="A1" t="inlineStr">
        <is>
          <t>DATE</t>
        </is>
      </c>
      <c r="B1" t="inlineStr">
        <is>
          <t>AUT</t>
        </is>
      </c>
      <c r="C1" t="inlineStr">
        <is>
          <t>BEL</t>
        </is>
      </c>
      <c r="D1" t="inlineStr">
        <is>
          <t>BRA</t>
        </is>
      </c>
      <c r="E1" t="inlineStr">
        <is>
          <t>CAN</t>
        </is>
      </c>
      <c r="F1" t="inlineStr">
        <is>
          <t>CHE</t>
        </is>
      </c>
      <c r="G1" t="inlineStr">
        <is>
          <t>CHI</t>
        </is>
      </c>
      <c r="H1" t="inlineStr">
        <is>
          <t>CHL</t>
        </is>
      </c>
      <c r="I1" t="inlineStr">
        <is>
          <t>CODE</t>
        </is>
      </c>
      <c r="J1" t="inlineStr">
        <is>
          <t>CZE</t>
        </is>
      </c>
      <c r="K1" t="inlineStr">
        <is>
          <t>DEU</t>
        </is>
      </c>
      <c r="L1" t="inlineStr">
        <is>
          <t>DNK</t>
        </is>
      </c>
      <c r="M1" t="inlineStr">
        <is>
          <t>EA19</t>
        </is>
      </c>
      <c r="N1" t="inlineStr">
        <is>
          <t>ESP</t>
        </is>
      </c>
      <c r="O1" t="inlineStr">
        <is>
          <t>EST</t>
        </is>
      </c>
      <c r="P1" t="inlineStr">
        <is>
          <t>EU27_2020</t>
        </is>
      </c>
      <c r="Q1" t="inlineStr">
        <is>
          <t>FIN</t>
        </is>
      </c>
      <c r="R1" t="inlineStr">
        <is>
          <t>FRA</t>
        </is>
      </c>
      <c r="S1" t="inlineStr">
        <is>
          <t>G-7</t>
        </is>
      </c>
      <c r="T1" t="inlineStr">
        <is>
          <t>GBR</t>
        </is>
      </c>
      <c r="U1" t="inlineStr">
        <is>
          <t>GDP</t>
        </is>
      </c>
      <c r="V1" t="inlineStr">
        <is>
          <t>GRC</t>
        </is>
      </c>
      <c r="W1" t="inlineStr">
        <is>
          <t>HUN</t>
        </is>
      </c>
      <c r="X1" t="inlineStr">
        <is>
          <t>IND</t>
        </is>
      </c>
      <c r="Y1" t="inlineStr">
        <is>
          <t>INVESTMENT_PERCENTAGE</t>
        </is>
      </c>
      <c r="Z1" t="inlineStr">
        <is>
          <t>IRL</t>
        </is>
      </c>
      <c r="AA1" t="inlineStr">
        <is>
          <t>ISL</t>
        </is>
      </c>
      <c r="AB1" t="inlineStr">
        <is>
          <t>ISR</t>
        </is>
      </c>
      <c r="AC1" t="inlineStr">
        <is>
          <t>ITA</t>
        </is>
      </c>
      <c r="AD1" t="inlineStr">
        <is>
          <t>JPN</t>
        </is>
      </c>
      <c r="AE1" t="inlineStr">
        <is>
          <t>KOR</t>
        </is>
      </c>
      <c r="AF1" t="inlineStr">
        <is>
          <t>LUX</t>
        </is>
      </c>
      <c r="AG1" t="inlineStr">
        <is>
          <t>LVA</t>
        </is>
      </c>
      <c r="AH1" t="inlineStr">
        <is>
          <t>MEX</t>
        </is>
      </c>
      <c r="AI1" t="inlineStr">
        <is>
          <t>NLD</t>
        </is>
      </c>
      <c r="AJ1" t="inlineStr">
        <is>
          <t>NOR</t>
        </is>
      </c>
      <c r="AK1" t="inlineStr">
        <is>
          <t>NZL</t>
        </is>
      </c>
      <c r="AL1" t="inlineStr">
        <is>
          <t>OECD</t>
        </is>
      </c>
      <c r="AM1" t="inlineStr">
        <is>
          <t>POL</t>
        </is>
      </c>
      <c r="AN1" t="inlineStr">
        <is>
          <t>PRT</t>
        </is>
      </c>
      <c r="AO1" t="inlineStr">
        <is>
          <t>RUS</t>
        </is>
      </c>
      <c r="AP1" t="inlineStr">
        <is>
          <t>SVK</t>
        </is>
      </c>
      <c r="AQ1" t="inlineStr">
        <is>
          <t>SVN</t>
        </is>
      </c>
      <c r="AR1" t="inlineStr">
        <is>
          <t>SWE</t>
        </is>
      </c>
      <c r="AS1" t="inlineStr">
        <is>
          <t>TUR</t>
        </is>
      </c>
      <c r="AT1" t="inlineStr">
        <is>
          <t>USA</t>
        </is>
      </c>
      <c r="AU1" t="inlineStr">
        <is>
          <t>ZAF</t>
        </is>
      </c>
    </row>
    <row r="2">
      <c r="A2" s="106" t="n">
        <v>6941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  <c r="AF2" t="n">
        <v/>
      </c>
      <c r="AG2" t="n">
        <v/>
      </c>
      <c r="AH2" t="n">
        <v/>
      </c>
      <c r="AI2" t="n">
        <v/>
      </c>
      <c r="AJ2" t="n">
        <v/>
      </c>
      <c r="AK2" t="n">
        <v/>
      </c>
      <c r="AL2" t="n">
        <v/>
      </c>
      <c r="AM2" t="n">
        <v/>
      </c>
      <c r="AN2" t="n">
        <v/>
      </c>
      <c r="AO2" t="n">
        <v/>
      </c>
      <c r="AP2" t="n">
        <v/>
      </c>
      <c r="AQ2" t="n">
        <v/>
      </c>
      <c r="AR2" t="n">
        <v/>
      </c>
      <c r="AS2" t="n">
        <v/>
      </c>
      <c r="AT2" t="n">
        <v>4.836255506</v>
      </c>
      <c r="AU2" t="n">
        <v/>
      </c>
    </row>
    <row r="3">
      <c r="A3" s="106" t="n">
        <v>6972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  <c r="AF3" t="n">
        <v/>
      </c>
      <c r="AG3" t="n">
        <v/>
      </c>
      <c r="AH3" t="n">
        <v/>
      </c>
      <c r="AI3" t="n">
        <v/>
      </c>
      <c r="AJ3" t="n">
        <v/>
      </c>
      <c r="AK3" t="n">
        <v/>
      </c>
      <c r="AL3" t="n">
        <v/>
      </c>
      <c r="AM3" t="n">
        <v/>
      </c>
      <c r="AN3" t="n">
        <v/>
      </c>
      <c r="AO3" t="n">
        <v/>
      </c>
      <c r="AP3" t="n">
        <v/>
      </c>
      <c r="AQ3" t="n">
        <v/>
      </c>
      <c r="AR3" t="n">
        <v/>
      </c>
      <c r="AS3" t="n">
        <v/>
      </c>
      <c r="AT3" t="n">
        <v>4.622469869</v>
      </c>
      <c r="AU3" t="n">
        <v/>
      </c>
    </row>
    <row r="4">
      <c r="A4" s="106" t="n">
        <v>7000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  <c r="AF4" t="n">
        <v/>
      </c>
      <c r="AG4" t="n">
        <v/>
      </c>
      <c r="AH4" t="n">
        <v/>
      </c>
      <c r="AI4" t="n">
        <v/>
      </c>
      <c r="AJ4" t="n">
        <v/>
      </c>
      <c r="AK4" t="n">
        <v/>
      </c>
      <c r="AL4" t="n">
        <v/>
      </c>
      <c r="AM4" t="n">
        <v/>
      </c>
      <c r="AN4" t="n">
        <v/>
      </c>
      <c r="AO4" t="n">
        <v/>
      </c>
      <c r="AP4" t="n">
        <v/>
      </c>
      <c r="AQ4" t="n">
        <v/>
      </c>
      <c r="AR4" t="n">
        <v/>
      </c>
      <c r="AS4" t="n">
        <v/>
      </c>
      <c r="AT4" t="n">
        <v>4.488903425</v>
      </c>
      <c r="AU4" t="n">
        <v/>
      </c>
    </row>
    <row r="5">
      <c r="A5" s="106" t="n">
        <v>7031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  <c r="AF5" t="n">
        <v/>
      </c>
      <c r="AG5" t="n">
        <v/>
      </c>
      <c r="AH5" t="n">
        <v/>
      </c>
      <c r="AI5" t="n">
        <v/>
      </c>
      <c r="AJ5" t="n">
        <v/>
      </c>
      <c r="AK5" t="n">
        <v/>
      </c>
      <c r="AL5" t="n">
        <v/>
      </c>
      <c r="AM5" t="n">
        <v/>
      </c>
      <c r="AN5" t="n">
        <v/>
      </c>
      <c r="AO5" t="n">
        <v/>
      </c>
      <c r="AP5" t="n">
        <v/>
      </c>
      <c r="AQ5" t="n">
        <v/>
      </c>
      <c r="AR5" t="n">
        <v/>
      </c>
      <c r="AS5" t="n">
        <v/>
      </c>
      <c r="AT5" t="n">
        <v>4.569023459</v>
      </c>
      <c r="AU5" t="n">
        <v/>
      </c>
    </row>
    <row r="6">
      <c r="A6" s="106" t="n">
        <v>7061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/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  <c r="AF6" t="n">
        <v/>
      </c>
      <c r="AG6" t="n">
        <v/>
      </c>
      <c r="AH6" t="n">
        <v/>
      </c>
      <c r="AI6" t="n">
        <v/>
      </c>
      <c r="AJ6" t="n">
        <v/>
      </c>
      <c r="AK6" t="n">
        <v/>
      </c>
      <c r="AL6" t="n">
        <v/>
      </c>
      <c r="AM6" t="n">
        <v/>
      </c>
      <c r="AN6" t="n">
        <v/>
      </c>
      <c r="AO6" t="n">
        <v/>
      </c>
      <c r="AP6" t="n">
        <v/>
      </c>
      <c r="AQ6" t="n">
        <v/>
      </c>
      <c r="AR6" t="n">
        <v/>
      </c>
      <c r="AS6" t="n">
        <v/>
      </c>
      <c r="AT6" t="n">
        <v>4.595796243</v>
      </c>
      <c r="AU6" t="n">
        <v/>
      </c>
    </row>
    <row r="7">
      <c r="A7" s="106" t="n">
        <v>7092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/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  <c r="AF7" t="n">
        <v/>
      </c>
      <c r="AG7" t="n">
        <v/>
      </c>
      <c r="AH7" t="n">
        <v/>
      </c>
      <c r="AI7" t="n">
        <v/>
      </c>
      <c r="AJ7" t="n">
        <v/>
      </c>
      <c r="AK7" t="n">
        <v/>
      </c>
      <c r="AL7" t="n">
        <v/>
      </c>
      <c r="AM7" t="n">
        <v/>
      </c>
      <c r="AN7" t="n">
        <v/>
      </c>
      <c r="AO7" t="n">
        <v/>
      </c>
      <c r="AP7" t="n">
        <v/>
      </c>
      <c r="AQ7" t="n">
        <v/>
      </c>
      <c r="AR7" t="n">
        <v/>
      </c>
      <c r="AS7" t="n">
        <v/>
      </c>
      <c r="AT7" t="n">
        <v>4.889701915</v>
      </c>
      <c r="AU7" t="n">
        <v/>
      </c>
    </row>
    <row r="8">
      <c r="A8" s="106" t="n">
        <v>7122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/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  <c r="AF8" t="n">
        <v/>
      </c>
      <c r="AG8" t="n">
        <v/>
      </c>
      <c r="AH8" t="n">
        <v/>
      </c>
      <c r="AI8" t="n">
        <v/>
      </c>
      <c r="AJ8" t="n">
        <v/>
      </c>
      <c r="AK8" t="n">
        <v/>
      </c>
      <c r="AL8" t="n">
        <v/>
      </c>
      <c r="AM8" t="n">
        <v/>
      </c>
      <c r="AN8" t="n">
        <v/>
      </c>
      <c r="AO8" t="n">
        <v/>
      </c>
      <c r="AP8" t="n">
        <v/>
      </c>
      <c r="AQ8" t="n">
        <v/>
      </c>
      <c r="AR8" t="n">
        <v/>
      </c>
      <c r="AS8" t="n">
        <v/>
      </c>
      <c r="AT8" t="n">
        <v>5.183607586</v>
      </c>
      <c r="AU8" t="n">
        <v/>
      </c>
    </row>
    <row r="9">
      <c r="A9" s="106" t="n">
        <v>7153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/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  <c r="AF9" t="n">
        <v/>
      </c>
      <c r="AG9" t="n">
        <v/>
      </c>
      <c r="AH9" t="n">
        <v/>
      </c>
      <c r="AI9" t="n">
        <v/>
      </c>
      <c r="AJ9" t="n">
        <v/>
      </c>
      <c r="AK9" t="n">
        <v/>
      </c>
      <c r="AL9" t="n">
        <v/>
      </c>
      <c r="AM9" t="n">
        <v/>
      </c>
      <c r="AN9" t="n">
        <v/>
      </c>
      <c r="AO9" t="n">
        <v/>
      </c>
      <c r="AP9" t="n">
        <v/>
      </c>
      <c r="AQ9" t="n">
        <v/>
      </c>
      <c r="AR9" t="n">
        <v/>
      </c>
      <c r="AS9" t="n">
        <v/>
      </c>
      <c r="AT9" t="n">
        <v>5.263727621</v>
      </c>
      <c r="AU9" t="n">
        <v/>
      </c>
    </row>
    <row r="10">
      <c r="A10" s="106" t="n">
        <v>7184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/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  <c r="AF10" t="n">
        <v/>
      </c>
      <c r="AG10" t="n">
        <v/>
      </c>
      <c r="AH10" t="n">
        <v/>
      </c>
      <c r="AI10" t="n">
        <v/>
      </c>
      <c r="AJ10" t="n">
        <v/>
      </c>
      <c r="AK10" t="n">
        <v/>
      </c>
      <c r="AL10" t="n">
        <v/>
      </c>
      <c r="AM10" t="n">
        <v/>
      </c>
      <c r="AN10" t="n">
        <v/>
      </c>
      <c r="AO10" t="n">
        <v/>
      </c>
      <c r="AP10" t="n">
        <v/>
      </c>
      <c r="AQ10" t="n">
        <v/>
      </c>
      <c r="AR10" t="n">
        <v/>
      </c>
      <c r="AS10" t="n">
        <v/>
      </c>
      <c r="AT10" t="n">
        <v>5.156834803</v>
      </c>
      <c r="AU10" t="n">
        <v/>
      </c>
    </row>
    <row r="11">
      <c r="A11" s="106" t="n">
        <v>7214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/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  <c r="AF11" t="n">
        <v/>
      </c>
      <c r="AG11" t="n">
        <v/>
      </c>
      <c r="AH11" t="n">
        <v/>
      </c>
      <c r="AI11" t="n">
        <v/>
      </c>
      <c r="AJ11" t="n">
        <v/>
      </c>
      <c r="AK11" t="n">
        <v/>
      </c>
      <c r="AL11" t="n">
        <v/>
      </c>
      <c r="AM11" t="n">
        <v/>
      </c>
      <c r="AN11" t="n">
        <v/>
      </c>
      <c r="AO11" t="n">
        <v/>
      </c>
      <c r="AP11" t="n">
        <v/>
      </c>
      <c r="AQ11" t="n">
        <v/>
      </c>
      <c r="AR11" t="n">
        <v/>
      </c>
      <c r="AS11" t="n">
        <v/>
      </c>
      <c r="AT11" t="n">
        <v>5.103388393</v>
      </c>
      <c r="AU11" t="n">
        <v/>
      </c>
    </row>
    <row r="12">
      <c r="A12" s="106" t="n">
        <v>7245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/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  <c r="AF12" t="n">
        <v/>
      </c>
      <c r="AG12" t="n">
        <v/>
      </c>
      <c r="AH12" t="n">
        <v/>
      </c>
      <c r="AI12" t="n">
        <v/>
      </c>
      <c r="AJ12" t="n">
        <v/>
      </c>
      <c r="AK12" t="n">
        <v/>
      </c>
      <c r="AL12" t="n">
        <v/>
      </c>
      <c r="AM12" t="n">
        <v/>
      </c>
      <c r="AN12" t="n">
        <v/>
      </c>
      <c r="AO12" t="n">
        <v/>
      </c>
      <c r="AP12" t="n">
        <v/>
      </c>
      <c r="AQ12" t="n">
        <v/>
      </c>
      <c r="AR12" t="n">
        <v/>
      </c>
      <c r="AS12" t="n">
        <v/>
      </c>
      <c r="AT12" t="n">
        <v>5.023268359</v>
      </c>
      <c r="AU12" t="n">
        <v/>
      </c>
    </row>
    <row r="13">
      <c r="A13" s="106" t="n">
        <v>7275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/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  <c r="AF13" t="n">
        <v/>
      </c>
      <c r="AG13" t="n">
        <v/>
      </c>
      <c r="AH13" t="n">
        <v/>
      </c>
      <c r="AI13" t="n">
        <v/>
      </c>
      <c r="AJ13" t="n">
        <v/>
      </c>
      <c r="AK13" t="n">
        <v/>
      </c>
      <c r="AL13" t="n">
        <v/>
      </c>
      <c r="AM13" t="n">
        <v/>
      </c>
      <c r="AN13" t="n">
        <v/>
      </c>
      <c r="AO13" t="n">
        <v/>
      </c>
      <c r="AP13" t="n">
        <v/>
      </c>
      <c r="AQ13" t="n">
        <v/>
      </c>
      <c r="AR13" t="n">
        <v/>
      </c>
      <c r="AS13" t="n">
        <v/>
      </c>
      <c r="AT13" t="n">
        <v>5.103388393</v>
      </c>
      <c r="AU13" t="n">
        <v/>
      </c>
    </row>
    <row r="14">
      <c r="A14" s="106" t="n">
        <v>7306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/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  <c r="AF14" t="n">
        <v/>
      </c>
      <c r="AG14" t="n">
        <v/>
      </c>
      <c r="AH14" t="n">
        <v/>
      </c>
      <c r="AI14" t="n">
        <v/>
      </c>
      <c r="AJ14" t="n">
        <v/>
      </c>
      <c r="AK14" t="n">
        <v/>
      </c>
      <c r="AL14" t="n">
        <v/>
      </c>
      <c r="AM14" t="n">
        <v/>
      </c>
      <c r="AN14" t="n">
        <v/>
      </c>
      <c r="AO14" t="n">
        <v/>
      </c>
      <c r="AP14" t="n">
        <v/>
      </c>
      <c r="AQ14" t="n">
        <v/>
      </c>
      <c r="AR14" t="n">
        <v/>
      </c>
      <c r="AS14" t="n">
        <v/>
      </c>
      <c r="AT14" t="n">
        <v>5.584406076</v>
      </c>
      <c r="AU14" t="n">
        <v/>
      </c>
    </row>
    <row r="15">
      <c r="A15" s="106" t="n">
        <v>7337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/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  <c r="AF15" t="n">
        <v/>
      </c>
      <c r="AG15" t="n">
        <v/>
      </c>
      <c r="AH15" t="n">
        <v/>
      </c>
      <c r="AI15" t="n">
        <v/>
      </c>
      <c r="AJ15" t="n">
        <v/>
      </c>
      <c r="AK15" t="n">
        <v/>
      </c>
      <c r="AL15" t="n">
        <v/>
      </c>
      <c r="AM15" t="n">
        <v/>
      </c>
      <c r="AN15" t="n">
        <v/>
      </c>
      <c r="AO15" t="n">
        <v/>
      </c>
      <c r="AP15" t="n">
        <v/>
      </c>
      <c r="AQ15" t="n">
        <v/>
      </c>
      <c r="AR15" t="n">
        <v/>
      </c>
      <c r="AS15" t="n">
        <v/>
      </c>
      <c r="AT15" t="n">
        <v>5.584406076</v>
      </c>
      <c r="AU15" t="n">
        <v/>
      </c>
    </row>
    <row r="16">
      <c r="A16" s="106" t="n">
        <v>7366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/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  <c r="AF16" t="n">
        <v/>
      </c>
      <c r="AG16" t="n">
        <v/>
      </c>
      <c r="AH16" t="n">
        <v/>
      </c>
      <c r="AI16" t="n">
        <v/>
      </c>
      <c r="AJ16" t="n">
        <v/>
      </c>
      <c r="AK16" t="n">
        <v/>
      </c>
      <c r="AL16" t="n">
        <v/>
      </c>
      <c r="AM16" t="n">
        <v/>
      </c>
      <c r="AN16" t="n">
        <v/>
      </c>
      <c r="AO16" t="n">
        <v/>
      </c>
      <c r="AP16" t="n">
        <v/>
      </c>
      <c r="AQ16" t="n">
        <v/>
      </c>
      <c r="AR16" t="n">
        <v/>
      </c>
      <c r="AS16" t="n">
        <v/>
      </c>
      <c r="AT16" t="n">
        <v>5.477513258</v>
      </c>
      <c r="AU16" t="n">
        <v/>
      </c>
    </row>
    <row r="17">
      <c r="A17" s="106" t="n">
        <v>7397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/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  <c r="AF17" t="n">
        <v/>
      </c>
      <c r="AG17" t="n">
        <v/>
      </c>
      <c r="AH17" t="n">
        <v/>
      </c>
      <c r="AI17" t="n">
        <v/>
      </c>
      <c r="AJ17" t="n">
        <v/>
      </c>
      <c r="AK17" t="n">
        <v/>
      </c>
      <c r="AL17" t="n">
        <v/>
      </c>
      <c r="AM17" t="n">
        <v/>
      </c>
      <c r="AN17" t="n">
        <v/>
      </c>
      <c r="AO17" t="n">
        <v/>
      </c>
      <c r="AP17" t="n">
        <v/>
      </c>
      <c r="AQ17" t="n">
        <v/>
      </c>
      <c r="AR17" t="n">
        <v/>
      </c>
      <c r="AS17" t="n">
        <v/>
      </c>
      <c r="AT17" t="n">
        <v>5.183607586</v>
      </c>
      <c r="AU17" t="n">
        <v/>
      </c>
    </row>
    <row r="18">
      <c r="A18" s="106" t="n">
        <v>7427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/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  <c r="AF18" t="n">
        <v/>
      </c>
      <c r="AG18" t="n">
        <v/>
      </c>
      <c r="AH18" t="n">
        <v/>
      </c>
      <c r="AI18" t="n">
        <v/>
      </c>
      <c r="AJ18" t="n">
        <v/>
      </c>
      <c r="AK18" t="n">
        <v/>
      </c>
      <c r="AL18" t="n">
        <v/>
      </c>
      <c r="AM18" t="n">
        <v/>
      </c>
      <c r="AN18" t="n">
        <v/>
      </c>
      <c r="AO18" t="n">
        <v/>
      </c>
      <c r="AP18" t="n">
        <v/>
      </c>
      <c r="AQ18" t="n">
        <v/>
      </c>
      <c r="AR18" t="n">
        <v/>
      </c>
      <c r="AS18" t="n">
        <v/>
      </c>
      <c r="AT18" t="n">
        <v>5.31717403</v>
      </c>
      <c r="AU18" t="n">
        <v/>
      </c>
    </row>
    <row r="19">
      <c r="A19" s="106" t="n">
        <v>7458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/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  <c r="AF19" t="n">
        <v/>
      </c>
      <c r="AG19" t="n">
        <v/>
      </c>
      <c r="AH19" t="n">
        <v/>
      </c>
      <c r="AI19" t="n">
        <v/>
      </c>
      <c r="AJ19" t="n">
        <v/>
      </c>
      <c r="AK19" t="n">
        <v/>
      </c>
      <c r="AL19" t="n">
        <v/>
      </c>
      <c r="AM19" t="n">
        <v/>
      </c>
      <c r="AN19" t="n">
        <v/>
      </c>
      <c r="AO19" t="n">
        <v/>
      </c>
      <c r="AP19" t="n">
        <v/>
      </c>
      <c r="AQ19" t="n">
        <v/>
      </c>
      <c r="AR19" t="n">
        <v/>
      </c>
      <c r="AS19" t="n">
        <v/>
      </c>
      <c r="AT19" t="n">
        <v>5.370620439</v>
      </c>
      <c r="AU19" t="n">
        <v/>
      </c>
    </row>
    <row r="20">
      <c r="A20" s="106" t="n">
        <v>7488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/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  <c r="AF20" t="n">
        <v/>
      </c>
      <c r="AG20" t="n">
        <v/>
      </c>
      <c r="AH20" t="n">
        <v/>
      </c>
      <c r="AI20" t="n">
        <v/>
      </c>
      <c r="AJ20" t="n">
        <v/>
      </c>
      <c r="AK20" t="n">
        <v/>
      </c>
      <c r="AL20" t="n">
        <v/>
      </c>
      <c r="AM20" t="n">
        <v/>
      </c>
      <c r="AN20" t="n">
        <v/>
      </c>
      <c r="AO20" t="n">
        <v/>
      </c>
      <c r="AP20" t="n">
        <v/>
      </c>
      <c r="AQ20" t="n">
        <v/>
      </c>
      <c r="AR20" t="n">
        <v/>
      </c>
      <c r="AS20" t="n">
        <v/>
      </c>
      <c r="AT20" t="n">
        <v>5.237053996</v>
      </c>
      <c r="AU20" t="n">
        <v/>
      </c>
    </row>
    <row r="21">
      <c r="A21" s="106" t="n">
        <v>7519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/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  <c r="AF21" t="n">
        <v/>
      </c>
      <c r="AG21" t="n">
        <v/>
      </c>
      <c r="AH21" t="n">
        <v/>
      </c>
      <c r="AI21" t="n">
        <v/>
      </c>
      <c r="AJ21" t="n">
        <v/>
      </c>
      <c r="AK21" t="n">
        <v/>
      </c>
      <c r="AL21" t="n">
        <v/>
      </c>
      <c r="AM21" t="n">
        <v/>
      </c>
      <c r="AN21" t="n">
        <v/>
      </c>
      <c r="AO21" t="n">
        <v/>
      </c>
      <c r="AP21" t="n">
        <v/>
      </c>
      <c r="AQ21" t="n">
        <v/>
      </c>
      <c r="AR21" t="n">
        <v/>
      </c>
      <c r="AS21" t="n">
        <v/>
      </c>
      <c r="AT21" t="n">
        <v>5.263727621</v>
      </c>
      <c r="AU21" t="n">
        <v/>
      </c>
    </row>
    <row r="22">
      <c r="A22" s="106" t="n">
        <v>7550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/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  <c r="AF22" t="n">
        <v/>
      </c>
      <c r="AG22" t="n">
        <v/>
      </c>
      <c r="AH22" t="n">
        <v/>
      </c>
      <c r="AI22" t="n">
        <v/>
      </c>
      <c r="AJ22" t="n">
        <v/>
      </c>
      <c r="AK22" t="n">
        <v/>
      </c>
      <c r="AL22" t="n">
        <v/>
      </c>
      <c r="AM22" t="n">
        <v/>
      </c>
      <c r="AN22" t="n">
        <v/>
      </c>
      <c r="AO22" t="n">
        <v/>
      </c>
      <c r="AP22" t="n">
        <v/>
      </c>
      <c r="AQ22" t="n">
        <v/>
      </c>
      <c r="AR22" t="n">
        <v/>
      </c>
      <c r="AS22" t="n">
        <v/>
      </c>
      <c r="AT22" t="n">
        <v>5.076714768</v>
      </c>
      <c r="AU22" t="n">
        <v/>
      </c>
    </row>
    <row r="23">
      <c r="A23" s="106" t="n">
        <v>7580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/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  <c r="AF23" t="n">
        <v/>
      </c>
      <c r="AG23" t="n">
        <v/>
      </c>
      <c r="AH23" t="n">
        <v/>
      </c>
      <c r="AI23" t="n">
        <v/>
      </c>
      <c r="AJ23" t="n">
        <v/>
      </c>
      <c r="AK23" t="n">
        <v/>
      </c>
      <c r="AL23" t="n">
        <v/>
      </c>
      <c r="AM23" t="n">
        <v/>
      </c>
      <c r="AN23" t="n">
        <v/>
      </c>
      <c r="AO23" t="n">
        <v/>
      </c>
      <c r="AP23" t="n">
        <v/>
      </c>
      <c r="AQ23" t="n">
        <v/>
      </c>
      <c r="AR23" t="n">
        <v/>
      </c>
      <c r="AS23" t="n">
        <v/>
      </c>
      <c r="AT23" t="n">
        <v>4.862929131</v>
      </c>
      <c r="AU23" t="n">
        <v/>
      </c>
    </row>
    <row r="24">
      <c r="A24" s="106" t="n">
        <v>7611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/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  <c r="AF24" t="n">
        <v/>
      </c>
      <c r="AG24" t="n">
        <v/>
      </c>
      <c r="AH24" t="n">
        <v/>
      </c>
      <c r="AI24" t="n">
        <v/>
      </c>
      <c r="AJ24" t="n">
        <v/>
      </c>
      <c r="AK24" t="n">
        <v/>
      </c>
      <c r="AL24" t="n">
        <v/>
      </c>
      <c r="AM24" t="n">
        <v/>
      </c>
      <c r="AN24" t="n">
        <v/>
      </c>
      <c r="AO24" t="n">
        <v/>
      </c>
      <c r="AP24" t="n">
        <v/>
      </c>
      <c r="AQ24" t="n">
        <v/>
      </c>
      <c r="AR24" t="n">
        <v/>
      </c>
      <c r="AS24" t="n">
        <v/>
      </c>
      <c r="AT24" t="n">
        <v>4.462130641</v>
      </c>
      <c r="AU24" t="n">
        <v/>
      </c>
    </row>
    <row r="25">
      <c r="A25" s="106" t="n">
        <v>7641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/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  <c r="AF25" t="n">
        <v/>
      </c>
      <c r="AG25" t="n">
        <v/>
      </c>
      <c r="AH25" t="n">
        <v/>
      </c>
      <c r="AI25" t="n">
        <v/>
      </c>
      <c r="AJ25" t="n">
        <v/>
      </c>
      <c r="AK25" t="n">
        <v/>
      </c>
      <c r="AL25" t="n">
        <v/>
      </c>
      <c r="AM25" t="n">
        <v/>
      </c>
      <c r="AN25" t="n">
        <v/>
      </c>
      <c r="AO25" t="n">
        <v/>
      </c>
      <c r="AP25" t="n">
        <v/>
      </c>
      <c r="AQ25" t="n">
        <v/>
      </c>
      <c r="AR25" t="n">
        <v/>
      </c>
      <c r="AS25" t="n">
        <v/>
      </c>
      <c r="AT25" t="n">
        <v>4.194997753</v>
      </c>
      <c r="AU25" t="n">
        <v/>
      </c>
    </row>
    <row r="26">
      <c r="A26" s="106" t="n">
        <v>7672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/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  <c r="AF26" t="n">
        <v/>
      </c>
      <c r="AG26" t="n">
        <v/>
      </c>
      <c r="AH26" t="n">
        <v/>
      </c>
      <c r="AI26" t="n">
        <v/>
      </c>
      <c r="AJ26" t="n">
        <v/>
      </c>
      <c r="AK26" t="n">
        <v/>
      </c>
      <c r="AL26" t="n">
        <v/>
      </c>
      <c r="AM26" t="n">
        <v/>
      </c>
      <c r="AN26" t="n">
        <v/>
      </c>
      <c r="AO26" t="n">
        <v/>
      </c>
      <c r="AP26" t="n">
        <v/>
      </c>
      <c r="AQ26" t="n">
        <v/>
      </c>
      <c r="AR26" t="n">
        <v/>
      </c>
      <c r="AS26" t="n">
        <v/>
      </c>
      <c r="AT26" t="n">
        <v>3.954538491</v>
      </c>
      <c r="AU26" t="n">
        <v/>
      </c>
    </row>
    <row r="27">
      <c r="A27" s="106" t="n">
        <v>7703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/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  <c r="AF27" t="n">
        <v/>
      </c>
      <c r="AG27" t="n">
        <v/>
      </c>
      <c r="AH27" t="n">
        <v/>
      </c>
      <c r="AI27" t="n">
        <v/>
      </c>
      <c r="AJ27" t="n">
        <v/>
      </c>
      <c r="AK27" t="n">
        <v/>
      </c>
      <c r="AL27" t="n">
        <v/>
      </c>
      <c r="AM27" t="n">
        <v/>
      </c>
      <c r="AN27" t="n">
        <v/>
      </c>
      <c r="AO27" t="n">
        <v/>
      </c>
      <c r="AP27" t="n">
        <v/>
      </c>
      <c r="AQ27" t="n">
        <v/>
      </c>
      <c r="AR27" t="n">
        <v/>
      </c>
      <c r="AS27" t="n">
        <v/>
      </c>
      <c r="AT27" t="n">
        <v>3.874319298</v>
      </c>
      <c r="AU27" t="n">
        <v/>
      </c>
    </row>
    <row r="28">
      <c r="A28" s="106" t="n">
        <v>7731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/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  <c r="AF28" t="n">
        <v/>
      </c>
      <c r="AG28" t="n">
        <v/>
      </c>
      <c r="AH28" t="n">
        <v/>
      </c>
      <c r="AI28" t="n">
        <v/>
      </c>
      <c r="AJ28" t="n">
        <v/>
      </c>
      <c r="AK28" t="n">
        <v/>
      </c>
      <c r="AL28" t="n">
        <v/>
      </c>
      <c r="AM28" t="n">
        <v/>
      </c>
      <c r="AN28" t="n">
        <v/>
      </c>
      <c r="AO28" t="n">
        <v/>
      </c>
      <c r="AP28" t="n">
        <v/>
      </c>
      <c r="AQ28" t="n">
        <v/>
      </c>
      <c r="AR28" t="n">
        <v/>
      </c>
      <c r="AS28" t="n">
        <v/>
      </c>
      <c r="AT28" t="n">
        <v>3.767426479</v>
      </c>
      <c r="AU28" t="n">
        <v/>
      </c>
    </row>
    <row r="29">
      <c r="A29" s="106" t="n">
        <v>7762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/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  <c r="AF29" t="n">
        <v/>
      </c>
      <c r="AG29" t="n">
        <v/>
      </c>
      <c r="AH29" t="n">
        <v/>
      </c>
      <c r="AI29" t="n">
        <v/>
      </c>
      <c r="AJ29" t="n">
        <v/>
      </c>
      <c r="AK29" t="n">
        <v/>
      </c>
      <c r="AL29" t="n">
        <v/>
      </c>
      <c r="AM29" t="n">
        <v/>
      </c>
      <c r="AN29" t="n">
        <v/>
      </c>
      <c r="AO29" t="n">
        <v/>
      </c>
      <c r="AP29" t="n">
        <v/>
      </c>
      <c r="AQ29" t="n">
        <v/>
      </c>
      <c r="AR29" t="n">
        <v/>
      </c>
      <c r="AS29" t="n">
        <v/>
      </c>
      <c r="AT29" t="n">
        <v>3.767426479</v>
      </c>
      <c r="AU29" t="n">
        <v/>
      </c>
    </row>
    <row r="30">
      <c r="A30" s="106" t="n">
        <v>7792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/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  <c r="AF30" t="n">
        <v/>
      </c>
      <c r="AG30" t="n">
        <v/>
      </c>
      <c r="AH30" t="n">
        <v/>
      </c>
      <c r="AI30" t="n">
        <v/>
      </c>
      <c r="AJ30" t="n">
        <v/>
      </c>
      <c r="AK30" t="n">
        <v/>
      </c>
      <c r="AL30" t="n">
        <v/>
      </c>
      <c r="AM30" t="n">
        <v/>
      </c>
      <c r="AN30" t="n">
        <v/>
      </c>
      <c r="AO30" t="n">
        <v/>
      </c>
      <c r="AP30" t="n">
        <v/>
      </c>
      <c r="AQ30" t="n">
        <v/>
      </c>
      <c r="AR30" t="n">
        <v/>
      </c>
      <c r="AS30" t="n">
        <v/>
      </c>
      <c r="AT30" t="n">
        <v>3.874319298</v>
      </c>
      <c r="AU30" t="n">
        <v/>
      </c>
    </row>
    <row r="31">
      <c r="A31" s="106" t="n">
        <v>7823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/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  <c r="AF31" t="n">
        <v/>
      </c>
      <c r="AG31" t="n">
        <v/>
      </c>
      <c r="AH31" t="n">
        <v/>
      </c>
      <c r="AI31" t="n">
        <v/>
      </c>
      <c r="AJ31" t="n">
        <v/>
      </c>
      <c r="AK31" t="n">
        <v/>
      </c>
      <c r="AL31" t="n">
        <v/>
      </c>
      <c r="AM31" t="n">
        <v/>
      </c>
      <c r="AN31" t="n">
        <v/>
      </c>
      <c r="AO31" t="n">
        <v/>
      </c>
      <c r="AP31" t="n">
        <v/>
      </c>
      <c r="AQ31" t="n">
        <v/>
      </c>
      <c r="AR31" t="n">
        <v/>
      </c>
      <c r="AS31" t="n">
        <v/>
      </c>
      <c r="AT31" t="n">
        <v>3.847645672</v>
      </c>
      <c r="AU31" t="n">
        <v/>
      </c>
    </row>
    <row r="32">
      <c r="A32" s="106" t="n">
        <v>7853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/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  <c r="AF32" t="n">
        <v/>
      </c>
      <c r="AG32" t="n">
        <v/>
      </c>
      <c r="AH32" t="n">
        <v/>
      </c>
      <c r="AI32" t="n">
        <v/>
      </c>
      <c r="AJ32" t="n">
        <v/>
      </c>
      <c r="AK32" t="n">
        <v/>
      </c>
      <c r="AL32" t="n">
        <v/>
      </c>
      <c r="AM32" t="n">
        <v/>
      </c>
      <c r="AN32" t="n">
        <v/>
      </c>
      <c r="AO32" t="n">
        <v/>
      </c>
      <c r="AP32" t="n">
        <v/>
      </c>
      <c r="AQ32" t="n">
        <v/>
      </c>
      <c r="AR32" t="n">
        <v/>
      </c>
      <c r="AS32" t="n">
        <v/>
      </c>
      <c r="AT32" t="n">
        <v>3.820872889</v>
      </c>
      <c r="AU32" t="n">
        <v/>
      </c>
    </row>
    <row r="33">
      <c r="A33" s="106" t="n">
        <v>7884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/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  <c r="AF33" t="n">
        <v/>
      </c>
      <c r="AG33" t="n">
        <v/>
      </c>
      <c r="AH33" t="n">
        <v/>
      </c>
      <c r="AI33" t="n">
        <v/>
      </c>
      <c r="AJ33" t="n">
        <v/>
      </c>
      <c r="AK33" t="n">
        <v/>
      </c>
      <c r="AL33" t="n">
        <v/>
      </c>
      <c r="AM33" t="n">
        <v/>
      </c>
      <c r="AN33" t="n">
        <v/>
      </c>
      <c r="AO33" t="n">
        <v/>
      </c>
      <c r="AP33" t="n">
        <v/>
      </c>
      <c r="AQ33" t="n">
        <v/>
      </c>
      <c r="AR33" t="n">
        <v/>
      </c>
      <c r="AS33" t="n">
        <v/>
      </c>
      <c r="AT33" t="n">
        <v>3.954538491</v>
      </c>
      <c r="AU33" t="n">
        <v/>
      </c>
    </row>
    <row r="34">
      <c r="A34" s="106" t="n">
        <v>7915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/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  <c r="AF34" t="n">
        <v/>
      </c>
      <c r="AG34" t="n">
        <v/>
      </c>
      <c r="AH34" t="n">
        <v/>
      </c>
      <c r="AI34" t="n">
        <v/>
      </c>
      <c r="AJ34" t="n">
        <v/>
      </c>
      <c r="AK34" t="n">
        <v/>
      </c>
      <c r="AL34" t="n">
        <v/>
      </c>
      <c r="AM34" t="n">
        <v/>
      </c>
      <c r="AN34" t="n">
        <v/>
      </c>
      <c r="AO34" t="n">
        <v/>
      </c>
      <c r="AP34" t="n">
        <v/>
      </c>
      <c r="AQ34" t="n">
        <v/>
      </c>
      <c r="AR34" t="n">
        <v/>
      </c>
      <c r="AS34" t="n">
        <v/>
      </c>
      <c r="AT34" t="n">
        <v>3.981212116</v>
      </c>
      <c r="AU34" t="n">
        <v/>
      </c>
    </row>
    <row r="35">
      <c r="A35" s="106" t="n">
        <v>7945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/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  <c r="AF35" t="n">
        <v/>
      </c>
      <c r="AG35" t="n">
        <v/>
      </c>
      <c r="AH35" t="n">
        <v/>
      </c>
      <c r="AI35" t="n">
        <v/>
      </c>
      <c r="AJ35" t="n">
        <v/>
      </c>
      <c r="AK35" t="n">
        <v/>
      </c>
      <c r="AL35" t="n">
        <v/>
      </c>
      <c r="AM35" t="n">
        <v/>
      </c>
      <c r="AN35" t="n">
        <v/>
      </c>
      <c r="AO35" t="n">
        <v/>
      </c>
      <c r="AP35" t="n">
        <v/>
      </c>
      <c r="AQ35" t="n">
        <v/>
      </c>
      <c r="AR35" t="n">
        <v/>
      </c>
      <c r="AS35" t="n">
        <v/>
      </c>
      <c r="AT35" t="n">
        <v>4.221671379</v>
      </c>
      <c r="AU35" t="n">
        <v/>
      </c>
    </row>
    <row r="36">
      <c r="A36" s="106" t="n">
        <v>7976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/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  <c r="AF36" t="n">
        <v/>
      </c>
      <c r="AG36" t="n">
        <v/>
      </c>
      <c r="AH36" t="n">
        <v/>
      </c>
      <c r="AI36" t="n">
        <v/>
      </c>
      <c r="AJ36" t="n">
        <v/>
      </c>
      <c r="AK36" t="n">
        <v/>
      </c>
      <c r="AL36" t="n">
        <v/>
      </c>
      <c r="AM36" t="n">
        <v/>
      </c>
      <c r="AN36" t="n">
        <v/>
      </c>
      <c r="AO36" t="n">
        <v/>
      </c>
      <c r="AP36" t="n">
        <v/>
      </c>
      <c r="AQ36" t="n">
        <v/>
      </c>
      <c r="AR36" t="n">
        <v/>
      </c>
      <c r="AS36" t="n">
        <v/>
      </c>
      <c r="AT36" t="n">
        <v>4.168224969</v>
      </c>
      <c r="AU36" t="n">
        <v/>
      </c>
    </row>
    <row r="37">
      <c r="A37" s="106" t="n">
        <v>8006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/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  <c r="AF37" t="n">
        <v/>
      </c>
      <c r="AG37" t="n">
        <v/>
      </c>
      <c r="AH37" t="n">
        <v/>
      </c>
      <c r="AI37" t="n">
        <v/>
      </c>
      <c r="AJ37" t="n">
        <v/>
      </c>
      <c r="AK37" t="n">
        <v/>
      </c>
      <c r="AL37" t="n">
        <v/>
      </c>
      <c r="AM37" t="n">
        <v/>
      </c>
      <c r="AN37" t="n">
        <v/>
      </c>
      <c r="AO37" t="n">
        <v/>
      </c>
      <c r="AP37" t="n">
        <v/>
      </c>
      <c r="AQ37" t="n">
        <v/>
      </c>
      <c r="AR37" t="n">
        <v/>
      </c>
      <c r="AS37" t="n">
        <v/>
      </c>
      <c r="AT37" t="n">
        <v>4.141551344</v>
      </c>
      <c r="AU37" t="n">
        <v/>
      </c>
    </row>
    <row r="38">
      <c r="A38" s="106" t="n">
        <v>8037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/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  <c r="AF38" t="n">
        <v/>
      </c>
      <c r="AG38" t="n">
        <v/>
      </c>
      <c r="AH38" t="n">
        <v/>
      </c>
      <c r="AI38" t="n">
        <v/>
      </c>
      <c r="AJ38" t="n">
        <v/>
      </c>
      <c r="AK38" t="n">
        <v/>
      </c>
      <c r="AL38" t="n">
        <v/>
      </c>
      <c r="AM38" t="n">
        <v/>
      </c>
      <c r="AN38" t="n">
        <v/>
      </c>
      <c r="AO38" t="n">
        <v/>
      </c>
      <c r="AP38" t="n">
        <v/>
      </c>
      <c r="AQ38" t="n">
        <v/>
      </c>
      <c r="AR38" t="n">
        <v/>
      </c>
      <c r="AS38" t="n">
        <v/>
      </c>
      <c r="AT38" t="n">
        <v>4.301890572</v>
      </c>
      <c r="AU38" t="n">
        <v/>
      </c>
    </row>
    <row r="39">
      <c r="A39" s="106" t="n">
        <v>8068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/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  <c r="AF39" t="n">
        <v/>
      </c>
      <c r="AG39" t="n">
        <v/>
      </c>
      <c r="AH39" t="n">
        <v/>
      </c>
      <c r="AI39" t="n">
        <v/>
      </c>
      <c r="AJ39" t="n">
        <v/>
      </c>
      <c r="AK39" t="n">
        <v/>
      </c>
      <c r="AL39" t="n">
        <v/>
      </c>
      <c r="AM39" t="n">
        <v/>
      </c>
      <c r="AN39" t="n">
        <v/>
      </c>
      <c r="AO39" t="n">
        <v/>
      </c>
      <c r="AP39" t="n">
        <v/>
      </c>
      <c r="AQ39" t="n">
        <v/>
      </c>
      <c r="AR39" t="n">
        <v/>
      </c>
      <c r="AS39" t="n">
        <v/>
      </c>
      <c r="AT39" t="n">
        <v>4.488903425</v>
      </c>
      <c r="AU39" t="n">
        <v/>
      </c>
    </row>
    <row r="40">
      <c r="A40" s="106" t="n">
        <v>8096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/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  <c r="AF40" t="n">
        <v/>
      </c>
      <c r="AG40" t="n">
        <v/>
      </c>
      <c r="AH40" t="n">
        <v/>
      </c>
      <c r="AI40" t="n">
        <v/>
      </c>
      <c r="AJ40" t="n">
        <v/>
      </c>
      <c r="AK40" t="n">
        <v/>
      </c>
      <c r="AL40" t="n">
        <v/>
      </c>
      <c r="AM40" t="n">
        <v/>
      </c>
      <c r="AN40" t="n">
        <v/>
      </c>
      <c r="AO40" t="n">
        <v/>
      </c>
      <c r="AP40" t="n">
        <v/>
      </c>
      <c r="AQ40" t="n">
        <v/>
      </c>
      <c r="AR40" t="n">
        <v/>
      </c>
      <c r="AS40" t="n">
        <v/>
      </c>
      <c r="AT40" t="n">
        <v>4.729362687</v>
      </c>
      <c r="AU40" t="n">
        <v/>
      </c>
    </row>
    <row r="41">
      <c r="A41" s="106" t="n">
        <v>8127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/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  <c r="AF41" t="n">
        <v/>
      </c>
      <c r="AG41" t="n">
        <v/>
      </c>
      <c r="AH41" t="n">
        <v/>
      </c>
      <c r="AI41" t="n">
        <v/>
      </c>
      <c r="AJ41" t="n">
        <v/>
      </c>
      <c r="AK41" t="n">
        <v/>
      </c>
      <c r="AL41" t="n">
        <v/>
      </c>
      <c r="AM41" t="n">
        <v/>
      </c>
      <c r="AN41" t="n">
        <v/>
      </c>
      <c r="AO41" t="n">
        <v/>
      </c>
      <c r="AP41" t="n">
        <v/>
      </c>
      <c r="AQ41" t="n">
        <v/>
      </c>
      <c r="AR41" t="n">
        <v/>
      </c>
      <c r="AS41" t="n">
        <v/>
      </c>
      <c r="AT41" t="n">
        <v>4.569023459</v>
      </c>
      <c r="AU41" t="n">
        <v/>
      </c>
    </row>
    <row r="42">
      <c r="A42" s="106" t="n">
        <v>8157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/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  <c r="AF42" t="n">
        <v/>
      </c>
      <c r="AG42" t="n">
        <v/>
      </c>
      <c r="AH42" t="n">
        <v/>
      </c>
      <c r="AI42" t="n">
        <v/>
      </c>
      <c r="AJ42" t="n">
        <v/>
      </c>
      <c r="AK42" t="n">
        <v/>
      </c>
      <c r="AL42" t="n">
        <v/>
      </c>
      <c r="AM42" t="n">
        <v/>
      </c>
      <c r="AN42" t="n">
        <v/>
      </c>
      <c r="AO42" t="n">
        <v/>
      </c>
      <c r="AP42" t="n">
        <v/>
      </c>
      <c r="AQ42" t="n">
        <v/>
      </c>
      <c r="AR42" t="n">
        <v/>
      </c>
      <c r="AS42" t="n">
        <v/>
      </c>
      <c r="AT42" t="n">
        <v>4.809482722</v>
      </c>
      <c r="AU42" t="n">
        <v/>
      </c>
    </row>
    <row r="43">
      <c r="A43" s="106" t="n">
        <v>8188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/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  <c r="AF43" t="n">
        <v/>
      </c>
      <c r="AG43" t="n">
        <v/>
      </c>
      <c r="AH43" t="n">
        <v/>
      </c>
      <c r="AI43" t="n">
        <v/>
      </c>
      <c r="AJ43" t="n">
        <v/>
      </c>
      <c r="AK43" t="n">
        <v/>
      </c>
      <c r="AL43" t="n">
        <v/>
      </c>
      <c r="AM43" t="n">
        <v/>
      </c>
      <c r="AN43" t="n">
        <v/>
      </c>
      <c r="AO43" t="n">
        <v/>
      </c>
      <c r="AP43" t="n">
        <v/>
      </c>
      <c r="AQ43" t="n">
        <v/>
      </c>
      <c r="AR43" t="n">
        <v/>
      </c>
      <c r="AS43" t="n">
        <v/>
      </c>
      <c r="AT43" t="n">
        <v>5.050041142</v>
      </c>
      <c r="AU43" t="n">
        <v/>
      </c>
    </row>
    <row r="44">
      <c r="A44" s="106" t="n">
        <v>8218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/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  <c r="AF44" t="n">
        <v/>
      </c>
      <c r="AG44" t="n">
        <v/>
      </c>
      <c r="AH44" t="n">
        <v/>
      </c>
      <c r="AI44" t="n">
        <v/>
      </c>
      <c r="AJ44" t="n">
        <v/>
      </c>
      <c r="AK44" t="n">
        <v/>
      </c>
      <c r="AL44" t="n">
        <v/>
      </c>
      <c r="AM44" t="n">
        <v/>
      </c>
      <c r="AN44" t="n">
        <v/>
      </c>
      <c r="AO44" t="n">
        <v/>
      </c>
      <c r="AP44" t="n">
        <v/>
      </c>
      <c r="AQ44" t="n">
        <v/>
      </c>
      <c r="AR44" t="n">
        <v/>
      </c>
      <c r="AS44" t="n">
        <v/>
      </c>
      <c r="AT44" t="n">
        <v>5.050041142</v>
      </c>
      <c r="AU44" t="n">
        <v/>
      </c>
    </row>
    <row r="45">
      <c r="A45" s="106" t="n">
        <v>8249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/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  <c r="AF45" t="n">
        <v/>
      </c>
      <c r="AG45" t="n">
        <v/>
      </c>
      <c r="AH45" t="n">
        <v/>
      </c>
      <c r="AI45" t="n">
        <v/>
      </c>
      <c r="AJ45" t="n">
        <v/>
      </c>
      <c r="AK45" t="n">
        <v/>
      </c>
      <c r="AL45" t="n">
        <v/>
      </c>
      <c r="AM45" t="n">
        <v/>
      </c>
      <c r="AN45" t="n">
        <v/>
      </c>
      <c r="AO45" t="n">
        <v/>
      </c>
      <c r="AP45" t="n">
        <v/>
      </c>
      <c r="AQ45" t="n">
        <v/>
      </c>
      <c r="AR45" t="n">
        <v/>
      </c>
      <c r="AS45" t="n">
        <v/>
      </c>
      <c r="AT45" t="n">
        <v>4.943148324</v>
      </c>
      <c r="AU45" t="n">
        <v/>
      </c>
    </row>
    <row r="46">
      <c r="A46" s="106" t="n">
        <v>8280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/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  <c r="AF46" t="n">
        <v/>
      </c>
      <c r="AG46" t="n">
        <v/>
      </c>
      <c r="AH46" t="n">
        <v/>
      </c>
      <c r="AI46" t="n">
        <v/>
      </c>
      <c r="AJ46" t="n">
        <v/>
      </c>
      <c r="AK46" t="n">
        <v/>
      </c>
      <c r="AL46" t="n">
        <v/>
      </c>
      <c r="AM46" t="n">
        <v/>
      </c>
      <c r="AN46" t="n">
        <v/>
      </c>
      <c r="AO46" t="n">
        <v/>
      </c>
      <c r="AP46" t="n">
        <v/>
      </c>
      <c r="AQ46" t="n">
        <v/>
      </c>
      <c r="AR46" t="n">
        <v/>
      </c>
      <c r="AS46" t="n">
        <v/>
      </c>
      <c r="AT46" t="n">
        <v>5.210281212</v>
      </c>
      <c r="AU46" t="n">
        <v/>
      </c>
    </row>
    <row r="47">
      <c r="A47" s="106" t="n">
        <v>8310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/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  <c r="AF47" t="n">
        <v/>
      </c>
      <c r="AG47" t="n">
        <v/>
      </c>
      <c r="AH47" t="n">
        <v/>
      </c>
      <c r="AI47" t="n">
        <v/>
      </c>
      <c r="AJ47" t="n">
        <v/>
      </c>
      <c r="AK47" t="n">
        <v/>
      </c>
      <c r="AL47" t="n">
        <v/>
      </c>
      <c r="AM47" t="n">
        <v/>
      </c>
      <c r="AN47" t="n">
        <v/>
      </c>
      <c r="AO47" t="n">
        <v/>
      </c>
      <c r="AP47" t="n">
        <v/>
      </c>
      <c r="AQ47" t="n">
        <v/>
      </c>
      <c r="AR47" t="n">
        <v/>
      </c>
      <c r="AS47" t="n">
        <v/>
      </c>
      <c r="AT47" t="n">
        <v>5.504186883</v>
      </c>
      <c r="AU47" t="n">
        <v/>
      </c>
    </row>
    <row r="48">
      <c r="A48" s="106" t="n">
        <v>8341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/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  <c r="AF48" t="n">
        <v/>
      </c>
      <c r="AG48" t="n">
        <v/>
      </c>
      <c r="AH48" t="n">
        <v/>
      </c>
      <c r="AI48" t="n">
        <v/>
      </c>
      <c r="AJ48" t="n">
        <v/>
      </c>
      <c r="AK48" t="n">
        <v/>
      </c>
      <c r="AL48" t="n">
        <v/>
      </c>
      <c r="AM48" t="n">
        <v/>
      </c>
      <c r="AN48" t="n">
        <v/>
      </c>
      <c r="AO48" t="n">
        <v/>
      </c>
      <c r="AP48" t="n">
        <v/>
      </c>
      <c r="AQ48" t="n">
        <v/>
      </c>
      <c r="AR48" t="n">
        <v/>
      </c>
      <c r="AS48" t="n">
        <v/>
      </c>
      <c r="AT48" t="n">
        <v>5.744745304</v>
      </c>
      <c r="AU48" t="n">
        <v/>
      </c>
    </row>
    <row r="49">
      <c r="A49" s="106" t="n">
        <v>8371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/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  <c r="AF49" t="n">
        <v/>
      </c>
      <c r="AG49" t="n">
        <v/>
      </c>
      <c r="AH49" t="n">
        <v/>
      </c>
      <c r="AI49" t="n">
        <v/>
      </c>
      <c r="AJ49" t="n">
        <v/>
      </c>
      <c r="AK49" t="n">
        <v/>
      </c>
      <c r="AL49" t="n">
        <v/>
      </c>
      <c r="AM49" t="n">
        <v/>
      </c>
      <c r="AN49" t="n">
        <v/>
      </c>
      <c r="AO49" t="n">
        <v/>
      </c>
      <c r="AP49" t="n">
        <v/>
      </c>
      <c r="AQ49" t="n">
        <v/>
      </c>
      <c r="AR49" t="n">
        <v/>
      </c>
      <c r="AS49" t="n">
        <v/>
      </c>
      <c r="AT49" t="n">
        <v>5.904985373</v>
      </c>
      <c r="AU49" t="n">
        <v/>
      </c>
    </row>
    <row r="50">
      <c r="A50" s="106" t="n">
        <v>8402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/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  <c r="AF50" t="n">
        <v/>
      </c>
      <c r="AG50" t="n">
        <v/>
      </c>
      <c r="AH50" t="n">
        <v/>
      </c>
      <c r="AI50" t="n">
        <v/>
      </c>
      <c r="AJ50" t="n">
        <v/>
      </c>
      <c r="AK50" t="n">
        <v/>
      </c>
      <c r="AL50" t="n">
        <v/>
      </c>
      <c r="AM50" t="n">
        <v/>
      </c>
      <c r="AN50" t="n">
        <v/>
      </c>
      <c r="AO50" t="n">
        <v/>
      </c>
      <c r="AP50" t="n">
        <v/>
      </c>
      <c r="AQ50" t="n">
        <v/>
      </c>
      <c r="AR50" t="n">
        <v/>
      </c>
      <c r="AS50" t="n">
        <v/>
      </c>
      <c r="AT50" t="n">
        <v>5.771418929</v>
      </c>
      <c r="AU50" t="n">
        <v/>
      </c>
    </row>
    <row r="51">
      <c r="A51" s="106" t="n">
        <v>8433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/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  <c r="AF51" t="n">
        <v/>
      </c>
      <c r="AG51" t="n">
        <v/>
      </c>
      <c r="AH51" t="n">
        <v/>
      </c>
      <c r="AI51" t="n">
        <v/>
      </c>
      <c r="AJ51" t="n">
        <v/>
      </c>
      <c r="AK51" t="n">
        <v/>
      </c>
      <c r="AL51" t="n">
        <v/>
      </c>
      <c r="AM51" t="n">
        <v/>
      </c>
      <c r="AN51" t="n">
        <v/>
      </c>
      <c r="AO51" t="n">
        <v/>
      </c>
      <c r="AP51" t="n">
        <v/>
      </c>
      <c r="AQ51" t="n">
        <v/>
      </c>
      <c r="AR51" t="n">
        <v/>
      </c>
      <c r="AS51" t="n">
        <v/>
      </c>
      <c r="AT51" t="n">
        <v>5.851538964</v>
      </c>
      <c r="AU51" t="n">
        <v/>
      </c>
    </row>
    <row r="52">
      <c r="A52" s="106" t="n">
        <v>8461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/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  <c r="AF52" t="n">
        <v/>
      </c>
      <c r="AG52" t="n">
        <v/>
      </c>
      <c r="AH52" t="n">
        <v/>
      </c>
      <c r="AI52" t="n">
        <v/>
      </c>
      <c r="AJ52" t="n">
        <v/>
      </c>
      <c r="AK52" t="n">
        <v/>
      </c>
      <c r="AL52" t="n">
        <v/>
      </c>
      <c r="AM52" t="n">
        <v/>
      </c>
      <c r="AN52" t="n">
        <v/>
      </c>
      <c r="AO52" t="n">
        <v/>
      </c>
      <c r="AP52" t="n">
        <v/>
      </c>
      <c r="AQ52" t="n">
        <v/>
      </c>
      <c r="AR52" t="n">
        <v/>
      </c>
      <c r="AS52" t="n">
        <v/>
      </c>
      <c r="AT52" t="n">
        <v>6.038650976</v>
      </c>
      <c r="AU52" t="n">
        <v/>
      </c>
    </row>
    <row r="53">
      <c r="A53" s="106" t="n">
        <v>8492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/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  <c r="AF53" t="n">
        <v/>
      </c>
      <c r="AG53" t="n">
        <v/>
      </c>
      <c r="AH53" t="n">
        <v/>
      </c>
      <c r="AI53" t="n">
        <v/>
      </c>
      <c r="AJ53" t="n">
        <v/>
      </c>
      <c r="AK53" t="n">
        <v/>
      </c>
      <c r="AL53" t="n">
        <v/>
      </c>
      <c r="AM53" t="n">
        <v/>
      </c>
      <c r="AN53" t="n">
        <v/>
      </c>
      <c r="AO53" t="n">
        <v/>
      </c>
      <c r="AP53" t="n">
        <v/>
      </c>
      <c r="AQ53" t="n">
        <v/>
      </c>
      <c r="AR53" t="n">
        <v/>
      </c>
      <c r="AS53" t="n">
        <v/>
      </c>
      <c r="AT53" t="n">
        <v>6.172217419</v>
      </c>
      <c r="AU53" t="n">
        <v/>
      </c>
    </row>
    <row r="54">
      <c r="A54" s="106" t="n">
        <v>8522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/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  <c r="AF54" t="n">
        <v/>
      </c>
      <c r="AG54" t="n">
        <v/>
      </c>
      <c r="AH54" t="n">
        <v/>
      </c>
      <c r="AI54" t="n">
        <v/>
      </c>
      <c r="AJ54" t="n">
        <v/>
      </c>
      <c r="AK54" t="n">
        <v/>
      </c>
      <c r="AL54" t="n">
        <v/>
      </c>
      <c r="AM54" t="n">
        <v/>
      </c>
      <c r="AN54" t="n">
        <v/>
      </c>
      <c r="AO54" t="n">
        <v/>
      </c>
      <c r="AP54" t="n">
        <v/>
      </c>
      <c r="AQ54" t="n">
        <v/>
      </c>
      <c r="AR54" t="n">
        <v/>
      </c>
      <c r="AS54" t="n">
        <v/>
      </c>
      <c r="AT54" t="n">
        <v>6.252337454</v>
      </c>
      <c r="AU54" t="n">
        <v/>
      </c>
    </row>
    <row r="55">
      <c r="A55" s="106" t="n">
        <v>8553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/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  <c r="AF55" t="n">
        <v/>
      </c>
      <c r="AG55" t="n">
        <v/>
      </c>
      <c r="AH55" t="n">
        <v/>
      </c>
      <c r="AI55" t="n">
        <v/>
      </c>
      <c r="AJ55" t="n">
        <v/>
      </c>
      <c r="AK55" t="n">
        <v/>
      </c>
      <c r="AL55" t="n">
        <v/>
      </c>
      <c r="AM55" t="n">
        <v/>
      </c>
      <c r="AN55" t="n">
        <v/>
      </c>
      <c r="AO55" t="n">
        <v/>
      </c>
      <c r="AP55" t="n">
        <v/>
      </c>
      <c r="AQ55" t="n">
        <v/>
      </c>
      <c r="AR55" t="n">
        <v/>
      </c>
      <c r="AS55" t="n">
        <v/>
      </c>
      <c r="AT55" t="n">
        <v>6.198891045</v>
      </c>
      <c r="AU55" t="n">
        <v/>
      </c>
    </row>
    <row r="56">
      <c r="A56" s="106" t="n">
        <v>8583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/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  <c r="AF56" t="n">
        <v/>
      </c>
      <c r="AG56" t="n">
        <v/>
      </c>
      <c r="AH56" t="n">
        <v/>
      </c>
      <c r="AI56" t="n">
        <v/>
      </c>
      <c r="AJ56" t="n">
        <v/>
      </c>
      <c r="AK56" t="n">
        <v/>
      </c>
      <c r="AL56" t="n">
        <v/>
      </c>
      <c r="AM56" t="n">
        <v/>
      </c>
      <c r="AN56" t="n">
        <v/>
      </c>
      <c r="AO56" t="n">
        <v/>
      </c>
      <c r="AP56" t="n">
        <v/>
      </c>
      <c r="AQ56" t="n">
        <v/>
      </c>
      <c r="AR56" t="n">
        <v/>
      </c>
      <c r="AS56" t="n">
        <v/>
      </c>
      <c r="AT56" t="n">
        <v>6.145543794</v>
      </c>
      <c r="AU56" t="n">
        <v/>
      </c>
    </row>
    <row r="57">
      <c r="A57" s="106" t="n">
        <v>8614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/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  <c r="AF57" t="n">
        <v/>
      </c>
      <c r="AG57" t="n">
        <v/>
      </c>
      <c r="AH57" t="n">
        <v/>
      </c>
      <c r="AI57" t="n">
        <v/>
      </c>
      <c r="AJ57" t="n">
        <v/>
      </c>
      <c r="AK57" t="n">
        <v/>
      </c>
      <c r="AL57" t="n">
        <v/>
      </c>
      <c r="AM57" t="n">
        <v/>
      </c>
      <c r="AN57" t="n">
        <v/>
      </c>
      <c r="AO57" t="n">
        <v/>
      </c>
      <c r="AP57" t="n">
        <v/>
      </c>
      <c r="AQ57" t="n">
        <v/>
      </c>
      <c r="AR57" t="n">
        <v/>
      </c>
      <c r="AS57" t="n">
        <v/>
      </c>
      <c r="AT57" t="n">
        <v>6.038650976</v>
      </c>
      <c r="AU57" t="n">
        <v/>
      </c>
    </row>
    <row r="58">
      <c r="A58" s="106" t="n">
        <v>8645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/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  <c r="AF58" t="n">
        <v/>
      </c>
      <c r="AG58" t="n">
        <v/>
      </c>
      <c r="AH58" t="n">
        <v/>
      </c>
      <c r="AI58" t="n">
        <v/>
      </c>
      <c r="AJ58" t="n">
        <v/>
      </c>
      <c r="AK58" t="n">
        <v/>
      </c>
      <c r="AL58" t="n">
        <v/>
      </c>
      <c r="AM58" t="n">
        <v/>
      </c>
      <c r="AN58" t="n">
        <v/>
      </c>
      <c r="AO58" t="n">
        <v/>
      </c>
      <c r="AP58" t="n">
        <v/>
      </c>
      <c r="AQ58" t="n">
        <v/>
      </c>
      <c r="AR58" t="n">
        <v/>
      </c>
      <c r="AS58" t="n">
        <v/>
      </c>
      <c r="AT58" t="n">
        <v>5.904985373</v>
      </c>
      <c r="AU58" t="n">
        <v/>
      </c>
    </row>
    <row r="59">
      <c r="A59" s="106" t="n">
        <v>8675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/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  <c r="AF59" t="n">
        <v/>
      </c>
      <c r="AG59" t="n">
        <v/>
      </c>
      <c r="AH59" t="n">
        <v/>
      </c>
      <c r="AI59" t="n">
        <v/>
      </c>
      <c r="AJ59" t="n">
        <v/>
      </c>
      <c r="AK59" t="n">
        <v/>
      </c>
      <c r="AL59" t="n">
        <v/>
      </c>
      <c r="AM59" t="n">
        <v/>
      </c>
      <c r="AN59" t="n">
        <v/>
      </c>
      <c r="AO59" t="n">
        <v/>
      </c>
      <c r="AP59" t="n">
        <v/>
      </c>
      <c r="AQ59" t="n">
        <v/>
      </c>
      <c r="AR59" t="n">
        <v/>
      </c>
      <c r="AS59" t="n">
        <v/>
      </c>
      <c r="AT59" t="n">
        <v>5.878311748</v>
      </c>
      <c r="AU59" t="n">
        <v/>
      </c>
    </row>
    <row r="60">
      <c r="A60" s="106" t="n">
        <v>8706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/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  <c r="AF60" t="n">
        <v/>
      </c>
      <c r="AG60" t="n">
        <v/>
      </c>
      <c r="AH60" t="n">
        <v/>
      </c>
      <c r="AI60" t="n">
        <v/>
      </c>
      <c r="AJ60" t="n">
        <v/>
      </c>
      <c r="AK60" t="n">
        <v/>
      </c>
      <c r="AL60" t="n">
        <v/>
      </c>
      <c r="AM60" t="n">
        <v/>
      </c>
      <c r="AN60" t="n">
        <v/>
      </c>
      <c r="AO60" t="n">
        <v/>
      </c>
      <c r="AP60" t="n">
        <v/>
      </c>
      <c r="AQ60" t="n">
        <v/>
      </c>
      <c r="AR60" t="n">
        <v/>
      </c>
      <c r="AS60" t="n">
        <v/>
      </c>
      <c r="AT60" t="n">
        <v>5.878311748</v>
      </c>
      <c r="AU60" t="n">
        <v/>
      </c>
    </row>
    <row r="61">
      <c r="A61" s="106" t="n">
        <v>8736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/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  <c r="AF61" t="n">
        <v/>
      </c>
      <c r="AG61" t="n">
        <v/>
      </c>
      <c r="AH61" t="n">
        <v/>
      </c>
      <c r="AI61" t="n">
        <v/>
      </c>
      <c r="AJ61" t="n">
        <v/>
      </c>
      <c r="AK61" t="n">
        <v/>
      </c>
      <c r="AL61" t="n">
        <v/>
      </c>
      <c r="AM61" t="n">
        <v/>
      </c>
      <c r="AN61" t="n">
        <v/>
      </c>
      <c r="AO61" t="n">
        <v/>
      </c>
      <c r="AP61" t="n">
        <v/>
      </c>
      <c r="AQ61" t="n">
        <v/>
      </c>
      <c r="AR61" t="n">
        <v/>
      </c>
      <c r="AS61" t="n">
        <v/>
      </c>
      <c r="AT61" t="n">
        <v>5.744745304</v>
      </c>
      <c r="AU61" t="n">
        <v/>
      </c>
    </row>
    <row r="62">
      <c r="A62" s="106" t="n">
        <v>8767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/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  <c r="AF62" t="n">
        <v/>
      </c>
      <c r="AG62" t="n">
        <v/>
      </c>
      <c r="AH62" t="n">
        <v/>
      </c>
      <c r="AI62" t="n">
        <v/>
      </c>
      <c r="AJ62" t="n">
        <v/>
      </c>
      <c r="AK62" t="n">
        <v/>
      </c>
      <c r="AL62" t="n">
        <v/>
      </c>
      <c r="AM62" t="n">
        <v/>
      </c>
      <c r="AN62" t="n">
        <v/>
      </c>
      <c r="AO62" t="n">
        <v/>
      </c>
      <c r="AP62" t="n">
        <v/>
      </c>
      <c r="AQ62" t="n">
        <v/>
      </c>
      <c r="AR62" t="n">
        <v/>
      </c>
      <c r="AS62" t="n">
        <v/>
      </c>
      <c r="AT62" t="n">
        <v>5.878311748</v>
      </c>
      <c r="AU62" t="n">
        <v/>
      </c>
    </row>
    <row r="63">
      <c r="A63" s="106" t="n">
        <v>8798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/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  <c r="AF63" t="n">
        <v/>
      </c>
      <c r="AG63" t="n">
        <v/>
      </c>
      <c r="AH63" t="n">
        <v/>
      </c>
      <c r="AI63" t="n">
        <v/>
      </c>
      <c r="AJ63" t="n">
        <v/>
      </c>
      <c r="AK63" t="n">
        <v/>
      </c>
      <c r="AL63" t="n">
        <v/>
      </c>
      <c r="AM63" t="n">
        <v/>
      </c>
      <c r="AN63" t="n">
        <v/>
      </c>
      <c r="AO63" t="n">
        <v/>
      </c>
      <c r="AP63" t="n">
        <v/>
      </c>
      <c r="AQ63" t="n">
        <v/>
      </c>
      <c r="AR63" t="n">
        <v/>
      </c>
      <c r="AS63" t="n">
        <v/>
      </c>
      <c r="AT63" t="n">
        <v>5.985204566</v>
      </c>
      <c r="AU63" t="n">
        <v/>
      </c>
    </row>
    <row r="64">
      <c r="A64" s="106" t="n">
        <v>8827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/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  <c r="AF64" t="n">
        <v/>
      </c>
      <c r="AG64" t="n">
        <v/>
      </c>
      <c r="AH64" t="n">
        <v/>
      </c>
      <c r="AI64" t="n">
        <v/>
      </c>
      <c r="AJ64" t="n">
        <v/>
      </c>
      <c r="AK64" t="n">
        <v/>
      </c>
      <c r="AL64" t="n">
        <v/>
      </c>
      <c r="AM64" t="n">
        <v/>
      </c>
      <c r="AN64" t="n">
        <v/>
      </c>
      <c r="AO64" t="n">
        <v/>
      </c>
      <c r="AP64" t="n">
        <v/>
      </c>
      <c r="AQ64" t="n">
        <v/>
      </c>
      <c r="AR64" t="n">
        <v/>
      </c>
      <c r="AS64" t="n">
        <v/>
      </c>
      <c r="AT64" t="n">
        <v>5.878311748</v>
      </c>
      <c r="AU64" t="n">
        <v/>
      </c>
    </row>
    <row r="65">
      <c r="A65" s="106" t="n">
        <v>8858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/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  <c r="AF65" t="n">
        <v/>
      </c>
      <c r="AG65" t="n">
        <v/>
      </c>
      <c r="AH65" t="n">
        <v/>
      </c>
      <c r="AI65" t="n">
        <v/>
      </c>
      <c r="AJ65" t="n">
        <v/>
      </c>
      <c r="AK65" t="n">
        <v/>
      </c>
      <c r="AL65" t="n">
        <v/>
      </c>
      <c r="AM65" t="n">
        <v/>
      </c>
      <c r="AN65" t="n">
        <v/>
      </c>
      <c r="AO65" t="n">
        <v/>
      </c>
      <c r="AP65" t="n">
        <v/>
      </c>
      <c r="AQ65" t="n">
        <v/>
      </c>
      <c r="AR65" t="n">
        <v/>
      </c>
      <c r="AS65" t="n">
        <v/>
      </c>
      <c r="AT65" t="n">
        <v>5.691298895</v>
      </c>
      <c r="AU65" t="n">
        <v/>
      </c>
    </row>
    <row r="66">
      <c r="A66" s="106" t="n">
        <v>8888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/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  <c r="AF66" t="n">
        <v/>
      </c>
      <c r="AG66" t="n">
        <v/>
      </c>
      <c r="AH66" t="n">
        <v/>
      </c>
      <c r="AI66" t="n">
        <v/>
      </c>
      <c r="AJ66" t="n">
        <v/>
      </c>
      <c r="AK66" t="n">
        <v/>
      </c>
      <c r="AL66" t="n">
        <v/>
      </c>
      <c r="AM66" t="n">
        <v/>
      </c>
      <c r="AN66" t="n">
        <v/>
      </c>
      <c r="AO66" t="n">
        <v/>
      </c>
      <c r="AP66" t="n">
        <v/>
      </c>
      <c r="AQ66" t="n">
        <v/>
      </c>
      <c r="AR66" t="n">
        <v/>
      </c>
      <c r="AS66" t="n">
        <v/>
      </c>
      <c r="AT66" t="n">
        <v>5.450740474</v>
      </c>
      <c r="AU66" t="n">
        <v/>
      </c>
    </row>
    <row r="67">
      <c r="A67" s="106" t="n">
        <v>8919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/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  <c r="AF67" t="n">
        <v/>
      </c>
      <c r="AG67" t="n">
        <v/>
      </c>
      <c r="AH67" t="n">
        <v/>
      </c>
      <c r="AI67" t="n">
        <v/>
      </c>
      <c r="AJ67" t="n">
        <v/>
      </c>
      <c r="AK67" t="n">
        <v/>
      </c>
      <c r="AL67" t="n">
        <v/>
      </c>
      <c r="AM67" t="n">
        <v/>
      </c>
      <c r="AN67" t="n">
        <v/>
      </c>
      <c r="AO67" t="n">
        <v/>
      </c>
      <c r="AP67" t="n">
        <v/>
      </c>
      <c r="AQ67" t="n">
        <v/>
      </c>
      <c r="AR67" t="n">
        <v/>
      </c>
      <c r="AS67" t="n">
        <v/>
      </c>
      <c r="AT67" t="n">
        <v>5.210281212</v>
      </c>
      <c r="AU67" t="n">
        <v/>
      </c>
    </row>
    <row r="68">
      <c r="A68" s="106" t="n">
        <v>8949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/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  <c r="AF68" t="n">
        <v/>
      </c>
      <c r="AG68" t="n">
        <v/>
      </c>
      <c r="AH68" t="n">
        <v/>
      </c>
      <c r="AI68" t="n">
        <v/>
      </c>
      <c r="AJ68" t="n">
        <v/>
      </c>
      <c r="AK68" t="n">
        <v/>
      </c>
      <c r="AL68" t="n">
        <v/>
      </c>
      <c r="AM68" t="n">
        <v/>
      </c>
      <c r="AN68" t="n">
        <v/>
      </c>
      <c r="AO68" t="n">
        <v/>
      </c>
      <c r="AP68" t="n">
        <v/>
      </c>
      <c r="AQ68" t="n">
        <v/>
      </c>
      <c r="AR68" t="n">
        <v/>
      </c>
      <c r="AS68" t="n">
        <v/>
      </c>
      <c r="AT68" t="n">
        <v>5.130161177</v>
      </c>
      <c r="AU68" t="n">
        <v/>
      </c>
    </row>
    <row r="69">
      <c r="A69" s="106" t="n">
        <v>8980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/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  <c r="AF69" t="n">
        <v/>
      </c>
      <c r="AG69" t="n">
        <v/>
      </c>
      <c r="AH69" t="n">
        <v/>
      </c>
      <c r="AI69" t="n">
        <v/>
      </c>
      <c r="AJ69" t="n">
        <v/>
      </c>
      <c r="AK69" t="n">
        <v/>
      </c>
      <c r="AL69" t="n">
        <v/>
      </c>
      <c r="AM69" t="n">
        <v/>
      </c>
      <c r="AN69" t="n">
        <v/>
      </c>
      <c r="AO69" t="n">
        <v/>
      </c>
      <c r="AP69" t="n">
        <v/>
      </c>
      <c r="AQ69" t="n">
        <v/>
      </c>
      <c r="AR69" t="n">
        <v/>
      </c>
      <c r="AS69" t="n">
        <v/>
      </c>
      <c r="AT69" t="n">
        <v>5.31717403</v>
      </c>
      <c r="AU69" t="n">
        <v/>
      </c>
    </row>
    <row r="70">
      <c r="A70" s="106" t="n">
        <v>9011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/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  <c r="AF70" t="n">
        <v/>
      </c>
      <c r="AG70" t="n">
        <v/>
      </c>
      <c r="AH70" t="n">
        <v/>
      </c>
      <c r="AI70" t="n">
        <v/>
      </c>
      <c r="AJ70" t="n">
        <v/>
      </c>
      <c r="AK70" t="n">
        <v/>
      </c>
      <c r="AL70" t="n">
        <v/>
      </c>
      <c r="AM70" t="n">
        <v/>
      </c>
      <c r="AN70" t="n">
        <v/>
      </c>
      <c r="AO70" t="n">
        <v/>
      </c>
      <c r="AP70" t="n">
        <v/>
      </c>
      <c r="AQ70" t="n">
        <v/>
      </c>
      <c r="AR70" t="n">
        <v/>
      </c>
      <c r="AS70" t="n">
        <v/>
      </c>
      <c r="AT70" t="n">
        <v>5.504186883</v>
      </c>
      <c r="AU70" t="n">
        <v/>
      </c>
    </row>
    <row r="71">
      <c r="A71" s="106" t="n">
        <v>9041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/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  <c r="AF71" t="n">
        <v/>
      </c>
      <c r="AG71" t="n">
        <v/>
      </c>
      <c r="AH71" t="n">
        <v/>
      </c>
      <c r="AI71" t="n">
        <v/>
      </c>
      <c r="AJ71" t="n">
        <v/>
      </c>
      <c r="AK71" t="n">
        <v/>
      </c>
      <c r="AL71" t="n">
        <v/>
      </c>
      <c r="AM71" t="n">
        <v/>
      </c>
      <c r="AN71" t="n">
        <v/>
      </c>
      <c r="AO71" t="n">
        <v/>
      </c>
      <c r="AP71" t="n">
        <v/>
      </c>
      <c r="AQ71" t="n">
        <v/>
      </c>
      <c r="AR71" t="n">
        <v/>
      </c>
      <c r="AS71" t="n">
        <v/>
      </c>
      <c r="AT71" t="n">
        <v>5.637852486</v>
      </c>
      <c r="AU71" t="n">
        <v/>
      </c>
    </row>
    <row r="72">
      <c r="A72" s="106" t="n">
        <v>9072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/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  <c r="AF72" t="n">
        <v/>
      </c>
      <c r="AG72" t="n">
        <v/>
      </c>
      <c r="AH72" t="n">
        <v/>
      </c>
      <c r="AI72" t="n">
        <v/>
      </c>
      <c r="AJ72" t="n">
        <v/>
      </c>
      <c r="AK72" t="n">
        <v/>
      </c>
      <c r="AL72" t="n">
        <v/>
      </c>
      <c r="AM72" t="n">
        <v/>
      </c>
      <c r="AN72" t="n">
        <v/>
      </c>
      <c r="AO72" t="n">
        <v/>
      </c>
      <c r="AP72" t="n">
        <v/>
      </c>
      <c r="AQ72" t="n">
        <v/>
      </c>
      <c r="AR72" t="n">
        <v/>
      </c>
      <c r="AS72" t="n">
        <v/>
      </c>
      <c r="AT72" t="n">
        <v>5.744745304</v>
      </c>
      <c r="AU72" t="n">
        <v/>
      </c>
    </row>
    <row r="73">
      <c r="A73" s="106" t="n">
        <v>9102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/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  <c r="AF73" t="n">
        <v/>
      </c>
      <c r="AG73" t="n">
        <v/>
      </c>
      <c r="AH73" t="n">
        <v/>
      </c>
      <c r="AI73" t="n">
        <v/>
      </c>
      <c r="AJ73" t="n">
        <v/>
      </c>
      <c r="AK73" t="n">
        <v/>
      </c>
      <c r="AL73" t="n">
        <v/>
      </c>
      <c r="AM73" t="n">
        <v/>
      </c>
      <c r="AN73" t="n">
        <v/>
      </c>
      <c r="AO73" t="n">
        <v/>
      </c>
      <c r="AP73" t="n">
        <v/>
      </c>
      <c r="AQ73" t="n">
        <v/>
      </c>
      <c r="AR73" t="n">
        <v/>
      </c>
      <c r="AS73" t="n">
        <v/>
      </c>
      <c r="AT73" t="n">
        <v>5.904985373</v>
      </c>
      <c r="AU73" t="n">
        <v/>
      </c>
    </row>
    <row r="74">
      <c r="A74" s="106" t="n">
        <v>9133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/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  <c r="AF74" t="n">
        <v/>
      </c>
      <c r="AG74" t="n">
        <v/>
      </c>
      <c r="AH74" t="n">
        <v/>
      </c>
      <c r="AI74" t="n">
        <v/>
      </c>
      <c r="AJ74" t="n">
        <v/>
      </c>
      <c r="AK74" t="n">
        <v/>
      </c>
      <c r="AL74" t="n">
        <v/>
      </c>
      <c r="AM74" t="n">
        <v/>
      </c>
      <c r="AN74" t="n">
        <v/>
      </c>
      <c r="AO74" t="n">
        <v/>
      </c>
      <c r="AP74" t="n">
        <v/>
      </c>
      <c r="AQ74" t="n">
        <v/>
      </c>
      <c r="AR74" t="n">
        <v/>
      </c>
      <c r="AS74" t="n">
        <v/>
      </c>
      <c r="AT74" t="n">
        <v>6.092097385</v>
      </c>
      <c r="AU74" t="n">
        <v/>
      </c>
    </row>
    <row r="75">
      <c r="A75" s="106" t="n">
        <v>9164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/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  <c r="AF75" t="n">
        <v/>
      </c>
      <c r="AG75" t="n">
        <v/>
      </c>
      <c r="AH75" t="n">
        <v/>
      </c>
      <c r="AI75" t="n">
        <v/>
      </c>
      <c r="AJ75" t="n">
        <v/>
      </c>
      <c r="AK75" t="n">
        <v/>
      </c>
      <c r="AL75" t="n">
        <v/>
      </c>
      <c r="AM75" t="n">
        <v/>
      </c>
      <c r="AN75" t="n">
        <v/>
      </c>
      <c r="AO75" t="n">
        <v/>
      </c>
      <c r="AP75" t="n">
        <v/>
      </c>
      <c r="AQ75" t="n">
        <v/>
      </c>
      <c r="AR75" t="n">
        <v/>
      </c>
      <c r="AS75" t="n">
        <v/>
      </c>
      <c r="AT75" t="n">
        <v>6.092097385</v>
      </c>
      <c r="AU75" t="n">
        <v/>
      </c>
    </row>
    <row r="76">
      <c r="A76" s="106" t="n">
        <v>9192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/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  <c r="AF76" t="n">
        <v/>
      </c>
      <c r="AG76" t="n">
        <v/>
      </c>
      <c r="AH76" t="n">
        <v/>
      </c>
      <c r="AI76" t="n">
        <v/>
      </c>
      <c r="AJ76" t="n">
        <v/>
      </c>
      <c r="AK76" t="n">
        <v/>
      </c>
      <c r="AL76" t="n">
        <v/>
      </c>
      <c r="AM76" t="n">
        <v/>
      </c>
      <c r="AN76" t="n">
        <v/>
      </c>
      <c r="AO76" t="n">
        <v/>
      </c>
      <c r="AP76" t="n">
        <v/>
      </c>
      <c r="AQ76" t="n">
        <v/>
      </c>
      <c r="AR76" t="n">
        <v/>
      </c>
      <c r="AS76" t="n">
        <v/>
      </c>
      <c r="AT76" t="n">
        <v>6.092097385</v>
      </c>
      <c r="AU76" t="n">
        <v/>
      </c>
    </row>
    <row r="77">
      <c r="A77" s="106" t="n">
        <v>9223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/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  <c r="AF77" t="n">
        <v/>
      </c>
      <c r="AG77" t="n">
        <v/>
      </c>
      <c r="AH77" t="n">
        <v/>
      </c>
      <c r="AI77" t="n">
        <v/>
      </c>
      <c r="AJ77" t="n">
        <v/>
      </c>
      <c r="AK77" t="n">
        <v/>
      </c>
      <c r="AL77" t="n">
        <v/>
      </c>
      <c r="AM77" t="n">
        <v/>
      </c>
      <c r="AN77" t="n">
        <v/>
      </c>
      <c r="AO77" t="n">
        <v/>
      </c>
      <c r="AP77" t="n">
        <v/>
      </c>
      <c r="AQ77" t="n">
        <v/>
      </c>
      <c r="AR77" t="n">
        <v/>
      </c>
      <c r="AS77" t="n">
        <v/>
      </c>
      <c r="AT77" t="n">
        <v>6.145543794</v>
      </c>
      <c r="AU77" t="n">
        <v/>
      </c>
    </row>
    <row r="78">
      <c r="A78" s="106" t="n">
        <v>9253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/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  <c r="AF78" t="n">
        <v/>
      </c>
      <c r="AG78" t="n">
        <v/>
      </c>
      <c r="AH78" t="n">
        <v/>
      </c>
      <c r="AI78" t="n">
        <v/>
      </c>
      <c r="AJ78" t="n">
        <v/>
      </c>
      <c r="AK78" t="n">
        <v/>
      </c>
      <c r="AL78" t="n">
        <v/>
      </c>
      <c r="AM78" t="n">
        <v/>
      </c>
      <c r="AN78" t="n">
        <v/>
      </c>
      <c r="AO78" t="n">
        <v/>
      </c>
      <c r="AP78" t="n">
        <v/>
      </c>
      <c r="AQ78" t="n">
        <v/>
      </c>
      <c r="AR78" t="n">
        <v/>
      </c>
      <c r="AS78" t="n">
        <v/>
      </c>
      <c r="AT78" t="n">
        <v>6.11877101</v>
      </c>
      <c r="AU78" t="n">
        <v/>
      </c>
    </row>
    <row r="79">
      <c r="A79" s="106" t="n">
        <v>9284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/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  <c r="AF79" t="n">
        <v/>
      </c>
      <c r="AG79" t="n">
        <v/>
      </c>
      <c r="AH79" t="n">
        <v/>
      </c>
      <c r="AI79" t="n">
        <v/>
      </c>
      <c r="AJ79" t="n">
        <v/>
      </c>
      <c r="AK79" t="n">
        <v/>
      </c>
      <c r="AL79" t="n">
        <v/>
      </c>
      <c r="AM79" t="n">
        <v/>
      </c>
      <c r="AN79" t="n">
        <v/>
      </c>
      <c r="AO79" t="n">
        <v/>
      </c>
      <c r="AP79" t="n">
        <v/>
      </c>
      <c r="AQ79" t="n">
        <v/>
      </c>
      <c r="AR79" t="n">
        <v/>
      </c>
      <c r="AS79" t="n">
        <v/>
      </c>
      <c r="AT79" t="n">
        <v>6.065324601</v>
      </c>
      <c r="AU79" t="n">
        <v/>
      </c>
    </row>
    <row r="80">
      <c r="A80" s="106" t="n">
        <v>9314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/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  <c r="AF80" t="n">
        <v/>
      </c>
      <c r="AG80" t="n">
        <v/>
      </c>
      <c r="AH80" t="n">
        <v/>
      </c>
      <c r="AI80" t="n">
        <v/>
      </c>
      <c r="AJ80" t="n">
        <v/>
      </c>
      <c r="AK80" t="n">
        <v/>
      </c>
      <c r="AL80" t="n">
        <v/>
      </c>
      <c r="AM80" t="n">
        <v/>
      </c>
      <c r="AN80" t="n">
        <v/>
      </c>
      <c r="AO80" t="n">
        <v/>
      </c>
      <c r="AP80" t="n">
        <v/>
      </c>
      <c r="AQ80" t="n">
        <v/>
      </c>
      <c r="AR80" t="n">
        <v/>
      </c>
      <c r="AS80" t="n">
        <v/>
      </c>
      <c r="AT80" t="n">
        <v>6.225663829</v>
      </c>
      <c r="AU80" t="n">
        <v/>
      </c>
    </row>
    <row r="81">
      <c r="A81" s="106" t="n">
        <v>9345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/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  <c r="AF81" t="n">
        <v/>
      </c>
      <c r="AG81" t="n">
        <v/>
      </c>
      <c r="AH81" t="n">
        <v/>
      </c>
      <c r="AI81" t="n">
        <v/>
      </c>
      <c r="AJ81" t="n">
        <v/>
      </c>
      <c r="AK81" t="n">
        <v/>
      </c>
      <c r="AL81" t="n">
        <v/>
      </c>
      <c r="AM81" t="n">
        <v/>
      </c>
      <c r="AN81" t="n">
        <v/>
      </c>
      <c r="AO81" t="n">
        <v/>
      </c>
      <c r="AP81" t="n">
        <v/>
      </c>
      <c r="AQ81" t="n">
        <v/>
      </c>
      <c r="AR81" t="n">
        <v/>
      </c>
      <c r="AS81" t="n">
        <v/>
      </c>
      <c r="AT81" t="n">
        <v>6.11877101</v>
      </c>
      <c r="AU81" t="n">
        <v/>
      </c>
    </row>
    <row r="82">
      <c r="A82" s="106" t="n">
        <v>9376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/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  <c r="AF82" t="n">
        <v/>
      </c>
      <c r="AG82" t="n">
        <v/>
      </c>
      <c r="AH82" t="n">
        <v/>
      </c>
      <c r="AI82" t="n">
        <v/>
      </c>
      <c r="AJ82" t="n">
        <v/>
      </c>
      <c r="AK82" t="n">
        <v/>
      </c>
      <c r="AL82" t="n">
        <v/>
      </c>
      <c r="AM82" t="n">
        <v/>
      </c>
      <c r="AN82" t="n">
        <v/>
      </c>
      <c r="AO82" t="n">
        <v/>
      </c>
      <c r="AP82" t="n">
        <v/>
      </c>
      <c r="AQ82" t="n">
        <v/>
      </c>
      <c r="AR82" t="n">
        <v/>
      </c>
      <c r="AS82" t="n">
        <v/>
      </c>
      <c r="AT82" t="n">
        <v>6.038650976</v>
      </c>
      <c r="AU82" t="n">
        <v/>
      </c>
    </row>
    <row r="83">
      <c r="A83" s="106" t="n">
        <v>9406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/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  <c r="AF83" t="n">
        <v/>
      </c>
      <c r="AG83" t="n">
        <v/>
      </c>
      <c r="AH83" t="n">
        <v/>
      </c>
      <c r="AI83" t="n">
        <v/>
      </c>
      <c r="AJ83" t="n">
        <v/>
      </c>
      <c r="AK83" t="n">
        <v/>
      </c>
      <c r="AL83" t="n">
        <v/>
      </c>
      <c r="AM83" t="n">
        <v/>
      </c>
      <c r="AN83" t="n">
        <v/>
      </c>
      <c r="AO83" t="n">
        <v/>
      </c>
      <c r="AP83" t="n">
        <v/>
      </c>
      <c r="AQ83" t="n">
        <v/>
      </c>
      <c r="AR83" t="n">
        <v/>
      </c>
      <c r="AS83" t="n">
        <v/>
      </c>
      <c r="AT83" t="n">
        <v>6.279110238</v>
      </c>
      <c r="AU83" t="n">
        <v/>
      </c>
    </row>
    <row r="84">
      <c r="A84" s="106" t="n">
        <v>9437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/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  <c r="AF84" t="n">
        <v/>
      </c>
      <c r="AG84" t="n">
        <v/>
      </c>
      <c r="AH84" t="n">
        <v/>
      </c>
      <c r="AI84" t="n">
        <v/>
      </c>
      <c r="AJ84" t="n">
        <v/>
      </c>
      <c r="AK84" t="n">
        <v/>
      </c>
      <c r="AL84" t="n">
        <v/>
      </c>
      <c r="AM84" t="n">
        <v/>
      </c>
      <c r="AN84" t="n">
        <v/>
      </c>
      <c r="AO84" t="n">
        <v/>
      </c>
      <c r="AP84" t="n">
        <v/>
      </c>
      <c r="AQ84" t="n">
        <v/>
      </c>
      <c r="AR84" t="n">
        <v/>
      </c>
      <c r="AS84" t="n">
        <v/>
      </c>
      <c r="AT84" t="n">
        <v>6.412676682</v>
      </c>
      <c r="AU84" t="n">
        <v/>
      </c>
    </row>
    <row r="85">
      <c r="A85" s="106" t="n">
        <v>9467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/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  <c r="AF85" t="n">
        <v/>
      </c>
      <c r="AG85" t="n">
        <v/>
      </c>
      <c r="AH85" t="n">
        <v/>
      </c>
      <c r="AI85" t="n">
        <v/>
      </c>
      <c r="AJ85" t="n">
        <v/>
      </c>
      <c r="AK85" t="n">
        <v/>
      </c>
      <c r="AL85" t="n">
        <v/>
      </c>
      <c r="AM85" t="n">
        <v/>
      </c>
      <c r="AN85" t="n">
        <v/>
      </c>
      <c r="AO85" t="n">
        <v/>
      </c>
      <c r="AP85" t="n">
        <v/>
      </c>
      <c r="AQ85" t="n">
        <v/>
      </c>
      <c r="AR85" t="n">
        <v/>
      </c>
      <c r="AS85" t="n">
        <v/>
      </c>
      <c r="AT85" t="n">
        <v>6.492895875</v>
      </c>
      <c r="AU85" t="n">
        <v/>
      </c>
    </row>
    <row r="86">
      <c r="A86" s="106" t="n">
        <v>9498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/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  <c r="AF86" t="n">
        <v/>
      </c>
      <c r="AG86" t="n">
        <v/>
      </c>
      <c r="AH86" t="n">
        <v/>
      </c>
      <c r="AI86" t="n">
        <v/>
      </c>
      <c r="AJ86" t="n">
        <v/>
      </c>
      <c r="AK86" t="n">
        <v/>
      </c>
      <c r="AL86" t="n">
        <v/>
      </c>
      <c r="AM86" t="n">
        <v/>
      </c>
      <c r="AN86" t="n">
        <v/>
      </c>
      <c r="AO86" t="n">
        <v/>
      </c>
      <c r="AP86" t="n">
        <v/>
      </c>
      <c r="AQ86" t="n">
        <v/>
      </c>
      <c r="AR86" t="n">
        <v/>
      </c>
      <c r="AS86" t="n">
        <v/>
      </c>
      <c r="AT86" t="n">
        <v>6.386003056</v>
      </c>
      <c r="AU86" t="n">
        <v/>
      </c>
    </row>
    <row r="87">
      <c r="A87" s="106" t="n">
        <v>9529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/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  <c r="AF87" t="n">
        <v/>
      </c>
      <c r="AG87" t="n">
        <v/>
      </c>
      <c r="AH87" t="n">
        <v/>
      </c>
      <c r="AI87" t="n">
        <v/>
      </c>
      <c r="AJ87" t="n">
        <v/>
      </c>
      <c r="AK87" t="n">
        <v/>
      </c>
      <c r="AL87" t="n">
        <v/>
      </c>
      <c r="AM87" t="n">
        <v/>
      </c>
      <c r="AN87" t="n">
        <v/>
      </c>
      <c r="AO87" t="n">
        <v/>
      </c>
      <c r="AP87" t="n">
        <v/>
      </c>
      <c r="AQ87" t="n">
        <v/>
      </c>
      <c r="AR87" t="n">
        <v/>
      </c>
      <c r="AS87" t="n">
        <v/>
      </c>
      <c r="AT87" t="n">
        <v>6.386003056</v>
      </c>
      <c r="AU87" t="n">
        <v/>
      </c>
    </row>
    <row r="88">
      <c r="A88" s="106" t="n">
        <v>9557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/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  <c r="AF88" t="n">
        <v/>
      </c>
      <c r="AG88" t="n">
        <v/>
      </c>
      <c r="AH88" t="n">
        <v/>
      </c>
      <c r="AI88" t="n">
        <v/>
      </c>
      <c r="AJ88" t="n">
        <v/>
      </c>
      <c r="AK88" t="n">
        <v/>
      </c>
      <c r="AL88" t="n">
        <v/>
      </c>
      <c r="AM88" t="n">
        <v/>
      </c>
      <c r="AN88" t="n">
        <v/>
      </c>
      <c r="AO88" t="n">
        <v/>
      </c>
      <c r="AP88" t="n">
        <v/>
      </c>
      <c r="AQ88" t="n">
        <v/>
      </c>
      <c r="AR88" t="n">
        <v/>
      </c>
      <c r="AS88" t="n">
        <v/>
      </c>
      <c r="AT88" t="n">
        <v>6.466123091</v>
      </c>
      <c r="AU88" t="n">
        <v/>
      </c>
    </row>
    <row r="89">
      <c r="A89" s="106" t="n">
        <v>9588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/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  <c r="AF89" t="n">
        <v/>
      </c>
      <c r="AG89" t="n">
        <v/>
      </c>
      <c r="AH89" t="n">
        <v/>
      </c>
      <c r="AI89" t="n">
        <v/>
      </c>
      <c r="AJ89" t="n">
        <v/>
      </c>
      <c r="AK89" t="n">
        <v/>
      </c>
      <c r="AL89" t="n">
        <v/>
      </c>
      <c r="AM89" t="n">
        <v/>
      </c>
      <c r="AN89" t="n">
        <v/>
      </c>
      <c r="AO89" t="n">
        <v/>
      </c>
      <c r="AP89" t="n">
        <v/>
      </c>
      <c r="AQ89" t="n">
        <v/>
      </c>
      <c r="AR89" t="n">
        <v/>
      </c>
      <c r="AS89" t="n">
        <v/>
      </c>
      <c r="AT89" t="n">
        <v>6.466123091</v>
      </c>
      <c r="AU89" t="n">
        <v/>
      </c>
    </row>
    <row r="90">
      <c r="A90" s="106" t="n">
        <v>9618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/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  <c r="AF90" t="n">
        <v/>
      </c>
      <c r="AG90" t="n">
        <v/>
      </c>
      <c r="AH90" t="n">
        <v/>
      </c>
      <c r="AI90" t="n">
        <v/>
      </c>
      <c r="AJ90" t="n">
        <v/>
      </c>
      <c r="AK90" t="n">
        <v/>
      </c>
      <c r="AL90" t="n">
        <v/>
      </c>
      <c r="AM90" t="n">
        <v/>
      </c>
      <c r="AN90" t="n">
        <v/>
      </c>
      <c r="AO90" t="n">
        <v/>
      </c>
      <c r="AP90" t="n">
        <v/>
      </c>
      <c r="AQ90" t="n">
        <v/>
      </c>
      <c r="AR90" t="n">
        <v/>
      </c>
      <c r="AS90" t="n">
        <v/>
      </c>
      <c r="AT90" t="n">
        <v>6.412676682</v>
      </c>
      <c r="AU90" t="n">
        <v/>
      </c>
    </row>
    <row r="91">
      <c r="A91" s="106" t="n">
        <v>9649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/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  <c r="AF91" t="n">
        <v/>
      </c>
      <c r="AG91" t="n">
        <v/>
      </c>
      <c r="AH91" t="n">
        <v/>
      </c>
      <c r="AI91" t="n">
        <v/>
      </c>
      <c r="AJ91" t="n">
        <v/>
      </c>
      <c r="AK91" t="n">
        <v/>
      </c>
      <c r="AL91" t="n">
        <v/>
      </c>
      <c r="AM91" t="n">
        <v/>
      </c>
      <c r="AN91" t="n">
        <v/>
      </c>
      <c r="AO91" t="n">
        <v/>
      </c>
      <c r="AP91" t="n">
        <v/>
      </c>
      <c r="AQ91" t="n">
        <v/>
      </c>
      <c r="AR91" t="n">
        <v/>
      </c>
      <c r="AS91" t="n">
        <v/>
      </c>
      <c r="AT91" t="n">
        <v>6.492796716</v>
      </c>
      <c r="AU91" t="n">
        <v/>
      </c>
    </row>
    <row r="92">
      <c r="A92" s="106" t="n">
        <v>9679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/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  <c r="AF92" t="n">
        <v/>
      </c>
      <c r="AG92" t="n">
        <v/>
      </c>
      <c r="AH92" t="n">
        <v/>
      </c>
      <c r="AI92" t="n">
        <v/>
      </c>
      <c r="AJ92" t="n">
        <v/>
      </c>
      <c r="AK92" t="n">
        <v/>
      </c>
      <c r="AL92" t="n">
        <v/>
      </c>
      <c r="AM92" t="n">
        <v/>
      </c>
      <c r="AN92" t="n">
        <v/>
      </c>
      <c r="AO92" t="n">
        <v/>
      </c>
      <c r="AP92" t="n">
        <v/>
      </c>
      <c r="AQ92" t="n">
        <v/>
      </c>
      <c r="AR92" t="n">
        <v/>
      </c>
      <c r="AS92" t="n">
        <v/>
      </c>
      <c r="AT92" t="n">
        <v>6.5195695</v>
      </c>
      <c r="AU92" t="n">
        <v/>
      </c>
    </row>
    <row r="93">
      <c r="A93" s="106" t="n">
        <v>9710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/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  <c r="AF93" t="n">
        <v/>
      </c>
      <c r="AG93" t="n">
        <v/>
      </c>
      <c r="AH93" t="n">
        <v/>
      </c>
      <c r="AI93" t="n">
        <v/>
      </c>
      <c r="AJ93" t="n">
        <v/>
      </c>
      <c r="AK93" t="n">
        <v/>
      </c>
      <c r="AL93" t="n">
        <v/>
      </c>
      <c r="AM93" t="n">
        <v/>
      </c>
      <c r="AN93" t="n">
        <v/>
      </c>
      <c r="AO93" t="n">
        <v/>
      </c>
      <c r="AP93" t="n">
        <v/>
      </c>
      <c r="AQ93" t="n">
        <v/>
      </c>
      <c r="AR93" t="n">
        <v/>
      </c>
      <c r="AS93" t="n">
        <v/>
      </c>
      <c r="AT93" t="n">
        <v>6.599689535</v>
      </c>
      <c r="AU93" t="n">
        <v/>
      </c>
    </row>
    <row r="94">
      <c r="A94" s="106" t="n">
        <v>9741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/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  <c r="AF94" t="n">
        <v/>
      </c>
      <c r="AG94" t="n">
        <v/>
      </c>
      <c r="AH94" t="n">
        <v/>
      </c>
      <c r="AI94" t="n">
        <v/>
      </c>
      <c r="AJ94" t="n">
        <v/>
      </c>
      <c r="AK94" t="n">
        <v/>
      </c>
      <c r="AL94" t="n">
        <v/>
      </c>
      <c r="AM94" t="n">
        <v/>
      </c>
      <c r="AN94" t="n">
        <v/>
      </c>
      <c r="AO94" t="n">
        <v/>
      </c>
      <c r="AP94" t="n">
        <v/>
      </c>
      <c r="AQ94" t="n">
        <v/>
      </c>
      <c r="AR94" t="n">
        <v/>
      </c>
      <c r="AS94" t="n">
        <v/>
      </c>
      <c r="AT94" t="n">
        <v>6.706582353</v>
      </c>
      <c r="AU94" t="n">
        <v/>
      </c>
    </row>
    <row r="95">
      <c r="A95" s="106" t="n">
        <v>9771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/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  <c r="AF95" t="n">
        <v/>
      </c>
      <c r="AG95" t="n">
        <v/>
      </c>
      <c r="AH95" t="n">
        <v/>
      </c>
      <c r="AI95" t="n">
        <v/>
      </c>
      <c r="AJ95" t="n">
        <v/>
      </c>
      <c r="AK95" t="n">
        <v/>
      </c>
      <c r="AL95" t="n">
        <v/>
      </c>
      <c r="AM95" t="n">
        <v/>
      </c>
      <c r="AN95" t="n">
        <v/>
      </c>
      <c r="AO95" t="n">
        <v/>
      </c>
      <c r="AP95" t="n">
        <v/>
      </c>
      <c r="AQ95" t="n">
        <v/>
      </c>
      <c r="AR95" t="n">
        <v/>
      </c>
      <c r="AS95" t="n">
        <v/>
      </c>
      <c r="AT95" t="n">
        <v>6.706582353</v>
      </c>
      <c r="AU95" t="n">
        <v/>
      </c>
    </row>
    <row r="96">
      <c r="A96" s="106" t="n">
        <v>9802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/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  <c r="AF96" t="n">
        <v/>
      </c>
      <c r="AG96" t="n">
        <v/>
      </c>
      <c r="AH96" t="n">
        <v/>
      </c>
      <c r="AI96" t="n">
        <v/>
      </c>
      <c r="AJ96" t="n">
        <v/>
      </c>
      <c r="AK96" t="n">
        <v/>
      </c>
      <c r="AL96" t="n">
        <v/>
      </c>
      <c r="AM96" t="n">
        <v/>
      </c>
      <c r="AN96" t="n">
        <v/>
      </c>
      <c r="AO96" t="n">
        <v/>
      </c>
      <c r="AP96" t="n">
        <v/>
      </c>
      <c r="AQ96" t="n">
        <v/>
      </c>
      <c r="AR96" t="n">
        <v/>
      </c>
      <c r="AS96" t="n">
        <v/>
      </c>
      <c r="AT96" t="n">
        <v>6.679908728</v>
      </c>
      <c r="AU96" t="n">
        <v/>
      </c>
    </row>
    <row r="97">
      <c r="A97" s="106" t="n">
        <v>9832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/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  <c r="AF97" t="n">
        <v/>
      </c>
      <c r="AG97" t="n">
        <v/>
      </c>
      <c r="AH97" t="n">
        <v/>
      </c>
      <c r="AI97" t="n">
        <v/>
      </c>
      <c r="AJ97" t="n">
        <v/>
      </c>
      <c r="AK97" t="n">
        <v/>
      </c>
      <c r="AL97" t="n">
        <v/>
      </c>
      <c r="AM97" t="n">
        <v/>
      </c>
      <c r="AN97" t="n">
        <v/>
      </c>
      <c r="AO97" t="n">
        <v/>
      </c>
      <c r="AP97" t="n">
        <v/>
      </c>
      <c r="AQ97" t="n">
        <v/>
      </c>
      <c r="AR97" t="n">
        <v/>
      </c>
      <c r="AS97" t="n">
        <v/>
      </c>
      <c r="AT97" t="n">
        <v>6.653135944</v>
      </c>
      <c r="AU97" t="n">
        <v/>
      </c>
    </row>
    <row r="98">
      <c r="A98" s="106" t="n">
        <v>9863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/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/>
      </c>
      <c r="AE98" t="n">
        <v/>
      </c>
      <c r="AF98" t="n">
        <v/>
      </c>
      <c r="AG98" t="n">
        <v/>
      </c>
      <c r="AH98" t="n">
        <v/>
      </c>
      <c r="AI98" t="n">
        <v/>
      </c>
      <c r="AJ98" t="n">
        <v/>
      </c>
      <c r="AK98" t="n">
        <v/>
      </c>
      <c r="AL98" t="n">
        <v/>
      </c>
      <c r="AM98" t="n">
        <v/>
      </c>
      <c r="AN98" t="n">
        <v/>
      </c>
      <c r="AO98" t="n">
        <v/>
      </c>
      <c r="AP98" t="n">
        <v/>
      </c>
      <c r="AQ98" t="n">
        <v/>
      </c>
      <c r="AR98" t="n">
        <v/>
      </c>
      <c r="AS98" t="n">
        <v/>
      </c>
      <c r="AT98" t="n">
        <v>6.626462319</v>
      </c>
      <c r="AU98" t="n">
        <v/>
      </c>
    </row>
    <row r="99">
      <c r="A99" s="106" t="n">
        <v>9894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/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/>
      </c>
      <c r="AE99" t="n">
        <v/>
      </c>
      <c r="AF99" t="n">
        <v/>
      </c>
      <c r="AG99" t="n">
        <v/>
      </c>
      <c r="AH99" t="n">
        <v/>
      </c>
      <c r="AI99" t="n">
        <v/>
      </c>
      <c r="AJ99" t="n">
        <v/>
      </c>
      <c r="AK99" t="n">
        <v/>
      </c>
      <c r="AL99" t="n">
        <v/>
      </c>
      <c r="AM99" t="n">
        <v/>
      </c>
      <c r="AN99" t="n">
        <v/>
      </c>
      <c r="AO99" t="n">
        <v/>
      </c>
      <c r="AP99" t="n">
        <v/>
      </c>
      <c r="AQ99" t="n">
        <v/>
      </c>
      <c r="AR99" t="n">
        <v/>
      </c>
      <c r="AS99" t="n">
        <v/>
      </c>
      <c r="AT99" t="n">
        <v>6.679908728</v>
      </c>
      <c r="AU99" t="n">
        <v/>
      </c>
    </row>
    <row r="100">
      <c r="A100" s="106" t="n">
        <v>9922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/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/>
      </c>
      <c r="AE100" t="n">
        <v/>
      </c>
      <c r="AF100" t="n">
        <v/>
      </c>
      <c r="AG100" t="n">
        <v/>
      </c>
      <c r="AH100" t="n">
        <v/>
      </c>
      <c r="AI100" t="n">
        <v/>
      </c>
      <c r="AJ100" t="n">
        <v/>
      </c>
      <c r="AK100" t="n">
        <v/>
      </c>
      <c r="AL100" t="n">
        <v/>
      </c>
      <c r="AM100" t="n">
        <v/>
      </c>
      <c r="AN100" t="n">
        <v/>
      </c>
      <c r="AO100" t="n">
        <v/>
      </c>
      <c r="AP100" t="n">
        <v/>
      </c>
      <c r="AQ100" t="n">
        <v/>
      </c>
      <c r="AR100" t="n">
        <v/>
      </c>
      <c r="AS100" t="n">
        <v/>
      </c>
      <c r="AT100" t="n">
        <v>6.760028763</v>
      </c>
      <c r="AU100" t="n">
        <v/>
      </c>
    </row>
    <row r="101">
      <c r="A101" s="106" t="n">
        <v>9953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/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/>
      </c>
      <c r="AE101" t="n">
        <v/>
      </c>
      <c r="AF101" t="n">
        <v/>
      </c>
      <c r="AG101" t="n">
        <v/>
      </c>
      <c r="AH101" t="n">
        <v/>
      </c>
      <c r="AI101" t="n">
        <v/>
      </c>
      <c r="AJ101" t="n">
        <v/>
      </c>
      <c r="AK101" t="n">
        <v/>
      </c>
      <c r="AL101" t="n">
        <v/>
      </c>
      <c r="AM101" t="n">
        <v/>
      </c>
      <c r="AN101" t="n">
        <v/>
      </c>
      <c r="AO101" t="n">
        <v/>
      </c>
      <c r="AP101" t="n">
        <v/>
      </c>
      <c r="AQ101" t="n">
        <v/>
      </c>
      <c r="AR101" t="n">
        <v/>
      </c>
      <c r="AS101" t="n">
        <v/>
      </c>
      <c r="AT101" t="n">
        <v>6.599689535</v>
      </c>
      <c r="AU101" t="n">
        <v/>
      </c>
    </row>
    <row r="102">
      <c r="A102" s="106" t="n">
        <v>9983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/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/>
      </c>
      <c r="AE102" t="n">
        <v/>
      </c>
      <c r="AF102" t="n">
        <v/>
      </c>
      <c r="AG102" t="n">
        <v/>
      </c>
      <c r="AH102" t="n">
        <v/>
      </c>
      <c r="AI102" t="n">
        <v/>
      </c>
      <c r="AJ102" t="n">
        <v/>
      </c>
      <c r="AK102" t="n">
        <v/>
      </c>
      <c r="AL102" t="n">
        <v/>
      </c>
      <c r="AM102" t="n">
        <v/>
      </c>
      <c r="AN102" t="n">
        <v/>
      </c>
      <c r="AO102" t="n">
        <v/>
      </c>
      <c r="AP102" t="n">
        <v/>
      </c>
      <c r="AQ102" t="n">
        <v/>
      </c>
      <c r="AR102" t="n">
        <v/>
      </c>
      <c r="AS102" t="n">
        <v/>
      </c>
      <c r="AT102" t="n">
        <v>6.653135944</v>
      </c>
      <c r="AU102" t="n">
        <v/>
      </c>
    </row>
    <row r="103">
      <c r="A103" s="106" t="n">
        <v>10014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/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/>
      </c>
      <c r="AE103" t="n">
        <v/>
      </c>
      <c r="AF103" t="n">
        <v/>
      </c>
      <c r="AG103" t="n">
        <v/>
      </c>
      <c r="AH103" t="n">
        <v/>
      </c>
      <c r="AI103" t="n">
        <v/>
      </c>
      <c r="AJ103" t="n">
        <v/>
      </c>
      <c r="AK103" t="n">
        <v/>
      </c>
      <c r="AL103" t="n">
        <v/>
      </c>
      <c r="AM103" t="n">
        <v/>
      </c>
      <c r="AN103" t="n">
        <v/>
      </c>
      <c r="AO103" t="n">
        <v/>
      </c>
      <c r="AP103" t="n">
        <v/>
      </c>
      <c r="AQ103" t="n">
        <v/>
      </c>
      <c r="AR103" t="n">
        <v/>
      </c>
      <c r="AS103" t="n">
        <v/>
      </c>
      <c r="AT103" t="n">
        <v>6.626462319</v>
      </c>
      <c r="AU103" t="n">
        <v/>
      </c>
    </row>
    <row r="104">
      <c r="A104" s="106" t="n">
        <v>10044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/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/>
      </c>
      <c r="AE104" t="n">
        <v/>
      </c>
      <c r="AF104" t="n">
        <v/>
      </c>
      <c r="AG104" t="n">
        <v/>
      </c>
      <c r="AH104" t="n">
        <v/>
      </c>
      <c r="AI104" t="n">
        <v/>
      </c>
      <c r="AJ104" t="n">
        <v/>
      </c>
      <c r="AK104" t="n">
        <v/>
      </c>
      <c r="AL104" t="n">
        <v/>
      </c>
      <c r="AM104" t="n">
        <v/>
      </c>
      <c r="AN104" t="n">
        <v/>
      </c>
      <c r="AO104" t="n">
        <v/>
      </c>
      <c r="AP104" t="n">
        <v/>
      </c>
      <c r="AQ104" t="n">
        <v/>
      </c>
      <c r="AR104" t="n">
        <v/>
      </c>
      <c r="AS104" t="n">
        <v/>
      </c>
      <c r="AT104" t="n">
        <v>6.546243126</v>
      </c>
      <c r="AU104" t="n">
        <v/>
      </c>
    </row>
    <row r="105">
      <c r="A105" s="106" t="n">
        <v>10075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/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/>
      </c>
      <c r="AE105" t="n">
        <v/>
      </c>
      <c r="AF105" t="n">
        <v/>
      </c>
      <c r="AG105" t="n">
        <v/>
      </c>
      <c r="AH105" t="n">
        <v/>
      </c>
      <c r="AI105" t="n">
        <v/>
      </c>
      <c r="AJ105" t="n">
        <v/>
      </c>
      <c r="AK105" t="n">
        <v/>
      </c>
      <c r="AL105" t="n">
        <v/>
      </c>
      <c r="AM105" t="n">
        <v/>
      </c>
      <c r="AN105" t="n">
        <v/>
      </c>
      <c r="AO105" t="n">
        <v/>
      </c>
      <c r="AP105" t="n">
        <v/>
      </c>
      <c r="AQ105" t="n">
        <v/>
      </c>
      <c r="AR105" t="n">
        <v/>
      </c>
      <c r="AS105" t="n">
        <v/>
      </c>
      <c r="AT105" t="n">
        <v>6.546243126</v>
      </c>
      <c r="AU105" t="n">
        <v/>
      </c>
    </row>
    <row r="106">
      <c r="A106" s="106" t="n">
        <v>10106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/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/>
      </c>
      <c r="AE106" t="n">
        <v/>
      </c>
      <c r="AF106" t="n">
        <v/>
      </c>
      <c r="AG106" t="n">
        <v/>
      </c>
      <c r="AH106" t="n">
        <v/>
      </c>
      <c r="AI106" t="n">
        <v/>
      </c>
      <c r="AJ106" t="n">
        <v/>
      </c>
      <c r="AK106" t="n">
        <v/>
      </c>
      <c r="AL106" t="n">
        <v/>
      </c>
      <c r="AM106" t="n">
        <v/>
      </c>
      <c r="AN106" t="n">
        <v/>
      </c>
      <c r="AO106" t="n">
        <v/>
      </c>
      <c r="AP106" t="n">
        <v/>
      </c>
      <c r="AQ106" t="n">
        <v/>
      </c>
      <c r="AR106" t="n">
        <v/>
      </c>
      <c r="AS106" t="n">
        <v/>
      </c>
      <c r="AT106" t="n">
        <v>6.439449466</v>
      </c>
      <c r="AU106" t="n">
        <v/>
      </c>
    </row>
    <row r="107">
      <c r="A107" s="106" t="n">
        <v>10136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/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/>
      </c>
      <c r="AE107" t="n">
        <v/>
      </c>
      <c r="AF107" t="n">
        <v/>
      </c>
      <c r="AG107" t="n">
        <v/>
      </c>
      <c r="AH107" t="n">
        <v/>
      </c>
      <c r="AI107" t="n">
        <v/>
      </c>
      <c r="AJ107" t="n">
        <v/>
      </c>
      <c r="AK107" t="n">
        <v/>
      </c>
      <c r="AL107" t="n">
        <v/>
      </c>
      <c r="AM107" t="n">
        <v/>
      </c>
      <c r="AN107" t="n">
        <v/>
      </c>
      <c r="AO107" t="n">
        <v/>
      </c>
      <c r="AP107" t="n">
        <v/>
      </c>
      <c r="AQ107" t="n">
        <v/>
      </c>
      <c r="AR107" t="n">
        <v/>
      </c>
      <c r="AS107" t="n">
        <v/>
      </c>
      <c r="AT107" t="n">
        <v>6.305783863</v>
      </c>
      <c r="AU107" t="n">
        <v/>
      </c>
    </row>
    <row r="108">
      <c r="A108" s="106" t="n">
        <v>10167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/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/>
      </c>
      <c r="AE108" t="n">
        <v/>
      </c>
      <c r="AF108" t="n">
        <v/>
      </c>
      <c r="AG108" t="n">
        <v/>
      </c>
      <c r="AH108" t="n">
        <v/>
      </c>
      <c r="AI108" t="n">
        <v/>
      </c>
      <c r="AJ108" t="n">
        <v/>
      </c>
      <c r="AK108" t="n">
        <v/>
      </c>
      <c r="AL108" t="n">
        <v/>
      </c>
      <c r="AM108" t="n">
        <v/>
      </c>
      <c r="AN108" t="n">
        <v/>
      </c>
      <c r="AO108" t="n">
        <v/>
      </c>
      <c r="AP108" t="n">
        <v/>
      </c>
      <c r="AQ108" t="n">
        <v/>
      </c>
      <c r="AR108" t="n">
        <v/>
      </c>
      <c r="AS108" t="n">
        <v/>
      </c>
      <c r="AT108" t="n">
        <v>6.305783863</v>
      </c>
      <c r="AU108" t="n">
        <v/>
      </c>
    </row>
    <row r="109">
      <c r="A109" s="106" t="n">
        <v>10197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/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/>
      </c>
      <c r="AE109" t="n">
        <v/>
      </c>
      <c r="AF109" t="n">
        <v/>
      </c>
      <c r="AG109" t="n">
        <v/>
      </c>
      <c r="AH109" t="n">
        <v/>
      </c>
      <c r="AI109" t="n">
        <v/>
      </c>
      <c r="AJ109" t="n">
        <v/>
      </c>
      <c r="AK109" t="n">
        <v/>
      </c>
      <c r="AL109" t="n">
        <v/>
      </c>
      <c r="AM109" t="n">
        <v/>
      </c>
      <c r="AN109" t="n">
        <v/>
      </c>
      <c r="AO109" t="n">
        <v/>
      </c>
      <c r="AP109" t="n">
        <v/>
      </c>
      <c r="AQ109" t="n">
        <v/>
      </c>
      <c r="AR109" t="n">
        <v/>
      </c>
      <c r="AS109" t="n">
        <v/>
      </c>
      <c r="AT109" t="n">
        <v>6.332556647</v>
      </c>
      <c r="AU109" t="n">
        <v/>
      </c>
    </row>
    <row r="110">
      <c r="A110" s="106" t="n">
        <v>10228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/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/>
      </c>
      <c r="AE110" t="n">
        <v/>
      </c>
      <c r="AF110" t="n">
        <v/>
      </c>
      <c r="AG110" t="n">
        <v/>
      </c>
      <c r="AH110" t="n">
        <v/>
      </c>
      <c r="AI110" t="n">
        <v/>
      </c>
      <c r="AJ110" t="n">
        <v/>
      </c>
      <c r="AK110" t="n">
        <v/>
      </c>
      <c r="AL110" t="n">
        <v/>
      </c>
      <c r="AM110" t="n">
        <v/>
      </c>
      <c r="AN110" t="n">
        <v/>
      </c>
      <c r="AO110" t="n">
        <v/>
      </c>
      <c r="AP110" t="n">
        <v/>
      </c>
      <c r="AQ110" t="n">
        <v/>
      </c>
      <c r="AR110" t="n">
        <v/>
      </c>
      <c r="AS110" t="n">
        <v/>
      </c>
      <c r="AT110" t="n">
        <v>6.466123091</v>
      </c>
      <c r="AU110" t="n">
        <v/>
      </c>
    </row>
    <row r="111">
      <c r="A111" s="106" t="n">
        <v>10259</v>
      </c>
      <c r="B111" t="n">
        <v/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/>
      </c>
      <c r="Q111" t="n">
        <v/>
      </c>
      <c r="R111" t="n">
        <v/>
      </c>
      <c r="S111" t="n">
        <v/>
      </c>
      <c r="T111" t="n">
        <v/>
      </c>
      <c r="U111" t="n">
        <v/>
      </c>
      <c r="V111" t="n">
        <v/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/>
      </c>
      <c r="AC111" t="n">
        <v/>
      </c>
      <c r="AD111" t="n">
        <v/>
      </c>
      <c r="AE111" t="n">
        <v/>
      </c>
      <c r="AF111" t="n">
        <v/>
      </c>
      <c r="AG111" t="n">
        <v/>
      </c>
      <c r="AH111" t="n">
        <v/>
      </c>
      <c r="AI111" t="n">
        <v/>
      </c>
      <c r="AJ111" t="n">
        <v/>
      </c>
      <c r="AK111" t="n">
        <v/>
      </c>
      <c r="AL111" t="n">
        <v/>
      </c>
      <c r="AM111" t="n">
        <v/>
      </c>
      <c r="AN111" t="n">
        <v/>
      </c>
      <c r="AO111" t="n">
        <v/>
      </c>
      <c r="AP111" t="n">
        <v/>
      </c>
      <c r="AQ111" t="n">
        <v/>
      </c>
      <c r="AR111" t="n">
        <v/>
      </c>
      <c r="AS111" t="n">
        <v/>
      </c>
      <c r="AT111" t="n">
        <v>6.5195695</v>
      </c>
      <c r="AU111" t="n">
        <v/>
      </c>
    </row>
    <row r="112">
      <c r="A112" s="106" t="n">
        <v>10288</v>
      </c>
      <c r="B112" t="n">
        <v/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/>
      </c>
      <c r="Q112" t="n">
        <v/>
      </c>
      <c r="R112" t="n">
        <v/>
      </c>
      <c r="S112" t="n">
        <v/>
      </c>
      <c r="T112" t="n">
        <v/>
      </c>
      <c r="U112" t="n">
        <v/>
      </c>
      <c r="V112" t="n">
        <v/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/>
      </c>
      <c r="AC112" t="n">
        <v/>
      </c>
      <c r="AD112" t="n">
        <v/>
      </c>
      <c r="AE112" t="n">
        <v/>
      </c>
      <c r="AF112" t="n">
        <v/>
      </c>
      <c r="AG112" t="n">
        <v/>
      </c>
      <c r="AH112" t="n">
        <v/>
      </c>
      <c r="AI112" t="n">
        <v/>
      </c>
      <c r="AJ112" t="n">
        <v/>
      </c>
      <c r="AK112" t="n">
        <v/>
      </c>
      <c r="AL112" t="n">
        <v/>
      </c>
      <c r="AM112" t="n">
        <v/>
      </c>
      <c r="AN112" t="n">
        <v/>
      </c>
      <c r="AO112" t="n">
        <v/>
      </c>
      <c r="AP112" t="n">
        <v/>
      </c>
      <c r="AQ112" t="n">
        <v/>
      </c>
      <c r="AR112" t="n">
        <v/>
      </c>
      <c r="AS112" t="n">
        <v/>
      </c>
      <c r="AT112" t="n">
        <v>6.573015909</v>
      </c>
      <c r="AU112" t="n">
        <v/>
      </c>
    </row>
    <row r="113">
      <c r="A113" s="106" t="n">
        <v>10319</v>
      </c>
      <c r="B113" t="n">
        <v/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/>
      </c>
      <c r="Q113" t="n">
        <v/>
      </c>
      <c r="R113" t="n">
        <v/>
      </c>
      <c r="S113" t="n">
        <v/>
      </c>
      <c r="T113" t="n">
        <v/>
      </c>
      <c r="U113" t="n">
        <v/>
      </c>
      <c r="V113" t="n">
        <v/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/>
      </c>
      <c r="AC113" t="n">
        <v/>
      </c>
      <c r="AD113" t="n">
        <v/>
      </c>
      <c r="AE113" t="n">
        <v/>
      </c>
      <c r="AF113" t="n">
        <v/>
      </c>
      <c r="AG113" t="n">
        <v/>
      </c>
      <c r="AH113" t="n">
        <v/>
      </c>
      <c r="AI113" t="n">
        <v/>
      </c>
      <c r="AJ113" t="n">
        <v/>
      </c>
      <c r="AK113" t="n">
        <v/>
      </c>
      <c r="AL113" t="n">
        <v/>
      </c>
      <c r="AM113" t="n">
        <v/>
      </c>
      <c r="AN113" t="n">
        <v/>
      </c>
      <c r="AO113" t="n">
        <v/>
      </c>
      <c r="AP113" t="n">
        <v/>
      </c>
      <c r="AQ113" t="n">
        <v/>
      </c>
      <c r="AR113" t="n">
        <v/>
      </c>
      <c r="AS113" t="n">
        <v/>
      </c>
      <c r="AT113" t="n">
        <v>6.546243126</v>
      </c>
      <c r="AU113" t="n">
        <v/>
      </c>
    </row>
    <row r="114">
      <c r="A114" s="106" t="n">
        <v>10349</v>
      </c>
      <c r="B114" t="n">
        <v/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/>
      </c>
      <c r="Q114" t="n">
        <v/>
      </c>
      <c r="R114" t="n">
        <v/>
      </c>
      <c r="S114" t="n">
        <v/>
      </c>
      <c r="T114" t="n">
        <v/>
      </c>
      <c r="U114" t="n">
        <v/>
      </c>
      <c r="V114" t="n">
        <v/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/>
      </c>
      <c r="AC114" t="n">
        <v/>
      </c>
      <c r="AD114" t="n">
        <v/>
      </c>
      <c r="AE114" t="n">
        <v/>
      </c>
      <c r="AF114" t="n">
        <v/>
      </c>
      <c r="AG114" t="n">
        <v/>
      </c>
      <c r="AH114" t="n">
        <v/>
      </c>
      <c r="AI114" t="n">
        <v/>
      </c>
      <c r="AJ114" t="n">
        <v/>
      </c>
      <c r="AK114" t="n">
        <v/>
      </c>
      <c r="AL114" t="n">
        <v/>
      </c>
      <c r="AM114" t="n">
        <v/>
      </c>
      <c r="AN114" t="n">
        <v/>
      </c>
      <c r="AO114" t="n">
        <v/>
      </c>
      <c r="AP114" t="n">
        <v/>
      </c>
      <c r="AQ114" t="n">
        <v/>
      </c>
      <c r="AR114" t="n">
        <v/>
      </c>
      <c r="AS114" t="n">
        <v/>
      </c>
      <c r="AT114" t="n">
        <v>6.626462319</v>
      </c>
      <c r="AU114" t="n">
        <v/>
      </c>
    </row>
    <row r="115">
      <c r="A115" s="106" t="n">
        <v>10380</v>
      </c>
      <c r="B115" t="n">
        <v/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/>
      </c>
      <c r="Q115" t="n">
        <v/>
      </c>
      <c r="R115" t="n">
        <v/>
      </c>
      <c r="S115" t="n">
        <v/>
      </c>
      <c r="T115" t="n">
        <v/>
      </c>
      <c r="U115" t="n">
        <v/>
      </c>
      <c r="V115" t="n">
        <v/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/>
      </c>
      <c r="AC115" t="n">
        <v/>
      </c>
      <c r="AD115" t="n">
        <v/>
      </c>
      <c r="AE115" t="n">
        <v/>
      </c>
      <c r="AF115" t="n">
        <v/>
      </c>
      <c r="AG115" t="n">
        <v/>
      </c>
      <c r="AH115" t="n">
        <v/>
      </c>
      <c r="AI115" t="n">
        <v/>
      </c>
      <c r="AJ115" t="n">
        <v/>
      </c>
      <c r="AK115" t="n">
        <v/>
      </c>
      <c r="AL115" t="n">
        <v/>
      </c>
      <c r="AM115" t="n">
        <v/>
      </c>
      <c r="AN115" t="n">
        <v/>
      </c>
      <c r="AO115" t="n">
        <v/>
      </c>
      <c r="AP115" t="n">
        <v/>
      </c>
      <c r="AQ115" t="n">
        <v/>
      </c>
      <c r="AR115" t="n">
        <v/>
      </c>
      <c r="AS115" t="n">
        <v/>
      </c>
      <c r="AT115" t="n">
        <v>6.679908728</v>
      </c>
      <c r="AU115" t="n">
        <v/>
      </c>
    </row>
    <row r="116">
      <c r="A116" s="106" t="n">
        <v>10410</v>
      </c>
      <c r="B116" t="n">
        <v/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/>
      </c>
      <c r="Q116" t="n">
        <v/>
      </c>
      <c r="R116" t="n">
        <v/>
      </c>
      <c r="S116" t="n">
        <v/>
      </c>
      <c r="T116" t="n">
        <v/>
      </c>
      <c r="U116" t="n">
        <v/>
      </c>
      <c r="V116" t="n">
        <v/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/>
      </c>
      <c r="AC116" t="n">
        <v/>
      </c>
      <c r="AD116" t="n">
        <v/>
      </c>
      <c r="AE116" t="n">
        <v/>
      </c>
      <c r="AF116" t="n">
        <v/>
      </c>
      <c r="AG116" t="n">
        <v/>
      </c>
      <c r="AH116" t="n">
        <v/>
      </c>
      <c r="AI116" t="n">
        <v/>
      </c>
      <c r="AJ116" t="n">
        <v/>
      </c>
      <c r="AK116" t="n">
        <v/>
      </c>
      <c r="AL116" t="n">
        <v/>
      </c>
      <c r="AM116" t="n">
        <v/>
      </c>
      <c r="AN116" t="n">
        <v/>
      </c>
      <c r="AO116" t="n">
        <v/>
      </c>
      <c r="AP116" t="n">
        <v/>
      </c>
      <c r="AQ116" t="n">
        <v/>
      </c>
      <c r="AR116" t="n">
        <v/>
      </c>
      <c r="AS116" t="n">
        <v/>
      </c>
      <c r="AT116" t="n">
        <v>6.760028763</v>
      </c>
      <c r="AU116" t="n">
        <v/>
      </c>
    </row>
    <row r="117">
      <c r="A117" s="106" t="n">
        <v>10441</v>
      </c>
      <c r="B117" t="n">
        <v/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/>
      </c>
      <c r="Q117" t="n">
        <v/>
      </c>
      <c r="R117" t="n">
        <v/>
      </c>
      <c r="S117" t="n">
        <v/>
      </c>
      <c r="T117" t="n">
        <v/>
      </c>
      <c r="U117" t="n">
        <v/>
      </c>
      <c r="V117" t="n">
        <v/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/>
      </c>
      <c r="AC117" t="n">
        <v/>
      </c>
      <c r="AD117" t="n">
        <v/>
      </c>
      <c r="AE117" t="n">
        <v/>
      </c>
      <c r="AF117" t="n">
        <v/>
      </c>
      <c r="AG117" t="n">
        <v/>
      </c>
      <c r="AH117" t="n">
        <v/>
      </c>
      <c r="AI117" t="n">
        <v/>
      </c>
      <c r="AJ117" t="n">
        <v/>
      </c>
      <c r="AK117" t="n">
        <v/>
      </c>
      <c r="AL117" t="n">
        <v/>
      </c>
      <c r="AM117" t="n">
        <v/>
      </c>
      <c r="AN117" t="n">
        <v/>
      </c>
      <c r="AO117" t="n">
        <v/>
      </c>
      <c r="AP117" t="n">
        <v/>
      </c>
      <c r="AQ117" t="n">
        <v/>
      </c>
      <c r="AR117" t="n">
        <v/>
      </c>
      <c r="AS117" t="n">
        <v/>
      </c>
      <c r="AT117" t="n">
        <v>6.893694365</v>
      </c>
      <c r="AU117" t="n">
        <v/>
      </c>
    </row>
    <row r="118">
      <c r="A118" s="106" t="n">
        <v>10472</v>
      </c>
      <c r="B118" t="n">
        <v/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/>
      </c>
      <c r="Q118" t="n">
        <v/>
      </c>
      <c r="R118" t="n">
        <v/>
      </c>
      <c r="S118" t="n">
        <v/>
      </c>
      <c r="T118" t="n">
        <v/>
      </c>
      <c r="U118" t="n">
        <v/>
      </c>
      <c r="V118" t="n">
        <v/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/>
      </c>
      <c r="AC118" t="n">
        <v/>
      </c>
      <c r="AD118" t="n">
        <v/>
      </c>
      <c r="AE118" t="n">
        <v/>
      </c>
      <c r="AF118" t="n">
        <v/>
      </c>
      <c r="AG118" t="n">
        <v/>
      </c>
      <c r="AH118" t="n">
        <v/>
      </c>
      <c r="AI118" t="n">
        <v/>
      </c>
      <c r="AJ118" t="n">
        <v/>
      </c>
      <c r="AK118" t="n">
        <v/>
      </c>
      <c r="AL118" t="n">
        <v/>
      </c>
      <c r="AM118" t="n">
        <v/>
      </c>
      <c r="AN118" t="n">
        <v/>
      </c>
      <c r="AO118" t="n">
        <v/>
      </c>
      <c r="AP118" t="n">
        <v/>
      </c>
      <c r="AQ118" t="n">
        <v/>
      </c>
      <c r="AR118" t="n">
        <v/>
      </c>
      <c r="AS118" t="n">
        <v/>
      </c>
      <c r="AT118" t="n">
        <v>6.947041616</v>
      </c>
      <c r="AU118" t="n">
        <v/>
      </c>
    </row>
    <row r="119">
      <c r="A119" s="106" t="n">
        <v>10502</v>
      </c>
      <c r="B119" t="n">
        <v/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/>
      </c>
      <c r="Q119" t="n">
        <v/>
      </c>
      <c r="R119" t="n">
        <v/>
      </c>
      <c r="S119" t="n">
        <v/>
      </c>
      <c r="T119" t="n">
        <v/>
      </c>
      <c r="U119" t="n">
        <v/>
      </c>
      <c r="V119" t="n">
        <v/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/>
      </c>
      <c r="AC119" t="n">
        <v/>
      </c>
      <c r="AD119" t="n">
        <v/>
      </c>
      <c r="AE119" t="n">
        <v/>
      </c>
      <c r="AF119" t="n">
        <v/>
      </c>
      <c r="AG119" t="n">
        <v/>
      </c>
      <c r="AH119" t="n">
        <v/>
      </c>
      <c r="AI119" t="n">
        <v/>
      </c>
      <c r="AJ119" t="n">
        <v/>
      </c>
      <c r="AK119" t="n">
        <v/>
      </c>
      <c r="AL119" t="n">
        <v/>
      </c>
      <c r="AM119" t="n">
        <v/>
      </c>
      <c r="AN119" t="n">
        <v/>
      </c>
      <c r="AO119" t="n">
        <v/>
      </c>
      <c r="AP119" t="n">
        <v/>
      </c>
      <c r="AQ119" t="n">
        <v/>
      </c>
      <c r="AR119" t="n">
        <v/>
      </c>
      <c r="AS119" t="n">
        <v/>
      </c>
      <c r="AT119" t="n">
        <v>7.080707218</v>
      </c>
      <c r="AU119" t="n">
        <v/>
      </c>
    </row>
    <row r="120">
      <c r="A120" s="106" t="n">
        <v>10533</v>
      </c>
      <c r="B120" t="n">
        <v/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/>
      </c>
      <c r="Q120" t="n">
        <v/>
      </c>
      <c r="R120" t="n">
        <v/>
      </c>
      <c r="S120" t="n">
        <v/>
      </c>
      <c r="T120" t="n">
        <v/>
      </c>
      <c r="U120" t="n">
        <v/>
      </c>
      <c r="V120" t="n">
        <v/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/>
      </c>
      <c r="AC120" t="n">
        <v/>
      </c>
      <c r="AD120" t="n">
        <v/>
      </c>
      <c r="AE120" t="n">
        <v/>
      </c>
      <c r="AF120" t="n">
        <v/>
      </c>
      <c r="AG120" t="n">
        <v/>
      </c>
      <c r="AH120" t="n">
        <v/>
      </c>
      <c r="AI120" t="n">
        <v/>
      </c>
      <c r="AJ120" t="n">
        <v/>
      </c>
      <c r="AK120" t="n">
        <v/>
      </c>
      <c r="AL120" t="n">
        <v/>
      </c>
      <c r="AM120" t="n">
        <v/>
      </c>
      <c r="AN120" t="n">
        <v/>
      </c>
      <c r="AO120" t="n">
        <v/>
      </c>
      <c r="AP120" t="n">
        <v/>
      </c>
      <c r="AQ120" t="n">
        <v/>
      </c>
      <c r="AR120" t="n">
        <v/>
      </c>
      <c r="AS120" t="n">
        <v/>
      </c>
      <c r="AT120" t="n">
        <v>7.214273662</v>
      </c>
      <c r="AU120" t="n">
        <v/>
      </c>
    </row>
    <row r="121">
      <c r="A121" s="106" t="n">
        <v>10563</v>
      </c>
      <c r="B121" t="n">
        <v/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/>
      </c>
      <c r="Q121" t="n">
        <v/>
      </c>
      <c r="R121" t="n">
        <v/>
      </c>
      <c r="S121" t="n">
        <v/>
      </c>
      <c r="T121" t="n">
        <v/>
      </c>
      <c r="U121" t="n">
        <v/>
      </c>
      <c r="V121" t="n">
        <v/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/>
      </c>
      <c r="AC121" t="n">
        <v/>
      </c>
      <c r="AD121" t="n">
        <v/>
      </c>
      <c r="AE121" t="n">
        <v/>
      </c>
      <c r="AF121" t="n">
        <v/>
      </c>
      <c r="AG121" t="n">
        <v/>
      </c>
      <c r="AH121" t="n">
        <v/>
      </c>
      <c r="AI121" t="n">
        <v/>
      </c>
      <c r="AJ121" t="n">
        <v/>
      </c>
      <c r="AK121" t="n">
        <v/>
      </c>
      <c r="AL121" t="n">
        <v/>
      </c>
      <c r="AM121" t="n">
        <v/>
      </c>
      <c r="AN121" t="n">
        <v/>
      </c>
      <c r="AO121" t="n">
        <v/>
      </c>
      <c r="AP121" t="n">
        <v/>
      </c>
      <c r="AQ121" t="n">
        <v/>
      </c>
      <c r="AR121" t="n">
        <v/>
      </c>
      <c r="AS121" t="n">
        <v/>
      </c>
      <c r="AT121" t="n">
        <v>7.347840106</v>
      </c>
      <c r="AU121" t="n">
        <v/>
      </c>
    </row>
    <row r="122">
      <c r="A122" s="106" t="n">
        <v>10594</v>
      </c>
      <c r="B122" t="n">
        <v/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/>
      </c>
      <c r="Q122" t="n">
        <v/>
      </c>
      <c r="R122" t="n">
        <v/>
      </c>
      <c r="S122" t="n">
        <v/>
      </c>
      <c r="T122" t="n">
        <v/>
      </c>
      <c r="U122" t="n">
        <v/>
      </c>
      <c r="V122" t="n">
        <v/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/>
      </c>
      <c r="AC122" t="n">
        <v/>
      </c>
      <c r="AD122" t="n">
        <v/>
      </c>
      <c r="AE122" t="n">
        <v/>
      </c>
      <c r="AF122" t="n">
        <v/>
      </c>
      <c r="AG122" t="n">
        <v/>
      </c>
      <c r="AH122" t="n">
        <v/>
      </c>
      <c r="AI122" t="n">
        <v/>
      </c>
      <c r="AJ122" t="n">
        <v/>
      </c>
      <c r="AK122" t="n">
        <v/>
      </c>
      <c r="AL122" t="n">
        <v/>
      </c>
      <c r="AM122" t="n">
        <v/>
      </c>
      <c r="AN122" t="n">
        <v/>
      </c>
      <c r="AO122" t="n">
        <v/>
      </c>
      <c r="AP122" t="n">
        <v/>
      </c>
      <c r="AQ122" t="n">
        <v/>
      </c>
      <c r="AR122" t="n">
        <v/>
      </c>
      <c r="AS122" t="n">
        <v/>
      </c>
      <c r="AT122" t="n">
        <v>7.454732924</v>
      </c>
      <c r="AU122" t="n">
        <v/>
      </c>
    </row>
    <row r="123">
      <c r="A123" s="106" t="n">
        <v>10625</v>
      </c>
      <c r="B123" t="n">
        <v/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/>
      </c>
      <c r="Q123" t="n">
        <v/>
      </c>
      <c r="R123" t="n">
        <v/>
      </c>
      <c r="S123" t="n">
        <v/>
      </c>
      <c r="T123" t="n">
        <v/>
      </c>
      <c r="U123" t="n">
        <v/>
      </c>
      <c r="V123" t="n">
        <v/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/>
      </c>
      <c r="AC123" t="n">
        <v/>
      </c>
      <c r="AD123" t="n">
        <v/>
      </c>
      <c r="AE123" t="n">
        <v/>
      </c>
      <c r="AF123" t="n">
        <v/>
      </c>
      <c r="AG123" t="n">
        <v/>
      </c>
      <c r="AH123" t="n">
        <v/>
      </c>
      <c r="AI123" t="n">
        <v/>
      </c>
      <c r="AJ123" t="n">
        <v/>
      </c>
      <c r="AK123" t="n">
        <v/>
      </c>
      <c r="AL123" t="n">
        <v/>
      </c>
      <c r="AM123" t="n">
        <v/>
      </c>
      <c r="AN123" t="n">
        <v/>
      </c>
      <c r="AO123" t="n">
        <v/>
      </c>
      <c r="AP123" t="n">
        <v/>
      </c>
      <c r="AQ123" t="n">
        <v/>
      </c>
      <c r="AR123" t="n">
        <v/>
      </c>
      <c r="AS123" t="n">
        <v/>
      </c>
      <c r="AT123" t="n">
        <v>7.428059299</v>
      </c>
      <c r="AU123" t="n">
        <v/>
      </c>
    </row>
    <row r="124">
      <c r="A124" s="106" t="n">
        <v>10653</v>
      </c>
      <c r="B124" t="n">
        <v/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/>
      </c>
      <c r="Q124" t="n">
        <v/>
      </c>
      <c r="R124" t="n">
        <v/>
      </c>
      <c r="S124" t="n">
        <v/>
      </c>
      <c r="T124" t="n">
        <v/>
      </c>
      <c r="U124" t="n">
        <v/>
      </c>
      <c r="V124" t="n">
        <v/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/>
      </c>
      <c r="AC124" t="n">
        <v/>
      </c>
      <c r="AD124" t="n">
        <v/>
      </c>
      <c r="AE124" t="n">
        <v/>
      </c>
      <c r="AF124" t="n">
        <v/>
      </c>
      <c r="AG124" t="n">
        <v/>
      </c>
      <c r="AH124" t="n">
        <v/>
      </c>
      <c r="AI124" t="n">
        <v/>
      </c>
      <c r="AJ124" t="n">
        <v/>
      </c>
      <c r="AK124" t="n">
        <v/>
      </c>
      <c r="AL124" t="n">
        <v/>
      </c>
      <c r="AM124" t="n">
        <v/>
      </c>
      <c r="AN124" t="n">
        <v/>
      </c>
      <c r="AO124" t="n">
        <v/>
      </c>
      <c r="AP124" t="n">
        <v/>
      </c>
      <c r="AQ124" t="n">
        <v/>
      </c>
      <c r="AR124" t="n">
        <v/>
      </c>
      <c r="AS124" t="n">
        <v/>
      </c>
      <c r="AT124" t="n">
        <v>7.454732924</v>
      </c>
      <c r="AU124" t="n">
        <v/>
      </c>
    </row>
    <row r="125">
      <c r="A125" s="106" t="n">
        <v>10684</v>
      </c>
      <c r="B125" t="n">
        <v/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/>
      </c>
      <c r="Q125" t="n">
        <v/>
      </c>
      <c r="R125" t="n">
        <v/>
      </c>
      <c r="S125" t="n">
        <v/>
      </c>
      <c r="T125" t="n">
        <v/>
      </c>
      <c r="U125" t="n">
        <v/>
      </c>
      <c r="V125" t="n">
        <v/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/>
      </c>
      <c r="AC125" t="n">
        <v/>
      </c>
      <c r="AD125" t="n">
        <v/>
      </c>
      <c r="AE125" t="n">
        <v/>
      </c>
      <c r="AF125" t="n">
        <v/>
      </c>
      <c r="AG125" t="n">
        <v/>
      </c>
      <c r="AH125" t="n">
        <v/>
      </c>
      <c r="AI125" t="n">
        <v/>
      </c>
      <c r="AJ125" t="n">
        <v/>
      </c>
      <c r="AK125" t="n">
        <v/>
      </c>
      <c r="AL125" t="n">
        <v/>
      </c>
      <c r="AM125" t="n">
        <v/>
      </c>
      <c r="AN125" t="n">
        <v/>
      </c>
      <c r="AO125" t="n">
        <v/>
      </c>
      <c r="AP125" t="n">
        <v/>
      </c>
      <c r="AQ125" t="n">
        <v/>
      </c>
      <c r="AR125" t="n">
        <v/>
      </c>
      <c r="AS125" t="n">
        <v/>
      </c>
      <c r="AT125" t="n">
        <v>7.588398526</v>
      </c>
      <c r="AU125" t="n">
        <v/>
      </c>
    </row>
    <row r="126">
      <c r="A126" s="106" t="n">
        <v>10714</v>
      </c>
      <c r="B126" t="n">
        <v/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/>
      </c>
      <c r="Q126" t="n">
        <v/>
      </c>
      <c r="R126" t="n">
        <v/>
      </c>
      <c r="S126" t="n">
        <v/>
      </c>
      <c r="T126" t="n">
        <v/>
      </c>
      <c r="U126" t="n">
        <v/>
      </c>
      <c r="V126" t="n">
        <v/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/>
      </c>
      <c r="AC126" t="n">
        <v/>
      </c>
      <c r="AD126" t="n">
        <v/>
      </c>
      <c r="AE126" t="n">
        <v/>
      </c>
      <c r="AF126" t="n">
        <v/>
      </c>
      <c r="AG126" t="n">
        <v/>
      </c>
      <c r="AH126" t="n">
        <v/>
      </c>
      <c r="AI126" t="n">
        <v/>
      </c>
      <c r="AJ126" t="n">
        <v/>
      </c>
      <c r="AK126" t="n">
        <v/>
      </c>
      <c r="AL126" t="n">
        <v/>
      </c>
      <c r="AM126" t="n">
        <v/>
      </c>
      <c r="AN126" t="n">
        <v/>
      </c>
      <c r="AO126" t="n">
        <v/>
      </c>
      <c r="AP126" t="n">
        <v/>
      </c>
      <c r="AQ126" t="n">
        <v/>
      </c>
      <c r="AR126" t="n">
        <v/>
      </c>
      <c r="AS126" t="n">
        <v/>
      </c>
      <c r="AT126" t="n">
        <v>7.72196497</v>
      </c>
      <c r="AU126" t="n">
        <v/>
      </c>
    </row>
    <row r="127">
      <c r="A127" s="106" t="n">
        <v>10745</v>
      </c>
      <c r="B127" t="n">
        <v/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/>
      </c>
      <c r="Q127" t="n">
        <v/>
      </c>
      <c r="R127" t="n">
        <v/>
      </c>
      <c r="S127" t="n">
        <v/>
      </c>
      <c r="T127" t="n">
        <v/>
      </c>
      <c r="U127" t="n">
        <v/>
      </c>
      <c r="V127" t="n">
        <v/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/>
      </c>
      <c r="AC127" t="n">
        <v/>
      </c>
      <c r="AD127" t="n">
        <v/>
      </c>
      <c r="AE127" t="n">
        <v/>
      </c>
      <c r="AF127" t="n">
        <v/>
      </c>
      <c r="AG127" t="n">
        <v/>
      </c>
      <c r="AH127" t="n">
        <v/>
      </c>
      <c r="AI127" t="n">
        <v/>
      </c>
      <c r="AJ127" t="n">
        <v/>
      </c>
      <c r="AK127" t="n">
        <v/>
      </c>
      <c r="AL127" t="n">
        <v/>
      </c>
      <c r="AM127" t="n">
        <v/>
      </c>
      <c r="AN127" t="n">
        <v/>
      </c>
      <c r="AO127" t="n">
        <v/>
      </c>
      <c r="AP127" t="n">
        <v/>
      </c>
      <c r="AQ127" t="n">
        <v/>
      </c>
      <c r="AR127" t="n">
        <v/>
      </c>
      <c r="AS127" t="n">
        <v/>
      </c>
      <c r="AT127" t="n">
        <v>7.77541138</v>
      </c>
      <c r="AU127" t="n">
        <v/>
      </c>
    </row>
    <row r="128">
      <c r="A128" s="106" t="n">
        <v>10775</v>
      </c>
      <c r="B128" t="n">
        <v/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/>
      </c>
      <c r="Q128" t="n">
        <v/>
      </c>
      <c r="R128" t="n">
        <v/>
      </c>
      <c r="S128" t="n">
        <v/>
      </c>
      <c r="T128" t="n">
        <v/>
      </c>
      <c r="U128" t="n">
        <v/>
      </c>
      <c r="V128" t="n">
        <v/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/>
      </c>
      <c r="AC128" t="n">
        <v/>
      </c>
      <c r="AD128" t="n">
        <v/>
      </c>
      <c r="AE128" t="n">
        <v/>
      </c>
      <c r="AF128" t="n">
        <v/>
      </c>
      <c r="AG128" t="n">
        <v/>
      </c>
      <c r="AH128" t="n">
        <v/>
      </c>
      <c r="AI128" t="n">
        <v/>
      </c>
      <c r="AJ128" t="n">
        <v/>
      </c>
      <c r="AK128" t="n">
        <v/>
      </c>
      <c r="AL128" t="n">
        <v/>
      </c>
      <c r="AM128" t="n">
        <v/>
      </c>
      <c r="AN128" t="n">
        <v/>
      </c>
      <c r="AO128" t="n">
        <v/>
      </c>
      <c r="AP128" t="n">
        <v/>
      </c>
      <c r="AQ128" t="n">
        <v/>
      </c>
      <c r="AR128" t="n">
        <v/>
      </c>
      <c r="AS128" t="n">
        <v/>
      </c>
      <c r="AT128" t="n">
        <v>7.882304198</v>
      </c>
      <c r="AU128" t="n">
        <v/>
      </c>
    </row>
    <row r="129">
      <c r="A129" s="106" t="n">
        <v>10806</v>
      </c>
      <c r="B129" t="n">
        <v/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/>
      </c>
      <c r="Q129" t="n">
        <v/>
      </c>
      <c r="R129" t="n">
        <v/>
      </c>
      <c r="S129" t="n">
        <v/>
      </c>
      <c r="T129" t="n">
        <v/>
      </c>
      <c r="U129" t="n">
        <v/>
      </c>
      <c r="V129" t="n">
        <v/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/>
      </c>
      <c r="AC129" t="n">
        <v/>
      </c>
      <c r="AD129" t="n">
        <v/>
      </c>
      <c r="AE129" t="n">
        <v/>
      </c>
      <c r="AF129" t="n">
        <v/>
      </c>
      <c r="AG129" t="n">
        <v/>
      </c>
      <c r="AH129" t="n">
        <v/>
      </c>
      <c r="AI129" t="n">
        <v/>
      </c>
      <c r="AJ129" t="n">
        <v/>
      </c>
      <c r="AK129" t="n">
        <v/>
      </c>
      <c r="AL129" t="n">
        <v/>
      </c>
      <c r="AM129" t="n">
        <v/>
      </c>
      <c r="AN129" t="n">
        <v/>
      </c>
      <c r="AO129" t="n">
        <v/>
      </c>
      <c r="AP129" t="n">
        <v/>
      </c>
      <c r="AQ129" t="n">
        <v/>
      </c>
      <c r="AR129" t="n">
        <v/>
      </c>
      <c r="AS129" t="n">
        <v/>
      </c>
      <c r="AT129" t="n">
        <v>7.802085005</v>
      </c>
      <c r="AU129" t="n">
        <v/>
      </c>
    </row>
    <row r="130">
      <c r="A130" s="106" t="n">
        <v>10837</v>
      </c>
      <c r="B130" t="n">
        <v/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/>
      </c>
      <c r="Q130" t="n">
        <v/>
      </c>
      <c r="R130" t="n">
        <v/>
      </c>
      <c r="S130" t="n">
        <v/>
      </c>
      <c r="T130" t="n">
        <v/>
      </c>
      <c r="U130" t="n">
        <v/>
      </c>
      <c r="V130" t="n">
        <v/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/>
      </c>
      <c r="AC130" t="n">
        <v/>
      </c>
      <c r="AD130" t="n">
        <v/>
      </c>
      <c r="AE130" t="n">
        <v/>
      </c>
      <c r="AF130" t="n">
        <v/>
      </c>
      <c r="AG130" t="n">
        <v/>
      </c>
      <c r="AH130" t="n">
        <v/>
      </c>
      <c r="AI130" t="n">
        <v/>
      </c>
      <c r="AJ130" t="n">
        <v/>
      </c>
      <c r="AK130" t="n">
        <v/>
      </c>
      <c r="AL130" t="n">
        <v/>
      </c>
      <c r="AM130" t="n">
        <v/>
      </c>
      <c r="AN130" t="n">
        <v/>
      </c>
      <c r="AO130" t="n">
        <v/>
      </c>
      <c r="AP130" t="n">
        <v/>
      </c>
      <c r="AQ130" t="n">
        <v/>
      </c>
      <c r="AR130" t="n">
        <v/>
      </c>
      <c r="AS130" t="n">
        <v/>
      </c>
      <c r="AT130" t="n">
        <v>7.748638596</v>
      </c>
      <c r="AU130" t="n">
        <v/>
      </c>
    </row>
    <row r="131">
      <c r="A131" s="106" t="n">
        <v>10867</v>
      </c>
      <c r="B131" t="n">
        <v/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/>
      </c>
      <c r="Q131" t="n">
        <v/>
      </c>
      <c r="R131" t="n">
        <v/>
      </c>
      <c r="S131" t="n">
        <v/>
      </c>
      <c r="T131" t="n">
        <v/>
      </c>
      <c r="U131" t="n">
        <v/>
      </c>
      <c r="V131" t="n">
        <v/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/>
      </c>
      <c r="AC131" t="n">
        <v/>
      </c>
      <c r="AD131" t="n">
        <v/>
      </c>
      <c r="AE131" t="n">
        <v/>
      </c>
      <c r="AF131" t="n">
        <v/>
      </c>
      <c r="AG131" t="n">
        <v/>
      </c>
      <c r="AH131" t="n">
        <v/>
      </c>
      <c r="AI131" t="n">
        <v/>
      </c>
      <c r="AJ131" t="n">
        <v/>
      </c>
      <c r="AK131" t="n">
        <v/>
      </c>
      <c r="AL131" t="n">
        <v/>
      </c>
      <c r="AM131" t="n">
        <v/>
      </c>
      <c r="AN131" t="n">
        <v/>
      </c>
      <c r="AO131" t="n">
        <v/>
      </c>
      <c r="AP131" t="n">
        <v/>
      </c>
      <c r="AQ131" t="n">
        <v/>
      </c>
      <c r="AR131" t="n">
        <v/>
      </c>
      <c r="AS131" t="n">
        <v/>
      </c>
      <c r="AT131" t="n">
        <v>7.615072152</v>
      </c>
      <c r="AU131" t="n">
        <v/>
      </c>
    </row>
    <row r="132">
      <c r="A132" s="106" t="n">
        <v>10898</v>
      </c>
      <c r="B132" t="n">
        <v/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/>
      </c>
      <c r="Q132" t="n">
        <v/>
      </c>
      <c r="R132" t="n">
        <v/>
      </c>
      <c r="S132" t="n">
        <v/>
      </c>
      <c r="T132" t="n">
        <v/>
      </c>
      <c r="U132" t="n">
        <v/>
      </c>
      <c r="V132" t="n">
        <v/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/>
      </c>
      <c r="AC132" t="n">
        <v/>
      </c>
      <c r="AD132" t="n">
        <v/>
      </c>
      <c r="AE132" t="n">
        <v/>
      </c>
      <c r="AF132" t="n">
        <v/>
      </c>
      <c r="AG132" t="n">
        <v/>
      </c>
      <c r="AH132" t="n">
        <v/>
      </c>
      <c r="AI132" t="n">
        <v/>
      </c>
      <c r="AJ132" t="n">
        <v/>
      </c>
      <c r="AK132" t="n">
        <v/>
      </c>
      <c r="AL132" t="n">
        <v/>
      </c>
      <c r="AM132" t="n">
        <v/>
      </c>
      <c r="AN132" t="n">
        <v/>
      </c>
      <c r="AO132" t="n">
        <v/>
      </c>
      <c r="AP132" t="n">
        <v/>
      </c>
      <c r="AQ132" t="n">
        <v/>
      </c>
      <c r="AR132" t="n">
        <v/>
      </c>
      <c r="AS132" t="n">
        <v/>
      </c>
      <c r="AT132" t="n">
        <v>7.241046446</v>
      </c>
      <c r="AU132" t="n">
        <v/>
      </c>
    </row>
    <row r="133">
      <c r="A133" s="106" t="n">
        <v>10928</v>
      </c>
      <c r="B133" t="n">
        <v/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/>
      </c>
      <c r="Q133" t="n">
        <v/>
      </c>
      <c r="R133" t="n">
        <v/>
      </c>
      <c r="S133" t="n">
        <v/>
      </c>
      <c r="T133" t="n">
        <v/>
      </c>
      <c r="U133" t="n">
        <v/>
      </c>
      <c r="V133" t="n">
        <v/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/>
      </c>
      <c r="AC133" t="n">
        <v/>
      </c>
      <c r="AD133" t="n">
        <v/>
      </c>
      <c r="AE133" t="n">
        <v/>
      </c>
      <c r="AF133" t="n">
        <v/>
      </c>
      <c r="AG133" t="n">
        <v/>
      </c>
      <c r="AH133" t="n">
        <v/>
      </c>
      <c r="AI133" t="n">
        <v/>
      </c>
      <c r="AJ133" t="n">
        <v/>
      </c>
      <c r="AK133" t="n">
        <v/>
      </c>
      <c r="AL133" t="n">
        <v/>
      </c>
      <c r="AM133" t="n">
        <v/>
      </c>
      <c r="AN133" t="n">
        <v/>
      </c>
      <c r="AO133" t="n">
        <v/>
      </c>
      <c r="AP133" t="n">
        <v/>
      </c>
      <c r="AQ133" t="n">
        <v/>
      </c>
      <c r="AR133" t="n">
        <v/>
      </c>
      <c r="AS133" t="n">
        <v/>
      </c>
      <c r="AT133" t="n">
        <v>6.92036799</v>
      </c>
      <c r="AU133" t="n">
        <v/>
      </c>
    </row>
    <row r="134">
      <c r="A134" s="106" t="n">
        <v>10959</v>
      </c>
      <c r="B134" t="n">
        <v/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/>
      </c>
      <c r="Q134" t="n">
        <v/>
      </c>
      <c r="R134" t="n">
        <v/>
      </c>
      <c r="S134" t="n">
        <v/>
      </c>
      <c r="T134" t="n">
        <v/>
      </c>
      <c r="U134" t="n">
        <v/>
      </c>
      <c r="V134" t="n">
        <v/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/>
      </c>
      <c r="AC134" t="n">
        <v/>
      </c>
      <c r="AD134" t="n">
        <v/>
      </c>
      <c r="AE134" t="n">
        <v/>
      </c>
      <c r="AF134" t="n">
        <v/>
      </c>
      <c r="AG134" t="n">
        <v/>
      </c>
      <c r="AH134" t="n">
        <v/>
      </c>
      <c r="AI134" t="n">
        <v/>
      </c>
      <c r="AJ134" t="n">
        <v/>
      </c>
      <c r="AK134" t="n">
        <v/>
      </c>
      <c r="AL134" t="n">
        <v/>
      </c>
      <c r="AM134" t="n">
        <v/>
      </c>
      <c r="AN134" t="n">
        <v/>
      </c>
      <c r="AO134" t="n">
        <v/>
      </c>
      <c r="AP134" t="n">
        <v/>
      </c>
      <c r="AQ134" t="n">
        <v/>
      </c>
      <c r="AR134" t="n">
        <v/>
      </c>
      <c r="AS134" t="n">
        <v/>
      </c>
      <c r="AT134" t="n">
        <v>6.92036799</v>
      </c>
      <c r="AU134" t="n">
        <v/>
      </c>
    </row>
    <row r="135">
      <c r="A135" s="106" t="n">
        <v>10990</v>
      </c>
      <c r="B135" t="n">
        <v/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/>
      </c>
      <c r="Q135" t="n">
        <v/>
      </c>
      <c r="R135" t="n">
        <v/>
      </c>
      <c r="S135" t="n">
        <v/>
      </c>
      <c r="T135" t="n">
        <v/>
      </c>
      <c r="U135" t="n">
        <v/>
      </c>
      <c r="V135" t="n">
        <v/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/>
      </c>
      <c r="AC135" t="n">
        <v/>
      </c>
      <c r="AD135" t="n">
        <v/>
      </c>
      <c r="AE135" t="n">
        <v/>
      </c>
      <c r="AF135" t="n">
        <v/>
      </c>
      <c r="AG135" t="n">
        <v/>
      </c>
      <c r="AH135" t="n">
        <v/>
      </c>
      <c r="AI135" t="n">
        <v/>
      </c>
      <c r="AJ135" t="n">
        <v/>
      </c>
      <c r="AK135" t="n">
        <v/>
      </c>
      <c r="AL135" t="n">
        <v/>
      </c>
      <c r="AM135" t="n">
        <v/>
      </c>
      <c r="AN135" t="n">
        <v/>
      </c>
      <c r="AO135" t="n">
        <v/>
      </c>
      <c r="AP135" t="n">
        <v/>
      </c>
      <c r="AQ135" t="n">
        <v/>
      </c>
      <c r="AR135" t="n">
        <v/>
      </c>
      <c r="AS135" t="n">
        <v/>
      </c>
      <c r="AT135" t="n">
        <v>6.893595206</v>
      </c>
      <c r="AU135" t="n">
        <v/>
      </c>
    </row>
    <row r="136">
      <c r="A136" s="106" t="n">
        <v>11018</v>
      </c>
      <c r="B136" t="n">
        <v/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/>
      </c>
      <c r="Q136" t="n">
        <v/>
      </c>
      <c r="R136" t="n">
        <v/>
      </c>
      <c r="S136" t="n">
        <v/>
      </c>
      <c r="T136" t="n">
        <v/>
      </c>
      <c r="U136" t="n">
        <v/>
      </c>
      <c r="V136" t="n">
        <v/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/>
      </c>
      <c r="AC136" t="n">
        <v/>
      </c>
      <c r="AD136" t="n">
        <v/>
      </c>
      <c r="AE136" t="n">
        <v/>
      </c>
      <c r="AF136" t="n">
        <v/>
      </c>
      <c r="AG136" t="n">
        <v/>
      </c>
      <c r="AH136" t="n">
        <v/>
      </c>
      <c r="AI136" t="n">
        <v/>
      </c>
      <c r="AJ136" t="n">
        <v/>
      </c>
      <c r="AK136" t="n">
        <v/>
      </c>
      <c r="AL136" t="n">
        <v/>
      </c>
      <c r="AM136" t="n">
        <v/>
      </c>
      <c r="AN136" t="n">
        <v/>
      </c>
      <c r="AO136" t="n">
        <v/>
      </c>
      <c r="AP136" t="n">
        <v/>
      </c>
      <c r="AQ136" t="n">
        <v/>
      </c>
      <c r="AR136" t="n">
        <v/>
      </c>
      <c r="AS136" t="n">
        <v/>
      </c>
      <c r="AT136" t="n">
        <v>6.786801546</v>
      </c>
      <c r="AU136" t="n">
        <v/>
      </c>
    </row>
    <row r="137">
      <c r="A137" s="106" t="n">
        <v>11049</v>
      </c>
      <c r="B137" t="n">
        <v/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/>
      </c>
      <c r="Q137" t="n">
        <v/>
      </c>
      <c r="R137" t="n">
        <v/>
      </c>
      <c r="S137" t="n">
        <v/>
      </c>
      <c r="T137" t="n">
        <v/>
      </c>
      <c r="U137" t="n">
        <v/>
      </c>
      <c r="V137" t="n">
        <v/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/>
      </c>
      <c r="AC137" t="n">
        <v/>
      </c>
      <c r="AD137" t="n">
        <v/>
      </c>
      <c r="AE137" t="n">
        <v/>
      </c>
      <c r="AF137" t="n">
        <v/>
      </c>
      <c r="AG137" t="n">
        <v/>
      </c>
      <c r="AH137" t="n">
        <v/>
      </c>
      <c r="AI137" t="n">
        <v/>
      </c>
      <c r="AJ137" t="n">
        <v/>
      </c>
      <c r="AK137" t="n">
        <v/>
      </c>
      <c r="AL137" t="n">
        <v/>
      </c>
      <c r="AM137" t="n">
        <v/>
      </c>
      <c r="AN137" t="n">
        <v/>
      </c>
      <c r="AO137" t="n">
        <v/>
      </c>
      <c r="AP137" t="n">
        <v/>
      </c>
      <c r="AQ137" t="n">
        <v/>
      </c>
      <c r="AR137" t="n">
        <v/>
      </c>
      <c r="AS137" t="n">
        <v/>
      </c>
      <c r="AT137" t="n">
        <v>6.733355137</v>
      </c>
      <c r="AU137" t="n">
        <v/>
      </c>
    </row>
    <row r="138">
      <c r="A138" s="106" t="n">
        <v>11079</v>
      </c>
      <c r="B138" t="n">
        <v/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/>
      </c>
      <c r="Q138" t="n">
        <v/>
      </c>
      <c r="R138" t="n">
        <v/>
      </c>
      <c r="S138" t="n">
        <v/>
      </c>
      <c r="T138" t="n">
        <v/>
      </c>
      <c r="U138" t="n">
        <v/>
      </c>
      <c r="V138" t="n">
        <v/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/>
      </c>
      <c r="AC138" t="n">
        <v/>
      </c>
      <c r="AD138" t="n">
        <v/>
      </c>
      <c r="AE138" t="n">
        <v/>
      </c>
      <c r="AF138" t="n">
        <v/>
      </c>
      <c r="AG138" t="n">
        <v/>
      </c>
      <c r="AH138" t="n">
        <v/>
      </c>
      <c r="AI138" t="n">
        <v/>
      </c>
      <c r="AJ138" t="n">
        <v/>
      </c>
      <c r="AK138" t="n">
        <v/>
      </c>
      <c r="AL138" t="n">
        <v/>
      </c>
      <c r="AM138" t="n">
        <v/>
      </c>
      <c r="AN138" t="n">
        <v/>
      </c>
      <c r="AO138" t="n">
        <v/>
      </c>
      <c r="AP138" t="n">
        <v/>
      </c>
      <c r="AQ138" t="n">
        <v/>
      </c>
      <c r="AR138" t="n">
        <v/>
      </c>
      <c r="AS138" t="n">
        <v/>
      </c>
      <c r="AT138" t="n">
        <v>6.626462319</v>
      </c>
      <c r="AU138" t="n">
        <v/>
      </c>
    </row>
    <row r="139">
      <c r="A139" s="106" t="n">
        <v>11110</v>
      </c>
      <c r="B139" t="n">
        <v/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/>
      </c>
      <c r="Q139" t="n">
        <v/>
      </c>
      <c r="R139" t="n">
        <v/>
      </c>
      <c r="S139" t="n">
        <v/>
      </c>
      <c r="T139" t="n">
        <v/>
      </c>
      <c r="U139" t="n">
        <v/>
      </c>
      <c r="V139" t="n">
        <v/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/>
      </c>
      <c r="AC139" t="n">
        <v/>
      </c>
      <c r="AD139" t="n">
        <v/>
      </c>
      <c r="AE139" t="n">
        <v/>
      </c>
      <c r="AF139" t="n">
        <v/>
      </c>
      <c r="AG139" t="n">
        <v/>
      </c>
      <c r="AH139" t="n">
        <v/>
      </c>
      <c r="AI139" t="n">
        <v/>
      </c>
      <c r="AJ139" t="n">
        <v/>
      </c>
      <c r="AK139" t="n">
        <v/>
      </c>
      <c r="AL139" t="n">
        <v/>
      </c>
      <c r="AM139" t="n">
        <v/>
      </c>
      <c r="AN139" t="n">
        <v/>
      </c>
      <c r="AO139" t="n">
        <v/>
      </c>
      <c r="AP139" t="n">
        <v/>
      </c>
      <c r="AQ139" t="n">
        <v/>
      </c>
      <c r="AR139" t="n">
        <v/>
      </c>
      <c r="AS139" t="n">
        <v/>
      </c>
      <c r="AT139" t="n">
        <v>6.439449466</v>
      </c>
      <c r="AU139" t="n">
        <v/>
      </c>
    </row>
    <row r="140">
      <c r="A140" s="106" t="n">
        <v>11140</v>
      </c>
      <c r="B140" t="n">
        <v/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/>
      </c>
      <c r="Q140" t="n">
        <v/>
      </c>
      <c r="R140" t="n">
        <v/>
      </c>
      <c r="S140" t="n">
        <v/>
      </c>
      <c r="T140" t="n">
        <v/>
      </c>
      <c r="U140" t="n">
        <v/>
      </c>
      <c r="V140" t="n">
        <v/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/>
      </c>
      <c r="AC140" t="n">
        <v/>
      </c>
      <c r="AD140" t="n">
        <v/>
      </c>
      <c r="AE140" t="n">
        <v/>
      </c>
      <c r="AF140" t="n">
        <v/>
      </c>
      <c r="AG140" t="n">
        <v/>
      </c>
      <c r="AH140" t="n">
        <v/>
      </c>
      <c r="AI140" t="n">
        <v/>
      </c>
      <c r="AJ140" t="n">
        <v/>
      </c>
      <c r="AK140" t="n">
        <v/>
      </c>
      <c r="AL140" t="n">
        <v/>
      </c>
      <c r="AM140" t="n">
        <v/>
      </c>
      <c r="AN140" t="n">
        <v/>
      </c>
      <c r="AO140" t="n">
        <v/>
      </c>
      <c r="AP140" t="n">
        <v/>
      </c>
      <c r="AQ140" t="n">
        <v/>
      </c>
      <c r="AR140" t="n">
        <v/>
      </c>
      <c r="AS140" t="n">
        <v/>
      </c>
      <c r="AT140" t="n">
        <v>6.145543794</v>
      </c>
      <c r="AU140" t="n">
        <v/>
      </c>
    </row>
    <row r="141">
      <c r="A141" s="106" t="n">
        <v>11171</v>
      </c>
      <c r="B141" t="n">
        <v/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/>
      </c>
      <c r="Q141" t="n">
        <v/>
      </c>
      <c r="R141" t="n">
        <v/>
      </c>
      <c r="S141" t="n">
        <v/>
      </c>
      <c r="T141" t="n">
        <v/>
      </c>
      <c r="U141" t="n">
        <v/>
      </c>
      <c r="V141" t="n">
        <v/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/>
      </c>
      <c r="AC141" t="n">
        <v/>
      </c>
      <c r="AD141" t="n">
        <v/>
      </c>
      <c r="AE141" t="n">
        <v/>
      </c>
      <c r="AF141" t="n">
        <v/>
      </c>
      <c r="AG141" t="n">
        <v/>
      </c>
      <c r="AH141" t="n">
        <v/>
      </c>
      <c r="AI141" t="n">
        <v/>
      </c>
      <c r="AJ141" t="n">
        <v/>
      </c>
      <c r="AK141" t="n">
        <v/>
      </c>
      <c r="AL141" t="n">
        <v/>
      </c>
      <c r="AM141" t="n">
        <v/>
      </c>
      <c r="AN141" t="n">
        <v/>
      </c>
      <c r="AO141" t="n">
        <v/>
      </c>
      <c r="AP141" t="n">
        <v/>
      </c>
      <c r="AQ141" t="n">
        <v/>
      </c>
      <c r="AR141" t="n">
        <v/>
      </c>
      <c r="AS141" t="n">
        <v/>
      </c>
      <c r="AT141" t="n">
        <v>6.011878192</v>
      </c>
      <c r="AU141" t="n">
        <v/>
      </c>
    </row>
    <row r="142">
      <c r="A142" s="106" t="n">
        <v>11202</v>
      </c>
      <c r="B142" t="n">
        <v/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/>
      </c>
      <c r="Q142" t="n">
        <v/>
      </c>
      <c r="R142" t="n">
        <v/>
      </c>
      <c r="S142" t="n">
        <v/>
      </c>
      <c r="T142" t="n">
        <v/>
      </c>
      <c r="U142" t="n">
        <v/>
      </c>
      <c r="V142" t="n">
        <v/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/>
      </c>
      <c r="AC142" t="n">
        <v/>
      </c>
      <c r="AD142" t="n">
        <v/>
      </c>
      <c r="AE142" t="n">
        <v/>
      </c>
      <c r="AF142" t="n">
        <v/>
      </c>
      <c r="AG142" t="n">
        <v/>
      </c>
      <c r="AH142" t="n">
        <v/>
      </c>
      <c r="AI142" t="n">
        <v/>
      </c>
      <c r="AJ142" t="n">
        <v/>
      </c>
      <c r="AK142" t="n">
        <v/>
      </c>
      <c r="AL142" t="n">
        <v/>
      </c>
      <c r="AM142" t="n">
        <v/>
      </c>
      <c r="AN142" t="n">
        <v/>
      </c>
      <c r="AO142" t="n">
        <v/>
      </c>
      <c r="AP142" t="n">
        <v/>
      </c>
      <c r="AQ142" t="n">
        <v/>
      </c>
      <c r="AR142" t="n">
        <v/>
      </c>
      <c r="AS142" t="n">
        <v/>
      </c>
      <c r="AT142" t="n">
        <v>5.904985373</v>
      </c>
      <c r="AU142" t="n">
        <v/>
      </c>
    </row>
    <row r="143">
      <c r="A143" s="106" t="n">
        <v>11232</v>
      </c>
      <c r="B143" t="n">
        <v/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/>
      </c>
      <c r="Q143" t="n">
        <v/>
      </c>
      <c r="R143" t="n">
        <v/>
      </c>
      <c r="S143" t="n">
        <v/>
      </c>
      <c r="T143" t="n">
        <v/>
      </c>
      <c r="U143" t="n">
        <v/>
      </c>
      <c r="V143" t="n">
        <v/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/>
      </c>
      <c r="AC143" t="n">
        <v/>
      </c>
      <c r="AD143" t="n">
        <v/>
      </c>
      <c r="AE143" t="n">
        <v/>
      </c>
      <c r="AF143" t="n">
        <v/>
      </c>
      <c r="AG143" t="n">
        <v/>
      </c>
      <c r="AH143" t="n">
        <v/>
      </c>
      <c r="AI143" t="n">
        <v/>
      </c>
      <c r="AJ143" t="n">
        <v/>
      </c>
      <c r="AK143" t="n">
        <v/>
      </c>
      <c r="AL143" t="n">
        <v/>
      </c>
      <c r="AM143" t="n">
        <v/>
      </c>
      <c r="AN143" t="n">
        <v/>
      </c>
      <c r="AO143" t="n">
        <v/>
      </c>
      <c r="AP143" t="n">
        <v/>
      </c>
      <c r="AQ143" t="n">
        <v/>
      </c>
      <c r="AR143" t="n">
        <v/>
      </c>
      <c r="AS143" t="n">
        <v/>
      </c>
      <c r="AT143" t="n">
        <v>5.744745304</v>
      </c>
      <c r="AU143" t="n">
        <v/>
      </c>
    </row>
    <row r="144">
      <c r="A144" s="106" t="n">
        <v>11263</v>
      </c>
      <c r="B144" t="n">
        <v/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/>
      </c>
      <c r="Q144" t="n">
        <v/>
      </c>
      <c r="R144" t="n">
        <v/>
      </c>
      <c r="S144" t="n">
        <v/>
      </c>
      <c r="T144" t="n">
        <v/>
      </c>
      <c r="U144" t="n">
        <v/>
      </c>
      <c r="V144" t="n">
        <v/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/>
      </c>
      <c r="AC144" t="n">
        <v/>
      </c>
      <c r="AD144" t="n">
        <v/>
      </c>
      <c r="AE144" t="n">
        <v/>
      </c>
      <c r="AF144" t="n">
        <v/>
      </c>
      <c r="AG144" t="n">
        <v/>
      </c>
      <c r="AH144" t="n">
        <v/>
      </c>
      <c r="AI144" t="n">
        <v/>
      </c>
      <c r="AJ144" t="n">
        <v/>
      </c>
      <c r="AK144" t="n">
        <v/>
      </c>
      <c r="AL144" t="n">
        <v/>
      </c>
      <c r="AM144" t="n">
        <v/>
      </c>
      <c r="AN144" t="n">
        <v/>
      </c>
      <c r="AO144" t="n">
        <v/>
      </c>
      <c r="AP144" t="n">
        <v/>
      </c>
      <c r="AQ144" t="n">
        <v/>
      </c>
      <c r="AR144" t="n">
        <v/>
      </c>
      <c r="AS144" t="n">
        <v/>
      </c>
      <c r="AT144" t="n">
        <v>5.611079702</v>
      </c>
      <c r="AU144" t="n">
        <v/>
      </c>
    </row>
    <row r="145">
      <c r="A145" s="106" t="n">
        <v>11293</v>
      </c>
      <c r="B145" t="n">
        <v/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/>
      </c>
      <c r="Q145" t="n">
        <v/>
      </c>
      <c r="R145" t="n">
        <v/>
      </c>
      <c r="S145" t="n">
        <v/>
      </c>
      <c r="T145" t="n">
        <v/>
      </c>
      <c r="U145" t="n">
        <v/>
      </c>
      <c r="V145" t="n">
        <v/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/>
      </c>
      <c r="AC145" t="n">
        <v/>
      </c>
      <c r="AD145" t="n">
        <v/>
      </c>
      <c r="AE145" t="n">
        <v/>
      </c>
      <c r="AF145" t="n">
        <v/>
      </c>
      <c r="AG145" t="n">
        <v/>
      </c>
      <c r="AH145" t="n">
        <v/>
      </c>
      <c r="AI145" t="n">
        <v/>
      </c>
      <c r="AJ145" t="n">
        <v/>
      </c>
      <c r="AK145" t="n">
        <v/>
      </c>
      <c r="AL145" t="n">
        <v/>
      </c>
      <c r="AM145" t="n">
        <v/>
      </c>
      <c r="AN145" t="n">
        <v/>
      </c>
      <c r="AO145" t="n">
        <v/>
      </c>
      <c r="AP145" t="n">
        <v/>
      </c>
      <c r="AQ145" t="n">
        <v/>
      </c>
      <c r="AR145" t="n">
        <v/>
      </c>
      <c r="AS145" t="n">
        <v/>
      </c>
      <c r="AT145" t="n">
        <v>5.477513258</v>
      </c>
      <c r="AU145" t="n">
        <v/>
      </c>
    </row>
    <row r="146">
      <c r="A146" s="106" t="n">
        <v>11324</v>
      </c>
      <c r="B146" t="n">
        <v/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/>
      </c>
      <c r="Q146" t="n">
        <v/>
      </c>
      <c r="R146" t="n">
        <v/>
      </c>
      <c r="S146" t="n">
        <v/>
      </c>
      <c r="T146" t="n">
        <v/>
      </c>
      <c r="U146" t="n">
        <v/>
      </c>
      <c r="V146" t="n">
        <v/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/>
      </c>
      <c r="AC146" t="n">
        <v/>
      </c>
      <c r="AD146" t="n">
        <v/>
      </c>
      <c r="AE146" t="n">
        <v/>
      </c>
      <c r="AF146" t="n">
        <v/>
      </c>
      <c r="AG146" t="n">
        <v/>
      </c>
      <c r="AH146" t="n">
        <v/>
      </c>
      <c r="AI146" t="n">
        <v/>
      </c>
      <c r="AJ146" t="n">
        <v/>
      </c>
      <c r="AK146" t="n">
        <v/>
      </c>
      <c r="AL146" t="n">
        <v/>
      </c>
      <c r="AM146" t="n">
        <v/>
      </c>
      <c r="AN146" t="n">
        <v/>
      </c>
      <c r="AO146" t="n">
        <v/>
      </c>
      <c r="AP146" t="n">
        <v/>
      </c>
      <c r="AQ146" t="n">
        <v/>
      </c>
      <c r="AR146" t="n">
        <v/>
      </c>
      <c r="AS146" t="n">
        <v/>
      </c>
      <c r="AT146" t="n">
        <v>5.450740474</v>
      </c>
      <c r="AU146" t="n">
        <v/>
      </c>
    </row>
    <row r="147">
      <c r="A147" s="106" t="n">
        <v>11355</v>
      </c>
      <c r="B147" t="n">
        <v/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/>
      </c>
      <c r="Q147" t="n">
        <v/>
      </c>
      <c r="R147" t="n">
        <v/>
      </c>
      <c r="S147" t="n">
        <v/>
      </c>
      <c r="T147" t="n">
        <v/>
      </c>
      <c r="U147" t="n">
        <v/>
      </c>
      <c r="V147" t="n">
        <v/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/>
      </c>
      <c r="AC147" t="n">
        <v/>
      </c>
      <c r="AD147" t="n">
        <v/>
      </c>
      <c r="AE147" t="n">
        <v/>
      </c>
      <c r="AF147" t="n">
        <v/>
      </c>
      <c r="AG147" t="n">
        <v/>
      </c>
      <c r="AH147" t="n">
        <v/>
      </c>
      <c r="AI147" t="n">
        <v/>
      </c>
      <c r="AJ147" t="n">
        <v/>
      </c>
      <c r="AK147" t="n">
        <v/>
      </c>
      <c r="AL147" t="n">
        <v/>
      </c>
      <c r="AM147" t="n">
        <v/>
      </c>
      <c r="AN147" t="n">
        <v/>
      </c>
      <c r="AO147" t="n">
        <v/>
      </c>
      <c r="AP147" t="n">
        <v/>
      </c>
      <c r="AQ147" t="n">
        <v/>
      </c>
      <c r="AR147" t="n">
        <v/>
      </c>
      <c r="AS147" t="n">
        <v/>
      </c>
      <c r="AT147" t="n">
        <v>5.477513258</v>
      </c>
      <c r="AU147" t="n">
        <v/>
      </c>
    </row>
    <row r="148">
      <c r="A148" s="106" t="n">
        <v>11383</v>
      </c>
      <c r="B148" t="n">
        <v/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/>
      </c>
      <c r="Q148" t="n">
        <v/>
      </c>
      <c r="R148" t="n">
        <v/>
      </c>
      <c r="S148" t="n">
        <v/>
      </c>
      <c r="T148" t="n">
        <v/>
      </c>
      <c r="U148" t="n">
        <v/>
      </c>
      <c r="V148" t="n">
        <v/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/>
      </c>
      <c r="AC148" t="n">
        <v/>
      </c>
      <c r="AD148" t="n">
        <v/>
      </c>
      <c r="AE148" t="n">
        <v/>
      </c>
      <c r="AF148" t="n">
        <v/>
      </c>
      <c r="AG148" t="n">
        <v/>
      </c>
      <c r="AH148" t="n">
        <v/>
      </c>
      <c r="AI148" t="n">
        <v/>
      </c>
      <c r="AJ148" t="n">
        <v/>
      </c>
      <c r="AK148" t="n">
        <v/>
      </c>
      <c r="AL148" t="n">
        <v/>
      </c>
      <c r="AM148" t="n">
        <v/>
      </c>
      <c r="AN148" t="n">
        <v/>
      </c>
      <c r="AO148" t="n">
        <v/>
      </c>
      <c r="AP148" t="n">
        <v/>
      </c>
      <c r="AQ148" t="n">
        <v/>
      </c>
      <c r="AR148" t="n">
        <v/>
      </c>
      <c r="AS148" t="n">
        <v/>
      </c>
      <c r="AT148" t="n">
        <v>5.584406076</v>
      </c>
      <c r="AU148" t="n">
        <v/>
      </c>
    </row>
    <row r="149">
      <c r="A149" s="106" t="n">
        <v>11414</v>
      </c>
      <c r="B149" t="n">
        <v/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/>
      </c>
      <c r="Q149" t="n">
        <v/>
      </c>
      <c r="R149" t="n">
        <v/>
      </c>
      <c r="S149" t="n">
        <v/>
      </c>
      <c r="T149" t="n">
        <v/>
      </c>
      <c r="U149" t="n">
        <v/>
      </c>
      <c r="V149" t="n">
        <v/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/>
      </c>
      <c r="AC149" t="n">
        <v/>
      </c>
      <c r="AD149" t="n">
        <v/>
      </c>
      <c r="AE149" t="n">
        <v/>
      </c>
      <c r="AF149" t="n">
        <v/>
      </c>
      <c r="AG149" t="n">
        <v/>
      </c>
      <c r="AH149" t="n">
        <v/>
      </c>
      <c r="AI149" t="n">
        <v/>
      </c>
      <c r="AJ149" t="n">
        <v/>
      </c>
      <c r="AK149" t="n">
        <v/>
      </c>
      <c r="AL149" t="n">
        <v/>
      </c>
      <c r="AM149" t="n">
        <v/>
      </c>
      <c r="AN149" t="n">
        <v/>
      </c>
      <c r="AO149" t="n">
        <v/>
      </c>
      <c r="AP149" t="n">
        <v/>
      </c>
      <c r="AQ149" t="n">
        <v/>
      </c>
      <c r="AR149" t="n">
        <v/>
      </c>
      <c r="AS149" t="n">
        <v/>
      </c>
      <c r="AT149" t="n">
        <v>5.611079702</v>
      </c>
      <c r="AU149" t="n">
        <v/>
      </c>
    </row>
    <row r="150">
      <c r="A150" s="106" t="n">
        <v>11444</v>
      </c>
      <c r="B150" t="n">
        <v/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/>
      </c>
      <c r="Q150" t="n">
        <v/>
      </c>
      <c r="R150" t="n">
        <v/>
      </c>
      <c r="S150" t="n">
        <v/>
      </c>
      <c r="T150" t="n">
        <v/>
      </c>
      <c r="U150" t="n">
        <v/>
      </c>
      <c r="V150" t="n">
        <v/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/>
      </c>
      <c r="AC150" t="n">
        <v/>
      </c>
      <c r="AD150" t="n">
        <v/>
      </c>
      <c r="AE150" t="n">
        <v/>
      </c>
      <c r="AF150" t="n">
        <v/>
      </c>
      <c r="AG150" t="n">
        <v/>
      </c>
      <c r="AH150" t="n">
        <v/>
      </c>
      <c r="AI150" t="n">
        <v/>
      </c>
      <c r="AJ150" t="n">
        <v/>
      </c>
      <c r="AK150" t="n">
        <v/>
      </c>
      <c r="AL150" t="n">
        <v/>
      </c>
      <c r="AM150" t="n">
        <v/>
      </c>
      <c r="AN150" t="n">
        <v/>
      </c>
      <c r="AO150" t="n">
        <v/>
      </c>
      <c r="AP150" t="n">
        <v/>
      </c>
      <c r="AQ150" t="n">
        <v/>
      </c>
      <c r="AR150" t="n">
        <v/>
      </c>
      <c r="AS150" t="n">
        <v/>
      </c>
      <c r="AT150" t="n">
        <v>5.530959667</v>
      </c>
      <c r="AU150" t="n">
        <v/>
      </c>
    </row>
    <row r="151">
      <c r="A151" s="106" t="n">
        <v>11475</v>
      </c>
      <c r="B151" t="n">
        <v/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/>
      </c>
      <c r="Q151" t="n">
        <v/>
      </c>
      <c r="R151" t="n">
        <v/>
      </c>
      <c r="S151" t="n">
        <v/>
      </c>
      <c r="T151" t="n">
        <v/>
      </c>
      <c r="U151" t="n">
        <v/>
      </c>
      <c r="V151" t="n">
        <v/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/>
      </c>
      <c r="AC151" t="n">
        <v/>
      </c>
      <c r="AD151" t="n">
        <v/>
      </c>
      <c r="AE151" t="n">
        <v/>
      </c>
      <c r="AF151" t="n">
        <v/>
      </c>
      <c r="AG151" t="n">
        <v/>
      </c>
      <c r="AH151" t="n">
        <v/>
      </c>
      <c r="AI151" t="n">
        <v/>
      </c>
      <c r="AJ151" t="n">
        <v/>
      </c>
      <c r="AK151" t="n">
        <v/>
      </c>
      <c r="AL151" t="n">
        <v/>
      </c>
      <c r="AM151" t="n">
        <v/>
      </c>
      <c r="AN151" t="n">
        <v/>
      </c>
      <c r="AO151" t="n">
        <v/>
      </c>
      <c r="AP151" t="n">
        <v/>
      </c>
      <c r="AQ151" t="n">
        <v/>
      </c>
      <c r="AR151" t="n">
        <v/>
      </c>
      <c r="AS151" t="n">
        <v/>
      </c>
      <c r="AT151" t="n">
        <v>5.397393223</v>
      </c>
      <c r="AU151" t="n">
        <v/>
      </c>
    </row>
    <row r="152">
      <c r="A152" s="106" t="n">
        <v>11505</v>
      </c>
      <c r="B152" t="n">
        <v/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/>
      </c>
      <c r="Q152" t="n">
        <v/>
      </c>
      <c r="R152" t="n">
        <v/>
      </c>
      <c r="S152" t="n">
        <v/>
      </c>
      <c r="T152" t="n">
        <v/>
      </c>
      <c r="U152" t="n">
        <v/>
      </c>
      <c r="V152" t="n">
        <v/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/>
      </c>
      <c r="AC152" t="n">
        <v/>
      </c>
      <c r="AD152" t="n">
        <v/>
      </c>
      <c r="AE152" t="n">
        <v/>
      </c>
      <c r="AF152" t="n">
        <v/>
      </c>
      <c r="AG152" t="n">
        <v/>
      </c>
      <c r="AH152" t="n">
        <v/>
      </c>
      <c r="AI152" t="n">
        <v/>
      </c>
      <c r="AJ152" t="n">
        <v/>
      </c>
      <c r="AK152" t="n">
        <v/>
      </c>
      <c r="AL152" t="n">
        <v/>
      </c>
      <c r="AM152" t="n">
        <v/>
      </c>
      <c r="AN152" t="n">
        <v/>
      </c>
      <c r="AO152" t="n">
        <v/>
      </c>
      <c r="AP152" t="n">
        <v/>
      </c>
      <c r="AQ152" t="n">
        <v/>
      </c>
      <c r="AR152" t="n">
        <v/>
      </c>
      <c r="AS152" t="n">
        <v/>
      </c>
      <c r="AT152" t="n">
        <v>5.31717403</v>
      </c>
      <c r="AU152" t="n">
        <v/>
      </c>
    </row>
    <row r="153">
      <c r="A153" s="106" t="n">
        <v>11536</v>
      </c>
      <c r="B153" t="n">
        <v/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/>
      </c>
      <c r="Q153" t="n">
        <v/>
      </c>
      <c r="R153" t="n">
        <v/>
      </c>
      <c r="S153" t="n">
        <v/>
      </c>
      <c r="T153" t="n">
        <v/>
      </c>
      <c r="U153" t="n">
        <v/>
      </c>
      <c r="V153" t="n">
        <v/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/>
      </c>
      <c r="AC153" t="n">
        <v/>
      </c>
      <c r="AD153" t="n">
        <v/>
      </c>
      <c r="AE153" t="n">
        <v/>
      </c>
      <c r="AF153" t="n">
        <v/>
      </c>
      <c r="AG153" t="n">
        <v/>
      </c>
      <c r="AH153" t="n">
        <v/>
      </c>
      <c r="AI153" t="n">
        <v/>
      </c>
      <c r="AJ153" t="n">
        <v/>
      </c>
      <c r="AK153" t="n">
        <v/>
      </c>
      <c r="AL153" t="n">
        <v/>
      </c>
      <c r="AM153" t="n">
        <v/>
      </c>
      <c r="AN153" t="n">
        <v/>
      </c>
      <c r="AO153" t="n">
        <v/>
      </c>
      <c r="AP153" t="n">
        <v/>
      </c>
      <c r="AQ153" t="n">
        <v/>
      </c>
      <c r="AR153" t="n">
        <v/>
      </c>
      <c r="AS153" t="n">
        <v/>
      </c>
      <c r="AT153" t="n">
        <v>5.130161177</v>
      </c>
      <c r="AU153" t="n">
        <v/>
      </c>
    </row>
    <row r="154">
      <c r="A154" s="106" t="n">
        <v>11567</v>
      </c>
      <c r="B154" t="n">
        <v/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/>
      </c>
      <c r="Q154" t="n">
        <v/>
      </c>
      <c r="R154" t="n">
        <v/>
      </c>
      <c r="S154" t="n">
        <v/>
      </c>
      <c r="T154" t="n">
        <v/>
      </c>
      <c r="U154" t="n">
        <v/>
      </c>
      <c r="V154" t="n">
        <v/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/>
      </c>
      <c r="AC154" t="n">
        <v/>
      </c>
      <c r="AD154" t="n">
        <v/>
      </c>
      <c r="AE154" t="n">
        <v/>
      </c>
      <c r="AF154" t="n">
        <v/>
      </c>
      <c r="AG154" t="n">
        <v/>
      </c>
      <c r="AH154" t="n">
        <v/>
      </c>
      <c r="AI154" t="n">
        <v/>
      </c>
      <c r="AJ154" t="n">
        <v/>
      </c>
      <c r="AK154" t="n">
        <v/>
      </c>
      <c r="AL154" t="n">
        <v/>
      </c>
      <c r="AM154" t="n">
        <v/>
      </c>
      <c r="AN154" t="n">
        <v/>
      </c>
      <c r="AO154" t="n">
        <v/>
      </c>
      <c r="AP154" t="n">
        <v/>
      </c>
      <c r="AQ154" t="n">
        <v/>
      </c>
      <c r="AR154" t="n">
        <v/>
      </c>
      <c r="AS154" t="n">
        <v/>
      </c>
      <c r="AT154" t="n">
        <v>4.889701915</v>
      </c>
      <c r="AU154" t="n">
        <v/>
      </c>
    </row>
    <row r="155">
      <c r="A155" s="106" t="n">
        <v>11597</v>
      </c>
      <c r="B155" t="n">
        <v/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/>
      </c>
      <c r="Q155" t="n">
        <v/>
      </c>
      <c r="R155" t="n">
        <v/>
      </c>
      <c r="S155" t="n">
        <v/>
      </c>
      <c r="T155" t="n">
        <v/>
      </c>
      <c r="U155" t="n">
        <v/>
      </c>
      <c r="V155" t="n">
        <v/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/>
      </c>
      <c r="AC155" t="n">
        <v/>
      </c>
      <c r="AD155" t="n">
        <v/>
      </c>
      <c r="AE155" t="n">
        <v/>
      </c>
      <c r="AF155" t="n">
        <v/>
      </c>
      <c r="AG155" t="n">
        <v/>
      </c>
      <c r="AH155" t="n">
        <v/>
      </c>
      <c r="AI155" t="n">
        <v/>
      </c>
      <c r="AJ155" t="n">
        <v/>
      </c>
      <c r="AK155" t="n">
        <v/>
      </c>
      <c r="AL155" t="n">
        <v/>
      </c>
      <c r="AM155" t="n">
        <v/>
      </c>
      <c r="AN155" t="n">
        <v/>
      </c>
      <c r="AO155" t="n">
        <v/>
      </c>
      <c r="AP155" t="n">
        <v/>
      </c>
      <c r="AQ155" t="n">
        <v/>
      </c>
      <c r="AR155" t="n">
        <v/>
      </c>
      <c r="AS155" t="n">
        <v/>
      </c>
      <c r="AT155" t="n">
        <v>4.702689062</v>
      </c>
      <c r="AU155" t="n">
        <v/>
      </c>
    </row>
    <row r="156">
      <c r="A156" s="106" t="n">
        <v>11628</v>
      </c>
      <c r="B156" t="n">
        <v/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/>
      </c>
      <c r="Q156" t="n">
        <v/>
      </c>
      <c r="R156" t="n">
        <v/>
      </c>
      <c r="S156" t="n">
        <v/>
      </c>
      <c r="T156" t="n">
        <v/>
      </c>
      <c r="U156" t="n">
        <v/>
      </c>
      <c r="V156" t="n">
        <v/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/>
      </c>
      <c r="AC156" t="n">
        <v/>
      </c>
      <c r="AD156" t="n">
        <v/>
      </c>
      <c r="AE156" t="n">
        <v/>
      </c>
      <c r="AF156" t="n">
        <v/>
      </c>
      <c r="AG156" t="n">
        <v/>
      </c>
      <c r="AH156" t="n">
        <v/>
      </c>
      <c r="AI156" t="n">
        <v/>
      </c>
      <c r="AJ156" t="n">
        <v/>
      </c>
      <c r="AK156" t="n">
        <v/>
      </c>
      <c r="AL156" t="n">
        <v/>
      </c>
      <c r="AM156" t="n">
        <v/>
      </c>
      <c r="AN156" t="n">
        <v/>
      </c>
      <c r="AO156" t="n">
        <v/>
      </c>
      <c r="AP156" t="n">
        <v/>
      </c>
      <c r="AQ156" t="n">
        <v/>
      </c>
      <c r="AR156" t="n">
        <v/>
      </c>
      <c r="AS156" t="n">
        <v/>
      </c>
      <c r="AT156" t="n">
        <v>4.649242652</v>
      </c>
      <c r="AU156" t="n">
        <v/>
      </c>
    </row>
    <row r="157">
      <c r="A157" s="106" t="n">
        <v>11658</v>
      </c>
      <c r="B157" t="n">
        <v/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/>
      </c>
      <c r="Q157" t="n">
        <v/>
      </c>
      <c r="R157" t="n">
        <v/>
      </c>
      <c r="S157" t="n">
        <v/>
      </c>
      <c r="T157" t="n">
        <v/>
      </c>
      <c r="U157" t="n">
        <v/>
      </c>
      <c r="V157" t="n">
        <v/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/>
      </c>
      <c r="AC157" t="n">
        <v/>
      </c>
      <c r="AD157" t="n">
        <v/>
      </c>
      <c r="AE157" t="n">
        <v/>
      </c>
      <c r="AF157" t="n">
        <v/>
      </c>
      <c r="AG157" t="n">
        <v/>
      </c>
      <c r="AH157" t="n">
        <v/>
      </c>
      <c r="AI157" t="n">
        <v/>
      </c>
      <c r="AJ157" t="n">
        <v/>
      </c>
      <c r="AK157" t="n">
        <v/>
      </c>
      <c r="AL157" t="n">
        <v/>
      </c>
      <c r="AM157" t="n">
        <v/>
      </c>
      <c r="AN157" t="n">
        <v/>
      </c>
      <c r="AO157" t="n">
        <v/>
      </c>
      <c r="AP157" t="n">
        <v/>
      </c>
      <c r="AQ157" t="n">
        <v/>
      </c>
      <c r="AR157" t="n">
        <v/>
      </c>
      <c r="AS157" t="n">
        <v/>
      </c>
      <c r="AT157" t="n">
        <v>4.622469869</v>
      </c>
      <c r="AU157" t="n">
        <v/>
      </c>
    </row>
    <row r="158">
      <c r="A158" s="106" t="n">
        <v>11689</v>
      </c>
      <c r="B158" t="n">
        <v/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/>
      </c>
      <c r="Q158" t="n">
        <v/>
      </c>
      <c r="R158" t="n">
        <v/>
      </c>
      <c r="S158" t="n">
        <v/>
      </c>
      <c r="T158" t="n">
        <v/>
      </c>
      <c r="U158" t="n">
        <v/>
      </c>
      <c r="V158" t="n">
        <v/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/>
      </c>
      <c r="AC158" t="n">
        <v/>
      </c>
      <c r="AD158" t="n">
        <v/>
      </c>
      <c r="AE158" t="n">
        <v/>
      </c>
      <c r="AF158" t="n">
        <v/>
      </c>
      <c r="AG158" t="n">
        <v/>
      </c>
      <c r="AH158" t="n">
        <v/>
      </c>
      <c r="AI158" t="n">
        <v/>
      </c>
      <c r="AJ158" t="n">
        <v/>
      </c>
      <c r="AK158" t="n">
        <v/>
      </c>
      <c r="AL158" t="n">
        <v/>
      </c>
      <c r="AM158" t="n">
        <v/>
      </c>
      <c r="AN158" t="n">
        <v/>
      </c>
      <c r="AO158" t="n">
        <v/>
      </c>
      <c r="AP158" t="n">
        <v/>
      </c>
      <c r="AQ158" t="n">
        <v/>
      </c>
      <c r="AR158" t="n">
        <v/>
      </c>
      <c r="AS158" t="n">
        <v/>
      </c>
      <c r="AT158" t="n">
        <v>4.488903425</v>
      </c>
      <c r="AU158" t="n">
        <v/>
      </c>
    </row>
    <row r="159">
      <c r="A159" s="106" t="n">
        <v>11720</v>
      </c>
      <c r="B159" t="n">
        <v/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/>
      </c>
      <c r="Q159" t="n">
        <v/>
      </c>
      <c r="R159" t="n">
        <v/>
      </c>
      <c r="S159" t="n">
        <v/>
      </c>
      <c r="T159" t="n">
        <v/>
      </c>
      <c r="U159" t="n">
        <v/>
      </c>
      <c r="V159" t="n">
        <v/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/>
      </c>
      <c r="AC159" t="n">
        <v/>
      </c>
      <c r="AD159" t="n">
        <v/>
      </c>
      <c r="AE159" t="n">
        <v/>
      </c>
      <c r="AF159" t="n">
        <v/>
      </c>
      <c r="AG159" t="n">
        <v/>
      </c>
      <c r="AH159" t="n">
        <v/>
      </c>
      <c r="AI159" t="n">
        <v/>
      </c>
      <c r="AJ159" t="n">
        <v/>
      </c>
      <c r="AK159" t="n">
        <v/>
      </c>
      <c r="AL159" t="n">
        <v/>
      </c>
      <c r="AM159" t="n">
        <v/>
      </c>
      <c r="AN159" t="n">
        <v/>
      </c>
      <c r="AO159" t="n">
        <v/>
      </c>
      <c r="AP159" t="n">
        <v/>
      </c>
      <c r="AQ159" t="n">
        <v/>
      </c>
      <c r="AR159" t="n">
        <v/>
      </c>
      <c r="AS159" t="n">
        <v/>
      </c>
      <c r="AT159" t="n">
        <v>4.382010606</v>
      </c>
      <c r="AU159" t="n">
        <v/>
      </c>
    </row>
    <row r="160">
      <c r="A160" s="106" t="n">
        <v>11749</v>
      </c>
      <c r="B160" t="n">
        <v/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/>
      </c>
      <c r="Q160" t="n">
        <v/>
      </c>
      <c r="R160" t="n">
        <v/>
      </c>
      <c r="S160" t="n">
        <v/>
      </c>
      <c r="T160" t="n">
        <v/>
      </c>
      <c r="U160" t="n">
        <v/>
      </c>
      <c r="V160" t="n">
        <v/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/>
      </c>
      <c r="AC160" t="n">
        <v/>
      </c>
      <c r="AD160" t="n">
        <v/>
      </c>
      <c r="AE160" t="n">
        <v/>
      </c>
      <c r="AF160" t="n">
        <v/>
      </c>
      <c r="AG160" t="n">
        <v/>
      </c>
      <c r="AH160" t="n">
        <v/>
      </c>
      <c r="AI160" t="n">
        <v/>
      </c>
      <c r="AJ160" t="n">
        <v/>
      </c>
      <c r="AK160" t="n">
        <v/>
      </c>
      <c r="AL160" t="n">
        <v/>
      </c>
      <c r="AM160" t="n">
        <v/>
      </c>
      <c r="AN160" t="n">
        <v/>
      </c>
      <c r="AO160" t="n">
        <v/>
      </c>
      <c r="AP160" t="n">
        <v/>
      </c>
      <c r="AQ160" t="n">
        <v/>
      </c>
      <c r="AR160" t="n">
        <v/>
      </c>
      <c r="AS160" t="n">
        <v/>
      </c>
      <c r="AT160" t="n">
        <v>4.328564197</v>
      </c>
      <c r="AU160" t="n">
        <v/>
      </c>
    </row>
    <row r="161">
      <c r="A161" s="106" t="n">
        <v>11780</v>
      </c>
      <c r="B161" t="n">
        <v/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/>
      </c>
      <c r="Q161" t="n">
        <v/>
      </c>
      <c r="R161" t="n">
        <v/>
      </c>
      <c r="S161" t="n">
        <v/>
      </c>
      <c r="T161" t="n">
        <v/>
      </c>
      <c r="U161" t="n">
        <v/>
      </c>
      <c r="V161" t="n">
        <v/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/>
      </c>
      <c r="AC161" t="n">
        <v/>
      </c>
      <c r="AD161" t="n">
        <v/>
      </c>
      <c r="AE161" t="n">
        <v/>
      </c>
      <c r="AF161" t="n">
        <v/>
      </c>
      <c r="AG161" t="n">
        <v/>
      </c>
      <c r="AH161" t="n">
        <v/>
      </c>
      <c r="AI161" t="n">
        <v/>
      </c>
      <c r="AJ161" t="n">
        <v/>
      </c>
      <c r="AK161" t="n">
        <v/>
      </c>
      <c r="AL161" t="n">
        <v/>
      </c>
      <c r="AM161" t="n">
        <v/>
      </c>
      <c r="AN161" t="n">
        <v/>
      </c>
      <c r="AO161" t="n">
        <v/>
      </c>
      <c r="AP161" t="n">
        <v/>
      </c>
      <c r="AQ161" t="n">
        <v/>
      </c>
      <c r="AR161" t="n">
        <v/>
      </c>
      <c r="AS161" t="n">
        <v/>
      </c>
      <c r="AT161" t="n">
        <v>4.034658526</v>
      </c>
      <c r="AU161" t="n">
        <v/>
      </c>
    </row>
    <row r="162">
      <c r="A162" s="106" t="n">
        <v>11810</v>
      </c>
      <c r="B162" t="n">
        <v/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/>
      </c>
      <c r="Q162" t="n">
        <v/>
      </c>
      <c r="R162" t="n">
        <v/>
      </c>
      <c r="S162" t="n">
        <v/>
      </c>
      <c r="T162" t="n">
        <v/>
      </c>
      <c r="U162" t="n">
        <v/>
      </c>
      <c r="V162" t="n">
        <v/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/>
      </c>
      <c r="AC162" t="n">
        <v/>
      </c>
      <c r="AD162" t="n">
        <v/>
      </c>
      <c r="AE162" t="n">
        <v/>
      </c>
      <c r="AF162" t="n">
        <v/>
      </c>
      <c r="AG162" t="n">
        <v/>
      </c>
      <c r="AH162" t="n">
        <v/>
      </c>
      <c r="AI162" t="n">
        <v/>
      </c>
      <c r="AJ162" t="n">
        <v/>
      </c>
      <c r="AK162" t="n">
        <v/>
      </c>
      <c r="AL162" t="n">
        <v/>
      </c>
      <c r="AM162" t="n">
        <v/>
      </c>
      <c r="AN162" t="n">
        <v/>
      </c>
      <c r="AO162" t="n">
        <v/>
      </c>
      <c r="AP162" t="n">
        <v/>
      </c>
      <c r="AQ162" t="n">
        <v/>
      </c>
      <c r="AR162" t="n">
        <v/>
      </c>
      <c r="AS162" t="n">
        <v/>
      </c>
      <c r="AT162" t="n">
        <v>3.901092082</v>
      </c>
      <c r="AU162" t="n">
        <v/>
      </c>
    </row>
    <row r="163">
      <c r="A163" s="106" t="n">
        <v>11841</v>
      </c>
      <c r="B163" t="n">
        <v/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/>
      </c>
      <c r="Q163" t="n">
        <v/>
      </c>
      <c r="R163" t="n">
        <v/>
      </c>
      <c r="S163" t="n">
        <v/>
      </c>
      <c r="T163" t="n">
        <v/>
      </c>
      <c r="U163" t="n">
        <v/>
      </c>
      <c r="V163" t="n">
        <v/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/>
      </c>
      <c r="AC163" t="n">
        <v/>
      </c>
      <c r="AD163" t="n">
        <v/>
      </c>
      <c r="AE163" t="n">
        <v/>
      </c>
      <c r="AF163" t="n">
        <v/>
      </c>
      <c r="AG163" t="n">
        <v/>
      </c>
      <c r="AH163" t="n">
        <v/>
      </c>
      <c r="AI163" t="n">
        <v/>
      </c>
      <c r="AJ163" t="n">
        <v/>
      </c>
      <c r="AK163" t="n">
        <v/>
      </c>
      <c r="AL163" t="n">
        <v/>
      </c>
      <c r="AM163" t="n">
        <v/>
      </c>
      <c r="AN163" t="n">
        <v/>
      </c>
      <c r="AO163" t="n">
        <v/>
      </c>
      <c r="AP163" t="n">
        <v/>
      </c>
      <c r="AQ163" t="n">
        <v/>
      </c>
      <c r="AR163" t="n">
        <v/>
      </c>
      <c r="AS163" t="n">
        <v/>
      </c>
      <c r="AT163" t="n">
        <v>3.767426479</v>
      </c>
      <c r="AU163" t="n">
        <v/>
      </c>
    </row>
    <row r="164">
      <c r="A164" s="106" t="n">
        <v>11871</v>
      </c>
      <c r="B164" t="n">
        <v/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/>
      </c>
      <c r="Q164" t="n">
        <v/>
      </c>
      <c r="R164" t="n">
        <v/>
      </c>
      <c r="S164" t="n">
        <v/>
      </c>
      <c r="T164" t="n">
        <v/>
      </c>
      <c r="U164" t="n">
        <v/>
      </c>
      <c r="V164" t="n">
        <v/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/>
      </c>
      <c r="AC164" t="n">
        <v/>
      </c>
      <c r="AD164" t="n">
        <v/>
      </c>
      <c r="AE164" t="n">
        <v/>
      </c>
      <c r="AF164" t="n">
        <v/>
      </c>
      <c r="AG164" t="n">
        <v/>
      </c>
      <c r="AH164" t="n">
        <v/>
      </c>
      <c r="AI164" t="n">
        <v/>
      </c>
      <c r="AJ164" t="n">
        <v/>
      </c>
      <c r="AK164" t="n">
        <v/>
      </c>
      <c r="AL164" t="n">
        <v/>
      </c>
      <c r="AM164" t="n">
        <v/>
      </c>
      <c r="AN164" t="n">
        <v/>
      </c>
      <c r="AO164" t="n">
        <v/>
      </c>
      <c r="AP164" t="n">
        <v/>
      </c>
      <c r="AQ164" t="n">
        <v/>
      </c>
      <c r="AR164" t="n">
        <v/>
      </c>
      <c r="AS164" t="n">
        <v/>
      </c>
      <c r="AT164" t="n">
        <v>3.660533661</v>
      </c>
      <c r="AU164" t="n">
        <v/>
      </c>
    </row>
    <row r="165">
      <c r="A165" s="106" t="n">
        <v>11902</v>
      </c>
      <c r="B165" t="n">
        <v/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/>
      </c>
      <c r="Q165" t="n">
        <v/>
      </c>
      <c r="R165" t="n">
        <v/>
      </c>
      <c r="S165" t="n">
        <v/>
      </c>
      <c r="T165" t="n">
        <v/>
      </c>
      <c r="U165" t="n">
        <v/>
      </c>
      <c r="V165" t="n">
        <v/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/>
      </c>
      <c r="AC165" t="n">
        <v/>
      </c>
      <c r="AD165" t="n">
        <v/>
      </c>
      <c r="AE165" t="n">
        <v/>
      </c>
      <c r="AF165" t="n">
        <v/>
      </c>
      <c r="AG165" t="n">
        <v/>
      </c>
      <c r="AH165" t="n">
        <v/>
      </c>
      <c r="AI165" t="n">
        <v/>
      </c>
      <c r="AJ165" t="n">
        <v/>
      </c>
      <c r="AK165" t="n">
        <v/>
      </c>
      <c r="AL165" t="n">
        <v/>
      </c>
      <c r="AM165" t="n">
        <v/>
      </c>
      <c r="AN165" t="n">
        <v/>
      </c>
      <c r="AO165" t="n">
        <v/>
      </c>
      <c r="AP165" t="n">
        <v/>
      </c>
      <c r="AQ165" t="n">
        <v/>
      </c>
      <c r="AR165" t="n">
        <v/>
      </c>
      <c r="AS165" t="n">
        <v/>
      </c>
      <c r="AT165" t="n">
        <v>3.767426479</v>
      </c>
      <c r="AU165" t="n">
        <v/>
      </c>
    </row>
    <row r="166">
      <c r="A166" s="106" t="n">
        <v>11933</v>
      </c>
      <c r="B166" t="n">
        <v/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/>
      </c>
      <c r="Q166" t="n">
        <v/>
      </c>
      <c r="R166" t="n">
        <v/>
      </c>
      <c r="S166" t="n">
        <v/>
      </c>
      <c r="T166" t="n">
        <v/>
      </c>
      <c r="U166" t="n">
        <v/>
      </c>
      <c r="V166" t="n">
        <v/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/>
      </c>
      <c r="AC166" t="n">
        <v/>
      </c>
      <c r="AD166" t="n">
        <v/>
      </c>
      <c r="AE166" t="n">
        <v/>
      </c>
      <c r="AF166" t="n">
        <v/>
      </c>
      <c r="AG166" t="n">
        <v/>
      </c>
      <c r="AH166" t="n">
        <v/>
      </c>
      <c r="AI166" t="n">
        <v/>
      </c>
      <c r="AJ166" t="n">
        <v/>
      </c>
      <c r="AK166" t="n">
        <v/>
      </c>
      <c r="AL166" t="n">
        <v/>
      </c>
      <c r="AM166" t="n">
        <v/>
      </c>
      <c r="AN166" t="n">
        <v/>
      </c>
      <c r="AO166" t="n">
        <v/>
      </c>
      <c r="AP166" t="n">
        <v/>
      </c>
      <c r="AQ166" t="n">
        <v/>
      </c>
      <c r="AR166" t="n">
        <v/>
      </c>
      <c r="AS166" t="n">
        <v/>
      </c>
      <c r="AT166" t="n">
        <v>4.007885742</v>
      </c>
      <c r="AU166" t="n">
        <v/>
      </c>
    </row>
    <row r="167">
      <c r="A167" s="106" t="n">
        <v>11963</v>
      </c>
      <c r="B167" t="n">
        <v/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/>
      </c>
      <c r="Q167" t="n">
        <v/>
      </c>
      <c r="R167" t="n">
        <v/>
      </c>
      <c r="S167" t="n">
        <v/>
      </c>
      <c r="T167" t="n">
        <v/>
      </c>
      <c r="U167" t="n">
        <v/>
      </c>
      <c r="V167" t="n">
        <v/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/>
      </c>
      <c r="AC167" t="n">
        <v/>
      </c>
      <c r="AD167" t="n">
        <v/>
      </c>
      <c r="AE167" t="n">
        <v/>
      </c>
      <c r="AF167" t="n">
        <v/>
      </c>
      <c r="AG167" t="n">
        <v/>
      </c>
      <c r="AH167" t="n">
        <v/>
      </c>
      <c r="AI167" t="n">
        <v/>
      </c>
      <c r="AJ167" t="n">
        <v/>
      </c>
      <c r="AK167" t="n">
        <v/>
      </c>
      <c r="AL167" t="n">
        <v/>
      </c>
      <c r="AM167" t="n">
        <v/>
      </c>
      <c r="AN167" t="n">
        <v/>
      </c>
      <c r="AO167" t="n">
        <v/>
      </c>
      <c r="AP167" t="n">
        <v/>
      </c>
      <c r="AQ167" t="n">
        <v/>
      </c>
      <c r="AR167" t="n">
        <v/>
      </c>
      <c r="AS167" t="n">
        <v/>
      </c>
      <c r="AT167" t="n">
        <v>4.141551344</v>
      </c>
      <c r="AU167" t="n">
        <v/>
      </c>
    </row>
    <row r="168">
      <c r="A168" s="106" t="n">
        <v>11994</v>
      </c>
      <c r="B168" t="n">
        <v/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/>
      </c>
      <c r="Q168" t="n">
        <v/>
      </c>
      <c r="R168" t="n">
        <v/>
      </c>
      <c r="S168" t="n">
        <v/>
      </c>
      <c r="T168" t="n">
        <v/>
      </c>
      <c r="U168" t="n">
        <v/>
      </c>
      <c r="V168" t="n">
        <v/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/>
      </c>
      <c r="AC168" t="n">
        <v/>
      </c>
      <c r="AD168" t="n">
        <v/>
      </c>
      <c r="AE168" t="n">
        <v/>
      </c>
      <c r="AF168" t="n">
        <v/>
      </c>
      <c r="AG168" t="n">
        <v/>
      </c>
      <c r="AH168" t="n">
        <v/>
      </c>
      <c r="AI168" t="n">
        <v/>
      </c>
      <c r="AJ168" t="n">
        <v/>
      </c>
      <c r="AK168" t="n">
        <v/>
      </c>
      <c r="AL168" t="n">
        <v/>
      </c>
      <c r="AM168" t="n">
        <v/>
      </c>
      <c r="AN168" t="n">
        <v/>
      </c>
      <c r="AO168" t="n">
        <v/>
      </c>
      <c r="AP168" t="n">
        <v/>
      </c>
      <c r="AQ168" t="n">
        <v/>
      </c>
      <c r="AR168" t="n">
        <v/>
      </c>
      <c r="AS168" t="n">
        <v/>
      </c>
      <c r="AT168" t="n">
        <v>4.141551344</v>
      </c>
      <c r="AU168" t="n">
        <v/>
      </c>
    </row>
    <row r="169">
      <c r="A169" s="106" t="n">
        <v>12024</v>
      </c>
      <c r="B169" t="n">
        <v/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/>
      </c>
      <c r="Q169" t="n">
        <v/>
      </c>
      <c r="R169" t="n">
        <v/>
      </c>
      <c r="S169" t="n">
        <v/>
      </c>
      <c r="T169" t="n">
        <v/>
      </c>
      <c r="U169" t="n">
        <v/>
      </c>
      <c r="V169" t="n">
        <v/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/>
      </c>
      <c r="AC169" t="n">
        <v/>
      </c>
      <c r="AD169" t="n">
        <v/>
      </c>
      <c r="AE169" t="n">
        <v/>
      </c>
      <c r="AF169" t="n">
        <v/>
      </c>
      <c r="AG169" t="n">
        <v/>
      </c>
      <c r="AH169" t="n">
        <v/>
      </c>
      <c r="AI169" t="n">
        <v/>
      </c>
      <c r="AJ169" t="n">
        <v/>
      </c>
      <c r="AK169" t="n">
        <v/>
      </c>
      <c r="AL169" t="n">
        <v/>
      </c>
      <c r="AM169" t="n">
        <v/>
      </c>
      <c r="AN169" t="n">
        <v/>
      </c>
      <c r="AO169" t="n">
        <v/>
      </c>
      <c r="AP169" t="n">
        <v/>
      </c>
      <c r="AQ169" t="n">
        <v/>
      </c>
      <c r="AR169" t="n">
        <v/>
      </c>
      <c r="AS169" t="n">
        <v/>
      </c>
      <c r="AT169" t="n">
        <v>4.061332151</v>
      </c>
      <c r="AU169" t="n">
        <v/>
      </c>
    </row>
    <row r="170">
      <c r="A170" s="106" t="n">
        <v>12055</v>
      </c>
      <c r="B170" t="n">
        <v/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/>
      </c>
      <c r="Q170" t="n">
        <v/>
      </c>
      <c r="R170" t="n">
        <v/>
      </c>
      <c r="S170" t="n">
        <v/>
      </c>
      <c r="T170" t="n">
        <v/>
      </c>
      <c r="U170" t="n">
        <v/>
      </c>
      <c r="V170" t="n">
        <v/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/>
      </c>
      <c r="AC170" t="n">
        <v/>
      </c>
      <c r="AD170" t="n">
        <v/>
      </c>
      <c r="AE170" t="n">
        <v/>
      </c>
      <c r="AF170" t="n">
        <v/>
      </c>
      <c r="AG170" t="n">
        <v/>
      </c>
      <c r="AH170" t="n">
        <v/>
      </c>
      <c r="AI170" t="n">
        <v/>
      </c>
      <c r="AJ170" t="n">
        <v/>
      </c>
      <c r="AK170" t="n">
        <v/>
      </c>
      <c r="AL170" t="n">
        <v/>
      </c>
      <c r="AM170" t="n">
        <v/>
      </c>
      <c r="AN170" t="n">
        <v/>
      </c>
      <c r="AO170" t="n">
        <v/>
      </c>
      <c r="AP170" t="n">
        <v/>
      </c>
      <c r="AQ170" t="n">
        <v/>
      </c>
      <c r="AR170" t="n">
        <v/>
      </c>
      <c r="AS170" t="n">
        <v/>
      </c>
      <c r="AT170" t="n">
        <v>3.981212116</v>
      </c>
      <c r="AU170" t="n">
        <v/>
      </c>
    </row>
    <row r="171">
      <c r="A171" s="106" t="n">
        <v>12086</v>
      </c>
      <c r="B171" t="n">
        <v/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/>
      </c>
      <c r="Q171" t="n">
        <v/>
      </c>
      <c r="R171" t="n">
        <v/>
      </c>
      <c r="S171" t="n">
        <v/>
      </c>
      <c r="T171" t="n">
        <v/>
      </c>
      <c r="U171" t="n">
        <v/>
      </c>
      <c r="V171" t="n">
        <v/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/>
      </c>
      <c r="AC171" t="n">
        <v/>
      </c>
      <c r="AD171" t="n">
        <v/>
      </c>
      <c r="AE171" t="n">
        <v/>
      </c>
      <c r="AF171" t="n">
        <v/>
      </c>
      <c r="AG171" t="n">
        <v/>
      </c>
      <c r="AH171" t="n">
        <v/>
      </c>
      <c r="AI171" t="n">
        <v/>
      </c>
      <c r="AJ171" t="n">
        <v/>
      </c>
      <c r="AK171" t="n">
        <v/>
      </c>
      <c r="AL171" t="n">
        <v/>
      </c>
      <c r="AM171" t="n">
        <v/>
      </c>
      <c r="AN171" t="n">
        <v/>
      </c>
      <c r="AO171" t="n">
        <v/>
      </c>
      <c r="AP171" t="n">
        <v/>
      </c>
      <c r="AQ171" t="n">
        <v/>
      </c>
      <c r="AR171" t="n">
        <v/>
      </c>
      <c r="AS171" t="n">
        <v/>
      </c>
      <c r="AT171" t="n">
        <v>4.007885742</v>
      </c>
      <c r="AU171" t="n">
        <v/>
      </c>
    </row>
    <row r="172">
      <c r="A172" s="106" t="n">
        <v>12114</v>
      </c>
      <c r="B172" t="n">
        <v/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/>
      </c>
      <c r="Q172" t="n">
        <v/>
      </c>
      <c r="R172" t="n">
        <v/>
      </c>
      <c r="S172" t="n">
        <v/>
      </c>
      <c r="T172" t="n">
        <v/>
      </c>
      <c r="U172" t="n">
        <v/>
      </c>
      <c r="V172" t="n">
        <v/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/>
      </c>
      <c r="AC172" t="n">
        <v/>
      </c>
      <c r="AD172" t="n">
        <v/>
      </c>
      <c r="AE172" t="n">
        <v/>
      </c>
      <c r="AF172" t="n">
        <v/>
      </c>
      <c r="AG172" t="n">
        <v/>
      </c>
      <c r="AH172" t="n">
        <v/>
      </c>
      <c r="AI172" t="n">
        <v/>
      </c>
      <c r="AJ172" t="n">
        <v/>
      </c>
      <c r="AK172" t="n">
        <v/>
      </c>
      <c r="AL172" t="n">
        <v/>
      </c>
      <c r="AM172" t="n">
        <v/>
      </c>
      <c r="AN172" t="n">
        <v/>
      </c>
      <c r="AO172" t="n">
        <v/>
      </c>
      <c r="AP172" t="n">
        <v/>
      </c>
      <c r="AQ172" t="n">
        <v/>
      </c>
      <c r="AR172" t="n">
        <v/>
      </c>
      <c r="AS172" t="n">
        <v/>
      </c>
      <c r="AT172" t="n">
        <v>3.767426479</v>
      </c>
      <c r="AU172" t="n">
        <v/>
      </c>
    </row>
    <row r="173">
      <c r="A173" s="106" t="n">
        <v>12145</v>
      </c>
      <c r="B173" t="n">
        <v/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/>
      </c>
      <c r="Q173" t="n">
        <v/>
      </c>
      <c r="R173" t="n">
        <v/>
      </c>
      <c r="S173" t="n">
        <v/>
      </c>
      <c r="T173" t="n">
        <v/>
      </c>
      <c r="U173" t="n">
        <v/>
      </c>
      <c r="V173" t="n">
        <v/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/>
      </c>
      <c r="AC173" t="n">
        <v/>
      </c>
      <c r="AD173" t="n">
        <v/>
      </c>
      <c r="AE173" t="n">
        <v/>
      </c>
      <c r="AF173" t="n">
        <v/>
      </c>
      <c r="AG173" t="n">
        <v/>
      </c>
      <c r="AH173" t="n">
        <v/>
      </c>
      <c r="AI173" t="n">
        <v/>
      </c>
      <c r="AJ173" t="n">
        <v/>
      </c>
      <c r="AK173" t="n">
        <v/>
      </c>
      <c r="AL173" t="n">
        <v/>
      </c>
      <c r="AM173" t="n">
        <v/>
      </c>
      <c r="AN173" t="n">
        <v/>
      </c>
      <c r="AO173" t="n">
        <v/>
      </c>
      <c r="AP173" t="n">
        <v/>
      </c>
      <c r="AQ173" t="n">
        <v/>
      </c>
      <c r="AR173" t="n">
        <v/>
      </c>
      <c r="AS173" t="n">
        <v/>
      </c>
      <c r="AT173" t="n">
        <v>4.034658526</v>
      </c>
      <c r="AU173" t="n">
        <v/>
      </c>
    </row>
    <row r="174">
      <c r="A174" s="106" t="n">
        <v>12175</v>
      </c>
      <c r="B174" t="n">
        <v/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/>
      </c>
      <c r="Q174" t="n">
        <v/>
      </c>
      <c r="R174" t="n">
        <v/>
      </c>
      <c r="S174" t="n">
        <v/>
      </c>
      <c r="T174" t="n">
        <v/>
      </c>
      <c r="U174" t="n">
        <v/>
      </c>
      <c r="V174" t="n">
        <v/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/>
      </c>
      <c r="AC174" t="n">
        <v/>
      </c>
      <c r="AD174" t="n">
        <v/>
      </c>
      <c r="AE174" t="n">
        <v/>
      </c>
      <c r="AF174" t="n">
        <v/>
      </c>
      <c r="AG174" t="n">
        <v/>
      </c>
      <c r="AH174" t="n">
        <v/>
      </c>
      <c r="AI174" t="n">
        <v/>
      </c>
      <c r="AJ174" t="n">
        <v/>
      </c>
      <c r="AK174" t="n">
        <v/>
      </c>
      <c r="AL174" t="n">
        <v/>
      </c>
      <c r="AM174" t="n">
        <v/>
      </c>
      <c r="AN174" t="n">
        <v/>
      </c>
      <c r="AO174" t="n">
        <v/>
      </c>
      <c r="AP174" t="n">
        <v/>
      </c>
      <c r="AQ174" t="n">
        <v/>
      </c>
      <c r="AR174" t="n">
        <v/>
      </c>
      <c r="AS174" t="n">
        <v/>
      </c>
      <c r="AT174" t="n">
        <v>4.702689062</v>
      </c>
      <c r="AU174" t="n">
        <v/>
      </c>
    </row>
    <row r="175">
      <c r="A175" s="106" t="n">
        <v>12206</v>
      </c>
      <c r="B175" t="n">
        <v/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/>
      </c>
      <c r="Q175" t="n">
        <v/>
      </c>
      <c r="R175" t="n">
        <v/>
      </c>
      <c r="S175" t="n">
        <v/>
      </c>
      <c r="T175" t="n">
        <v/>
      </c>
      <c r="U175" t="n">
        <v/>
      </c>
      <c r="V175" t="n">
        <v/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/>
      </c>
      <c r="AC175" t="n">
        <v/>
      </c>
      <c r="AD175" t="n">
        <v/>
      </c>
      <c r="AE175" t="n">
        <v/>
      </c>
      <c r="AF175" t="n">
        <v/>
      </c>
      <c r="AG175" t="n">
        <v/>
      </c>
      <c r="AH175" t="n">
        <v/>
      </c>
      <c r="AI175" t="n">
        <v/>
      </c>
      <c r="AJ175" t="n">
        <v/>
      </c>
      <c r="AK175" t="n">
        <v/>
      </c>
      <c r="AL175" t="n">
        <v/>
      </c>
      <c r="AM175" t="n">
        <v/>
      </c>
      <c r="AN175" t="n">
        <v/>
      </c>
      <c r="AO175" t="n">
        <v/>
      </c>
      <c r="AP175" t="n">
        <v/>
      </c>
      <c r="AQ175" t="n">
        <v/>
      </c>
      <c r="AR175" t="n">
        <v/>
      </c>
      <c r="AS175" t="n">
        <v/>
      </c>
      <c r="AT175" t="n">
        <v>5.424066849</v>
      </c>
      <c r="AU175" t="n">
        <v/>
      </c>
    </row>
    <row r="176">
      <c r="A176" s="106" t="n">
        <v>12236</v>
      </c>
      <c r="B176" t="n">
        <v/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/>
      </c>
      <c r="Q176" t="n">
        <v/>
      </c>
      <c r="R176" t="n">
        <v/>
      </c>
      <c r="S176" t="n">
        <v/>
      </c>
      <c r="T176" t="n">
        <v/>
      </c>
      <c r="U176" t="n">
        <v/>
      </c>
      <c r="V176" t="n">
        <v/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/>
      </c>
      <c r="AC176" t="n">
        <v/>
      </c>
      <c r="AD176" t="n">
        <v/>
      </c>
      <c r="AE176" t="n">
        <v/>
      </c>
      <c r="AF176" t="n">
        <v/>
      </c>
      <c r="AG176" t="n">
        <v/>
      </c>
      <c r="AH176" t="n">
        <v/>
      </c>
      <c r="AI176" t="n">
        <v/>
      </c>
      <c r="AJ176" t="n">
        <v/>
      </c>
      <c r="AK176" t="n">
        <v/>
      </c>
      <c r="AL176" t="n">
        <v/>
      </c>
      <c r="AM176" t="n">
        <v/>
      </c>
      <c r="AN176" t="n">
        <v/>
      </c>
      <c r="AO176" t="n">
        <v/>
      </c>
      <c r="AP176" t="n">
        <v/>
      </c>
      <c r="AQ176" t="n">
        <v/>
      </c>
      <c r="AR176" t="n">
        <v/>
      </c>
      <c r="AS176" t="n">
        <v/>
      </c>
      <c r="AT176" t="n">
        <v>5.931758157</v>
      </c>
      <c r="AU176" t="n">
        <v/>
      </c>
    </row>
    <row r="177">
      <c r="A177" s="106" t="n">
        <v>12267</v>
      </c>
      <c r="B177" t="n">
        <v/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/>
      </c>
      <c r="Q177" t="n">
        <v/>
      </c>
      <c r="R177" t="n">
        <v/>
      </c>
      <c r="S177" t="n">
        <v/>
      </c>
      <c r="T177" t="n">
        <v/>
      </c>
      <c r="U177" t="n">
        <v/>
      </c>
      <c r="V177" t="n">
        <v/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/>
      </c>
      <c r="AC177" t="n">
        <v/>
      </c>
      <c r="AD177" t="n">
        <v/>
      </c>
      <c r="AE177" t="n">
        <v/>
      </c>
      <c r="AF177" t="n">
        <v/>
      </c>
      <c r="AG177" t="n">
        <v/>
      </c>
      <c r="AH177" t="n">
        <v/>
      </c>
      <c r="AI177" t="n">
        <v/>
      </c>
      <c r="AJ177" t="n">
        <v/>
      </c>
      <c r="AK177" t="n">
        <v/>
      </c>
      <c r="AL177" t="n">
        <v/>
      </c>
      <c r="AM177" t="n">
        <v/>
      </c>
      <c r="AN177" t="n">
        <v/>
      </c>
      <c r="AO177" t="n">
        <v/>
      </c>
      <c r="AP177" t="n">
        <v/>
      </c>
      <c r="AQ177" t="n">
        <v/>
      </c>
      <c r="AR177" t="n">
        <v/>
      </c>
      <c r="AS177" t="n">
        <v/>
      </c>
      <c r="AT177" t="n">
        <v>5.691298895</v>
      </c>
      <c r="AU177" t="n">
        <v/>
      </c>
    </row>
    <row r="178">
      <c r="A178" s="106" t="n">
        <v>12298</v>
      </c>
      <c r="B178" t="n">
        <v/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/>
      </c>
      <c r="Q178" t="n">
        <v/>
      </c>
      <c r="R178" t="n">
        <v/>
      </c>
      <c r="S178" t="n">
        <v/>
      </c>
      <c r="T178" t="n">
        <v/>
      </c>
      <c r="U178" t="n">
        <v/>
      </c>
      <c r="V178" t="n">
        <v/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/>
      </c>
      <c r="AC178" t="n">
        <v/>
      </c>
      <c r="AD178" t="n">
        <v/>
      </c>
      <c r="AE178" t="n">
        <v/>
      </c>
      <c r="AF178" t="n">
        <v/>
      </c>
      <c r="AG178" t="n">
        <v/>
      </c>
      <c r="AH178" t="n">
        <v/>
      </c>
      <c r="AI178" t="n">
        <v/>
      </c>
      <c r="AJ178" t="n">
        <v/>
      </c>
      <c r="AK178" t="n">
        <v/>
      </c>
      <c r="AL178" t="n">
        <v/>
      </c>
      <c r="AM178" t="n">
        <v/>
      </c>
      <c r="AN178" t="n">
        <v/>
      </c>
      <c r="AO178" t="n">
        <v/>
      </c>
      <c r="AP178" t="n">
        <v/>
      </c>
      <c r="AQ178" t="n">
        <v/>
      </c>
      <c r="AR178" t="n">
        <v/>
      </c>
      <c r="AS178" t="n">
        <v/>
      </c>
      <c r="AT178" t="n">
        <v>5.370620439</v>
      </c>
      <c r="AU178" t="n">
        <v/>
      </c>
    </row>
    <row r="179">
      <c r="A179" s="106" t="n">
        <v>12328</v>
      </c>
      <c r="B179" t="n">
        <v/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/>
      </c>
      <c r="Q179" t="n">
        <v/>
      </c>
      <c r="R179" t="n">
        <v/>
      </c>
      <c r="S179" t="n">
        <v/>
      </c>
      <c r="T179" t="n">
        <v/>
      </c>
      <c r="U179" t="n">
        <v/>
      </c>
      <c r="V179" t="n">
        <v/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/>
      </c>
      <c r="AC179" t="n">
        <v/>
      </c>
      <c r="AD179" t="n">
        <v/>
      </c>
      <c r="AE179" t="n">
        <v/>
      </c>
      <c r="AF179" t="n">
        <v/>
      </c>
      <c r="AG179" t="n">
        <v/>
      </c>
      <c r="AH179" t="n">
        <v/>
      </c>
      <c r="AI179" t="n">
        <v/>
      </c>
      <c r="AJ179" t="n">
        <v/>
      </c>
      <c r="AK179" t="n">
        <v/>
      </c>
      <c r="AL179" t="n">
        <v/>
      </c>
      <c r="AM179" t="n">
        <v/>
      </c>
      <c r="AN179" t="n">
        <v/>
      </c>
      <c r="AO179" t="n">
        <v/>
      </c>
      <c r="AP179" t="n">
        <v/>
      </c>
      <c r="AQ179" t="n">
        <v/>
      </c>
      <c r="AR179" t="n">
        <v/>
      </c>
      <c r="AS179" t="n">
        <v/>
      </c>
      <c r="AT179" t="n">
        <v>5.103388393</v>
      </c>
      <c r="AU179" t="n">
        <v/>
      </c>
    </row>
    <row r="180">
      <c r="A180" s="106" t="n">
        <v>12359</v>
      </c>
      <c r="B180" t="n">
        <v/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/>
      </c>
      <c r="Q180" t="n">
        <v/>
      </c>
      <c r="R180" t="n">
        <v/>
      </c>
      <c r="S180" t="n">
        <v/>
      </c>
      <c r="T180" t="n">
        <v/>
      </c>
      <c r="U180" t="n">
        <v/>
      </c>
      <c r="V180" t="n">
        <v/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/>
      </c>
      <c r="AC180" t="n">
        <v/>
      </c>
      <c r="AD180" t="n">
        <v/>
      </c>
      <c r="AE180" t="n">
        <v/>
      </c>
      <c r="AF180" t="n">
        <v/>
      </c>
      <c r="AG180" t="n">
        <v/>
      </c>
      <c r="AH180" t="n">
        <v/>
      </c>
      <c r="AI180" t="n">
        <v/>
      </c>
      <c r="AJ180" t="n">
        <v/>
      </c>
      <c r="AK180" t="n">
        <v/>
      </c>
      <c r="AL180" t="n">
        <v/>
      </c>
      <c r="AM180" t="n">
        <v/>
      </c>
      <c r="AN180" t="n">
        <v/>
      </c>
      <c r="AO180" t="n">
        <v/>
      </c>
      <c r="AP180" t="n">
        <v/>
      </c>
      <c r="AQ180" t="n">
        <v/>
      </c>
      <c r="AR180" t="n">
        <v/>
      </c>
      <c r="AS180" t="n">
        <v/>
      </c>
      <c r="AT180" t="n">
        <v>4.809482722</v>
      </c>
      <c r="AU180" t="n">
        <v/>
      </c>
    </row>
    <row r="181">
      <c r="A181" s="106" t="n">
        <v>12389</v>
      </c>
      <c r="B181" t="n">
        <v/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/>
      </c>
      <c r="Q181" t="n">
        <v/>
      </c>
      <c r="R181" t="n">
        <v/>
      </c>
      <c r="S181" t="n">
        <v/>
      </c>
      <c r="T181" t="n">
        <v/>
      </c>
      <c r="U181" t="n">
        <v/>
      </c>
      <c r="V181" t="n">
        <v/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/>
      </c>
      <c r="AC181" t="n">
        <v/>
      </c>
      <c r="AD181" t="n">
        <v/>
      </c>
      <c r="AE181" t="n">
        <v/>
      </c>
      <c r="AF181" t="n">
        <v/>
      </c>
      <c r="AG181" t="n">
        <v/>
      </c>
      <c r="AH181" t="n">
        <v/>
      </c>
      <c r="AI181" t="n">
        <v/>
      </c>
      <c r="AJ181" t="n">
        <v/>
      </c>
      <c r="AK181" t="n">
        <v/>
      </c>
      <c r="AL181" t="n">
        <v/>
      </c>
      <c r="AM181" t="n">
        <v/>
      </c>
      <c r="AN181" t="n">
        <v/>
      </c>
      <c r="AO181" t="n">
        <v/>
      </c>
      <c r="AP181" t="n">
        <v/>
      </c>
      <c r="AQ181" t="n">
        <v/>
      </c>
      <c r="AR181" t="n">
        <v/>
      </c>
      <c r="AS181" t="n">
        <v/>
      </c>
      <c r="AT181" t="n">
        <v>4.836255506</v>
      </c>
      <c r="AU181" t="n">
        <v/>
      </c>
    </row>
    <row r="182">
      <c r="A182" s="106" t="n">
        <v>12420</v>
      </c>
      <c r="B182" t="n">
        <v/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/>
      </c>
      <c r="Q182" t="n">
        <v/>
      </c>
      <c r="R182" t="n">
        <v/>
      </c>
      <c r="S182" t="n">
        <v/>
      </c>
      <c r="T182" t="n">
        <v/>
      </c>
      <c r="U182" t="n">
        <v/>
      </c>
      <c r="V182" t="n">
        <v/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/>
      </c>
      <c r="AC182" t="n">
        <v/>
      </c>
      <c r="AD182" t="n">
        <v/>
      </c>
      <c r="AE182" t="n">
        <v/>
      </c>
      <c r="AF182" t="n">
        <v/>
      </c>
      <c r="AG182" t="n">
        <v/>
      </c>
      <c r="AH182" t="n">
        <v/>
      </c>
      <c r="AI182" t="n">
        <v/>
      </c>
      <c r="AJ182" t="n">
        <v/>
      </c>
      <c r="AK182" t="n">
        <v/>
      </c>
      <c r="AL182" t="n">
        <v/>
      </c>
      <c r="AM182" t="n">
        <v/>
      </c>
      <c r="AN182" t="n">
        <v/>
      </c>
      <c r="AO182" t="n">
        <v/>
      </c>
      <c r="AP182" t="n">
        <v/>
      </c>
      <c r="AQ182" t="n">
        <v/>
      </c>
      <c r="AR182" t="n">
        <v/>
      </c>
      <c r="AS182" t="n">
        <v/>
      </c>
      <c r="AT182" t="n">
        <v>4.996594733</v>
      </c>
      <c r="AU182" t="n">
        <v/>
      </c>
    </row>
    <row r="183">
      <c r="A183" s="106" t="n">
        <v>12451</v>
      </c>
      <c r="B183" t="n">
        <v/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/>
      </c>
      <c r="Q183" t="n">
        <v/>
      </c>
      <c r="R183" t="n">
        <v/>
      </c>
      <c r="S183" t="n">
        <v/>
      </c>
      <c r="T183" t="n">
        <v/>
      </c>
      <c r="U183" t="n">
        <v/>
      </c>
      <c r="V183" t="n">
        <v/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/>
      </c>
      <c r="AC183" t="n">
        <v/>
      </c>
      <c r="AD183" t="n">
        <v/>
      </c>
      <c r="AE183" t="n">
        <v/>
      </c>
      <c r="AF183" t="n">
        <v/>
      </c>
      <c r="AG183" t="n">
        <v/>
      </c>
      <c r="AH183" t="n">
        <v/>
      </c>
      <c r="AI183" t="n">
        <v/>
      </c>
      <c r="AJ183" t="n">
        <v/>
      </c>
      <c r="AK183" t="n">
        <v/>
      </c>
      <c r="AL183" t="n">
        <v/>
      </c>
      <c r="AM183" t="n">
        <v/>
      </c>
      <c r="AN183" t="n">
        <v/>
      </c>
      <c r="AO183" t="n">
        <v/>
      </c>
      <c r="AP183" t="n">
        <v/>
      </c>
      <c r="AQ183" t="n">
        <v/>
      </c>
      <c r="AR183" t="n">
        <v/>
      </c>
      <c r="AS183" t="n">
        <v/>
      </c>
      <c r="AT183" t="n">
        <v>5.237053996</v>
      </c>
      <c r="AU183" t="n">
        <v/>
      </c>
    </row>
    <row r="184">
      <c r="A184" s="106" t="n">
        <v>12479</v>
      </c>
      <c r="B184" t="n">
        <v/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/>
      </c>
      <c r="Q184" t="n">
        <v/>
      </c>
      <c r="R184" t="n">
        <v/>
      </c>
      <c r="S184" t="n">
        <v/>
      </c>
      <c r="T184" t="n">
        <v/>
      </c>
      <c r="U184" t="n">
        <v/>
      </c>
      <c r="V184" t="n">
        <v/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/>
      </c>
      <c r="AC184" t="n">
        <v/>
      </c>
      <c r="AD184" t="n">
        <v/>
      </c>
      <c r="AE184" t="n">
        <v/>
      </c>
      <c r="AF184" t="n">
        <v/>
      </c>
      <c r="AG184" t="n">
        <v/>
      </c>
      <c r="AH184" t="n">
        <v/>
      </c>
      <c r="AI184" t="n">
        <v/>
      </c>
      <c r="AJ184" t="n">
        <v/>
      </c>
      <c r="AK184" t="n">
        <v/>
      </c>
      <c r="AL184" t="n">
        <v/>
      </c>
      <c r="AM184" t="n">
        <v/>
      </c>
      <c r="AN184" t="n">
        <v/>
      </c>
      <c r="AO184" t="n">
        <v/>
      </c>
      <c r="AP184" t="n">
        <v/>
      </c>
      <c r="AQ184" t="n">
        <v/>
      </c>
      <c r="AR184" t="n">
        <v/>
      </c>
      <c r="AS184" t="n">
        <v/>
      </c>
      <c r="AT184" t="n">
        <v>5.477513258</v>
      </c>
      <c r="AU184" t="n">
        <v/>
      </c>
    </row>
    <row r="185">
      <c r="A185" s="106" t="n">
        <v>12510</v>
      </c>
      <c r="B185" t="n">
        <v/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/>
      </c>
      <c r="Q185" t="n">
        <v/>
      </c>
      <c r="R185" t="n">
        <v/>
      </c>
      <c r="S185" t="n">
        <v/>
      </c>
      <c r="T185" t="n">
        <v/>
      </c>
      <c r="U185" t="n">
        <v/>
      </c>
      <c r="V185" t="n">
        <v/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/>
      </c>
      <c r="AC185" t="n">
        <v/>
      </c>
      <c r="AD185" t="n">
        <v/>
      </c>
      <c r="AE185" t="n">
        <v/>
      </c>
      <c r="AF185" t="n">
        <v/>
      </c>
      <c r="AG185" t="n">
        <v/>
      </c>
      <c r="AH185" t="n">
        <v/>
      </c>
      <c r="AI185" t="n">
        <v/>
      </c>
      <c r="AJ185" t="n">
        <v/>
      </c>
      <c r="AK185" t="n">
        <v/>
      </c>
      <c r="AL185" t="n">
        <v/>
      </c>
      <c r="AM185" t="n">
        <v/>
      </c>
      <c r="AN185" t="n">
        <v/>
      </c>
      <c r="AO185" t="n">
        <v/>
      </c>
      <c r="AP185" t="n">
        <v/>
      </c>
      <c r="AQ185" t="n">
        <v/>
      </c>
      <c r="AR185" t="n">
        <v/>
      </c>
      <c r="AS185" t="n">
        <v/>
      </c>
      <c r="AT185" t="n">
        <v>5.477513258</v>
      </c>
      <c r="AU185" t="n">
        <v/>
      </c>
    </row>
    <row r="186">
      <c r="A186" s="106" t="n">
        <v>12540</v>
      </c>
      <c r="B186" t="n">
        <v/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/>
      </c>
      <c r="Q186" t="n">
        <v/>
      </c>
      <c r="R186" t="n">
        <v/>
      </c>
      <c r="S186" t="n">
        <v/>
      </c>
      <c r="T186" t="n">
        <v/>
      </c>
      <c r="U186" t="n">
        <v/>
      </c>
      <c r="V186" t="n">
        <v/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/>
      </c>
      <c r="AC186" t="n">
        <v/>
      </c>
      <c r="AD186" t="n">
        <v/>
      </c>
      <c r="AE186" t="n">
        <v/>
      </c>
      <c r="AF186" t="n">
        <v/>
      </c>
      <c r="AG186" t="n">
        <v/>
      </c>
      <c r="AH186" t="n">
        <v/>
      </c>
      <c r="AI186" t="n">
        <v/>
      </c>
      <c r="AJ186" t="n">
        <v/>
      </c>
      <c r="AK186" t="n">
        <v/>
      </c>
      <c r="AL186" t="n">
        <v/>
      </c>
      <c r="AM186" t="n">
        <v/>
      </c>
      <c r="AN186" t="n">
        <v/>
      </c>
      <c r="AO186" t="n">
        <v/>
      </c>
      <c r="AP186" t="n">
        <v/>
      </c>
      <c r="AQ186" t="n">
        <v/>
      </c>
      <c r="AR186" t="n">
        <v/>
      </c>
      <c r="AS186" t="n">
        <v/>
      </c>
      <c r="AT186" t="n">
        <v>5.584406076</v>
      </c>
      <c r="AU186" t="n">
        <v/>
      </c>
    </row>
    <row r="187">
      <c r="A187" s="106" t="n">
        <v>12571</v>
      </c>
      <c r="B187" t="n">
        <v/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/>
      </c>
      <c r="Q187" t="n">
        <v/>
      </c>
      <c r="R187" t="n">
        <v/>
      </c>
      <c r="S187" t="n">
        <v/>
      </c>
      <c r="T187" t="n">
        <v/>
      </c>
      <c r="U187" t="n">
        <v>2.010236</v>
      </c>
      <c r="V187" t="n">
        <v/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/>
      </c>
      <c r="AC187" t="n">
        <v/>
      </c>
      <c r="AD187" t="n">
        <v/>
      </c>
      <c r="AE187" t="n">
        <v/>
      </c>
      <c r="AF187" t="n">
        <v/>
      </c>
      <c r="AG187" t="n">
        <v/>
      </c>
      <c r="AH187" t="n">
        <v/>
      </c>
      <c r="AI187" t="n">
        <v/>
      </c>
      <c r="AJ187" t="n">
        <v/>
      </c>
      <c r="AK187" t="n">
        <v/>
      </c>
      <c r="AL187" t="n">
        <v/>
      </c>
      <c r="AM187" t="n">
        <v/>
      </c>
      <c r="AN187" t="n">
        <v/>
      </c>
      <c r="AO187" t="n">
        <v/>
      </c>
      <c r="AP187" t="n">
        <v/>
      </c>
      <c r="AQ187" t="n">
        <v/>
      </c>
      <c r="AR187" t="n">
        <v/>
      </c>
      <c r="AS187" t="n">
        <v/>
      </c>
      <c r="AT187" t="n">
        <v>5.477513258</v>
      </c>
      <c r="AU187" t="n">
        <v>1.439518</v>
      </c>
    </row>
    <row r="188">
      <c r="A188" s="106" t="n">
        <v>12601</v>
      </c>
      <c r="B188" t="n">
        <v/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/>
      </c>
      <c r="Q188" t="n">
        <v/>
      </c>
      <c r="R188" t="n">
        <v/>
      </c>
      <c r="S188" t="n">
        <v/>
      </c>
      <c r="T188" t="n">
        <v/>
      </c>
      <c r="U188" t="n">
        <v>0.805455</v>
      </c>
      <c r="V188" t="n">
        <v/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/>
      </c>
      <c r="AC188" t="n">
        <v/>
      </c>
      <c r="AD188" t="n">
        <v/>
      </c>
      <c r="AE188" t="n">
        <v/>
      </c>
      <c r="AF188" t="n">
        <v/>
      </c>
      <c r="AG188" t="n">
        <v/>
      </c>
      <c r="AH188" t="n">
        <v/>
      </c>
      <c r="AI188" t="n">
        <v/>
      </c>
      <c r="AJ188" t="n">
        <v/>
      </c>
      <c r="AK188" t="n">
        <v/>
      </c>
      <c r="AL188" t="n">
        <v/>
      </c>
      <c r="AM188" t="n">
        <v/>
      </c>
      <c r="AN188" t="n">
        <v/>
      </c>
      <c r="AO188" t="n">
        <v/>
      </c>
      <c r="AP188" t="n">
        <v/>
      </c>
      <c r="AQ188" t="n">
        <v/>
      </c>
      <c r="AR188" t="n">
        <v/>
      </c>
      <c r="AS188" t="n">
        <v/>
      </c>
      <c r="AT188" t="n">
        <v>5.103388393</v>
      </c>
      <c r="AU188" t="n">
        <v>0.740852</v>
      </c>
    </row>
    <row r="189">
      <c r="A189" s="106" t="n">
        <v>12632</v>
      </c>
      <c r="B189" t="n">
        <v/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/>
      </c>
      <c r="Q189" t="n">
        <v/>
      </c>
      <c r="R189" t="n">
        <v/>
      </c>
      <c r="S189" t="n">
        <v/>
      </c>
      <c r="T189" t="n">
        <v/>
      </c>
      <c r="U189" t="n">
        <v>1.421339</v>
      </c>
      <c r="V189" t="n">
        <v/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/>
      </c>
      <c r="AC189" t="n">
        <v/>
      </c>
      <c r="AD189" t="n">
        <v/>
      </c>
      <c r="AE189" t="n">
        <v/>
      </c>
      <c r="AF189" t="n">
        <v/>
      </c>
      <c r="AG189" t="n">
        <v/>
      </c>
      <c r="AH189" t="n">
        <v/>
      </c>
      <c r="AI189" t="n">
        <v/>
      </c>
      <c r="AJ189" t="n">
        <v/>
      </c>
      <c r="AK189" t="n">
        <v/>
      </c>
      <c r="AL189" t="n">
        <v/>
      </c>
      <c r="AM189" t="n">
        <v/>
      </c>
      <c r="AN189" t="n">
        <v/>
      </c>
      <c r="AO189" t="n">
        <v/>
      </c>
      <c r="AP189" t="n">
        <v/>
      </c>
      <c r="AQ189" t="n">
        <v/>
      </c>
      <c r="AR189" t="n">
        <v/>
      </c>
      <c r="AS189" t="n">
        <v/>
      </c>
      <c r="AT189" t="n">
        <v>5.050041142</v>
      </c>
      <c r="AU189" t="n">
        <v>-0.142492</v>
      </c>
    </row>
    <row r="190">
      <c r="A190" s="106" t="n">
        <v>12663</v>
      </c>
      <c r="B190" t="n">
        <v/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/>
      </c>
      <c r="Q190" t="n">
        <v/>
      </c>
      <c r="R190" t="n">
        <v/>
      </c>
      <c r="S190" t="n">
        <v/>
      </c>
      <c r="T190" t="n">
        <v/>
      </c>
      <c r="U190" t="n">
        <v>2.06826</v>
      </c>
      <c r="V190" t="n">
        <v/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/>
      </c>
      <c r="AC190" t="n">
        <v/>
      </c>
      <c r="AD190" t="n">
        <v/>
      </c>
      <c r="AE190" t="n">
        <v/>
      </c>
      <c r="AF190" t="n">
        <v/>
      </c>
      <c r="AG190" t="n">
        <v/>
      </c>
      <c r="AH190" t="n">
        <v/>
      </c>
      <c r="AI190" t="n">
        <v/>
      </c>
      <c r="AJ190" t="n">
        <v/>
      </c>
      <c r="AK190" t="n">
        <v/>
      </c>
      <c r="AL190" t="n">
        <v/>
      </c>
      <c r="AM190" t="n">
        <v/>
      </c>
      <c r="AN190" t="n">
        <v/>
      </c>
      <c r="AO190" t="n">
        <v/>
      </c>
      <c r="AP190" t="n">
        <v/>
      </c>
      <c r="AQ190" t="n">
        <v/>
      </c>
      <c r="AR190" t="n">
        <v/>
      </c>
      <c r="AS190" t="n">
        <v/>
      </c>
      <c r="AT190" t="n">
        <v>4.756036312</v>
      </c>
      <c r="AU190" t="n">
        <v>1.084857</v>
      </c>
    </row>
    <row r="191">
      <c r="A191" s="106" t="n">
        <v>12693</v>
      </c>
      <c r="B191" t="n">
        <v/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/>
      </c>
      <c r="Q191" t="n">
        <v/>
      </c>
      <c r="R191" t="n">
        <v/>
      </c>
      <c r="S191" t="n">
        <v/>
      </c>
      <c r="T191" t="n">
        <v/>
      </c>
      <c r="U191" t="n">
        <v>0.252391</v>
      </c>
      <c r="V191" t="n">
        <v/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/>
      </c>
      <c r="AC191" t="n">
        <v/>
      </c>
      <c r="AD191" t="n">
        <v/>
      </c>
      <c r="AE191" t="n">
        <v/>
      </c>
      <c r="AF191" t="n">
        <v/>
      </c>
      <c r="AG191" t="n">
        <v/>
      </c>
      <c r="AH191" t="n">
        <v/>
      </c>
      <c r="AI191" t="n">
        <v/>
      </c>
      <c r="AJ191" t="n">
        <v/>
      </c>
      <c r="AK191" t="n">
        <v/>
      </c>
      <c r="AL191" t="n">
        <v/>
      </c>
      <c r="AM191" t="n">
        <v/>
      </c>
      <c r="AN191" t="n">
        <v/>
      </c>
      <c r="AO191" t="n">
        <v/>
      </c>
      <c r="AP191" t="n">
        <v/>
      </c>
      <c r="AQ191" t="n">
        <v/>
      </c>
      <c r="AR191" t="n">
        <v/>
      </c>
      <c r="AS191" t="n">
        <v/>
      </c>
      <c r="AT191" t="n">
        <v>4.969821949</v>
      </c>
      <c r="AU191" t="n">
        <v>1.124755</v>
      </c>
    </row>
    <row r="192">
      <c r="A192" s="106" t="n">
        <v>12724</v>
      </c>
      <c r="B192" t="n">
        <v/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/>
      </c>
      <c r="Q192" t="n">
        <v/>
      </c>
      <c r="R192" t="n">
        <v/>
      </c>
      <c r="S192" t="n">
        <v/>
      </c>
      <c r="T192" t="n">
        <v/>
      </c>
      <c r="U192" t="n">
        <v>1.240935</v>
      </c>
      <c r="V192" t="n">
        <v/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/>
      </c>
      <c r="AC192" t="n">
        <v/>
      </c>
      <c r="AD192" t="n">
        <v/>
      </c>
      <c r="AE192" t="n">
        <v/>
      </c>
      <c r="AF192" t="n">
        <v/>
      </c>
      <c r="AG192" t="n">
        <v/>
      </c>
      <c r="AH192" t="n">
        <v/>
      </c>
      <c r="AI192" t="n">
        <v/>
      </c>
      <c r="AJ192" t="n">
        <v/>
      </c>
      <c r="AK192" t="n">
        <v/>
      </c>
      <c r="AL192" t="n">
        <v/>
      </c>
      <c r="AM192" t="n">
        <v/>
      </c>
      <c r="AN192" t="n">
        <v/>
      </c>
      <c r="AO192" t="n">
        <v/>
      </c>
      <c r="AP192" t="n">
        <v/>
      </c>
      <c r="AQ192" t="n">
        <v/>
      </c>
      <c r="AR192" t="n">
        <v/>
      </c>
      <c r="AS192" t="n">
        <v/>
      </c>
      <c r="AT192" t="n">
        <v>5.023268359</v>
      </c>
      <c r="AU192" t="n">
        <v>1.669118</v>
      </c>
    </row>
    <row r="193">
      <c r="A193" s="106" t="n">
        <v>12754</v>
      </c>
      <c r="B193" t="n">
        <v/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/>
      </c>
      <c r="Q193" t="n">
        <v/>
      </c>
      <c r="R193" t="n">
        <v/>
      </c>
      <c r="S193" t="n">
        <v/>
      </c>
      <c r="T193" t="n">
        <v/>
      </c>
      <c r="U193" t="n">
        <v>-1.543122</v>
      </c>
      <c r="V193" t="n">
        <v/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/>
      </c>
      <c r="AC193" t="n">
        <v/>
      </c>
      <c r="AD193" t="n">
        <v/>
      </c>
      <c r="AE193" t="n">
        <v/>
      </c>
      <c r="AF193" t="n">
        <v/>
      </c>
      <c r="AG193" t="n">
        <v/>
      </c>
      <c r="AH193" t="n">
        <v/>
      </c>
      <c r="AI193" t="n">
        <v/>
      </c>
      <c r="AJ193" t="n">
        <v/>
      </c>
      <c r="AK193" t="n">
        <v/>
      </c>
      <c r="AL193" t="n">
        <v/>
      </c>
      <c r="AM193" t="n">
        <v/>
      </c>
      <c r="AN193" t="n">
        <v/>
      </c>
      <c r="AO193" t="n">
        <v/>
      </c>
      <c r="AP193" t="n">
        <v/>
      </c>
      <c r="AQ193" t="n">
        <v/>
      </c>
      <c r="AR193" t="n">
        <v/>
      </c>
      <c r="AS193" t="n">
        <v/>
      </c>
      <c r="AT193" t="n">
        <v>5.343946814</v>
      </c>
      <c r="AU193" t="n">
        <v>0.361223</v>
      </c>
    </row>
    <row r="194">
      <c r="A194" s="106" t="n">
        <v>12785</v>
      </c>
      <c r="B194" t="n">
        <v/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/>
      </c>
      <c r="Q194" t="n">
        <v/>
      </c>
      <c r="R194" t="n">
        <v/>
      </c>
      <c r="S194" t="n">
        <v/>
      </c>
      <c r="T194" t="n">
        <v/>
      </c>
      <c r="U194" t="n">
        <v>-3.790304</v>
      </c>
      <c r="V194" t="n">
        <v/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/>
      </c>
      <c r="AC194" t="n">
        <v/>
      </c>
      <c r="AD194" t="n">
        <v/>
      </c>
      <c r="AE194" t="n">
        <v/>
      </c>
      <c r="AF194" t="n">
        <v/>
      </c>
      <c r="AG194" t="n">
        <v/>
      </c>
      <c r="AH194" t="n">
        <v/>
      </c>
      <c r="AI194" t="n">
        <v/>
      </c>
      <c r="AJ194" t="n">
        <v/>
      </c>
      <c r="AK194" t="n">
        <v/>
      </c>
      <c r="AL194" t="n">
        <v/>
      </c>
      <c r="AM194" t="n">
        <v/>
      </c>
      <c r="AN194" t="n">
        <v/>
      </c>
      <c r="AO194" t="n">
        <v/>
      </c>
      <c r="AP194" t="n">
        <v/>
      </c>
      <c r="AQ194" t="n">
        <v/>
      </c>
      <c r="AR194" t="n">
        <v/>
      </c>
      <c r="AS194" t="n">
        <v/>
      </c>
      <c r="AT194" t="n">
        <v>5.771418929</v>
      </c>
      <c r="AU194" t="n">
        <v>0.444021</v>
      </c>
    </row>
    <row r="195">
      <c r="A195" s="106" t="n">
        <v>12816</v>
      </c>
      <c r="B195" t="n">
        <v/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/>
      </c>
      <c r="Q195" t="n">
        <v/>
      </c>
      <c r="R195" t="n">
        <v/>
      </c>
      <c r="S195" t="n">
        <v/>
      </c>
      <c r="T195" t="n">
        <v/>
      </c>
      <c r="U195" t="n">
        <v>-0.3863</v>
      </c>
      <c r="V195" t="n">
        <v/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/>
      </c>
      <c r="AC195" t="n">
        <v/>
      </c>
      <c r="AD195" t="n">
        <v/>
      </c>
      <c r="AE195" t="n">
        <v/>
      </c>
      <c r="AF195" t="n">
        <v/>
      </c>
      <c r="AG195" t="n">
        <v/>
      </c>
      <c r="AH195" t="n">
        <v/>
      </c>
      <c r="AI195" t="n">
        <v/>
      </c>
      <c r="AJ195" t="n">
        <v/>
      </c>
      <c r="AK195" t="n">
        <v/>
      </c>
      <c r="AL195" t="n">
        <v/>
      </c>
      <c r="AM195" t="n">
        <v/>
      </c>
      <c r="AN195" t="n">
        <v/>
      </c>
      <c r="AO195" t="n">
        <v/>
      </c>
      <c r="AP195" t="n">
        <v/>
      </c>
      <c r="AQ195" t="n">
        <v/>
      </c>
      <c r="AR195" t="n">
        <v/>
      </c>
      <c r="AS195" t="n">
        <v/>
      </c>
      <c r="AT195" t="n">
        <v>5.878311748</v>
      </c>
      <c r="AU195" t="n">
        <v>0.431641</v>
      </c>
    </row>
    <row r="196">
      <c r="A196" s="106" t="n">
        <v>12844</v>
      </c>
      <c r="B196" t="n">
        <v/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/>
      </c>
      <c r="Q196" t="n">
        <v/>
      </c>
      <c r="R196" t="n">
        <v/>
      </c>
      <c r="S196" t="n">
        <v/>
      </c>
      <c r="T196" t="n">
        <v/>
      </c>
      <c r="U196" t="n">
        <v>0.766785</v>
      </c>
      <c r="V196" t="n">
        <v/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/>
      </c>
      <c r="AC196" t="n">
        <v/>
      </c>
      <c r="AD196" t="n">
        <v/>
      </c>
      <c r="AE196" t="n">
        <v/>
      </c>
      <c r="AF196" t="n">
        <v/>
      </c>
      <c r="AG196" t="n">
        <v/>
      </c>
      <c r="AH196" t="n">
        <v/>
      </c>
      <c r="AI196" t="n">
        <v/>
      </c>
      <c r="AJ196" t="n">
        <v/>
      </c>
      <c r="AK196" t="n">
        <v/>
      </c>
      <c r="AL196" t="n">
        <v/>
      </c>
      <c r="AM196" t="n">
        <v/>
      </c>
      <c r="AN196" t="n">
        <v/>
      </c>
      <c r="AO196" t="n">
        <v/>
      </c>
      <c r="AP196" t="n">
        <v/>
      </c>
      <c r="AQ196" t="n">
        <v/>
      </c>
      <c r="AR196" t="n">
        <v/>
      </c>
      <c r="AS196" t="n">
        <v/>
      </c>
      <c r="AT196" t="n">
        <v>5.851538964</v>
      </c>
      <c r="AU196" t="n">
        <v>0.394653</v>
      </c>
    </row>
    <row r="197">
      <c r="A197" s="106" t="n">
        <v>12875</v>
      </c>
      <c r="B197" t="n">
        <v/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/>
      </c>
      <c r="Q197" t="n">
        <v/>
      </c>
      <c r="R197" t="n">
        <v/>
      </c>
      <c r="S197" t="n">
        <v/>
      </c>
      <c r="T197" t="n">
        <v/>
      </c>
      <c r="U197" t="n">
        <v>2.74966</v>
      </c>
      <c r="V197" t="n">
        <v/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/>
      </c>
      <c r="AC197" t="n">
        <v/>
      </c>
      <c r="AD197" t="n">
        <v/>
      </c>
      <c r="AE197" t="n">
        <v/>
      </c>
      <c r="AF197" t="n">
        <v/>
      </c>
      <c r="AG197" t="n">
        <v/>
      </c>
      <c r="AH197" t="n">
        <v/>
      </c>
      <c r="AI197" t="n">
        <v/>
      </c>
      <c r="AJ197" t="n">
        <v/>
      </c>
      <c r="AK197" t="n">
        <v/>
      </c>
      <c r="AL197" t="n">
        <v/>
      </c>
      <c r="AM197" t="n">
        <v/>
      </c>
      <c r="AN197" t="n">
        <v/>
      </c>
      <c r="AO197" t="n">
        <v/>
      </c>
      <c r="AP197" t="n">
        <v/>
      </c>
      <c r="AQ197" t="n">
        <v/>
      </c>
      <c r="AR197" t="n">
        <v/>
      </c>
      <c r="AS197" t="n">
        <v/>
      </c>
      <c r="AT197" t="n">
        <v>5.744745304</v>
      </c>
      <c r="AU197" t="n">
        <v>1.403239</v>
      </c>
    </row>
    <row r="198">
      <c r="A198" s="106" t="n">
        <v>12905</v>
      </c>
      <c r="B198" t="n">
        <v/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/>
      </c>
      <c r="Q198" t="n">
        <v/>
      </c>
      <c r="R198" t="n">
        <v/>
      </c>
      <c r="S198" t="n">
        <v/>
      </c>
      <c r="T198" t="n">
        <v/>
      </c>
      <c r="U198" t="n">
        <v>2.228766</v>
      </c>
      <c r="V198" t="n">
        <v/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/>
      </c>
      <c r="AC198" t="n">
        <v/>
      </c>
      <c r="AD198" t="n">
        <v/>
      </c>
      <c r="AE198" t="n">
        <v/>
      </c>
      <c r="AF198" t="n">
        <v/>
      </c>
      <c r="AG198" t="n">
        <v/>
      </c>
      <c r="AH198" t="n">
        <v/>
      </c>
      <c r="AI198" t="n">
        <v/>
      </c>
      <c r="AJ198" t="n">
        <v/>
      </c>
      <c r="AK198" t="n">
        <v/>
      </c>
      <c r="AL198" t="n">
        <v/>
      </c>
      <c r="AM198" t="n">
        <v/>
      </c>
      <c r="AN198" t="n">
        <v/>
      </c>
      <c r="AO198" t="n">
        <v/>
      </c>
      <c r="AP198" t="n">
        <v/>
      </c>
      <c r="AQ198" t="n">
        <v/>
      </c>
      <c r="AR198" t="n">
        <v/>
      </c>
      <c r="AS198" t="n">
        <v/>
      </c>
      <c r="AT198" t="n">
        <v>5.744745304</v>
      </c>
      <c r="AU198" t="n">
        <v>1.873041</v>
      </c>
    </row>
    <row r="199">
      <c r="A199" s="106" t="n">
        <v>12936</v>
      </c>
      <c r="B199" t="n">
        <v/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/>
      </c>
      <c r="Q199" t="n">
        <v/>
      </c>
      <c r="R199" t="n">
        <v/>
      </c>
      <c r="S199" t="n">
        <v/>
      </c>
      <c r="T199" t="n">
        <v/>
      </c>
      <c r="U199" t="n">
        <v>2.296678</v>
      </c>
      <c r="V199" t="n">
        <v/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/>
      </c>
      <c r="AC199" t="n">
        <v/>
      </c>
      <c r="AD199" t="n">
        <v/>
      </c>
      <c r="AE199" t="n">
        <v/>
      </c>
      <c r="AF199" t="n">
        <v/>
      </c>
      <c r="AG199" t="n">
        <v/>
      </c>
      <c r="AH199" t="n">
        <v/>
      </c>
      <c r="AI199" t="n">
        <v/>
      </c>
      <c r="AJ199" t="n">
        <v/>
      </c>
      <c r="AK199" t="n">
        <v/>
      </c>
      <c r="AL199" t="n">
        <v/>
      </c>
      <c r="AM199" t="n">
        <v/>
      </c>
      <c r="AN199" t="n">
        <v/>
      </c>
      <c r="AO199" t="n">
        <v/>
      </c>
      <c r="AP199" t="n">
        <v/>
      </c>
      <c r="AQ199" t="n">
        <v/>
      </c>
      <c r="AR199" t="n">
        <v/>
      </c>
      <c r="AS199" t="n">
        <v/>
      </c>
      <c r="AT199" t="n">
        <v>5.824865339</v>
      </c>
      <c r="AU199" t="n">
        <v>1.13476</v>
      </c>
    </row>
    <row r="200">
      <c r="A200" s="106" t="n">
        <v>12966</v>
      </c>
      <c r="B200" t="n">
        <v/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/>
      </c>
      <c r="Q200" t="n">
        <v/>
      </c>
      <c r="R200" t="n">
        <v/>
      </c>
      <c r="S200" t="n">
        <v/>
      </c>
      <c r="T200" t="n">
        <v/>
      </c>
      <c r="U200" t="n">
        <v>1.822266</v>
      </c>
      <c r="V200" t="n">
        <v/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/>
      </c>
      <c r="AC200" t="n">
        <v/>
      </c>
      <c r="AD200" t="n">
        <v/>
      </c>
      <c r="AE200" t="n">
        <v/>
      </c>
      <c r="AF200" t="n">
        <v/>
      </c>
      <c r="AG200" t="n">
        <v/>
      </c>
      <c r="AH200" t="n">
        <v/>
      </c>
      <c r="AI200" t="n">
        <v/>
      </c>
      <c r="AJ200" t="n">
        <v/>
      </c>
      <c r="AK200" t="n">
        <v/>
      </c>
      <c r="AL200" t="n">
        <v/>
      </c>
      <c r="AM200" t="n">
        <v/>
      </c>
      <c r="AN200" t="n">
        <v/>
      </c>
      <c r="AO200" t="n">
        <v/>
      </c>
      <c r="AP200" t="n">
        <v/>
      </c>
      <c r="AQ200" t="n">
        <v/>
      </c>
      <c r="AR200" t="n">
        <v/>
      </c>
      <c r="AS200" t="n">
        <v/>
      </c>
      <c r="AT200" t="n">
        <v>5.824865339</v>
      </c>
      <c r="AU200" t="n">
        <v>0.948474</v>
      </c>
    </row>
    <row r="201">
      <c r="A201" s="106" t="n">
        <v>12997</v>
      </c>
      <c r="B201" t="n">
        <v/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/>
      </c>
      <c r="Q201" t="n">
        <v/>
      </c>
      <c r="R201" t="n">
        <v/>
      </c>
      <c r="S201" t="n">
        <v/>
      </c>
      <c r="T201" t="n">
        <v/>
      </c>
      <c r="U201" t="n">
        <v>2.100205</v>
      </c>
      <c r="V201" t="n">
        <v/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/>
      </c>
      <c r="AC201" t="n">
        <v/>
      </c>
      <c r="AD201" t="n">
        <v/>
      </c>
      <c r="AE201" t="n">
        <v/>
      </c>
      <c r="AF201" t="n">
        <v/>
      </c>
      <c r="AG201" t="n">
        <v/>
      </c>
      <c r="AH201" t="n">
        <v/>
      </c>
      <c r="AI201" t="n">
        <v/>
      </c>
      <c r="AJ201" t="n">
        <v/>
      </c>
      <c r="AK201" t="n">
        <v/>
      </c>
      <c r="AL201" t="n">
        <v/>
      </c>
      <c r="AM201" t="n">
        <v/>
      </c>
      <c r="AN201" t="n">
        <v/>
      </c>
      <c r="AO201" t="n">
        <v/>
      </c>
      <c r="AP201" t="n">
        <v/>
      </c>
      <c r="AQ201" t="n">
        <v/>
      </c>
      <c r="AR201" t="n">
        <v/>
      </c>
      <c r="AS201" t="n">
        <v/>
      </c>
      <c r="AT201" t="n">
        <v>6.038650976</v>
      </c>
      <c r="AU201" t="n">
        <v>0.287285</v>
      </c>
    </row>
    <row r="202">
      <c r="A202" s="106" t="n">
        <v>13028</v>
      </c>
      <c r="B202" t="n">
        <v/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/>
      </c>
      <c r="Q202" t="n">
        <v/>
      </c>
      <c r="R202" t="n">
        <v/>
      </c>
      <c r="S202" t="n">
        <v/>
      </c>
      <c r="T202" t="n">
        <v/>
      </c>
      <c r="U202" t="n">
        <v>1.487514</v>
      </c>
      <c r="V202" t="n">
        <v/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/>
      </c>
      <c r="AC202" t="n">
        <v/>
      </c>
      <c r="AD202" t="n">
        <v/>
      </c>
      <c r="AE202" t="n">
        <v/>
      </c>
      <c r="AF202" t="n">
        <v/>
      </c>
      <c r="AG202" t="n">
        <v/>
      </c>
      <c r="AH202" t="n">
        <v/>
      </c>
      <c r="AI202" t="n">
        <v/>
      </c>
      <c r="AJ202" t="n">
        <v/>
      </c>
      <c r="AK202" t="n">
        <v/>
      </c>
      <c r="AL202" t="n">
        <v/>
      </c>
      <c r="AM202" t="n">
        <v/>
      </c>
      <c r="AN202" t="n">
        <v/>
      </c>
      <c r="AO202" t="n">
        <v/>
      </c>
      <c r="AP202" t="n">
        <v/>
      </c>
      <c r="AQ202" t="n">
        <v/>
      </c>
      <c r="AR202" t="n">
        <v/>
      </c>
      <c r="AS202" t="n">
        <v/>
      </c>
      <c r="AT202" t="n">
        <v>6.198891045</v>
      </c>
      <c r="AU202" t="n">
        <v>0.611664</v>
      </c>
    </row>
    <row r="203">
      <c r="A203" s="106" t="n">
        <v>13058</v>
      </c>
      <c r="B203" t="n">
        <v/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/>
      </c>
      <c r="Q203" t="n">
        <v/>
      </c>
      <c r="R203" t="n">
        <v/>
      </c>
      <c r="S203" t="n">
        <v/>
      </c>
      <c r="T203" t="n">
        <v/>
      </c>
      <c r="U203" t="n">
        <v>2.517217</v>
      </c>
      <c r="V203" t="n">
        <v/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/>
      </c>
      <c r="AC203" t="n">
        <v/>
      </c>
      <c r="AD203" t="n">
        <v/>
      </c>
      <c r="AE203" t="n">
        <v/>
      </c>
      <c r="AF203" t="n">
        <v/>
      </c>
      <c r="AG203" t="n">
        <v/>
      </c>
      <c r="AH203" t="n">
        <v/>
      </c>
      <c r="AI203" t="n">
        <v/>
      </c>
      <c r="AJ203" t="n">
        <v/>
      </c>
      <c r="AK203" t="n">
        <v/>
      </c>
      <c r="AL203" t="n">
        <v/>
      </c>
      <c r="AM203" t="n">
        <v/>
      </c>
      <c r="AN203" t="n">
        <v/>
      </c>
      <c r="AO203" t="n">
        <v/>
      </c>
      <c r="AP203" t="n">
        <v/>
      </c>
      <c r="AQ203" t="n">
        <v/>
      </c>
      <c r="AR203" t="n">
        <v/>
      </c>
      <c r="AS203" t="n">
        <v/>
      </c>
      <c r="AT203" t="n">
        <v>6.386003056</v>
      </c>
      <c r="AU203" t="n">
        <v>0.208898</v>
      </c>
    </row>
    <row r="204">
      <c r="A204" s="106" t="n">
        <v>13089</v>
      </c>
      <c r="B204" t="n">
        <v/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/>
      </c>
      <c r="Q204" t="n">
        <v/>
      </c>
      <c r="R204" t="n">
        <v/>
      </c>
      <c r="S204" t="n">
        <v/>
      </c>
      <c r="T204" t="n">
        <v/>
      </c>
      <c r="U204" t="n">
        <v>1.351458</v>
      </c>
      <c r="V204" t="n">
        <v/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/>
      </c>
      <c r="AC204" t="n">
        <v/>
      </c>
      <c r="AD204" t="n">
        <v/>
      </c>
      <c r="AE204" t="n">
        <v/>
      </c>
      <c r="AF204" t="n">
        <v/>
      </c>
      <c r="AG204" t="n">
        <v/>
      </c>
      <c r="AH204" t="n">
        <v/>
      </c>
      <c r="AI204" t="n">
        <v/>
      </c>
      <c r="AJ204" t="n">
        <v/>
      </c>
      <c r="AK204" t="n">
        <v/>
      </c>
      <c r="AL204" t="n">
        <v/>
      </c>
      <c r="AM204" t="n">
        <v/>
      </c>
      <c r="AN204" t="n">
        <v/>
      </c>
      <c r="AO204" t="n">
        <v/>
      </c>
      <c r="AP204" t="n">
        <v/>
      </c>
      <c r="AQ204" t="n">
        <v/>
      </c>
      <c r="AR204" t="n">
        <v/>
      </c>
      <c r="AS204" t="n">
        <v/>
      </c>
      <c r="AT204" t="n">
        <v>6.5195695</v>
      </c>
      <c r="AU204" t="n">
        <v>0.150986</v>
      </c>
    </row>
    <row r="205">
      <c r="A205" s="106" t="n">
        <v>13119</v>
      </c>
      <c r="B205" t="n">
        <v/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/>
      </c>
      <c r="Q205" t="n">
        <v/>
      </c>
      <c r="R205" t="n">
        <v/>
      </c>
      <c r="S205" t="n">
        <v/>
      </c>
      <c r="T205" t="n">
        <v/>
      </c>
      <c r="U205" t="n">
        <v>0.517422</v>
      </c>
      <c r="V205" t="n">
        <v/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/>
      </c>
      <c r="AC205" t="n">
        <v/>
      </c>
      <c r="AD205" t="n">
        <v/>
      </c>
      <c r="AE205" t="n">
        <v/>
      </c>
      <c r="AF205" t="n">
        <v/>
      </c>
      <c r="AG205" t="n">
        <v/>
      </c>
      <c r="AH205" t="n">
        <v/>
      </c>
      <c r="AI205" t="n">
        <v/>
      </c>
      <c r="AJ205" t="n">
        <v/>
      </c>
      <c r="AK205" t="n">
        <v/>
      </c>
      <c r="AL205" t="n">
        <v/>
      </c>
      <c r="AM205" t="n">
        <v/>
      </c>
      <c r="AN205" t="n">
        <v/>
      </c>
      <c r="AO205" t="n">
        <v/>
      </c>
      <c r="AP205" t="n">
        <v/>
      </c>
      <c r="AQ205" t="n">
        <v/>
      </c>
      <c r="AR205" t="n">
        <v/>
      </c>
      <c r="AS205" t="n">
        <v/>
      </c>
      <c r="AT205" t="n">
        <v>6.599689535</v>
      </c>
      <c r="AU205" t="n">
        <v>0.126386</v>
      </c>
    </row>
    <row r="206">
      <c r="A206" s="106" t="n">
        <v>13150</v>
      </c>
      <c r="B206" t="n">
        <v/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/>
      </c>
      <c r="Q206" t="n">
        <v/>
      </c>
      <c r="R206" t="n">
        <v/>
      </c>
      <c r="S206" t="n">
        <v/>
      </c>
      <c r="T206" t="n">
        <v/>
      </c>
      <c r="U206" t="n">
        <v>1.959505</v>
      </c>
      <c r="V206" t="n">
        <v/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/>
      </c>
      <c r="AC206" t="n">
        <v/>
      </c>
      <c r="AD206" t="n">
        <v/>
      </c>
      <c r="AE206" t="n">
        <v/>
      </c>
      <c r="AF206" t="n">
        <v/>
      </c>
      <c r="AG206" t="n">
        <v/>
      </c>
      <c r="AH206" t="n">
        <v/>
      </c>
      <c r="AI206" t="n">
        <v/>
      </c>
      <c r="AJ206" t="n">
        <v/>
      </c>
      <c r="AK206" t="n">
        <v/>
      </c>
      <c r="AL206" t="n">
        <v/>
      </c>
      <c r="AM206" t="n">
        <v/>
      </c>
      <c r="AN206" t="n">
        <v/>
      </c>
      <c r="AO206" t="n">
        <v/>
      </c>
      <c r="AP206" t="n">
        <v/>
      </c>
      <c r="AQ206" t="n">
        <v/>
      </c>
      <c r="AR206" t="n">
        <v/>
      </c>
      <c r="AS206" t="n">
        <v/>
      </c>
      <c r="AT206" t="n">
        <v>6.492895875</v>
      </c>
      <c r="AU206" t="n">
        <v>0.141419</v>
      </c>
    </row>
    <row r="207">
      <c r="A207" s="106" t="n">
        <v>13181</v>
      </c>
      <c r="B207" t="n">
        <v/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/>
      </c>
      <c r="Q207" t="n">
        <v/>
      </c>
      <c r="R207" t="n">
        <v/>
      </c>
      <c r="S207" t="n">
        <v/>
      </c>
      <c r="T207" t="n">
        <v/>
      </c>
      <c r="U207" t="n">
        <v>-0.304614</v>
      </c>
      <c r="V207" t="n">
        <v/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/>
      </c>
      <c r="AC207" t="n">
        <v/>
      </c>
      <c r="AD207" t="n">
        <v/>
      </c>
      <c r="AE207" t="n">
        <v/>
      </c>
      <c r="AF207" t="n">
        <v/>
      </c>
      <c r="AG207" t="n">
        <v/>
      </c>
      <c r="AH207" t="n">
        <v/>
      </c>
      <c r="AI207" t="n">
        <v/>
      </c>
      <c r="AJ207" t="n">
        <v/>
      </c>
      <c r="AK207" t="n">
        <v/>
      </c>
      <c r="AL207" t="n">
        <v/>
      </c>
      <c r="AM207" t="n">
        <v/>
      </c>
      <c r="AN207" t="n">
        <v/>
      </c>
      <c r="AO207" t="n">
        <v/>
      </c>
      <c r="AP207" t="n">
        <v/>
      </c>
      <c r="AQ207" t="n">
        <v/>
      </c>
      <c r="AR207" t="n">
        <v/>
      </c>
      <c r="AS207" t="n">
        <v/>
      </c>
      <c r="AT207" t="n">
        <v>6.332556647</v>
      </c>
      <c r="AU207" t="n">
        <v>-0.219162</v>
      </c>
    </row>
    <row r="208">
      <c r="A208" s="106" t="n">
        <v>13210</v>
      </c>
      <c r="B208" t="n">
        <v/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/>
      </c>
      <c r="Q208" t="n">
        <v/>
      </c>
      <c r="R208" t="n">
        <v/>
      </c>
      <c r="S208" t="n">
        <v/>
      </c>
      <c r="T208" t="n">
        <v/>
      </c>
      <c r="U208" t="n">
        <v>-2.549266</v>
      </c>
      <c r="V208" t="n">
        <v/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/>
      </c>
      <c r="AC208" t="n">
        <v/>
      </c>
      <c r="AD208" t="n">
        <v/>
      </c>
      <c r="AE208" t="n">
        <v/>
      </c>
      <c r="AF208" t="n">
        <v/>
      </c>
      <c r="AG208" t="n">
        <v/>
      </c>
      <c r="AH208" t="n">
        <v/>
      </c>
      <c r="AI208" t="n">
        <v/>
      </c>
      <c r="AJ208" t="n">
        <v/>
      </c>
      <c r="AK208" t="n">
        <v/>
      </c>
      <c r="AL208" t="n">
        <v/>
      </c>
      <c r="AM208" t="n">
        <v/>
      </c>
      <c r="AN208" t="n">
        <v/>
      </c>
      <c r="AO208" t="n">
        <v/>
      </c>
      <c r="AP208" t="n">
        <v/>
      </c>
      <c r="AQ208" t="n">
        <v/>
      </c>
      <c r="AR208" t="n">
        <v/>
      </c>
      <c r="AS208" t="n">
        <v/>
      </c>
      <c r="AT208" t="n">
        <v>6.412676682</v>
      </c>
      <c r="AU208" t="n">
        <v>0.096626</v>
      </c>
    </row>
    <row r="209">
      <c r="A209" s="106" t="n">
        <v>13241</v>
      </c>
      <c r="B209" t="n">
        <v/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/>
      </c>
      <c r="Q209" t="n">
        <v/>
      </c>
      <c r="R209" t="n">
        <v/>
      </c>
      <c r="S209" t="n">
        <v/>
      </c>
      <c r="T209" t="n">
        <v/>
      </c>
      <c r="U209" t="n">
        <v>-1.245853</v>
      </c>
      <c r="V209" t="n">
        <v/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/>
      </c>
      <c r="AC209" t="n">
        <v/>
      </c>
      <c r="AD209" t="n">
        <v/>
      </c>
      <c r="AE209" t="n">
        <v/>
      </c>
      <c r="AF209" t="n">
        <v/>
      </c>
      <c r="AG209" t="n">
        <v/>
      </c>
      <c r="AH209" t="n">
        <v/>
      </c>
      <c r="AI209" t="n">
        <v/>
      </c>
      <c r="AJ209" t="n">
        <v/>
      </c>
      <c r="AK209" t="n">
        <v/>
      </c>
      <c r="AL209" t="n">
        <v/>
      </c>
      <c r="AM209" t="n">
        <v/>
      </c>
      <c r="AN209" t="n">
        <v/>
      </c>
      <c r="AO209" t="n">
        <v/>
      </c>
      <c r="AP209" t="n">
        <v/>
      </c>
      <c r="AQ209" t="n">
        <v/>
      </c>
      <c r="AR209" t="n">
        <v/>
      </c>
      <c r="AS209" t="n">
        <v/>
      </c>
      <c r="AT209" t="n">
        <v>6.813475172</v>
      </c>
      <c r="AU209" t="n">
        <v>0.919591</v>
      </c>
    </row>
    <row r="210">
      <c r="A210" s="106" t="n">
        <v>13271</v>
      </c>
      <c r="B210" t="n">
        <v/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/>
      </c>
      <c r="Q210" t="n">
        <v/>
      </c>
      <c r="R210" t="n">
        <v/>
      </c>
      <c r="S210" t="n">
        <v/>
      </c>
      <c r="T210" t="n">
        <v/>
      </c>
      <c r="U210" t="n">
        <v>-1.129907</v>
      </c>
      <c r="V210" t="n">
        <v/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/>
      </c>
      <c r="AC210" t="n">
        <v/>
      </c>
      <c r="AD210" t="n">
        <v/>
      </c>
      <c r="AE210" t="n">
        <v/>
      </c>
      <c r="AF210" t="n">
        <v/>
      </c>
      <c r="AG210" t="n">
        <v/>
      </c>
      <c r="AH210" t="n">
        <v/>
      </c>
      <c r="AI210" t="n">
        <v/>
      </c>
      <c r="AJ210" t="n">
        <v/>
      </c>
      <c r="AK210" t="n">
        <v/>
      </c>
      <c r="AL210" t="n">
        <v/>
      </c>
      <c r="AM210" t="n">
        <v/>
      </c>
      <c r="AN210" t="n">
        <v/>
      </c>
      <c r="AO210" t="n">
        <v/>
      </c>
      <c r="AP210" t="n">
        <v/>
      </c>
      <c r="AQ210" t="n">
        <v/>
      </c>
      <c r="AR210" t="n">
        <v/>
      </c>
      <c r="AS210" t="n">
        <v/>
      </c>
      <c r="AT210" t="n">
        <v>6.947041616</v>
      </c>
      <c r="AU210" t="n">
        <v>0.795848</v>
      </c>
    </row>
    <row r="211">
      <c r="A211" s="106" t="n">
        <v>13302</v>
      </c>
      <c r="B211" t="n">
        <v/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/>
      </c>
      <c r="Q211" t="n">
        <v/>
      </c>
      <c r="R211" t="n">
        <v/>
      </c>
      <c r="S211" t="n">
        <v/>
      </c>
      <c r="T211" t="n">
        <v/>
      </c>
      <c r="U211" t="n">
        <v>-0.28815</v>
      </c>
      <c r="V211" t="n">
        <v/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/>
      </c>
      <c r="AC211" t="n">
        <v/>
      </c>
      <c r="AD211" t="n">
        <v/>
      </c>
      <c r="AE211" t="n">
        <v/>
      </c>
      <c r="AF211" t="n">
        <v/>
      </c>
      <c r="AG211" t="n">
        <v/>
      </c>
      <c r="AH211" t="n">
        <v/>
      </c>
      <c r="AI211" t="n">
        <v/>
      </c>
      <c r="AJ211" t="n">
        <v/>
      </c>
      <c r="AK211" t="n">
        <v/>
      </c>
      <c r="AL211" t="n">
        <v/>
      </c>
      <c r="AM211" t="n">
        <v/>
      </c>
      <c r="AN211" t="n">
        <v/>
      </c>
      <c r="AO211" t="n">
        <v/>
      </c>
      <c r="AP211" t="n">
        <v/>
      </c>
      <c r="AQ211" t="n">
        <v/>
      </c>
      <c r="AR211" t="n">
        <v/>
      </c>
      <c r="AS211" t="n">
        <v/>
      </c>
      <c r="AT211" t="n">
        <v>7.080707218</v>
      </c>
      <c r="AU211" t="n">
        <v>1.092119</v>
      </c>
    </row>
    <row r="212">
      <c r="A212" s="106" t="n">
        <v>13332</v>
      </c>
      <c r="B212" t="n">
        <v/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/>
      </c>
      <c r="Q212" t="n">
        <v/>
      </c>
      <c r="R212" t="n">
        <v/>
      </c>
      <c r="S212" t="n">
        <v/>
      </c>
      <c r="T212" t="n">
        <v/>
      </c>
      <c r="U212" t="n">
        <v>1.672821</v>
      </c>
      <c r="V212" t="n">
        <v/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/>
      </c>
      <c r="AC212" t="n">
        <v/>
      </c>
      <c r="AD212" t="n">
        <v/>
      </c>
      <c r="AE212" t="n">
        <v/>
      </c>
      <c r="AF212" t="n">
        <v/>
      </c>
      <c r="AG212" t="n">
        <v/>
      </c>
      <c r="AH212" t="n">
        <v/>
      </c>
      <c r="AI212" t="n">
        <v/>
      </c>
      <c r="AJ212" t="n">
        <v/>
      </c>
      <c r="AK212" t="n">
        <v/>
      </c>
      <c r="AL212" t="n">
        <v/>
      </c>
      <c r="AM212" t="n">
        <v/>
      </c>
      <c r="AN212" t="n">
        <v/>
      </c>
      <c r="AO212" t="n">
        <v/>
      </c>
      <c r="AP212" t="n">
        <v/>
      </c>
      <c r="AQ212" t="n">
        <v/>
      </c>
      <c r="AR212" t="n">
        <v/>
      </c>
      <c r="AS212" t="n">
        <v/>
      </c>
      <c r="AT212" t="n">
        <v>7.214273662</v>
      </c>
      <c r="AU212" t="n">
        <v>1.099653</v>
      </c>
    </row>
    <row r="213">
      <c r="A213" s="106" t="n">
        <v>13363</v>
      </c>
      <c r="B213" t="n">
        <v/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/>
      </c>
      <c r="Q213" t="n">
        <v/>
      </c>
      <c r="R213" t="n">
        <v/>
      </c>
      <c r="S213" t="n">
        <v/>
      </c>
      <c r="T213" t="n">
        <v/>
      </c>
      <c r="U213" t="n">
        <v>-0.340002</v>
      </c>
      <c r="V213" t="n">
        <v/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/>
      </c>
      <c r="AC213" t="n">
        <v/>
      </c>
      <c r="AD213" t="n">
        <v/>
      </c>
      <c r="AE213" t="n">
        <v/>
      </c>
      <c r="AF213" t="n">
        <v/>
      </c>
      <c r="AG213" t="n">
        <v/>
      </c>
      <c r="AH213" t="n">
        <v/>
      </c>
      <c r="AI213" t="n">
        <v/>
      </c>
      <c r="AJ213" t="n">
        <v/>
      </c>
      <c r="AK213" t="n">
        <v/>
      </c>
      <c r="AL213" t="n">
        <v/>
      </c>
      <c r="AM213" t="n">
        <v/>
      </c>
      <c r="AN213" t="n">
        <v/>
      </c>
      <c r="AO213" t="n">
        <v/>
      </c>
      <c r="AP213" t="n">
        <v/>
      </c>
      <c r="AQ213" t="n">
        <v/>
      </c>
      <c r="AR213" t="n">
        <v/>
      </c>
      <c r="AS213" t="n">
        <v/>
      </c>
      <c r="AT213" t="n">
        <v>7.32116648</v>
      </c>
      <c r="AU213" t="n">
        <v>1.124835</v>
      </c>
    </row>
    <row r="214">
      <c r="A214" s="106" t="n">
        <v>13394</v>
      </c>
      <c r="B214" t="n">
        <v/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/>
      </c>
      <c r="Q214" t="n">
        <v/>
      </c>
      <c r="R214" t="n">
        <v/>
      </c>
      <c r="S214" t="n">
        <v/>
      </c>
      <c r="T214" t="n">
        <v/>
      </c>
      <c r="U214" t="n">
        <v>-1.608892</v>
      </c>
      <c r="V214" t="n">
        <v/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/>
      </c>
      <c r="AC214" t="n">
        <v/>
      </c>
      <c r="AD214" t="n">
        <v/>
      </c>
      <c r="AE214" t="n">
        <v/>
      </c>
      <c r="AF214" t="n">
        <v/>
      </c>
      <c r="AG214" t="n">
        <v/>
      </c>
      <c r="AH214" t="n">
        <v/>
      </c>
      <c r="AI214" t="n">
        <v/>
      </c>
      <c r="AJ214" t="n">
        <v/>
      </c>
      <c r="AK214" t="n">
        <v/>
      </c>
      <c r="AL214" t="n">
        <v/>
      </c>
      <c r="AM214" t="n">
        <v/>
      </c>
      <c r="AN214" t="n">
        <v/>
      </c>
      <c r="AO214" t="n">
        <v/>
      </c>
      <c r="AP214" t="n">
        <v/>
      </c>
      <c r="AQ214" t="n">
        <v/>
      </c>
      <c r="AR214" t="n">
        <v/>
      </c>
      <c r="AS214" t="n">
        <v/>
      </c>
      <c r="AT214" t="n">
        <v>7.454732924</v>
      </c>
      <c r="AU214" t="n">
        <v>0.920104</v>
      </c>
    </row>
    <row r="215">
      <c r="A215" s="106" t="n">
        <v>13424</v>
      </c>
      <c r="B215" t="n">
        <v/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/>
      </c>
      <c r="Q215" t="n">
        <v/>
      </c>
      <c r="R215" t="n">
        <v/>
      </c>
      <c r="S215" t="n">
        <v/>
      </c>
      <c r="T215" t="n">
        <v/>
      </c>
      <c r="U215" t="n">
        <v>-0.255185</v>
      </c>
      <c r="V215" t="n">
        <v/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/>
      </c>
      <c r="AC215" t="n">
        <v/>
      </c>
      <c r="AD215" t="n">
        <v/>
      </c>
      <c r="AE215" t="n">
        <v/>
      </c>
      <c r="AF215" t="n">
        <v/>
      </c>
      <c r="AG215" t="n">
        <v/>
      </c>
      <c r="AH215" t="n">
        <v/>
      </c>
      <c r="AI215" t="n">
        <v/>
      </c>
      <c r="AJ215" t="n">
        <v/>
      </c>
      <c r="AK215" t="n">
        <v/>
      </c>
      <c r="AL215" t="n">
        <v/>
      </c>
      <c r="AM215" t="n">
        <v/>
      </c>
      <c r="AN215" t="n">
        <v/>
      </c>
      <c r="AO215" t="n">
        <v/>
      </c>
      <c r="AP215" t="n">
        <v/>
      </c>
      <c r="AQ215" t="n">
        <v/>
      </c>
      <c r="AR215" t="n">
        <v/>
      </c>
      <c r="AS215" t="n">
        <v/>
      </c>
      <c r="AT215" t="n">
        <v>7.561625743</v>
      </c>
      <c r="AU215" t="n">
        <v>0.990386</v>
      </c>
    </row>
    <row r="216">
      <c r="A216" s="106" t="n">
        <v>13455</v>
      </c>
      <c r="B216" t="n">
        <v/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/>
      </c>
      <c r="Q216" t="n">
        <v/>
      </c>
      <c r="R216" t="n">
        <v/>
      </c>
      <c r="S216" t="n">
        <v/>
      </c>
      <c r="T216" t="n">
        <v/>
      </c>
      <c r="U216" t="n">
        <v>0.306858</v>
      </c>
      <c r="V216" t="n">
        <v/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/>
      </c>
      <c r="AC216" t="n">
        <v/>
      </c>
      <c r="AD216" t="n">
        <v/>
      </c>
      <c r="AE216" t="n">
        <v/>
      </c>
      <c r="AF216" t="n">
        <v/>
      </c>
      <c r="AG216" t="n">
        <v/>
      </c>
      <c r="AH216" t="n">
        <v/>
      </c>
      <c r="AI216" t="n">
        <v/>
      </c>
      <c r="AJ216" t="n">
        <v/>
      </c>
      <c r="AK216" t="n">
        <v/>
      </c>
      <c r="AL216" t="n">
        <v/>
      </c>
      <c r="AM216" t="n">
        <v/>
      </c>
      <c r="AN216" t="n">
        <v/>
      </c>
      <c r="AO216" t="n">
        <v/>
      </c>
      <c r="AP216" t="n">
        <v/>
      </c>
      <c r="AQ216" t="n">
        <v/>
      </c>
      <c r="AR216" t="n">
        <v/>
      </c>
      <c r="AS216" t="n">
        <v/>
      </c>
      <c r="AT216" t="n">
        <v>7.77541138</v>
      </c>
      <c r="AU216" t="n">
        <v>0.850764</v>
      </c>
    </row>
    <row r="217">
      <c r="A217" s="106" t="n">
        <v>13485</v>
      </c>
      <c r="B217" t="n">
        <v/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/>
      </c>
      <c r="Q217" t="n">
        <v/>
      </c>
      <c r="R217" t="n">
        <v/>
      </c>
      <c r="S217" t="n">
        <v/>
      </c>
      <c r="T217" t="n">
        <v/>
      </c>
      <c r="U217" t="n">
        <v>0.163646</v>
      </c>
      <c r="V217" t="n">
        <v/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/>
      </c>
      <c r="AC217" t="n">
        <v/>
      </c>
      <c r="AD217" t="n">
        <v/>
      </c>
      <c r="AE217" t="n">
        <v/>
      </c>
      <c r="AF217" t="n">
        <v/>
      </c>
      <c r="AG217" t="n">
        <v/>
      </c>
      <c r="AH217" t="n">
        <v/>
      </c>
      <c r="AI217" t="n">
        <v/>
      </c>
      <c r="AJ217" t="n">
        <v/>
      </c>
      <c r="AK217" t="n">
        <v/>
      </c>
      <c r="AL217" t="n">
        <v/>
      </c>
      <c r="AM217" t="n">
        <v/>
      </c>
      <c r="AN217" t="n">
        <v/>
      </c>
      <c r="AO217" t="n">
        <v/>
      </c>
      <c r="AP217" t="n">
        <v/>
      </c>
      <c r="AQ217" t="n">
        <v/>
      </c>
      <c r="AR217" t="n">
        <v/>
      </c>
      <c r="AS217" t="n">
        <v/>
      </c>
      <c r="AT217" t="n">
        <v>8.015870641999999</v>
      </c>
      <c r="AU217" t="n">
        <v>0.649408</v>
      </c>
    </row>
    <row r="218">
      <c r="A218" s="106" t="n">
        <v>13516</v>
      </c>
      <c r="B218" t="n">
        <v/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/>
      </c>
      <c r="Q218" t="n">
        <v/>
      </c>
      <c r="R218" t="n">
        <v/>
      </c>
      <c r="S218" t="n">
        <v/>
      </c>
      <c r="T218" t="n">
        <v/>
      </c>
      <c r="U218" t="n">
        <v>-0.8298179999999999</v>
      </c>
      <c r="V218" t="n">
        <v/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/>
      </c>
      <c r="AC218" t="n">
        <v/>
      </c>
      <c r="AD218" t="n">
        <v/>
      </c>
      <c r="AE218" t="n">
        <v/>
      </c>
      <c r="AF218" t="n">
        <v/>
      </c>
      <c r="AG218" t="n">
        <v/>
      </c>
      <c r="AH218" t="n">
        <v/>
      </c>
      <c r="AI218" t="n">
        <v/>
      </c>
      <c r="AJ218" t="n">
        <v/>
      </c>
      <c r="AK218" t="n">
        <v/>
      </c>
      <c r="AL218" t="n">
        <v/>
      </c>
      <c r="AM218" t="n">
        <v/>
      </c>
      <c r="AN218" t="n">
        <v/>
      </c>
      <c r="AO218" t="n">
        <v/>
      </c>
      <c r="AP218" t="n">
        <v/>
      </c>
      <c r="AQ218" t="n">
        <v/>
      </c>
      <c r="AR218" t="n">
        <v/>
      </c>
      <c r="AS218" t="n">
        <v/>
      </c>
      <c r="AT218" t="n">
        <v>7.989097858</v>
      </c>
      <c r="AU218" t="n">
        <v>0.49991</v>
      </c>
    </row>
    <row r="219">
      <c r="A219" s="106" t="n">
        <v>13547</v>
      </c>
      <c r="B219" t="n">
        <v/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/>
      </c>
      <c r="Q219" t="n">
        <v/>
      </c>
      <c r="R219" t="n">
        <v/>
      </c>
      <c r="S219" t="n">
        <v/>
      </c>
      <c r="T219" t="n">
        <v/>
      </c>
      <c r="U219" t="n">
        <v>-4.645879</v>
      </c>
      <c r="V219" t="n">
        <v/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/>
      </c>
      <c r="AC219" t="n">
        <v/>
      </c>
      <c r="AD219" t="n">
        <v/>
      </c>
      <c r="AE219" t="n">
        <v/>
      </c>
      <c r="AF219" t="n">
        <v/>
      </c>
      <c r="AG219" t="n">
        <v/>
      </c>
      <c r="AH219" t="n">
        <v/>
      </c>
      <c r="AI219" t="n">
        <v/>
      </c>
      <c r="AJ219" t="n">
        <v/>
      </c>
      <c r="AK219" t="n">
        <v/>
      </c>
      <c r="AL219" t="n">
        <v/>
      </c>
      <c r="AM219" t="n">
        <v/>
      </c>
      <c r="AN219" t="n">
        <v/>
      </c>
      <c r="AO219" t="n">
        <v/>
      </c>
      <c r="AP219" t="n">
        <v/>
      </c>
      <c r="AQ219" t="n">
        <v/>
      </c>
      <c r="AR219" t="n">
        <v/>
      </c>
      <c r="AS219" t="n">
        <v/>
      </c>
      <c r="AT219" t="n">
        <v>8.095990676</v>
      </c>
      <c r="AU219" t="n">
        <v>0.265579</v>
      </c>
    </row>
    <row r="220">
      <c r="A220" s="106" t="n">
        <v>13575</v>
      </c>
      <c r="B220" t="n">
        <v/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/>
      </c>
      <c r="Q220" t="n">
        <v/>
      </c>
      <c r="R220" t="n">
        <v/>
      </c>
      <c r="S220" t="n">
        <v/>
      </c>
      <c r="T220" t="n">
        <v/>
      </c>
      <c r="U220" t="n">
        <v>-5.694873</v>
      </c>
      <c r="V220" t="n">
        <v/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/>
      </c>
      <c r="AC220" t="n">
        <v/>
      </c>
      <c r="AD220" t="n">
        <v/>
      </c>
      <c r="AE220" t="n">
        <v/>
      </c>
      <c r="AF220" t="n">
        <v/>
      </c>
      <c r="AG220" t="n">
        <v/>
      </c>
      <c r="AH220" t="n">
        <v/>
      </c>
      <c r="AI220" t="n">
        <v/>
      </c>
      <c r="AJ220" t="n">
        <v/>
      </c>
      <c r="AK220" t="n">
        <v/>
      </c>
      <c r="AL220" t="n">
        <v/>
      </c>
      <c r="AM220" t="n">
        <v/>
      </c>
      <c r="AN220" t="n">
        <v/>
      </c>
      <c r="AO220" t="n">
        <v/>
      </c>
      <c r="AP220" t="n">
        <v/>
      </c>
      <c r="AQ220" t="n">
        <v/>
      </c>
      <c r="AR220" t="n">
        <v/>
      </c>
      <c r="AS220" t="n">
        <v/>
      </c>
      <c r="AT220" t="n">
        <v>8.283102688</v>
      </c>
      <c r="AU220" t="n">
        <v>0.768899</v>
      </c>
    </row>
    <row r="221">
      <c r="A221" s="106" t="n">
        <v>13606</v>
      </c>
      <c r="B221" t="n">
        <v/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/>
      </c>
      <c r="Q221" t="n">
        <v/>
      </c>
      <c r="R221" t="n">
        <v/>
      </c>
      <c r="S221" t="n">
        <v/>
      </c>
      <c r="T221" t="n">
        <v/>
      </c>
      <c r="U221" t="n">
        <v>-4.931019</v>
      </c>
      <c r="V221" t="n">
        <v/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/>
      </c>
      <c r="AC221" t="n">
        <v/>
      </c>
      <c r="AD221" t="n">
        <v/>
      </c>
      <c r="AE221" t="n">
        <v/>
      </c>
      <c r="AF221" t="n">
        <v/>
      </c>
      <c r="AG221" t="n">
        <v/>
      </c>
      <c r="AH221" t="n">
        <v/>
      </c>
      <c r="AI221" t="n">
        <v/>
      </c>
      <c r="AJ221" t="n">
        <v/>
      </c>
      <c r="AK221" t="n">
        <v/>
      </c>
      <c r="AL221" t="n">
        <v/>
      </c>
      <c r="AM221" t="n">
        <v/>
      </c>
      <c r="AN221" t="n">
        <v/>
      </c>
      <c r="AO221" t="n">
        <v/>
      </c>
      <c r="AP221" t="n">
        <v/>
      </c>
      <c r="AQ221" t="n">
        <v/>
      </c>
      <c r="AR221" t="n">
        <v/>
      </c>
      <c r="AS221" t="n">
        <v/>
      </c>
      <c r="AT221" t="n">
        <v>8.283102688</v>
      </c>
      <c r="AU221" t="n">
        <v>1.297595</v>
      </c>
    </row>
    <row r="222">
      <c r="A222" s="106" t="n">
        <v>13636</v>
      </c>
      <c r="B222" t="n">
        <v/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/>
      </c>
      <c r="Q222" t="n">
        <v/>
      </c>
      <c r="R222" t="n">
        <v/>
      </c>
      <c r="S222" t="n">
        <v/>
      </c>
      <c r="T222" t="n">
        <v/>
      </c>
      <c r="U222" t="n">
        <v>0.423986</v>
      </c>
      <c r="V222" t="n">
        <v/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/>
      </c>
      <c r="AC222" t="n">
        <v/>
      </c>
      <c r="AD222" t="n">
        <v/>
      </c>
      <c r="AE222" t="n">
        <v/>
      </c>
      <c r="AF222" t="n">
        <v/>
      </c>
      <c r="AG222" t="n">
        <v/>
      </c>
      <c r="AH222" t="n">
        <v/>
      </c>
      <c r="AI222" t="n">
        <v/>
      </c>
      <c r="AJ222" t="n">
        <v/>
      </c>
      <c r="AK222" t="n">
        <v/>
      </c>
      <c r="AL222" t="n">
        <v/>
      </c>
      <c r="AM222" t="n">
        <v/>
      </c>
      <c r="AN222" t="n">
        <v/>
      </c>
      <c r="AO222" t="n">
        <v/>
      </c>
      <c r="AP222" t="n">
        <v/>
      </c>
      <c r="AQ222" t="n">
        <v/>
      </c>
      <c r="AR222" t="n">
        <v/>
      </c>
      <c r="AS222" t="n">
        <v/>
      </c>
      <c r="AT222" t="n">
        <v>8.309776313</v>
      </c>
      <c r="AU222" t="n">
        <v>1.210956</v>
      </c>
    </row>
    <row r="223">
      <c r="A223" s="106" t="n">
        <v>13667</v>
      </c>
      <c r="B223" t="n">
        <v/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/>
      </c>
      <c r="Q223" t="n">
        <v/>
      </c>
      <c r="R223" t="n">
        <v/>
      </c>
      <c r="S223" t="n">
        <v/>
      </c>
      <c r="T223" t="n">
        <v/>
      </c>
      <c r="U223" t="n">
        <v>0.07449699999999999</v>
      </c>
      <c r="V223" t="n">
        <v/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/>
      </c>
      <c r="AC223" t="n">
        <v/>
      </c>
      <c r="AD223" t="n">
        <v/>
      </c>
      <c r="AE223" t="n">
        <v/>
      </c>
      <c r="AF223" t="n">
        <v/>
      </c>
      <c r="AG223" t="n">
        <v/>
      </c>
      <c r="AH223" t="n">
        <v/>
      </c>
      <c r="AI223" t="n">
        <v/>
      </c>
      <c r="AJ223" t="n">
        <v/>
      </c>
      <c r="AK223" t="n">
        <v/>
      </c>
      <c r="AL223" t="n">
        <v/>
      </c>
      <c r="AM223" t="n">
        <v/>
      </c>
      <c r="AN223" t="n">
        <v/>
      </c>
      <c r="AO223" t="n">
        <v/>
      </c>
      <c r="AP223" t="n">
        <v/>
      </c>
      <c r="AQ223" t="n">
        <v/>
      </c>
      <c r="AR223" t="n">
        <v/>
      </c>
      <c r="AS223" t="n">
        <v/>
      </c>
      <c r="AT223" t="n">
        <v>8.202883495</v>
      </c>
      <c r="AU223" t="n">
        <v>0.820279</v>
      </c>
    </row>
    <row r="224">
      <c r="A224" s="106" t="n">
        <v>13697</v>
      </c>
      <c r="B224" t="n">
        <v/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/>
      </c>
      <c r="Q224" t="n">
        <v/>
      </c>
      <c r="R224" t="n">
        <v/>
      </c>
      <c r="S224" t="n">
        <v/>
      </c>
      <c r="T224" t="n">
        <v/>
      </c>
      <c r="U224" t="n">
        <v>1.019057</v>
      </c>
      <c r="V224" t="n">
        <v/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/>
      </c>
      <c r="AC224" t="n">
        <v/>
      </c>
      <c r="AD224" t="n">
        <v/>
      </c>
      <c r="AE224" t="n">
        <v/>
      </c>
      <c r="AF224" t="n">
        <v/>
      </c>
      <c r="AG224" t="n">
        <v/>
      </c>
      <c r="AH224" t="n">
        <v/>
      </c>
      <c r="AI224" t="n">
        <v/>
      </c>
      <c r="AJ224" t="n">
        <v/>
      </c>
      <c r="AK224" t="n">
        <v/>
      </c>
      <c r="AL224" t="n">
        <v/>
      </c>
      <c r="AM224" t="n">
        <v/>
      </c>
      <c r="AN224" t="n">
        <v/>
      </c>
      <c r="AO224" t="n">
        <v/>
      </c>
      <c r="AP224" t="n">
        <v/>
      </c>
      <c r="AQ224" t="n">
        <v/>
      </c>
      <c r="AR224" t="n">
        <v/>
      </c>
      <c r="AS224" t="n">
        <v/>
      </c>
      <c r="AT224" t="n">
        <v>8.256329903999999</v>
      </c>
      <c r="AU224" t="n">
        <v>0.668049</v>
      </c>
    </row>
    <row r="225">
      <c r="A225" s="106" t="n">
        <v>13728</v>
      </c>
      <c r="B225" t="n">
        <v/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/>
      </c>
      <c r="Q225" t="n">
        <v/>
      </c>
      <c r="R225" t="n">
        <v/>
      </c>
      <c r="S225" t="n">
        <v/>
      </c>
      <c r="T225" t="n">
        <v/>
      </c>
      <c r="U225" t="n">
        <v>3.695017</v>
      </c>
      <c r="V225" t="n">
        <v/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/>
      </c>
      <c r="AC225" t="n">
        <v/>
      </c>
      <c r="AD225" t="n">
        <v/>
      </c>
      <c r="AE225" t="n">
        <v/>
      </c>
      <c r="AF225" t="n">
        <v/>
      </c>
      <c r="AG225" t="n">
        <v/>
      </c>
      <c r="AH225" t="n">
        <v/>
      </c>
      <c r="AI225" t="n">
        <v/>
      </c>
      <c r="AJ225" t="n">
        <v/>
      </c>
      <c r="AK225" t="n">
        <v/>
      </c>
      <c r="AL225" t="n">
        <v/>
      </c>
      <c r="AM225" t="n">
        <v/>
      </c>
      <c r="AN225" t="n">
        <v/>
      </c>
      <c r="AO225" t="n">
        <v/>
      </c>
      <c r="AP225" t="n">
        <v/>
      </c>
      <c r="AQ225" t="n">
        <v/>
      </c>
      <c r="AR225" t="n">
        <v/>
      </c>
      <c r="AS225" t="n">
        <v/>
      </c>
      <c r="AT225" t="n">
        <v>8.202883495</v>
      </c>
      <c r="AU225" t="n">
        <v>0.92537</v>
      </c>
    </row>
    <row r="226">
      <c r="A226" s="106" t="n">
        <v>13759</v>
      </c>
      <c r="B226" t="n">
        <v/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/>
      </c>
      <c r="Q226" t="n">
        <v/>
      </c>
      <c r="R226" t="n">
        <v/>
      </c>
      <c r="S226" t="n">
        <v/>
      </c>
      <c r="T226" t="n">
        <v/>
      </c>
      <c r="U226" t="n">
        <v>3.164325</v>
      </c>
      <c r="V226" t="n">
        <v/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/>
      </c>
      <c r="AC226" t="n">
        <v/>
      </c>
      <c r="AD226" t="n">
        <v/>
      </c>
      <c r="AE226" t="n">
        <v/>
      </c>
      <c r="AF226" t="n">
        <v/>
      </c>
      <c r="AG226" t="n">
        <v/>
      </c>
      <c r="AH226" t="n">
        <v/>
      </c>
      <c r="AI226" t="n">
        <v/>
      </c>
      <c r="AJ226" t="n">
        <v/>
      </c>
      <c r="AK226" t="n">
        <v/>
      </c>
      <c r="AL226" t="n">
        <v/>
      </c>
      <c r="AM226" t="n">
        <v/>
      </c>
      <c r="AN226" t="n">
        <v/>
      </c>
      <c r="AO226" t="n">
        <v/>
      </c>
      <c r="AP226" t="n">
        <v/>
      </c>
      <c r="AQ226" t="n">
        <v/>
      </c>
      <c r="AR226" t="n">
        <v/>
      </c>
      <c r="AS226" t="n">
        <v/>
      </c>
      <c r="AT226" t="n">
        <v>7.935750607</v>
      </c>
      <c r="AU226" t="n">
        <v>0.488346</v>
      </c>
    </row>
    <row r="227">
      <c r="A227" s="106" t="n">
        <v>13789</v>
      </c>
      <c r="B227" t="n">
        <v/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/>
      </c>
      <c r="Q227" t="n">
        <v/>
      </c>
      <c r="R227" t="n">
        <v/>
      </c>
      <c r="S227" t="n">
        <v/>
      </c>
      <c r="T227" t="n">
        <v/>
      </c>
      <c r="U227" t="n">
        <v>2.443638</v>
      </c>
      <c r="V227" t="n">
        <v/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/>
      </c>
      <c r="AC227" t="n">
        <v/>
      </c>
      <c r="AD227" t="n">
        <v/>
      </c>
      <c r="AE227" t="n">
        <v/>
      </c>
      <c r="AF227" t="n">
        <v/>
      </c>
      <c r="AG227" t="n">
        <v/>
      </c>
      <c r="AH227" t="n">
        <v/>
      </c>
      <c r="AI227" t="n">
        <v/>
      </c>
      <c r="AJ227" t="n">
        <v/>
      </c>
      <c r="AK227" t="n">
        <v/>
      </c>
      <c r="AL227" t="n">
        <v/>
      </c>
      <c r="AM227" t="n">
        <v/>
      </c>
      <c r="AN227" t="n">
        <v/>
      </c>
      <c r="AO227" t="n">
        <v/>
      </c>
      <c r="AP227" t="n">
        <v/>
      </c>
      <c r="AQ227" t="n">
        <v/>
      </c>
      <c r="AR227" t="n">
        <v/>
      </c>
      <c r="AS227" t="n">
        <v/>
      </c>
      <c r="AT227" t="n">
        <v>7.347840106</v>
      </c>
      <c r="AU227" t="n">
        <v>0.542675</v>
      </c>
    </row>
    <row r="228">
      <c r="A228" s="106" t="n">
        <v>13820</v>
      </c>
      <c r="B228" t="n">
        <v/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/>
      </c>
      <c r="Q228" t="n">
        <v/>
      </c>
      <c r="R228" t="n">
        <v/>
      </c>
      <c r="S228" t="n">
        <v/>
      </c>
      <c r="T228" t="n">
        <v/>
      </c>
      <c r="U228" t="n">
        <v>1.876499</v>
      </c>
      <c r="V228" t="n">
        <v/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/>
      </c>
      <c r="AC228" t="n">
        <v/>
      </c>
      <c r="AD228" t="n">
        <v/>
      </c>
      <c r="AE228" t="n">
        <v/>
      </c>
      <c r="AF228" t="n">
        <v/>
      </c>
      <c r="AG228" t="n">
        <v/>
      </c>
      <c r="AH228" t="n">
        <v/>
      </c>
      <c r="AI228" t="n">
        <v/>
      </c>
      <c r="AJ228" t="n">
        <v/>
      </c>
      <c r="AK228" t="n">
        <v/>
      </c>
      <c r="AL228" t="n">
        <v/>
      </c>
      <c r="AM228" t="n">
        <v/>
      </c>
      <c r="AN228" t="n">
        <v/>
      </c>
      <c r="AO228" t="n">
        <v/>
      </c>
      <c r="AP228" t="n">
        <v/>
      </c>
      <c r="AQ228" t="n">
        <v/>
      </c>
      <c r="AR228" t="n">
        <v/>
      </c>
      <c r="AS228" t="n">
        <v/>
      </c>
      <c r="AT228" t="n">
        <v>6.626462319</v>
      </c>
      <c r="AU228" t="n">
        <v>0.57686</v>
      </c>
    </row>
    <row r="229">
      <c r="A229" s="106" t="n">
        <v>13850</v>
      </c>
      <c r="B229" t="n">
        <v/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/>
      </c>
      <c r="Q229" t="n">
        <v/>
      </c>
      <c r="R229" t="n">
        <v/>
      </c>
      <c r="S229" t="n">
        <v/>
      </c>
      <c r="T229" t="n">
        <v/>
      </c>
      <c r="U229" t="n">
        <v>3.254059</v>
      </c>
      <c r="V229" t="n">
        <v/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/>
      </c>
      <c r="AC229" t="n">
        <v/>
      </c>
      <c r="AD229" t="n">
        <v/>
      </c>
      <c r="AE229" t="n">
        <v/>
      </c>
      <c r="AF229" t="n">
        <v/>
      </c>
      <c r="AG229" t="n">
        <v/>
      </c>
      <c r="AH229" t="n">
        <v/>
      </c>
      <c r="AI229" t="n">
        <v/>
      </c>
      <c r="AJ229" t="n">
        <v/>
      </c>
      <c r="AK229" t="n">
        <v/>
      </c>
      <c r="AL229" t="n">
        <v/>
      </c>
      <c r="AM229" t="n">
        <v/>
      </c>
      <c r="AN229" t="n">
        <v/>
      </c>
      <c r="AO229" t="n">
        <v/>
      </c>
      <c r="AP229" t="n">
        <v/>
      </c>
      <c r="AQ229" t="n">
        <v/>
      </c>
      <c r="AR229" t="n">
        <v/>
      </c>
      <c r="AS229" t="n">
        <v/>
      </c>
      <c r="AT229" t="n">
        <v>6.038650976</v>
      </c>
      <c r="AU229" t="n">
        <v>1.513863</v>
      </c>
    </row>
    <row r="230">
      <c r="A230" s="106" t="n">
        <v>13881</v>
      </c>
      <c r="B230" t="n">
        <v/>
      </c>
      <c r="C230" t="n">
        <v/>
      </c>
      <c r="D230" t="n">
        <v/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/>
      </c>
      <c r="M230" t="n">
        <v/>
      </c>
      <c r="N230" t="n">
        <v/>
      </c>
      <c r="O230" t="n">
        <v/>
      </c>
      <c r="P230" t="n">
        <v/>
      </c>
      <c r="Q230" t="n">
        <v/>
      </c>
      <c r="R230" t="n">
        <v/>
      </c>
      <c r="S230" t="n">
        <v/>
      </c>
      <c r="T230" t="n">
        <v/>
      </c>
      <c r="U230" t="n">
        <v>-1.106863</v>
      </c>
      <c r="V230" t="n">
        <v/>
      </c>
      <c r="W230" t="n">
        <v/>
      </c>
      <c r="X230" t="n">
        <v/>
      </c>
      <c r="Y230" t="n">
        <v/>
      </c>
      <c r="Z230" t="n">
        <v/>
      </c>
      <c r="AA230" t="n">
        <v/>
      </c>
      <c r="AB230" t="n">
        <v/>
      </c>
      <c r="AC230" t="n">
        <v/>
      </c>
      <c r="AD230" t="n">
        <v/>
      </c>
      <c r="AE230" t="n">
        <v/>
      </c>
      <c r="AF230" t="n">
        <v/>
      </c>
      <c r="AG230" t="n">
        <v/>
      </c>
      <c r="AH230" t="n">
        <v/>
      </c>
      <c r="AI230" t="n">
        <v/>
      </c>
      <c r="AJ230" t="n">
        <v/>
      </c>
      <c r="AK230" t="n">
        <v/>
      </c>
      <c r="AL230" t="n">
        <v/>
      </c>
      <c r="AM230" t="n">
        <v/>
      </c>
      <c r="AN230" t="n">
        <v/>
      </c>
      <c r="AO230" t="n">
        <v/>
      </c>
      <c r="AP230" t="n">
        <v/>
      </c>
      <c r="AQ230" t="n">
        <v/>
      </c>
      <c r="AR230" t="n">
        <v/>
      </c>
      <c r="AS230" t="n">
        <v/>
      </c>
      <c r="AT230" t="n">
        <v>5.904985373</v>
      </c>
      <c r="AU230" t="n">
        <v>1.397434</v>
      </c>
    </row>
    <row r="231">
      <c r="A231" s="106" t="n">
        <v>13912</v>
      </c>
      <c r="B231" t="n">
        <v/>
      </c>
      <c r="C231" t="n">
        <v/>
      </c>
      <c r="D231" t="n">
        <v/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/>
      </c>
      <c r="M231" t="n">
        <v/>
      </c>
      <c r="N231" t="n">
        <v/>
      </c>
      <c r="O231" t="n">
        <v/>
      </c>
      <c r="P231" t="n">
        <v/>
      </c>
      <c r="Q231" t="n">
        <v/>
      </c>
      <c r="R231" t="n">
        <v/>
      </c>
      <c r="S231" t="n">
        <v/>
      </c>
      <c r="T231" t="n">
        <v/>
      </c>
      <c r="U231" t="n">
        <v>5.030222</v>
      </c>
      <c r="V231" t="n">
        <v/>
      </c>
      <c r="W231" t="n">
        <v/>
      </c>
      <c r="X231" t="n">
        <v/>
      </c>
      <c r="Y231" t="n">
        <v/>
      </c>
      <c r="Z231" t="n">
        <v/>
      </c>
      <c r="AA231" t="n">
        <v/>
      </c>
      <c r="AB231" t="n">
        <v/>
      </c>
      <c r="AC231" t="n">
        <v/>
      </c>
      <c r="AD231" t="n">
        <v/>
      </c>
      <c r="AE231" t="n">
        <v/>
      </c>
      <c r="AF231" t="n">
        <v/>
      </c>
      <c r="AG231" t="n">
        <v/>
      </c>
      <c r="AH231" t="n">
        <v/>
      </c>
      <c r="AI231" t="n">
        <v/>
      </c>
      <c r="AJ231" t="n">
        <v/>
      </c>
      <c r="AK231" t="n">
        <v/>
      </c>
      <c r="AL231" t="n">
        <v/>
      </c>
      <c r="AM231" t="n">
        <v/>
      </c>
      <c r="AN231" t="n">
        <v/>
      </c>
      <c r="AO231" t="n">
        <v/>
      </c>
      <c r="AP231" t="n">
        <v/>
      </c>
      <c r="AQ231" t="n">
        <v/>
      </c>
      <c r="AR231" t="n">
        <v/>
      </c>
      <c r="AS231" t="n">
        <v/>
      </c>
      <c r="AT231" t="n">
        <v>5.851538964</v>
      </c>
      <c r="AU231" t="n">
        <v>1.635115</v>
      </c>
    </row>
    <row r="232">
      <c r="A232" s="106" t="n">
        <v>13940</v>
      </c>
      <c r="B232" t="n">
        <v/>
      </c>
      <c r="C232" t="n">
        <v/>
      </c>
      <c r="D232" t="n">
        <v/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/>
      </c>
      <c r="L232" t="n">
        <v/>
      </c>
      <c r="M232" t="n">
        <v/>
      </c>
      <c r="N232" t="n">
        <v/>
      </c>
      <c r="O232" t="n">
        <v/>
      </c>
      <c r="P232" t="n">
        <v/>
      </c>
      <c r="Q232" t="n">
        <v/>
      </c>
      <c r="R232" t="n">
        <v/>
      </c>
      <c r="S232" t="n">
        <v/>
      </c>
      <c r="T232" t="n">
        <v/>
      </c>
      <c r="U232" t="n">
        <v>1.366054</v>
      </c>
      <c r="V232" t="n">
        <v/>
      </c>
      <c r="W232" t="n">
        <v/>
      </c>
      <c r="X232" t="n">
        <v/>
      </c>
      <c r="Y232" t="n">
        <v/>
      </c>
      <c r="Z232" t="n">
        <v/>
      </c>
      <c r="AA232" t="n">
        <v/>
      </c>
      <c r="AB232" t="n">
        <v/>
      </c>
      <c r="AC232" t="n">
        <v/>
      </c>
      <c r="AD232" t="n">
        <v/>
      </c>
      <c r="AE232" t="n">
        <v/>
      </c>
      <c r="AF232" t="n">
        <v/>
      </c>
      <c r="AG232" t="n">
        <v/>
      </c>
      <c r="AH232" t="n">
        <v/>
      </c>
      <c r="AI232" t="n">
        <v/>
      </c>
      <c r="AJ232" t="n">
        <v/>
      </c>
      <c r="AK232" t="n">
        <v/>
      </c>
      <c r="AL232" t="n">
        <v/>
      </c>
      <c r="AM232" t="n">
        <v/>
      </c>
      <c r="AN232" t="n">
        <v/>
      </c>
      <c r="AO232" t="n">
        <v/>
      </c>
      <c r="AP232" t="n">
        <v/>
      </c>
      <c r="AQ232" t="n">
        <v/>
      </c>
      <c r="AR232" t="n">
        <v/>
      </c>
      <c r="AS232" t="n">
        <v/>
      </c>
      <c r="AT232" t="n">
        <v>5.851538964</v>
      </c>
      <c r="AU232" t="n">
        <v>1.067865</v>
      </c>
    </row>
    <row r="233">
      <c r="A233" s="106" t="n">
        <v>13971</v>
      </c>
      <c r="B233" t="n">
        <v/>
      </c>
      <c r="C233" t="n">
        <v/>
      </c>
      <c r="D233" t="n">
        <v/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/>
      </c>
      <c r="L233" t="n">
        <v/>
      </c>
      <c r="M233" t="n">
        <v/>
      </c>
      <c r="N233" t="n">
        <v/>
      </c>
      <c r="O233" t="n">
        <v/>
      </c>
      <c r="P233" t="n">
        <v/>
      </c>
      <c r="Q233" t="n">
        <v/>
      </c>
      <c r="R233" t="n">
        <v/>
      </c>
      <c r="S233" t="n">
        <v/>
      </c>
      <c r="T233" t="n">
        <v/>
      </c>
      <c r="U233" t="n">
        <v>2.971087</v>
      </c>
      <c r="V233" t="n">
        <v/>
      </c>
      <c r="W233" t="n">
        <v/>
      </c>
      <c r="X233" t="n">
        <v/>
      </c>
      <c r="Y233" t="n">
        <v/>
      </c>
      <c r="Z233" t="n">
        <v/>
      </c>
      <c r="AA233" t="n">
        <v/>
      </c>
      <c r="AB233" t="n">
        <v/>
      </c>
      <c r="AC233" t="n">
        <v/>
      </c>
      <c r="AD233" t="n">
        <v/>
      </c>
      <c r="AE233" t="n">
        <v/>
      </c>
      <c r="AF233" t="n">
        <v/>
      </c>
      <c r="AG233" t="n">
        <v/>
      </c>
      <c r="AH233" t="n">
        <v/>
      </c>
      <c r="AI233" t="n">
        <v/>
      </c>
      <c r="AJ233" t="n">
        <v/>
      </c>
      <c r="AK233" t="n">
        <v/>
      </c>
      <c r="AL233" t="n">
        <v/>
      </c>
      <c r="AM233" t="n">
        <v/>
      </c>
      <c r="AN233" t="n">
        <v/>
      </c>
      <c r="AO233" t="n">
        <v/>
      </c>
      <c r="AP233" t="n">
        <v/>
      </c>
      <c r="AQ233" t="n">
        <v/>
      </c>
      <c r="AR233" t="n">
        <v/>
      </c>
      <c r="AS233" t="n">
        <v/>
      </c>
      <c r="AT233" t="n">
        <v>5.744745304</v>
      </c>
      <c r="AU233" t="n">
        <v>1.016627</v>
      </c>
    </row>
    <row r="234">
      <c r="A234" s="106" t="n">
        <v>14001</v>
      </c>
      <c r="B234" t="n">
        <v/>
      </c>
      <c r="C234" t="n">
        <v/>
      </c>
      <c r="D234" t="n">
        <v/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/>
      </c>
      <c r="L234" t="n">
        <v/>
      </c>
      <c r="M234" t="n">
        <v/>
      </c>
      <c r="N234" t="n">
        <v/>
      </c>
      <c r="O234" t="n">
        <v/>
      </c>
      <c r="P234" t="n">
        <v/>
      </c>
      <c r="Q234" t="n">
        <v/>
      </c>
      <c r="R234" t="n">
        <v/>
      </c>
      <c r="S234" t="n">
        <v/>
      </c>
      <c r="T234" t="n">
        <v/>
      </c>
      <c r="U234" t="n">
        <v>2.087314</v>
      </c>
      <c r="V234" t="n">
        <v/>
      </c>
      <c r="W234" t="n">
        <v/>
      </c>
      <c r="X234" t="n">
        <v/>
      </c>
      <c r="Y234" t="n">
        <v/>
      </c>
      <c r="Z234" t="n">
        <v/>
      </c>
      <c r="AA234" t="n">
        <v/>
      </c>
      <c r="AB234" t="n">
        <v/>
      </c>
      <c r="AC234" t="n">
        <v/>
      </c>
      <c r="AD234" t="n">
        <v/>
      </c>
      <c r="AE234" t="n">
        <v/>
      </c>
      <c r="AF234" t="n">
        <v/>
      </c>
      <c r="AG234" t="n">
        <v/>
      </c>
      <c r="AH234" t="n">
        <v/>
      </c>
      <c r="AI234" t="n">
        <v/>
      </c>
      <c r="AJ234" t="n">
        <v/>
      </c>
      <c r="AK234" t="n">
        <v/>
      </c>
      <c r="AL234" t="n">
        <v/>
      </c>
      <c r="AM234" t="n">
        <v/>
      </c>
      <c r="AN234" t="n">
        <v/>
      </c>
      <c r="AO234" t="n">
        <v/>
      </c>
      <c r="AP234" t="n">
        <v/>
      </c>
      <c r="AQ234" t="n">
        <v/>
      </c>
      <c r="AR234" t="n">
        <v/>
      </c>
      <c r="AS234" t="n">
        <v/>
      </c>
      <c r="AT234" t="n">
        <v>5.611079702</v>
      </c>
      <c r="AU234" t="n">
        <v>1.794583</v>
      </c>
    </row>
    <row r="235">
      <c r="A235" s="106" t="n">
        <v>14032</v>
      </c>
      <c r="B235" t="n">
        <v/>
      </c>
      <c r="C235" t="n">
        <v/>
      </c>
      <c r="D235" t="n">
        <v/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/>
      </c>
      <c r="L235" t="n">
        <v/>
      </c>
      <c r="M235" t="n">
        <v/>
      </c>
      <c r="N235" t="n">
        <v/>
      </c>
      <c r="O235" t="n">
        <v/>
      </c>
      <c r="P235" t="n">
        <v/>
      </c>
      <c r="Q235" t="n">
        <v/>
      </c>
      <c r="R235" t="n">
        <v/>
      </c>
      <c r="S235" t="n">
        <v/>
      </c>
      <c r="T235" t="n">
        <v/>
      </c>
      <c r="U235" t="n">
        <v>0.754387</v>
      </c>
      <c r="V235" t="n">
        <v/>
      </c>
      <c r="W235" t="n">
        <v/>
      </c>
      <c r="X235" t="n">
        <v/>
      </c>
      <c r="Y235" t="n">
        <v/>
      </c>
      <c r="Z235" t="n">
        <v/>
      </c>
      <c r="AA235" t="n">
        <v/>
      </c>
      <c r="AB235" t="n">
        <v/>
      </c>
      <c r="AC235" t="n">
        <v/>
      </c>
      <c r="AD235" t="n">
        <v/>
      </c>
      <c r="AE235" t="n">
        <v/>
      </c>
      <c r="AF235" t="n">
        <v/>
      </c>
      <c r="AG235" t="n">
        <v/>
      </c>
      <c r="AH235" t="n">
        <v/>
      </c>
      <c r="AI235" t="n">
        <v/>
      </c>
      <c r="AJ235" t="n">
        <v/>
      </c>
      <c r="AK235" t="n">
        <v/>
      </c>
      <c r="AL235" t="n">
        <v/>
      </c>
      <c r="AM235" t="n">
        <v/>
      </c>
      <c r="AN235" t="n">
        <v/>
      </c>
      <c r="AO235" t="n">
        <v/>
      </c>
      <c r="AP235" t="n">
        <v/>
      </c>
      <c r="AQ235" t="n">
        <v/>
      </c>
      <c r="AR235" t="n">
        <v/>
      </c>
      <c r="AS235" t="n">
        <v/>
      </c>
      <c r="AT235" t="n">
        <v>5.664526111</v>
      </c>
      <c r="AU235" t="n">
        <v>1.363622</v>
      </c>
    </row>
    <row r="236">
      <c r="A236" s="106" t="n">
        <v>14062</v>
      </c>
      <c r="B236" t="n">
        <v/>
      </c>
      <c r="C236" t="n">
        <v/>
      </c>
      <c r="D236" t="n">
        <v/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/>
      </c>
      <c r="L236" t="n">
        <v/>
      </c>
      <c r="M236" t="n">
        <v/>
      </c>
      <c r="N236" t="n">
        <v/>
      </c>
      <c r="O236" t="n">
        <v/>
      </c>
      <c r="P236" t="n">
        <v/>
      </c>
      <c r="Q236" t="n">
        <v/>
      </c>
      <c r="R236" t="n">
        <v/>
      </c>
      <c r="S236" t="n">
        <v/>
      </c>
      <c r="T236" t="n">
        <v/>
      </c>
      <c r="U236" t="n">
        <v>1.8372</v>
      </c>
      <c r="V236" t="n">
        <v/>
      </c>
      <c r="W236" t="n">
        <v/>
      </c>
      <c r="X236" t="n">
        <v/>
      </c>
      <c r="Y236" t="n">
        <v/>
      </c>
      <c r="Z236" t="n">
        <v/>
      </c>
      <c r="AA236" t="n">
        <v/>
      </c>
      <c r="AB236" t="n">
        <v/>
      </c>
      <c r="AC236" t="n">
        <v/>
      </c>
      <c r="AD236" t="n">
        <v/>
      </c>
      <c r="AE236" t="n">
        <v/>
      </c>
      <c r="AF236" t="n">
        <v/>
      </c>
      <c r="AG236" t="n">
        <v/>
      </c>
      <c r="AH236" t="n">
        <v/>
      </c>
      <c r="AI236" t="n">
        <v/>
      </c>
      <c r="AJ236" t="n">
        <v/>
      </c>
      <c r="AK236" t="n">
        <v/>
      </c>
      <c r="AL236" t="n">
        <v/>
      </c>
      <c r="AM236" t="n">
        <v/>
      </c>
      <c r="AN236" t="n">
        <v/>
      </c>
      <c r="AO236" t="n">
        <v/>
      </c>
      <c r="AP236" t="n">
        <v/>
      </c>
      <c r="AQ236" t="n">
        <v/>
      </c>
      <c r="AR236" t="n">
        <v/>
      </c>
      <c r="AS236" t="n">
        <v/>
      </c>
      <c r="AT236" t="n">
        <v>5.985204566</v>
      </c>
      <c r="AU236" t="n">
        <v>0.669611</v>
      </c>
    </row>
    <row r="237">
      <c r="A237" s="106" t="n">
        <v>14093</v>
      </c>
      <c r="B237" t="n">
        <v/>
      </c>
      <c r="C237" t="n">
        <v/>
      </c>
      <c r="D237" t="n">
        <v/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/>
      </c>
      <c r="L237" t="n">
        <v/>
      </c>
      <c r="M237" t="n">
        <v/>
      </c>
      <c r="N237" t="n">
        <v/>
      </c>
      <c r="O237" t="n">
        <v/>
      </c>
      <c r="P237" t="n">
        <v/>
      </c>
      <c r="Q237" t="n">
        <v/>
      </c>
      <c r="R237" t="n">
        <v/>
      </c>
      <c r="S237" t="n">
        <v/>
      </c>
      <c r="T237" t="n">
        <v/>
      </c>
      <c r="U237" t="n">
        <v>2.749143</v>
      </c>
      <c r="V237" t="n">
        <v/>
      </c>
      <c r="W237" t="n">
        <v/>
      </c>
      <c r="X237" t="n">
        <v/>
      </c>
      <c r="Y237" t="n">
        <v/>
      </c>
      <c r="Z237" t="n">
        <v/>
      </c>
      <c r="AA237" t="n">
        <v/>
      </c>
      <c r="AB237" t="n">
        <v/>
      </c>
      <c r="AC237" t="n">
        <v/>
      </c>
      <c r="AD237" t="n">
        <v/>
      </c>
      <c r="AE237" t="n">
        <v/>
      </c>
      <c r="AF237" t="n">
        <v/>
      </c>
      <c r="AG237" t="n">
        <v/>
      </c>
      <c r="AH237" t="n">
        <v/>
      </c>
      <c r="AI237" t="n">
        <v/>
      </c>
      <c r="AJ237" t="n">
        <v/>
      </c>
      <c r="AK237" t="n">
        <v/>
      </c>
      <c r="AL237" t="n">
        <v/>
      </c>
      <c r="AM237" t="n">
        <v/>
      </c>
      <c r="AN237" t="n">
        <v/>
      </c>
      <c r="AO237" t="n">
        <v/>
      </c>
      <c r="AP237" t="n">
        <v/>
      </c>
      <c r="AQ237" t="n">
        <v/>
      </c>
      <c r="AR237" t="n">
        <v/>
      </c>
      <c r="AS237" t="n">
        <v/>
      </c>
      <c r="AT237" t="n">
        <v>6.305783863</v>
      </c>
      <c r="AU237" t="n">
        <v>1.756821</v>
      </c>
    </row>
    <row r="238">
      <c r="A238" s="106" t="n">
        <v>14124</v>
      </c>
      <c r="B238" t="n">
        <v/>
      </c>
      <c r="C238" t="n">
        <v/>
      </c>
      <c r="D238" t="n">
        <v/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/>
      </c>
      <c r="L238" t="n">
        <v/>
      </c>
      <c r="M238" t="n">
        <v/>
      </c>
      <c r="N238" t="n">
        <v/>
      </c>
      <c r="O238" t="n">
        <v/>
      </c>
      <c r="P238" t="n">
        <v/>
      </c>
      <c r="Q238" t="n">
        <v/>
      </c>
      <c r="R238" t="n">
        <v/>
      </c>
      <c r="S238" t="n">
        <v/>
      </c>
      <c r="T238" t="n">
        <v/>
      </c>
      <c r="U238" t="n">
        <v>1.148671</v>
      </c>
      <c r="V238" t="n">
        <v/>
      </c>
      <c r="W238" t="n">
        <v/>
      </c>
      <c r="X238" t="n">
        <v/>
      </c>
      <c r="Y238" t="n">
        <v/>
      </c>
      <c r="Z238" t="n">
        <v/>
      </c>
      <c r="AA238" t="n">
        <v/>
      </c>
      <c r="AB238" t="n">
        <v/>
      </c>
      <c r="AC238" t="n">
        <v/>
      </c>
      <c r="AD238" t="n">
        <v/>
      </c>
      <c r="AE238" t="n">
        <v/>
      </c>
      <c r="AF238" t="n">
        <v/>
      </c>
      <c r="AG238" t="n">
        <v/>
      </c>
      <c r="AH238" t="n">
        <v/>
      </c>
      <c r="AI238" t="n">
        <v/>
      </c>
      <c r="AJ238" t="n">
        <v/>
      </c>
      <c r="AK238" t="n">
        <v/>
      </c>
      <c r="AL238" t="n">
        <v/>
      </c>
      <c r="AM238" t="n">
        <v/>
      </c>
      <c r="AN238" t="n">
        <v/>
      </c>
      <c r="AO238" t="n">
        <v/>
      </c>
      <c r="AP238" t="n">
        <v/>
      </c>
      <c r="AQ238" t="n">
        <v/>
      </c>
      <c r="AR238" t="n">
        <v/>
      </c>
      <c r="AS238" t="n">
        <v/>
      </c>
      <c r="AT238" t="n">
        <v>6.492895875</v>
      </c>
      <c r="AU238" t="n">
        <v>1.420302</v>
      </c>
    </row>
    <row r="239">
      <c r="A239" s="106" t="n">
        <v>14154</v>
      </c>
      <c r="B239" t="n">
        <v/>
      </c>
      <c r="C239" t="n">
        <v/>
      </c>
      <c r="D239" t="n">
        <v/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/>
      </c>
      <c r="L239" t="n">
        <v/>
      </c>
      <c r="M239" t="n">
        <v/>
      </c>
      <c r="N239" t="n">
        <v/>
      </c>
      <c r="O239" t="n">
        <v/>
      </c>
      <c r="P239" t="n">
        <v/>
      </c>
      <c r="Q239" t="n">
        <v/>
      </c>
      <c r="R239" t="n">
        <v/>
      </c>
      <c r="S239" t="n">
        <v/>
      </c>
      <c r="T239" t="n">
        <v/>
      </c>
      <c r="U239" t="n">
        <v>2.811594</v>
      </c>
      <c r="V239" t="n">
        <v/>
      </c>
      <c r="W239" t="n">
        <v/>
      </c>
      <c r="X239" t="n">
        <v/>
      </c>
      <c r="Y239" t="n">
        <v/>
      </c>
      <c r="Z239" t="n">
        <v/>
      </c>
      <c r="AA239" t="n">
        <v/>
      </c>
      <c r="AB239" t="n">
        <v/>
      </c>
      <c r="AC239" t="n">
        <v/>
      </c>
      <c r="AD239" t="n">
        <v/>
      </c>
      <c r="AE239" t="n">
        <v/>
      </c>
      <c r="AF239" t="n">
        <v/>
      </c>
      <c r="AG239" t="n">
        <v/>
      </c>
      <c r="AH239" t="n">
        <v/>
      </c>
      <c r="AI239" t="n">
        <v/>
      </c>
      <c r="AJ239" t="n">
        <v/>
      </c>
      <c r="AK239" t="n">
        <v/>
      </c>
      <c r="AL239" t="n">
        <v/>
      </c>
      <c r="AM239" t="n">
        <v/>
      </c>
      <c r="AN239" t="n">
        <v/>
      </c>
      <c r="AO239" t="n">
        <v/>
      </c>
      <c r="AP239" t="n">
        <v/>
      </c>
      <c r="AQ239" t="n">
        <v/>
      </c>
      <c r="AR239" t="n">
        <v/>
      </c>
      <c r="AS239" t="n">
        <v/>
      </c>
      <c r="AT239" t="n">
        <v>6.653135944</v>
      </c>
      <c r="AU239" t="n">
        <v>1.381133</v>
      </c>
    </row>
    <row r="240">
      <c r="A240" s="106" t="n">
        <v>14185</v>
      </c>
      <c r="B240" t="n">
        <v/>
      </c>
      <c r="C240" t="n">
        <v/>
      </c>
      <c r="D240" t="n">
        <v/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/>
      </c>
      <c r="L240" t="n">
        <v/>
      </c>
      <c r="M240" t="n">
        <v/>
      </c>
      <c r="N240" t="n">
        <v/>
      </c>
      <c r="O240" t="n">
        <v/>
      </c>
      <c r="P240" t="n">
        <v/>
      </c>
      <c r="Q240" t="n">
        <v/>
      </c>
      <c r="R240" t="n">
        <v/>
      </c>
      <c r="S240" t="n">
        <v/>
      </c>
      <c r="T240" t="n">
        <v/>
      </c>
      <c r="U240" t="n">
        <v>2.075388</v>
      </c>
      <c r="V240" t="n">
        <v/>
      </c>
      <c r="W240" t="n">
        <v/>
      </c>
      <c r="X240" t="n">
        <v/>
      </c>
      <c r="Y240" t="n">
        <v/>
      </c>
      <c r="Z240" t="n">
        <v/>
      </c>
      <c r="AA240" t="n">
        <v/>
      </c>
      <c r="AB240" t="n">
        <v/>
      </c>
      <c r="AC240" t="n">
        <v/>
      </c>
      <c r="AD240" t="n">
        <v/>
      </c>
      <c r="AE240" t="n">
        <v/>
      </c>
      <c r="AF240" t="n">
        <v/>
      </c>
      <c r="AG240" t="n">
        <v/>
      </c>
      <c r="AH240" t="n">
        <v/>
      </c>
      <c r="AI240" t="n">
        <v/>
      </c>
      <c r="AJ240" t="n">
        <v/>
      </c>
      <c r="AK240" t="n">
        <v/>
      </c>
      <c r="AL240" t="n">
        <v/>
      </c>
      <c r="AM240" t="n">
        <v/>
      </c>
      <c r="AN240" t="n">
        <v/>
      </c>
      <c r="AO240" t="n">
        <v/>
      </c>
      <c r="AP240" t="n">
        <v/>
      </c>
      <c r="AQ240" t="n">
        <v/>
      </c>
      <c r="AR240" t="n">
        <v/>
      </c>
      <c r="AS240" t="n">
        <v/>
      </c>
      <c r="AT240" t="n">
        <v>6.92036799</v>
      </c>
      <c r="AU240" t="n">
        <v>1.382769</v>
      </c>
    </row>
    <row r="241">
      <c r="A241" s="106" t="n">
        <v>14215</v>
      </c>
      <c r="B241" t="n">
        <v/>
      </c>
      <c r="C241" t="n">
        <v/>
      </c>
      <c r="D241" t="n">
        <v/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/>
      </c>
      <c r="L241" t="n">
        <v/>
      </c>
      <c r="M241" t="n">
        <v/>
      </c>
      <c r="N241" t="n">
        <v/>
      </c>
      <c r="O241" t="n">
        <v/>
      </c>
      <c r="P241" t="n">
        <v/>
      </c>
      <c r="Q241" t="n">
        <v/>
      </c>
      <c r="R241" t="n">
        <v/>
      </c>
      <c r="S241" t="n">
        <v/>
      </c>
      <c r="T241" t="n">
        <v/>
      </c>
      <c r="U241" t="n">
        <v>2.48139</v>
      </c>
      <c r="V241" t="n">
        <v/>
      </c>
      <c r="W241" t="n">
        <v/>
      </c>
      <c r="X241" t="n">
        <v/>
      </c>
      <c r="Y241" t="n">
        <v/>
      </c>
      <c r="Z241" t="n">
        <v/>
      </c>
      <c r="AA241" t="n">
        <v/>
      </c>
      <c r="AB241" t="n">
        <v/>
      </c>
      <c r="AC241" t="n">
        <v/>
      </c>
      <c r="AD241" t="n">
        <v/>
      </c>
      <c r="AE241" t="n">
        <v/>
      </c>
      <c r="AF241" t="n">
        <v/>
      </c>
      <c r="AG241" t="n">
        <v/>
      </c>
      <c r="AH241" t="n">
        <v/>
      </c>
      <c r="AI241" t="n">
        <v/>
      </c>
      <c r="AJ241" t="n">
        <v/>
      </c>
      <c r="AK241" t="n">
        <v/>
      </c>
      <c r="AL241" t="n">
        <v/>
      </c>
      <c r="AM241" t="n">
        <v/>
      </c>
      <c r="AN241" t="n">
        <v/>
      </c>
      <c r="AO241" t="n">
        <v/>
      </c>
      <c r="AP241" t="n">
        <v/>
      </c>
      <c r="AQ241" t="n">
        <v/>
      </c>
      <c r="AR241" t="n">
        <v/>
      </c>
      <c r="AS241" t="n">
        <v/>
      </c>
      <c r="AT241" t="n">
        <v>7.000488025</v>
      </c>
      <c r="AU241" t="n">
        <v>1.623794</v>
      </c>
    </row>
    <row r="242">
      <c r="A242" s="106" t="n">
        <v>14246</v>
      </c>
      <c r="B242" t="n">
        <v/>
      </c>
      <c r="C242" t="n">
        <v/>
      </c>
      <c r="D242" t="n">
        <v/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/>
      </c>
      <c r="L242" t="n">
        <v/>
      </c>
      <c r="M242" t="n">
        <v/>
      </c>
      <c r="N242" t="n">
        <v/>
      </c>
      <c r="O242" t="n">
        <v/>
      </c>
      <c r="P242" t="n">
        <v/>
      </c>
      <c r="Q242" t="n">
        <v/>
      </c>
      <c r="R242" t="n">
        <v/>
      </c>
      <c r="S242" t="n">
        <v/>
      </c>
      <c r="T242" t="n">
        <v/>
      </c>
      <c r="U242" t="n">
        <v>2.14123</v>
      </c>
      <c r="V242" t="n">
        <v/>
      </c>
      <c r="W242" t="n">
        <v/>
      </c>
      <c r="X242" t="n">
        <v/>
      </c>
      <c r="Y242" t="n">
        <v/>
      </c>
      <c r="Z242" t="n">
        <v/>
      </c>
      <c r="AA242" t="n">
        <v/>
      </c>
      <c r="AB242" t="n">
        <v/>
      </c>
      <c r="AC242" t="n">
        <v/>
      </c>
      <c r="AD242" t="n">
        <v/>
      </c>
      <c r="AE242" t="n">
        <v/>
      </c>
      <c r="AF242" t="n">
        <v/>
      </c>
      <c r="AG242" t="n">
        <v/>
      </c>
      <c r="AH242" t="n">
        <v/>
      </c>
      <c r="AI242" t="n">
        <v/>
      </c>
      <c r="AJ242" t="n">
        <v/>
      </c>
      <c r="AK242" t="n">
        <v/>
      </c>
      <c r="AL242" t="n">
        <v/>
      </c>
      <c r="AM242" t="n">
        <v/>
      </c>
      <c r="AN242" t="n">
        <v/>
      </c>
      <c r="AO242" t="n">
        <v/>
      </c>
      <c r="AP242" t="n">
        <v/>
      </c>
      <c r="AQ242" t="n">
        <v/>
      </c>
      <c r="AR242" t="n">
        <v/>
      </c>
      <c r="AS242" t="n">
        <v/>
      </c>
      <c r="AT242" t="n">
        <v>7.000488025</v>
      </c>
      <c r="AU242" t="n">
        <v>0.819509</v>
      </c>
    </row>
    <row r="243">
      <c r="A243" s="106" t="n">
        <v>14277</v>
      </c>
      <c r="B243" t="n">
        <v/>
      </c>
      <c r="C243" t="n">
        <v/>
      </c>
      <c r="D243" t="n">
        <v/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/>
      </c>
      <c r="L243" t="n">
        <v/>
      </c>
      <c r="M243" t="n">
        <v/>
      </c>
      <c r="N243" t="n">
        <v/>
      </c>
      <c r="O243" t="n">
        <v/>
      </c>
      <c r="P243" t="n">
        <v/>
      </c>
      <c r="Q243" t="n">
        <v/>
      </c>
      <c r="R243" t="n">
        <v/>
      </c>
      <c r="S243" t="n">
        <v/>
      </c>
      <c r="T243" t="n">
        <v/>
      </c>
      <c r="U243" t="n">
        <v>1.274967</v>
      </c>
      <c r="V243" t="n">
        <v/>
      </c>
      <c r="W243" t="n">
        <v/>
      </c>
      <c r="X243" t="n">
        <v/>
      </c>
      <c r="Y243" t="n">
        <v/>
      </c>
      <c r="Z243" t="n">
        <v/>
      </c>
      <c r="AA243" t="n">
        <v/>
      </c>
      <c r="AB243" t="n">
        <v/>
      </c>
      <c r="AC243" t="n">
        <v/>
      </c>
      <c r="AD243" t="n">
        <v/>
      </c>
      <c r="AE243" t="n">
        <v/>
      </c>
      <c r="AF243" t="n">
        <v/>
      </c>
      <c r="AG243" t="n">
        <v/>
      </c>
      <c r="AH243" t="n">
        <v/>
      </c>
      <c r="AI243" t="n">
        <v/>
      </c>
      <c r="AJ243" t="n">
        <v/>
      </c>
      <c r="AK243" t="n">
        <v/>
      </c>
      <c r="AL243" t="n">
        <v/>
      </c>
      <c r="AM243" t="n">
        <v/>
      </c>
      <c r="AN243" t="n">
        <v/>
      </c>
      <c r="AO243" t="n">
        <v/>
      </c>
      <c r="AP243" t="n">
        <v/>
      </c>
      <c r="AQ243" t="n">
        <v/>
      </c>
      <c r="AR243" t="n">
        <v/>
      </c>
      <c r="AS243" t="n">
        <v/>
      </c>
      <c r="AT243" t="n">
        <v>7.053934434</v>
      </c>
      <c r="AU243" t="n">
        <v>1.17193</v>
      </c>
    </row>
    <row r="244">
      <c r="A244" s="106" t="n">
        <v>14305</v>
      </c>
      <c r="B244" t="n">
        <v/>
      </c>
      <c r="C244" t="n">
        <v/>
      </c>
      <c r="D244" t="n">
        <v/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/>
      </c>
      <c r="L244" t="n">
        <v/>
      </c>
      <c r="M244" t="n">
        <v/>
      </c>
      <c r="N244" t="n">
        <v/>
      </c>
      <c r="O244" t="n">
        <v/>
      </c>
      <c r="P244" t="n">
        <v/>
      </c>
      <c r="Q244" t="n">
        <v/>
      </c>
      <c r="R244" t="n">
        <v/>
      </c>
      <c r="S244" t="n">
        <v/>
      </c>
      <c r="T244" t="n">
        <v/>
      </c>
      <c r="U244" t="n">
        <v>3.002868</v>
      </c>
      <c r="V244" t="n">
        <v/>
      </c>
      <c r="W244" t="n">
        <v/>
      </c>
      <c r="X244" t="n">
        <v/>
      </c>
      <c r="Y244" t="n">
        <v/>
      </c>
      <c r="Z244" t="n">
        <v/>
      </c>
      <c r="AA244" t="n">
        <v/>
      </c>
      <c r="AB244" t="n">
        <v/>
      </c>
      <c r="AC244" t="n">
        <v/>
      </c>
      <c r="AD244" t="n">
        <v/>
      </c>
      <c r="AE244" t="n">
        <v/>
      </c>
      <c r="AF244" t="n">
        <v/>
      </c>
      <c r="AG244" t="n">
        <v/>
      </c>
      <c r="AH244" t="n">
        <v/>
      </c>
      <c r="AI244" t="n">
        <v/>
      </c>
      <c r="AJ244" t="n">
        <v/>
      </c>
      <c r="AK244" t="n">
        <v/>
      </c>
      <c r="AL244" t="n">
        <v/>
      </c>
      <c r="AM244" t="n">
        <v/>
      </c>
      <c r="AN244" t="n">
        <v/>
      </c>
      <c r="AO244" t="n">
        <v/>
      </c>
      <c r="AP244" t="n">
        <v/>
      </c>
      <c r="AQ244" t="n">
        <v/>
      </c>
      <c r="AR244" t="n">
        <v/>
      </c>
      <c r="AS244" t="n">
        <v/>
      </c>
      <c r="AT244" t="n">
        <v>7.080707218</v>
      </c>
      <c r="AU244" t="n">
        <v>1.416847</v>
      </c>
    </row>
    <row r="245">
      <c r="A245" s="106" t="n">
        <v>14336</v>
      </c>
      <c r="B245" t="n">
        <v/>
      </c>
      <c r="C245" t="n">
        <v/>
      </c>
      <c r="D245" t="n">
        <v/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/>
      </c>
      <c r="L245" t="n">
        <v/>
      </c>
      <c r="M245" t="n">
        <v/>
      </c>
      <c r="N245" t="n">
        <v/>
      </c>
      <c r="O245" t="n">
        <v/>
      </c>
      <c r="P245" t="n">
        <v/>
      </c>
      <c r="Q245" t="n">
        <v/>
      </c>
      <c r="R245" t="n">
        <v/>
      </c>
      <c r="S245" t="n">
        <v/>
      </c>
      <c r="T245" t="n">
        <v/>
      </c>
      <c r="U245" t="n">
        <v>0.966923</v>
      </c>
      <c r="V245" t="n">
        <v/>
      </c>
      <c r="W245" t="n">
        <v/>
      </c>
      <c r="X245" t="n">
        <v/>
      </c>
      <c r="Y245" t="n">
        <v/>
      </c>
      <c r="Z245" t="n">
        <v/>
      </c>
      <c r="AA245" t="n">
        <v/>
      </c>
      <c r="AB245" t="n">
        <v/>
      </c>
      <c r="AC245" t="n">
        <v/>
      </c>
      <c r="AD245" t="n">
        <v/>
      </c>
      <c r="AE245" t="n">
        <v/>
      </c>
      <c r="AF245" t="n">
        <v/>
      </c>
      <c r="AG245" t="n">
        <v/>
      </c>
      <c r="AH245" t="n">
        <v/>
      </c>
      <c r="AI245" t="n">
        <v/>
      </c>
      <c r="AJ245" t="n">
        <v/>
      </c>
      <c r="AK245" t="n">
        <v/>
      </c>
      <c r="AL245" t="n">
        <v/>
      </c>
      <c r="AM245" t="n">
        <v/>
      </c>
      <c r="AN245" t="n">
        <v/>
      </c>
      <c r="AO245" t="n">
        <v/>
      </c>
      <c r="AP245" t="n">
        <v/>
      </c>
      <c r="AQ245" t="n">
        <v/>
      </c>
      <c r="AR245" t="n">
        <v/>
      </c>
      <c r="AS245" t="n">
        <v/>
      </c>
      <c r="AT245" t="n">
        <v>7.053934434</v>
      </c>
      <c r="AU245" t="n">
        <v>0.420212</v>
      </c>
    </row>
    <row r="246">
      <c r="A246" s="106" t="n">
        <v>14366</v>
      </c>
      <c r="B246" t="n">
        <v/>
      </c>
      <c r="C246" t="n">
        <v/>
      </c>
      <c r="D246" t="n">
        <v/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/>
      </c>
      <c r="L246" t="n">
        <v/>
      </c>
      <c r="M246" t="n">
        <v/>
      </c>
      <c r="N246" t="n">
        <v/>
      </c>
      <c r="O246" t="n">
        <v/>
      </c>
      <c r="P246" t="n">
        <v/>
      </c>
      <c r="Q246" t="n">
        <v/>
      </c>
      <c r="R246" t="n">
        <v/>
      </c>
      <c r="S246" t="n">
        <v/>
      </c>
      <c r="T246" t="n">
        <v/>
      </c>
      <c r="U246" t="n">
        <v>0.693862</v>
      </c>
      <c r="V246" t="n">
        <v/>
      </c>
      <c r="W246" t="n">
        <v/>
      </c>
      <c r="X246" t="n">
        <v/>
      </c>
      <c r="Y246" t="n">
        <v/>
      </c>
      <c r="Z246" t="n">
        <v/>
      </c>
      <c r="AA246" t="n">
        <v/>
      </c>
      <c r="AB246" t="n">
        <v/>
      </c>
      <c r="AC246" t="n">
        <v/>
      </c>
      <c r="AD246" t="n">
        <v/>
      </c>
      <c r="AE246" t="n">
        <v/>
      </c>
      <c r="AF246" t="n">
        <v/>
      </c>
      <c r="AG246" t="n">
        <v/>
      </c>
      <c r="AH246" t="n">
        <v/>
      </c>
      <c r="AI246" t="n">
        <v/>
      </c>
      <c r="AJ246" t="n">
        <v/>
      </c>
      <c r="AK246" t="n">
        <v/>
      </c>
      <c r="AL246" t="n">
        <v/>
      </c>
      <c r="AM246" t="n">
        <v/>
      </c>
      <c r="AN246" t="n">
        <v/>
      </c>
      <c r="AO246" t="n">
        <v/>
      </c>
      <c r="AP246" t="n">
        <v/>
      </c>
      <c r="AQ246" t="n">
        <v/>
      </c>
      <c r="AR246" t="n">
        <v/>
      </c>
      <c r="AS246" t="n">
        <v/>
      </c>
      <c r="AT246" t="n">
        <v>7.027260809</v>
      </c>
      <c r="AU246" t="n">
        <v>1.220868</v>
      </c>
    </row>
    <row r="247">
      <c r="A247" s="106" t="n">
        <v>14397</v>
      </c>
      <c r="B247" t="n">
        <v/>
      </c>
      <c r="C247" t="n">
        <v/>
      </c>
      <c r="D247" t="n">
        <v/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/>
      </c>
      <c r="L247" t="n">
        <v/>
      </c>
      <c r="M247" t="n">
        <v/>
      </c>
      <c r="N247" t="n">
        <v/>
      </c>
      <c r="O247" t="n">
        <v/>
      </c>
      <c r="P247" t="n">
        <v/>
      </c>
      <c r="Q247" t="n">
        <v/>
      </c>
      <c r="R247" t="n">
        <v/>
      </c>
      <c r="S247" t="n">
        <v/>
      </c>
      <c r="T247" t="n">
        <v/>
      </c>
      <c r="U247" t="n">
        <v>0.704539</v>
      </c>
      <c r="V247" t="n">
        <v/>
      </c>
      <c r="W247" t="n">
        <v/>
      </c>
      <c r="X247" t="n">
        <v/>
      </c>
      <c r="Y247" t="n">
        <v/>
      </c>
      <c r="Z247" t="n">
        <v/>
      </c>
      <c r="AA247" t="n">
        <v/>
      </c>
      <c r="AB247" t="n">
        <v/>
      </c>
      <c r="AC247" t="n">
        <v/>
      </c>
      <c r="AD247" t="n">
        <v/>
      </c>
      <c r="AE247" t="n">
        <v/>
      </c>
      <c r="AF247" t="n">
        <v/>
      </c>
      <c r="AG247" t="n">
        <v/>
      </c>
      <c r="AH247" t="n">
        <v/>
      </c>
      <c r="AI247" t="n">
        <v/>
      </c>
      <c r="AJ247" t="n">
        <v/>
      </c>
      <c r="AK247" t="n">
        <v/>
      </c>
      <c r="AL247" t="n">
        <v/>
      </c>
      <c r="AM247" t="n">
        <v/>
      </c>
      <c r="AN247" t="n">
        <v/>
      </c>
      <c r="AO247" t="n">
        <v/>
      </c>
      <c r="AP247" t="n">
        <v/>
      </c>
      <c r="AQ247" t="n">
        <v/>
      </c>
      <c r="AR247" t="n">
        <v/>
      </c>
      <c r="AS247" t="n">
        <v/>
      </c>
      <c r="AT247" t="n">
        <v>7.187600036</v>
      </c>
      <c r="AU247" t="n">
        <v>0.238976</v>
      </c>
    </row>
    <row r="248">
      <c r="A248" s="106" t="n">
        <v>14427</v>
      </c>
      <c r="B248" t="n">
        <v/>
      </c>
      <c r="C248" t="n">
        <v/>
      </c>
      <c r="D248" t="n">
        <v/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/>
      </c>
      <c r="L248" t="n">
        <v/>
      </c>
      <c r="M248" t="n">
        <v/>
      </c>
      <c r="N248" t="n">
        <v/>
      </c>
      <c r="O248" t="n">
        <v/>
      </c>
      <c r="P248" t="n">
        <v/>
      </c>
      <c r="Q248" t="n">
        <v/>
      </c>
      <c r="R248" t="n">
        <v/>
      </c>
      <c r="S248" t="n">
        <v/>
      </c>
      <c r="T248" t="n">
        <v/>
      </c>
      <c r="U248" t="n">
        <v>-4.794325</v>
      </c>
      <c r="V248" t="n">
        <v/>
      </c>
      <c r="W248" t="n">
        <v/>
      </c>
      <c r="X248" t="n">
        <v/>
      </c>
      <c r="Y248" t="n">
        <v/>
      </c>
      <c r="Z248" t="n">
        <v/>
      </c>
      <c r="AA248" t="n">
        <v/>
      </c>
      <c r="AB248" t="n">
        <v/>
      </c>
      <c r="AC248" t="n">
        <v/>
      </c>
      <c r="AD248" t="n">
        <v/>
      </c>
      <c r="AE248" t="n">
        <v/>
      </c>
      <c r="AF248" t="n">
        <v/>
      </c>
      <c r="AG248" t="n">
        <v/>
      </c>
      <c r="AH248" t="n">
        <v/>
      </c>
      <c r="AI248" t="n">
        <v/>
      </c>
      <c r="AJ248" t="n">
        <v/>
      </c>
      <c r="AK248" t="n">
        <v/>
      </c>
      <c r="AL248" t="n">
        <v/>
      </c>
      <c r="AM248" t="n">
        <v/>
      </c>
      <c r="AN248" t="n">
        <v/>
      </c>
      <c r="AO248" t="n">
        <v/>
      </c>
      <c r="AP248" t="n">
        <v/>
      </c>
      <c r="AQ248" t="n">
        <v/>
      </c>
      <c r="AR248" t="n">
        <v/>
      </c>
      <c r="AS248" t="n">
        <v/>
      </c>
      <c r="AT248" t="n">
        <v>7.401286515</v>
      </c>
      <c r="AU248" t="n">
        <v>-0.569327</v>
      </c>
    </row>
    <row r="249">
      <c r="A249" s="106" t="n">
        <v>14458</v>
      </c>
      <c r="B249" t="n">
        <v/>
      </c>
      <c r="C249" t="n">
        <v/>
      </c>
      <c r="D249" t="n">
        <v/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/>
      </c>
      <c r="L249" t="n">
        <v/>
      </c>
      <c r="M249" t="n">
        <v/>
      </c>
      <c r="N249" t="n">
        <v/>
      </c>
      <c r="O249" t="n">
        <v/>
      </c>
      <c r="P249" t="n">
        <v/>
      </c>
      <c r="Q249" t="n">
        <v/>
      </c>
      <c r="R249" t="n">
        <v/>
      </c>
      <c r="S249" t="n">
        <v/>
      </c>
      <c r="T249" t="n">
        <v/>
      </c>
      <c r="U249" t="n">
        <v>-3.540374</v>
      </c>
      <c r="V249" t="n">
        <v/>
      </c>
      <c r="W249" t="n">
        <v/>
      </c>
      <c r="X249" t="n">
        <v/>
      </c>
      <c r="Y249" t="n">
        <v/>
      </c>
      <c r="Z249" t="n">
        <v/>
      </c>
      <c r="AA249" t="n">
        <v/>
      </c>
      <c r="AB249" t="n">
        <v/>
      </c>
      <c r="AC249" t="n">
        <v/>
      </c>
      <c r="AD249" t="n">
        <v/>
      </c>
      <c r="AE249" t="n">
        <v/>
      </c>
      <c r="AF249" t="n">
        <v/>
      </c>
      <c r="AG249" t="n">
        <v/>
      </c>
      <c r="AH249" t="n">
        <v/>
      </c>
      <c r="AI249" t="n">
        <v/>
      </c>
      <c r="AJ249" t="n">
        <v/>
      </c>
      <c r="AK249" t="n">
        <v/>
      </c>
      <c r="AL249" t="n">
        <v/>
      </c>
      <c r="AM249" t="n">
        <v/>
      </c>
      <c r="AN249" t="n">
        <v/>
      </c>
      <c r="AO249" t="n">
        <v/>
      </c>
      <c r="AP249" t="n">
        <v/>
      </c>
      <c r="AQ249" t="n">
        <v/>
      </c>
      <c r="AR249" t="n">
        <v/>
      </c>
      <c r="AS249" t="n">
        <v/>
      </c>
      <c r="AT249" t="n">
        <v>7.508179333</v>
      </c>
      <c r="AU249" t="n">
        <v>-1.555488</v>
      </c>
    </row>
    <row r="250">
      <c r="A250" s="106" t="n">
        <v>14489</v>
      </c>
      <c r="B250" t="n">
        <v/>
      </c>
      <c r="C250" t="n">
        <v/>
      </c>
      <c r="D250" t="n">
        <v/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/>
      </c>
      <c r="L250" t="n">
        <v/>
      </c>
      <c r="M250" t="n">
        <v/>
      </c>
      <c r="N250" t="n">
        <v/>
      </c>
      <c r="O250" t="n">
        <v/>
      </c>
      <c r="P250" t="n">
        <v/>
      </c>
      <c r="Q250" t="n">
        <v/>
      </c>
      <c r="R250" t="n">
        <v/>
      </c>
      <c r="S250" t="n">
        <v/>
      </c>
      <c r="T250" t="n">
        <v/>
      </c>
      <c r="U250" t="n">
        <v>-2.205431</v>
      </c>
      <c r="V250" t="n">
        <v/>
      </c>
      <c r="W250" t="n">
        <v/>
      </c>
      <c r="X250" t="n">
        <v/>
      </c>
      <c r="Y250" t="n">
        <v/>
      </c>
      <c r="Z250" t="n">
        <v/>
      </c>
      <c r="AA250" t="n">
        <v/>
      </c>
      <c r="AB250" t="n">
        <v/>
      </c>
      <c r="AC250" t="n">
        <v/>
      </c>
      <c r="AD250" t="n">
        <v/>
      </c>
      <c r="AE250" t="n">
        <v/>
      </c>
      <c r="AF250" t="n">
        <v/>
      </c>
      <c r="AG250" t="n">
        <v/>
      </c>
      <c r="AH250" t="n">
        <v/>
      </c>
      <c r="AI250" t="n">
        <v/>
      </c>
      <c r="AJ250" t="n">
        <v/>
      </c>
      <c r="AK250" t="n">
        <v/>
      </c>
      <c r="AL250" t="n">
        <v/>
      </c>
      <c r="AM250" t="n">
        <v/>
      </c>
      <c r="AN250" t="n">
        <v/>
      </c>
      <c r="AO250" t="n">
        <v/>
      </c>
      <c r="AP250" t="n">
        <v/>
      </c>
      <c r="AQ250" t="n">
        <v/>
      </c>
      <c r="AR250" t="n">
        <v/>
      </c>
      <c r="AS250" t="n">
        <v/>
      </c>
      <c r="AT250" t="n">
        <v>7.962424233</v>
      </c>
      <c r="AU250" t="n">
        <v>-0.343175</v>
      </c>
    </row>
    <row r="251">
      <c r="A251" s="106" t="n">
        <v>14519</v>
      </c>
      <c r="B251" t="n">
        <v/>
      </c>
      <c r="C251" t="n">
        <v/>
      </c>
      <c r="D251" t="n">
        <v/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/>
      </c>
      <c r="L251" t="n">
        <v/>
      </c>
      <c r="M251" t="n">
        <v/>
      </c>
      <c r="N251" t="n">
        <v/>
      </c>
      <c r="O251" t="n">
        <v/>
      </c>
      <c r="P251" t="n">
        <v/>
      </c>
      <c r="Q251" t="n">
        <v/>
      </c>
      <c r="R251" t="n">
        <v/>
      </c>
      <c r="S251" t="n">
        <v/>
      </c>
      <c r="T251" t="n">
        <v/>
      </c>
      <c r="U251" t="n">
        <v>3.844624</v>
      </c>
      <c r="V251" t="n">
        <v/>
      </c>
      <c r="W251" t="n">
        <v/>
      </c>
      <c r="X251" t="n">
        <v/>
      </c>
      <c r="Y251" t="n">
        <v/>
      </c>
      <c r="Z251" t="n">
        <v/>
      </c>
      <c r="AA251" t="n">
        <v/>
      </c>
      <c r="AB251" t="n">
        <v/>
      </c>
      <c r="AC251" t="n">
        <v/>
      </c>
      <c r="AD251" t="n">
        <v/>
      </c>
      <c r="AE251" t="n">
        <v/>
      </c>
      <c r="AF251" t="n">
        <v/>
      </c>
      <c r="AG251" t="n">
        <v/>
      </c>
      <c r="AH251" t="n">
        <v/>
      </c>
      <c r="AI251" t="n">
        <v/>
      </c>
      <c r="AJ251" t="n">
        <v/>
      </c>
      <c r="AK251" t="n">
        <v/>
      </c>
      <c r="AL251" t="n">
        <v/>
      </c>
      <c r="AM251" t="n">
        <v/>
      </c>
      <c r="AN251" t="n">
        <v/>
      </c>
      <c r="AO251" t="n">
        <v/>
      </c>
      <c r="AP251" t="n">
        <v/>
      </c>
      <c r="AQ251" t="n">
        <v/>
      </c>
      <c r="AR251" t="n">
        <v/>
      </c>
      <c r="AS251" t="n">
        <v/>
      </c>
      <c r="AT251" t="n">
        <v>8.363222723</v>
      </c>
      <c r="AU251" t="n">
        <v>0.231904</v>
      </c>
    </row>
    <row r="252">
      <c r="A252" s="106" t="n">
        <v>14550</v>
      </c>
      <c r="B252" t="n">
        <v/>
      </c>
      <c r="C252" t="n">
        <v/>
      </c>
      <c r="D252" t="n">
        <v/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/>
      </c>
      <c r="L252" t="n">
        <v/>
      </c>
      <c r="M252" t="n">
        <v/>
      </c>
      <c r="N252" t="n">
        <v/>
      </c>
      <c r="O252" t="n">
        <v/>
      </c>
      <c r="P252" t="n">
        <v/>
      </c>
      <c r="Q252" t="n">
        <v/>
      </c>
      <c r="R252" t="n">
        <v/>
      </c>
      <c r="S252" t="n">
        <v/>
      </c>
      <c r="T252" t="n">
        <v/>
      </c>
      <c r="U252" t="n">
        <v>1.807144</v>
      </c>
      <c r="V252" t="n">
        <v/>
      </c>
      <c r="W252" t="n">
        <v/>
      </c>
      <c r="X252" t="n">
        <v/>
      </c>
      <c r="Y252" t="n">
        <v/>
      </c>
      <c r="Z252" t="n">
        <v/>
      </c>
      <c r="AA252" t="n">
        <v/>
      </c>
      <c r="AB252" t="n">
        <v/>
      </c>
      <c r="AC252" t="n">
        <v/>
      </c>
      <c r="AD252" t="n">
        <v/>
      </c>
      <c r="AE252" t="n">
        <v/>
      </c>
      <c r="AF252" t="n">
        <v/>
      </c>
      <c r="AG252" t="n">
        <v/>
      </c>
      <c r="AH252" t="n">
        <v/>
      </c>
      <c r="AI252" t="n">
        <v/>
      </c>
      <c r="AJ252" t="n">
        <v/>
      </c>
      <c r="AK252" t="n">
        <v/>
      </c>
      <c r="AL252" t="n">
        <v/>
      </c>
      <c r="AM252" t="n">
        <v/>
      </c>
      <c r="AN252" t="n">
        <v/>
      </c>
      <c r="AO252" t="n">
        <v/>
      </c>
      <c r="AP252" t="n">
        <v/>
      </c>
      <c r="AQ252" t="n">
        <v/>
      </c>
      <c r="AR252" t="n">
        <v/>
      </c>
      <c r="AS252" t="n">
        <v/>
      </c>
      <c r="AT252" t="n">
        <v>8.577008360000001</v>
      </c>
      <c r="AU252" t="n">
        <v>0.6667689999999999</v>
      </c>
    </row>
    <row r="253">
      <c r="A253" s="106" t="n">
        <v>14580</v>
      </c>
      <c r="B253" t="n">
        <v/>
      </c>
      <c r="C253" t="n">
        <v/>
      </c>
      <c r="D253" t="n">
        <v/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/>
      </c>
      <c r="L253" t="n">
        <v/>
      </c>
      <c r="M253" t="n">
        <v/>
      </c>
      <c r="N253" t="n">
        <v/>
      </c>
      <c r="O253" t="n">
        <v/>
      </c>
      <c r="P253" t="n">
        <v/>
      </c>
      <c r="Q253" t="n">
        <v/>
      </c>
      <c r="R253" t="n">
        <v/>
      </c>
      <c r="S253" t="n">
        <v/>
      </c>
      <c r="T253" t="n">
        <v/>
      </c>
      <c r="U253" t="n">
        <v>3.17133</v>
      </c>
      <c r="V253" t="n">
        <v/>
      </c>
      <c r="W253" t="n">
        <v/>
      </c>
      <c r="X253" t="n">
        <v/>
      </c>
      <c r="Y253" t="n">
        <v/>
      </c>
      <c r="Z253" t="n">
        <v/>
      </c>
      <c r="AA253" t="n">
        <v/>
      </c>
      <c r="AB253" t="n">
        <v/>
      </c>
      <c r="AC253" t="n">
        <v/>
      </c>
      <c r="AD253" t="n">
        <v/>
      </c>
      <c r="AE253" t="n">
        <v/>
      </c>
      <c r="AF253" t="n">
        <v/>
      </c>
      <c r="AG253" t="n">
        <v/>
      </c>
      <c r="AH253" t="n">
        <v/>
      </c>
      <c r="AI253" t="n">
        <v/>
      </c>
      <c r="AJ253" t="n">
        <v/>
      </c>
      <c r="AK253" t="n">
        <v/>
      </c>
      <c r="AL253" t="n">
        <v/>
      </c>
      <c r="AM253" t="n">
        <v/>
      </c>
      <c r="AN253" t="n">
        <v/>
      </c>
      <c r="AO253" t="n">
        <v/>
      </c>
      <c r="AP253" t="n">
        <v/>
      </c>
      <c r="AQ253" t="n">
        <v/>
      </c>
      <c r="AR253" t="n">
        <v/>
      </c>
      <c r="AS253" t="n">
        <v/>
      </c>
      <c r="AT253" t="n">
        <v>8.577008360000001</v>
      </c>
      <c r="AU253" t="n">
        <v>1.138547</v>
      </c>
    </row>
    <row r="254">
      <c r="A254" s="106" t="n">
        <v>14611</v>
      </c>
      <c r="B254" t="n">
        <v/>
      </c>
      <c r="C254" t="n">
        <v/>
      </c>
      <c r="D254" t="n">
        <v/>
      </c>
      <c r="E254" t="n">
        <v/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/>
      </c>
      <c r="L254" t="n">
        <v/>
      </c>
      <c r="M254" t="n">
        <v/>
      </c>
      <c r="N254" t="n">
        <v/>
      </c>
      <c r="O254" t="n">
        <v/>
      </c>
      <c r="P254" t="n">
        <v/>
      </c>
      <c r="Q254" t="n">
        <v/>
      </c>
      <c r="R254" t="n">
        <v/>
      </c>
      <c r="S254" t="n">
        <v/>
      </c>
      <c r="T254" t="n">
        <v/>
      </c>
      <c r="U254" t="n">
        <v>4.486623</v>
      </c>
      <c r="V254" t="n">
        <v/>
      </c>
      <c r="W254" t="n">
        <v/>
      </c>
      <c r="X254" t="n">
        <v/>
      </c>
      <c r="Y254" t="n">
        <v/>
      </c>
      <c r="Z254" t="n">
        <v/>
      </c>
      <c r="AA254" t="n">
        <v/>
      </c>
      <c r="AB254" t="n">
        <v/>
      </c>
      <c r="AC254" t="n">
        <v/>
      </c>
      <c r="AD254" t="n">
        <v/>
      </c>
      <c r="AE254" t="n">
        <v/>
      </c>
      <c r="AF254" t="n">
        <v/>
      </c>
      <c r="AG254" t="n">
        <v/>
      </c>
      <c r="AH254" t="n">
        <v/>
      </c>
      <c r="AI254" t="n">
        <v/>
      </c>
      <c r="AJ254" t="n">
        <v/>
      </c>
      <c r="AK254" t="n">
        <v/>
      </c>
      <c r="AL254" t="n">
        <v/>
      </c>
      <c r="AM254" t="n">
        <v/>
      </c>
      <c r="AN254" t="n">
        <v/>
      </c>
      <c r="AO254" t="n">
        <v/>
      </c>
      <c r="AP254" t="n">
        <v/>
      </c>
      <c r="AQ254" t="n">
        <v/>
      </c>
      <c r="AR254" t="n">
        <v/>
      </c>
      <c r="AS254" t="n">
        <v/>
      </c>
      <c r="AT254" t="n">
        <v>8.470115541</v>
      </c>
      <c r="AU254" t="n">
        <v>0.682244</v>
      </c>
    </row>
    <row r="255">
      <c r="A255" s="106" t="n">
        <v>14642</v>
      </c>
      <c r="B255" t="n">
        <v/>
      </c>
      <c r="C255" t="n">
        <v/>
      </c>
      <c r="D255" t="n">
        <v/>
      </c>
      <c r="E255" t="n">
        <v/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/>
      </c>
      <c r="L255" t="n">
        <v/>
      </c>
      <c r="M255" t="n">
        <v/>
      </c>
      <c r="N255" t="n">
        <v/>
      </c>
      <c r="O255" t="n">
        <v/>
      </c>
      <c r="P255" t="n">
        <v/>
      </c>
      <c r="Q255" t="n">
        <v/>
      </c>
      <c r="R255" t="n">
        <v/>
      </c>
      <c r="S255" t="n">
        <v/>
      </c>
      <c r="T255" t="n">
        <v/>
      </c>
      <c r="U255" t="n">
        <v>0.411067</v>
      </c>
      <c r="V255" t="n">
        <v/>
      </c>
      <c r="W255" t="n">
        <v/>
      </c>
      <c r="X255" t="n">
        <v/>
      </c>
      <c r="Y255" t="n">
        <v/>
      </c>
      <c r="Z255" t="n">
        <v/>
      </c>
      <c r="AA255" t="n">
        <v/>
      </c>
      <c r="AB255" t="n">
        <v/>
      </c>
      <c r="AC255" t="n">
        <v/>
      </c>
      <c r="AD255" t="n">
        <v/>
      </c>
      <c r="AE255" t="n">
        <v/>
      </c>
      <c r="AF255" t="n">
        <v/>
      </c>
      <c r="AG255" t="n">
        <v/>
      </c>
      <c r="AH255" t="n">
        <v/>
      </c>
      <c r="AI255" t="n">
        <v/>
      </c>
      <c r="AJ255" t="n">
        <v/>
      </c>
      <c r="AK255" t="n">
        <v/>
      </c>
      <c r="AL255" t="n">
        <v/>
      </c>
      <c r="AM255" t="n">
        <v/>
      </c>
      <c r="AN255" t="n">
        <v/>
      </c>
      <c r="AO255" t="n">
        <v/>
      </c>
      <c r="AP255" t="n">
        <v/>
      </c>
      <c r="AQ255" t="n">
        <v/>
      </c>
      <c r="AR255" t="n">
        <v/>
      </c>
      <c r="AS255" t="n">
        <v/>
      </c>
      <c r="AT255" t="n">
        <v>8.202883495</v>
      </c>
      <c r="AU255" t="n">
        <v>1.111748</v>
      </c>
    </row>
    <row r="256">
      <c r="A256" s="106" t="n">
        <v>14671</v>
      </c>
      <c r="B256" t="n">
        <v/>
      </c>
      <c r="C256" t="n">
        <v/>
      </c>
      <c r="D256" t="n">
        <v/>
      </c>
      <c r="E256" t="n">
        <v/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/>
      </c>
      <c r="L256" t="n">
        <v/>
      </c>
      <c r="M256" t="n">
        <v/>
      </c>
      <c r="N256" t="n">
        <v/>
      </c>
      <c r="O256" t="n">
        <v/>
      </c>
      <c r="P256" t="n">
        <v/>
      </c>
      <c r="Q256" t="n">
        <v/>
      </c>
      <c r="R256" t="n">
        <v/>
      </c>
      <c r="S256" t="n">
        <v/>
      </c>
      <c r="T256" t="n">
        <v/>
      </c>
      <c r="U256" t="n">
        <v>1.402793</v>
      </c>
      <c r="V256" t="n">
        <v/>
      </c>
      <c r="W256" t="n">
        <v/>
      </c>
      <c r="X256" t="n">
        <v/>
      </c>
      <c r="Y256" t="n">
        <v/>
      </c>
      <c r="Z256" t="n">
        <v/>
      </c>
      <c r="AA256" t="n">
        <v/>
      </c>
      <c r="AB256" t="n">
        <v/>
      </c>
      <c r="AC256" t="n">
        <v/>
      </c>
      <c r="AD256" t="n">
        <v/>
      </c>
      <c r="AE256" t="n">
        <v/>
      </c>
      <c r="AF256" t="n">
        <v/>
      </c>
      <c r="AG256" t="n">
        <v/>
      </c>
      <c r="AH256" t="n">
        <v/>
      </c>
      <c r="AI256" t="n">
        <v/>
      </c>
      <c r="AJ256" t="n">
        <v/>
      </c>
      <c r="AK256" t="n">
        <v/>
      </c>
      <c r="AL256" t="n">
        <v/>
      </c>
      <c r="AM256" t="n">
        <v/>
      </c>
      <c r="AN256" t="n">
        <v/>
      </c>
      <c r="AO256" t="n">
        <v/>
      </c>
      <c r="AP256" t="n">
        <v/>
      </c>
      <c r="AQ256" t="n">
        <v/>
      </c>
      <c r="AR256" t="n">
        <v/>
      </c>
      <c r="AS256" t="n">
        <v/>
      </c>
      <c r="AT256" t="n">
        <v>8.015870641999999</v>
      </c>
      <c r="AU256" t="n">
        <v>1.069624</v>
      </c>
    </row>
    <row r="257">
      <c r="A257" s="106" t="n">
        <v>14702</v>
      </c>
      <c r="B257" t="n">
        <v/>
      </c>
      <c r="C257" t="n">
        <v/>
      </c>
      <c r="D257" t="n">
        <v/>
      </c>
      <c r="E257" t="n">
        <v/>
      </c>
      <c r="F257" t="n">
        <v/>
      </c>
      <c r="G257" t="n">
        <v>2.6</v>
      </c>
      <c r="H257" t="n">
        <v/>
      </c>
      <c r="I257" t="n">
        <v/>
      </c>
      <c r="J257" t="n">
        <v/>
      </c>
      <c r="K257" t="n">
        <v/>
      </c>
      <c r="L257" t="n">
        <v/>
      </c>
      <c r="M257" t="n">
        <v/>
      </c>
      <c r="N257" t="n">
        <v/>
      </c>
      <c r="O257" t="n">
        <v/>
      </c>
      <c r="P257" t="n">
        <v/>
      </c>
      <c r="Q257" t="n">
        <v/>
      </c>
      <c r="R257" t="n">
        <v/>
      </c>
      <c r="S257" t="n">
        <v/>
      </c>
      <c r="T257" t="n">
        <v/>
      </c>
      <c r="U257" t="n">
        <v>2.399388</v>
      </c>
      <c r="V257" t="n">
        <v/>
      </c>
      <c r="W257" t="n">
        <v/>
      </c>
      <c r="X257" t="n">
        <v/>
      </c>
      <c r="Y257" t="n">
        <v/>
      </c>
      <c r="Z257" t="n">
        <v/>
      </c>
      <c r="AA257" t="n">
        <v/>
      </c>
      <c r="AB257" t="n">
        <v/>
      </c>
      <c r="AC257" t="n">
        <v/>
      </c>
      <c r="AD257" t="n">
        <v/>
      </c>
      <c r="AE257" t="n">
        <v/>
      </c>
      <c r="AF257" t="n">
        <v/>
      </c>
      <c r="AG257" t="n">
        <v/>
      </c>
      <c r="AH257" t="n">
        <v/>
      </c>
      <c r="AI257" t="n">
        <v/>
      </c>
      <c r="AJ257" t="n">
        <v/>
      </c>
      <c r="AK257" t="n">
        <v/>
      </c>
      <c r="AL257" t="n">
        <v/>
      </c>
      <c r="AM257" t="n">
        <v/>
      </c>
      <c r="AN257" t="n">
        <v/>
      </c>
      <c r="AO257" t="n">
        <v/>
      </c>
      <c r="AP257" t="n">
        <v/>
      </c>
      <c r="AQ257" t="n">
        <v/>
      </c>
      <c r="AR257" t="n">
        <v/>
      </c>
      <c r="AS257" t="n">
        <v/>
      </c>
      <c r="AT257" t="n">
        <v>8.176209869999999</v>
      </c>
      <c r="AU257" t="n">
        <v>0.9508259999999999</v>
      </c>
    </row>
    <row r="258">
      <c r="A258" s="106" t="n">
        <v>14732</v>
      </c>
      <c r="B258" t="n">
        <v/>
      </c>
      <c r="C258" t="n">
        <v/>
      </c>
      <c r="D258" t="n">
        <v/>
      </c>
      <c r="E258" t="n">
        <v/>
      </c>
      <c r="F258" t="n">
        <v/>
      </c>
      <c r="G258" t="n">
        <v>2.3</v>
      </c>
      <c r="H258" t="n">
        <v/>
      </c>
      <c r="I258" t="n">
        <v/>
      </c>
      <c r="J258" t="n">
        <v/>
      </c>
      <c r="K258" t="n">
        <v/>
      </c>
      <c r="L258" t="n">
        <v/>
      </c>
      <c r="M258" t="n">
        <v/>
      </c>
      <c r="N258" t="n">
        <v/>
      </c>
      <c r="O258" t="n">
        <v/>
      </c>
      <c r="P258" t="n">
        <v/>
      </c>
      <c r="Q258" t="n">
        <v/>
      </c>
      <c r="R258" t="n">
        <v/>
      </c>
      <c r="S258" t="n">
        <v/>
      </c>
      <c r="T258" t="n">
        <v/>
      </c>
      <c r="U258" t="n">
        <v>0.972643</v>
      </c>
      <c r="V258" t="n">
        <v/>
      </c>
      <c r="W258" t="n">
        <v/>
      </c>
      <c r="X258" t="n">
        <v/>
      </c>
      <c r="Y258" t="n">
        <v/>
      </c>
      <c r="Z258" t="n">
        <v/>
      </c>
      <c r="AA258" t="n">
        <v/>
      </c>
      <c r="AB258" t="n">
        <v/>
      </c>
      <c r="AC258" t="n">
        <v/>
      </c>
      <c r="AD258" t="n">
        <v/>
      </c>
      <c r="AE258" t="n">
        <v/>
      </c>
      <c r="AF258" t="n">
        <v/>
      </c>
      <c r="AG258" t="n">
        <v/>
      </c>
      <c r="AH258" t="n">
        <v/>
      </c>
      <c r="AI258" t="n">
        <v/>
      </c>
      <c r="AJ258" t="n">
        <v/>
      </c>
      <c r="AK258" t="n">
        <v/>
      </c>
      <c r="AL258" t="n">
        <v/>
      </c>
      <c r="AM258" t="n">
        <v/>
      </c>
      <c r="AN258" t="n">
        <v/>
      </c>
      <c r="AO258" t="n">
        <v/>
      </c>
      <c r="AP258" t="n">
        <v/>
      </c>
      <c r="AQ258" t="n">
        <v/>
      </c>
      <c r="AR258" t="n">
        <v/>
      </c>
      <c r="AS258" t="n">
        <v/>
      </c>
      <c r="AT258" t="n">
        <v>8.416669132000001</v>
      </c>
      <c r="AU258" t="n">
        <v>0.574942</v>
      </c>
    </row>
    <row r="259">
      <c r="A259" s="106" t="n">
        <v>14763</v>
      </c>
      <c r="B259" t="n">
        <v/>
      </c>
      <c r="C259" t="n">
        <v/>
      </c>
      <c r="D259" t="n">
        <v/>
      </c>
      <c r="E259" t="n">
        <v/>
      </c>
      <c r="F259" t="n">
        <v/>
      </c>
      <c r="G259" t="n">
        <v>1.8</v>
      </c>
      <c r="H259" t="n">
        <v/>
      </c>
      <c r="I259" t="n">
        <v/>
      </c>
      <c r="J259" t="n">
        <v/>
      </c>
      <c r="K259" t="n">
        <v/>
      </c>
      <c r="L259" t="n">
        <v/>
      </c>
      <c r="M259" t="n">
        <v/>
      </c>
      <c r="N259" t="n">
        <v/>
      </c>
      <c r="O259" t="n">
        <v/>
      </c>
      <c r="P259" t="n">
        <v/>
      </c>
      <c r="Q259" t="n">
        <v/>
      </c>
      <c r="R259" t="n">
        <v/>
      </c>
      <c r="S259" t="n">
        <v/>
      </c>
      <c r="T259" t="n">
        <v/>
      </c>
      <c r="U259" t="n">
        <v>0.789035</v>
      </c>
      <c r="V259" t="n">
        <v/>
      </c>
      <c r="W259" t="n">
        <v/>
      </c>
      <c r="X259" t="n">
        <v/>
      </c>
      <c r="Y259" t="n">
        <v/>
      </c>
      <c r="Z259" t="n">
        <v/>
      </c>
      <c r="AA259" t="n">
        <v/>
      </c>
      <c r="AB259" t="n">
        <v/>
      </c>
      <c r="AC259" t="n">
        <v/>
      </c>
      <c r="AD259" t="n">
        <v/>
      </c>
      <c r="AE259" t="n">
        <v/>
      </c>
      <c r="AF259" t="n">
        <v/>
      </c>
      <c r="AG259" t="n">
        <v/>
      </c>
      <c r="AH259" t="n">
        <v/>
      </c>
      <c r="AI259" t="n">
        <v/>
      </c>
      <c r="AJ259" t="n">
        <v/>
      </c>
      <c r="AK259" t="n">
        <v/>
      </c>
      <c r="AL259" t="n">
        <v/>
      </c>
      <c r="AM259" t="n">
        <v/>
      </c>
      <c r="AN259" t="n">
        <v/>
      </c>
      <c r="AO259" t="n">
        <v/>
      </c>
      <c r="AP259" t="n">
        <v/>
      </c>
      <c r="AQ259" t="n">
        <v/>
      </c>
      <c r="AR259" t="n">
        <v/>
      </c>
      <c r="AS259" t="n">
        <v/>
      </c>
      <c r="AT259" t="n">
        <v>8.68380202</v>
      </c>
      <c r="AU259" t="n">
        <v>0.298202</v>
      </c>
    </row>
    <row r="260">
      <c r="A260" s="106" t="n">
        <v>14793</v>
      </c>
      <c r="B260" t="n">
        <v/>
      </c>
      <c r="C260" t="n">
        <v/>
      </c>
      <c r="D260" t="n">
        <v/>
      </c>
      <c r="E260" t="n">
        <v/>
      </c>
      <c r="F260" t="n">
        <v/>
      </c>
      <c r="G260" t="n">
        <v>1.5</v>
      </c>
      <c r="H260" t="n">
        <v/>
      </c>
      <c r="I260" t="n">
        <v/>
      </c>
      <c r="J260" t="n">
        <v/>
      </c>
      <c r="K260" t="n">
        <v/>
      </c>
      <c r="L260" t="n">
        <v/>
      </c>
      <c r="M260" t="n">
        <v/>
      </c>
      <c r="N260" t="n">
        <v/>
      </c>
      <c r="O260" t="n">
        <v/>
      </c>
      <c r="P260" t="n">
        <v/>
      </c>
      <c r="Q260" t="n">
        <v/>
      </c>
      <c r="R260" t="n">
        <v/>
      </c>
      <c r="S260" t="n">
        <v/>
      </c>
      <c r="T260" t="n">
        <v/>
      </c>
      <c r="U260" t="n">
        <v>0.070025</v>
      </c>
      <c r="V260" t="n">
        <v/>
      </c>
      <c r="W260" t="n">
        <v/>
      </c>
      <c r="X260" t="n">
        <v/>
      </c>
      <c r="Y260" t="n">
        <v/>
      </c>
      <c r="Z260" t="n">
        <v/>
      </c>
      <c r="AA260" t="n">
        <v/>
      </c>
      <c r="AB260" t="n">
        <v/>
      </c>
      <c r="AC260" t="n">
        <v/>
      </c>
      <c r="AD260" t="n">
        <v/>
      </c>
      <c r="AE260" t="n">
        <v/>
      </c>
      <c r="AF260" t="n">
        <v/>
      </c>
      <c r="AG260" t="n">
        <v/>
      </c>
      <c r="AH260" t="n">
        <v/>
      </c>
      <c r="AI260" t="n">
        <v/>
      </c>
      <c r="AJ260" t="n">
        <v/>
      </c>
      <c r="AK260" t="n">
        <v/>
      </c>
      <c r="AL260" t="n">
        <v/>
      </c>
      <c r="AM260" t="n">
        <v/>
      </c>
      <c r="AN260" t="n">
        <v/>
      </c>
      <c r="AO260" t="n">
        <v/>
      </c>
      <c r="AP260" t="n">
        <v/>
      </c>
      <c r="AQ260" t="n">
        <v/>
      </c>
      <c r="AR260" t="n">
        <v/>
      </c>
      <c r="AS260" t="n">
        <v/>
      </c>
      <c r="AT260" t="n">
        <v>8.790694838</v>
      </c>
      <c r="AU260" t="n">
        <v>0.7621019999999999</v>
      </c>
    </row>
    <row r="261">
      <c r="A261" s="106" t="n">
        <v>14824</v>
      </c>
      <c r="B261" t="n">
        <v/>
      </c>
      <c r="C261" t="n">
        <v/>
      </c>
      <c r="D261" t="n">
        <v/>
      </c>
      <c r="E261" t="n">
        <v/>
      </c>
      <c r="F261" t="n">
        <v/>
      </c>
      <c r="G261" t="n">
        <v>2</v>
      </c>
      <c r="H261" t="n">
        <v/>
      </c>
      <c r="I261" t="n">
        <v/>
      </c>
      <c r="J261" t="n">
        <v/>
      </c>
      <c r="K261" t="n">
        <v/>
      </c>
      <c r="L261" t="n">
        <v/>
      </c>
      <c r="M261" t="n">
        <v/>
      </c>
      <c r="N261" t="n">
        <v/>
      </c>
      <c r="O261" t="n">
        <v/>
      </c>
      <c r="P261" t="n">
        <v/>
      </c>
      <c r="Q261" t="n">
        <v/>
      </c>
      <c r="R261" t="n">
        <v/>
      </c>
      <c r="S261" t="n">
        <v/>
      </c>
      <c r="T261" t="n">
        <v/>
      </c>
      <c r="U261" t="n">
        <v>-1.06384</v>
      </c>
      <c r="V261" t="n">
        <v/>
      </c>
      <c r="W261" t="n">
        <v/>
      </c>
      <c r="X261" t="n">
        <v/>
      </c>
      <c r="Y261" t="n">
        <v/>
      </c>
      <c r="Z261" t="n">
        <v/>
      </c>
      <c r="AA261" t="n">
        <v/>
      </c>
      <c r="AB261" t="n">
        <v/>
      </c>
      <c r="AC261" t="n">
        <v/>
      </c>
      <c r="AD261" t="n">
        <v/>
      </c>
      <c r="AE261" t="n">
        <v/>
      </c>
      <c r="AF261" t="n">
        <v/>
      </c>
      <c r="AG261" t="n">
        <v/>
      </c>
      <c r="AH261" t="n">
        <v/>
      </c>
      <c r="AI261" t="n">
        <v/>
      </c>
      <c r="AJ261" t="n">
        <v/>
      </c>
      <c r="AK261" t="n">
        <v/>
      </c>
      <c r="AL261" t="n">
        <v/>
      </c>
      <c r="AM261" t="n">
        <v/>
      </c>
      <c r="AN261" t="n">
        <v/>
      </c>
      <c r="AO261" t="n">
        <v/>
      </c>
      <c r="AP261" t="n">
        <v/>
      </c>
      <c r="AQ261" t="n">
        <v/>
      </c>
      <c r="AR261" t="n">
        <v/>
      </c>
      <c r="AS261" t="n">
        <v/>
      </c>
      <c r="AT261" t="n">
        <v>8.844141247</v>
      </c>
      <c r="AU261" t="n">
        <v>0.399771</v>
      </c>
    </row>
    <row r="262">
      <c r="A262" s="106" t="n">
        <v>14855</v>
      </c>
      <c r="B262" t="n">
        <v/>
      </c>
      <c r="C262" t="n">
        <v/>
      </c>
      <c r="D262" t="n">
        <v/>
      </c>
      <c r="E262" t="n">
        <v/>
      </c>
      <c r="F262" t="n">
        <v/>
      </c>
      <c r="G262" t="n">
        <v>2.1</v>
      </c>
      <c r="H262" t="n">
        <v/>
      </c>
      <c r="I262" t="n">
        <v/>
      </c>
      <c r="J262" t="n">
        <v/>
      </c>
      <c r="K262" t="n">
        <v/>
      </c>
      <c r="L262" t="n">
        <v/>
      </c>
      <c r="M262" t="n">
        <v/>
      </c>
      <c r="N262" t="n">
        <v/>
      </c>
      <c r="O262" t="n">
        <v/>
      </c>
      <c r="P262" t="n">
        <v/>
      </c>
      <c r="Q262" t="n">
        <v/>
      </c>
      <c r="R262" t="n">
        <v/>
      </c>
      <c r="S262" t="n">
        <v/>
      </c>
      <c r="T262" t="n">
        <v/>
      </c>
      <c r="U262" t="n">
        <v>-3.446436</v>
      </c>
      <c r="V262" t="n">
        <v/>
      </c>
      <c r="W262" t="n">
        <v/>
      </c>
      <c r="X262" t="n">
        <v/>
      </c>
      <c r="Y262" t="n">
        <v/>
      </c>
      <c r="Z262" t="n">
        <v/>
      </c>
      <c r="AA262" t="n">
        <v/>
      </c>
      <c r="AB262" t="n">
        <v/>
      </c>
      <c r="AC262" t="n">
        <v/>
      </c>
      <c r="AD262" t="n">
        <v/>
      </c>
      <c r="AE262" t="n">
        <v/>
      </c>
      <c r="AF262" t="n">
        <v/>
      </c>
      <c r="AG262" t="n">
        <v/>
      </c>
      <c r="AH262" t="n">
        <v/>
      </c>
      <c r="AI262" t="n">
        <v/>
      </c>
      <c r="AJ262" t="n">
        <v/>
      </c>
      <c r="AK262" t="n">
        <v/>
      </c>
      <c r="AL262" t="n">
        <v/>
      </c>
      <c r="AM262" t="n">
        <v/>
      </c>
      <c r="AN262" t="n">
        <v/>
      </c>
      <c r="AO262" t="n">
        <v/>
      </c>
      <c r="AP262" t="n">
        <v/>
      </c>
      <c r="AQ262" t="n">
        <v/>
      </c>
      <c r="AR262" t="n">
        <v/>
      </c>
      <c r="AS262" t="n">
        <v/>
      </c>
      <c r="AT262" t="n">
        <v>9.031253259</v>
      </c>
      <c r="AU262" t="n">
        <v>0.897717</v>
      </c>
    </row>
    <row r="263">
      <c r="A263" s="106" t="n">
        <v>14885</v>
      </c>
      <c r="B263" t="n">
        <v/>
      </c>
      <c r="C263" t="n">
        <v/>
      </c>
      <c r="D263" t="n">
        <v/>
      </c>
      <c r="E263" t="n">
        <v/>
      </c>
      <c r="F263" t="n">
        <v/>
      </c>
      <c r="G263" t="n">
        <v>1.8</v>
      </c>
      <c r="H263" t="n">
        <v/>
      </c>
      <c r="I263" t="n">
        <v/>
      </c>
      <c r="J263" t="n">
        <v/>
      </c>
      <c r="K263" t="n">
        <v/>
      </c>
      <c r="L263" t="n">
        <v/>
      </c>
      <c r="M263" t="n">
        <v/>
      </c>
      <c r="N263" t="n">
        <v/>
      </c>
      <c r="O263" t="n">
        <v/>
      </c>
      <c r="P263" t="n">
        <v/>
      </c>
      <c r="Q263" t="n">
        <v/>
      </c>
      <c r="R263" t="n">
        <v/>
      </c>
      <c r="S263" t="n">
        <v/>
      </c>
      <c r="T263" t="n">
        <v/>
      </c>
      <c r="U263" t="n">
        <v>3.126092</v>
      </c>
      <c r="V263" t="n">
        <v/>
      </c>
      <c r="W263" t="n">
        <v/>
      </c>
      <c r="X263" t="n">
        <v/>
      </c>
      <c r="Y263" t="n">
        <v/>
      </c>
      <c r="Z263" t="n">
        <v/>
      </c>
      <c r="AA263" t="n">
        <v/>
      </c>
      <c r="AB263" t="n">
        <v/>
      </c>
      <c r="AC263" t="n">
        <v/>
      </c>
      <c r="AD263" t="n">
        <v/>
      </c>
      <c r="AE263" t="n">
        <v/>
      </c>
      <c r="AF263" t="n">
        <v/>
      </c>
      <c r="AG263" t="n">
        <v/>
      </c>
      <c r="AH263" t="n">
        <v/>
      </c>
      <c r="AI263" t="n">
        <v/>
      </c>
      <c r="AJ263" t="n">
        <v/>
      </c>
      <c r="AK263" t="n">
        <v/>
      </c>
      <c r="AL263" t="n">
        <v/>
      </c>
      <c r="AM263" t="n">
        <v/>
      </c>
      <c r="AN263" t="n">
        <v/>
      </c>
      <c r="AO263" t="n">
        <v/>
      </c>
      <c r="AP263" t="n">
        <v/>
      </c>
      <c r="AQ263" t="n">
        <v/>
      </c>
      <c r="AR263" t="n">
        <v/>
      </c>
      <c r="AS263" t="n">
        <v/>
      </c>
      <c r="AT263" t="n">
        <v>9.164819702999999</v>
      </c>
      <c r="AU263" t="n">
        <v>0.299332</v>
      </c>
    </row>
    <row r="264">
      <c r="A264" s="106" t="n">
        <v>14916</v>
      </c>
      <c r="B264" t="n">
        <v/>
      </c>
      <c r="C264" t="n">
        <v/>
      </c>
      <c r="D264" t="n">
        <v/>
      </c>
      <c r="E264" t="n">
        <v/>
      </c>
      <c r="F264" t="n">
        <v/>
      </c>
      <c r="G264" t="n">
        <v>2</v>
      </c>
      <c r="H264" t="n">
        <v/>
      </c>
      <c r="I264" t="n">
        <v/>
      </c>
      <c r="J264" t="n">
        <v/>
      </c>
      <c r="K264" t="n">
        <v/>
      </c>
      <c r="L264" t="n">
        <v/>
      </c>
      <c r="M264" t="n">
        <v/>
      </c>
      <c r="N264" t="n">
        <v/>
      </c>
      <c r="O264" t="n">
        <v/>
      </c>
      <c r="P264" t="n">
        <v/>
      </c>
      <c r="Q264" t="n">
        <v/>
      </c>
      <c r="R264" t="n">
        <v/>
      </c>
      <c r="S264" t="n">
        <v/>
      </c>
      <c r="T264" t="n">
        <v/>
      </c>
      <c r="U264" t="n">
        <v>1.730653</v>
      </c>
      <c r="V264" t="n">
        <v/>
      </c>
      <c r="W264" t="n">
        <v/>
      </c>
      <c r="X264" t="n">
        <v/>
      </c>
      <c r="Y264" t="n">
        <v/>
      </c>
      <c r="Z264" t="n">
        <v/>
      </c>
      <c r="AA264" t="n">
        <v/>
      </c>
      <c r="AB264" t="n">
        <v/>
      </c>
      <c r="AC264" t="n">
        <v/>
      </c>
      <c r="AD264" t="n">
        <v/>
      </c>
      <c r="AE264" t="n">
        <v/>
      </c>
      <c r="AF264" t="n">
        <v/>
      </c>
      <c r="AG264" t="n">
        <v/>
      </c>
      <c r="AH264" t="n">
        <v/>
      </c>
      <c r="AI264" t="n">
        <v/>
      </c>
      <c r="AJ264" t="n">
        <v/>
      </c>
      <c r="AK264" t="n">
        <v/>
      </c>
      <c r="AL264" t="n">
        <v/>
      </c>
      <c r="AM264" t="n">
        <v/>
      </c>
      <c r="AN264" t="n">
        <v/>
      </c>
      <c r="AO264" t="n">
        <v/>
      </c>
      <c r="AP264" t="n">
        <v/>
      </c>
      <c r="AQ264" t="n">
        <v/>
      </c>
      <c r="AR264" t="n">
        <v/>
      </c>
      <c r="AS264" t="n">
        <v/>
      </c>
      <c r="AT264" t="n">
        <v>9.37860534</v>
      </c>
      <c r="AU264" t="n">
        <v>0.435785</v>
      </c>
    </row>
    <row r="265">
      <c r="A265" s="106" t="n">
        <v>14946</v>
      </c>
      <c r="B265" t="n">
        <v/>
      </c>
      <c r="C265" t="n">
        <v/>
      </c>
      <c r="D265" t="n">
        <v/>
      </c>
      <c r="E265" t="n">
        <v/>
      </c>
      <c r="F265" t="n">
        <v/>
      </c>
      <c r="G265" t="n">
        <v>1.9</v>
      </c>
      <c r="H265" t="n">
        <v/>
      </c>
      <c r="I265" t="n">
        <v/>
      </c>
      <c r="J265" t="n">
        <v/>
      </c>
      <c r="K265" t="n">
        <v/>
      </c>
      <c r="L265" t="n">
        <v/>
      </c>
      <c r="M265" t="n">
        <v/>
      </c>
      <c r="N265" t="n">
        <v/>
      </c>
      <c r="O265" t="n">
        <v/>
      </c>
      <c r="P265" t="n">
        <v/>
      </c>
      <c r="Q265" t="n">
        <v/>
      </c>
      <c r="R265" t="n">
        <v/>
      </c>
      <c r="S265" t="n">
        <v/>
      </c>
      <c r="T265" t="n">
        <v/>
      </c>
      <c r="U265" t="n">
        <v>-0.06456099999999999</v>
      </c>
      <c r="V265" t="n">
        <v/>
      </c>
      <c r="W265" t="n">
        <v/>
      </c>
      <c r="X265" t="n">
        <v/>
      </c>
      <c r="Y265" t="n">
        <v/>
      </c>
      <c r="Z265" t="n">
        <v/>
      </c>
      <c r="AA265" t="n">
        <v/>
      </c>
      <c r="AB265" t="n">
        <v/>
      </c>
      <c r="AC265" t="n">
        <v/>
      </c>
      <c r="AD265" t="n">
        <v/>
      </c>
      <c r="AE265" t="n">
        <v/>
      </c>
      <c r="AF265" t="n">
        <v/>
      </c>
      <c r="AG265" t="n">
        <v/>
      </c>
      <c r="AH265" t="n">
        <v/>
      </c>
      <c r="AI265" t="n">
        <v/>
      </c>
      <c r="AJ265" t="n">
        <v/>
      </c>
      <c r="AK265" t="n">
        <v/>
      </c>
      <c r="AL265" t="n">
        <v/>
      </c>
      <c r="AM265" t="n">
        <v/>
      </c>
      <c r="AN265" t="n">
        <v/>
      </c>
      <c r="AO265" t="n">
        <v/>
      </c>
      <c r="AP265" t="n">
        <v/>
      </c>
      <c r="AQ265" t="n">
        <v/>
      </c>
      <c r="AR265" t="n">
        <v/>
      </c>
      <c r="AS265" t="n">
        <v/>
      </c>
      <c r="AT265" t="n">
        <v>9.699184637</v>
      </c>
      <c r="AU265" t="n">
        <v>0.413646</v>
      </c>
    </row>
    <row r="266">
      <c r="A266" s="106" t="n">
        <v>14977</v>
      </c>
      <c r="B266" t="n">
        <v/>
      </c>
      <c r="C266" t="n">
        <v/>
      </c>
      <c r="D266" t="n">
        <v/>
      </c>
      <c r="E266" t="n">
        <v/>
      </c>
      <c r="F266" t="n">
        <v/>
      </c>
      <c r="G266" t="n">
        <v>1.8</v>
      </c>
      <c r="H266" t="n">
        <v/>
      </c>
      <c r="I266" t="n">
        <v/>
      </c>
      <c r="J266" t="n">
        <v/>
      </c>
      <c r="K266" t="n">
        <v/>
      </c>
      <c r="L266" t="n">
        <v/>
      </c>
      <c r="M266" t="n">
        <v/>
      </c>
      <c r="N266" t="n">
        <v/>
      </c>
      <c r="O266" t="n">
        <v/>
      </c>
      <c r="P266" t="n">
        <v/>
      </c>
      <c r="Q266" t="n">
        <v/>
      </c>
      <c r="R266" t="n">
        <v/>
      </c>
      <c r="S266" t="n">
        <v/>
      </c>
      <c r="T266" t="n">
        <v/>
      </c>
      <c r="U266" t="n">
        <v>0.591272</v>
      </c>
      <c r="V266" t="n">
        <v/>
      </c>
      <c r="W266" t="n">
        <v/>
      </c>
      <c r="X266" t="n">
        <v/>
      </c>
      <c r="Y266" t="n">
        <v/>
      </c>
      <c r="Z266" t="n">
        <v/>
      </c>
      <c r="AA266" t="n">
        <v/>
      </c>
      <c r="AB266" t="n">
        <v/>
      </c>
      <c r="AC266" t="n">
        <v/>
      </c>
      <c r="AD266" t="n">
        <v/>
      </c>
      <c r="AE266" t="n">
        <v/>
      </c>
      <c r="AF266" t="n">
        <v/>
      </c>
      <c r="AG266" t="n">
        <v/>
      </c>
      <c r="AH266" t="n">
        <v/>
      </c>
      <c r="AI266" t="n">
        <v/>
      </c>
      <c r="AJ266" t="n">
        <v/>
      </c>
      <c r="AK266" t="n">
        <v/>
      </c>
      <c r="AL266" t="n">
        <v/>
      </c>
      <c r="AM266" t="n">
        <v/>
      </c>
      <c r="AN266" t="n">
        <v/>
      </c>
      <c r="AO266" t="n">
        <v/>
      </c>
      <c r="AP266" t="n">
        <v/>
      </c>
      <c r="AQ266" t="n">
        <v/>
      </c>
      <c r="AR266" t="n">
        <v/>
      </c>
      <c r="AS266" t="n">
        <v/>
      </c>
      <c r="AT266" t="n">
        <v>9.939643899</v>
      </c>
      <c r="AU266" t="n">
        <v>1.060008</v>
      </c>
    </row>
    <row r="267">
      <c r="A267" s="106" t="n">
        <v>15008</v>
      </c>
      <c r="B267" t="n">
        <v/>
      </c>
      <c r="C267" t="n">
        <v/>
      </c>
      <c r="D267" t="n">
        <v/>
      </c>
      <c r="E267" t="n">
        <v/>
      </c>
      <c r="F267" t="n">
        <v/>
      </c>
      <c r="G267" t="n">
        <v>2.1</v>
      </c>
      <c r="H267" t="n">
        <v/>
      </c>
      <c r="I267" t="n">
        <v/>
      </c>
      <c r="J267" t="n">
        <v/>
      </c>
      <c r="K267" t="n">
        <v/>
      </c>
      <c r="L267" t="n">
        <v/>
      </c>
      <c r="M267" t="n">
        <v/>
      </c>
      <c r="N267" t="n">
        <v/>
      </c>
      <c r="O267" t="n">
        <v/>
      </c>
      <c r="P267" t="n">
        <v/>
      </c>
      <c r="Q267" t="n">
        <v/>
      </c>
      <c r="R267" t="n">
        <v/>
      </c>
      <c r="S267" t="n">
        <v/>
      </c>
      <c r="T267" t="n">
        <v/>
      </c>
      <c r="U267" t="n">
        <v>0.606621</v>
      </c>
      <c r="V267" t="n">
        <v/>
      </c>
      <c r="W267" t="n">
        <v/>
      </c>
      <c r="X267" t="n">
        <v/>
      </c>
      <c r="Y267" t="n">
        <v/>
      </c>
      <c r="Z267" t="n">
        <v/>
      </c>
      <c r="AA267" t="n">
        <v/>
      </c>
      <c r="AB267" t="n">
        <v/>
      </c>
      <c r="AC267" t="n">
        <v/>
      </c>
      <c r="AD267" t="n">
        <v/>
      </c>
      <c r="AE267" t="n">
        <v/>
      </c>
      <c r="AF267" t="n">
        <v/>
      </c>
      <c r="AG267" t="n">
        <v/>
      </c>
      <c r="AH267" t="n">
        <v/>
      </c>
      <c r="AI267" t="n">
        <v/>
      </c>
      <c r="AJ267" t="n">
        <v/>
      </c>
      <c r="AK267" t="n">
        <v/>
      </c>
      <c r="AL267" t="n">
        <v/>
      </c>
      <c r="AM267" t="n">
        <v/>
      </c>
      <c r="AN267" t="n">
        <v/>
      </c>
      <c r="AO267" t="n">
        <v/>
      </c>
      <c r="AP267" t="n">
        <v/>
      </c>
      <c r="AQ267" t="n">
        <v/>
      </c>
      <c r="AR267" t="n">
        <v/>
      </c>
      <c r="AS267" t="n">
        <v/>
      </c>
      <c r="AT267" t="n">
        <v>10.23354957</v>
      </c>
      <c r="AU267" t="n">
        <v>0.459097</v>
      </c>
    </row>
    <row r="268">
      <c r="A268" s="106" t="n">
        <v>15036</v>
      </c>
      <c r="B268" t="n">
        <v/>
      </c>
      <c r="C268" t="n">
        <v/>
      </c>
      <c r="D268" t="n">
        <v/>
      </c>
      <c r="E268" t="n">
        <v/>
      </c>
      <c r="F268" t="n">
        <v/>
      </c>
      <c r="G268" t="n">
        <v>1.6</v>
      </c>
      <c r="H268" t="n">
        <v/>
      </c>
      <c r="I268" t="n">
        <v/>
      </c>
      <c r="J268" t="n">
        <v/>
      </c>
      <c r="K268" t="n">
        <v/>
      </c>
      <c r="L268" t="n">
        <v/>
      </c>
      <c r="M268" t="n">
        <v/>
      </c>
      <c r="N268" t="n">
        <v/>
      </c>
      <c r="O268" t="n">
        <v/>
      </c>
      <c r="P268" t="n">
        <v/>
      </c>
      <c r="Q268" t="n">
        <v/>
      </c>
      <c r="R268" t="n">
        <v/>
      </c>
      <c r="S268" t="n">
        <v/>
      </c>
      <c r="T268" t="n">
        <v/>
      </c>
      <c r="U268" t="n">
        <v>-0.947051</v>
      </c>
      <c r="V268" t="n">
        <v/>
      </c>
      <c r="W268" t="n">
        <v/>
      </c>
      <c r="X268" t="n">
        <v/>
      </c>
      <c r="Y268" t="n">
        <v/>
      </c>
      <c r="Z268" t="n">
        <v/>
      </c>
      <c r="AA268" t="n">
        <v/>
      </c>
      <c r="AB268" t="n">
        <v/>
      </c>
      <c r="AC268" t="n">
        <v/>
      </c>
      <c r="AD268" t="n">
        <v/>
      </c>
      <c r="AE268" t="n">
        <v/>
      </c>
      <c r="AF268" t="n">
        <v/>
      </c>
      <c r="AG268" t="n">
        <v/>
      </c>
      <c r="AH268" t="n">
        <v/>
      </c>
      <c r="AI268" t="n">
        <v/>
      </c>
      <c r="AJ268" t="n">
        <v/>
      </c>
      <c r="AK268" t="n">
        <v/>
      </c>
      <c r="AL268" t="n">
        <v/>
      </c>
      <c r="AM268" t="n">
        <v/>
      </c>
      <c r="AN268" t="n">
        <v/>
      </c>
      <c r="AO268" t="n">
        <v/>
      </c>
      <c r="AP268" t="n">
        <v/>
      </c>
      <c r="AQ268" t="n">
        <v/>
      </c>
      <c r="AR268" t="n">
        <v/>
      </c>
      <c r="AS268" t="n">
        <v/>
      </c>
      <c r="AT268" t="n">
        <v>10.554228026</v>
      </c>
      <c r="AU268" t="n">
        <v>1.287982</v>
      </c>
    </row>
    <row r="269">
      <c r="A269" s="106" t="n">
        <v>15067</v>
      </c>
      <c r="B269" t="n">
        <v/>
      </c>
      <c r="C269" t="n">
        <v/>
      </c>
      <c r="D269" t="n">
        <v/>
      </c>
      <c r="E269" t="n">
        <v/>
      </c>
      <c r="F269" t="n">
        <v/>
      </c>
      <c r="G269" t="n">
        <v>1.8</v>
      </c>
      <c r="H269" t="n">
        <v/>
      </c>
      <c r="I269" t="n">
        <v/>
      </c>
      <c r="J269" t="n">
        <v/>
      </c>
      <c r="K269" t="n">
        <v/>
      </c>
      <c r="L269" t="n">
        <v/>
      </c>
      <c r="M269" t="n">
        <v/>
      </c>
      <c r="N269" t="n">
        <v/>
      </c>
      <c r="O269" t="n">
        <v/>
      </c>
      <c r="P269" t="n">
        <v/>
      </c>
      <c r="Q269" t="n">
        <v/>
      </c>
      <c r="R269" t="n">
        <v/>
      </c>
      <c r="S269" t="n">
        <v/>
      </c>
      <c r="T269" t="n">
        <v/>
      </c>
      <c r="U269" t="n">
        <v>-1.509716</v>
      </c>
      <c r="V269" t="n">
        <v/>
      </c>
      <c r="W269" t="n">
        <v/>
      </c>
      <c r="X269" t="n">
        <v/>
      </c>
      <c r="Y269" t="n">
        <v/>
      </c>
      <c r="Z269" t="n">
        <v/>
      </c>
      <c r="AA269" t="n">
        <v/>
      </c>
      <c r="AB269" t="n">
        <v/>
      </c>
      <c r="AC269" t="n">
        <v/>
      </c>
      <c r="AD269" t="n">
        <v/>
      </c>
      <c r="AE269" t="n">
        <v/>
      </c>
      <c r="AF269" t="n">
        <v/>
      </c>
      <c r="AG269" t="n">
        <v/>
      </c>
      <c r="AH269" t="n">
        <v/>
      </c>
      <c r="AI269" t="n">
        <v/>
      </c>
      <c r="AJ269" t="n">
        <v/>
      </c>
      <c r="AK269" t="n">
        <v/>
      </c>
      <c r="AL269" t="n">
        <v/>
      </c>
      <c r="AM269" t="n">
        <v/>
      </c>
      <c r="AN269" t="n">
        <v/>
      </c>
      <c r="AO269" t="n">
        <v/>
      </c>
      <c r="AP269" t="n">
        <v/>
      </c>
      <c r="AQ269" t="n">
        <v/>
      </c>
      <c r="AR269" t="n">
        <v/>
      </c>
      <c r="AS269" t="n">
        <v/>
      </c>
      <c r="AT269" t="n">
        <v>10.580901651</v>
      </c>
      <c r="AU269" t="n">
        <v>-0.390104</v>
      </c>
    </row>
    <row r="270">
      <c r="A270" s="106" t="n">
        <v>15097</v>
      </c>
      <c r="B270" t="n">
        <v/>
      </c>
      <c r="C270" t="n">
        <v/>
      </c>
      <c r="D270" t="n">
        <v/>
      </c>
      <c r="E270" t="n">
        <v/>
      </c>
      <c r="F270" t="n">
        <v/>
      </c>
      <c r="G270" t="n">
        <v>1.8</v>
      </c>
      <c r="H270" t="n">
        <v/>
      </c>
      <c r="I270" t="n">
        <v/>
      </c>
      <c r="J270" t="n">
        <v/>
      </c>
      <c r="K270" t="n">
        <v/>
      </c>
      <c r="L270" t="n">
        <v/>
      </c>
      <c r="M270" t="n">
        <v/>
      </c>
      <c r="N270" t="n">
        <v/>
      </c>
      <c r="O270" t="n">
        <v/>
      </c>
      <c r="P270" t="n">
        <v/>
      </c>
      <c r="Q270" t="n">
        <v/>
      </c>
      <c r="R270" t="n">
        <v/>
      </c>
      <c r="S270" t="n">
        <v/>
      </c>
      <c r="T270" t="n">
        <v/>
      </c>
      <c r="U270" t="n">
        <v>-0.639415</v>
      </c>
      <c r="V270" t="n">
        <v/>
      </c>
      <c r="W270" t="n">
        <v/>
      </c>
      <c r="X270" t="n">
        <v/>
      </c>
      <c r="Y270" t="n">
        <v/>
      </c>
      <c r="Z270" t="n">
        <v/>
      </c>
      <c r="AA270" t="n">
        <v/>
      </c>
      <c r="AB270" t="n">
        <v/>
      </c>
      <c r="AC270" t="n">
        <v/>
      </c>
      <c r="AD270" t="n">
        <v/>
      </c>
      <c r="AE270" t="n">
        <v/>
      </c>
      <c r="AF270" t="n">
        <v/>
      </c>
      <c r="AG270" t="n">
        <v/>
      </c>
      <c r="AH270" t="n">
        <v/>
      </c>
      <c r="AI270" t="n">
        <v/>
      </c>
      <c r="AJ270" t="n">
        <v/>
      </c>
      <c r="AK270" t="n">
        <v/>
      </c>
      <c r="AL270" t="n">
        <v/>
      </c>
      <c r="AM270" t="n">
        <v/>
      </c>
      <c r="AN270" t="n">
        <v/>
      </c>
      <c r="AO270" t="n">
        <v/>
      </c>
      <c r="AP270" t="n">
        <v/>
      </c>
      <c r="AQ270" t="n">
        <v/>
      </c>
      <c r="AR270" t="n">
        <v/>
      </c>
      <c r="AS270" t="n">
        <v/>
      </c>
      <c r="AT270" t="n">
        <v>11.061919334</v>
      </c>
      <c r="AU270" t="n">
        <v>0.244204</v>
      </c>
    </row>
    <row r="271">
      <c r="A271" s="106" t="n">
        <v>15128</v>
      </c>
      <c r="B271" t="n">
        <v/>
      </c>
      <c r="C271" t="n">
        <v/>
      </c>
      <c r="D271" t="n">
        <v/>
      </c>
      <c r="E271" t="n">
        <v/>
      </c>
      <c r="F271" t="n">
        <v/>
      </c>
      <c r="G271" t="n">
        <v>1.8</v>
      </c>
      <c r="H271" t="n">
        <v/>
      </c>
      <c r="I271" t="n">
        <v/>
      </c>
      <c r="J271" t="n">
        <v/>
      </c>
      <c r="K271" t="n">
        <v/>
      </c>
      <c r="L271" t="n">
        <v/>
      </c>
      <c r="M271" t="n">
        <v/>
      </c>
      <c r="N271" t="n">
        <v/>
      </c>
      <c r="O271" t="n">
        <v/>
      </c>
      <c r="P271" t="n">
        <v/>
      </c>
      <c r="Q271" t="n">
        <v/>
      </c>
      <c r="R271" t="n">
        <v/>
      </c>
      <c r="S271" t="n">
        <v/>
      </c>
      <c r="T271" t="n">
        <v/>
      </c>
      <c r="U271" t="n">
        <v>-0.789077</v>
      </c>
      <c r="V271" t="n">
        <v/>
      </c>
      <c r="W271" t="n">
        <v/>
      </c>
      <c r="X271" t="n">
        <v/>
      </c>
      <c r="Y271" t="n">
        <v/>
      </c>
      <c r="Z271" t="n">
        <v/>
      </c>
      <c r="AA271" t="n">
        <v/>
      </c>
      <c r="AB271" t="n">
        <v/>
      </c>
      <c r="AC271" t="n">
        <v/>
      </c>
      <c r="AD271" t="n">
        <v/>
      </c>
      <c r="AE271" t="n">
        <v/>
      </c>
      <c r="AF271" t="n">
        <v/>
      </c>
      <c r="AG271" t="n">
        <v/>
      </c>
      <c r="AH271" t="n">
        <v/>
      </c>
      <c r="AI271" t="n">
        <v/>
      </c>
      <c r="AJ271" t="n">
        <v/>
      </c>
      <c r="AK271" t="n">
        <v/>
      </c>
      <c r="AL271" t="n">
        <v/>
      </c>
      <c r="AM271" t="n">
        <v/>
      </c>
      <c r="AN271" t="n">
        <v/>
      </c>
      <c r="AO271" t="n">
        <v/>
      </c>
      <c r="AP271" t="n">
        <v/>
      </c>
      <c r="AQ271" t="n">
        <v/>
      </c>
      <c r="AR271" t="n">
        <v/>
      </c>
      <c r="AS271" t="n">
        <v/>
      </c>
      <c r="AT271" t="n">
        <v>11.142039369</v>
      </c>
      <c r="AU271" t="n">
        <v>0.637474</v>
      </c>
    </row>
    <row r="272">
      <c r="A272" s="106" t="n">
        <v>15158</v>
      </c>
      <c r="B272" t="n">
        <v/>
      </c>
      <c r="C272" t="n">
        <v/>
      </c>
      <c r="D272" t="n">
        <v/>
      </c>
      <c r="E272" t="n">
        <v/>
      </c>
      <c r="F272" t="n">
        <v/>
      </c>
      <c r="G272" t="n">
        <v>1.7</v>
      </c>
      <c r="H272" t="n">
        <v/>
      </c>
      <c r="I272" t="n">
        <v/>
      </c>
      <c r="J272" t="n">
        <v/>
      </c>
      <c r="K272" t="n">
        <v/>
      </c>
      <c r="L272" t="n">
        <v/>
      </c>
      <c r="M272" t="n">
        <v/>
      </c>
      <c r="N272" t="n">
        <v/>
      </c>
      <c r="O272" t="n">
        <v/>
      </c>
      <c r="P272" t="n">
        <v/>
      </c>
      <c r="Q272" t="n">
        <v/>
      </c>
      <c r="R272" t="n">
        <v/>
      </c>
      <c r="S272" t="n">
        <v/>
      </c>
      <c r="T272" t="n">
        <v/>
      </c>
      <c r="U272" t="n">
        <v>0.470132</v>
      </c>
      <c r="V272" t="n">
        <v/>
      </c>
      <c r="W272" t="n">
        <v/>
      </c>
      <c r="X272" t="n">
        <v/>
      </c>
      <c r="Y272" t="n">
        <v/>
      </c>
      <c r="Z272" t="n">
        <v/>
      </c>
      <c r="AA272" t="n">
        <v/>
      </c>
      <c r="AB272" t="n">
        <v/>
      </c>
      <c r="AC272" t="n">
        <v/>
      </c>
      <c r="AD272" t="n">
        <v/>
      </c>
      <c r="AE272" t="n">
        <v/>
      </c>
      <c r="AF272" t="n">
        <v/>
      </c>
      <c r="AG272" t="n">
        <v/>
      </c>
      <c r="AH272" t="n">
        <v/>
      </c>
      <c r="AI272" t="n">
        <v/>
      </c>
      <c r="AJ272" t="n">
        <v/>
      </c>
      <c r="AK272" t="n">
        <v/>
      </c>
      <c r="AL272" t="n">
        <v/>
      </c>
      <c r="AM272" t="n">
        <v/>
      </c>
      <c r="AN272" t="n">
        <v/>
      </c>
      <c r="AO272" t="n">
        <v/>
      </c>
      <c r="AP272" t="n">
        <v/>
      </c>
      <c r="AQ272" t="n">
        <v/>
      </c>
      <c r="AR272" t="n">
        <v/>
      </c>
      <c r="AS272" t="n">
        <v/>
      </c>
      <c r="AT272" t="n">
        <v>11.275605813</v>
      </c>
      <c r="AU272" t="n">
        <v>1.086025</v>
      </c>
    </row>
    <row r="273">
      <c r="A273" s="106" t="n">
        <v>15189</v>
      </c>
      <c r="B273" t="n">
        <v/>
      </c>
      <c r="C273" t="n">
        <v/>
      </c>
      <c r="D273" t="n">
        <v/>
      </c>
      <c r="E273" t="n">
        <v/>
      </c>
      <c r="F273" t="n">
        <v/>
      </c>
      <c r="G273" t="n">
        <v>1.7</v>
      </c>
      <c r="H273" t="n">
        <v/>
      </c>
      <c r="I273" t="n">
        <v/>
      </c>
      <c r="J273" t="n">
        <v/>
      </c>
      <c r="K273" t="n">
        <v/>
      </c>
      <c r="L273" t="n">
        <v/>
      </c>
      <c r="M273" t="n">
        <v/>
      </c>
      <c r="N273" t="n">
        <v/>
      </c>
      <c r="O273" t="n">
        <v/>
      </c>
      <c r="P273" t="n">
        <v/>
      </c>
      <c r="Q273" t="n">
        <v/>
      </c>
      <c r="R273" t="n">
        <v/>
      </c>
      <c r="S273" t="n">
        <v/>
      </c>
      <c r="T273" t="n">
        <v/>
      </c>
      <c r="U273" t="n">
        <v>1.47343</v>
      </c>
      <c r="V273" t="n">
        <v/>
      </c>
      <c r="W273" t="n">
        <v/>
      </c>
      <c r="X273" t="n">
        <v/>
      </c>
      <c r="Y273" t="n">
        <v/>
      </c>
      <c r="Z273" t="n">
        <v/>
      </c>
      <c r="AA273" t="n">
        <v/>
      </c>
      <c r="AB273" t="n">
        <v/>
      </c>
      <c r="AC273" t="n">
        <v/>
      </c>
      <c r="AD273" t="n">
        <v/>
      </c>
      <c r="AE273" t="n">
        <v/>
      </c>
      <c r="AF273" t="n">
        <v/>
      </c>
      <c r="AG273" t="n">
        <v/>
      </c>
      <c r="AH273" t="n">
        <v/>
      </c>
      <c r="AI273" t="n">
        <v/>
      </c>
      <c r="AJ273" t="n">
        <v/>
      </c>
      <c r="AK273" t="n">
        <v/>
      </c>
      <c r="AL273" t="n">
        <v/>
      </c>
      <c r="AM273" t="n">
        <v/>
      </c>
      <c r="AN273" t="n">
        <v/>
      </c>
      <c r="AO273" t="n">
        <v/>
      </c>
      <c r="AP273" t="n">
        <v/>
      </c>
      <c r="AQ273" t="n">
        <v/>
      </c>
      <c r="AR273" t="n">
        <v/>
      </c>
      <c r="AS273" t="n">
        <v/>
      </c>
      <c r="AT273" t="n">
        <v>11.409271415</v>
      </c>
      <c r="AU273" t="n">
        <v>0.430871</v>
      </c>
    </row>
    <row r="274">
      <c r="A274" s="106" t="n">
        <v>15220</v>
      </c>
      <c r="B274" t="n">
        <v/>
      </c>
      <c r="C274" t="n">
        <v/>
      </c>
      <c r="D274" t="n">
        <v/>
      </c>
      <c r="E274" t="n">
        <v/>
      </c>
      <c r="F274" t="n">
        <v/>
      </c>
      <c r="G274" t="n">
        <v>1.8</v>
      </c>
      <c r="H274" t="n">
        <v/>
      </c>
      <c r="I274" t="n">
        <v/>
      </c>
      <c r="J274" t="n">
        <v/>
      </c>
      <c r="K274" t="n">
        <v/>
      </c>
      <c r="L274" t="n">
        <v/>
      </c>
      <c r="M274" t="n">
        <v/>
      </c>
      <c r="N274" t="n">
        <v/>
      </c>
      <c r="O274" t="n">
        <v/>
      </c>
      <c r="P274" t="n">
        <v/>
      </c>
      <c r="Q274" t="n">
        <v/>
      </c>
      <c r="R274" t="n">
        <v/>
      </c>
      <c r="S274" t="n">
        <v/>
      </c>
      <c r="T274" t="n">
        <v/>
      </c>
      <c r="U274" t="n">
        <v>2.365503</v>
      </c>
      <c r="V274" t="n">
        <v/>
      </c>
      <c r="W274" t="n">
        <v/>
      </c>
      <c r="X274" t="n">
        <v/>
      </c>
      <c r="Y274" t="n">
        <v/>
      </c>
      <c r="Z274" t="n">
        <v/>
      </c>
      <c r="AA274" t="n">
        <v/>
      </c>
      <c r="AB274" t="n">
        <v/>
      </c>
      <c r="AC274" t="n">
        <v/>
      </c>
      <c r="AD274" t="n">
        <v/>
      </c>
      <c r="AE274" t="n">
        <v/>
      </c>
      <c r="AF274" t="n">
        <v/>
      </c>
      <c r="AG274" t="n">
        <v/>
      </c>
      <c r="AH274" t="n">
        <v/>
      </c>
      <c r="AI274" t="n">
        <v/>
      </c>
      <c r="AJ274" t="n">
        <v/>
      </c>
      <c r="AK274" t="n">
        <v/>
      </c>
      <c r="AL274" t="n">
        <v/>
      </c>
      <c r="AM274" t="n">
        <v/>
      </c>
      <c r="AN274" t="n">
        <v/>
      </c>
      <c r="AO274" t="n">
        <v/>
      </c>
      <c r="AP274" t="n">
        <v/>
      </c>
      <c r="AQ274" t="n">
        <v/>
      </c>
      <c r="AR274" t="n">
        <v/>
      </c>
      <c r="AS274" t="n">
        <v/>
      </c>
      <c r="AT274" t="n">
        <v>11.409271415</v>
      </c>
      <c r="AU274" t="n">
        <v>-0.522174</v>
      </c>
    </row>
    <row r="275">
      <c r="A275" s="106" t="n">
        <v>15250</v>
      </c>
      <c r="B275" t="n">
        <v/>
      </c>
      <c r="C275" t="n">
        <v/>
      </c>
      <c r="D275" t="n">
        <v/>
      </c>
      <c r="E275" t="n">
        <v/>
      </c>
      <c r="F275" t="n">
        <v/>
      </c>
      <c r="G275" t="n">
        <v>1.7</v>
      </c>
      <c r="H275" t="n">
        <v/>
      </c>
      <c r="I275" t="n">
        <v/>
      </c>
      <c r="J275" t="n">
        <v/>
      </c>
      <c r="K275" t="n">
        <v/>
      </c>
      <c r="L275" t="n">
        <v/>
      </c>
      <c r="M275" t="n">
        <v/>
      </c>
      <c r="N275" t="n">
        <v/>
      </c>
      <c r="O275" t="n">
        <v/>
      </c>
      <c r="P275" t="n">
        <v/>
      </c>
      <c r="Q275" t="n">
        <v/>
      </c>
      <c r="R275" t="n">
        <v/>
      </c>
      <c r="S275" t="n">
        <v/>
      </c>
      <c r="T275" t="n">
        <v/>
      </c>
      <c r="U275" t="n">
        <v>-0.034886</v>
      </c>
      <c r="V275" t="n">
        <v/>
      </c>
      <c r="W275" t="n">
        <v/>
      </c>
      <c r="X275" t="n">
        <v/>
      </c>
      <c r="Y275" t="n">
        <v/>
      </c>
      <c r="Z275" t="n">
        <v/>
      </c>
      <c r="AA275" t="n">
        <v/>
      </c>
      <c r="AB275" t="n">
        <v/>
      </c>
      <c r="AC275" t="n">
        <v/>
      </c>
      <c r="AD275" t="n">
        <v/>
      </c>
      <c r="AE275" t="n">
        <v/>
      </c>
      <c r="AF275" t="n">
        <v/>
      </c>
      <c r="AG275" t="n">
        <v/>
      </c>
      <c r="AH275" t="n">
        <v/>
      </c>
      <c r="AI275" t="n">
        <v/>
      </c>
      <c r="AJ275" t="n">
        <v/>
      </c>
      <c r="AK275" t="n">
        <v/>
      </c>
      <c r="AL275" t="n">
        <v/>
      </c>
      <c r="AM275" t="n">
        <v/>
      </c>
      <c r="AN275" t="n">
        <v/>
      </c>
      <c r="AO275" t="n">
        <v/>
      </c>
      <c r="AP275" t="n">
        <v/>
      </c>
      <c r="AQ275" t="n">
        <v/>
      </c>
      <c r="AR275" t="n">
        <v/>
      </c>
      <c r="AS275" t="n">
        <v/>
      </c>
      <c r="AT275" t="n">
        <v>11.516164234</v>
      </c>
      <c r="AU275" t="n">
        <v>0.055541</v>
      </c>
    </row>
    <row r="276">
      <c r="A276" s="106" t="n">
        <v>15281</v>
      </c>
      <c r="B276" t="n">
        <v/>
      </c>
      <c r="C276" t="n">
        <v/>
      </c>
      <c r="D276" t="n">
        <v/>
      </c>
      <c r="E276" t="n">
        <v/>
      </c>
      <c r="F276" t="n">
        <v/>
      </c>
      <c r="G276" t="n">
        <v>1.5</v>
      </c>
      <c r="H276" t="n">
        <v/>
      </c>
      <c r="I276" t="n">
        <v/>
      </c>
      <c r="J276" t="n">
        <v/>
      </c>
      <c r="K276" t="n">
        <v/>
      </c>
      <c r="L276" t="n">
        <v/>
      </c>
      <c r="M276" t="n">
        <v/>
      </c>
      <c r="N276" t="n">
        <v/>
      </c>
      <c r="O276" t="n">
        <v/>
      </c>
      <c r="P276" t="n">
        <v/>
      </c>
      <c r="Q276" t="n">
        <v/>
      </c>
      <c r="R276" t="n">
        <v/>
      </c>
      <c r="S276" t="n">
        <v/>
      </c>
      <c r="T276" t="n">
        <v/>
      </c>
      <c r="U276" t="n">
        <v>-1.203864</v>
      </c>
      <c r="V276" t="n">
        <v/>
      </c>
      <c r="W276" t="n">
        <v/>
      </c>
      <c r="X276" t="n">
        <v/>
      </c>
      <c r="Y276" t="n">
        <v/>
      </c>
      <c r="Z276" t="n">
        <v/>
      </c>
      <c r="AA276" t="n">
        <v/>
      </c>
      <c r="AB276" t="n">
        <v/>
      </c>
      <c r="AC276" t="n">
        <v/>
      </c>
      <c r="AD276" t="n">
        <v/>
      </c>
      <c r="AE276" t="n">
        <v/>
      </c>
      <c r="AF276" t="n">
        <v/>
      </c>
      <c r="AG276" t="n">
        <v/>
      </c>
      <c r="AH276" t="n">
        <v/>
      </c>
      <c r="AI276" t="n">
        <v/>
      </c>
      <c r="AJ276" t="n">
        <v/>
      </c>
      <c r="AK276" t="n">
        <v/>
      </c>
      <c r="AL276" t="n">
        <v/>
      </c>
      <c r="AM276" t="n">
        <v/>
      </c>
      <c r="AN276" t="n">
        <v/>
      </c>
      <c r="AO276" t="n">
        <v/>
      </c>
      <c r="AP276" t="n">
        <v/>
      </c>
      <c r="AQ276" t="n">
        <v/>
      </c>
      <c r="AR276" t="n">
        <v/>
      </c>
      <c r="AS276" t="n">
        <v/>
      </c>
      <c r="AT276" t="n">
        <v>11.569610643</v>
      </c>
      <c r="AU276" t="n">
        <v>0.080882</v>
      </c>
    </row>
    <row r="277">
      <c r="A277" s="106" t="n">
        <v>15311</v>
      </c>
      <c r="B277" t="n">
        <v/>
      </c>
      <c r="C277" t="n">
        <v/>
      </c>
      <c r="D277" t="n">
        <v/>
      </c>
      <c r="E277" t="n">
        <v/>
      </c>
      <c r="F277" t="n">
        <v/>
      </c>
      <c r="G277" t="n">
        <v>1.4</v>
      </c>
      <c r="H277" t="n">
        <v/>
      </c>
      <c r="I277" t="n">
        <v/>
      </c>
      <c r="J277" t="n">
        <v/>
      </c>
      <c r="K277" t="n">
        <v/>
      </c>
      <c r="L277" t="n">
        <v/>
      </c>
      <c r="M277" t="n">
        <v/>
      </c>
      <c r="N277" t="n">
        <v/>
      </c>
      <c r="O277" t="n">
        <v/>
      </c>
      <c r="P277" t="n">
        <v/>
      </c>
      <c r="Q277" t="n">
        <v/>
      </c>
      <c r="R277" t="n">
        <v/>
      </c>
      <c r="S277" t="n">
        <v/>
      </c>
      <c r="T277" t="n">
        <v/>
      </c>
      <c r="U277" t="n">
        <v>-0.745161</v>
      </c>
      <c r="V277" t="n">
        <v/>
      </c>
      <c r="W277" t="n">
        <v/>
      </c>
      <c r="X277" t="n">
        <v/>
      </c>
      <c r="Y277" t="n">
        <v/>
      </c>
      <c r="Z277" t="n">
        <v/>
      </c>
      <c r="AA277" t="n">
        <v/>
      </c>
      <c r="AB277" t="n">
        <v/>
      </c>
      <c r="AC277" t="n">
        <v/>
      </c>
      <c r="AD277" t="n">
        <v/>
      </c>
      <c r="AE277" t="n">
        <v/>
      </c>
      <c r="AF277" t="n">
        <v/>
      </c>
      <c r="AG277" t="n">
        <v/>
      </c>
      <c r="AH277" t="n">
        <v/>
      </c>
      <c r="AI277" t="n">
        <v/>
      </c>
      <c r="AJ277" t="n">
        <v/>
      </c>
      <c r="AK277" t="n">
        <v/>
      </c>
      <c r="AL277" t="n">
        <v/>
      </c>
      <c r="AM277" t="n">
        <v/>
      </c>
      <c r="AN277" t="n">
        <v/>
      </c>
      <c r="AO277" t="n">
        <v/>
      </c>
      <c r="AP277" t="n">
        <v/>
      </c>
      <c r="AQ277" t="n">
        <v/>
      </c>
      <c r="AR277" t="n">
        <v/>
      </c>
      <c r="AS277" t="n">
        <v/>
      </c>
      <c r="AT277" t="n">
        <v>11.756623496</v>
      </c>
      <c r="AU277" t="n">
        <v>-0.203199</v>
      </c>
    </row>
    <row r="278">
      <c r="A278" s="106" t="n">
        <v>15342</v>
      </c>
      <c r="B278" t="n">
        <v/>
      </c>
      <c r="C278" t="n">
        <v/>
      </c>
      <c r="D278" t="n">
        <v/>
      </c>
      <c r="E278" t="n">
        <v/>
      </c>
      <c r="F278" t="n">
        <v/>
      </c>
      <c r="G278" t="n">
        <v>1.9</v>
      </c>
      <c r="H278" t="n">
        <v/>
      </c>
      <c r="I278" t="n">
        <v/>
      </c>
      <c r="J278" t="n">
        <v/>
      </c>
      <c r="K278" t="n">
        <v/>
      </c>
      <c r="L278" t="n">
        <v/>
      </c>
      <c r="M278" t="n">
        <v/>
      </c>
      <c r="N278" t="n">
        <v/>
      </c>
      <c r="O278" t="n">
        <v/>
      </c>
      <c r="P278" t="n">
        <v/>
      </c>
      <c r="Q278" t="n">
        <v/>
      </c>
      <c r="R278" t="n">
        <v/>
      </c>
      <c r="S278" t="n">
        <v/>
      </c>
      <c r="T278" t="n">
        <v/>
      </c>
      <c r="U278" t="n">
        <v>-1.309288</v>
      </c>
      <c r="V278" t="n">
        <v/>
      </c>
      <c r="W278" t="n">
        <v/>
      </c>
      <c r="X278" t="n">
        <v/>
      </c>
      <c r="Y278" t="n">
        <v/>
      </c>
      <c r="Z278" t="n">
        <v/>
      </c>
      <c r="AA278" t="n">
        <v/>
      </c>
      <c r="AB278" t="n">
        <v/>
      </c>
      <c r="AC278" t="n">
        <v/>
      </c>
      <c r="AD278" t="n">
        <v/>
      </c>
      <c r="AE278" t="n">
        <v/>
      </c>
      <c r="AF278" t="n">
        <v/>
      </c>
      <c r="AG278" t="n">
        <v/>
      </c>
      <c r="AH278" t="n">
        <v/>
      </c>
      <c r="AI278" t="n">
        <v/>
      </c>
      <c r="AJ278" t="n">
        <v/>
      </c>
      <c r="AK278" t="n">
        <v/>
      </c>
      <c r="AL278" t="n">
        <v/>
      </c>
      <c r="AM278" t="n">
        <v/>
      </c>
      <c r="AN278" t="n">
        <v/>
      </c>
      <c r="AO278" t="n">
        <v/>
      </c>
      <c r="AP278" t="n">
        <v/>
      </c>
      <c r="AQ278" t="n">
        <v/>
      </c>
      <c r="AR278" t="n">
        <v/>
      </c>
      <c r="AS278" t="n">
        <v/>
      </c>
      <c r="AT278" t="n">
        <v>11.997082758</v>
      </c>
      <c r="AU278" t="n">
        <v>0.887309</v>
      </c>
    </row>
    <row r="279">
      <c r="A279" s="106" t="n">
        <v>15373</v>
      </c>
      <c r="B279" t="n">
        <v/>
      </c>
      <c r="C279" t="n">
        <v/>
      </c>
      <c r="D279" t="n">
        <v/>
      </c>
      <c r="E279" t="n">
        <v/>
      </c>
      <c r="F279" t="n">
        <v/>
      </c>
      <c r="G279" t="n">
        <v>1.7</v>
      </c>
      <c r="H279" t="n">
        <v/>
      </c>
      <c r="I279" t="n">
        <v/>
      </c>
      <c r="J279" t="n">
        <v/>
      </c>
      <c r="K279" t="n">
        <v/>
      </c>
      <c r="L279" t="n">
        <v/>
      </c>
      <c r="M279" t="n">
        <v/>
      </c>
      <c r="N279" t="n">
        <v/>
      </c>
      <c r="O279" t="n">
        <v/>
      </c>
      <c r="P279" t="n">
        <v/>
      </c>
      <c r="Q279" t="n">
        <v/>
      </c>
      <c r="R279" t="n">
        <v/>
      </c>
      <c r="S279" t="n">
        <v/>
      </c>
      <c r="T279" t="n">
        <v/>
      </c>
      <c r="U279" t="n">
        <v>0.149165</v>
      </c>
      <c r="V279" t="n">
        <v/>
      </c>
      <c r="W279" t="n">
        <v/>
      </c>
      <c r="X279" t="n">
        <v/>
      </c>
      <c r="Y279" t="n">
        <v/>
      </c>
      <c r="Z279" t="n">
        <v/>
      </c>
      <c r="AA279" t="n">
        <v/>
      </c>
      <c r="AB279" t="n">
        <v/>
      </c>
      <c r="AC279" t="n">
        <v/>
      </c>
      <c r="AD279" t="n">
        <v/>
      </c>
      <c r="AE279" t="n">
        <v/>
      </c>
      <c r="AF279" t="n">
        <v/>
      </c>
      <c r="AG279" t="n">
        <v/>
      </c>
      <c r="AH279" t="n">
        <v/>
      </c>
      <c r="AI279" t="n">
        <v/>
      </c>
      <c r="AJ279" t="n">
        <v/>
      </c>
      <c r="AK279" t="n">
        <v/>
      </c>
      <c r="AL279" t="n">
        <v/>
      </c>
      <c r="AM279" t="n">
        <v/>
      </c>
      <c r="AN279" t="n">
        <v/>
      </c>
      <c r="AO279" t="n">
        <v/>
      </c>
      <c r="AP279" t="n">
        <v/>
      </c>
      <c r="AQ279" t="n">
        <v/>
      </c>
      <c r="AR279" t="n">
        <v/>
      </c>
      <c r="AS279" t="n">
        <v/>
      </c>
      <c r="AT279" t="n">
        <v>12.210868395</v>
      </c>
      <c r="AU279" t="n">
        <v>0.244169</v>
      </c>
    </row>
    <row r="280">
      <c r="A280" s="106" t="n">
        <v>15401</v>
      </c>
      <c r="B280" t="n">
        <v/>
      </c>
      <c r="C280" t="n">
        <v/>
      </c>
      <c r="D280" t="n">
        <v/>
      </c>
      <c r="E280" t="n">
        <v/>
      </c>
      <c r="F280" t="n">
        <v/>
      </c>
      <c r="G280" t="n">
        <v>1.6</v>
      </c>
      <c r="H280" t="n">
        <v/>
      </c>
      <c r="I280" t="n">
        <v/>
      </c>
      <c r="J280" t="n">
        <v/>
      </c>
      <c r="K280" t="n">
        <v/>
      </c>
      <c r="L280" t="n">
        <v/>
      </c>
      <c r="M280" t="n">
        <v/>
      </c>
      <c r="N280" t="n">
        <v/>
      </c>
      <c r="O280" t="n">
        <v/>
      </c>
      <c r="P280" t="n">
        <v/>
      </c>
      <c r="Q280" t="n">
        <v/>
      </c>
      <c r="R280" t="n">
        <v/>
      </c>
      <c r="S280" t="n">
        <v/>
      </c>
      <c r="T280" t="n">
        <v/>
      </c>
      <c r="U280" t="n">
        <v>0.670739</v>
      </c>
      <c r="V280" t="n">
        <v/>
      </c>
      <c r="W280" t="n">
        <v/>
      </c>
      <c r="X280" t="n">
        <v/>
      </c>
      <c r="Y280" t="n">
        <v/>
      </c>
      <c r="Z280" t="n">
        <v/>
      </c>
      <c r="AA280" t="n">
        <v/>
      </c>
      <c r="AB280" t="n">
        <v/>
      </c>
      <c r="AC280" t="n">
        <v/>
      </c>
      <c r="AD280" t="n">
        <v/>
      </c>
      <c r="AE280" t="n">
        <v/>
      </c>
      <c r="AF280" t="n">
        <v/>
      </c>
      <c r="AG280" t="n">
        <v/>
      </c>
      <c r="AH280" t="n">
        <v/>
      </c>
      <c r="AI280" t="n">
        <v/>
      </c>
      <c r="AJ280" t="n">
        <v/>
      </c>
      <c r="AK280" t="n">
        <v/>
      </c>
      <c r="AL280" t="n">
        <v/>
      </c>
      <c r="AM280" t="n">
        <v/>
      </c>
      <c r="AN280" t="n">
        <v/>
      </c>
      <c r="AO280" t="n">
        <v/>
      </c>
      <c r="AP280" t="n">
        <v/>
      </c>
      <c r="AQ280" t="n">
        <v/>
      </c>
      <c r="AR280" t="n">
        <v/>
      </c>
      <c r="AS280" t="n">
        <v/>
      </c>
      <c r="AT280" t="n">
        <v>12.344434839</v>
      </c>
      <c r="AU280" t="n">
        <v>0.096876</v>
      </c>
    </row>
    <row r="281">
      <c r="A281" s="106" t="n">
        <v>15432</v>
      </c>
      <c r="B281" t="n">
        <v/>
      </c>
      <c r="C281" t="n">
        <v/>
      </c>
      <c r="D281" t="n">
        <v/>
      </c>
      <c r="E281" t="n">
        <v/>
      </c>
      <c r="F281" t="n">
        <v/>
      </c>
      <c r="G281" t="n">
        <v>1.5</v>
      </c>
      <c r="H281" t="n">
        <v/>
      </c>
      <c r="I281" t="n">
        <v/>
      </c>
      <c r="J281" t="n">
        <v/>
      </c>
      <c r="K281" t="n">
        <v/>
      </c>
      <c r="L281" t="n">
        <v/>
      </c>
      <c r="M281" t="n">
        <v/>
      </c>
      <c r="N281" t="n">
        <v/>
      </c>
      <c r="O281" t="n">
        <v/>
      </c>
      <c r="P281" t="n">
        <v/>
      </c>
      <c r="Q281" t="n">
        <v/>
      </c>
      <c r="R281" t="n">
        <v/>
      </c>
      <c r="S281" t="n">
        <v/>
      </c>
      <c r="T281" t="n">
        <v/>
      </c>
      <c r="U281" t="n">
        <v>0.739453</v>
      </c>
      <c r="V281" t="n">
        <v/>
      </c>
      <c r="W281" t="n">
        <v/>
      </c>
      <c r="X281" t="n">
        <v/>
      </c>
      <c r="Y281" t="n">
        <v/>
      </c>
      <c r="Z281" t="n">
        <v/>
      </c>
      <c r="AA281" t="n">
        <v/>
      </c>
      <c r="AB281" t="n">
        <v/>
      </c>
      <c r="AC281" t="n">
        <v/>
      </c>
      <c r="AD281" t="n">
        <v/>
      </c>
      <c r="AE281" t="n">
        <v/>
      </c>
      <c r="AF281" t="n">
        <v/>
      </c>
      <c r="AG281" t="n">
        <v/>
      </c>
      <c r="AH281" t="n">
        <v/>
      </c>
      <c r="AI281" t="n">
        <v/>
      </c>
      <c r="AJ281" t="n">
        <v/>
      </c>
      <c r="AK281" t="n">
        <v/>
      </c>
      <c r="AL281" t="n">
        <v/>
      </c>
      <c r="AM281" t="n">
        <v/>
      </c>
      <c r="AN281" t="n">
        <v/>
      </c>
      <c r="AO281" t="n">
        <v/>
      </c>
      <c r="AP281" t="n">
        <v/>
      </c>
      <c r="AQ281" t="n">
        <v/>
      </c>
      <c r="AR281" t="n">
        <v/>
      </c>
      <c r="AS281" t="n">
        <v/>
      </c>
      <c r="AT281" t="n">
        <v>11.997082758</v>
      </c>
      <c r="AU281" t="n">
        <v>-0.118535</v>
      </c>
    </row>
    <row r="282">
      <c r="A282" s="106" t="n">
        <v>15462</v>
      </c>
      <c r="B282" t="n">
        <v/>
      </c>
      <c r="C282" t="n">
        <v/>
      </c>
      <c r="D282" t="n">
        <v/>
      </c>
      <c r="E282" t="n">
        <v/>
      </c>
      <c r="F282" t="n">
        <v/>
      </c>
      <c r="G282" t="n">
        <v>1.8</v>
      </c>
      <c r="H282" t="n">
        <v/>
      </c>
      <c r="I282" t="n">
        <v/>
      </c>
      <c r="J282" t="n">
        <v/>
      </c>
      <c r="K282" t="n">
        <v/>
      </c>
      <c r="L282" t="n">
        <v/>
      </c>
      <c r="M282" t="n">
        <v/>
      </c>
      <c r="N282" t="n">
        <v/>
      </c>
      <c r="O282" t="n">
        <v/>
      </c>
      <c r="P282" t="n">
        <v/>
      </c>
      <c r="Q282" t="n">
        <v/>
      </c>
      <c r="R282" t="n">
        <v/>
      </c>
      <c r="S282" t="n">
        <v/>
      </c>
      <c r="T282" t="n">
        <v/>
      </c>
      <c r="U282" t="n">
        <v>1.863032</v>
      </c>
      <c r="V282" t="n">
        <v/>
      </c>
      <c r="W282" t="n">
        <v/>
      </c>
      <c r="X282" t="n">
        <v/>
      </c>
      <c r="Y282" t="n">
        <v/>
      </c>
      <c r="Z282" t="n">
        <v/>
      </c>
      <c r="AA282" t="n">
        <v/>
      </c>
      <c r="AB282" t="n">
        <v/>
      </c>
      <c r="AC282" t="n">
        <v/>
      </c>
      <c r="AD282" t="n">
        <v/>
      </c>
      <c r="AE282" t="n">
        <v/>
      </c>
      <c r="AF282" t="n">
        <v/>
      </c>
      <c r="AG282" t="n">
        <v/>
      </c>
      <c r="AH282" t="n">
        <v/>
      </c>
      <c r="AI282" t="n">
        <v/>
      </c>
      <c r="AJ282" t="n">
        <v/>
      </c>
      <c r="AK282" t="n">
        <v/>
      </c>
      <c r="AL282" t="n">
        <v/>
      </c>
      <c r="AM282" t="n">
        <v/>
      </c>
      <c r="AN282" t="n">
        <v/>
      </c>
      <c r="AO282" t="n">
        <v/>
      </c>
      <c r="AP282" t="n">
        <v/>
      </c>
      <c r="AQ282" t="n">
        <v/>
      </c>
      <c r="AR282" t="n">
        <v/>
      </c>
      <c r="AS282" t="n">
        <v/>
      </c>
      <c r="AT282" t="n">
        <v>12.023756384</v>
      </c>
      <c r="AU282" t="n">
        <v>0.721479</v>
      </c>
    </row>
    <row r="283">
      <c r="A283" s="106" t="n">
        <v>15493</v>
      </c>
      <c r="B283" t="n">
        <v/>
      </c>
      <c r="C283" t="n">
        <v/>
      </c>
      <c r="D283" t="n">
        <v/>
      </c>
      <c r="E283" t="n">
        <v/>
      </c>
      <c r="F283" t="n">
        <v/>
      </c>
      <c r="G283" t="n">
        <v>1.8</v>
      </c>
      <c r="H283" t="n">
        <v/>
      </c>
      <c r="I283" t="n">
        <v/>
      </c>
      <c r="J283" t="n">
        <v/>
      </c>
      <c r="K283" t="n">
        <v/>
      </c>
      <c r="L283" t="n">
        <v/>
      </c>
      <c r="M283" t="n">
        <v/>
      </c>
      <c r="N283" t="n">
        <v/>
      </c>
      <c r="O283" t="n">
        <v/>
      </c>
      <c r="P283" t="n">
        <v/>
      </c>
      <c r="Q283" t="n">
        <v/>
      </c>
      <c r="R283" t="n">
        <v/>
      </c>
      <c r="S283" t="n">
        <v/>
      </c>
      <c r="T283" t="n">
        <v/>
      </c>
      <c r="U283" t="n">
        <v>0.504006</v>
      </c>
      <c r="V283" t="n">
        <v/>
      </c>
      <c r="W283" t="n">
        <v/>
      </c>
      <c r="X283" t="n">
        <v/>
      </c>
      <c r="Y283" t="n">
        <v/>
      </c>
      <c r="Z283" t="n">
        <v/>
      </c>
      <c r="AA283" t="n">
        <v/>
      </c>
      <c r="AB283" t="n">
        <v/>
      </c>
      <c r="AC283" t="n">
        <v/>
      </c>
      <c r="AD283" t="n">
        <v/>
      </c>
      <c r="AE283" t="n">
        <v/>
      </c>
      <c r="AF283" t="n">
        <v/>
      </c>
      <c r="AG283" t="n">
        <v/>
      </c>
      <c r="AH283" t="n">
        <v/>
      </c>
      <c r="AI283" t="n">
        <v/>
      </c>
      <c r="AJ283" t="n">
        <v/>
      </c>
      <c r="AK283" t="n">
        <v/>
      </c>
      <c r="AL283" t="n">
        <v/>
      </c>
      <c r="AM283" t="n">
        <v/>
      </c>
      <c r="AN283" t="n">
        <v/>
      </c>
      <c r="AO283" t="n">
        <v/>
      </c>
      <c r="AP283" t="n">
        <v/>
      </c>
      <c r="AQ283" t="n">
        <v/>
      </c>
      <c r="AR283" t="n">
        <v/>
      </c>
      <c r="AS283" t="n">
        <v/>
      </c>
      <c r="AT283" t="n">
        <v>12.050529167</v>
      </c>
      <c r="AU283" t="n">
        <v>0.5630309999999999</v>
      </c>
    </row>
    <row r="284">
      <c r="A284" s="106" t="n">
        <v>15523</v>
      </c>
      <c r="B284" t="n">
        <v/>
      </c>
      <c r="C284" t="n">
        <v/>
      </c>
      <c r="D284" t="n">
        <v/>
      </c>
      <c r="E284" t="n">
        <v/>
      </c>
      <c r="F284" t="n">
        <v/>
      </c>
      <c r="G284" t="n">
        <v>1.5</v>
      </c>
      <c r="H284" t="n">
        <v/>
      </c>
      <c r="I284" t="n">
        <v/>
      </c>
      <c r="J284" t="n">
        <v/>
      </c>
      <c r="K284" t="n">
        <v/>
      </c>
      <c r="L284" t="n">
        <v/>
      </c>
      <c r="M284" t="n">
        <v/>
      </c>
      <c r="N284" t="n">
        <v/>
      </c>
      <c r="O284" t="n">
        <v/>
      </c>
      <c r="P284" t="n">
        <v/>
      </c>
      <c r="Q284" t="n">
        <v/>
      </c>
      <c r="R284" t="n">
        <v/>
      </c>
      <c r="S284" t="n">
        <v/>
      </c>
      <c r="T284" t="n">
        <v/>
      </c>
      <c r="U284" t="n">
        <v>0.764313</v>
      </c>
      <c r="V284" t="n">
        <v/>
      </c>
      <c r="W284" t="n">
        <v/>
      </c>
      <c r="X284" t="n">
        <v/>
      </c>
      <c r="Y284" t="n">
        <v/>
      </c>
      <c r="Z284" t="n">
        <v/>
      </c>
      <c r="AA284" t="n">
        <v/>
      </c>
      <c r="AB284" t="n">
        <v/>
      </c>
      <c r="AC284" t="n">
        <v/>
      </c>
      <c r="AD284" t="n">
        <v/>
      </c>
      <c r="AE284" t="n">
        <v/>
      </c>
      <c r="AF284" t="n">
        <v/>
      </c>
      <c r="AG284" t="n">
        <v/>
      </c>
      <c r="AH284" t="n">
        <v/>
      </c>
      <c r="AI284" t="n">
        <v/>
      </c>
      <c r="AJ284" t="n">
        <v/>
      </c>
      <c r="AK284" t="n">
        <v/>
      </c>
      <c r="AL284" t="n">
        <v/>
      </c>
      <c r="AM284" t="n">
        <v/>
      </c>
      <c r="AN284" t="n">
        <v/>
      </c>
      <c r="AO284" t="n">
        <v/>
      </c>
      <c r="AP284" t="n">
        <v/>
      </c>
      <c r="AQ284" t="n">
        <v/>
      </c>
      <c r="AR284" t="n">
        <v/>
      </c>
      <c r="AS284" t="n">
        <v/>
      </c>
      <c r="AT284" t="n">
        <v>12.344434839</v>
      </c>
      <c r="AU284" t="n">
        <v>0.76217</v>
      </c>
    </row>
    <row r="285">
      <c r="A285" s="106" t="n">
        <v>15554</v>
      </c>
      <c r="B285" t="n">
        <v/>
      </c>
      <c r="C285" t="n">
        <v/>
      </c>
      <c r="D285" t="n">
        <v/>
      </c>
      <c r="E285" t="n">
        <v/>
      </c>
      <c r="F285" t="n">
        <v/>
      </c>
      <c r="G285" t="n">
        <v>1.5</v>
      </c>
      <c r="H285" t="n">
        <v/>
      </c>
      <c r="I285" t="n">
        <v/>
      </c>
      <c r="J285" t="n">
        <v/>
      </c>
      <c r="K285" t="n">
        <v/>
      </c>
      <c r="L285" t="n">
        <v/>
      </c>
      <c r="M285" t="n">
        <v/>
      </c>
      <c r="N285" t="n">
        <v/>
      </c>
      <c r="O285" t="n">
        <v/>
      </c>
      <c r="P285" t="n">
        <v/>
      </c>
      <c r="Q285" t="n">
        <v/>
      </c>
      <c r="R285" t="n">
        <v/>
      </c>
      <c r="S285" t="n">
        <v/>
      </c>
      <c r="T285" t="n">
        <v/>
      </c>
      <c r="U285" t="n">
        <v>0.740269</v>
      </c>
      <c r="V285" t="n">
        <v/>
      </c>
      <c r="W285" t="n">
        <v/>
      </c>
      <c r="X285" t="n">
        <v/>
      </c>
      <c r="Y285" t="n">
        <v/>
      </c>
      <c r="Z285" t="n">
        <v/>
      </c>
      <c r="AA285" t="n">
        <v/>
      </c>
      <c r="AB285" t="n">
        <v/>
      </c>
      <c r="AC285" t="n">
        <v/>
      </c>
      <c r="AD285" t="n">
        <v/>
      </c>
      <c r="AE285" t="n">
        <v/>
      </c>
      <c r="AF285" t="n">
        <v/>
      </c>
      <c r="AG285" t="n">
        <v/>
      </c>
      <c r="AH285" t="n">
        <v/>
      </c>
      <c r="AI285" t="n">
        <v/>
      </c>
      <c r="AJ285" t="n">
        <v/>
      </c>
      <c r="AK285" t="n">
        <v/>
      </c>
      <c r="AL285" t="n">
        <v/>
      </c>
      <c r="AM285" t="n">
        <v/>
      </c>
      <c r="AN285" t="n">
        <v/>
      </c>
      <c r="AO285" t="n">
        <v/>
      </c>
      <c r="AP285" t="n">
        <v/>
      </c>
      <c r="AQ285" t="n">
        <v/>
      </c>
      <c r="AR285" t="n">
        <v/>
      </c>
      <c r="AS285" t="n">
        <v/>
      </c>
      <c r="AT285" t="n">
        <v>12.718460545</v>
      </c>
      <c r="AU285" t="n">
        <v>-0.655325</v>
      </c>
    </row>
    <row r="286">
      <c r="A286" s="106" t="n">
        <v>15585</v>
      </c>
      <c r="B286" t="n">
        <v/>
      </c>
      <c r="C286" t="n">
        <v/>
      </c>
      <c r="D286" t="n">
        <v/>
      </c>
      <c r="E286" t="n">
        <v/>
      </c>
      <c r="F286" t="n">
        <v/>
      </c>
      <c r="G286" t="n">
        <v>1.7</v>
      </c>
      <c r="H286" t="n">
        <v/>
      </c>
      <c r="I286" t="n">
        <v/>
      </c>
      <c r="J286" t="n">
        <v/>
      </c>
      <c r="K286" t="n">
        <v/>
      </c>
      <c r="L286" t="n">
        <v/>
      </c>
      <c r="M286" t="n">
        <v/>
      </c>
      <c r="N286" t="n">
        <v/>
      </c>
      <c r="O286" t="n">
        <v/>
      </c>
      <c r="P286" t="n">
        <v/>
      </c>
      <c r="Q286" t="n">
        <v/>
      </c>
      <c r="R286" t="n">
        <v/>
      </c>
      <c r="S286" t="n">
        <v/>
      </c>
      <c r="T286" t="n">
        <v/>
      </c>
      <c r="U286" t="n">
        <v>-4.031456</v>
      </c>
      <c r="V286" t="n">
        <v/>
      </c>
      <c r="W286" t="n">
        <v/>
      </c>
      <c r="X286" t="n">
        <v/>
      </c>
      <c r="Y286" t="n">
        <v/>
      </c>
      <c r="Z286" t="n">
        <v/>
      </c>
      <c r="AA286" t="n">
        <v/>
      </c>
      <c r="AB286" t="n">
        <v/>
      </c>
      <c r="AC286" t="n">
        <v/>
      </c>
      <c r="AD286" t="n">
        <v/>
      </c>
      <c r="AE286" t="n">
        <v/>
      </c>
      <c r="AF286" t="n">
        <v/>
      </c>
      <c r="AG286" t="n">
        <v/>
      </c>
      <c r="AH286" t="n">
        <v/>
      </c>
      <c r="AI286" t="n">
        <v/>
      </c>
      <c r="AJ286" t="n">
        <v/>
      </c>
      <c r="AK286" t="n">
        <v/>
      </c>
      <c r="AL286" t="n">
        <v/>
      </c>
      <c r="AM286" t="n">
        <v/>
      </c>
      <c r="AN286" t="n">
        <v/>
      </c>
      <c r="AO286" t="n">
        <v/>
      </c>
      <c r="AP286" t="n">
        <v/>
      </c>
      <c r="AQ286" t="n">
        <v/>
      </c>
      <c r="AR286" t="n">
        <v/>
      </c>
      <c r="AS286" t="n">
        <v/>
      </c>
      <c r="AT286" t="n">
        <v>13.012465375</v>
      </c>
      <c r="AU286" t="n">
        <v>-0.173665</v>
      </c>
    </row>
    <row r="287">
      <c r="A287" s="106" t="n">
        <v>15615</v>
      </c>
      <c r="B287" t="n">
        <v/>
      </c>
      <c r="C287" t="n">
        <v/>
      </c>
      <c r="D287" t="n">
        <v/>
      </c>
      <c r="E287" t="n">
        <v/>
      </c>
      <c r="F287" t="n">
        <v/>
      </c>
      <c r="G287" t="n">
        <v>1.6</v>
      </c>
      <c r="H287" t="n">
        <v/>
      </c>
      <c r="I287" t="n">
        <v/>
      </c>
      <c r="J287" t="n">
        <v/>
      </c>
      <c r="K287" t="n">
        <v/>
      </c>
      <c r="L287" t="n">
        <v/>
      </c>
      <c r="M287" t="n">
        <v/>
      </c>
      <c r="N287" t="n">
        <v/>
      </c>
      <c r="O287" t="n">
        <v/>
      </c>
      <c r="P287" t="n">
        <v/>
      </c>
      <c r="Q287" t="n">
        <v/>
      </c>
      <c r="R287" t="n">
        <v/>
      </c>
      <c r="S287" t="n">
        <v/>
      </c>
      <c r="T287" t="n">
        <v/>
      </c>
      <c r="U287" t="n">
        <v/>
      </c>
      <c r="V287" t="n">
        <v/>
      </c>
      <c r="W287" t="n">
        <v/>
      </c>
      <c r="X287" t="n">
        <v/>
      </c>
      <c r="Y287" t="n">
        <v/>
      </c>
      <c r="Z287" t="n">
        <v/>
      </c>
      <c r="AA287" t="n">
        <v/>
      </c>
      <c r="AB287" t="n">
        <v/>
      </c>
      <c r="AC287" t="n">
        <v/>
      </c>
      <c r="AD287" t="n">
        <v/>
      </c>
      <c r="AE287" t="n">
        <v/>
      </c>
      <c r="AF287" t="n">
        <v/>
      </c>
      <c r="AG287" t="n">
        <v/>
      </c>
      <c r="AH287" t="n">
        <v/>
      </c>
      <c r="AI287" t="n">
        <v/>
      </c>
      <c r="AJ287" t="n">
        <v/>
      </c>
      <c r="AK287" t="n">
        <v/>
      </c>
      <c r="AL287" t="n">
        <v/>
      </c>
      <c r="AM287" t="n">
        <v/>
      </c>
      <c r="AN287" t="n">
        <v/>
      </c>
      <c r="AO287" t="n">
        <v/>
      </c>
      <c r="AP287" t="n">
        <v/>
      </c>
      <c r="AQ287" t="n">
        <v/>
      </c>
      <c r="AR287" t="n">
        <v/>
      </c>
      <c r="AS287" t="n">
        <v/>
      </c>
      <c r="AT287" t="n">
        <v>13.439937491</v>
      </c>
      <c r="AU287" t="n">
        <v/>
      </c>
    </row>
    <row r="288">
      <c r="A288" s="106" t="n">
        <v>15646</v>
      </c>
      <c r="B288" t="n">
        <v/>
      </c>
      <c r="C288" t="n">
        <v/>
      </c>
      <c r="D288" t="n">
        <v/>
      </c>
      <c r="E288" t="n">
        <v/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/>
      </c>
      <c r="L288" t="n">
        <v/>
      </c>
      <c r="M288" t="n">
        <v/>
      </c>
      <c r="N288" t="n">
        <v/>
      </c>
      <c r="O288" t="n">
        <v/>
      </c>
      <c r="P288" t="n">
        <v/>
      </c>
      <c r="Q288" t="n">
        <v/>
      </c>
      <c r="R288" t="n">
        <v/>
      </c>
      <c r="S288" t="n">
        <v/>
      </c>
      <c r="T288" t="n">
        <v/>
      </c>
      <c r="U288" t="n">
        <v/>
      </c>
      <c r="V288" t="n">
        <v/>
      </c>
      <c r="W288" t="n">
        <v/>
      </c>
      <c r="X288" t="n">
        <v/>
      </c>
      <c r="Y288" t="n">
        <v/>
      </c>
      <c r="Z288" t="n">
        <v/>
      </c>
      <c r="AA288" t="n">
        <v/>
      </c>
      <c r="AB288" t="n">
        <v/>
      </c>
      <c r="AC288" t="n">
        <v/>
      </c>
      <c r="AD288" t="n">
        <v/>
      </c>
      <c r="AE288" t="n">
        <v/>
      </c>
      <c r="AF288" t="n">
        <v/>
      </c>
      <c r="AG288" t="n">
        <v/>
      </c>
      <c r="AH288" t="n">
        <v/>
      </c>
      <c r="AI288" t="n">
        <v/>
      </c>
      <c r="AJ288" t="n">
        <v/>
      </c>
      <c r="AK288" t="n">
        <v/>
      </c>
      <c r="AL288" t="n">
        <v/>
      </c>
      <c r="AM288" t="n">
        <v/>
      </c>
      <c r="AN288" t="n">
        <v/>
      </c>
      <c r="AO288" t="n">
        <v/>
      </c>
      <c r="AP288" t="n">
        <v/>
      </c>
      <c r="AQ288" t="n">
        <v/>
      </c>
      <c r="AR288" t="n">
        <v/>
      </c>
      <c r="AS288" t="n">
        <v/>
      </c>
      <c r="AT288" t="n">
        <v>13.760615946</v>
      </c>
      <c r="AU288" t="n">
        <v/>
      </c>
    </row>
    <row r="289">
      <c r="A289" s="106" t="n">
        <v>15676</v>
      </c>
      <c r="B289" t="n">
        <v/>
      </c>
      <c r="C289" t="n">
        <v/>
      </c>
      <c r="D289" t="n">
        <v/>
      </c>
      <c r="E289" t="n">
        <v/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/>
      </c>
      <c r="L289" t="n">
        <v/>
      </c>
      <c r="M289" t="n">
        <v/>
      </c>
      <c r="N289" t="n">
        <v/>
      </c>
      <c r="O289" t="n">
        <v/>
      </c>
      <c r="P289" t="n">
        <v/>
      </c>
      <c r="Q289" t="n">
        <v/>
      </c>
      <c r="R289" t="n">
        <v/>
      </c>
      <c r="S289" t="n">
        <v/>
      </c>
      <c r="T289" t="n">
        <v/>
      </c>
      <c r="U289" t="n">
        <v/>
      </c>
      <c r="V289" t="n">
        <v/>
      </c>
      <c r="W289" t="n">
        <v/>
      </c>
      <c r="X289" t="n">
        <v/>
      </c>
      <c r="Y289" t="n">
        <v/>
      </c>
      <c r="Z289" t="n">
        <v/>
      </c>
      <c r="AA289" t="n">
        <v/>
      </c>
      <c r="AB289" t="n">
        <v/>
      </c>
      <c r="AC289" t="n">
        <v/>
      </c>
      <c r="AD289" t="n">
        <v/>
      </c>
      <c r="AE289" t="n">
        <v/>
      </c>
      <c r="AF289" t="n">
        <v/>
      </c>
      <c r="AG289" t="n">
        <v/>
      </c>
      <c r="AH289" t="n">
        <v/>
      </c>
      <c r="AI289" t="n">
        <v/>
      </c>
      <c r="AJ289" t="n">
        <v/>
      </c>
      <c r="AK289" t="n">
        <v/>
      </c>
      <c r="AL289" t="n">
        <v/>
      </c>
      <c r="AM289" t="n">
        <v/>
      </c>
      <c r="AN289" t="n">
        <v/>
      </c>
      <c r="AO289" t="n">
        <v/>
      </c>
      <c r="AP289" t="n">
        <v/>
      </c>
      <c r="AQ289" t="n">
        <v/>
      </c>
      <c r="AR289" t="n">
        <v/>
      </c>
      <c r="AS289" t="n">
        <v/>
      </c>
      <c r="AT289" t="n">
        <v>14.081195243</v>
      </c>
      <c r="AU289" t="n">
        <v/>
      </c>
    </row>
    <row r="290">
      <c r="A290" s="106" t="n">
        <v>15707</v>
      </c>
      <c r="B290" t="n">
        <v/>
      </c>
      <c r="C290" t="n">
        <v/>
      </c>
      <c r="D290" t="n">
        <v/>
      </c>
      <c r="E290" t="n">
        <v/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/>
      </c>
      <c r="L290" t="n">
        <v/>
      </c>
      <c r="M290" t="n">
        <v/>
      </c>
      <c r="N290" t="n">
        <v/>
      </c>
      <c r="O290" t="n">
        <v/>
      </c>
      <c r="P290" t="n">
        <v/>
      </c>
      <c r="Q290" t="n">
        <v/>
      </c>
      <c r="R290" t="n">
        <v/>
      </c>
      <c r="S290" t="n">
        <v/>
      </c>
      <c r="T290" t="n">
        <v/>
      </c>
      <c r="U290" t="n">
        <v/>
      </c>
      <c r="V290" t="n">
        <v/>
      </c>
      <c r="W290" t="n">
        <v/>
      </c>
      <c r="X290" t="n">
        <v/>
      </c>
      <c r="Y290" t="n">
        <v/>
      </c>
      <c r="Z290" t="n">
        <v/>
      </c>
      <c r="AA290" t="n">
        <v/>
      </c>
      <c r="AB290" t="n">
        <v/>
      </c>
      <c r="AC290" t="n">
        <v/>
      </c>
      <c r="AD290" t="n">
        <v/>
      </c>
      <c r="AE290" t="n">
        <v/>
      </c>
      <c r="AF290" t="n">
        <v/>
      </c>
      <c r="AG290" t="n">
        <v/>
      </c>
      <c r="AH290" t="n">
        <v/>
      </c>
      <c r="AI290" t="n">
        <v/>
      </c>
      <c r="AJ290" t="n">
        <v/>
      </c>
      <c r="AK290" t="n">
        <v/>
      </c>
      <c r="AL290" t="n">
        <v/>
      </c>
      <c r="AM290" t="n">
        <v/>
      </c>
      <c r="AN290" t="n">
        <v/>
      </c>
      <c r="AO290" t="n">
        <v/>
      </c>
      <c r="AP290" t="n">
        <v/>
      </c>
      <c r="AQ290" t="n">
        <v/>
      </c>
      <c r="AR290" t="n">
        <v/>
      </c>
      <c r="AS290" t="n">
        <v/>
      </c>
      <c r="AT290" t="n">
        <v>14.214860845</v>
      </c>
      <c r="AU290" t="n">
        <v/>
      </c>
    </row>
    <row r="291">
      <c r="A291" s="106" t="n">
        <v>15738</v>
      </c>
      <c r="B291" t="n">
        <v/>
      </c>
      <c r="C291" t="n">
        <v/>
      </c>
      <c r="D291" t="n">
        <v/>
      </c>
      <c r="E291" t="n">
        <v/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/>
      </c>
      <c r="L291" t="n">
        <v/>
      </c>
      <c r="M291" t="n">
        <v/>
      </c>
      <c r="N291" t="n">
        <v/>
      </c>
      <c r="O291" t="n">
        <v/>
      </c>
      <c r="P291" t="n">
        <v/>
      </c>
      <c r="Q291" t="n">
        <v/>
      </c>
      <c r="R291" t="n">
        <v/>
      </c>
      <c r="S291" t="n">
        <v/>
      </c>
      <c r="T291" t="n">
        <v/>
      </c>
      <c r="U291" t="n">
        <v/>
      </c>
      <c r="V291" t="n">
        <v/>
      </c>
      <c r="W291" t="n">
        <v/>
      </c>
      <c r="X291" t="n">
        <v/>
      </c>
      <c r="Y291" t="n">
        <v/>
      </c>
      <c r="Z291" t="n">
        <v/>
      </c>
      <c r="AA291" t="n">
        <v/>
      </c>
      <c r="AB291" t="n">
        <v/>
      </c>
      <c r="AC291" t="n">
        <v/>
      </c>
      <c r="AD291" t="n">
        <v/>
      </c>
      <c r="AE291" t="n">
        <v/>
      </c>
      <c r="AF291" t="n">
        <v/>
      </c>
      <c r="AG291" t="n">
        <v/>
      </c>
      <c r="AH291" t="n">
        <v/>
      </c>
      <c r="AI291" t="n">
        <v/>
      </c>
      <c r="AJ291" t="n">
        <v/>
      </c>
      <c r="AK291" t="n">
        <v/>
      </c>
      <c r="AL291" t="n">
        <v/>
      </c>
      <c r="AM291" t="n">
        <v/>
      </c>
      <c r="AN291" t="n">
        <v/>
      </c>
      <c r="AO291" t="n">
        <v/>
      </c>
      <c r="AP291" t="n">
        <v/>
      </c>
      <c r="AQ291" t="n">
        <v/>
      </c>
      <c r="AR291" t="n">
        <v/>
      </c>
      <c r="AS291" t="n">
        <v/>
      </c>
      <c r="AT291" t="n">
        <v>14.588886551</v>
      </c>
      <c r="AU291" t="n">
        <v/>
      </c>
    </row>
    <row r="292">
      <c r="A292" s="106" t="n">
        <v>15766</v>
      </c>
      <c r="B292" t="n">
        <v/>
      </c>
      <c r="C292" t="n">
        <v/>
      </c>
      <c r="D292" t="n">
        <v/>
      </c>
      <c r="E292" t="n">
        <v/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/>
      </c>
      <c r="L292" t="n">
        <v/>
      </c>
      <c r="M292" t="n">
        <v/>
      </c>
      <c r="N292" t="n">
        <v/>
      </c>
      <c r="O292" t="n">
        <v/>
      </c>
      <c r="P292" t="n">
        <v/>
      </c>
      <c r="Q292" t="n">
        <v/>
      </c>
      <c r="R292" t="n">
        <v/>
      </c>
      <c r="S292" t="n">
        <v/>
      </c>
      <c r="T292" t="n">
        <v/>
      </c>
      <c r="U292" t="n">
        <v/>
      </c>
      <c r="V292" t="n">
        <v/>
      </c>
      <c r="W292" t="n">
        <v/>
      </c>
      <c r="X292" t="n">
        <v/>
      </c>
      <c r="Y292" t="n">
        <v/>
      </c>
      <c r="Z292" t="n">
        <v/>
      </c>
      <c r="AA292" t="n">
        <v/>
      </c>
      <c r="AB292" t="n">
        <v/>
      </c>
      <c r="AC292" t="n">
        <v/>
      </c>
      <c r="AD292" t="n">
        <v/>
      </c>
      <c r="AE292" t="n">
        <v/>
      </c>
      <c r="AF292" t="n">
        <v/>
      </c>
      <c r="AG292" t="n">
        <v/>
      </c>
      <c r="AH292" t="n">
        <v/>
      </c>
      <c r="AI292" t="n">
        <v/>
      </c>
      <c r="AJ292" t="n">
        <v/>
      </c>
      <c r="AK292" t="n">
        <v/>
      </c>
      <c r="AL292" t="n">
        <v/>
      </c>
      <c r="AM292" t="n">
        <v/>
      </c>
      <c r="AN292" t="n">
        <v/>
      </c>
      <c r="AO292" t="n">
        <v/>
      </c>
      <c r="AP292" t="n">
        <v/>
      </c>
      <c r="AQ292" t="n">
        <v/>
      </c>
      <c r="AR292" t="n">
        <v/>
      </c>
      <c r="AS292" t="n">
        <v/>
      </c>
      <c r="AT292" t="n">
        <v>14.69577937</v>
      </c>
      <c r="AU292" t="n">
        <v/>
      </c>
    </row>
    <row r="293">
      <c r="A293" s="106" t="n">
        <v>15797</v>
      </c>
      <c r="B293" t="n">
        <v/>
      </c>
      <c r="C293" t="n">
        <v/>
      </c>
      <c r="D293" t="n">
        <v/>
      </c>
      <c r="E293" t="n">
        <v/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/>
      </c>
      <c r="L293" t="n">
        <v/>
      </c>
      <c r="M293" t="n">
        <v/>
      </c>
      <c r="N293" t="n">
        <v/>
      </c>
      <c r="O293" t="n">
        <v/>
      </c>
      <c r="P293" t="n">
        <v/>
      </c>
      <c r="Q293" t="n">
        <v/>
      </c>
      <c r="R293" t="n">
        <v/>
      </c>
      <c r="S293" t="n">
        <v/>
      </c>
      <c r="T293" t="n">
        <v/>
      </c>
      <c r="U293" t="n">
        <v/>
      </c>
      <c r="V293" t="n">
        <v/>
      </c>
      <c r="W293" t="n">
        <v/>
      </c>
      <c r="X293" t="n">
        <v/>
      </c>
      <c r="Y293" t="n">
        <v/>
      </c>
      <c r="Z293" t="n">
        <v/>
      </c>
      <c r="AA293" t="n">
        <v/>
      </c>
      <c r="AB293" t="n">
        <v/>
      </c>
      <c r="AC293" t="n">
        <v/>
      </c>
      <c r="AD293" t="n">
        <v/>
      </c>
      <c r="AE293" t="n">
        <v/>
      </c>
      <c r="AF293" t="n">
        <v/>
      </c>
      <c r="AG293" t="n">
        <v/>
      </c>
      <c r="AH293" t="n">
        <v/>
      </c>
      <c r="AI293" t="n">
        <v/>
      </c>
      <c r="AJ293" t="n">
        <v/>
      </c>
      <c r="AK293" t="n">
        <v/>
      </c>
      <c r="AL293" t="n">
        <v/>
      </c>
      <c r="AM293" t="n">
        <v/>
      </c>
      <c r="AN293" t="n">
        <v/>
      </c>
      <c r="AO293" t="n">
        <v/>
      </c>
      <c r="AP293" t="n">
        <v/>
      </c>
      <c r="AQ293" t="n">
        <v/>
      </c>
      <c r="AR293" t="n">
        <v/>
      </c>
      <c r="AS293" t="n">
        <v/>
      </c>
      <c r="AT293" t="n">
        <v>14.882792223</v>
      </c>
      <c r="AU293" t="n">
        <v/>
      </c>
    </row>
    <row r="294">
      <c r="A294" s="106" t="n">
        <v>15827</v>
      </c>
      <c r="B294" t="n">
        <v/>
      </c>
      <c r="C294" t="n">
        <v/>
      </c>
      <c r="D294" t="n">
        <v/>
      </c>
      <c r="E294" t="n">
        <v/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/>
      </c>
      <c r="L294" t="n">
        <v/>
      </c>
      <c r="M294" t="n">
        <v/>
      </c>
      <c r="N294" t="n">
        <v/>
      </c>
      <c r="O294" t="n">
        <v/>
      </c>
      <c r="P294" t="n">
        <v/>
      </c>
      <c r="Q294" t="n">
        <v/>
      </c>
      <c r="R294" t="n">
        <v/>
      </c>
      <c r="S294" t="n">
        <v/>
      </c>
      <c r="T294" t="n">
        <v/>
      </c>
      <c r="U294" t="n">
        <v/>
      </c>
      <c r="V294" t="n">
        <v/>
      </c>
      <c r="W294" t="n">
        <v/>
      </c>
      <c r="X294" t="n">
        <v/>
      </c>
      <c r="Y294" t="n">
        <v/>
      </c>
      <c r="Z294" t="n">
        <v/>
      </c>
      <c r="AA294" t="n">
        <v/>
      </c>
      <c r="AB294" t="n">
        <v/>
      </c>
      <c r="AC294" t="n">
        <v/>
      </c>
      <c r="AD294" t="n">
        <v/>
      </c>
      <c r="AE294" t="n">
        <v/>
      </c>
      <c r="AF294" t="n">
        <v/>
      </c>
      <c r="AG294" t="n">
        <v/>
      </c>
      <c r="AH294" t="n">
        <v/>
      </c>
      <c r="AI294" t="n">
        <v/>
      </c>
      <c r="AJ294" t="n">
        <v/>
      </c>
      <c r="AK294" t="n">
        <v/>
      </c>
      <c r="AL294" t="n">
        <v/>
      </c>
      <c r="AM294" t="n">
        <v/>
      </c>
      <c r="AN294" t="n">
        <v/>
      </c>
      <c r="AO294" t="n">
        <v/>
      </c>
      <c r="AP294" t="n">
        <v/>
      </c>
      <c r="AQ294" t="n">
        <v/>
      </c>
      <c r="AR294" t="n">
        <v/>
      </c>
      <c r="AS294" t="n">
        <v/>
      </c>
      <c r="AT294" t="n">
        <v>14.989685041</v>
      </c>
      <c r="AU294" t="n">
        <v/>
      </c>
    </row>
    <row r="295">
      <c r="A295" s="106" t="n">
        <v>15858</v>
      </c>
      <c r="B295" t="n">
        <v/>
      </c>
      <c r="C295" t="n">
        <v/>
      </c>
      <c r="D295" t="n">
        <v/>
      </c>
      <c r="E295" t="n">
        <v/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/>
      </c>
      <c r="L295" t="n">
        <v/>
      </c>
      <c r="M295" t="n">
        <v/>
      </c>
      <c r="N295" t="n">
        <v/>
      </c>
      <c r="O295" t="n">
        <v/>
      </c>
      <c r="P295" t="n">
        <v/>
      </c>
      <c r="Q295" t="n">
        <v/>
      </c>
      <c r="R295" t="n">
        <v/>
      </c>
      <c r="S295" t="n">
        <v/>
      </c>
      <c r="T295" t="n">
        <v/>
      </c>
      <c r="U295" t="n">
        <v/>
      </c>
      <c r="V295" t="n">
        <v/>
      </c>
      <c r="W295" t="n">
        <v/>
      </c>
      <c r="X295" t="n">
        <v/>
      </c>
      <c r="Y295" t="n">
        <v/>
      </c>
      <c r="Z295" t="n">
        <v/>
      </c>
      <c r="AA295" t="n">
        <v/>
      </c>
      <c r="AB295" t="n">
        <v/>
      </c>
      <c r="AC295" t="n">
        <v/>
      </c>
      <c r="AD295" t="n">
        <v/>
      </c>
      <c r="AE295" t="n">
        <v/>
      </c>
      <c r="AF295" t="n">
        <v/>
      </c>
      <c r="AG295" t="n">
        <v/>
      </c>
      <c r="AH295" t="n">
        <v/>
      </c>
      <c r="AI295" t="n">
        <v/>
      </c>
      <c r="AJ295" t="n">
        <v/>
      </c>
      <c r="AK295" t="n">
        <v/>
      </c>
      <c r="AL295" t="n">
        <v/>
      </c>
      <c r="AM295" t="n">
        <v/>
      </c>
      <c r="AN295" t="n">
        <v/>
      </c>
      <c r="AO295" t="n">
        <v/>
      </c>
      <c r="AP295" t="n">
        <v/>
      </c>
      <c r="AQ295" t="n">
        <v/>
      </c>
      <c r="AR295" t="n">
        <v/>
      </c>
      <c r="AS295" t="n">
        <v/>
      </c>
      <c r="AT295" t="n">
        <v>14.909565007</v>
      </c>
      <c r="AU295" t="n">
        <v/>
      </c>
    </row>
    <row r="296">
      <c r="A296" s="106" t="n">
        <v>15888</v>
      </c>
      <c r="B296" t="n">
        <v/>
      </c>
      <c r="C296" t="n">
        <v/>
      </c>
      <c r="D296" t="n">
        <v/>
      </c>
      <c r="E296" t="n">
        <v/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/>
      </c>
      <c r="L296" t="n">
        <v/>
      </c>
      <c r="M296" t="n">
        <v/>
      </c>
      <c r="N296" t="n">
        <v/>
      </c>
      <c r="O296" t="n">
        <v/>
      </c>
      <c r="P296" t="n">
        <v/>
      </c>
      <c r="Q296" t="n">
        <v/>
      </c>
      <c r="R296" t="n">
        <v/>
      </c>
      <c r="S296" t="n">
        <v/>
      </c>
      <c r="T296" t="n">
        <v/>
      </c>
      <c r="U296" t="n">
        <v/>
      </c>
      <c r="V296" t="n">
        <v/>
      </c>
      <c r="W296" t="n">
        <v/>
      </c>
      <c r="X296" t="n">
        <v/>
      </c>
      <c r="Y296" t="n">
        <v/>
      </c>
      <c r="Z296" t="n">
        <v/>
      </c>
      <c r="AA296" t="n">
        <v/>
      </c>
      <c r="AB296" t="n">
        <v/>
      </c>
      <c r="AC296" t="n">
        <v/>
      </c>
      <c r="AD296" t="n">
        <v/>
      </c>
      <c r="AE296" t="n">
        <v/>
      </c>
      <c r="AF296" t="n">
        <v/>
      </c>
      <c r="AG296" t="n">
        <v/>
      </c>
      <c r="AH296" t="n">
        <v/>
      </c>
      <c r="AI296" t="n">
        <v/>
      </c>
      <c r="AJ296" t="n">
        <v/>
      </c>
      <c r="AK296" t="n">
        <v/>
      </c>
      <c r="AL296" t="n">
        <v/>
      </c>
      <c r="AM296" t="n">
        <v/>
      </c>
      <c r="AN296" t="n">
        <v/>
      </c>
      <c r="AO296" t="n">
        <v/>
      </c>
      <c r="AP296" t="n">
        <v/>
      </c>
      <c r="AQ296" t="n">
        <v/>
      </c>
      <c r="AR296" t="n">
        <v/>
      </c>
      <c r="AS296" t="n">
        <v/>
      </c>
      <c r="AT296" t="n">
        <v>15.363710748</v>
      </c>
      <c r="AU296" t="n">
        <v/>
      </c>
    </row>
    <row r="297">
      <c r="A297" s="106" t="n">
        <v>15919</v>
      </c>
      <c r="B297" t="n">
        <v/>
      </c>
      <c r="C297" t="n">
        <v/>
      </c>
      <c r="D297" t="n">
        <v/>
      </c>
      <c r="E297" t="n">
        <v/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/>
      </c>
      <c r="L297" t="n">
        <v/>
      </c>
      <c r="M297" t="n">
        <v/>
      </c>
      <c r="N297" t="n">
        <v/>
      </c>
      <c r="O297" t="n">
        <v/>
      </c>
      <c r="P297" t="n">
        <v/>
      </c>
      <c r="Q297" t="n">
        <v/>
      </c>
      <c r="R297" t="n">
        <v/>
      </c>
      <c r="S297" t="n">
        <v/>
      </c>
      <c r="T297" t="n">
        <v/>
      </c>
      <c r="U297" t="n">
        <v/>
      </c>
      <c r="V297" t="n">
        <v/>
      </c>
      <c r="W297" t="n">
        <v/>
      </c>
      <c r="X297" t="n">
        <v/>
      </c>
      <c r="Y297" t="n">
        <v/>
      </c>
      <c r="Z297" t="n">
        <v/>
      </c>
      <c r="AA297" t="n">
        <v/>
      </c>
      <c r="AB297" t="n">
        <v/>
      </c>
      <c r="AC297" t="n">
        <v/>
      </c>
      <c r="AD297" t="n">
        <v/>
      </c>
      <c r="AE297" t="n">
        <v/>
      </c>
      <c r="AF297" t="n">
        <v/>
      </c>
      <c r="AG297" t="n">
        <v/>
      </c>
      <c r="AH297" t="n">
        <v/>
      </c>
      <c r="AI297" t="n">
        <v/>
      </c>
      <c r="AJ297" t="n">
        <v/>
      </c>
      <c r="AK297" t="n">
        <v/>
      </c>
      <c r="AL297" t="n">
        <v/>
      </c>
      <c r="AM297" t="n">
        <v/>
      </c>
      <c r="AN297" t="n">
        <v/>
      </c>
      <c r="AO297" t="n">
        <v/>
      </c>
      <c r="AP297" t="n">
        <v/>
      </c>
      <c r="AQ297" t="n">
        <v/>
      </c>
      <c r="AR297" t="n">
        <v/>
      </c>
      <c r="AS297" t="n">
        <v/>
      </c>
      <c r="AT297" t="n">
        <v>15.684389203</v>
      </c>
      <c r="AU297" t="n">
        <v/>
      </c>
    </row>
    <row r="298">
      <c r="A298" s="106" t="n">
        <v>15950</v>
      </c>
      <c r="B298" t="n">
        <v/>
      </c>
      <c r="C298" t="n">
        <v/>
      </c>
      <c r="D298" t="n">
        <v/>
      </c>
      <c r="E298" t="n">
        <v/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/>
      </c>
      <c r="L298" t="n">
        <v/>
      </c>
      <c r="M298" t="n">
        <v/>
      </c>
      <c r="N298" t="n">
        <v/>
      </c>
      <c r="O298" t="n">
        <v/>
      </c>
      <c r="P298" t="n">
        <v/>
      </c>
      <c r="Q298" t="n">
        <v/>
      </c>
      <c r="R298" t="n">
        <v/>
      </c>
      <c r="S298" t="n">
        <v/>
      </c>
      <c r="T298" t="n">
        <v/>
      </c>
      <c r="U298" t="n">
        <v/>
      </c>
      <c r="V298" t="n">
        <v/>
      </c>
      <c r="W298" t="n">
        <v/>
      </c>
      <c r="X298" t="n">
        <v/>
      </c>
      <c r="Y298" t="n">
        <v/>
      </c>
      <c r="Z298" t="n">
        <v/>
      </c>
      <c r="AA298" t="n">
        <v/>
      </c>
      <c r="AB298" t="n">
        <v/>
      </c>
      <c r="AC298" t="n">
        <v/>
      </c>
      <c r="AD298" t="n">
        <v/>
      </c>
      <c r="AE298" t="n">
        <v/>
      </c>
      <c r="AF298" t="n">
        <v/>
      </c>
      <c r="AG298" t="n">
        <v/>
      </c>
      <c r="AH298" t="n">
        <v/>
      </c>
      <c r="AI298" t="n">
        <v/>
      </c>
      <c r="AJ298" t="n">
        <v/>
      </c>
      <c r="AK298" t="n">
        <v/>
      </c>
      <c r="AL298" t="n">
        <v/>
      </c>
      <c r="AM298" t="n">
        <v/>
      </c>
      <c r="AN298" t="n">
        <v/>
      </c>
      <c r="AO298" t="n">
        <v/>
      </c>
      <c r="AP298" t="n">
        <v/>
      </c>
      <c r="AQ298" t="n">
        <v/>
      </c>
      <c r="AR298" t="n">
        <v/>
      </c>
      <c r="AS298" t="n">
        <v/>
      </c>
      <c r="AT298" t="n">
        <v>16.085187693</v>
      </c>
      <c r="AU298" t="n">
        <v/>
      </c>
    </row>
    <row r="299">
      <c r="A299" s="106" t="n">
        <v>15980</v>
      </c>
      <c r="B299" t="n">
        <v/>
      </c>
      <c r="C299" t="n">
        <v/>
      </c>
      <c r="D299" t="n">
        <v/>
      </c>
      <c r="E299" t="n">
        <v/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/>
      </c>
      <c r="L299" t="n">
        <v/>
      </c>
      <c r="M299" t="n">
        <v/>
      </c>
      <c r="N299" t="n">
        <v/>
      </c>
      <c r="O299" t="n">
        <v/>
      </c>
      <c r="P299" t="n">
        <v/>
      </c>
      <c r="Q299" t="n">
        <v/>
      </c>
      <c r="R299" t="n">
        <v/>
      </c>
      <c r="S299" t="n">
        <v/>
      </c>
      <c r="T299" t="n">
        <v/>
      </c>
      <c r="U299" t="n">
        <v/>
      </c>
      <c r="V299" t="n">
        <v/>
      </c>
      <c r="W299" t="n">
        <v/>
      </c>
      <c r="X299" t="n">
        <v/>
      </c>
      <c r="Y299" t="n">
        <v/>
      </c>
      <c r="Z299" t="n">
        <v/>
      </c>
      <c r="AA299" t="n">
        <v/>
      </c>
      <c r="AB299" t="n">
        <v/>
      </c>
      <c r="AC299" t="n">
        <v/>
      </c>
      <c r="AD299" t="n">
        <v/>
      </c>
      <c r="AE299" t="n">
        <v/>
      </c>
      <c r="AF299" t="n">
        <v/>
      </c>
      <c r="AG299" t="n">
        <v/>
      </c>
      <c r="AH299" t="n">
        <v/>
      </c>
      <c r="AI299" t="n">
        <v/>
      </c>
      <c r="AJ299" t="n">
        <v/>
      </c>
      <c r="AK299" t="n">
        <v/>
      </c>
      <c r="AL299" t="n">
        <v/>
      </c>
      <c r="AM299" t="n">
        <v/>
      </c>
      <c r="AN299" t="n">
        <v/>
      </c>
      <c r="AO299" t="n">
        <v/>
      </c>
      <c r="AP299" t="n">
        <v/>
      </c>
      <c r="AQ299" t="n">
        <v/>
      </c>
      <c r="AR299" t="n">
        <v/>
      </c>
      <c r="AS299" t="n">
        <v/>
      </c>
      <c r="AT299" t="n">
        <v>16.325646955</v>
      </c>
      <c r="AU299" t="n">
        <v/>
      </c>
    </row>
    <row r="300">
      <c r="A300" s="106" t="n">
        <v>16011</v>
      </c>
      <c r="B300" t="n">
        <v/>
      </c>
      <c r="C300" t="n">
        <v/>
      </c>
      <c r="D300" t="n">
        <v/>
      </c>
      <c r="E300" t="n">
        <v/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/>
      </c>
      <c r="L300" t="n">
        <v/>
      </c>
      <c r="M300" t="n">
        <v/>
      </c>
      <c r="N300" t="n">
        <v/>
      </c>
      <c r="O300" t="n">
        <v/>
      </c>
      <c r="P300" t="n">
        <v/>
      </c>
      <c r="Q300" t="n">
        <v/>
      </c>
      <c r="R300" t="n">
        <v/>
      </c>
      <c r="S300" t="n">
        <v/>
      </c>
      <c r="T300" t="n">
        <v/>
      </c>
      <c r="U300" t="n">
        <v/>
      </c>
      <c r="V300" t="n">
        <v/>
      </c>
      <c r="W300" t="n">
        <v/>
      </c>
      <c r="X300" t="n">
        <v/>
      </c>
      <c r="Y300" t="n">
        <v/>
      </c>
      <c r="Z300" t="n">
        <v/>
      </c>
      <c r="AA300" t="n">
        <v/>
      </c>
      <c r="AB300" t="n">
        <v/>
      </c>
      <c r="AC300" t="n">
        <v/>
      </c>
      <c r="AD300" t="n">
        <v/>
      </c>
      <c r="AE300" t="n">
        <v/>
      </c>
      <c r="AF300" t="n">
        <v/>
      </c>
      <c r="AG300" t="n">
        <v/>
      </c>
      <c r="AH300" t="n">
        <v/>
      </c>
      <c r="AI300" t="n">
        <v/>
      </c>
      <c r="AJ300" t="n">
        <v/>
      </c>
      <c r="AK300" t="n">
        <v/>
      </c>
      <c r="AL300" t="n">
        <v/>
      </c>
      <c r="AM300" t="n">
        <v/>
      </c>
      <c r="AN300" t="n">
        <v/>
      </c>
      <c r="AO300" t="n">
        <v/>
      </c>
      <c r="AP300" t="n">
        <v/>
      </c>
      <c r="AQ300" t="n">
        <v/>
      </c>
      <c r="AR300" t="n">
        <v/>
      </c>
      <c r="AS300" t="n">
        <v/>
      </c>
      <c r="AT300" t="n">
        <v>16.539432592</v>
      </c>
      <c r="AU300" t="n">
        <v/>
      </c>
    </row>
    <row r="301">
      <c r="A301" s="106" t="n">
        <v>16041</v>
      </c>
      <c r="B301" t="n">
        <v/>
      </c>
      <c r="C301" t="n">
        <v/>
      </c>
      <c r="D301" t="n">
        <v/>
      </c>
      <c r="E301" t="n">
        <v/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/>
      </c>
      <c r="L301" t="n">
        <v/>
      </c>
      <c r="M301" t="n">
        <v/>
      </c>
      <c r="N301" t="n">
        <v/>
      </c>
      <c r="O301" t="n">
        <v/>
      </c>
      <c r="P301" t="n">
        <v/>
      </c>
      <c r="Q301" t="n">
        <v/>
      </c>
      <c r="R301" t="n">
        <v/>
      </c>
      <c r="S301" t="n">
        <v/>
      </c>
      <c r="T301" t="n">
        <v/>
      </c>
      <c r="U301" t="n">
        <v/>
      </c>
      <c r="V301" t="n">
        <v/>
      </c>
      <c r="W301" t="n">
        <v/>
      </c>
      <c r="X301" t="n">
        <v/>
      </c>
      <c r="Y301" t="n">
        <v/>
      </c>
      <c r="Z301" t="n">
        <v/>
      </c>
      <c r="AA301" t="n">
        <v/>
      </c>
      <c r="AB301" t="n">
        <v/>
      </c>
      <c r="AC301" t="n">
        <v/>
      </c>
      <c r="AD301" t="n">
        <v/>
      </c>
      <c r="AE301" t="n">
        <v/>
      </c>
      <c r="AF301" t="n">
        <v/>
      </c>
      <c r="AG301" t="n">
        <v/>
      </c>
      <c r="AH301" t="n">
        <v/>
      </c>
      <c r="AI301" t="n">
        <v/>
      </c>
      <c r="AJ301" t="n">
        <v/>
      </c>
      <c r="AK301" t="n">
        <v/>
      </c>
      <c r="AL301" t="n">
        <v/>
      </c>
      <c r="AM301" t="n">
        <v/>
      </c>
      <c r="AN301" t="n">
        <v/>
      </c>
      <c r="AO301" t="n">
        <v/>
      </c>
      <c r="AP301" t="n">
        <v/>
      </c>
      <c r="AQ301" t="n">
        <v/>
      </c>
      <c r="AR301" t="n">
        <v/>
      </c>
      <c r="AS301" t="n">
        <v/>
      </c>
      <c r="AT301" t="n">
        <v>16.325646955</v>
      </c>
      <c r="AU301" t="n">
        <v/>
      </c>
    </row>
    <row r="302">
      <c r="A302" s="106" t="n">
        <v>16072</v>
      </c>
      <c r="B302" t="n">
        <v/>
      </c>
      <c r="C302" t="n">
        <v/>
      </c>
      <c r="D302" t="n">
        <v/>
      </c>
      <c r="E302" t="n">
        <v/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/>
      </c>
      <c r="L302" t="n">
        <v/>
      </c>
      <c r="M302" t="n">
        <v/>
      </c>
      <c r="N302" t="n">
        <v/>
      </c>
      <c r="O302" t="n">
        <v/>
      </c>
      <c r="P302" t="n">
        <v/>
      </c>
      <c r="Q302" t="n">
        <v/>
      </c>
      <c r="R302" t="n">
        <v/>
      </c>
      <c r="S302" t="n">
        <v/>
      </c>
      <c r="T302" t="n">
        <v/>
      </c>
      <c r="U302" t="n">
        <v/>
      </c>
      <c r="V302" t="n">
        <v/>
      </c>
      <c r="W302" t="n">
        <v/>
      </c>
      <c r="X302" t="n">
        <v/>
      </c>
      <c r="Y302" t="n">
        <v/>
      </c>
      <c r="Z302" t="n">
        <v/>
      </c>
      <c r="AA302" t="n">
        <v/>
      </c>
      <c r="AB302" t="n">
        <v/>
      </c>
      <c r="AC302" t="n">
        <v/>
      </c>
      <c r="AD302" t="n">
        <v/>
      </c>
      <c r="AE302" t="n">
        <v/>
      </c>
      <c r="AF302" t="n">
        <v/>
      </c>
      <c r="AG302" t="n">
        <v/>
      </c>
      <c r="AH302" t="n">
        <v/>
      </c>
      <c r="AI302" t="n">
        <v/>
      </c>
      <c r="AJ302" t="n">
        <v/>
      </c>
      <c r="AK302" t="n">
        <v/>
      </c>
      <c r="AL302" t="n">
        <v/>
      </c>
      <c r="AM302" t="n">
        <v/>
      </c>
      <c r="AN302" t="n">
        <v/>
      </c>
      <c r="AO302" t="n">
        <v/>
      </c>
      <c r="AP302" t="n">
        <v/>
      </c>
      <c r="AQ302" t="n">
        <v/>
      </c>
      <c r="AR302" t="n">
        <v/>
      </c>
      <c r="AS302" t="n">
        <v/>
      </c>
      <c r="AT302" t="n">
        <v>16.512659808</v>
      </c>
      <c r="AU302" t="n">
        <v/>
      </c>
    </row>
    <row r="303">
      <c r="A303" s="106" t="n">
        <v>16103</v>
      </c>
      <c r="B303" t="n">
        <v/>
      </c>
      <c r="C303" t="n">
        <v/>
      </c>
      <c r="D303" t="n">
        <v/>
      </c>
      <c r="E303" t="n">
        <v/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/>
      </c>
      <c r="L303" t="n">
        <v/>
      </c>
      <c r="M303" t="n">
        <v/>
      </c>
      <c r="N303" t="n">
        <v/>
      </c>
      <c r="O303" t="n">
        <v/>
      </c>
      <c r="P303" t="n">
        <v/>
      </c>
      <c r="Q303" t="n">
        <v/>
      </c>
      <c r="R303" t="n">
        <v/>
      </c>
      <c r="S303" t="n">
        <v/>
      </c>
      <c r="T303" t="n">
        <v/>
      </c>
      <c r="U303" t="n">
        <v/>
      </c>
      <c r="V303" t="n">
        <v/>
      </c>
      <c r="W303" t="n">
        <v/>
      </c>
      <c r="X303" t="n">
        <v/>
      </c>
      <c r="Y303" t="n">
        <v/>
      </c>
      <c r="Z303" t="n">
        <v/>
      </c>
      <c r="AA303" t="n">
        <v/>
      </c>
      <c r="AB303" t="n">
        <v/>
      </c>
      <c r="AC303" t="n">
        <v/>
      </c>
      <c r="AD303" t="n">
        <v/>
      </c>
      <c r="AE303" t="n">
        <v/>
      </c>
      <c r="AF303" t="n">
        <v/>
      </c>
      <c r="AG303" t="n">
        <v/>
      </c>
      <c r="AH303" t="n">
        <v/>
      </c>
      <c r="AI303" t="n">
        <v/>
      </c>
      <c r="AJ303" t="n">
        <v/>
      </c>
      <c r="AK303" t="n">
        <v/>
      </c>
      <c r="AL303" t="n">
        <v/>
      </c>
      <c r="AM303" t="n">
        <v/>
      </c>
      <c r="AN303" t="n">
        <v/>
      </c>
      <c r="AO303" t="n">
        <v/>
      </c>
      <c r="AP303" t="n">
        <v/>
      </c>
      <c r="AQ303" t="n">
        <v/>
      </c>
      <c r="AR303" t="n">
        <v/>
      </c>
      <c r="AS303" t="n">
        <v/>
      </c>
      <c r="AT303" t="n">
        <v>16.646325411</v>
      </c>
      <c r="AU303" t="n">
        <v/>
      </c>
    </row>
    <row r="304">
      <c r="A304" s="106" t="n">
        <v>16132</v>
      </c>
      <c r="B304" t="n">
        <v/>
      </c>
      <c r="C304" t="n">
        <v/>
      </c>
      <c r="D304" t="n">
        <v/>
      </c>
      <c r="E304" t="n">
        <v/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/>
      </c>
      <c r="L304" t="n">
        <v/>
      </c>
      <c r="M304" t="n">
        <v/>
      </c>
      <c r="N304" t="n">
        <v/>
      </c>
      <c r="O304" t="n">
        <v/>
      </c>
      <c r="P304" t="n">
        <v/>
      </c>
      <c r="Q304" t="n">
        <v/>
      </c>
      <c r="R304" t="n">
        <v/>
      </c>
      <c r="S304" t="n">
        <v/>
      </c>
      <c r="T304" t="n">
        <v/>
      </c>
      <c r="U304" t="n">
        <v/>
      </c>
      <c r="V304" t="n">
        <v/>
      </c>
      <c r="W304" t="n">
        <v/>
      </c>
      <c r="X304" t="n">
        <v/>
      </c>
      <c r="Y304" t="n">
        <v/>
      </c>
      <c r="Z304" t="n">
        <v/>
      </c>
      <c r="AA304" t="n">
        <v/>
      </c>
      <c r="AB304" t="n">
        <v/>
      </c>
      <c r="AC304" t="n">
        <v/>
      </c>
      <c r="AD304" t="n">
        <v/>
      </c>
      <c r="AE304" t="n">
        <v/>
      </c>
      <c r="AF304" t="n">
        <v/>
      </c>
      <c r="AG304" t="n">
        <v/>
      </c>
      <c r="AH304" t="n">
        <v/>
      </c>
      <c r="AI304" t="n">
        <v/>
      </c>
      <c r="AJ304" t="n">
        <v/>
      </c>
      <c r="AK304" t="n">
        <v/>
      </c>
      <c r="AL304" t="n">
        <v/>
      </c>
      <c r="AM304" t="n">
        <v/>
      </c>
      <c r="AN304" t="n">
        <v/>
      </c>
      <c r="AO304" t="n">
        <v/>
      </c>
      <c r="AP304" t="n">
        <v/>
      </c>
      <c r="AQ304" t="n">
        <v/>
      </c>
      <c r="AR304" t="n">
        <v/>
      </c>
      <c r="AS304" t="n">
        <v/>
      </c>
      <c r="AT304" t="n">
        <v>16.619552627</v>
      </c>
      <c r="AU304" t="n">
        <v/>
      </c>
    </row>
    <row r="305">
      <c r="A305" s="106" t="n">
        <v>16163</v>
      </c>
      <c r="B305" t="n">
        <v/>
      </c>
      <c r="C305" t="n">
        <v/>
      </c>
      <c r="D305" t="n">
        <v/>
      </c>
      <c r="E305" t="n">
        <v/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/>
      </c>
      <c r="L305" t="n">
        <v/>
      </c>
      <c r="M305" t="n">
        <v/>
      </c>
      <c r="N305" t="n">
        <v/>
      </c>
      <c r="O305" t="n">
        <v/>
      </c>
      <c r="P305" t="n">
        <v/>
      </c>
      <c r="Q305" t="n">
        <v/>
      </c>
      <c r="R305" t="n">
        <v/>
      </c>
      <c r="S305" t="n">
        <v/>
      </c>
      <c r="T305" t="n">
        <v/>
      </c>
      <c r="U305" t="n">
        <v/>
      </c>
      <c r="V305" t="n">
        <v/>
      </c>
      <c r="W305" t="n">
        <v/>
      </c>
      <c r="X305" t="n">
        <v/>
      </c>
      <c r="Y305" t="n">
        <v/>
      </c>
      <c r="Z305" t="n">
        <v/>
      </c>
      <c r="AA305" t="n">
        <v/>
      </c>
      <c r="AB305" t="n">
        <v/>
      </c>
      <c r="AC305" t="n">
        <v/>
      </c>
      <c r="AD305" t="n">
        <v/>
      </c>
      <c r="AE305" t="n">
        <v/>
      </c>
      <c r="AF305" t="n">
        <v/>
      </c>
      <c r="AG305" t="n">
        <v/>
      </c>
      <c r="AH305" t="n">
        <v/>
      </c>
      <c r="AI305" t="n">
        <v/>
      </c>
      <c r="AJ305" t="n">
        <v/>
      </c>
      <c r="AK305" t="n">
        <v/>
      </c>
      <c r="AL305" t="n">
        <v/>
      </c>
      <c r="AM305" t="n">
        <v/>
      </c>
      <c r="AN305" t="n">
        <v/>
      </c>
      <c r="AO305" t="n">
        <v/>
      </c>
      <c r="AP305" t="n">
        <v/>
      </c>
      <c r="AQ305" t="n">
        <v/>
      </c>
      <c r="AR305" t="n">
        <v/>
      </c>
      <c r="AS305" t="n">
        <v/>
      </c>
      <c r="AT305" t="n">
        <v>16.619552627</v>
      </c>
      <c r="AU305" t="n">
        <v/>
      </c>
    </row>
    <row r="306">
      <c r="A306" s="106" t="n">
        <v>16193</v>
      </c>
      <c r="B306" t="n">
        <v/>
      </c>
      <c r="C306" t="n">
        <v/>
      </c>
      <c r="D306" t="n">
        <v/>
      </c>
      <c r="E306" t="n">
        <v/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/>
      </c>
      <c r="L306" t="n">
        <v/>
      </c>
      <c r="M306" t="n">
        <v/>
      </c>
      <c r="N306" t="n">
        <v/>
      </c>
      <c r="O306" t="n">
        <v/>
      </c>
      <c r="P306" t="n">
        <v/>
      </c>
      <c r="Q306" t="n">
        <v/>
      </c>
      <c r="R306" t="n">
        <v/>
      </c>
      <c r="S306" t="n">
        <v/>
      </c>
      <c r="T306" t="n">
        <v/>
      </c>
      <c r="U306" t="n">
        <v/>
      </c>
      <c r="V306" t="n">
        <v/>
      </c>
      <c r="W306" t="n">
        <v/>
      </c>
      <c r="X306" t="n">
        <v/>
      </c>
      <c r="Y306" t="n">
        <v/>
      </c>
      <c r="Z306" t="n">
        <v/>
      </c>
      <c r="AA306" t="n">
        <v/>
      </c>
      <c r="AB306" t="n">
        <v/>
      </c>
      <c r="AC306" t="n">
        <v/>
      </c>
      <c r="AD306" t="n">
        <v/>
      </c>
      <c r="AE306" t="n">
        <v/>
      </c>
      <c r="AF306" t="n">
        <v/>
      </c>
      <c r="AG306" t="n">
        <v/>
      </c>
      <c r="AH306" t="n">
        <v/>
      </c>
      <c r="AI306" t="n">
        <v/>
      </c>
      <c r="AJ306" t="n">
        <v/>
      </c>
      <c r="AK306" t="n">
        <v/>
      </c>
      <c r="AL306" t="n">
        <v/>
      </c>
      <c r="AM306" t="n">
        <v/>
      </c>
      <c r="AN306" t="n">
        <v/>
      </c>
      <c r="AO306" t="n">
        <v/>
      </c>
      <c r="AP306" t="n">
        <v/>
      </c>
      <c r="AQ306" t="n">
        <v/>
      </c>
      <c r="AR306" t="n">
        <v/>
      </c>
      <c r="AS306" t="n">
        <v/>
      </c>
      <c r="AT306" t="n">
        <v>16.512659808</v>
      </c>
      <c r="AU306" t="n">
        <v/>
      </c>
    </row>
    <row r="307">
      <c r="A307" s="106" t="n">
        <v>16224</v>
      </c>
      <c r="B307" t="n">
        <v/>
      </c>
      <c r="C307" t="n">
        <v/>
      </c>
      <c r="D307" t="n">
        <v/>
      </c>
      <c r="E307" t="n">
        <v/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/>
      </c>
      <c r="L307" t="n">
        <v/>
      </c>
      <c r="M307" t="n">
        <v/>
      </c>
      <c r="N307" t="n">
        <v/>
      </c>
      <c r="O307" t="n">
        <v/>
      </c>
      <c r="P307" t="n">
        <v/>
      </c>
      <c r="Q307" t="n">
        <v/>
      </c>
      <c r="R307" t="n">
        <v/>
      </c>
      <c r="S307" t="n">
        <v/>
      </c>
      <c r="T307" t="n">
        <v/>
      </c>
      <c r="U307" t="n">
        <v/>
      </c>
      <c r="V307" t="n">
        <v/>
      </c>
      <c r="W307" t="n">
        <v/>
      </c>
      <c r="X307" t="n">
        <v/>
      </c>
      <c r="Y307" t="n">
        <v/>
      </c>
      <c r="Z307" t="n">
        <v/>
      </c>
      <c r="AA307" t="n">
        <v/>
      </c>
      <c r="AB307" t="n">
        <v/>
      </c>
      <c r="AC307" t="n">
        <v/>
      </c>
      <c r="AD307" t="n">
        <v/>
      </c>
      <c r="AE307" t="n">
        <v/>
      </c>
      <c r="AF307" t="n">
        <v/>
      </c>
      <c r="AG307" t="n">
        <v/>
      </c>
      <c r="AH307" t="n">
        <v/>
      </c>
      <c r="AI307" t="n">
        <v/>
      </c>
      <c r="AJ307" t="n">
        <v/>
      </c>
      <c r="AK307" t="n">
        <v/>
      </c>
      <c r="AL307" t="n">
        <v/>
      </c>
      <c r="AM307" t="n">
        <v/>
      </c>
      <c r="AN307" t="n">
        <v/>
      </c>
      <c r="AO307" t="n">
        <v/>
      </c>
      <c r="AP307" t="n">
        <v/>
      </c>
      <c r="AQ307" t="n">
        <v/>
      </c>
      <c r="AR307" t="n">
        <v/>
      </c>
      <c r="AS307" t="n">
        <v/>
      </c>
      <c r="AT307" t="n">
        <v>16.459213399</v>
      </c>
      <c r="AU307" t="n">
        <v/>
      </c>
    </row>
    <row r="308">
      <c r="A308" s="106" t="n">
        <v>16254</v>
      </c>
      <c r="B308" t="n">
        <v/>
      </c>
      <c r="C308" t="n">
        <v/>
      </c>
      <c r="D308" t="n">
        <v/>
      </c>
      <c r="E308" t="n">
        <v/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/>
      </c>
      <c r="L308" t="n">
        <v/>
      </c>
      <c r="M308" t="n">
        <v/>
      </c>
      <c r="N308" t="n">
        <v/>
      </c>
      <c r="O308" t="n">
        <v/>
      </c>
      <c r="P308" t="n">
        <v/>
      </c>
      <c r="Q308" t="n">
        <v/>
      </c>
      <c r="R308" t="n">
        <v/>
      </c>
      <c r="S308" t="n">
        <v/>
      </c>
      <c r="T308" t="n">
        <v/>
      </c>
      <c r="U308" t="n">
        <v/>
      </c>
      <c r="V308" t="n">
        <v/>
      </c>
      <c r="W308" t="n">
        <v/>
      </c>
      <c r="X308" t="n">
        <v/>
      </c>
      <c r="Y308" t="n">
        <v/>
      </c>
      <c r="Z308" t="n">
        <v/>
      </c>
      <c r="AA308" t="n">
        <v/>
      </c>
      <c r="AB308" t="n">
        <v/>
      </c>
      <c r="AC308" t="n">
        <v/>
      </c>
      <c r="AD308" t="n">
        <v/>
      </c>
      <c r="AE308" t="n">
        <v/>
      </c>
      <c r="AF308" t="n">
        <v/>
      </c>
      <c r="AG308" t="n">
        <v/>
      </c>
      <c r="AH308" t="n">
        <v/>
      </c>
      <c r="AI308" t="n">
        <v/>
      </c>
      <c r="AJ308" t="n">
        <v/>
      </c>
      <c r="AK308" t="n">
        <v/>
      </c>
      <c r="AL308" t="n">
        <v/>
      </c>
      <c r="AM308" t="n">
        <v/>
      </c>
      <c r="AN308" t="n">
        <v/>
      </c>
      <c r="AO308" t="n">
        <v/>
      </c>
      <c r="AP308" t="n">
        <v/>
      </c>
      <c r="AQ308" t="n">
        <v/>
      </c>
      <c r="AR308" t="n">
        <v/>
      </c>
      <c r="AS308" t="n">
        <v/>
      </c>
      <c r="AT308" t="n">
        <v>16.432539774</v>
      </c>
      <c r="AU308" t="n">
        <v/>
      </c>
    </row>
    <row r="309">
      <c r="A309" s="106" t="n">
        <v>16285</v>
      </c>
      <c r="B309" t="n">
        <v/>
      </c>
      <c r="C309" t="n">
        <v/>
      </c>
      <c r="D309" t="n">
        <v/>
      </c>
      <c r="E309" t="n">
        <v/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/>
      </c>
      <c r="L309" t="n">
        <v/>
      </c>
      <c r="M309" t="n">
        <v/>
      </c>
      <c r="N309" t="n">
        <v/>
      </c>
      <c r="O309" t="n">
        <v/>
      </c>
      <c r="P309" t="n">
        <v/>
      </c>
      <c r="Q309" t="n">
        <v/>
      </c>
      <c r="R309" t="n">
        <v/>
      </c>
      <c r="S309" t="n">
        <v/>
      </c>
      <c r="T309" t="n">
        <v/>
      </c>
      <c r="U309" t="n">
        <v/>
      </c>
      <c r="V309" t="n">
        <v/>
      </c>
      <c r="W309" t="n">
        <v/>
      </c>
      <c r="X309" t="n">
        <v/>
      </c>
      <c r="Y309" t="n">
        <v/>
      </c>
      <c r="Z309" t="n">
        <v/>
      </c>
      <c r="AA309" t="n">
        <v/>
      </c>
      <c r="AB309" t="n">
        <v/>
      </c>
      <c r="AC309" t="n">
        <v/>
      </c>
      <c r="AD309" t="n">
        <v/>
      </c>
      <c r="AE309" t="n">
        <v/>
      </c>
      <c r="AF309" t="n">
        <v/>
      </c>
      <c r="AG309" t="n">
        <v/>
      </c>
      <c r="AH309" t="n">
        <v/>
      </c>
      <c r="AI309" t="n">
        <v/>
      </c>
      <c r="AJ309" t="n">
        <v/>
      </c>
      <c r="AK309" t="n">
        <v/>
      </c>
      <c r="AL309" t="n">
        <v/>
      </c>
      <c r="AM309" t="n">
        <v/>
      </c>
      <c r="AN309" t="n">
        <v/>
      </c>
      <c r="AO309" t="n">
        <v/>
      </c>
      <c r="AP309" t="n">
        <v/>
      </c>
      <c r="AQ309" t="n">
        <v/>
      </c>
      <c r="AR309" t="n">
        <v/>
      </c>
      <c r="AS309" t="n">
        <v/>
      </c>
      <c r="AT309" t="n">
        <v>16.646325411</v>
      </c>
      <c r="AU309" t="n">
        <v/>
      </c>
    </row>
    <row r="310">
      <c r="A310" s="106" t="n">
        <v>16316</v>
      </c>
      <c r="B310" t="n">
        <v/>
      </c>
      <c r="C310" t="n">
        <v/>
      </c>
      <c r="D310" t="n">
        <v/>
      </c>
      <c r="E310" t="n">
        <v/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/>
      </c>
      <c r="L310" t="n">
        <v/>
      </c>
      <c r="M310" t="n">
        <v/>
      </c>
      <c r="N310" t="n">
        <v/>
      </c>
      <c r="O310" t="n">
        <v/>
      </c>
      <c r="P310" t="n">
        <v/>
      </c>
      <c r="Q310" t="n">
        <v/>
      </c>
      <c r="R310" t="n">
        <v/>
      </c>
      <c r="S310" t="n">
        <v/>
      </c>
      <c r="T310" t="n">
        <v/>
      </c>
      <c r="U310" t="n">
        <v/>
      </c>
      <c r="V310" t="n">
        <v/>
      </c>
      <c r="W310" t="n">
        <v/>
      </c>
      <c r="X310" t="n">
        <v/>
      </c>
      <c r="Y310" t="n">
        <v/>
      </c>
      <c r="Z310" t="n">
        <v/>
      </c>
      <c r="AA310" t="n">
        <v/>
      </c>
      <c r="AB310" t="n">
        <v/>
      </c>
      <c r="AC310" t="n">
        <v/>
      </c>
      <c r="AD310" t="n">
        <v/>
      </c>
      <c r="AE310" t="n">
        <v/>
      </c>
      <c r="AF310" t="n">
        <v/>
      </c>
      <c r="AG310" t="n">
        <v/>
      </c>
      <c r="AH310" t="n">
        <v/>
      </c>
      <c r="AI310" t="n">
        <v/>
      </c>
      <c r="AJ310" t="n">
        <v/>
      </c>
      <c r="AK310" t="n">
        <v/>
      </c>
      <c r="AL310" t="n">
        <v/>
      </c>
      <c r="AM310" t="n">
        <v/>
      </c>
      <c r="AN310" t="n">
        <v/>
      </c>
      <c r="AO310" t="n">
        <v/>
      </c>
      <c r="AP310" t="n">
        <v/>
      </c>
      <c r="AQ310" t="n">
        <v/>
      </c>
      <c r="AR310" t="n">
        <v/>
      </c>
      <c r="AS310" t="n">
        <v/>
      </c>
      <c r="AT310" t="n">
        <v>16.539432592</v>
      </c>
      <c r="AU310" t="n">
        <v/>
      </c>
    </row>
    <row r="311">
      <c r="A311" s="106" t="n">
        <v>16346</v>
      </c>
      <c r="B311" t="n">
        <v/>
      </c>
      <c r="C311" t="n">
        <v/>
      </c>
      <c r="D311" t="n">
        <v/>
      </c>
      <c r="E311" t="n">
        <v/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/>
      </c>
      <c r="L311" t="n">
        <v/>
      </c>
      <c r="M311" t="n">
        <v/>
      </c>
      <c r="N311" t="n">
        <v/>
      </c>
      <c r="O311" t="n">
        <v/>
      </c>
      <c r="P311" t="n">
        <v/>
      </c>
      <c r="Q311" t="n">
        <v/>
      </c>
      <c r="R311" t="n">
        <v/>
      </c>
      <c r="S311" t="n">
        <v/>
      </c>
      <c r="T311" t="n">
        <v/>
      </c>
      <c r="U311" t="n">
        <v/>
      </c>
      <c r="V311" t="n">
        <v/>
      </c>
      <c r="W311" t="n">
        <v/>
      </c>
      <c r="X311" t="n">
        <v/>
      </c>
      <c r="Y311" t="n">
        <v/>
      </c>
      <c r="Z311" t="n">
        <v/>
      </c>
      <c r="AA311" t="n">
        <v/>
      </c>
      <c r="AB311" t="n">
        <v/>
      </c>
      <c r="AC311" t="n">
        <v/>
      </c>
      <c r="AD311" t="n">
        <v/>
      </c>
      <c r="AE311" t="n">
        <v/>
      </c>
      <c r="AF311" t="n">
        <v/>
      </c>
      <c r="AG311" t="n">
        <v/>
      </c>
      <c r="AH311" t="n">
        <v/>
      </c>
      <c r="AI311" t="n">
        <v/>
      </c>
      <c r="AJ311" t="n">
        <v/>
      </c>
      <c r="AK311" t="n">
        <v/>
      </c>
      <c r="AL311" t="n">
        <v/>
      </c>
      <c r="AM311" t="n">
        <v/>
      </c>
      <c r="AN311" t="n">
        <v/>
      </c>
      <c r="AO311" t="n">
        <v/>
      </c>
      <c r="AP311" t="n">
        <v/>
      </c>
      <c r="AQ311" t="n">
        <v/>
      </c>
      <c r="AR311" t="n">
        <v/>
      </c>
      <c r="AS311" t="n">
        <v/>
      </c>
      <c r="AT311" t="n">
        <v>16.592879001</v>
      </c>
      <c r="AU311" t="n">
        <v/>
      </c>
    </row>
    <row r="312">
      <c r="A312" s="106" t="n">
        <v>16377</v>
      </c>
      <c r="B312" t="n">
        <v/>
      </c>
      <c r="C312" t="n">
        <v/>
      </c>
      <c r="D312" t="n">
        <v/>
      </c>
      <c r="E312" t="n">
        <v/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/>
      </c>
      <c r="L312" t="n">
        <v/>
      </c>
      <c r="M312" t="n">
        <v/>
      </c>
      <c r="N312" t="n">
        <v/>
      </c>
      <c r="O312" t="n">
        <v/>
      </c>
      <c r="P312" t="n">
        <v/>
      </c>
      <c r="Q312" t="n">
        <v/>
      </c>
      <c r="R312" t="n">
        <v/>
      </c>
      <c r="S312" t="n">
        <v/>
      </c>
      <c r="T312" t="n">
        <v/>
      </c>
      <c r="U312" t="n">
        <v/>
      </c>
      <c r="V312" t="n">
        <v/>
      </c>
      <c r="W312" t="n">
        <v/>
      </c>
      <c r="X312" t="n">
        <v/>
      </c>
      <c r="Y312" t="n">
        <v/>
      </c>
      <c r="Z312" t="n">
        <v/>
      </c>
      <c r="AA312" t="n">
        <v/>
      </c>
      <c r="AB312" t="n">
        <v/>
      </c>
      <c r="AC312" t="n">
        <v/>
      </c>
      <c r="AD312" t="n">
        <v/>
      </c>
      <c r="AE312" t="n">
        <v/>
      </c>
      <c r="AF312" t="n">
        <v/>
      </c>
      <c r="AG312" t="n">
        <v/>
      </c>
      <c r="AH312" t="n">
        <v/>
      </c>
      <c r="AI312" t="n">
        <v/>
      </c>
      <c r="AJ312" t="n">
        <v/>
      </c>
      <c r="AK312" t="n">
        <v/>
      </c>
      <c r="AL312" t="n">
        <v/>
      </c>
      <c r="AM312" t="n">
        <v/>
      </c>
      <c r="AN312" t="n">
        <v/>
      </c>
      <c r="AO312" t="n">
        <v/>
      </c>
      <c r="AP312" t="n">
        <v/>
      </c>
      <c r="AQ312" t="n">
        <v/>
      </c>
      <c r="AR312" t="n">
        <v/>
      </c>
      <c r="AS312" t="n">
        <v/>
      </c>
      <c r="AT312" t="n">
        <v>16.459213399</v>
      </c>
      <c r="AU312" t="n">
        <v/>
      </c>
    </row>
    <row r="313">
      <c r="A313" s="106" t="n">
        <v>16407</v>
      </c>
      <c r="B313" t="n">
        <v/>
      </c>
      <c r="C313" t="n">
        <v/>
      </c>
      <c r="D313" t="n">
        <v/>
      </c>
      <c r="E313" t="n">
        <v/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/>
      </c>
      <c r="L313" t="n">
        <v/>
      </c>
      <c r="M313" t="n">
        <v/>
      </c>
      <c r="N313" t="n">
        <v/>
      </c>
      <c r="O313" t="n">
        <v/>
      </c>
      <c r="P313" t="n">
        <v/>
      </c>
      <c r="Q313" t="n">
        <v/>
      </c>
      <c r="R313" t="n">
        <v/>
      </c>
      <c r="S313" t="n">
        <v/>
      </c>
      <c r="T313" t="n">
        <v/>
      </c>
      <c r="U313" t="n">
        <v/>
      </c>
      <c r="V313" t="n">
        <v/>
      </c>
      <c r="W313" t="n">
        <v/>
      </c>
      <c r="X313" t="n">
        <v/>
      </c>
      <c r="Y313" t="n">
        <v/>
      </c>
      <c r="Z313" t="n">
        <v/>
      </c>
      <c r="AA313" t="n">
        <v/>
      </c>
      <c r="AB313" t="n">
        <v/>
      </c>
      <c r="AC313" t="n">
        <v/>
      </c>
      <c r="AD313" t="n">
        <v/>
      </c>
      <c r="AE313" t="n">
        <v/>
      </c>
      <c r="AF313" t="n">
        <v/>
      </c>
      <c r="AG313" t="n">
        <v/>
      </c>
      <c r="AH313" t="n">
        <v/>
      </c>
      <c r="AI313" t="n">
        <v/>
      </c>
      <c r="AJ313" t="n">
        <v/>
      </c>
      <c r="AK313" t="n">
        <v/>
      </c>
      <c r="AL313" t="n">
        <v/>
      </c>
      <c r="AM313" t="n">
        <v/>
      </c>
      <c r="AN313" t="n">
        <v/>
      </c>
      <c r="AO313" t="n">
        <v/>
      </c>
      <c r="AP313" t="n">
        <v/>
      </c>
      <c r="AQ313" t="n">
        <v/>
      </c>
      <c r="AR313" t="n">
        <v/>
      </c>
      <c r="AS313" t="n">
        <v/>
      </c>
      <c r="AT313" t="n">
        <v>16.40576699</v>
      </c>
      <c r="AU313" t="n">
        <v/>
      </c>
    </row>
    <row r="314">
      <c r="A314" s="106" t="n">
        <v>16438</v>
      </c>
      <c r="B314" t="n">
        <v/>
      </c>
      <c r="C314" t="n">
        <v/>
      </c>
      <c r="D314" t="n">
        <v/>
      </c>
      <c r="E314" t="n">
        <v/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/>
      </c>
      <c r="L314" t="n">
        <v/>
      </c>
      <c r="M314" t="n">
        <v/>
      </c>
      <c r="N314" t="n">
        <v/>
      </c>
      <c r="O314" t="n">
        <v/>
      </c>
      <c r="P314" t="n">
        <v/>
      </c>
      <c r="Q314" t="n">
        <v/>
      </c>
      <c r="R314" t="n">
        <v/>
      </c>
      <c r="S314" t="n">
        <v/>
      </c>
      <c r="T314" t="n">
        <v/>
      </c>
      <c r="U314" t="n">
        <v/>
      </c>
      <c r="V314" t="n">
        <v/>
      </c>
      <c r="W314" t="n">
        <v/>
      </c>
      <c r="X314" t="n">
        <v/>
      </c>
      <c r="Y314" t="n">
        <v/>
      </c>
      <c r="Z314" t="n">
        <v/>
      </c>
      <c r="AA314" t="n">
        <v/>
      </c>
      <c r="AB314" t="n">
        <v/>
      </c>
      <c r="AC314" t="n">
        <v/>
      </c>
      <c r="AD314" t="n">
        <v/>
      </c>
      <c r="AE314" t="n">
        <v/>
      </c>
      <c r="AF314" t="n">
        <v/>
      </c>
      <c r="AG314" t="n">
        <v/>
      </c>
      <c r="AH314" t="n">
        <v/>
      </c>
      <c r="AI314" t="n">
        <v/>
      </c>
      <c r="AJ314" t="n">
        <v/>
      </c>
      <c r="AK314" t="n">
        <v/>
      </c>
      <c r="AL314" t="n">
        <v/>
      </c>
      <c r="AM314" t="n">
        <v/>
      </c>
      <c r="AN314" t="n">
        <v/>
      </c>
      <c r="AO314" t="n">
        <v/>
      </c>
      <c r="AP314" t="n">
        <v/>
      </c>
      <c r="AQ314" t="n">
        <v/>
      </c>
      <c r="AR314" t="n">
        <v/>
      </c>
      <c r="AS314" t="n">
        <v/>
      </c>
      <c r="AT314" t="n">
        <v>16.245526921</v>
      </c>
      <c r="AU314" t="n">
        <v/>
      </c>
    </row>
    <row r="315">
      <c r="A315" s="106" t="n">
        <v>16469</v>
      </c>
      <c r="B315" t="n">
        <v/>
      </c>
      <c r="C315" t="n">
        <v/>
      </c>
      <c r="D315" t="n">
        <v/>
      </c>
      <c r="E315" t="n">
        <v/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/>
      </c>
      <c r="L315" t="n">
        <v/>
      </c>
      <c r="M315" t="n">
        <v/>
      </c>
      <c r="N315" t="n">
        <v/>
      </c>
      <c r="O315" t="n">
        <v/>
      </c>
      <c r="P315" t="n">
        <v/>
      </c>
      <c r="Q315" t="n">
        <v/>
      </c>
      <c r="R315" t="n">
        <v/>
      </c>
      <c r="S315" t="n">
        <v/>
      </c>
      <c r="T315" t="n">
        <v/>
      </c>
      <c r="U315" t="n">
        <v/>
      </c>
      <c r="V315" t="n">
        <v/>
      </c>
      <c r="W315" t="n">
        <v/>
      </c>
      <c r="X315" t="n">
        <v/>
      </c>
      <c r="Y315" t="n">
        <v/>
      </c>
      <c r="Z315" t="n">
        <v/>
      </c>
      <c r="AA315" t="n">
        <v/>
      </c>
      <c r="AB315" t="n">
        <v/>
      </c>
      <c r="AC315" t="n">
        <v/>
      </c>
      <c r="AD315" t="n">
        <v/>
      </c>
      <c r="AE315" t="n">
        <v/>
      </c>
      <c r="AF315" t="n">
        <v/>
      </c>
      <c r="AG315" t="n">
        <v/>
      </c>
      <c r="AH315" t="n">
        <v/>
      </c>
      <c r="AI315" t="n">
        <v/>
      </c>
      <c r="AJ315" t="n">
        <v/>
      </c>
      <c r="AK315" t="n">
        <v/>
      </c>
      <c r="AL315" t="n">
        <v/>
      </c>
      <c r="AM315" t="n">
        <v/>
      </c>
      <c r="AN315" t="n">
        <v/>
      </c>
      <c r="AO315" t="n">
        <v/>
      </c>
      <c r="AP315" t="n">
        <v/>
      </c>
      <c r="AQ315" t="n">
        <v/>
      </c>
      <c r="AR315" t="n">
        <v/>
      </c>
      <c r="AS315" t="n">
        <v/>
      </c>
      <c r="AT315" t="n">
        <v>16.192080511</v>
      </c>
      <c r="AU315" t="n">
        <v/>
      </c>
    </row>
    <row r="316">
      <c r="A316" s="106" t="n">
        <v>16497</v>
      </c>
      <c r="B316" t="n">
        <v/>
      </c>
      <c r="C316" t="n">
        <v/>
      </c>
      <c r="D316" t="n">
        <v/>
      </c>
      <c r="E316" t="n">
        <v/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/>
      </c>
      <c r="L316" t="n">
        <v/>
      </c>
      <c r="M316" t="n">
        <v/>
      </c>
      <c r="N316" t="n">
        <v/>
      </c>
      <c r="O316" t="n">
        <v/>
      </c>
      <c r="P316" t="n">
        <v/>
      </c>
      <c r="Q316" t="n">
        <v/>
      </c>
      <c r="R316" t="n">
        <v/>
      </c>
      <c r="S316" t="n">
        <v/>
      </c>
      <c r="T316" t="n">
        <v/>
      </c>
      <c r="U316" t="n">
        <v/>
      </c>
      <c r="V316" t="n">
        <v/>
      </c>
      <c r="W316" t="n">
        <v/>
      </c>
      <c r="X316" t="n">
        <v/>
      </c>
      <c r="Y316" t="n">
        <v/>
      </c>
      <c r="Z316" t="n">
        <v/>
      </c>
      <c r="AA316" t="n">
        <v/>
      </c>
      <c r="AB316" t="n">
        <v/>
      </c>
      <c r="AC316" t="n">
        <v/>
      </c>
      <c r="AD316" t="n">
        <v/>
      </c>
      <c r="AE316" t="n">
        <v/>
      </c>
      <c r="AF316" t="n">
        <v/>
      </c>
      <c r="AG316" t="n">
        <v/>
      </c>
      <c r="AH316" t="n">
        <v/>
      </c>
      <c r="AI316" t="n">
        <v/>
      </c>
      <c r="AJ316" t="n">
        <v/>
      </c>
      <c r="AK316" t="n">
        <v/>
      </c>
      <c r="AL316" t="n">
        <v/>
      </c>
      <c r="AM316" t="n">
        <v/>
      </c>
      <c r="AN316" t="n">
        <v/>
      </c>
      <c r="AO316" t="n">
        <v/>
      </c>
      <c r="AP316" t="n">
        <v/>
      </c>
      <c r="AQ316" t="n">
        <v/>
      </c>
      <c r="AR316" t="n">
        <v/>
      </c>
      <c r="AS316" t="n">
        <v/>
      </c>
      <c r="AT316" t="n">
        <v>16.085187693</v>
      </c>
      <c r="AU316" t="n">
        <v/>
      </c>
    </row>
    <row r="317">
      <c r="A317" s="106" t="n">
        <v>16528</v>
      </c>
      <c r="B317" t="n">
        <v/>
      </c>
      <c r="C317" t="n">
        <v/>
      </c>
      <c r="D317" t="n">
        <v/>
      </c>
      <c r="E317" t="n">
        <v/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/>
      </c>
      <c r="L317" t="n">
        <v/>
      </c>
      <c r="M317" t="n">
        <v/>
      </c>
      <c r="N317" t="n">
        <v/>
      </c>
      <c r="O317" t="n">
        <v/>
      </c>
      <c r="P317" t="n">
        <v/>
      </c>
      <c r="Q317" t="n">
        <v/>
      </c>
      <c r="R317" t="n">
        <v/>
      </c>
      <c r="S317" t="n">
        <v/>
      </c>
      <c r="T317" t="n">
        <v/>
      </c>
      <c r="U317" t="n">
        <v/>
      </c>
      <c r="V317" t="n">
        <v/>
      </c>
      <c r="W317" t="n">
        <v/>
      </c>
      <c r="X317" t="n">
        <v/>
      </c>
      <c r="Y317" t="n">
        <v/>
      </c>
      <c r="Z317" t="n">
        <v/>
      </c>
      <c r="AA317" t="n">
        <v/>
      </c>
      <c r="AB317" t="n">
        <v/>
      </c>
      <c r="AC317" t="n">
        <v/>
      </c>
      <c r="AD317" t="n">
        <v/>
      </c>
      <c r="AE317" t="n">
        <v/>
      </c>
      <c r="AF317" t="n">
        <v/>
      </c>
      <c r="AG317" t="n">
        <v/>
      </c>
      <c r="AH317" t="n">
        <v/>
      </c>
      <c r="AI317" t="n">
        <v/>
      </c>
      <c r="AJ317" t="n">
        <v/>
      </c>
      <c r="AK317" t="n">
        <v/>
      </c>
      <c r="AL317" t="n">
        <v/>
      </c>
      <c r="AM317" t="n">
        <v/>
      </c>
      <c r="AN317" t="n">
        <v/>
      </c>
      <c r="AO317" t="n">
        <v/>
      </c>
      <c r="AP317" t="n">
        <v/>
      </c>
      <c r="AQ317" t="n">
        <v/>
      </c>
      <c r="AR317" t="n">
        <v/>
      </c>
      <c r="AS317" t="n">
        <v/>
      </c>
      <c r="AT317" t="n">
        <v>15.791282021</v>
      </c>
      <c r="AU317" t="n">
        <v/>
      </c>
    </row>
    <row r="318">
      <c r="A318" s="106" t="n">
        <v>16558</v>
      </c>
      <c r="B318" t="n">
        <v/>
      </c>
      <c r="C318" t="n">
        <v/>
      </c>
      <c r="D318" t="n">
        <v/>
      </c>
      <c r="E318" t="n">
        <v/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/>
      </c>
      <c r="L318" t="n">
        <v/>
      </c>
      <c r="M318" t="n">
        <v/>
      </c>
      <c r="N318" t="n">
        <v/>
      </c>
      <c r="O318" t="n">
        <v/>
      </c>
      <c r="P318" t="n">
        <v/>
      </c>
      <c r="Q318" t="n">
        <v/>
      </c>
      <c r="R318" t="n">
        <v/>
      </c>
      <c r="S318" t="n">
        <v/>
      </c>
      <c r="T318" t="n">
        <v/>
      </c>
      <c r="U318" t="n">
        <v/>
      </c>
      <c r="V318" t="n">
        <v/>
      </c>
      <c r="W318" t="n">
        <v/>
      </c>
      <c r="X318" t="n">
        <v/>
      </c>
      <c r="Y318" t="n">
        <v/>
      </c>
      <c r="Z318" t="n">
        <v/>
      </c>
      <c r="AA318" t="n">
        <v/>
      </c>
      <c r="AB318" t="n">
        <v/>
      </c>
      <c r="AC318" t="n">
        <v/>
      </c>
      <c r="AD318" t="n">
        <v/>
      </c>
      <c r="AE318" t="n">
        <v/>
      </c>
      <c r="AF318" t="n">
        <v/>
      </c>
      <c r="AG318" t="n">
        <v/>
      </c>
      <c r="AH318" t="n">
        <v/>
      </c>
      <c r="AI318" t="n">
        <v/>
      </c>
      <c r="AJ318" t="n">
        <v/>
      </c>
      <c r="AK318" t="n">
        <v/>
      </c>
      <c r="AL318" t="n">
        <v/>
      </c>
      <c r="AM318" t="n">
        <v/>
      </c>
      <c r="AN318" t="n">
        <v/>
      </c>
      <c r="AO318" t="n">
        <v/>
      </c>
      <c r="AP318" t="n">
        <v/>
      </c>
      <c r="AQ318" t="n">
        <v/>
      </c>
      <c r="AR318" t="n">
        <v/>
      </c>
      <c r="AS318" t="n">
        <v/>
      </c>
      <c r="AT318" t="n">
        <v>15.363710748</v>
      </c>
      <c r="AU318" t="n">
        <v/>
      </c>
    </row>
    <row r="319">
      <c r="A319" s="106" t="n">
        <v>16589</v>
      </c>
      <c r="B319" t="n">
        <v/>
      </c>
      <c r="C319" t="n">
        <v/>
      </c>
      <c r="D319" t="n">
        <v/>
      </c>
      <c r="E319" t="n">
        <v/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/>
      </c>
      <c r="L319" t="n">
        <v/>
      </c>
      <c r="M319" t="n">
        <v/>
      </c>
      <c r="N319" t="n">
        <v/>
      </c>
      <c r="O319" t="n">
        <v/>
      </c>
      <c r="P319" t="n">
        <v/>
      </c>
      <c r="Q319" t="n">
        <v/>
      </c>
      <c r="R319" t="n">
        <v/>
      </c>
      <c r="S319" t="n">
        <v/>
      </c>
      <c r="T319" t="n">
        <v/>
      </c>
      <c r="U319" t="n">
        <v/>
      </c>
      <c r="V319" t="n">
        <v/>
      </c>
      <c r="W319" t="n">
        <v/>
      </c>
      <c r="X319" t="n">
        <v/>
      </c>
      <c r="Y319" t="n">
        <v/>
      </c>
      <c r="Z319" t="n">
        <v/>
      </c>
      <c r="AA319" t="n">
        <v/>
      </c>
      <c r="AB319" t="n">
        <v/>
      </c>
      <c r="AC319" t="n">
        <v/>
      </c>
      <c r="AD319" t="n">
        <v/>
      </c>
      <c r="AE319" t="n">
        <v/>
      </c>
      <c r="AF319" t="n">
        <v/>
      </c>
      <c r="AG319" t="n">
        <v/>
      </c>
      <c r="AH319" t="n">
        <v/>
      </c>
      <c r="AI319" t="n">
        <v/>
      </c>
      <c r="AJ319" t="n">
        <v/>
      </c>
      <c r="AK319" t="n">
        <v/>
      </c>
      <c r="AL319" t="n">
        <v/>
      </c>
      <c r="AM319" t="n">
        <v/>
      </c>
      <c r="AN319" t="n">
        <v/>
      </c>
      <c r="AO319" t="n">
        <v/>
      </c>
      <c r="AP319" t="n">
        <v/>
      </c>
      <c r="AQ319" t="n">
        <v/>
      </c>
      <c r="AR319" t="n">
        <v/>
      </c>
      <c r="AS319" t="n">
        <v/>
      </c>
      <c r="AT319" t="n">
        <v>15.016358667</v>
      </c>
      <c r="AU319" t="n">
        <v/>
      </c>
    </row>
    <row r="320">
      <c r="A320" s="106" t="n">
        <v>16619</v>
      </c>
      <c r="B320" t="n">
        <v/>
      </c>
      <c r="C320" t="n">
        <v/>
      </c>
      <c r="D320" t="n">
        <v/>
      </c>
      <c r="E320" t="n">
        <v/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/>
      </c>
      <c r="L320" t="n">
        <v/>
      </c>
      <c r="M320" t="n">
        <v/>
      </c>
      <c r="N320" t="n">
        <v/>
      </c>
      <c r="O320" t="n">
        <v/>
      </c>
      <c r="P320" t="n">
        <v/>
      </c>
      <c r="Q320" t="n">
        <v/>
      </c>
      <c r="R320" t="n">
        <v/>
      </c>
      <c r="S320" t="n">
        <v/>
      </c>
      <c r="T320" t="n">
        <v/>
      </c>
      <c r="U320" t="n">
        <v/>
      </c>
      <c r="V320" t="n">
        <v/>
      </c>
      <c r="W320" t="n">
        <v/>
      </c>
      <c r="X320" t="n">
        <v/>
      </c>
      <c r="Y320" t="n">
        <v/>
      </c>
      <c r="Z320" t="n">
        <v/>
      </c>
      <c r="AA320" t="n">
        <v/>
      </c>
      <c r="AB320" t="n">
        <v/>
      </c>
      <c r="AC320" t="n">
        <v/>
      </c>
      <c r="AD320" t="n">
        <v/>
      </c>
      <c r="AE320" t="n">
        <v/>
      </c>
      <c r="AF320" t="n">
        <v/>
      </c>
      <c r="AG320" t="n">
        <v/>
      </c>
      <c r="AH320" t="n">
        <v/>
      </c>
      <c r="AI320" t="n">
        <v/>
      </c>
      <c r="AJ320" t="n">
        <v/>
      </c>
      <c r="AK320" t="n">
        <v/>
      </c>
      <c r="AL320" t="n">
        <v/>
      </c>
      <c r="AM320" t="n">
        <v/>
      </c>
      <c r="AN320" t="n">
        <v/>
      </c>
      <c r="AO320" t="n">
        <v/>
      </c>
      <c r="AP320" t="n">
        <v/>
      </c>
      <c r="AQ320" t="n">
        <v/>
      </c>
      <c r="AR320" t="n">
        <v/>
      </c>
      <c r="AS320" t="n">
        <v/>
      </c>
      <c r="AT320" t="n">
        <v>14.669006586</v>
      </c>
      <c r="AU320" t="n">
        <v/>
      </c>
    </row>
    <row r="321">
      <c r="A321" s="106" t="n">
        <v>16650</v>
      </c>
      <c r="B321" t="n">
        <v/>
      </c>
      <c r="C321" t="n">
        <v/>
      </c>
      <c r="D321" t="n">
        <v/>
      </c>
      <c r="E321" t="n">
        <v/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/>
      </c>
      <c r="L321" t="n">
        <v/>
      </c>
      <c r="M321" t="n">
        <v/>
      </c>
      <c r="N321" t="n">
        <v/>
      </c>
      <c r="O321" t="n">
        <v/>
      </c>
      <c r="P321" t="n">
        <v/>
      </c>
      <c r="Q321" t="n">
        <v/>
      </c>
      <c r="R321" t="n">
        <v/>
      </c>
      <c r="S321" t="n">
        <v/>
      </c>
      <c r="T321" t="n">
        <v/>
      </c>
      <c r="U321" t="n">
        <v/>
      </c>
      <c r="V321" t="n">
        <v/>
      </c>
      <c r="W321" t="n">
        <v/>
      </c>
      <c r="X321" t="n">
        <v/>
      </c>
      <c r="Y321" t="n">
        <v/>
      </c>
      <c r="Z321" t="n">
        <v/>
      </c>
      <c r="AA321" t="n">
        <v/>
      </c>
      <c r="AB321" t="n">
        <v/>
      </c>
      <c r="AC321" t="n">
        <v/>
      </c>
      <c r="AD321" t="n">
        <v/>
      </c>
      <c r="AE321" t="n">
        <v/>
      </c>
      <c r="AF321" t="n">
        <v/>
      </c>
      <c r="AG321" t="n">
        <v/>
      </c>
      <c r="AH321" t="n">
        <v/>
      </c>
      <c r="AI321" t="n">
        <v/>
      </c>
      <c r="AJ321" t="n">
        <v/>
      </c>
      <c r="AK321" t="n">
        <v/>
      </c>
      <c r="AL321" t="n">
        <v/>
      </c>
      <c r="AM321" t="n">
        <v/>
      </c>
      <c r="AN321" t="n">
        <v/>
      </c>
      <c r="AO321" t="n">
        <v/>
      </c>
      <c r="AP321" t="n">
        <v/>
      </c>
      <c r="AQ321" t="n">
        <v/>
      </c>
      <c r="AR321" t="n">
        <v/>
      </c>
      <c r="AS321" t="n">
        <v/>
      </c>
      <c r="AT321" t="n">
        <v>13.146031819</v>
      </c>
      <c r="AU321" t="n">
        <v/>
      </c>
    </row>
    <row r="322">
      <c r="A322" s="106" t="n">
        <v>16681</v>
      </c>
      <c r="B322" t="n">
        <v/>
      </c>
      <c r="C322" t="n">
        <v/>
      </c>
      <c r="D322" t="n">
        <v/>
      </c>
      <c r="E322" t="n">
        <v/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/>
      </c>
      <c r="L322" t="n">
        <v/>
      </c>
      <c r="M322" t="n">
        <v/>
      </c>
      <c r="N322" t="n">
        <v/>
      </c>
      <c r="O322" t="n">
        <v/>
      </c>
      <c r="P322" t="n">
        <v/>
      </c>
      <c r="Q322" t="n">
        <v/>
      </c>
      <c r="R322" t="n">
        <v/>
      </c>
      <c r="S322" t="n">
        <v/>
      </c>
      <c r="T322" t="n">
        <v/>
      </c>
      <c r="U322" t="n">
        <v/>
      </c>
      <c r="V322" t="n">
        <v/>
      </c>
      <c r="W322" t="n">
        <v/>
      </c>
      <c r="X322" t="n">
        <v/>
      </c>
      <c r="Y322" t="n">
        <v/>
      </c>
      <c r="Z322" t="n">
        <v/>
      </c>
      <c r="AA322" t="n">
        <v/>
      </c>
      <c r="AB322" t="n">
        <v/>
      </c>
      <c r="AC322" t="n">
        <v/>
      </c>
      <c r="AD322" t="n">
        <v/>
      </c>
      <c r="AE322" t="n">
        <v/>
      </c>
      <c r="AF322" t="n">
        <v/>
      </c>
      <c r="AG322" t="n">
        <v/>
      </c>
      <c r="AH322" t="n">
        <v/>
      </c>
      <c r="AI322" t="n">
        <v/>
      </c>
      <c r="AJ322" t="n">
        <v/>
      </c>
      <c r="AK322" t="n">
        <v/>
      </c>
      <c r="AL322" t="n">
        <v/>
      </c>
      <c r="AM322" t="n">
        <v/>
      </c>
      <c r="AN322" t="n">
        <v/>
      </c>
      <c r="AO322" t="n">
        <v/>
      </c>
      <c r="AP322" t="n">
        <v/>
      </c>
      <c r="AQ322" t="n">
        <v/>
      </c>
      <c r="AR322" t="n">
        <v/>
      </c>
      <c r="AS322" t="n">
        <v/>
      </c>
      <c r="AT322" t="n">
        <v>11.970409133</v>
      </c>
      <c r="AU322" t="n">
        <v/>
      </c>
    </row>
    <row r="323">
      <c r="A323" s="106" t="n">
        <v>16711</v>
      </c>
      <c r="B323" t="n">
        <v/>
      </c>
      <c r="C323" t="n">
        <v/>
      </c>
      <c r="D323" t="n">
        <v/>
      </c>
      <c r="E323" t="n">
        <v/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/>
      </c>
      <c r="L323" t="n">
        <v/>
      </c>
      <c r="M323" t="n">
        <v/>
      </c>
      <c r="N323" t="n">
        <v/>
      </c>
      <c r="O323" t="n">
        <v/>
      </c>
      <c r="P323" t="n">
        <v/>
      </c>
      <c r="Q323" t="n">
        <v/>
      </c>
      <c r="R323" t="n">
        <v/>
      </c>
      <c r="S323" t="n">
        <v/>
      </c>
      <c r="T323" t="n">
        <v/>
      </c>
      <c r="U323" t="n">
        <v/>
      </c>
      <c r="V323" t="n">
        <v/>
      </c>
      <c r="W323" t="n">
        <v/>
      </c>
      <c r="X323" t="n">
        <v/>
      </c>
      <c r="Y323" t="n">
        <v/>
      </c>
      <c r="Z323" t="n">
        <v/>
      </c>
      <c r="AA323" t="n">
        <v/>
      </c>
      <c r="AB323" t="n">
        <v/>
      </c>
      <c r="AC323" t="n">
        <v/>
      </c>
      <c r="AD323" t="n">
        <v/>
      </c>
      <c r="AE323" t="n">
        <v/>
      </c>
      <c r="AF323" t="n">
        <v/>
      </c>
      <c r="AG323" t="n">
        <v/>
      </c>
      <c r="AH323" t="n">
        <v/>
      </c>
      <c r="AI323" t="n">
        <v/>
      </c>
      <c r="AJ323" t="n">
        <v/>
      </c>
      <c r="AK323" t="n">
        <v/>
      </c>
      <c r="AL323" t="n">
        <v/>
      </c>
      <c r="AM323" t="n">
        <v/>
      </c>
      <c r="AN323" t="n">
        <v/>
      </c>
      <c r="AO323" t="n">
        <v/>
      </c>
      <c r="AP323" t="n">
        <v/>
      </c>
      <c r="AQ323" t="n">
        <v/>
      </c>
      <c r="AR323" t="n">
        <v/>
      </c>
      <c r="AS323" t="n">
        <v/>
      </c>
      <c r="AT323" t="n">
        <v>11.48939145</v>
      </c>
      <c r="AU323" t="n">
        <v/>
      </c>
    </row>
    <row r="324">
      <c r="A324" s="106" t="n">
        <v>16742</v>
      </c>
      <c r="B324" t="n">
        <v/>
      </c>
      <c r="C324" t="n">
        <v/>
      </c>
      <c r="D324" t="n">
        <v/>
      </c>
      <c r="E324" t="n">
        <v/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/>
      </c>
      <c r="L324" t="n">
        <v/>
      </c>
      <c r="M324" t="n">
        <v/>
      </c>
      <c r="N324" t="n">
        <v/>
      </c>
      <c r="O324" t="n">
        <v/>
      </c>
      <c r="P324" t="n">
        <v/>
      </c>
      <c r="Q324" t="n">
        <v/>
      </c>
      <c r="R324" t="n">
        <v/>
      </c>
      <c r="S324" t="n">
        <v/>
      </c>
      <c r="T324" t="n">
        <v/>
      </c>
      <c r="U324" t="n">
        <v/>
      </c>
      <c r="V324" t="n">
        <v/>
      </c>
      <c r="W324" t="n">
        <v/>
      </c>
      <c r="X324" t="n">
        <v/>
      </c>
      <c r="Y324" t="n">
        <v/>
      </c>
      <c r="Z324" t="n">
        <v/>
      </c>
      <c r="AA324" t="n">
        <v/>
      </c>
      <c r="AB324" t="n">
        <v/>
      </c>
      <c r="AC324" t="n">
        <v/>
      </c>
      <c r="AD324" t="n">
        <v/>
      </c>
      <c r="AE324" t="n">
        <v/>
      </c>
      <c r="AF324" t="n">
        <v/>
      </c>
      <c r="AG324" t="n">
        <v/>
      </c>
      <c r="AH324" t="n">
        <v/>
      </c>
      <c r="AI324" t="n">
        <v/>
      </c>
      <c r="AJ324" t="n">
        <v/>
      </c>
      <c r="AK324" t="n">
        <v/>
      </c>
      <c r="AL324" t="n">
        <v/>
      </c>
      <c r="AM324" t="n">
        <v/>
      </c>
      <c r="AN324" t="n">
        <v/>
      </c>
      <c r="AO324" t="n">
        <v/>
      </c>
      <c r="AP324" t="n">
        <v/>
      </c>
      <c r="AQ324" t="n">
        <v/>
      </c>
      <c r="AR324" t="n">
        <v/>
      </c>
      <c r="AS324" t="n">
        <v/>
      </c>
      <c r="AT324" t="n">
        <v>11.916962724</v>
      </c>
      <c r="AU324" t="n">
        <v/>
      </c>
    </row>
    <row r="325">
      <c r="A325" s="106" t="n">
        <v>16772</v>
      </c>
      <c r="B325" t="n">
        <v/>
      </c>
      <c r="C325" t="n">
        <v/>
      </c>
      <c r="D325" t="n">
        <v/>
      </c>
      <c r="E325" t="n">
        <v/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/>
      </c>
      <c r="L325" t="n">
        <v/>
      </c>
      <c r="M325" t="n">
        <v/>
      </c>
      <c r="N325" t="n">
        <v/>
      </c>
      <c r="O325" t="n">
        <v/>
      </c>
      <c r="P325" t="n">
        <v/>
      </c>
      <c r="Q325" t="n">
        <v/>
      </c>
      <c r="R325" t="n">
        <v/>
      </c>
      <c r="S325" t="n">
        <v/>
      </c>
      <c r="T325" t="n">
        <v/>
      </c>
      <c r="U325" t="n">
        <v/>
      </c>
      <c r="V325" t="n">
        <v/>
      </c>
      <c r="W325" t="n">
        <v/>
      </c>
      <c r="X325" t="n">
        <v/>
      </c>
      <c r="Y325" t="n">
        <v/>
      </c>
      <c r="Z325" t="n">
        <v/>
      </c>
      <c r="AA325" t="n">
        <v/>
      </c>
      <c r="AB325" t="n">
        <v/>
      </c>
      <c r="AC325" t="n">
        <v/>
      </c>
      <c r="AD325" t="n">
        <v/>
      </c>
      <c r="AE325" t="n">
        <v/>
      </c>
      <c r="AF325" t="n">
        <v/>
      </c>
      <c r="AG325" t="n">
        <v/>
      </c>
      <c r="AH325" t="n">
        <v/>
      </c>
      <c r="AI325" t="n">
        <v/>
      </c>
      <c r="AJ325" t="n">
        <v/>
      </c>
      <c r="AK325" t="n">
        <v/>
      </c>
      <c r="AL325" t="n">
        <v/>
      </c>
      <c r="AM325" t="n">
        <v/>
      </c>
      <c r="AN325" t="n">
        <v/>
      </c>
      <c r="AO325" t="n">
        <v/>
      </c>
      <c r="AP325" t="n">
        <v/>
      </c>
      <c r="AQ325" t="n">
        <v/>
      </c>
      <c r="AR325" t="n">
        <v/>
      </c>
      <c r="AS325" t="n">
        <v/>
      </c>
      <c r="AT325" t="n">
        <v>11.970409133</v>
      </c>
      <c r="AU325" t="n">
        <v/>
      </c>
    </row>
    <row r="326">
      <c r="A326" s="106" t="n">
        <v>16803</v>
      </c>
      <c r="B326" t="n">
        <v/>
      </c>
      <c r="C326" t="n">
        <v/>
      </c>
      <c r="D326" t="n">
        <v/>
      </c>
      <c r="E326" t="n">
        <v/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/>
      </c>
      <c r="L326" t="n">
        <v/>
      </c>
      <c r="M326" t="n">
        <v/>
      </c>
      <c r="N326" t="n">
        <v/>
      </c>
      <c r="O326" t="n">
        <v/>
      </c>
      <c r="P326" t="n">
        <v/>
      </c>
      <c r="Q326" t="n">
        <v/>
      </c>
      <c r="R326" t="n">
        <v/>
      </c>
      <c r="S326" t="n">
        <v/>
      </c>
      <c r="T326" t="n">
        <v/>
      </c>
      <c r="U326" t="n">
        <v/>
      </c>
      <c r="V326" t="n">
        <v/>
      </c>
      <c r="W326" t="n">
        <v/>
      </c>
      <c r="X326" t="n">
        <v/>
      </c>
      <c r="Y326" t="n">
        <v/>
      </c>
      <c r="Z326" t="n">
        <v/>
      </c>
      <c r="AA326" t="n">
        <v/>
      </c>
      <c r="AB326" t="n">
        <v/>
      </c>
      <c r="AC326" t="n">
        <v/>
      </c>
      <c r="AD326" t="n">
        <v/>
      </c>
      <c r="AE326" t="n">
        <v/>
      </c>
      <c r="AF326" t="n">
        <v/>
      </c>
      <c r="AG326" t="n">
        <v/>
      </c>
      <c r="AH326" t="n">
        <v/>
      </c>
      <c r="AI326" t="n">
        <v/>
      </c>
      <c r="AJ326" t="n">
        <v/>
      </c>
      <c r="AK326" t="n">
        <v/>
      </c>
      <c r="AL326" t="n">
        <v/>
      </c>
      <c r="AM326" t="n">
        <v/>
      </c>
      <c r="AN326" t="n">
        <v/>
      </c>
      <c r="AO326" t="n">
        <v/>
      </c>
      <c r="AP326" t="n">
        <v/>
      </c>
      <c r="AQ326" t="n">
        <v/>
      </c>
      <c r="AR326" t="n">
        <v/>
      </c>
      <c r="AS326" t="n">
        <v/>
      </c>
      <c r="AT326" t="n">
        <v>11.302378597</v>
      </c>
      <c r="AU326" t="n">
        <v/>
      </c>
    </row>
    <row r="327">
      <c r="A327" s="106" t="n">
        <v>16834</v>
      </c>
      <c r="B327" t="n">
        <v/>
      </c>
      <c r="C327" t="n">
        <v/>
      </c>
      <c r="D327" t="n">
        <v/>
      </c>
      <c r="E327" t="n">
        <v/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/>
      </c>
      <c r="L327" t="n">
        <v/>
      </c>
      <c r="M327" t="n">
        <v/>
      </c>
      <c r="N327" t="n">
        <v/>
      </c>
      <c r="O327" t="n">
        <v/>
      </c>
      <c r="P327" t="n">
        <v/>
      </c>
      <c r="Q327" t="n">
        <v/>
      </c>
      <c r="R327" t="n">
        <v/>
      </c>
      <c r="S327" t="n">
        <v/>
      </c>
      <c r="T327" t="n">
        <v/>
      </c>
      <c r="U327" t="n">
        <v/>
      </c>
      <c r="V327" t="n">
        <v/>
      </c>
      <c r="W327" t="n">
        <v/>
      </c>
      <c r="X327" t="n">
        <v/>
      </c>
      <c r="Y327" t="n">
        <v/>
      </c>
      <c r="Z327" t="n">
        <v/>
      </c>
      <c r="AA327" t="n">
        <v/>
      </c>
      <c r="AB327" t="n">
        <v/>
      </c>
      <c r="AC327" t="n">
        <v/>
      </c>
      <c r="AD327" t="n">
        <v/>
      </c>
      <c r="AE327" t="n">
        <v/>
      </c>
      <c r="AF327" t="n">
        <v/>
      </c>
      <c r="AG327" t="n">
        <v/>
      </c>
      <c r="AH327" t="n">
        <v/>
      </c>
      <c r="AI327" t="n">
        <v/>
      </c>
      <c r="AJ327" t="n">
        <v/>
      </c>
      <c r="AK327" t="n">
        <v/>
      </c>
      <c r="AL327" t="n">
        <v/>
      </c>
      <c r="AM327" t="n">
        <v/>
      </c>
      <c r="AN327" t="n">
        <v/>
      </c>
      <c r="AO327" t="n">
        <v/>
      </c>
      <c r="AP327" t="n">
        <v/>
      </c>
      <c r="AQ327" t="n">
        <v/>
      </c>
      <c r="AR327" t="n">
        <v/>
      </c>
      <c r="AS327" t="n">
        <v/>
      </c>
      <c r="AT327" t="n">
        <v>10.741240879</v>
      </c>
      <c r="AU327" t="n">
        <v/>
      </c>
    </row>
    <row r="328">
      <c r="A328" s="106" t="n">
        <v>16862</v>
      </c>
      <c r="B328" t="n">
        <v/>
      </c>
      <c r="C328" t="n">
        <v/>
      </c>
      <c r="D328" t="n">
        <v/>
      </c>
      <c r="E328" t="n">
        <v/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/>
      </c>
      <c r="L328" t="n">
        <v/>
      </c>
      <c r="M328" t="n">
        <v/>
      </c>
      <c r="N328" t="n">
        <v/>
      </c>
      <c r="O328" t="n">
        <v/>
      </c>
      <c r="P328" t="n">
        <v/>
      </c>
      <c r="Q328" t="n">
        <v/>
      </c>
      <c r="R328" t="n">
        <v/>
      </c>
      <c r="S328" t="n">
        <v/>
      </c>
      <c r="T328" t="n">
        <v/>
      </c>
      <c r="U328" t="n">
        <v/>
      </c>
      <c r="V328" t="n">
        <v/>
      </c>
      <c r="W328" t="n">
        <v/>
      </c>
      <c r="X328" t="n">
        <v/>
      </c>
      <c r="Y328" t="n">
        <v/>
      </c>
      <c r="Z328" t="n">
        <v/>
      </c>
      <c r="AA328" t="n">
        <v/>
      </c>
      <c r="AB328" t="n">
        <v/>
      </c>
      <c r="AC328" t="n">
        <v/>
      </c>
      <c r="AD328" t="n">
        <v/>
      </c>
      <c r="AE328" t="n">
        <v/>
      </c>
      <c r="AF328" t="n">
        <v/>
      </c>
      <c r="AG328" t="n">
        <v/>
      </c>
      <c r="AH328" t="n">
        <v/>
      </c>
      <c r="AI328" t="n">
        <v/>
      </c>
      <c r="AJ328" t="n">
        <v/>
      </c>
      <c r="AK328" t="n">
        <v/>
      </c>
      <c r="AL328" t="n">
        <v/>
      </c>
      <c r="AM328" t="n">
        <v/>
      </c>
      <c r="AN328" t="n">
        <v/>
      </c>
      <c r="AO328" t="n">
        <v/>
      </c>
      <c r="AP328" t="n">
        <v/>
      </c>
      <c r="AQ328" t="n">
        <v/>
      </c>
      <c r="AR328" t="n">
        <v/>
      </c>
      <c r="AS328" t="n">
        <v/>
      </c>
      <c r="AT328" t="n">
        <v>11.863516314</v>
      </c>
      <c r="AU328" t="n">
        <v/>
      </c>
    </row>
    <row r="329">
      <c r="A329" s="106" t="n">
        <v>16893</v>
      </c>
      <c r="B329" t="n">
        <v/>
      </c>
      <c r="C329" t="n">
        <v/>
      </c>
      <c r="D329" t="n">
        <v/>
      </c>
      <c r="E329" t="n">
        <v/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/>
      </c>
      <c r="L329" t="n">
        <v/>
      </c>
      <c r="M329" t="n">
        <v/>
      </c>
      <c r="N329" t="n">
        <v/>
      </c>
      <c r="O329" t="n">
        <v/>
      </c>
      <c r="P329" t="n">
        <v/>
      </c>
      <c r="Q329" t="n">
        <v/>
      </c>
      <c r="R329" t="n">
        <v/>
      </c>
      <c r="S329" t="n">
        <v/>
      </c>
      <c r="T329" t="n">
        <v/>
      </c>
      <c r="U329" t="n">
        <v/>
      </c>
      <c r="V329" t="n">
        <v/>
      </c>
      <c r="W329" t="n">
        <v/>
      </c>
      <c r="X329" t="n">
        <v/>
      </c>
      <c r="Y329" t="n">
        <v/>
      </c>
      <c r="Z329" t="n">
        <v/>
      </c>
      <c r="AA329" t="n">
        <v/>
      </c>
      <c r="AB329" t="n">
        <v/>
      </c>
      <c r="AC329" t="n">
        <v/>
      </c>
      <c r="AD329" t="n">
        <v/>
      </c>
      <c r="AE329" t="n">
        <v/>
      </c>
      <c r="AF329" t="n">
        <v/>
      </c>
      <c r="AG329" t="n">
        <v/>
      </c>
      <c r="AH329" t="n">
        <v/>
      </c>
      <c r="AI329" t="n">
        <v/>
      </c>
      <c r="AJ329" t="n">
        <v/>
      </c>
      <c r="AK329" t="n">
        <v/>
      </c>
      <c r="AL329" t="n">
        <v/>
      </c>
      <c r="AM329" t="n">
        <v/>
      </c>
      <c r="AN329" t="n">
        <v/>
      </c>
      <c r="AO329" t="n">
        <v/>
      </c>
      <c r="AP329" t="n">
        <v/>
      </c>
      <c r="AQ329" t="n">
        <v/>
      </c>
      <c r="AR329" t="n">
        <v/>
      </c>
      <c r="AS329" t="n">
        <v/>
      </c>
      <c r="AT329" t="n">
        <v>11.649730677</v>
      </c>
      <c r="AU329" t="n">
        <v/>
      </c>
    </row>
    <row r="330">
      <c r="A330" s="106" t="n">
        <v>16923</v>
      </c>
      <c r="B330" t="n">
        <v/>
      </c>
      <c r="C330" t="n">
        <v/>
      </c>
      <c r="D330" t="n">
        <v/>
      </c>
      <c r="E330" t="n">
        <v/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/>
      </c>
      <c r="L330" t="n">
        <v/>
      </c>
      <c r="M330" t="n">
        <v/>
      </c>
      <c r="N330" t="n">
        <v/>
      </c>
      <c r="O330" t="n">
        <v/>
      </c>
      <c r="P330" t="n">
        <v/>
      </c>
      <c r="Q330" t="n">
        <v/>
      </c>
      <c r="R330" t="n">
        <v/>
      </c>
      <c r="S330" t="n">
        <v/>
      </c>
      <c r="T330" t="n">
        <v/>
      </c>
      <c r="U330" t="n">
        <v/>
      </c>
      <c r="V330" t="n">
        <v/>
      </c>
      <c r="W330" t="n">
        <v/>
      </c>
      <c r="X330" t="n">
        <v/>
      </c>
      <c r="Y330" t="n">
        <v/>
      </c>
      <c r="Z330" t="n">
        <v/>
      </c>
      <c r="AA330" t="n">
        <v/>
      </c>
      <c r="AB330" t="n">
        <v/>
      </c>
      <c r="AC330" t="n">
        <v/>
      </c>
      <c r="AD330" t="n">
        <v/>
      </c>
      <c r="AE330" t="n">
        <v/>
      </c>
      <c r="AF330" t="n">
        <v/>
      </c>
      <c r="AG330" t="n">
        <v/>
      </c>
      <c r="AH330" t="n">
        <v/>
      </c>
      <c r="AI330" t="n">
        <v/>
      </c>
      <c r="AJ330" t="n">
        <v/>
      </c>
      <c r="AK330" t="n">
        <v/>
      </c>
      <c r="AL330" t="n">
        <v/>
      </c>
      <c r="AM330" t="n">
        <v/>
      </c>
      <c r="AN330" t="n">
        <v/>
      </c>
      <c r="AO330" t="n">
        <v/>
      </c>
      <c r="AP330" t="n">
        <v/>
      </c>
      <c r="AQ330" t="n">
        <v/>
      </c>
      <c r="AR330" t="n">
        <v/>
      </c>
      <c r="AS330" t="n">
        <v/>
      </c>
      <c r="AT330" t="n">
        <v>11.222258562</v>
      </c>
      <c r="AU330" t="n">
        <v/>
      </c>
    </row>
    <row r="331">
      <c r="A331" s="106" t="n">
        <v>16954</v>
      </c>
      <c r="B331" t="n">
        <v/>
      </c>
      <c r="C331" t="n">
        <v/>
      </c>
      <c r="D331" t="n">
        <v/>
      </c>
      <c r="E331" t="n">
        <v/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/>
      </c>
      <c r="L331" t="n">
        <v/>
      </c>
      <c r="M331" t="n">
        <v/>
      </c>
      <c r="N331" t="n">
        <v/>
      </c>
      <c r="O331" t="n">
        <v/>
      </c>
      <c r="P331" t="n">
        <v/>
      </c>
      <c r="Q331" t="n">
        <v/>
      </c>
      <c r="R331" t="n">
        <v/>
      </c>
      <c r="S331" t="n">
        <v/>
      </c>
      <c r="T331" t="n">
        <v/>
      </c>
      <c r="U331" t="n">
        <v/>
      </c>
      <c r="V331" t="n">
        <v/>
      </c>
      <c r="W331" t="n">
        <v/>
      </c>
      <c r="X331" t="n">
        <v/>
      </c>
      <c r="Y331" t="n">
        <v/>
      </c>
      <c r="Z331" t="n">
        <v/>
      </c>
      <c r="AA331" t="n">
        <v/>
      </c>
      <c r="AB331" t="n">
        <v/>
      </c>
      <c r="AC331" t="n">
        <v/>
      </c>
      <c r="AD331" t="n">
        <v/>
      </c>
      <c r="AE331" t="n">
        <v/>
      </c>
      <c r="AF331" t="n">
        <v/>
      </c>
      <c r="AG331" t="n">
        <v/>
      </c>
      <c r="AH331" t="n">
        <v/>
      </c>
      <c r="AI331" t="n">
        <v/>
      </c>
      <c r="AJ331" t="n">
        <v/>
      </c>
      <c r="AK331" t="n">
        <v/>
      </c>
      <c r="AL331" t="n">
        <v/>
      </c>
      <c r="AM331" t="n">
        <v/>
      </c>
      <c r="AN331" t="n">
        <v/>
      </c>
      <c r="AO331" t="n">
        <v/>
      </c>
      <c r="AP331" t="n">
        <v/>
      </c>
      <c r="AQ331" t="n">
        <v/>
      </c>
      <c r="AR331" t="n">
        <v/>
      </c>
      <c r="AS331" t="n">
        <v/>
      </c>
      <c r="AT331" t="n">
        <v>11.916962724</v>
      </c>
      <c r="AU331" t="n">
        <v/>
      </c>
    </row>
    <row r="332">
      <c r="A332" s="106" t="n">
        <v>16984</v>
      </c>
      <c r="B332" t="n">
        <v/>
      </c>
      <c r="C332" t="n">
        <v/>
      </c>
      <c r="D332" t="n">
        <v/>
      </c>
      <c r="E332" t="n">
        <v/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/>
      </c>
      <c r="L332" t="n">
        <v/>
      </c>
      <c r="M332" t="n">
        <v/>
      </c>
      <c r="N332" t="n">
        <v/>
      </c>
      <c r="O332" t="n">
        <v/>
      </c>
      <c r="P332" t="n">
        <v/>
      </c>
      <c r="Q332" t="n">
        <v/>
      </c>
      <c r="R332" t="n">
        <v/>
      </c>
      <c r="S332" t="n">
        <v/>
      </c>
      <c r="T332" t="n">
        <v/>
      </c>
      <c r="U332" t="n">
        <v/>
      </c>
      <c r="V332" t="n">
        <v/>
      </c>
      <c r="W332" t="n">
        <v/>
      </c>
      <c r="X332" t="n">
        <v/>
      </c>
      <c r="Y332" t="n">
        <v/>
      </c>
      <c r="Z332" t="n">
        <v/>
      </c>
      <c r="AA332" t="n">
        <v/>
      </c>
      <c r="AB332" t="n">
        <v/>
      </c>
      <c r="AC332" t="n">
        <v/>
      </c>
      <c r="AD332" t="n">
        <v/>
      </c>
      <c r="AE332" t="n">
        <v/>
      </c>
      <c r="AF332" t="n">
        <v/>
      </c>
      <c r="AG332" t="n">
        <v/>
      </c>
      <c r="AH332" t="n">
        <v/>
      </c>
      <c r="AI332" t="n">
        <v/>
      </c>
      <c r="AJ332" t="n">
        <v/>
      </c>
      <c r="AK332" t="n">
        <v/>
      </c>
      <c r="AL332" t="n">
        <v/>
      </c>
      <c r="AM332" t="n">
        <v/>
      </c>
      <c r="AN332" t="n">
        <v/>
      </c>
      <c r="AO332" t="n">
        <v/>
      </c>
      <c r="AP332" t="n">
        <v/>
      </c>
      <c r="AQ332" t="n">
        <v/>
      </c>
      <c r="AR332" t="n">
        <v/>
      </c>
      <c r="AS332" t="n">
        <v/>
      </c>
      <c r="AT332" t="n">
        <v>12.317761214</v>
      </c>
      <c r="AU332" t="n">
        <v/>
      </c>
    </row>
    <row r="333">
      <c r="A333" s="106" t="n">
        <v>17015</v>
      </c>
      <c r="B333" t="n">
        <v/>
      </c>
      <c r="C333" t="n">
        <v/>
      </c>
      <c r="D333" t="n">
        <v/>
      </c>
      <c r="E333" t="n">
        <v/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/>
      </c>
      <c r="L333" t="n">
        <v/>
      </c>
      <c r="M333" t="n">
        <v/>
      </c>
      <c r="N333" t="n">
        <v/>
      </c>
      <c r="O333" t="n">
        <v/>
      </c>
      <c r="P333" t="n">
        <v/>
      </c>
      <c r="Q333" t="n">
        <v/>
      </c>
      <c r="R333" t="n">
        <v/>
      </c>
      <c r="S333" t="n">
        <v/>
      </c>
      <c r="T333" t="n">
        <v/>
      </c>
      <c r="U333" t="n">
        <v/>
      </c>
      <c r="V333" t="n">
        <v/>
      </c>
      <c r="W333" t="n">
        <v/>
      </c>
      <c r="X333" t="n">
        <v/>
      </c>
      <c r="Y333" t="n">
        <v/>
      </c>
      <c r="Z333" t="n">
        <v/>
      </c>
      <c r="AA333" t="n">
        <v/>
      </c>
      <c r="AB333" t="n">
        <v/>
      </c>
      <c r="AC333" t="n">
        <v/>
      </c>
      <c r="AD333" t="n">
        <v/>
      </c>
      <c r="AE333" t="n">
        <v/>
      </c>
      <c r="AF333" t="n">
        <v/>
      </c>
      <c r="AG333" t="n">
        <v/>
      </c>
      <c r="AH333" t="n">
        <v/>
      </c>
      <c r="AI333" t="n">
        <v/>
      </c>
      <c r="AJ333" t="n">
        <v/>
      </c>
      <c r="AK333" t="n">
        <v/>
      </c>
      <c r="AL333" t="n">
        <v/>
      </c>
      <c r="AM333" t="n">
        <v/>
      </c>
      <c r="AN333" t="n">
        <v/>
      </c>
      <c r="AO333" t="n">
        <v/>
      </c>
      <c r="AP333" t="n">
        <v/>
      </c>
      <c r="AQ333" t="n">
        <v/>
      </c>
      <c r="AR333" t="n">
        <v/>
      </c>
      <c r="AS333" t="n">
        <v/>
      </c>
      <c r="AT333" t="n">
        <v>12.771906954</v>
      </c>
      <c r="AU333" t="n">
        <v/>
      </c>
    </row>
    <row r="334">
      <c r="A334" s="106" t="n">
        <v>17046</v>
      </c>
      <c r="B334" t="n">
        <v/>
      </c>
      <c r="C334" t="n">
        <v/>
      </c>
      <c r="D334" t="n">
        <v/>
      </c>
      <c r="E334" t="n">
        <v/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/>
      </c>
      <c r="L334" t="n">
        <v/>
      </c>
      <c r="M334" t="n">
        <v/>
      </c>
      <c r="N334" t="n">
        <v/>
      </c>
      <c r="O334" t="n">
        <v/>
      </c>
      <c r="P334" t="n">
        <v/>
      </c>
      <c r="Q334" t="n">
        <v/>
      </c>
      <c r="R334" t="n">
        <v/>
      </c>
      <c r="S334" t="n">
        <v/>
      </c>
      <c r="T334" t="n">
        <v/>
      </c>
      <c r="U334" t="n">
        <v/>
      </c>
      <c r="V334" t="n">
        <v/>
      </c>
      <c r="W334" t="n">
        <v/>
      </c>
      <c r="X334" t="n">
        <v/>
      </c>
      <c r="Y334" t="n">
        <v/>
      </c>
      <c r="Z334" t="n">
        <v/>
      </c>
      <c r="AA334" t="n">
        <v/>
      </c>
      <c r="AB334" t="n">
        <v/>
      </c>
      <c r="AC334" t="n">
        <v/>
      </c>
      <c r="AD334" t="n">
        <v/>
      </c>
      <c r="AE334" t="n">
        <v/>
      </c>
      <c r="AF334" t="n">
        <v/>
      </c>
      <c r="AG334" t="n">
        <v/>
      </c>
      <c r="AH334" t="n">
        <v/>
      </c>
      <c r="AI334" t="n">
        <v/>
      </c>
      <c r="AJ334" t="n">
        <v/>
      </c>
      <c r="AK334" t="n">
        <v/>
      </c>
      <c r="AL334" t="n">
        <v/>
      </c>
      <c r="AM334" t="n">
        <v/>
      </c>
      <c r="AN334" t="n">
        <v/>
      </c>
      <c r="AO334" t="n">
        <v/>
      </c>
      <c r="AP334" t="n">
        <v/>
      </c>
      <c r="AQ334" t="n">
        <v/>
      </c>
      <c r="AR334" t="n">
        <v/>
      </c>
      <c r="AS334" t="n">
        <v/>
      </c>
      <c r="AT334" t="n">
        <v>13.012465375</v>
      </c>
      <c r="AU334" t="n">
        <v/>
      </c>
    </row>
    <row r="335">
      <c r="A335" s="106" t="n">
        <v>17076</v>
      </c>
      <c r="B335" t="n">
        <v/>
      </c>
      <c r="C335" t="n">
        <v/>
      </c>
      <c r="D335" t="n">
        <v/>
      </c>
      <c r="E335" t="n">
        <v/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/>
      </c>
      <c r="L335" t="n">
        <v/>
      </c>
      <c r="M335" t="n">
        <v/>
      </c>
      <c r="N335" t="n">
        <v/>
      </c>
      <c r="O335" t="n">
        <v/>
      </c>
      <c r="P335" t="n">
        <v/>
      </c>
      <c r="Q335" t="n">
        <v/>
      </c>
      <c r="R335" t="n">
        <v/>
      </c>
      <c r="S335" t="n">
        <v/>
      </c>
      <c r="T335" t="n">
        <v/>
      </c>
      <c r="U335" t="n">
        <v/>
      </c>
      <c r="V335" t="n">
        <v/>
      </c>
      <c r="W335" t="n">
        <v/>
      </c>
      <c r="X335" t="n">
        <v/>
      </c>
      <c r="Y335" t="n">
        <v/>
      </c>
      <c r="Z335" t="n">
        <v/>
      </c>
      <c r="AA335" t="n">
        <v/>
      </c>
      <c r="AB335" t="n">
        <v/>
      </c>
      <c r="AC335" t="n">
        <v/>
      </c>
      <c r="AD335" t="n">
        <v/>
      </c>
      <c r="AE335" t="n">
        <v/>
      </c>
      <c r="AF335" t="n">
        <v/>
      </c>
      <c r="AG335" t="n">
        <v/>
      </c>
      <c r="AH335" t="n">
        <v/>
      </c>
      <c r="AI335" t="n">
        <v/>
      </c>
      <c r="AJ335" t="n">
        <v/>
      </c>
      <c r="AK335" t="n">
        <v/>
      </c>
      <c r="AL335" t="n">
        <v/>
      </c>
      <c r="AM335" t="n">
        <v/>
      </c>
      <c r="AN335" t="n">
        <v/>
      </c>
      <c r="AO335" t="n">
        <v/>
      </c>
      <c r="AP335" t="n">
        <v/>
      </c>
      <c r="AQ335" t="n">
        <v/>
      </c>
      <c r="AR335" t="n">
        <v/>
      </c>
      <c r="AS335" t="n">
        <v/>
      </c>
      <c r="AT335" t="n">
        <v>13.252924637</v>
      </c>
      <c r="AU335" t="n">
        <v/>
      </c>
    </row>
    <row r="336">
      <c r="A336" s="106" t="n">
        <v>17107</v>
      </c>
      <c r="B336" t="n">
        <v/>
      </c>
      <c r="C336" t="n">
        <v/>
      </c>
      <c r="D336" t="n">
        <v/>
      </c>
      <c r="E336" t="n">
        <v/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/>
      </c>
      <c r="L336" t="n">
        <v/>
      </c>
      <c r="M336" t="n">
        <v/>
      </c>
      <c r="N336" t="n">
        <v/>
      </c>
      <c r="O336" t="n">
        <v/>
      </c>
      <c r="P336" t="n">
        <v/>
      </c>
      <c r="Q336" t="n">
        <v/>
      </c>
      <c r="R336" t="n">
        <v/>
      </c>
      <c r="S336" t="n">
        <v/>
      </c>
      <c r="T336" t="n">
        <v/>
      </c>
      <c r="U336" t="n">
        <v/>
      </c>
      <c r="V336" t="n">
        <v/>
      </c>
      <c r="W336" t="n">
        <v/>
      </c>
      <c r="X336" t="n">
        <v/>
      </c>
      <c r="Y336" t="n">
        <v/>
      </c>
      <c r="Z336" t="n">
        <v/>
      </c>
      <c r="AA336" t="n">
        <v/>
      </c>
      <c r="AB336" t="n">
        <v/>
      </c>
      <c r="AC336" t="n">
        <v/>
      </c>
      <c r="AD336" t="n">
        <v/>
      </c>
      <c r="AE336" t="n">
        <v/>
      </c>
      <c r="AF336" t="n">
        <v/>
      </c>
      <c r="AG336" t="n">
        <v/>
      </c>
      <c r="AH336" t="n">
        <v/>
      </c>
      <c r="AI336" t="n">
        <v/>
      </c>
      <c r="AJ336" t="n">
        <v/>
      </c>
      <c r="AK336" t="n">
        <v/>
      </c>
      <c r="AL336" t="n">
        <v/>
      </c>
      <c r="AM336" t="n">
        <v/>
      </c>
      <c r="AN336" t="n">
        <v/>
      </c>
      <c r="AO336" t="n">
        <v/>
      </c>
      <c r="AP336" t="n">
        <v/>
      </c>
      <c r="AQ336" t="n">
        <v/>
      </c>
      <c r="AR336" t="n">
        <v/>
      </c>
      <c r="AS336" t="n">
        <v/>
      </c>
      <c r="AT336" t="n">
        <v>13.333044672</v>
      </c>
      <c r="AU336" t="n">
        <v/>
      </c>
    </row>
    <row r="337">
      <c r="A337" s="106" t="n">
        <v>17137</v>
      </c>
      <c r="B337" t="n">
        <v/>
      </c>
      <c r="C337" t="n">
        <v/>
      </c>
      <c r="D337" t="n">
        <v/>
      </c>
      <c r="E337" t="n">
        <v/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/>
      </c>
      <c r="L337" t="n">
        <v/>
      </c>
      <c r="M337" t="n">
        <v/>
      </c>
      <c r="N337" t="n">
        <v/>
      </c>
      <c r="O337" t="n">
        <v/>
      </c>
      <c r="P337" t="n">
        <v/>
      </c>
      <c r="Q337" t="n">
        <v/>
      </c>
      <c r="R337" t="n">
        <v/>
      </c>
      <c r="S337" t="n">
        <v/>
      </c>
      <c r="T337" t="n">
        <v/>
      </c>
      <c r="U337" t="n">
        <v/>
      </c>
      <c r="V337" t="n">
        <v/>
      </c>
      <c r="W337" t="n">
        <v/>
      </c>
      <c r="X337" t="n">
        <v/>
      </c>
      <c r="Y337" t="n">
        <v/>
      </c>
      <c r="Z337" t="n">
        <v/>
      </c>
      <c r="AA337" t="n">
        <v/>
      </c>
      <c r="AB337" t="n">
        <v/>
      </c>
      <c r="AC337" t="n">
        <v/>
      </c>
      <c r="AD337" t="n">
        <v/>
      </c>
      <c r="AE337" t="n">
        <v/>
      </c>
      <c r="AF337" t="n">
        <v/>
      </c>
      <c r="AG337" t="n">
        <v/>
      </c>
      <c r="AH337" t="n">
        <v/>
      </c>
      <c r="AI337" t="n">
        <v/>
      </c>
      <c r="AJ337" t="n">
        <v/>
      </c>
      <c r="AK337" t="n">
        <v/>
      </c>
      <c r="AL337" t="n">
        <v/>
      </c>
      <c r="AM337" t="n">
        <v/>
      </c>
      <c r="AN337" t="n">
        <v/>
      </c>
      <c r="AO337" t="n">
        <v/>
      </c>
      <c r="AP337" t="n">
        <v/>
      </c>
      <c r="AQ337" t="n">
        <v/>
      </c>
      <c r="AR337" t="n">
        <v/>
      </c>
      <c r="AS337" t="n">
        <v/>
      </c>
      <c r="AT337" t="n">
        <v>13.413263865</v>
      </c>
      <c r="AU337" t="n">
        <v/>
      </c>
    </row>
    <row r="338">
      <c r="A338" s="106" t="n">
        <v>17168</v>
      </c>
      <c r="B338" t="n">
        <v/>
      </c>
      <c r="C338" t="n">
        <v/>
      </c>
      <c r="D338" t="n">
        <v/>
      </c>
      <c r="E338" t="n">
        <v/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/>
      </c>
      <c r="L338" t="n">
        <v/>
      </c>
      <c r="M338" t="n">
        <v/>
      </c>
      <c r="N338" t="n">
        <v/>
      </c>
      <c r="O338" t="n">
        <v/>
      </c>
      <c r="P338" t="n">
        <v/>
      </c>
      <c r="Q338" t="n">
        <v/>
      </c>
      <c r="R338" t="n">
        <v/>
      </c>
      <c r="S338" t="n">
        <v/>
      </c>
      <c r="T338" t="n">
        <v/>
      </c>
      <c r="U338" t="n">
        <v/>
      </c>
      <c r="V338" t="n">
        <v/>
      </c>
      <c r="W338" t="n">
        <v/>
      </c>
      <c r="X338" t="n">
        <v/>
      </c>
      <c r="Y338" t="n">
        <v/>
      </c>
      <c r="Z338" t="n">
        <v/>
      </c>
      <c r="AA338" t="n">
        <v/>
      </c>
      <c r="AB338" t="n">
        <v/>
      </c>
      <c r="AC338" t="n">
        <v/>
      </c>
      <c r="AD338" t="n">
        <v/>
      </c>
      <c r="AE338" t="n">
        <v/>
      </c>
      <c r="AF338" t="n">
        <v/>
      </c>
      <c r="AG338" t="n">
        <v/>
      </c>
      <c r="AH338" t="n">
        <v/>
      </c>
      <c r="AI338" t="n">
        <v/>
      </c>
      <c r="AJ338" t="n">
        <v/>
      </c>
      <c r="AK338" t="n">
        <v/>
      </c>
      <c r="AL338" t="n">
        <v/>
      </c>
      <c r="AM338" t="n">
        <v/>
      </c>
      <c r="AN338" t="n">
        <v/>
      </c>
      <c r="AO338" t="n">
        <v/>
      </c>
      <c r="AP338" t="n">
        <v/>
      </c>
      <c r="AQ338" t="n">
        <v/>
      </c>
      <c r="AR338" t="n">
        <v/>
      </c>
      <c r="AS338" t="n">
        <v/>
      </c>
      <c r="AT338" t="n">
        <v>13.573503934</v>
      </c>
      <c r="AU338" t="n">
        <v/>
      </c>
    </row>
    <row r="339">
      <c r="A339" s="106" t="n">
        <v>17199</v>
      </c>
      <c r="B339" t="n">
        <v/>
      </c>
      <c r="C339" t="n">
        <v/>
      </c>
      <c r="D339" t="n">
        <v/>
      </c>
      <c r="E339" t="n">
        <v/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/>
      </c>
      <c r="L339" t="n">
        <v/>
      </c>
      <c r="M339" t="n">
        <v/>
      </c>
      <c r="N339" t="n">
        <v/>
      </c>
      <c r="O339" t="n">
        <v/>
      </c>
      <c r="P339" t="n">
        <v/>
      </c>
      <c r="Q339" t="n">
        <v/>
      </c>
      <c r="R339" t="n">
        <v/>
      </c>
      <c r="S339" t="n">
        <v/>
      </c>
      <c r="T339" t="n">
        <v/>
      </c>
      <c r="U339" t="n">
        <v/>
      </c>
      <c r="V339" t="n">
        <v/>
      </c>
      <c r="W339" t="n">
        <v/>
      </c>
      <c r="X339" t="n">
        <v/>
      </c>
      <c r="Y339" t="n">
        <v/>
      </c>
      <c r="Z339" t="n">
        <v/>
      </c>
      <c r="AA339" t="n">
        <v/>
      </c>
      <c r="AB339" t="n">
        <v/>
      </c>
      <c r="AC339" t="n">
        <v/>
      </c>
      <c r="AD339" t="n">
        <v/>
      </c>
      <c r="AE339" t="n">
        <v/>
      </c>
      <c r="AF339" t="n">
        <v/>
      </c>
      <c r="AG339" t="n">
        <v/>
      </c>
      <c r="AH339" t="n">
        <v/>
      </c>
      <c r="AI339" t="n">
        <v/>
      </c>
      <c r="AJ339" t="n">
        <v/>
      </c>
      <c r="AK339" t="n">
        <v/>
      </c>
      <c r="AL339" t="n">
        <v/>
      </c>
      <c r="AM339" t="n">
        <v/>
      </c>
      <c r="AN339" t="n">
        <v/>
      </c>
      <c r="AO339" t="n">
        <v/>
      </c>
      <c r="AP339" t="n">
        <v/>
      </c>
      <c r="AQ339" t="n">
        <v/>
      </c>
      <c r="AR339" t="n">
        <v/>
      </c>
      <c r="AS339" t="n">
        <v/>
      </c>
      <c r="AT339" t="n">
        <v>13.653723127</v>
      </c>
      <c r="AU339" t="n">
        <v/>
      </c>
    </row>
    <row r="340">
      <c r="A340" s="106" t="n">
        <v>17227</v>
      </c>
      <c r="B340" t="n">
        <v/>
      </c>
      <c r="C340" t="n">
        <v/>
      </c>
      <c r="D340" t="n">
        <v/>
      </c>
      <c r="E340" t="n">
        <v/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/>
      </c>
      <c r="L340" t="n">
        <v/>
      </c>
      <c r="M340" t="n">
        <v/>
      </c>
      <c r="N340" t="n">
        <v/>
      </c>
      <c r="O340" t="n">
        <v/>
      </c>
      <c r="P340" t="n">
        <v/>
      </c>
      <c r="Q340" t="n">
        <v/>
      </c>
      <c r="R340" t="n">
        <v/>
      </c>
      <c r="S340" t="n">
        <v/>
      </c>
      <c r="T340" t="n">
        <v/>
      </c>
      <c r="U340" t="n">
        <v/>
      </c>
      <c r="V340" t="n">
        <v/>
      </c>
      <c r="W340" t="n">
        <v/>
      </c>
      <c r="X340" t="n">
        <v/>
      </c>
      <c r="Y340" t="n">
        <v/>
      </c>
      <c r="Z340" t="n">
        <v/>
      </c>
      <c r="AA340" t="n">
        <v/>
      </c>
      <c r="AB340" t="n">
        <v/>
      </c>
      <c r="AC340" t="n">
        <v/>
      </c>
      <c r="AD340" t="n">
        <v/>
      </c>
      <c r="AE340" t="n">
        <v/>
      </c>
      <c r="AF340" t="n">
        <v/>
      </c>
      <c r="AG340" t="n">
        <v/>
      </c>
      <c r="AH340" t="n">
        <v/>
      </c>
      <c r="AI340" t="n">
        <v/>
      </c>
      <c r="AJ340" t="n">
        <v/>
      </c>
      <c r="AK340" t="n">
        <v/>
      </c>
      <c r="AL340" t="n">
        <v/>
      </c>
      <c r="AM340" t="n">
        <v/>
      </c>
      <c r="AN340" t="n">
        <v/>
      </c>
      <c r="AO340" t="n">
        <v/>
      </c>
      <c r="AP340" t="n">
        <v/>
      </c>
      <c r="AQ340" t="n">
        <v/>
      </c>
      <c r="AR340" t="n">
        <v/>
      </c>
      <c r="AS340" t="n">
        <v/>
      </c>
      <c r="AT340" t="n">
        <v>13.733843162</v>
      </c>
      <c r="AU340" t="n">
        <v/>
      </c>
    </row>
    <row r="341">
      <c r="A341" s="106" t="n">
        <v>17258</v>
      </c>
      <c r="B341" t="n">
        <v/>
      </c>
      <c r="C341" t="n">
        <v/>
      </c>
      <c r="D341" t="n">
        <v/>
      </c>
      <c r="E341" t="n">
        <v/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/>
      </c>
      <c r="L341" t="n">
        <v/>
      </c>
      <c r="M341" t="n">
        <v/>
      </c>
      <c r="N341" t="n">
        <v/>
      </c>
      <c r="O341" t="n">
        <v/>
      </c>
      <c r="P341" t="n">
        <v/>
      </c>
      <c r="Q341" t="n">
        <v/>
      </c>
      <c r="R341" t="n">
        <v/>
      </c>
      <c r="S341" t="n">
        <v/>
      </c>
      <c r="T341" t="n">
        <v/>
      </c>
      <c r="U341" t="n">
        <v/>
      </c>
      <c r="V341" t="n">
        <v/>
      </c>
      <c r="W341" t="n">
        <v/>
      </c>
      <c r="X341" t="n">
        <v/>
      </c>
      <c r="Y341" t="n">
        <v/>
      </c>
      <c r="Z341" t="n">
        <v/>
      </c>
      <c r="AA341" t="n">
        <v/>
      </c>
      <c r="AB341" t="n">
        <v/>
      </c>
      <c r="AC341" t="n">
        <v/>
      </c>
      <c r="AD341" t="n">
        <v/>
      </c>
      <c r="AE341" t="n">
        <v/>
      </c>
      <c r="AF341" t="n">
        <v/>
      </c>
      <c r="AG341" t="n">
        <v/>
      </c>
      <c r="AH341" t="n">
        <v/>
      </c>
      <c r="AI341" t="n">
        <v/>
      </c>
      <c r="AJ341" t="n">
        <v/>
      </c>
      <c r="AK341" t="n">
        <v/>
      </c>
      <c r="AL341" t="n">
        <v/>
      </c>
      <c r="AM341" t="n">
        <v/>
      </c>
      <c r="AN341" t="n">
        <v/>
      </c>
      <c r="AO341" t="n">
        <v/>
      </c>
      <c r="AP341" t="n">
        <v/>
      </c>
      <c r="AQ341" t="n">
        <v/>
      </c>
      <c r="AR341" t="n">
        <v/>
      </c>
      <c r="AS341" t="n">
        <v/>
      </c>
      <c r="AT341" t="n">
        <v>13.626950344</v>
      </c>
      <c r="AU341" t="n">
        <v/>
      </c>
    </row>
    <row r="342">
      <c r="A342" s="106" t="n">
        <v>17288</v>
      </c>
      <c r="B342" t="n">
        <v/>
      </c>
      <c r="C342" t="n">
        <v/>
      </c>
      <c r="D342" t="n">
        <v/>
      </c>
      <c r="E342" t="n">
        <v/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/>
      </c>
      <c r="L342" t="n">
        <v/>
      </c>
      <c r="M342" t="n">
        <v/>
      </c>
      <c r="N342" t="n">
        <v/>
      </c>
      <c r="O342" t="n">
        <v/>
      </c>
      <c r="P342" t="n">
        <v/>
      </c>
      <c r="Q342" t="n">
        <v/>
      </c>
      <c r="R342" t="n">
        <v/>
      </c>
      <c r="S342" t="n">
        <v/>
      </c>
      <c r="T342" t="n">
        <v/>
      </c>
      <c r="U342" t="n">
        <v/>
      </c>
      <c r="V342" t="n">
        <v/>
      </c>
      <c r="W342" t="n">
        <v/>
      </c>
      <c r="X342" t="n">
        <v/>
      </c>
      <c r="Y342" t="n">
        <v/>
      </c>
      <c r="Z342" t="n">
        <v/>
      </c>
      <c r="AA342" t="n">
        <v/>
      </c>
      <c r="AB342" t="n">
        <v/>
      </c>
      <c r="AC342" t="n">
        <v/>
      </c>
      <c r="AD342" t="n">
        <v/>
      </c>
      <c r="AE342" t="n">
        <v/>
      </c>
      <c r="AF342" t="n">
        <v/>
      </c>
      <c r="AG342" t="n">
        <v/>
      </c>
      <c r="AH342" t="n">
        <v/>
      </c>
      <c r="AI342" t="n">
        <v/>
      </c>
      <c r="AJ342" t="n">
        <v/>
      </c>
      <c r="AK342" t="n">
        <v/>
      </c>
      <c r="AL342" t="n">
        <v/>
      </c>
      <c r="AM342" t="n">
        <v/>
      </c>
      <c r="AN342" t="n">
        <v/>
      </c>
      <c r="AO342" t="n">
        <v/>
      </c>
      <c r="AP342" t="n">
        <v/>
      </c>
      <c r="AQ342" t="n">
        <v/>
      </c>
      <c r="AR342" t="n">
        <v/>
      </c>
      <c r="AS342" t="n">
        <v/>
      </c>
      <c r="AT342" t="n">
        <v>13.680396753</v>
      </c>
      <c r="AU342" t="n">
        <v/>
      </c>
    </row>
    <row r="343">
      <c r="A343" s="106" t="n">
        <v>17319</v>
      </c>
      <c r="B343" t="n">
        <v/>
      </c>
      <c r="C343" t="n">
        <v/>
      </c>
      <c r="D343" t="n">
        <v/>
      </c>
      <c r="E343" t="n">
        <v/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/>
      </c>
      <c r="L343" t="n">
        <v/>
      </c>
      <c r="M343" t="n">
        <v/>
      </c>
      <c r="N343" t="n">
        <v/>
      </c>
      <c r="O343" t="n">
        <v/>
      </c>
      <c r="P343" t="n">
        <v/>
      </c>
      <c r="Q343" t="n">
        <v/>
      </c>
      <c r="R343" t="n">
        <v/>
      </c>
      <c r="S343" t="n">
        <v/>
      </c>
      <c r="T343" t="n">
        <v/>
      </c>
      <c r="U343" t="n">
        <v/>
      </c>
      <c r="V343" t="n">
        <v/>
      </c>
      <c r="W343" t="n">
        <v/>
      </c>
      <c r="X343" t="n">
        <v/>
      </c>
      <c r="Y343" t="n">
        <v/>
      </c>
      <c r="Z343" t="n">
        <v/>
      </c>
      <c r="AA343" t="n">
        <v/>
      </c>
      <c r="AB343" t="n">
        <v/>
      </c>
      <c r="AC343" t="n">
        <v/>
      </c>
      <c r="AD343" t="n">
        <v/>
      </c>
      <c r="AE343" t="n">
        <v/>
      </c>
      <c r="AF343" t="n">
        <v/>
      </c>
      <c r="AG343" t="n">
        <v/>
      </c>
      <c r="AH343" t="n">
        <v/>
      </c>
      <c r="AI343" t="n">
        <v/>
      </c>
      <c r="AJ343" t="n">
        <v/>
      </c>
      <c r="AK343" t="n">
        <v/>
      </c>
      <c r="AL343" t="n">
        <v/>
      </c>
      <c r="AM343" t="n">
        <v/>
      </c>
      <c r="AN343" t="n">
        <v/>
      </c>
      <c r="AO343" t="n">
        <v/>
      </c>
      <c r="AP343" t="n">
        <v/>
      </c>
      <c r="AQ343" t="n">
        <v/>
      </c>
      <c r="AR343" t="n">
        <v/>
      </c>
      <c r="AS343" t="n">
        <v/>
      </c>
      <c r="AT343" t="n">
        <v>13.680396753</v>
      </c>
      <c r="AU343" t="n">
        <v/>
      </c>
    </row>
    <row r="344">
      <c r="A344" s="106" t="n">
        <v>17349</v>
      </c>
      <c r="B344" t="n">
        <v/>
      </c>
      <c r="C344" t="n">
        <v/>
      </c>
      <c r="D344" t="n">
        <v/>
      </c>
      <c r="E344" t="n">
        <v/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/>
      </c>
      <c r="L344" t="n">
        <v/>
      </c>
      <c r="M344" t="n">
        <v/>
      </c>
      <c r="N344" t="n">
        <v/>
      </c>
      <c r="O344" t="n">
        <v/>
      </c>
      <c r="P344" t="n">
        <v/>
      </c>
      <c r="Q344" t="n">
        <v/>
      </c>
      <c r="R344" t="n">
        <v/>
      </c>
      <c r="S344" t="n">
        <v/>
      </c>
      <c r="T344" t="n">
        <v/>
      </c>
      <c r="U344" t="n">
        <v/>
      </c>
      <c r="V344" t="n">
        <v/>
      </c>
      <c r="W344" t="n">
        <v/>
      </c>
      <c r="X344" t="n">
        <v/>
      </c>
      <c r="Y344" t="n">
        <v/>
      </c>
      <c r="Z344" t="n">
        <v/>
      </c>
      <c r="AA344" t="n">
        <v/>
      </c>
      <c r="AB344" t="n">
        <v/>
      </c>
      <c r="AC344" t="n">
        <v/>
      </c>
      <c r="AD344" t="n">
        <v/>
      </c>
      <c r="AE344" t="n">
        <v/>
      </c>
      <c r="AF344" t="n">
        <v/>
      </c>
      <c r="AG344" t="n">
        <v/>
      </c>
      <c r="AH344" t="n">
        <v/>
      </c>
      <c r="AI344" t="n">
        <v/>
      </c>
      <c r="AJ344" t="n">
        <v/>
      </c>
      <c r="AK344" t="n">
        <v/>
      </c>
      <c r="AL344" t="n">
        <v/>
      </c>
      <c r="AM344" t="n">
        <v/>
      </c>
      <c r="AN344" t="n">
        <v/>
      </c>
      <c r="AO344" t="n">
        <v/>
      </c>
      <c r="AP344" t="n">
        <v/>
      </c>
      <c r="AQ344" t="n">
        <v/>
      </c>
      <c r="AR344" t="n">
        <v/>
      </c>
      <c r="AS344" t="n">
        <v/>
      </c>
      <c r="AT344" t="n">
        <v>13.600276718</v>
      </c>
      <c r="AU344" t="n">
        <v/>
      </c>
    </row>
    <row r="345">
      <c r="A345" s="106" t="n">
        <v>17380</v>
      </c>
      <c r="B345" t="n">
        <v/>
      </c>
      <c r="C345" t="n">
        <v/>
      </c>
      <c r="D345" t="n">
        <v/>
      </c>
      <c r="E345" t="n">
        <v/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/>
      </c>
      <c r="L345" t="n">
        <v/>
      </c>
      <c r="M345" t="n">
        <v/>
      </c>
      <c r="N345" t="n">
        <v/>
      </c>
      <c r="O345" t="n">
        <v/>
      </c>
      <c r="P345" t="n">
        <v/>
      </c>
      <c r="Q345" t="n">
        <v/>
      </c>
      <c r="R345" t="n">
        <v/>
      </c>
      <c r="S345" t="n">
        <v/>
      </c>
      <c r="T345" t="n">
        <v/>
      </c>
      <c r="U345" t="n">
        <v/>
      </c>
      <c r="V345" t="n">
        <v/>
      </c>
      <c r="W345" t="n">
        <v/>
      </c>
      <c r="X345" t="n">
        <v/>
      </c>
      <c r="Y345" t="n">
        <v/>
      </c>
      <c r="Z345" t="n">
        <v/>
      </c>
      <c r="AA345" t="n">
        <v/>
      </c>
      <c r="AB345" t="n">
        <v/>
      </c>
      <c r="AC345" t="n">
        <v/>
      </c>
      <c r="AD345" t="n">
        <v/>
      </c>
      <c r="AE345" t="n">
        <v/>
      </c>
      <c r="AF345" t="n">
        <v/>
      </c>
      <c r="AG345" t="n">
        <v/>
      </c>
      <c r="AH345" t="n">
        <v/>
      </c>
      <c r="AI345" t="n">
        <v/>
      </c>
      <c r="AJ345" t="n">
        <v/>
      </c>
      <c r="AK345" t="n">
        <v/>
      </c>
      <c r="AL345" t="n">
        <v/>
      </c>
      <c r="AM345" t="n">
        <v/>
      </c>
      <c r="AN345" t="n">
        <v/>
      </c>
      <c r="AO345" t="n">
        <v/>
      </c>
      <c r="AP345" t="n">
        <v/>
      </c>
      <c r="AQ345" t="n">
        <v/>
      </c>
      <c r="AR345" t="n">
        <v/>
      </c>
      <c r="AS345" t="n">
        <v/>
      </c>
      <c r="AT345" t="n">
        <v>13.680396753</v>
      </c>
      <c r="AU345" t="n">
        <v/>
      </c>
    </row>
    <row r="346">
      <c r="A346" s="106" t="n">
        <v>17411</v>
      </c>
      <c r="B346" t="n">
        <v/>
      </c>
      <c r="C346" t="n">
        <v/>
      </c>
      <c r="D346" t="n">
        <v/>
      </c>
      <c r="E346" t="n">
        <v/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/>
      </c>
      <c r="L346" t="n">
        <v/>
      </c>
      <c r="M346" t="n">
        <v/>
      </c>
      <c r="N346" t="n">
        <v/>
      </c>
      <c r="O346" t="n">
        <v/>
      </c>
      <c r="P346" t="n">
        <v/>
      </c>
      <c r="Q346" t="n">
        <v/>
      </c>
      <c r="R346" t="n">
        <v/>
      </c>
      <c r="S346" t="n">
        <v/>
      </c>
      <c r="T346" t="n">
        <v/>
      </c>
      <c r="U346" t="n">
        <v/>
      </c>
      <c r="V346" t="n">
        <v/>
      </c>
      <c r="W346" t="n">
        <v/>
      </c>
      <c r="X346" t="n">
        <v/>
      </c>
      <c r="Y346" t="n">
        <v/>
      </c>
      <c r="Z346" t="n">
        <v/>
      </c>
      <c r="AA346" t="n">
        <v/>
      </c>
      <c r="AB346" t="n">
        <v/>
      </c>
      <c r="AC346" t="n">
        <v/>
      </c>
      <c r="AD346" t="n">
        <v/>
      </c>
      <c r="AE346" t="n">
        <v/>
      </c>
      <c r="AF346" t="n">
        <v/>
      </c>
      <c r="AG346" t="n">
        <v/>
      </c>
      <c r="AH346" t="n">
        <v/>
      </c>
      <c r="AI346" t="n">
        <v/>
      </c>
      <c r="AJ346" t="n">
        <v/>
      </c>
      <c r="AK346" t="n">
        <v/>
      </c>
      <c r="AL346" t="n">
        <v/>
      </c>
      <c r="AM346" t="n">
        <v/>
      </c>
      <c r="AN346" t="n">
        <v/>
      </c>
      <c r="AO346" t="n">
        <v/>
      </c>
      <c r="AP346" t="n">
        <v/>
      </c>
      <c r="AQ346" t="n">
        <v/>
      </c>
      <c r="AR346" t="n">
        <v/>
      </c>
      <c r="AS346" t="n">
        <v/>
      </c>
      <c r="AT346" t="n">
        <v>13.787289571</v>
      </c>
      <c r="AU346" t="n">
        <v/>
      </c>
    </row>
    <row r="347">
      <c r="A347" s="106" t="n">
        <v>17441</v>
      </c>
      <c r="B347" t="n">
        <v/>
      </c>
      <c r="C347" t="n">
        <v/>
      </c>
      <c r="D347" t="n">
        <v/>
      </c>
      <c r="E347" t="n">
        <v/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/>
      </c>
      <c r="L347" t="n">
        <v/>
      </c>
      <c r="M347" t="n">
        <v/>
      </c>
      <c r="N347" t="n">
        <v/>
      </c>
      <c r="O347" t="n">
        <v/>
      </c>
      <c r="P347" t="n">
        <v/>
      </c>
      <c r="Q347" t="n">
        <v/>
      </c>
      <c r="R347" t="n">
        <v/>
      </c>
      <c r="S347" t="n">
        <v/>
      </c>
      <c r="T347" t="n">
        <v/>
      </c>
      <c r="U347" t="n">
        <v/>
      </c>
      <c r="V347" t="n">
        <v/>
      </c>
      <c r="W347" t="n">
        <v/>
      </c>
      <c r="X347" t="n">
        <v/>
      </c>
      <c r="Y347" t="n">
        <v/>
      </c>
      <c r="Z347" t="n">
        <v/>
      </c>
      <c r="AA347" t="n">
        <v/>
      </c>
      <c r="AB347" t="n">
        <v/>
      </c>
      <c r="AC347" t="n">
        <v/>
      </c>
      <c r="AD347" t="n">
        <v/>
      </c>
      <c r="AE347" t="n">
        <v/>
      </c>
      <c r="AF347" t="n">
        <v/>
      </c>
      <c r="AG347" t="n">
        <v/>
      </c>
      <c r="AH347" t="n">
        <v/>
      </c>
      <c r="AI347" t="n">
        <v/>
      </c>
      <c r="AJ347" t="n">
        <v/>
      </c>
      <c r="AK347" t="n">
        <v/>
      </c>
      <c r="AL347" t="n">
        <v/>
      </c>
      <c r="AM347" t="n">
        <v/>
      </c>
      <c r="AN347" t="n">
        <v/>
      </c>
      <c r="AO347" t="n">
        <v/>
      </c>
      <c r="AP347" t="n">
        <v/>
      </c>
      <c r="AQ347" t="n">
        <v/>
      </c>
      <c r="AR347" t="n">
        <v/>
      </c>
      <c r="AS347" t="n">
        <v/>
      </c>
      <c r="AT347" t="n">
        <v>13.920856015</v>
      </c>
      <c r="AU347" t="n">
        <v/>
      </c>
    </row>
    <row r="348">
      <c r="A348" s="106" t="n">
        <v>17472</v>
      </c>
      <c r="B348" t="n">
        <v/>
      </c>
      <c r="C348" t="n">
        <v/>
      </c>
      <c r="D348" t="n">
        <v/>
      </c>
      <c r="E348" t="n">
        <v/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/>
      </c>
      <c r="L348" t="n">
        <v/>
      </c>
      <c r="M348" t="n">
        <v/>
      </c>
      <c r="N348" t="n">
        <v/>
      </c>
      <c r="O348" t="n">
        <v/>
      </c>
      <c r="P348" t="n">
        <v/>
      </c>
      <c r="Q348" t="n">
        <v/>
      </c>
      <c r="R348" t="n">
        <v/>
      </c>
      <c r="S348" t="n">
        <v/>
      </c>
      <c r="T348" t="n">
        <v/>
      </c>
      <c r="U348" t="n">
        <v/>
      </c>
      <c r="V348" t="n">
        <v/>
      </c>
      <c r="W348" t="n">
        <v/>
      </c>
      <c r="X348" t="n">
        <v/>
      </c>
      <c r="Y348" t="n">
        <v/>
      </c>
      <c r="Z348" t="n">
        <v/>
      </c>
      <c r="AA348" t="n">
        <v/>
      </c>
      <c r="AB348" t="n">
        <v/>
      </c>
      <c r="AC348" t="n">
        <v/>
      </c>
      <c r="AD348" t="n">
        <v/>
      </c>
      <c r="AE348" t="n">
        <v/>
      </c>
      <c r="AF348" t="n">
        <v/>
      </c>
      <c r="AG348" t="n">
        <v/>
      </c>
      <c r="AH348" t="n">
        <v/>
      </c>
      <c r="AI348" t="n">
        <v/>
      </c>
      <c r="AJ348" t="n">
        <v/>
      </c>
      <c r="AK348" t="n">
        <v/>
      </c>
      <c r="AL348" t="n">
        <v/>
      </c>
      <c r="AM348" t="n">
        <v/>
      </c>
      <c r="AN348" t="n">
        <v/>
      </c>
      <c r="AO348" t="n">
        <v/>
      </c>
      <c r="AP348" t="n">
        <v/>
      </c>
      <c r="AQ348" t="n">
        <v/>
      </c>
      <c r="AR348" t="n">
        <v/>
      </c>
      <c r="AS348" t="n">
        <v/>
      </c>
      <c r="AT348" t="n">
        <v>14.107968027</v>
      </c>
      <c r="AU348" t="n">
        <v/>
      </c>
    </row>
    <row r="349">
      <c r="A349" s="106" t="n">
        <v>17502</v>
      </c>
      <c r="B349" t="n">
        <v/>
      </c>
      <c r="C349" t="n">
        <v/>
      </c>
      <c r="D349" t="n">
        <v/>
      </c>
      <c r="E349" t="n">
        <v/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/>
      </c>
      <c r="L349" t="n">
        <v/>
      </c>
      <c r="M349" t="n">
        <v/>
      </c>
      <c r="N349" t="n">
        <v/>
      </c>
      <c r="O349" t="n">
        <v/>
      </c>
      <c r="P349" t="n">
        <v/>
      </c>
      <c r="Q349" t="n">
        <v/>
      </c>
      <c r="R349" t="n">
        <v/>
      </c>
      <c r="S349" t="n">
        <v/>
      </c>
      <c r="T349" t="n">
        <v/>
      </c>
      <c r="U349" t="n">
        <v/>
      </c>
      <c r="V349" t="n">
        <v/>
      </c>
      <c r="W349" t="n">
        <v/>
      </c>
      <c r="X349" t="n">
        <v/>
      </c>
      <c r="Y349" t="n">
        <v/>
      </c>
      <c r="Z349" t="n">
        <v/>
      </c>
      <c r="AA349" t="n">
        <v/>
      </c>
      <c r="AB349" t="n">
        <v/>
      </c>
      <c r="AC349" t="n">
        <v/>
      </c>
      <c r="AD349" t="n">
        <v/>
      </c>
      <c r="AE349" t="n">
        <v/>
      </c>
      <c r="AF349" t="n">
        <v/>
      </c>
      <c r="AG349" t="n">
        <v/>
      </c>
      <c r="AH349" t="n">
        <v/>
      </c>
      <c r="AI349" t="n">
        <v/>
      </c>
      <c r="AJ349" t="n">
        <v/>
      </c>
      <c r="AK349" t="n">
        <v/>
      </c>
      <c r="AL349" t="n">
        <v/>
      </c>
      <c r="AM349" t="n">
        <v/>
      </c>
      <c r="AN349" t="n">
        <v/>
      </c>
      <c r="AO349" t="n">
        <v/>
      </c>
      <c r="AP349" t="n">
        <v/>
      </c>
      <c r="AQ349" t="n">
        <v/>
      </c>
      <c r="AR349" t="n">
        <v/>
      </c>
      <c r="AS349" t="n">
        <v/>
      </c>
      <c r="AT349" t="n">
        <v>14.161315277</v>
      </c>
      <c r="AU349" t="n">
        <v/>
      </c>
    </row>
    <row r="350">
      <c r="A350" s="106" t="n">
        <v>17533</v>
      </c>
      <c r="B350" t="n">
        <v/>
      </c>
      <c r="C350" t="n">
        <v/>
      </c>
      <c r="D350" t="n">
        <v/>
      </c>
      <c r="E350" t="n">
        <v/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/>
      </c>
      <c r="L350" t="n">
        <v/>
      </c>
      <c r="M350" t="n">
        <v/>
      </c>
      <c r="N350" t="n">
        <v/>
      </c>
      <c r="O350" t="n">
        <v/>
      </c>
      <c r="P350" t="n">
        <v/>
      </c>
      <c r="Q350" t="n">
        <v/>
      </c>
      <c r="R350" t="n">
        <v/>
      </c>
      <c r="S350" t="n">
        <v/>
      </c>
      <c r="T350" t="n">
        <v/>
      </c>
      <c r="U350" t="n">
        <v/>
      </c>
      <c r="V350" t="n">
        <v/>
      </c>
      <c r="W350" t="n">
        <v/>
      </c>
      <c r="X350" t="n">
        <v/>
      </c>
      <c r="Y350" t="n">
        <v/>
      </c>
      <c r="Z350" t="n">
        <v/>
      </c>
      <c r="AA350" t="n">
        <v/>
      </c>
      <c r="AB350" t="n">
        <v/>
      </c>
      <c r="AC350" t="n">
        <v/>
      </c>
      <c r="AD350" t="n">
        <v/>
      </c>
      <c r="AE350" t="n">
        <v/>
      </c>
      <c r="AF350" t="n">
        <v/>
      </c>
      <c r="AG350" t="n">
        <v/>
      </c>
      <c r="AH350" t="n">
        <v/>
      </c>
      <c r="AI350" t="n">
        <v/>
      </c>
      <c r="AJ350" t="n">
        <v/>
      </c>
      <c r="AK350" t="n">
        <v/>
      </c>
      <c r="AL350" t="n">
        <v/>
      </c>
      <c r="AM350" t="n">
        <v/>
      </c>
      <c r="AN350" t="n">
        <v/>
      </c>
      <c r="AO350" t="n">
        <v/>
      </c>
      <c r="AP350" t="n">
        <v/>
      </c>
      <c r="AQ350" t="n">
        <v/>
      </c>
      <c r="AR350" t="n">
        <v/>
      </c>
      <c r="AS350" t="n">
        <v/>
      </c>
      <c r="AT350" t="n">
        <v>14.241534471</v>
      </c>
      <c r="AU350" t="n">
        <v/>
      </c>
    </row>
    <row r="351">
      <c r="A351" s="106" t="n">
        <v>17564</v>
      </c>
      <c r="B351" t="n">
        <v/>
      </c>
      <c r="C351" t="n">
        <v/>
      </c>
      <c r="D351" t="n">
        <v/>
      </c>
      <c r="E351" t="n">
        <v/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/>
      </c>
      <c r="L351" t="n">
        <v/>
      </c>
      <c r="M351" t="n">
        <v/>
      </c>
      <c r="N351" t="n">
        <v/>
      </c>
      <c r="O351" t="n">
        <v/>
      </c>
      <c r="P351" t="n">
        <v/>
      </c>
      <c r="Q351" t="n">
        <v/>
      </c>
      <c r="R351" t="n">
        <v/>
      </c>
      <c r="S351" t="n">
        <v/>
      </c>
      <c r="T351" t="n">
        <v/>
      </c>
      <c r="U351" t="n">
        <v/>
      </c>
      <c r="V351" t="n">
        <v/>
      </c>
      <c r="W351" t="n">
        <v/>
      </c>
      <c r="X351" t="n">
        <v/>
      </c>
      <c r="Y351" t="n">
        <v/>
      </c>
      <c r="Z351" t="n">
        <v/>
      </c>
      <c r="AA351" t="n">
        <v/>
      </c>
      <c r="AB351" t="n">
        <v/>
      </c>
      <c r="AC351" t="n">
        <v/>
      </c>
      <c r="AD351" t="n">
        <v/>
      </c>
      <c r="AE351" t="n">
        <v/>
      </c>
      <c r="AF351" t="n">
        <v/>
      </c>
      <c r="AG351" t="n">
        <v/>
      </c>
      <c r="AH351" t="n">
        <v/>
      </c>
      <c r="AI351" t="n">
        <v/>
      </c>
      <c r="AJ351" t="n">
        <v/>
      </c>
      <c r="AK351" t="n">
        <v/>
      </c>
      <c r="AL351" t="n">
        <v/>
      </c>
      <c r="AM351" t="n">
        <v/>
      </c>
      <c r="AN351" t="n">
        <v/>
      </c>
      <c r="AO351" t="n">
        <v/>
      </c>
      <c r="AP351" t="n">
        <v/>
      </c>
      <c r="AQ351" t="n">
        <v/>
      </c>
      <c r="AR351" t="n">
        <v/>
      </c>
      <c r="AS351" t="n">
        <v/>
      </c>
      <c r="AT351" t="n">
        <v>14.268208096</v>
      </c>
      <c r="AU351" t="n">
        <v/>
      </c>
    </row>
    <row r="352">
      <c r="A352" s="106" t="n">
        <v>17593</v>
      </c>
      <c r="B352" t="n">
        <v/>
      </c>
      <c r="C352" t="n">
        <v/>
      </c>
      <c r="D352" t="n">
        <v/>
      </c>
      <c r="E352" t="n">
        <v/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/>
      </c>
      <c r="L352" t="n">
        <v/>
      </c>
      <c r="M352" t="n">
        <v/>
      </c>
      <c r="N352" t="n">
        <v/>
      </c>
      <c r="O352" t="n">
        <v/>
      </c>
      <c r="P352" t="n">
        <v/>
      </c>
      <c r="Q352" t="n">
        <v/>
      </c>
      <c r="R352" t="n">
        <v/>
      </c>
      <c r="S352" t="n">
        <v/>
      </c>
      <c r="T352" t="n">
        <v/>
      </c>
      <c r="U352" t="n">
        <v/>
      </c>
      <c r="V352" t="n">
        <v/>
      </c>
      <c r="W352" t="n">
        <v/>
      </c>
      <c r="X352" t="n">
        <v/>
      </c>
      <c r="Y352" t="n">
        <v/>
      </c>
      <c r="Z352" t="n">
        <v/>
      </c>
      <c r="AA352" t="n">
        <v/>
      </c>
      <c r="AB352" t="n">
        <v/>
      </c>
      <c r="AC352" t="n">
        <v/>
      </c>
      <c r="AD352" t="n">
        <v/>
      </c>
      <c r="AE352" t="n">
        <v/>
      </c>
      <c r="AF352" t="n">
        <v/>
      </c>
      <c r="AG352" t="n">
        <v/>
      </c>
      <c r="AH352" t="n">
        <v/>
      </c>
      <c r="AI352" t="n">
        <v/>
      </c>
      <c r="AJ352" t="n">
        <v/>
      </c>
      <c r="AK352" t="n">
        <v/>
      </c>
      <c r="AL352" t="n">
        <v/>
      </c>
      <c r="AM352" t="n">
        <v/>
      </c>
      <c r="AN352" t="n">
        <v/>
      </c>
      <c r="AO352" t="n">
        <v/>
      </c>
      <c r="AP352" t="n">
        <v/>
      </c>
      <c r="AQ352" t="n">
        <v/>
      </c>
      <c r="AR352" t="n">
        <v/>
      </c>
      <c r="AS352" t="n">
        <v/>
      </c>
      <c r="AT352" t="n">
        <v>14.107968027</v>
      </c>
      <c r="AU352" t="n">
        <v/>
      </c>
    </row>
    <row r="353">
      <c r="A353" s="106" t="n">
        <v>17624</v>
      </c>
      <c r="B353" t="n">
        <v/>
      </c>
      <c r="C353" t="n">
        <v/>
      </c>
      <c r="D353" t="n">
        <v/>
      </c>
      <c r="E353" t="n">
        <v/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/>
      </c>
      <c r="L353" t="n">
        <v/>
      </c>
      <c r="M353" t="n">
        <v/>
      </c>
      <c r="N353" t="n">
        <v/>
      </c>
      <c r="O353" t="n">
        <v/>
      </c>
      <c r="P353" t="n">
        <v/>
      </c>
      <c r="Q353" t="n">
        <v/>
      </c>
      <c r="R353" t="n">
        <v/>
      </c>
      <c r="S353" t="n">
        <v/>
      </c>
      <c r="T353" t="n">
        <v/>
      </c>
      <c r="U353" t="n">
        <v/>
      </c>
      <c r="V353" t="n">
        <v/>
      </c>
      <c r="W353" t="n">
        <v/>
      </c>
      <c r="X353" t="n">
        <v/>
      </c>
      <c r="Y353" t="n">
        <v/>
      </c>
      <c r="Z353" t="n">
        <v/>
      </c>
      <c r="AA353" t="n">
        <v/>
      </c>
      <c r="AB353" t="n">
        <v/>
      </c>
      <c r="AC353" t="n">
        <v/>
      </c>
      <c r="AD353" t="n">
        <v/>
      </c>
      <c r="AE353" t="n">
        <v/>
      </c>
      <c r="AF353" t="n">
        <v/>
      </c>
      <c r="AG353" t="n">
        <v/>
      </c>
      <c r="AH353" t="n">
        <v/>
      </c>
      <c r="AI353" t="n">
        <v/>
      </c>
      <c r="AJ353" t="n">
        <v/>
      </c>
      <c r="AK353" t="n">
        <v/>
      </c>
      <c r="AL353" t="n">
        <v/>
      </c>
      <c r="AM353" t="n">
        <v/>
      </c>
      <c r="AN353" t="n">
        <v/>
      </c>
      <c r="AO353" t="n">
        <v/>
      </c>
      <c r="AP353" t="n">
        <v/>
      </c>
      <c r="AQ353" t="n">
        <v/>
      </c>
      <c r="AR353" t="n">
        <v/>
      </c>
      <c r="AS353" t="n">
        <v/>
      </c>
      <c r="AT353" t="n">
        <v>14.134641652</v>
      </c>
      <c r="AU353" t="n">
        <v/>
      </c>
    </row>
    <row r="354">
      <c r="A354" s="106" t="n">
        <v>17654</v>
      </c>
      <c r="B354" t="n">
        <v/>
      </c>
      <c r="C354" t="n">
        <v/>
      </c>
      <c r="D354" t="n">
        <v/>
      </c>
      <c r="E354" t="n">
        <v/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/>
      </c>
      <c r="L354" t="n">
        <v/>
      </c>
      <c r="M354" t="n">
        <v/>
      </c>
      <c r="N354" t="n">
        <v/>
      </c>
      <c r="O354" t="n">
        <v/>
      </c>
      <c r="P354" t="n">
        <v/>
      </c>
      <c r="Q354" t="n">
        <v/>
      </c>
      <c r="R354" t="n">
        <v/>
      </c>
      <c r="S354" t="n">
        <v/>
      </c>
      <c r="T354" t="n">
        <v/>
      </c>
      <c r="U354" t="n">
        <v/>
      </c>
      <c r="V354" t="n">
        <v/>
      </c>
      <c r="W354" t="n">
        <v/>
      </c>
      <c r="X354" t="n">
        <v/>
      </c>
      <c r="Y354" t="n">
        <v/>
      </c>
      <c r="Z354" t="n">
        <v/>
      </c>
      <c r="AA354" t="n">
        <v/>
      </c>
      <c r="AB354" t="n">
        <v/>
      </c>
      <c r="AC354" t="n">
        <v/>
      </c>
      <c r="AD354" t="n">
        <v/>
      </c>
      <c r="AE354" t="n">
        <v/>
      </c>
      <c r="AF354" t="n">
        <v/>
      </c>
      <c r="AG354" t="n">
        <v/>
      </c>
      <c r="AH354" t="n">
        <v/>
      </c>
      <c r="AI354" t="n">
        <v/>
      </c>
      <c r="AJ354" t="n">
        <v/>
      </c>
      <c r="AK354" t="n">
        <v/>
      </c>
      <c r="AL354" t="n">
        <v/>
      </c>
      <c r="AM354" t="n">
        <v/>
      </c>
      <c r="AN354" t="n">
        <v/>
      </c>
      <c r="AO354" t="n">
        <v/>
      </c>
      <c r="AP354" t="n">
        <v/>
      </c>
      <c r="AQ354" t="n">
        <v/>
      </c>
      <c r="AR354" t="n">
        <v/>
      </c>
      <c r="AS354" t="n">
        <v/>
      </c>
      <c r="AT354" t="n">
        <v>14.375100914</v>
      </c>
      <c r="AU354" t="n">
        <v/>
      </c>
    </row>
    <row r="355">
      <c r="A355" s="106" t="n">
        <v>17685</v>
      </c>
      <c r="B355" t="n">
        <v/>
      </c>
      <c r="C355" t="n">
        <v/>
      </c>
      <c r="D355" t="n">
        <v/>
      </c>
      <c r="E355" t="n">
        <v/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/>
      </c>
      <c r="L355" t="n">
        <v/>
      </c>
      <c r="M355" t="n">
        <v/>
      </c>
      <c r="N355" t="n">
        <v/>
      </c>
      <c r="O355" t="n">
        <v/>
      </c>
      <c r="P355" t="n">
        <v/>
      </c>
      <c r="Q355" t="n">
        <v/>
      </c>
      <c r="R355" t="n">
        <v/>
      </c>
      <c r="S355" t="n">
        <v/>
      </c>
      <c r="T355" t="n">
        <v/>
      </c>
      <c r="U355" t="n">
        <v/>
      </c>
      <c r="V355" t="n">
        <v/>
      </c>
      <c r="W355" t="n">
        <v/>
      </c>
      <c r="X355" t="n">
        <v/>
      </c>
      <c r="Y355" t="n">
        <v/>
      </c>
      <c r="Z355" t="n">
        <v/>
      </c>
      <c r="AA355" t="n">
        <v/>
      </c>
      <c r="AB355" t="n">
        <v/>
      </c>
      <c r="AC355" t="n">
        <v/>
      </c>
      <c r="AD355" t="n">
        <v/>
      </c>
      <c r="AE355" t="n">
        <v/>
      </c>
      <c r="AF355" t="n">
        <v/>
      </c>
      <c r="AG355" t="n">
        <v/>
      </c>
      <c r="AH355" t="n">
        <v/>
      </c>
      <c r="AI355" t="n">
        <v/>
      </c>
      <c r="AJ355" t="n">
        <v/>
      </c>
      <c r="AK355" t="n">
        <v/>
      </c>
      <c r="AL355" t="n">
        <v/>
      </c>
      <c r="AM355" t="n">
        <v/>
      </c>
      <c r="AN355" t="n">
        <v/>
      </c>
      <c r="AO355" t="n">
        <v/>
      </c>
      <c r="AP355" t="n">
        <v/>
      </c>
      <c r="AQ355" t="n">
        <v/>
      </c>
      <c r="AR355" t="n">
        <v/>
      </c>
      <c r="AS355" t="n">
        <v/>
      </c>
      <c r="AT355" t="n">
        <v>14.562113767</v>
      </c>
      <c r="AU355" t="n">
        <v/>
      </c>
    </row>
    <row r="356">
      <c r="A356" s="106" t="n">
        <v>17715</v>
      </c>
      <c r="B356" t="n">
        <v/>
      </c>
      <c r="C356" t="n">
        <v/>
      </c>
      <c r="D356" t="n">
        <v/>
      </c>
      <c r="E356" t="n">
        <v/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/>
      </c>
      <c r="L356" t="n">
        <v/>
      </c>
      <c r="M356" t="n">
        <v/>
      </c>
      <c r="N356" t="n">
        <v/>
      </c>
      <c r="O356" t="n">
        <v/>
      </c>
      <c r="P356" t="n">
        <v/>
      </c>
      <c r="Q356" t="n">
        <v/>
      </c>
      <c r="R356" t="n">
        <v/>
      </c>
      <c r="S356" t="n">
        <v/>
      </c>
      <c r="T356" t="n">
        <v/>
      </c>
      <c r="U356" t="n">
        <v/>
      </c>
      <c r="V356" t="n">
        <v/>
      </c>
      <c r="W356" t="n">
        <v/>
      </c>
      <c r="X356" t="n">
        <v/>
      </c>
      <c r="Y356" t="n">
        <v/>
      </c>
      <c r="Z356" t="n">
        <v/>
      </c>
      <c r="AA356" t="n">
        <v/>
      </c>
      <c r="AB356" t="n">
        <v/>
      </c>
      <c r="AC356" t="n">
        <v/>
      </c>
      <c r="AD356" t="n">
        <v/>
      </c>
      <c r="AE356" t="n">
        <v/>
      </c>
      <c r="AF356" t="n">
        <v/>
      </c>
      <c r="AG356" t="n">
        <v/>
      </c>
      <c r="AH356" t="n">
        <v/>
      </c>
      <c r="AI356" t="n">
        <v/>
      </c>
      <c r="AJ356" t="n">
        <v/>
      </c>
      <c r="AK356" t="n">
        <v/>
      </c>
      <c r="AL356" t="n">
        <v/>
      </c>
      <c r="AM356" t="n">
        <v/>
      </c>
      <c r="AN356" t="n">
        <v/>
      </c>
      <c r="AO356" t="n">
        <v/>
      </c>
      <c r="AP356" t="n">
        <v/>
      </c>
      <c r="AQ356" t="n">
        <v/>
      </c>
      <c r="AR356" t="n">
        <v/>
      </c>
      <c r="AS356" t="n">
        <v/>
      </c>
      <c r="AT356" t="n">
        <v>14.562113767</v>
      </c>
      <c r="AU356" t="n">
        <v/>
      </c>
    </row>
    <row r="357">
      <c r="A357" s="106" t="n">
        <v>17746</v>
      </c>
      <c r="B357" t="n">
        <v/>
      </c>
      <c r="C357" t="n">
        <v/>
      </c>
      <c r="D357" t="n">
        <v/>
      </c>
      <c r="E357" t="n">
        <v/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/>
      </c>
      <c r="L357" t="n">
        <v/>
      </c>
      <c r="M357" t="n">
        <v/>
      </c>
      <c r="N357" t="n">
        <v/>
      </c>
      <c r="O357" t="n">
        <v/>
      </c>
      <c r="P357" t="n">
        <v/>
      </c>
      <c r="Q357" t="n">
        <v/>
      </c>
      <c r="R357" t="n">
        <v/>
      </c>
      <c r="S357" t="n">
        <v/>
      </c>
      <c r="T357" t="n">
        <v/>
      </c>
      <c r="U357" t="n">
        <v/>
      </c>
      <c r="V357" t="n">
        <v/>
      </c>
      <c r="W357" t="n">
        <v/>
      </c>
      <c r="X357" t="n">
        <v/>
      </c>
      <c r="Y357" t="n">
        <v/>
      </c>
      <c r="Z357" t="n">
        <v/>
      </c>
      <c r="AA357" t="n">
        <v/>
      </c>
      <c r="AB357" t="n">
        <v/>
      </c>
      <c r="AC357" t="n">
        <v/>
      </c>
      <c r="AD357" t="n">
        <v/>
      </c>
      <c r="AE357" t="n">
        <v/>
      </c>
      <c r="AF357" t="n">
        <v/>
      </c>
      <c r="AG357" t="n">
        <v/>
      </c>
      <c r="AH357" t="n">
        <v/>
      </c>
      <c r="AI357" t="n">
        <v/>
      </c>
      <c r="AJ357" t="n">
        <v/>
      </c>
      <c r="AK357" t="n">
        <v/>
      </c>
      <c r="AL357" t="n">
        <v/>
      </c>
      <c r="AM357" t="n">
        <v/>
      </c>
      <c r="AN357" t="n">
        <v/>
      </c>
      <c r="AO357" t="n">
        <v/>
      </c>
      <c r="AP357" t="n">
        <v/>
      </c>
      <c r="AQ357" t="n">
        <v/>
      </c>
      <c r="AR357" t="n">
        <v/>
      </c>
      <c r="AS357" t="n">
        <v/>
      </c>
      <c r="AT357" t="n">
        <v>14.508667358</v>
      </c>
      <c r="AU357" t="n">
        <v/>
      </c>
    </row>
    <row r="358">
      <c r="A358" s="106" t="n">
        <v>17777</v>
      </c>
      <c r="B358" t="n">
        <v/>
      </c>
      <c r="C358" t="n">
        <v/>
      </c>
      <c r="D358" t="n">
        <v/>
      </c>
      <c r="E358" t="n">
        <v/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/>
      </c>
      <c r="L358" t="n">
        <v/>
      </c>
      <c r="M358" t="n">
        <v/>
      </c>
      <c r="N358" t="n">
        <v/>
      </c>
      <c r="O358" t="n">
        <v/>
      </c>
      <c r="P358" t="n">
        <v/>
      </c>
      <c r="Q358" t="n">
        <v/>
      </c>
      <c r="R358" t="n">
        <v/>
      </c>
      <c r="S358" t="n">
        <v/>
      </c>
      <c r="T358" t="n">
        <v/>
      </c>
      <c r="U358" t="n">
        <v/>
      </c>
      <c r="V358" t="n">
        <v/>
      </c>
      <c r="W358" t="n">
        <v/>
      </c>
      <c r="X358" t="n">
        <v/>
      </c>
      <c r="Y358" t="n">
        <v/>
      </c>
      <c r="Z358" t="n">
        <v/>
      </c>
      <c r="AA358" t="n">
        <v/>
      </c>
      <c r="AB358" t="n">
        <v/>
      </c>
      <c r="AC358" t="n">
        <v/>
      </c>
      <c r="AD358" t="n">
        <v/>
      </c>
      <c r="AE358" t="n">
        <v/>
      </c>
      <c r="AF358" t="n">
        <v/>
      </c>
      <c r="AG358" t="n">
        <v/>
      </c>
      <c r="AH358" t="n">
        <v/>
      </c>
      <c r="AI358" t="n">
        <v/>
      </c>
      <c r="AJ358" t="n">
        <v/>
      </c>
      <c r="AK358" t="n">
        <v/>
      </c>
      <c r="AL358" t="n">
        <v/>
      </c>
      <c r="AM358" t="n">
        <v/>
      </c>
      <c r="AN358" t="n">
        <v/>
      </c>
      <c r="AO358" t="n">
        <v/>
      </c>
      <c r="AP358" t="n">
        <v/>
      </c>
      <c r="AQ358" t="n">
        <v/>
      </c>
      <c r="AR358" t="n">
        <v/>
      </c>
      <c r="AS358" t="n">
        <v/>
      </c>
      <c r="AT358" t="n">
        <v>14.401873698</v>
      </c>
      <c r="AU358" t="n">
        <v/>
      </c>
    </row>
    <row r="359">
      <c r="A359" s="106" t="n">
        <v>17807</v>
      </c>
      <c r="B359" t="n">
        <v/>
      </c>
      <c r="C359" t="n">
        <v/>
      </c>
      <c r="D359" t="n">
        <v/>
      </c>
      <c r="E359" t="n">
        <v/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/>
      </c>
      <c r="L359" t="n">
        <v/>
      </c>
      <c r="M359" t="n">
        <v/>
      </c>
      <c r="N359" t="n">
        <v/>
      </c>
      <c r="O359" t="n">
        <v/>
      </c>
      <c r="P359" t="n">
        <v/>
      </c>
      <c r="Q359" t="n">
        <v/>
      </c>
      <c r="R359" t="n">
        <v/>
      </c>
      <c r="S359" t="n">
        <v/>
      </c>
      <c r="T359" t="n">
        <v/>
      </c>
      <c r="U359" t="n">
        <v/>
      </c>
      <c r="V359" t="n">
        <v/>
      </c>
      <c r="W359" t="n">
        <v/>
      </c>
      <c r="X359" t="n">
        <v/>
      </c>
      <c r="Y359" t="n">
        <v/>
      </c>
      <c r="Z359" t="n">
        <v/>
      </c>
      <c r="AA359" t="n">
        <v/>
      </c>
      <c r="AB359" t="n">
        <v/>
      </c>
      <c r="AC359" t="n">
        <v/>
      </c>
      <c r="AD359" t="n">
        <v/>
      </c>
      <c r="AE359" t="n">
        <v/>
      </c>
      <c r="AF359" t="n">
        <v/>
      </c>
      <c r="AG359" t="n">
        <v/>
      </c>
      <c r="AH359" t="n">
        <v/>
      </c>
      <c r="AI359" t="n">
        <v/>
      </c>
      <c r="AJ359" t="n">
        <v/>
      </c>
      <c r="AK359" t="n">
        <v/>
      </c>
      <c r="AL359" t="n">
        <v/>
      </c>
      <c r="AM359" t="n">
        <v/>
      </c>
      <c r="AN359" t="n">
        <v/>
      </c>
      <c r="AO359" t="n">
        <v/>
      </c>
      <c r="AP359" t="n">
        <v/>
      </c>
      <c r="AQ359" t="n">
        <v/>
      </c>
      <c r="AR359" t="n">
        <v/>
      </c>
      <c r="AS359" t="n">
        <v/>
      </c>
      <c r="AT359" t="n">
        <v>14.508766517</v>
      </c>
      <c r="AU359" t="n">
        <v/>
      </c>
    </row>
    <row r="360">
      <c r="A360" s="106" t="n">
        <v>17838</v>
      </c>
      <c r="B360" t="n">
        <v/>
      </c>
      <c r="C360" t="n">
        <v/>
      </c>
      <c r="D360" t="n">
        <v/>
      </c>
      <c r="E360" t="n">
        <v/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/>
      </c>
      <c r="L360" t="n">
        <v/>
      </c>
      <c r="M360" t="n">
        <v/>
      </c>
      <c r="N360" t="n">
        <v/>
      </c>
      <c r="O360" t="n">
        <v/>
      </c>
      <c r="P360" t="n">
        <v/>
      </c>
      <c r="Q360" t="n">
        <v/>
      </c>
      <c r="R360" t="n">
        <v/>
      </c>
      <c r="S360" t="n">
        <v/>
      </c>
      <c r="T360" t="n">
        <v/>
      </c>
      <c r="U360" t="n">
        <v/>
      </c>
      <c r="V360" t="n">
        <v/>
      </c>
      <c r="W360" t="n">
        <v/>
      </c>
      <c r="X360" t="n">
        <v/>
      </c>
      <c r="Y360" t="n">
        <v/>
      </c>
      <c r="Z360" t="n">
        <v/>
      </c>
      <c r="AA360" t="n">
        <v/>
      </c>
      <c r="AB360" t="n">
        <v/>
      </c>
      <c r="AC360" t="n">
        <v/>
      </c>
      <c r="AD360" t="n">
        <v/>
      </c>
      <c r="AE360" t="n">
        <v/>
      </c>
      <c r="AF360" t="n">
        <v/>
      </c>
      <c r="AG360" t="n">
        <v/>
      </c>
      <c r="AH360" t="n">
        <v/>
      </c>
      <c r="AI360" t="n">
        <v/>
      </c>
      <c r="AJ360" t="n">
        <v/>
      </c>
      <c r="AK360" t="n">
        <v/>
      </c>
      <c r="AL360" t="n">
        <v/>
      </c>
      <c r="AM360" t="n">
        <v/>
      </c>
      <c r="AN360" t="n">
        <v/>
      </c>
      <c r="AO360" t="n">
        <v/>
      </c>
      <c r="AP360" t="n">
        <v/>
      </c>
      <c r="AQ360" t="n">
        <v/>
      </c>
      <c r="AR360" t="n">
        <v/>
      </c>
      <c r="AS360" t="n">
        <v/>
      </c>
      <c r="AT360" t="n">
        <v>14.321654505</v>
      </c>
      <c r="AU360" t="n">
        <v/>
      </c>
    </row>
    <row r="361">
      <c r="A361" s="106" t="n">
        <v>17868</v>
      </c>
      <c r="B361" t="n">
        <v/>
      </c>
      <c r="C361" t="n">
        <v/>
      </c>
      <c r="D361" t="n">
        <v/>
      </c>
      <c r="E361" t="n">
        <v/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/>
      </c>
      <c r="L361" t="n">
        <v/>
      </c>
      <c r="M361" t="n">
        <v/>
      </c>
      <c r="N361" t="n">
        <v/>
      </c>
      <c r="O361" t="n">
        <v/>
      </c>
      <c r="P361" t="n">
        <v/>
      </c>
      <c r="Q361" t="n">
        <v/>
      </c>
      <c r="R361" t="n">
        <v/>
      </c>
      <c r="S361" t="n">
        <v/>
      </c>
      <c r="T361" t="n">
        <v/>
      </c>
      <c r="U361" t="n">
        <v/>
      </c>
      <c r="V361" t="n">
        <v/>
      </c>
      <c r="W361" t="n">
        <v/>
      </c>
      <c r="X361" t="n">
        <v/>
      </c>
      <c r="Y361" t="n">
        <v/>
      </c>
      <c r="Z361" t="n">
        <v/>
      </c>
      <c r="AA361" t="n">
        <v/>
      </c>
      <c r="AB361" t="n">
        <v/>
      </c>
      <c r="AC361" t="n">
        <v/>
      </c>
      <c r="AD361" t="n">
        <v/>
      </c>
      <c r="AE361" t="n">
        <v/>
      </c>
      <c r="AF361" t="n">
        <v/>
      </c>
      <c r="AG361" t="n">
        <v/>
      </c>
      <c r="AH361" t="n">
        <v/>
      </c>
      <c r="AI361" t="n">
        <v/>
      </c>
      <c r="AJ361" t="n">
        <v/>
      </c>
      <c r="AK361" t="n">
        <v/>
      </c>
      <c r="AL361" t="n">
        <v/>
      </c>
      <c r="AM361" t="n">
        <v/>
      </c>
      <c r="AN361" t="n">
        <v/>
      </c>
      <c r="AO361" t="n">
        <v/>
      </c>
      <c r="AP361" t="n">
        <v/>
      </c>
      <c r="AQ361" t="n">
        <v/>
      </c>
      <c r="AR361" t="n">
        <v/>
      </c>
      <c r="AS361" t="n">
        <v/>
      </c>
      <c r="AT361" t="n">
        <v>14.188088061</v>
      </c>
      <c r="AU361" t="n">
        <v/>
      </c>
    </row>
    <row r="362">
      <c r="A362" s="106" t="n">
        <v>17899</v>
      </c>
      <c r="B362" t="n">
        <v/>
      </c>
      <c r="C362" t="n">
        <v/>
      </c>
      <c r="D362" t="n">
        <v/>
      </c>
      <c r="E362" t="n">
        <v/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/>
      </c>
      <c r="L362" t="n">
        <v/>
      </c>
      <c r="M362" t="n">
        <v/>
      </c>
      <c r="N362" t="n">
        <v/>
      </c>
      <c r="O362" t="n">
        <v/>
      </c>
      <c r="P362" t="n">
        <v/>
      </c>
      <c r="Q362" t="n">
        <v/>
      </c>
      <c r="R362" t="n">
        <v/>
      </c>
      <c r="S362" t="n">
        <v/>
      </c>
      <c r="T362" t="n">
        <v/>
      </c>
      <c r="U362" t="n">
        <v/>
      </c>
      <c r="V362" t="n">
        <v/>
      </c>
      <c r="W362" t="n">
        <v/>
      </c>
      <c r="X362" t="n">
        <v/>
      </c>
      <c r="Y362" t="n">
        <v/>
      </c>
      <c r="Z362" t="n">
        <v/>
      </c>
      <c r="AA362" t="n">
        <v/>
      </c>
      <c r="AB362" t="n">
        <v/>
      </c>
      <c r="AC362" t="n">
        <v/>
      </c>
      <c r="AD362" t="n">
        <v/>
      </c>
      <c r="AE362" t="n">
        <v/>
      </c>
      <c r="AF362" t="n">
        <v/>
      </c>
      <c r="AG362" t="n">
        <v/>
      </c>
      <c r="AH362" t="n">
        <v/>
      </c>
      <c r="AI362" t="n">
        <v/>
      </c>
      <c r="AJ362" t="n">
        <v/>
      </c>
      <c r="AK362" t="n">
        <v/>
      </c>
      <c r="AL362" t="n">
        <v/>
      </c>
      <c r="AM362" t="n">
        <v/>
      </c>
      <c r="AN362" t="n">
        <v/>
      </c>
      <c r="AO362" t="n">
        <v/>
      </c>
      <c r="AP362" t="n">
        <v/>
      </c>
      <c r="AQ362" t="n">
        <v/>
      </c>
      <c r="AR362" t="n">
        <v/>
      </c>
      <c r="AS362" t="n">
        <v/>
      </c>
      <c r="AT362" t="n">
        <v>14.054521617</v>
      </c>
      <c r="AU362" t="n">
        <v/>
      </c>
    </row>
    <row r="363">
      <c r="A363" s="106" t="n">
        <v>17930</v>
      </c>
      <c r="B363" t="n">
        <v/>
      </c>
      <c r="C363" t="n">
        <v/>
      </c>
      <c r="D363" t="n">
        <v/>
      </c>
      <c r="E363" t="n">
        <v/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/>
      </c>
      <c r="L363" t="n">
        <v/>
      </c>
      <c r="M363" t="n">
        <v/>
      </c>
      <c r="N363" t="n">
        <v/>
      </c>
      <c r="O363" t="n">
        <v/>
      </c>
      <c r="P363" t="n">
        <v/>
      </c>
      <c r="Q363" t="n">
        <v/>
      </c>
      <c r="R363" t="n">
        <v/>
      </c>
      <c r="S363" t="n">
        <v/>
      </c>
      <c r="T363" t="n">
        <v/>
      </c>
      <c r="U363" t="n">
        <v/>
      </c>
      <c r="V363" t="n">
        <v/>
      </c>
      <c r="W363" t="n">
        <v/>
      </c>
      <c r="X363" t="n">
        <v/>
      </c>
      <c r="Y363" t="n">
        <v/>
      </c>
      <c r="Z363" t="n">
        <v/>
      </c>
      <c r="AA363" t="n">
        <v/>
      </c>
      <c r="AB363" t="n">
        <v/>
      </c>
      <c r="AC363" t="n">
        <v/>
      </c>
      <c r="AD363" t="n">
        <v/>
      </c>
      <c r="AE363" t="n">
        <v/>
      </c>
      <c r="AF363" t="n">
        <v/>
      </c>
      <c r="AG363" t="n">
        <v/>
      </c>
      <c r="AH363" t="n">
        <v/>
      </c>
      <c r="AI363" t="n">
        <v/>
      </c>
      <c r="AJ363" t="n">
        <v/>
      </c>
      <c r="AK363" t="n">
        <v/>
      </c>
      <c r="AL363" t="n">
        <v/>
      </c>
      <c r="AM363" t="n">
        <v/>
      </c>
      <c r="AN363" t="n">
        <v/>
      </c>
      <c r="AO363" t="n">
        <v/>
      </c>
      <c r="AP363" t="n">
        <v/>
      </c>
      <c r="AQ363" t="n">
        <v/>
      </c>
      <c r="AR363" t="n">
        <v/>
      </c>
      <c r="AS363" t="n">
        <v/>
      </c>
      <c r="AT363" t="n">
        <v>13.920856015</v>
      </c>
      <c r="AU363" t="n">
        <v/>
      </c>
    </row>
    <row r="364">
      <c r="A364" s="106" t="n">
        <v>17958</v>
      </c>
      <c r="B364" t="n">
        <v/>
      </c>
      <c r="C364" t="n">
        <v/>
      </c>
      <c r="D364" t="n">
        <v/>
      </c>
      <c r="E364" t="n">
        <v/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/>
      </c>
      <c r="L364" t="n">
        <v/>
      </c>
      <c r="M364" t="n">
        <v/>
      </c>
      <c r="N364" t="n">
        <v/>
      </c>
      <c r="O364" t="n">
        <v/>
      </c>
      <c r="P364" t="n">
        <v/>
      </c>
      <c r="Q364" t="n">
        <v/>
      </c>
      <c r="R364" t="n">
        <v/>
      </c>
      <c r="S364" t="n">
        <v/>
      </c>
      <c r="T364" t="n">
        <v/>
      </c>
      <c r="U364" t="n">
        <v/>
      </c>
      <c r="V364" t="n">
        <v/>
      </c>
      <c r="W364" t="n">
        <v/>
      </c>
      <c r="X364" t="n">
        <v/>
      </c>
      <c r="Y364" t="n">
        <v/>
      </c>
      <c r="Z364" t="n">
        <v/>
      </c>
      <c r="AA364" t="n">
        <v/>
      </c>
      <c r="AB364" t="n">
        <v/>
      </c>
      <c r="AC364" t="n">
        <v/>
      </c>
      <c r="AD364" t="n">
        <v/>
      </c>
      <c r="AE364" t="n">
        <v/>
      </c>
      <c r="AF364" t="n">
        <v/>
      </c>
      <c r="AG364" t="n">
        <v/>
      </c>
      <c r="AH364" t="n">
        <v/>
      </c>
      <c r="AI364" t="n">
        <v/>
      </c>
      <c r="AJ364" t="n">
        <v/>
      </c>
      <c r="AK364" t="n">
        <v/>
      </c>
      <c r="AL364" t="n">
        <v/>
      </c>
      <c r="AM364" t="n">
        <v/>
      </c>
      <c r="AN364" t="n">
        <v/>
      </c>
      <c r="AO364" t="n">
        <v/>
      </c>
      <c r="AP364" t="n">
        <v/>
      </c>
      <c r="AQ364" t="n">
        <v/>
      </c>
      <c r="AR364" t="n">
        <v/>
      </c>
      <c r="AS364" t="n">
        <v/>
      </c>
      <c r="AT364" t="n">
        <v>13.653723127</v>
      </c>
      <c r="AU364" t="n">
        <v/>
      </c>
    </row>
    <row r="365">
      <c r="A365" s="106" t="n">
        <v>17989</v>
      </c>
      <c r="B365" t="n">
        <v/>
      </c>
      <c r="C365" t="n">
        <v/>
      </c>
      <c r="D365" t="n">
        <v/>
      </c>
      <c r="E365" t="n">
        <v/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/>
      </c>
      <c r="L365" t="n">
        <v/>
      </c>
      <c r="M365" t="n">
        <v/>
      </c>
      <c r="N365" t="n">
        <v/>
      </c>
      <c r="O365" t="n">
        <v/>
      </c>
      <c r="P365" t="n">
        <v/>
      </c>
      <c r="Q365" t="n">
        <v/>
      </c>
      <c r="R365" t="n">
        <v/>
      </c>
      <c r="S365" t="n">
        <v/>
      </c>
      <c r="T365" t="n">
        <v/>
      </c>
      <c r="U365" t="n">
        <v/>
      </c>
      <c r="V365" t="n">
        <v/>
      </c>
      <c r="W365" t="n">
        <v/>
      </c>
      <c r="X365" t="n">
        <v/>
      </c>
      <c r="Y365" t="n">
        <v/>
      </c>
      <c r="Z365" t="n">
        <v/>
      </c>
      <c r="AA365" t="n">
        <v/>
      </c>
      <c r="AB365" t="n">
        <v/>
      </c>
      <c r="AC365" t="n">
        <v/>
      </c>
      <c r="AD365" t="n">
        <v/>
      </c>
      <c r="AE365" t="n">
        <v/>
      </c>
      <c r="AF365" t="n">
        <v/>
      </c>
      <c r="AG365" t="n">
        <v/>
      </c>
      <c r="AH365" t="n">
        <v/>
      </c>
      <c r="AI365" t="n">
        <v/>
      </c>
      <c r="AJ365" t="n">
        <v/>
      </c>
      <c r="AK365" t="n">
        <v/>
      </c>
      <c r="AL365" t="n">
        <v/>
      </c>
      <c r="AM365" t="n">
        <v/>
      </c>
      <c r="AN365" t="n">
        <v/>
      </c>
      <c r="AO365" t="n">
        <v/>
      </c>
      <c r="AP365" t="n">
        <v/>
      </c>
      <c r="AQ365" t="n">
        <v/>
      </c>
      <c r="AR365" t="n">
        <v/>
      </c>
      <c r="AS365" t="n">
        <v/>
      </c>
      <c r="AT365" t="n">
        <v>13.573503934</v>
      </c>
      <c r="AU365" t="n">
        <v/>
      </c>
    </row>
    <row r="366">
      <c r="A366" s="106" t="n">
        <v>18019</v>
      </c>
      <c r="B366" t="n">
        <v/>
      </c>
      <c r="C366" t="n">
        <v/>
      </c>
      <c r="D366" t="n">
        <v/>
      </c>
      <c r="E366" t="n">
        <v/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/>
      </c>
      <c r="L366" t="n">
        <v/>
      </c>
      <c r="M366" t="n">
        <v/>
      </c>
      <c r="N366" t="n">
        <v/>
      </c>
      <c r="O366" t="n">
        <v/>
      </c>
      <c r="P366" t="n">
        <v/>
      </c>
      <c r="Q366" t="n">
        <v/>
      </c>
      <c r="R366" t="n">
        <v/>
      </c>
      <c r="S366" t="n">
        <v/>
      </c>
      <c r="T366" t="n">
        <v/>
      </c>
      <c r="U366" t="n">
        <v/>
      </c>
      <c r="V366" t="n">
        <v/>
      </c>
      <c r="W366" t="n">
        <v/>
      </c>
      <c r="X366" t="n">
        <v/>
      </c>
      <c r="Y366" t="n">
        <v/>
      </c>
      <c r="Z366" t="n">
        <v/>
      </c>
      <c r="AA366" t="n">
        <v/>
      </c>
      <c r="AB366" t="n">
        <v/>
      </c>
      <c r="AC366" t="n">
        <v/>
      </c>
      <c r="AD366" t="n">
        <v/>
      </c>
      <c r="AE366" t="n">
        <v/>
      </c>
      <c r="AF366" t="n">
        <v/>
      </c>
      <c r="AG366" t="n">
        <v/>
      </c>
      <c r="AH366" t="n">
        <v/>
      </c>
      <c r="AI366" t="n">
        <v/>
      </c>
      <c r="AJ366" t="n">
        <v/>
      </c>
      <c r="AK366" t="n">
        <v/>
      </c>
      <c r="AL366" t="n">
        <v/>
      </c>
      <c r="AM366" t="n">
        <v/>
      </c>
      <c r="AN366" t="n">
        <v/>
      </c>
      <c r="AO366" t="n">
        <v/>
      </c>
      <c r="AP366" t="n">
        <v/>
      </c>
      <c r="AQ366" t="n">
        <v/>
      </c>
      <c r="AR366" t="n">
        <v/>
      </c>
      <c r="AS366" t="n">
        <v/>
      </c>
      <c r="AT366" t="n">
        <v>13.386491081</v>
      </c>
      <c r="AU366" t="n">
        <v/>
      </c>
    </row>
    <row r="367">
      <c r="A367" s="106" t="n">
        <v>18050</v>
      </c>
      <c r="B367" t="n">
        <v/>
      </c>
      <c r="C367" t="n">
        <v/>
      </c>
      <c r="D367" t="n">
        <v/>
      </c>
      <c r="E367" t="n">
        <v/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/>
      </c>
      <c r="L367" t="n">
        <v/>
      </c>
      <c r="M367" t="n">
        <v/>
      </c>
      <c r="N367" t="n">
        <v/>
      </c>
      <c r="O367" t="n">
        <v/>
      </c>
      <c r="P367" t="n">
        <v/>
      </c>
      <c r="Q367" t="n">
        <v/>
      </c>
      <c r="R367" t="n">
        <v/>
      </c>
      <c r="S367" t="n">
        <v/>
      </c>
      <c r="T367" t="n">
        <v/>
      </c>
      <c r="U367" t="n">
        <v/>
      </c>
      <c r="V367" t="n">
        <v/>
      </c>
      <c r="W367" t="n">
        <v/>
      </c>
      <c r="X367" t="n">
        <v/>
      </c>
      <c r="Y367" t="n">
        <v/>
      </c>
      <c r="Z367" t="n">
        <v/>
      </c>
      <c r="AA367" t="n">
        <v/>
      </c>
      <c r="AB367" t="n">
        <v/>
      </c>
      <c r="AC367" t="n">
        <v/>
      </c>
      <c r="AD367" t="n">
        <v/>
      </c>
      <c r="AE367" t="n">
        <v/>
      </c>
      <c r="AF367" t="n">
        <v/>
      </c>
      <c r="AG367" t="n">
        <v/>
      </c>
      <c r="AH367" t="n">
        <v/>
      </c>
      <c r="AI367" t="n">
        <v/>
      </c>
      <c r="AJ367" t="n">
        <v/>
      </c>
      <c r="AK367" t="n">
        <v/>
      </c>
      <c r="AL367" t="n">
        <v/>
      </c>
      <c r="AM367" t="n">
        <v/>
      </c>
      <c r="AN367" t="n">
        <v/>
      </c>
      <c r="AO367" t="n">
        <v/>
      </c>
      <c r="AP367" t="n">
        <v/>
      </c>
      <c r="AQ367" t="n">
        <v/>
      </c>
      <c r="AR367" t="n">
        <v/>
      </c>
      <c r="AS367" t="n">
        <v/>
      </c>
      <c r="AT367" t="n">
        <v>13.359817456</v>
      </c>
      <c r="AU367" t="n">
        <v/>
      </c>
    </row>
    <row r="368">
      <c r="A368" s="106" t="n">
        <v>18080</v>
      </c>
      <c r="B368" t="n">
        <v/>
      </c>
      <c r="C368" t="n">
        <v/>
      </c>
      <c r="D368" t="n">
        <v/>
      </c>
      <c r="E368" t="n">
        <v/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/>
      </c>
      <c r="L368" t="n">
        <v/>
      </c>
      <c r="M368" t="n">
        <v/>
      </c>
      <c r="N368" t="n">
        <v/>
      </c>
      <c r="O368" t="n">
        <v/>
      </c>
      <c r="P368" t="n">
        <v/>
      </c>
      <c r="Q368" t="n">
        <v/>
      </c>
      <c r="R368" t="n">
        <v/>
      </c>
      <c r="S368" t="n">
        <v/>
      </c>
      <c r="T368" t="n">
        <v/>
      </c>
      <c r="U368" t="n">
        <v/>
      </c>
      <c r="V368" t="n">
        <v/>
      </c>
      <c r="W368" t="n">
        <v/>
      </c>
      <c r="X368" t="n">
        <v/>
      </c>
      <c r="Y368" t="n">
        <v/>
      </c>
      <c r="Z368" t="n">
        <v/>
      </c>
      <c r="AA368" t="n">
        <v/>
      </c>
      <c r="AB368" t="n">
        <v/>
      </c>
      <c r="AC368" t="n">
        <v/>
      </c>
      <c r="AD368" t="n">
        <v/>
      </c>
      <c r="AE368" t="n">
        <v/>
      </c>
      <c r="AF368" t="n">
        <v/>
      </c>
      <c r="AG368" t="n">
        <v/>
      </c>
      <c r="AH368" t="n">
        <v/>
      </c>
      <c r="AI368" t="n">
        <v/>
      </c>
      <c r="AJ368" t="n">
        <v/>
      </c>
      <c r="AK368" t="n">
        <v/>
      </c>
      <c r="AL368" t="n">
        <v/>
      </c>
      <c r="AM368" t="n">
        <v/>
      </c>
      <c r="AN368" t="n">
        <v/>
      </c>
      <c r="AO368" t="n">
        <v/>
      </c>
      <c r="AP368" t="n">
        <v/>
      </c>
      <c r="AQ368" t="n">
        <v/>
      </c>
      <c r="AR368" t="n">
        <v/>
      </c>
      <c r="AS368" t="n">
        <v/>
      </c>
      <c r="AT368" t="n">
        <v>13.333044672</v>
      </c>
      <c r="AU368" t="n">
        <v/>
      </c>
    </row>
    <row r="369">
      <c r="A369" s="106" t="n">
        <v>18111</v>
      </c>
      <c r="B369" t="n">
        <v/>
      </c>
      <c r="C369" t="n">
        <v/>
      </c>
      <c r="D369" t="n">
        <v/>
      </c>
      <c r="E369" t="n">
        <v/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/>
      </c>
      <c r="L369" t="n">
        <v/>
      </c>
      <c r="M369" t="n">
        <v/>
      </c>
      <c r="N369" t="n">
        <v/>
      </c>
      <c r="O369" t="n">
        <v/>
      </c>
      <c r="P369" t="n">
        <v/>
      </c>
      <c r="Q369" t="n">
        <v/>
      </c>
      <c r="R369" t="n">
        <v/>
      </c>
      <c r="S369" t="n">
        <v/>
      </c>
      <c r="T369" t="n">
        <v/>
      </c>
      <c r="U369" t="n">
        <v/>
      </c>
      <c r="V369" t="n">
        <v/>
      </c>
      <c r="W369" t="n">
        <v/>
      </c>
      <c r="X369" t="n">
        <v/>
      </c>
      <c r="Y369" t="n">
        <v/>
      </c>
      <c r="Z369" t="n">
        <v/>
      </c>
      <c r="AA369" t="n">
        <v/>
      </c>
      <c r="AB369" t="n">
        <v/>
      </c>
      <c r="AC369" t="n">
        <v/>
      </c>
      <c r="AD369" t="n">
        <v/>
      </c>
      <c r="AE369" t="n">
        <v/>
      </c>
      <c r="AF369" t="n">
        <v/>
      </c>
      <c r="AG369" t="n">
        <v/>
      </c>
      <c r="AH369" t="n">
        <v/>
      </c>
      <c r="AI369" t="n">
        <v/>
      </c>
      <c r="AJ369" t="n">
        <v/>
      </c>
      <c r="AK369" t="n">
        <v/>
      </c>
      <c r="AL369" t="n">
        <v/>
      </c>
      <c r="AM369" t="n">
        <v/>
      </c>
      <c r="AN369" t="n">
        <v/>
      </c>
      <c r="AO369" t="n">
        <v/>
      </c>
      <c r="AP369" t="n">
        <v/>
      </c>
      <c r="AQ369" t="n">
        <v/>
      </c>
      <c r="AR369" t="n">
        <v/>
      </c>
      <c r="AS369" t="n">
        <v/>
      </c>
      <c r="AT369" t="n">
        <v>13.466611116</v>
      </c>
      <c r="AU369" t="n">
        <v/>
      </c>
    </row>
    <row r="370">
      <c r="A370" s="106" t="n">
        <v>18142</v>
      </c>
      <c r="B370" t="n">
        <v/>
      </c>
      <c r="C370" t="n">
        <v/>
      </c>
      <c r="D370" t="n">
        <v/>
      </c>
      <c r="E370" t="n">
        <v/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/>
      </c>
      <c r="L370" t="n">
        <v/>
      </c>
      <c r="M370" t="n">
        <v/>
      </c>
      <c r="N370" t="n">
        <v/>
      </c>
      <c r="O370" t="n">
        <v/>
      </c>
      <c r="P370" t="n">
        <v/>
      </c>
      <c r="Q370" t="n">
        <v/>
      </c>
      <c r="R370" t="n">
        <v/>
      </c>
      <c r="S370" t="n">
        <v/>
      </c>
      <c r="T370" t="n">
        <v/>
      </c>
      <c r="U370" t="n">
        <v/>
      </c>
      <c r="V370" t="n">
        <v/>
      </c>
      <c r="W370" t="n">
        <v/>
      </c>
      <c r="X370" t="n">
        <v/>
      </c>
      <c r="Y370" t="n">
        <v/>
      </c>
      <c r="Z370" t="n">
        <v/>
      </c>
      <c r="AA370" t="n">
        <v/>
      </c>
      <c r="AB370" t="n">
        <v/>
      </c>
      <c r="AC370" t="n">
        <v/>
      </c>
      <c r="AD370" t="n">
        <v/>
      </c>
      <c r="AE370" t="n">
        <v/>
      </c>
      <c r="AF370" t="n">
        <v/>
      </c>
      <c r="AG370" t="n">
        <v/>
      </c>
      <c r="AH370" t="n">
        <v/>
      </c>
      <c r="AI370" t="n">
        <v/>
      </c>
      <c r="AJ370" t="n">
        <v/>
      </c>
      <c r="AK370" t="n">
        <v/>
      </c>
      <c r="AL370" t="n">
        <v/>
      </c>
      <c r="AM370" t="n">
        <v/>
      </c>
      <c r="AN370" t="n">
        <v/>
      </c>
      <c r="AO370" t="n">
        <v/>
      </c>
      <c r="AP370" t="n">
        <v/>
      </c>
      <c r="AQ370" t="n">
        <v/>
      </c>
      <c r="AR370" t="n">
        <v/>
      </c>
      <c r="AS370" t="n">
        <v/>
      </c>
      <c r="AT370" t="n">
        <v>13.600276718</v>
      </c>
      <c r="AU370" t="n">
        <v/>
      </c>
    </row>
    <row r="371">
      <c r="A371" s="106" t="n">
        <v>18172</v>
      </c>
      <c r="B371" t="n">
        <v/>
      </c>
      <c r="C371" t="n">
        <v/>
      </c>
      <c r="D371" t="n">
        <v/>
      </c>
      <c r="E371" t="n">
        <v/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/>
      </c>
      <c r="L371" t="n">
        <v/>
      </c>
      <c r="M371" t="n">
        <v/>
      </c>
      <c r="N371" t="n">
        <v/>
      </c>
      <c r="O371" t="n">
        <v/>
      </c>
      <c r="P371" t="n">
        <v/>
      </c>
      <c r="Q371" t="n">
        <v/>
      </c>
      <c r="R371" t="n">
        <v/>
      </c>
      <c r="S371" t="n">
        <v/>
      </c>
      <c r="T371" t="n">
        <v/>
      </c>
      <c r="U371" t="n">
        <v/>
      </c>
      <c r="V371" t="n">
        <v/>
      </c>
      <c r="W371" t="n">
        <v/>
      </c>
      <c r="X371" t="n">
        <v/>
      </c>
      <c r="Y371" t="n">
        <v/>
      </c>
      <c r="Z371" t="n">
        <v/>
      </c>
      <c r="AA371" t="n">
        <v/>
      </c>
      <c r="AB371" t="n">
        <v/>
      </c>
      <c r="AC371" t="n">
        <v/>
      </c>
      <c r="AD371" t="n">
        <v/>
      </c>
      <c r="AE371" t="n">
        <v/>
      </c>
      <c r="AF371" t="n">
        <v/>
      </c>
      <c r="AG371" t="n">
        <v/>
      </c>
      <c r="AH371" t="n">
        <v/>
      </c>
      <c r="AI371" t="n">
        <v/>
      </c>
      <c r="AJ371" t="n">
        <v/>
      </c>
      <c r="AK371" t="n">
        <v/>
      </c>
      <c r="AL371" t="n">
        <v/>
      </c>
      <c r="AM371" t="n">
        <v/>
      </c>
      <c r="AN371" t="n">
        <v/>
      </c>
      <c r="AO371" t="n">
        <v/>
      </c>
      <c r="AP371" t="n">
        <v/>
      </c>
      <c r="AQ371" t="n">
        <v/>
      </c>
      <c r="AR371" t="n">
        <v/>
      </c>
      <c r="AS371" t="n">
        <v/>
      </c>
      <c r="AT371" t="n">
        <v>13.09258541</v>
      </c>
      <c r="AU371" t="n">
        <v/>
      </c>
    </row>
    <row r="372">
      <c r="A372" s="106" t="n">
        <v>18203</v>
      </c>
      <c r="B372" t="n">
        <v/>
      </c>
      <c r="C372" t="n">
        <v/>
      </c>
      <c r="D372" t="n">
        <v/>
      </c>
      <c r="E372" t="n">
        <v/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/>
      </c>
      <c r="L372" t="n">
        <v/>
      </c>
      <c r="M372" t="n">
        <v/>
      </c>
      <c r="N372" t="n">
        <v/>
      </c>
      <c r="O372" t="n">
        <v/>
      </c>
      <c r="P372" t="n">
        <v/>
      </c>
      <c r="Q372" t="n">
        <v/>
      </c>
      <c r="R372" t="n">
        <v/>
      </c>
      <c r="S372" t="n">
        <v/>
      </c>
      <c r="T372" t="n">
        <v/>
      </c>
      <c r="U372" t="n">
        <v/>
      </c>
      <c r="V372" t="n">
        <v/>
      </c>
      <c r="W372" t="n">
        <v/>
      </c>
      <c r="X372" t="n">
        <v/>
      </c>
      <c r="Y372" t="n">
        <v/>
      </c>
      <c r="Z372" t="n">
        <v/>
      </c>
      <c r="AA372" t="n">
        <v/>
      </c>
      <c r="AB372" t="n">
        <v/>
      </c>
      <c r="AC372" t="n">
        <v/>
      </c>
      <c r="AD372" t="n">
        <v/>
      </c>
      <c r="AE372" t="n">
        <v/>
      </c>
      <c r="AF372" t="n">
        <v/>
      </c>
      <c r="AG372" t="n">
        <v/>
      </c>
      <c r="AH372" t="n">
        <v/>
      </c>
      <c r="AI372" t="n">
        <v/>
      </c>
      <c r="AJ372" t="n">
        <v/>
      </c>
      <c r="AK372" t="n">
        <v/>
      </c>
      <c r="AL372" t="n">
        <v/>
      </c>
      <c r="AM372" t="n">
        <v/>
      </c>
      <c r="AN372" t="n">
        <v/>
      </c>
      <c r="AO372" t="n">
        <v/>
      </c>
      <c r="AP372" t="n">
        <v/>
      </c>
      <c r="AQ372" t="n">
        <v/>
      </c>
      <c r="AR372" t="n">
        <v/>
      </c>
      <c r="AS372" t="n">
        <v/>
      </c>
      <c r="AT372" t="n">
        <v>13.439937491</v>
      </c>
      <c r="AU372" t="n">
        <v/>
      </c>
    </row>
    <row r="373">
      <c r="A373" s="106" t="n">
        <v>18233</v>
      </c>
      <c r="B373" t="n">
        <v/>
      </c>
      <c r="C373" t="n">
        <v/>
      </c>
      <c r="D373" t="n">
        <v/>
      </c>
      <c r="E373" t="n">
        <v/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/>
      </c>
      <c r="L373" t="n">
        <v/>
      </c>
      <c r="M373" t="n">
        <v/>
      </c>
      <c r="N373" t="n">
        <v/>
      </c>
      <c r="O373" t="n">
        <v/>
      </c>
      <c r="P373" t="n">
        <v/>
      </c>
      <c r="Q373" t="n">
        <v/>
      </c>
      <c r="R373" t="n">
        <v/>
      </c>
      <c r="S373" t="n">
        <v/>
      </c>
      <c r="T373" t="n">
        <v/>
      </c>
      <c r="U373" t="n">
        <v/>
      </c>
      <c r="V373" t="n">
        <v/>
      </c>
      <c r="W373" t="n">
        <v/>
      </c>
      <c r="X373" t="n">
        <v/>
      </c>
      <c r="Y373" t="n">
        <v/>
      </c>
      <c r="Z373" t="n">
        <v/>
      </c>
      <c r="AA373" t="n">
        <v/>
      </c>
      <c r="AB373" t="n">
        <v/>
      </c>
      <c r="AC373" t="n">
        <v/>
      </c>
      <c r="AD373" t="n">
        <v/>
      </c>
      <c r="AE373" t="n">
        <v/>
      </c>
      <c r="AF373" t="n">
        <v/>
      </c>
      <c r="AG373" t="n">
        <v/>
      </c>
      <c r="AH373" t="n">
        <v/>
      </c>
      <c r="AI373" t="n">
        <v/>
      </c>
      <c r="AJ373" t="n">
        <v/>
      </c>
      <c r="AK373" t="n">
        <v/>
      </c>
      <c r="AL373" t="n">
        <v/>
      </c>
      <c r="AM373" t="n">
        <v/>
      </c>
      <c r="AN373" t="n">
        <v/>
      </c>
      <c r="AO373" t="n">
        <v/>
      </c>
      <c r="AP373" t="n">
        <v/>
      </c>
      <c r="AQ373" t="n">
        <v/>
      </c>
      <c r="AR373" t="n">
        <v/>
      </c>
      <c r="AS373" t="n">
        <v/>
      </c>
      <c r="AT373" t="n">
        <v>13.680396753</v>
      </c>
      <c r="AU373" t="n">
        <v/>
      </c>
    </row>
    <row r="374">
      <c r="A374" s="106" t="n">
        <v>18264</v>
      </c>
      <c r="B374" t="n">
        <v/>
      </c>
      <c r="C374" t="n">
        <v/>
      </c>
      <c r="D374" t="n">
        <v/>
      </c>
      <c r="E374" t="n">
        <v/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/>
      </c>
      <c r="L374" t="n">
        <v/>
      </c>
      <c r="M374" t="n">
        <v/>
      </c>
      <c r="N374" t="n">
        <v/>
      </c>
      <c r="O374" t="n">
        <v/>
      </c>
      <c r="P374" t="n">
        <v/>
      </c>
      <c r="Q374" t="n">
        <v/>
      </c>
      <c r="R374" t="n">
        <v/>
      </c>
      <c r="S374" t="n">
        <v/>
      </c>
      <c r="T374" t="n">
        <v/>
      </c>
      <c r="U374" t="n">
        <v/>
      </c>
      <c r="V374" t="n">
        <v/>
      </c>
      <c r="W374" t="n">
        <v/>
      </c>
      <c r="X374" t="n">
        <v/>
      </c>
      <c r="Y374" t="n">
        <v/>
      </c>
      <c r="Z374" t="n">
        <v/>
      </c>
      <c r="AA374" t="n">
        <v/>
      </c>
      <c r="AB374" t="n">
        <v/>
      </c>
      <c r="AC374" t="n">
        <v/>
      </c>
      <c r="AD374" t="n">
        <v/>
      </c>
      <c r="AE374" t="n">
        <v/>
      </c>
      <c r="AF374" t="n">
        <v/>
      </c>
      <c r="AG374" t="n">
        <v/>
      </c>
      <c r="AH374" t="n">
        <v/>
      </c>
      <c r="AI374" t="n">
        <v/>
      </c>
      <c r="AJ374" t="n">
        <v/>
      </c>
      <c r="AK374" t="n">
        <v/>
      </c>
      <c r="AL374" t="n">
        <v/>
      </c>
      <c r="AM374" t="n">
        <v/>
      </c>
      <c r="AN374" t="n">
        <v/>
      </c>
      <c r="AO374" t="n">
        <v/>
      </c>
      <c r="AP374" t="n">
        <v/>
      </c>
      <c r="AQ374" t="n">
        <v/>
      </c>
      <c r="AR374" t="n">
        <v/>
      </c>
      <c r="AS374" t="n">
        <v/>
      </c>
      <c r="AT374" t="n">
        <v>13.920856015</v>
      </c>
      <c r="AU374" t="n">
        <v/>
      </c>
    </row>
    <row r="375">
      <c r="A375" s="106" t="n">
        <v>18295</v>
      </c>
      <c r="B375" t="n">
        <v/>
      </c>
      <c r="C375" t="n">
        <v/>
      </c>
      <c r="D375" t="n">
        <v/>
      </c>
      <c r="E375" t="n">
        <v/>
      </c>
      <c r="F375" t="n">
        <v/>
      </c>
      <c r="G375" t="n">
        <v/>
      </c>
      <c r="H375" t="n">
        <v/>
      </c>
      <c r="I375" t="n">
        <v/>
      </c>
      <c r="J375" t="n">
        <v/>
      </c>
      <c r="K375" t="n">
        <v/>
      </c>
      <c r="L375" t="n">
        <v/>
      </c>
      <c r="M375" t="n">
        <v/>
      </c>
      <c r="N375" t="n">
        <v/>
      </c>
      <c r="O375" t="n">
        <v/>
      </c>
      <c r="P375" t="n">
        <v/>
      </c>
      <c r="Q375" t="n">
        <v/>
      </c>
      <c r="R375" t="n">
        <v/>
      </c>
      <c r="S375" t="n">
        <v/>
      </c>
      <c r="T375" t="n">
        <v/>
      </c>
      <c r="U375" t="n">
        <v/>
      </c>
      <c r="V375" t="n">
        <v/>
      </c>
      <c r="W375" t="n">
        <v/>
      </c>
      <c r="X375" t="n">
        <v/>
      </c>
      <c r="Y375" t="n">
        <v/>
      </c>
      <c r="Z375" t="n">
        <v/>
      </c>
      <c r="AA375" t="n">
        <v/>
      </c>
      <c r="AB375" t="n">
        <v/>
      </c>
      <c r="AC375" t="n">
        <v/>
      </c>
      <c r="AD375" t="n">
        <v/>
      </c>
      <c r="AE375" t="n">
        <v/>
      </c>
      <c r="AF375" t="n">
        <v/>
      </c>
      <c r="AG375" t="n">
        <v/>
      </c>
      <c r="AH375" t="n">
        <v/>
      </c>
      <c r="AI375" t="n">
        <v/>
      </c>
      <c r="AJ375" t="n">
        <v/>
      </c>
      <c r="AK375" t="n">
        <v/>
      </c>
      <c r="AL375" t="n">
        <v/>
      </c>
      <c r="AM375" t="n">
        <v/>
      </c>
      <c r="AN375" t="n">
        <v/>
      </c>
      <c r="AO375" t="n">
        <v/>
      </c>
      <c r="AP375" t="n">
        <v/>
      </c>
      <c r="AQ375" t="n">
        <v/>
      </c>
      <c r="AR375" t="n">
        <v/>
      </c>
      <c r="AS375" t="n">
        <v/>
      </c>
      <c r="AT375" t="n">
        <v>13.974302424</v>
      </c>
      <c r="AU375" t="n">
        <v/>
      </c>
    </row>
    <row r="376">
      <c r="A376" s="106" t="n">
        <v>18323</v>
      </c>
      <c r="B376" t="n">
        <v/>
      </c>
      <c r="C376" t="n">
        <v/>
      </c>
      <c r="D376" t="n">
        <v/>
      </c>
      <c r="E376" t="n">
        <v/>
      </c>
      <c r="F376" t="n">
        <v/>
      </c>
      <c r="G376" t="n">
        <v/>
      </c>
      <c r="H376" t="n">
        <v/>
      </c>
      <c r="I376" t="n">
        <v/>
      </c>
      <c r="J376" t="n">
        <v/>
      </c>
      <c r="K376" t="n">
        <v/>
      </c>
      <c r="L376" t="n">
        <v/>
      </c>
      <c r="M376" t="n">
        <v/>
      </c>
      <c r="N376" t="n">
        <v/>
      </c>
      <c r="O376" t="n">
        <v/>
      </c>
      <c r="P376" t="n">
        <v/>
      </c>
      <c r="Q376" t="n">
        <v/>
      </c>
      <c r="R376" t="n">
        <v/>
      </c>
      <c r="S376" t="n">
        <v/>
      </c>
      <c r="T376" t="n">
        <v/>
      </c>
      <c r="U376" t="n">
        <v/>
      </c>
      <c r="V376" t="n">
        <v/>
      </c>
      <c r="W376" t="n">
        <v/>
      </c>
      <c r="X376" t="n">
        <v/>
      </c>
      <c r="Y376" t="n">
        <v/>
      </c>
      <c r="Z376" t="n">
        <v/>
      </c>
      <c r="AA376" t="n">
        <v/>
      </c>
      <c r="AB376" t="n">
        <v/>
      </c>
      <c r="AC376" t="n">
        <v/>
      </c>
      <c r="AD376" t="n">
        <v/>
      </c>
      <c r="AE376" t="n">
        <v/>
      </c>
      <c r="AF376" t="n">
        <v/>
      </c>
      <c r="AG376" t="n">
        <v/>
      </c>
      <c r="AH376" t="n">
        <v/>
      </c>
      <c r="AI376" t="n">
        <v/>
      </c>
      <c r="AJ376" t="n">
        <v/>
      </c>
      <c r="AK376" t="n">
        <v/>
      </c>
      <c r="AL376" t="n">
        <v/>
      </c>
      <c r="AM376" t="n">
        <v/>
      </c>
      <c r="AN376" t="n">
        <v/>
      </c>
      <c r="AO376" t="n">
        <v/>
      </c>
      <c r="AP376" t="n">
        <v/>
      </c>
      <c r="AQ376" t="n">
        <v/>
      </c>
      <c r="AR376" t="n">
        <v/>
      </c>
      <c r="AS376" t="n">
        <v/>
      </c>
      <c r="AT376" t="n">
        <v>14.428547324</v>
      </c>
      <c r="AU376" t="n">
        <v/>
      </c>
    </row>
    <row r="377">
      <c r="A377" s="106" t="n">
        <v>18354</v>
      </c>
      <c r="B377" t="n">
        <v/>
      </c>
      <c r="C377" t="n">
        <v/>
      </c>
      <c r="D377" t="n">
        <v/>
      </c>
      <c r="E377" t="n">
        <v/>
      </c>
      <c r="F377" t="n">
        <v/>
      </c>
      <c r="G377" t="n">
        <v/>
      </c>
      <c r="H377" t="n">
        <v/>
      </c>
      <c r="I377" t="n">
        <v/>
      </c>
      <c r="J377" t="n">
        <v/>
      </c>
      <c r="K377" t="n">
        <v/>
      </c>
      <c r="L377" t="n">
        <v/>
      </c>
      <c r="M377" t="n">
        <v/>
      </c>
      <c r="N377" t="n">
        <v/>
      </c>
      <c r="O377" t="n">
        <v/>
      </c>
      <c r="P377" t="n">
        <v/>
      </c>
      <c r="Q377" t="n">
        <v/>
      </c>
      <c r="R377" t="n">
        <v/>
      </c>
      <c r="S377" t="n">
        <v/>
      </c>
      <c r="T377" t="n">
        <v/>
      </c>
      <c r="U377" t="n">
        <v/>
      </c>
      <c r="V377" t="n">
        <v/>
      </c>
      <c r="W377" t="n">
        <v/>
      </c>
      <c r="X377" t="n">
        <v/>
      </c>
      <c r="Y377" t="n">
        <v/>
      </c>
      <c r="Z377" t="n">
        <v/>
      </c>
      <c r="AA377" t="n">
        <v/>
      </c>
      <c r="AB377" t="n">
        <v/>
      </c>
      <c r="AC377" t="n">
        <v/>
      </c>
      <c r="AD377" t="n">
        <v/>
      </c>
      <c r="AE377" t="n">
        <v/>
      </c>
      <c r="AF377" t="n">
        <v/>
      </c>
      <c r="AG377" t="n">
        <v/>
      </c>
      <c r="AH377" t="n">
        <v/>
      </c>
      <c r="AI377" t="n">
        <v/>
      </c>
      <c r="AJ377" t="n">
        <v/>
      </c>
      <c r="AK377" t="n">
        <v/>
      </c>
      <c r="AL377" t="n">
        <v/>
      </c>
      <c r="AM377" t="n">
        <v/>
      </c>
      <c r="AN377" t="n">
        <v/>
      </c>
      <c r="AO377" t="n">
        <v/>
      </c>
      <c r="AP377" t="n">
        <v/>
      </c>
      <c r="AQ377" t="n">
        <v/>
      </c>
      <c r="AR377" t="n">
        <v/>
      </c>
      <c r="AS377" t="n">
        <v/>
      </c>
      <c r="AT377" t="n">
        <v>14.909465848</v>
      </c>
      <c r="AU377" t="n">
        <v/>
      </c>
    </row>
    <row r="378">
      <c r="A378" s="106" t="n">
        <v>18384</v>
      </c>
      <c r="B378" t="n">
        <v/>
      </c>
      <c r="C378" t="n">
        <v/>
      </c>
      <c r="D378" t="n">
        <v/>
      </c>
      <c r="E378" t="n">
        <v/>
      </c>
      <c r="F378" t="n">
        <v/>
      </c>
      <c r="G378" t="n">
        <v/>
      </c>
      <c r="H378" t="n">
        <v/>
      </c>
      <c r="I378" t="n">
        <v/>
      </c>
      <c r="J378" t="n">
        <v/>
      </c>
      <c r="K378" t="n">
        <v/>
      </c>
      <c r="L378" t="n">
        <v/>
      </c>
      <c r="M378" t="n">
        <v/>
      </c>
      <c r="N378" t="n">
        <v/>
      </c>
      <c r="O378" t="n">
        <v/>
      </c>
      <c r="P378" t="n">
        <v/>
      </c>
      <c r="Q378" t="n">
        <v/>
      </c>
      <c r="R378" t="n">
        <v/>
      </c>
      <c r="S378" t="n">
        <v/>
      </c>
      <c r="T378" t="n">
        <v/>
      </c>
      <c r="U378" t="n">
        <v/>
      </c>
      <c r="V378" t="n">
        <v/>
      </c>
      <c r="W378" t="n">
        <v/>
      </c>
      <c r="X378" t="n">
        <v/>
      </c>
      <c r="Y378" t="n">
        <v/>
      </c>
      <c r="Z378" t="n">
        <v/>
      </c>
      <c r="AA378" t="n">
        <v/>
      </c>
      <c r="AB378" t="n">
        <v/>
      </c>
      <c r="AC378" t="n">
        <v/>
      </c>
      <c r="AD378" t="n">
        <v/>
      </c>
      <c r="AE378" t="n">
        <v/>
      </c>
      <c r="AF378" t="n">
        <v/>
      </c>
      <c r="AG378" t="n">
        <v/>
      </c>
      <c r="AH378" t="n">
        <v/>
      </c>
      <c r="AI378" t="n">
        <v/>
      </c>
      <c r="AJ378" t="n">
        <v/>
      </c>
      <c r="AK378" t="n">
        <v/>
      </c>
      <c r="AL378" t="n">
        <v/>
      </c>
      <c r="AM378" t="n">
        <v/>
      </c>
      <c r="AN378" t="n">
        <v/>
      </c>
      <c r="AO378" t="n">
        <v/>
      </c>
      <c r="AP378" t="n">
        <v/>
      </c>
      <c r="AQ378" t="n">
        <v/>
      </c>
      <c r="AR378" t="n">
        <v/>
      </c>
      <c r="AS378" t="n">
        <v/>
      </c>
      <c r="AT378" t="n">
        <v>15.256817929</v>
      </c>
      <c r="AU378" t="n">
        <v/>
      </c>
    </row>
    <row r="379">
      <c r="A379" s="106" t="n">
        <v>18415</v>
      </c>
      <c r="B379" t="n">
        <v/>
      </c>
      <c r="C379" t="n">
        <v/>
      </c>
      <c r="D379" t="n">
        <v/>
      </c>
      <c r="E379" t="n">
        <v/>
      </c>
      <c r="F379" t="n">
        <v/>
      </c>
      <c r="G379" t="n">
        <v/>
      </c>
      <c r="H379" t="n">
        <v/>
      </c>
      <c r="I379" t="n">
        <v/>
      </c>
      <c r="J379" t="n">
        <v/>
      </c>
      <c r="K379" t="n">
        <v/>
      </c>
      <c r="L379" t="n">
        <v/>
      </c>
      <c r="M379" t="n">
        <v/>
      </c>
      <c r="N379" t="n">
        <v/>
      </c>
      <c r="O379" t="n">
        <v/>
      </c>
      <c r="P379" t="n">
        <v/>
      </c>
      <c r="Q379" t="n">
        <v/>
      </c>
      <c r="R379" t="n">
        <v/>
      </c>
      <c r="S379" t="n">
        <v/>
      </c>
      <c r="T379" t="n">
        <v/>
      </c>
      <c r="U379" t="n">
        <v/>
      </c>
      <c r="V379" t="n">
        <v/>
      </c>
      <c r="W379" t="n">
        <v/>
      </c>
      <c r="X379" t="n">
        <v/>
      </c>
      <c r="Y379" t="n">
        <v/>
      </c>
      <c r="Z379" t="n">
        <v/>
      </c>
      <c r="AA379" t="n">
        <v/>
      </c>
      <c r="AB379" t="n">
        <v/>
      </c>
      <c r="AC379" t="n">
        <v/>
      </c>
      <c r="AD379" t="n">
        <v/>
      </c>
      <c r="AE379" t="n">
        <v/>
      </c>
      <c r="AF379" t="n">
        <v/>
      </c>
      <c r="AG379" t="n">
        <v/>
      </c>
      <c r="AH379" t="n">
        <v/>
      </c>
      <c r="AI379" t="n">
        <v/>
      </c>
      <c r="AJ379" t="n">
        <v/>
      </c>
      <c r="AK379" t="n">
        <v/>
      </c>
      <c r="AL379" t="n">
        <v/>
      </c>
      <c r="AM379" t="n">
        <v/>
      </c>
      <c r="AN379" t="n">
        <v/>
      </c>
      <c r="AO379" t="n">
        <v/>
      </c>
      <c r="AP379" t="n">
        <v/>
      </c>
      <c r="AQ379" t="n">
        <v/>
      </c>
      <c r="AR379" t="n">
        <v/>
      </c>
      <c r="AS379" t="n">
        <v/>
      </c>
      <c r="AT379" t="n">
        <v>15.711062828</v>
      </c>
      <c r="AU379" t="n">
        <v/>
      </c>
    </row>
    <row r="380">
      <c r="A380" s="106" t="n">
        <v>18445</v>
      </c>
      <c r="B380" t="n">
        <v/>
      </c>
      <c r="C380" t="n">
        <v/>
      </c>
      <c r="D380" t="n">
        <v/>
      </c>
      <c r="E380" t="n">
        <v/>
      </c>
      <c r="F380" t="n">
        <v/>
      </c>
      <c r="G380" t="n">
        <v/>
      </c>
      <c r="H380" t="n">
        <v/>
      </c>
      <c r="I380" t="n">
        <v/>
      </c>
      <c r="J380" t="n">
        <v/>
      </c>
      <c r="K380" t="n">
        <v/>
      </c>
      <c r="L380" t="n">
        <v/>
      </c>
      <c r="M380" t="n">
        <v/>
      </c>
      <c r="N380" t="n">
        <v/>
      </c>
      <c r="O380" t="n">
        <v/>
      </c>
      <c r="P380" t="n">
        <v/>
      </c>
      <c r="Q380" t="n">
        <v/>
      </c>
      <c r="R380" t="n">
        <v/>
      </c>
      <c r="S380" t="n">
        <v/>
      </c>
      <c r="T380" t="n">
        <v/>
      </c>
      <c r="U380" t="n">
        <v/>
      </c>
      <c r="V380" t="n">
        <v/>
      </c>
      <c r="W380" t="n">
        <v/>
      </c>
      <c r="X380" t="n">
        <v/>
      </c>
      <c r="Y380" t="n">
        <v/>
      </c>
      <c r="Z380" t="n">
        <v/>
      </c>
      <c r="AA380" t="n">
        <v/>
      </c>
      <c r="AB380" t="n">
        <v/>
      </c>
      <c r="AC380" t="n">
        <v/>
      </c>
      <c r="AD380" t="n">
        <v/>
      </c>
      <c r="AE380" t="n">
        <v/>
      </c>
      <c r="AF380" t="n">
        <v/>
      </c>
      <c r="AG380" t="n">
        <v/>
      </c>
      <c r="AH380" t="n">
        <v/>
      </c>
      <c r="AI380" t="n">
        <v/>
      </c>
      <c r="AJ380" t="n">
        <v/>
      </c>
      <c r="AK380" t="n">
        <v/>
      </c>
      <c r="AL380" t="n">
        <v/>
      </c>
      <c r="AM380" t="n">
        <v/>
      </c>
      <c r="AN380" t="n">
        <v/>
      </c>
      <c r="AO380" t="n">
        <v/>
      </c>
      <c r="AP380" t="n">
        <v/>
      </c>
      <c r="AQ380" t="n">
        <v/>
      </c>
      <c r="AR380" t="n">
        <v/>
      </c>
      <c r="AS380" t="n">
        <v/>
      </c>
      <c r="AT380" t="n">
        <v>16.218754137</v>
      </c>
      <c r="AU380" t="n">
        <v/>
      </c>
    </row>
    <row r="381">
      <c r="A381" s="106" t="n">
        <v>18476</v>
      </c>
      <c r="B381" t="n">
        <v/>
      </c>
      <c r="C381" t="n">
        <v/>
      </c>
      <c r="D381" t="n">
        <v/>
      </c>
      <c r="E381" t="n">
        <v/>
      </c>
      <c r="F381" t="n">
        <v/>
      </c>
      <c r="G381" t="n">
        <v/>
      </c>
      <c r="H381" t="n">
        <v/>
      </c>
      <c r="I381" t="n">
        <v/>
      </c>
      <c r="J381" t="n">
        <v/>
      </c>
      <c r="K381" t="n">
        <v/>
      </c>
      <c r="L381" t="n">
        <v/>
      </c>
      <c r="M381" t="n">
        <v/>
      </c>
      <c r="N381" t="n">
        <v/>
      </c>
      <c r="O381" t="n">
        <v/>
      </c>
      <c r="P381" t="n">
        <v/>
      </c>
      <c r="Q381" t="n">
        <v/>
      </c>
      <c r="R381" t="n">
        <v/>
      </c>
      <c r="S381" t="n">
        <v/>
      </c>
      <c r="T381" t="n">
        <v/>
      </c>
      <c r="U381" t="n">
        <v/>
      </c>
      <c r="V381" t="n">
        <v/>
      </c>
      <c r="W381" t="n">
        <v/>
      </c>
      <c r="X381" t="n">
        <v/>
      </c>
      <c r="Y381" t="n">
        <v/>
      </c>
      <c r="Z381" t="n">
        <v/>
      </c>
      <c r="AA381" t="n">
        <v/>
      </c>
      <c r="AB381" t="n">
        <v/>
      </c>
      <c r="AC381" t="n">
        <v/>
      </c>
      <c r="AD381" t="n">
        <v/>
      </c>
      <c r="AE381" t="n">
        <v/>
      </c>
      <c r="AF381" t="n">
        <v/>
      </c>
      <c r="AG381" t="n">
        <v/>
      </c>
      <c r="AH381" t="n">
        <v/>
      </c>
      <c r="AI381" t="n">
        <v/>
      </c>
      <c r="AJ381" t="n">
        <v/>
      </c>
      <c r="AK381" t="n">
        <v/>
      </c>
      <c r="AL381" t="n">
        <v/>
      </c>
      <c r="AM381" t="n">
        <v/>
      </c>
      <c r="AN381" t="n">
        <v/>
      </c>
      <c r="AO381" t="n">
        <v/>
      </c>
      <c r="AP381" t="n">
        <v/>
      </c>
      <c r="AQ381" t="n">
        <v/>
      </c>
      <c r="AR381" t="n">
        <v/>
      </c>
      <c r="AS381" t="n">
        <v/>
      </c>
      <c r="AT381" t="n">
        <v>16.726445445</v>
      </c>
      <c r="AU381" t="n">
        <v/>
      </c>
    </row>
    <row r="382">
      <c r="A382" s="106" t="n">
        <v>18507</v>
      </c>
      <c r="B382" t="n">
        <v/>
      </c>
      <c r="C382" t="n">
        <v/>
      </c>
      <c r="D382" t="n">
        <v/>
      </c>
      <c r="E382" t="n">
        <v/>
      </c>
      <c r="F382" t="n">
        <v/>
      </c>
      <c r="G382" t="n">
        <v/>
      </c>
      <c r="H382" t="n">
        <v/>
      </c>
      <c r="I382" t="n">
        <v/>
      </c>
      <c r="J382" t="n">
        <v/>
      </c>
      <c r="K382" t="n">
        <v/>
      </c>
      <c r="L382" t="n">
        <v/>
      </c>
      <c r="M382" t="n">
        <v/>
      </c>
      <c r="N382" t="n">
        <v/>
      </c>
      <c r="O382" t="n">
        <v/>
      </c>
      <c r="P382" t="n">
        <v/>
      </c>
      <c r="Q382" t="n">
        <v/>
      </c>
      <c r="R382" t="n">
        <v/>
      </c>
      <c r="S382" t="n">
        <v/>
      </c>
      <c r="T382" t="n">
        <v/>
      </c>
      <c r="U382" t="n">
        <v/>
      </c>
      <c r="V382" t="n">
        <v/>
      </c>
      <c r="W382" t="n">
        <v/>
      </c>
      <c r="X382" t="n">
        <v/>
      </c>
      <c r="Y382" t="n">
        <v/>
      </c>
      <c r="Z382" t="n">
        <v/>
      </c>
      <c r="AA382" t="n">
        <v/>
      </c>
      <c r="AB382" t="n">
        <v/>
      </c>
      <c r="AC382" t="n">
        <v/>
      </c>
      <c r="AD382" t="n">
        <v/>
      </c>
      <c r="AE382" t="n">
        <v/>
      </c>
      <c r="AF382" t="n">
        <v/>
      </c>
      <c r="AG382" t="n">
        <v/>
      </c>
      <c r="AH382" t="n">
        <v/>
      </c>
      <c r="AI382" t="n">
        <v/>
      </c>
      <c r="AJ382" t="n">
        <v/>
      </c>
      <c r="AK382" t="n">
        <v/>
      </c>
      <c r="AL382" t="n">
        <v/>
      </c>
      <c r="AM382" t="n">
        <v/>
      </c>
      <c r="AN382" t="n">
        <v/>
      </c>
      <c r="AO382" t="n">
        <v/>
      </c>
      <c r="AP382" t="n">
        <v/>
      </c>
      <c r="AQ382" t="n">
        <v/>
      </c>
      <c r="AR382" t="n">
        <v/>
      </c>
      <c r="AS382" t="n">
        <v/>
      </c>
      <c r="AT382" t="n">
        <v>16.619552627</v>
      </c>
      <c r="AU382" t="n">
        <v/>
      </c>
    </row>
    <row r="383">
      <c r="A383" s="106" t="n">
        <v>18537</v>
      </c>
      <c r="B383" t="n">
        <v/>
      </c>
      <c r="C383" t="n">
        <v/>
      </c>
      <c r="D383" t="n">
        <v/>
      </c>
      <c r="E383" t="n">
        <v/>
      </c>
      <c r="F383" t="n">
        <v/>
      </c>
      <c r="G383" t="n">
        <v/>
      </c>
      <c r="H383" t="n">
        <v/>
      </c>
      <c r="I383" t="n">
        <v/>
      </c>
      <c r="J383" t="n">
        <v/>
      </c>
      <c r="K383" t="n">
        <v/>
      </c>
      <c r="L383" t="n">
        <v/>
      </c>
      <c r="M383" t="n">
        <v/>
      </c>
      <c r="N383" t="n">
        <v/>
      </c>
      <c r="O383" t="n">
        <v/>
      </c>
      <c r="P383" t="n">
        <v/>
      </c>
      <c r="Q383" t="n">
        <v/>
      </c>
      <c r="R383" t="n">
        <v/>
      </c>
      <c r="S383" t="n">
        <v/>
      </c>
      <c r="T383" t="n">
        <v/>
      </c>
      <c r="U383" t="n">
        <v/>
      </c>
      <c r="V383" t="n">
        <v/>
      </c>
      <c r="W383" t="n">
        <v/>
      </c>
      <c r="X383" t="n">
        <v/>
      </c>
      <c r="Y383" t="n">
        <v/>
      </c>
      <c r="Z383" t="n">
        <v/>
      </c>
      <c r="AA383" t="n">
        <v/>
      </c>
      <c r="AB383" t="n">
        <v/>
      </c>
      <c r="AC383" t="n">
        <v/>
      </c>
      <c r="AD383" t="n">
        <v/>
      </c>
      <c r="AE383" t="n">
        <v/>
      </c>
      <c r="AF383" t="n">
        <v/>
      </c>
      <c r="AG383" t="n">
        <v/>
      </c>
      <c r="AH383" t="n">
        <v/>
      </c>
      <c r="AI383" t="n">
        <v/>
      </c>
      <c r="AJ383" t="n">
        <v/>
      </c>
      <c r="AK383" t="n">
        <v/>
      </c>
      <c r="AL383" t="n">
        <v/>
      </c>
      <c r="AM383" t="n">
        <v/>
      </c>
      <c r="AN383" t="n">
        <v/>
      </c>
      <c r="AO383" t="n">
        <v/>
      </c>
      <c r="AP383" t="n">
        <v/>
      </c>
      <c r="AQ383" t="n">
        <v/>
      </c>
      <c r="AR383" t="n">
        <v/>
      </c>
      <c r="AS383" t="n">
        <v/>
      </c>
      <c r="AT383" t="n">
        <v>16.726445445</v>
      </c>
      <c r="AU383" t="n">
        <v/>
      </c>
    </row>
    <row r="384">
      <c r="A384" s="106" t="n">
        <v>18568</v>
      </c>
      <c r="B384" t="n">
        <v/>
      </c>
      <c r="C384" t="n">
        <v/>
      </c>
      <c r="D384" t="n">
        <v/>
      </c>
      <c r="E384" t="n">
        <v/>
      </c>
      <c r="F384" t="n">
        <v/>
      </c>
      <c r="G384" t="n">
        <v/>
      </c>
      <c r="H384" t="n">
        <v/>
      </c>
      <c r="I384" t="n">
        <v/>
      </c>
      <c r="J384" t="n">
        <v/>
      </c>
      <c r="K384" t="n">
        <v/>
      </c>
      <c r="L384" t="n">
        <v/>
      </c>
      <c r="M384" t="n">
        <v/>
      </c>
      <c r="N384" t="n">
        <v/>
      </c>
      <c r="O384" t="n">
        <v/>
      </c>
      <c r="P384" t="n">
        <v/>
      </c>
      <c r="Q384" t="n">
        <v/>
      </c>
      <c r="R384" t="n">
        <v/>
      </c>
      <c r="S384" t="n">
        <v/>
      </c>
      <c r="T384" t="n">
        <v/>
      </c>
      <c r="U384" t="n">
        <v/>
      </c>
      <c r="V384" t="n">
        <v/>
      </c>
      <c r="W384" t="n">
        <v/>
      </c>
      <c r="X384" t="n">
        <v/>
      </c>
      <c r="Y384" t="n">
        <v/>
      </c>
      <c r="Z384" t="n">
        <v/>
      </c>
      <c r="AA384" t="n">
        <v/>
      </c>
      <c r="AB384" t="n">
        <v/>
      </c>
      <c r="AC384" t="n">
        <v/>
      </c>
      <c r="AD384" t="n">
        <v/>
      </c>
      <c r="AE384" t="n">
        <v/>
      </c>
      <c r="AF384" t="n">
        <v/>
      </c>
      <c r="AG384" t="n">
        <v/>
      </c>
      <c r="AH384" t="n">
        <v/>
      </c>
      <c r="AI384" t="n">
        <v/>
      </c>
      <c r="AJ384" t="n">
        <v/>
      </c>
      <c r="AK384" t="n">
        <v/>
      </c>
      <c r="AL384" t="n">
        <v/>
      </c>
      <c r="AM384" t="n">
        <v/>
      </c>
      <c r="AN384" t="n">
        <v/>
      </c>
      <c r="AO384" t="n">
        <v/>
      </c>
      <c r="AP384" t="n">
        <v/>
      </c>
      <c r="AQ384" t="n">
        <v/>
      </c>
      <c r="AR384" t="n">
        <v/>
      </c>
      <c r="AS384" t="n">
        <v/>
      </c>
      <c r="AT384" t="n">
        <v>16.69977182</v>
      </c>
      <c r="AU384" t="n">
        <v/>
      </c>
    </row>
    <row r="385">
      <c r="A385" s="106" t="n">
        <v>18598</v>
      </c>
      <c r="B385" t="n">
        <v/>
      </c>
      <c r="C385" t="n">
        <v/>
      </c>
      <c r="D385" t="n">
        <v/>
      </c>
      <c r="E385" t="n">
        <v/>
      </c>
      <c r="F385" t="n">
        <v/>
      </c>
      <c r="G385" t="n">
        <v/>
      </c>
      <c r="H385" t="n">
        <v/>
      </c>
      <c r="I385" t="n">
        <v/>
      </c>
      <c r="J385" t="n">
        <v/>
      </c>
      <c r="K385" t="n">
        <v/>
      </c>
      <c r="L385" t="n">
        <v/>
      </c>
      <c r="M385" t="n">
        <v/>
      </c>
      <c r="N385" t="n">
        <v/>
      </c>
      <c r="O385" t="n">
        <v/>
      </c>
      <c r="P385" t="n">
        <v/>
      </c>
      <c r="Q385" t="n">
        <v/>
      </c>
      <c r="R385" t="n">
        <v/>
      </c>
      <c r="S385" t="n">
        <v/>
      </c>
      <c r="T385" t="n">
        <v/>
      </c>
      <c r="U385" t="n">
        <v/>
      </c>
      <c r="V385" t="n">
        <v/>
      </c>
      <c r="W385" t="n">
        <v/>
      </c>
      <c r="X385" t="n">
        <v/>
      </c>
      <c r="Y385" t="n">
        <v/>
      </c>
      <c r="Z385" t="n">
        <v/>
      </c>
      <c r="AA385" t="n">
        <v/>
      </c>
      <c r="AB385" t="n">
        <v/>
      </c>
      <c r="AC385" t="n">
        <v/>
      </c>
      <c r="AD385" t="n">
        <v/>
      </c>
      <c r="AE385" t="n">
        <v/>
      </c>
      <c r="AF385" t="n">
        <v/>
      </c>
      <c r="AG385" t="n">
        <v/>
      </c>
      <c r="AH385" t="n">
        <v/>
      </c>
      <c r="AI385" t="n">
        <v/>
      </c>
      <c r="AJ385" t="n">
        <v/>
      </c>
      <c r="AK385" t="n">
        <v/>
      </c>
      <c r="AL385" t="n">
        <v/>
      </c>
      <c r="AM385" t="n">
        <v/>
      </c>
      <c r="AN385" t="n">
        <v/>
      </c>
      <c r="AO385" t="n">
        <v/>
      </c>
      <c r="AP385" t="n">
        <v/>
      </c>
      <c r="AQ385" t="n">
        <v/>
      </c>
      <c r="AR385" t="n">
        <v/>
      </c>
      <c r="AS385" t="n">
        <v/>
      </c>
      <c r="AT385" t="n">
        <v>16.993677491</v>
      </c>
      <c r="AU385" t="n">
        <v/>
      </c>
    </row>
    <row r="386">
      <c r="A386" s="106" t="n">
        <v>18629</v>
      </c>
      <c r="B386" t="n">
        <v/>
      </c>
      <c r="C386" t="n">
        <v/>
      </c>
      <c r="D386" t="n">
        <v/>
      </c>
      <c r="E386" t="n">
        <v/>
      </c>
      <c r="F386" t="n">
        <v/>
      </c>
      <c r="G386" t="n">
        <v/>
      </c>
      <c r="H386" t="n">
        <v/>
      </c>
      <c r="I386" t="n">
        <v/>
      </c>
      <c r="J386" t="n">
        <v/>
      </c>
      <c r="K386" t="n">
        <v/>
      </c>
      <c r="L386" t="n">
        <v/>
      </c>
      <c r="M386" t="n">
        <v/>
      </c>
      <c r="N386" t="n">
        <v/>
      </c>
      <c r="O386" t="n">
        <v/>
      </c>
      <c r="P386" t="n">
        <v/>
      </c>
      <c r="Q386" t="n">
        <v/>
      </c>
      <c r="R386" t="n">
        <v/>
      </c>
      <c r="S386" t="n">
        <v/>
      </c>
      <c r="T386" t="n">
        <v/>
      </c>
      <c r="U386" t="n">
        <v/>
      </c>
      <c r="V386" t="n">
        <v/>
      </c>
      <c r="W386" t="n">
        <v/>
      </c>
      <c r="X386" t="n">
        <v/>
      </c>
      <c r="Y386" t="n">
        <v/>
      </c>
      <c r="Z386" t="n">
        <v/>
      </c>
      <c r="AA386" t="n">
        <v/>
      </c>
      <c r="AB386" t="n">
        <v/>
      </c>
      <c r="AC386" t="n">
        <v/>
      </c>
      <c r="AD386" t="n">
        <v/>
      </c>
      <c r="AE386" t="n">
        <v/>
      </c>
      <c r="AF386" t="n">
        <v/>
      </c>
      <c r="AG386" t="n">
        <v/>
      </c>
      <c r="AH386" t="n">
        <v/>
      </c>
      <c r="AI386" t="n">
        <v/>
      </c>
      <c r="AJ386" t="n">
        <v/>
      </c>
      <c r="AK386" t="n">
        <v/>
      </c>
      <c r="AL386" t="n">
        <v/>
      </c>
      <c r="AM386" t="n">
        <v/>
      </c>
      <c r="AN386" t="n">
        <v/>
      </c>
      <c r="AO386" t="n">
        <v/>
      </c>
      <c r="AP386" t="n">
        <v/>
      </c>
      <c r="AQ386" t="n">
        <v/>
      </c>
      <c r="AR386" t="n">
        <v/>
      </c>
      <c r="AS386" t="n">
        <v/>
      </c>
      <c r="AT386" t="n">
        <v>17.047024742</v>
      </c>
      <c r="AU386" t="n">
        <v/>
      </c>
    </row>
    <row r="387">
      <c r="A387" s="106" t="n">
        <v>18660</v>
      </c>
      <c r="B387" t="n">
        <v/>
      </c>
      <c r="C387" t="n">
        <v/>
      </c>
      <c r="D387" t="n">
        <v/>
      </c>
      <c r="E387" t="n">
        <v/>
      </c>
      <c r="F387" t="n">
        <v/>
      </c>
      <c r="G387" t="n">
        <v/>
      </c>
      <c r="H387" t="n">
        <v/>
      </c>
      <c r="I387" t="n">
        <v/>
      </c>
      <c r="J387" t="n">
        <v/>
      </c>
      <c r="K387" t="n">
        <v/>
      </c>
      <c r="L387" t="n">
        <v/>
      </c>
      <c r="M387" t="n">
        <v/>
      </c>
      <c r="N387" t="n">
        <v/>
      </c>
      <c r="O387" t="n">
        <v/>
      </c>
      <c r="P387" t="n">
        <v/>
      </c>
      <c r="Q387" t="n">
        <v/>
      </c>
      <c r="R387" t="n">
        <v/>
      </c>
      <c r="S387" t="n">
        <v/>
      </c>
      <c r="T387" t="n">
        <v/>
      </c>
      <c r="U387" t="n">
        <v/>
      </c>
      <c r="V387" t="n">
        <v/>
      </c>
      <c r="W387" t="n">
        <v/>
      </c>
      <c r="X387" t="n">
        <v/>
      </c>
      <c r="Y387" t="n">
        <v/>
      </c>
      <c r="Z387" t="n">
        <v/>
      </c>
      <c r="AA387" t="n">
        <v/>
      </c>
      <c r="AB387" t="n">
        <v/>
      </c>
      <c r="AC387" t="n">
        <v/>
      </c>
      <c r="AD387" t="n">
        <v/>
      </c>
      <c r="AE387" t="n">
        <v/>
      </c>
      <c r="AF387" t="n">
        <v/>
      </c>
      <c r="AG387" t="n">
        <v/>
      </c>
      <c r="AH387" t="n">
        <v/>
      </c>
      <c r="AI387" t="n">
        <v/>
      </c>
      <c r="AJ387" t="n">
        <v/>
      </c>
      <c r="AK387" t="n">
        <v/>
      </c>
      <c r="AL387" t="n">
        <v/>
      </c>
      <c r="AM387" t="n">
        <v/>
      </c>
      <c r="AN387" t="n">
        <v/>
      </c>
      <c r="AO387" t="n">
        <v/>
      </c>
      <c r="AP387" t="n">
        <v/>
      </c>
      <c r="AQ387" t="n">
        <v/>
      </c>
      <c r="AR387" t="n">
        <v/>
      </c>
      <c r="AS387" t="n">
        <v/>
      </c>
      <c r="AT387" t="n">
        <v>17.153917561</v>
      </c>
      <c r="AU387" t="n">
        <v/>
      </c>
    </row>
    <row r="388">
      <c r="A388" s="106" t="n">
        <v>18688</v>
      </c>
      <c r="B388" t="n">
        <v/>
      </c>
      <c r="C388" t="n">
        <v/>
      </c>
      <c r="D388" t="n">
        <v/>
      </c>
      <c r="E388" t="n">
        <v/>
      </c>
      <c r="F388" t="n">
        <v/>
      </c>
      <c r="G388" t="n">
        <v/>
      </c>
      <c r="H388" t="n">
        <v/>
      </c>
      <c r="I388" t="n">
        <v/>
      </c>
      <c r="J388" t="n">
        <v/>
      </c>
      <c r="K388" t="n">
        <v/>
      </c>
      <c r="L388" t="n">
        <v/>
      </c>
      <c r="M388" t="n">
        <v/>
      </c>
      <c r="N388" t="n">
        <v/>
      </c>
      <c r="O388" t="n">
        <v/>
      </c>
      <c r="P388" t="n">
        <v/>
      </c>
      <c r="Q388" t="n">
        <v/>
      </c>
      <c r="R388" t="n">
        <v/>
      </c>
      <c r="S388" t="n">
        <v/>
      </c>
      <c r="T388" t="n">
        <v/>
      </c>
      <c r="U388" t="n">
        <v/>
      </c>
      <c r="V388" t="n">
        <v/>
      </c>
      <c r="W388" t="n">
        <v/>
      </c>
      <c r="X388" t="n">
        <v/>
      </c>
      <c r="Y388" t="n">
        <v/>
      </c>
      <c r="Z388" t="n">
        <v/>
      </c>
      <c r="AA388" t="n">
        <v/>
      </c>
      <c r="AB388" t="n">
        <v/>
      </c>
      <c r="AC388" t="n">
        <v/>
      </c>
      <c r="AD388" t="n">
        <v/>
      </c>
      <c r="AE388" t="n">
        <v/>
      </c>
      <c r="AF388" t="n">
        <v/>
      </c>
      <c r="AG388" t="n">
        <v/>
      </c>
      <c r="AH388" t="n">
        <v/>
      </c>
      <c r="AI388" t="n">
        <v/>
      </c>
      <c r="AJ388" t="n">
        <v/>
      </c>
      <c r="AK388" t="n">
        <v/>
      </c>
      <c r="AL388" t="n">
        <v/>
      </c>
      <c r="AM388" t="n">
        <v/>
      </c>
      <c r="AN388" t="n">
        <v/>
      </c>
      <c r="AO388" t="n">
        <v/>
      </c>
      <c r="AP388" t="n">
        <v/>
      </c>
      <c r="AQ388" t="n">
        <v/>
      </c>
      <c r="AR388" t="n">
        <v/>
      </c>
      <c r="AS388" t="n">
        <v/>
      </c>
      <c r="AT388" t="n">
        <v>17.234136754</v>
      </c>
      <c r="AU388" t="n">
        <v/>
      </c>
    </row>
    <row r="389">
      <c r="A389" s="106" t="n">
        <v>18719</v>
      </c>
      <c r="B389" t="n">
        <v/>
      </c>
      <c r="C389" t="n">
        <v/>
      </c>
      <c r="D389" t="n">
        <v/>
      </c>
      <c r="E389" t="n">
        <v/>
      </c>
      <c r="F389" t="n">
        <v/>
      </c>
      <c r="G389" t="n">
        <v/>
      </c>
      <c r="H389" t="n">
        <v/>
      </c>
      <c r="I389" t="n">
        <v/>
      </c>
      <c r="J389" t="n">
        <v/>
      </c>
      <c r="K389" t="n">
        <v/>
      </c>
      <c r="L389" t="n">
        <v/>
      </c>
      <c r="M389" t="n">
        <v/>
      </c>
      <c r="N389" t="n">
        <v/>
      </c>
      <c r="O389" t="n">
        <v/>
      </c>
      <c r="P389" t="n">
        <v/>
      </c>
      <c r="Q389" t="n">
        <v/>
      </c>
      <c r="R389" t="n">
        <v/>
      </c>
      <c r="S389" t="n">
        <v/>
      </c>
      <c r="T389" t="n">
        <v/>
      </c>
      <c r="U389" t="n">
        <v/>
      </c>
      <c r="V389" t="n">
        <v/>
      </c>
      <c r="W389" t="n">
        <v/>
      </c>
      <c r="X389" t="n">
        <v/>
      </c>
      <c r="Y389" t="n">
        <v/>
      </c>
      <c r="Z389" t="n">
        <v/>
      </c>
      <c r="AA389" t="n">
        <v/>
      </c>
      <c r="AB389" t="n">
        <v/>
      </c>
      <c r="AC389" t="n">
        <v/>
      </c>
      <c r="AD389" t="n">
        <v/>
      </c>
      <c r="AE389" t="n">
        <v/>
      </c>
      <c r="AF389" t="n">
        <v/>
      </c>
      <c r="AG389" t="n">
        <v/>
      </c>
      <c r="AH389" t="n">
        <v/>
      </c>
      <c r="AI389" t="n">
        <v/>
      </c>
      <c r="AJ389" t="n">
        <v/>
      </c>
      <c r="AK389" t="n">
        <v/>
      </c>
      <c r="AL389" t="n">
        <v/>
      </c>
      <c r="AM389" t="n">
        <v/>
      </c>
      <c r="AN389" t="n">
        <v/>
      </c>
      <c r="AO389" t="n">
        <v/>
      </c>
      <c r="AP389" t="n">
        <v/>
      </c>
      <c r="AQ389" t="n">
        <v/>
      </c>
      <c r="AR389" t="n">
        <v/>
      </c>
      <c r="AS389" t="n">
        <v/>
      </c>
      <c r="AT389" t="n">
        <v>17.260810379</v>
      </c>
      <c r="AU389" t="n">
        <v/>
      </c>
    </row>
    <row r="390">
      <c r="A390" s="106" t="n">
        <v>18749</v>
      </c>
      <c r="B390" t="n">
        <v/>
      </c>
      <c r="C390" t="n">
        <v/>
      </c>
      <c r="D390" t="n">
        <v/>
      </c>
      <c r="E390" t="n">
        <v/>
      </c>
      <c r="F390" t="n">
        <v/>
      </c>
      <c r="G390" t="n">
        <v/>
      </c>
      <c r="H390" t="n">
        <v/>
      </c>
      <c r="I390" t="n">
        <v/>
      </c>
      <c r="J390" t="n">
        <v/>
      </c>
      <c r="K390" t="n">
        <v/>
      </c>
      <c r="L390" t="n">
        <v/>
      </c>
      <c r="M390" t="n">
        <v/>
      </c>
      <c r="N390" t="n">
        <v/>
      </c>
      <c r="O390" t="n">
        <v/>
      </c>
      <c r="P390" t="n">
        <v/>
      </c>
      <c r="Q390" t="n">
        <v/>
      </c>
      <c r="R390" t="n">
        <v/>
      </c>
      <c r="S390" t="n">
        <v/>
      </c>
      <c r="T390" t="n">
        <v/>
      </c>
      <c r="U390" t="n">
        <v/>
      </c>
      <c r="V390" t="n">
        <v/>
      </c>
      <c r="W390" t="n">
        <v/>
      </c>
      <c r="X390" t="n">
        <v/>
      </c>
      <c r="Y390" t="n">
        <v/>
      </c>
      <c r="Z390" t="n">
        <v/>
      </c>
      <c r="AA390" t="n">
        <v/>
      </c>
      <c r="AB390" t="n">
        <v/>
      </c>
      <c r="AC390" t="n">
        <v/>
      </c>
      <c r="AD390" t="n">
        <v/>
      </c>
      <c r="AE390" t="n">
        <v/>
      </c>
      <c r="AF390" t="n">
        <v/>
      </c>
      <c r="AG390" t="n">
        <v/>
      </c>
      <c r="AH390" t="n">
        <v/>
      </c>
      <c r="AI390" t="n">
        <v/>
      </c>
      <c r="AJ390" t="n">
        <v/>
      </c>
      <c r="AK390" t="n">
        <v/>
      </c>
      <c r="AL390" t="n">
        <v/>
      </c>
      <c r="AM390" t="n">
        <v/>
      </c>
      <c r="AN390" t="n">
        <v/>
      </c>
      <c r="AO390" t="n">
        <v/>
      </c>
      <c r="AP390" t="n">
        <v/>
      </c>
      <c r="AQ390" t="n">
        <v/>
      </c>
      <c r="AR390" t="n">
        <v/>
      </c>
      <c r="AS390" t="n">
        <v/>
      </c>
      <c r="AT390" t="n">
        <v>17.20736397</v>
      </c>
      <c r="AU390" t="n">
        <v/>
      </c>
    </row>
    <row r="391">
      <c r="A391" s="106" t="n">
        <v>18780</v>
      </c>
      <c r="B391" t="n">
        <v/>
      </c>
      <c r="C391" t="n">
        <v/>
      </c>
      <c r="D391" t="n">
        <v/>
      </c>
      <c r="E391" t="n">
        <v/>
      </c>
      <c r="F391" t="n">
        <v/>
      </c>
      <c r="G391" t="n">
        <v/>
      </c>
      <c r="H391" t="n">
        <v/>
      </c>
      <c r="I391" t="n">
        <v/>
      </c>
      <c r="J391" t="n">
        <v/>
      </c>
      <c r="K391" t="n">
        <v/>
      </c>
      <c r="L391" t="n">
        <v/>
      </c>
      <c r="M391" t="n">
        <v/>
      </c>
      <c r="N391" t="n">
        <v/>
      </c>
      <c r="O391" t="n">
        <v/>
      </c>
      <c r="P391" t="n">
        <v/>
      </c>
      <c r="Q391" t="n">
        <v/>
      </c>
      <c r="R391" t="n">
        <v/>
      </c>
      <c r="S391" t="n">
        <v/>
      </c>
      <c r="T391" t="n">
        <v/>
      </c>
      <c r="U391" t="n">
        <v/>
      </c>
      <c r="V391" t="n">
        <v/>
      </c>
      <c r="W391" t="n">
        <v/>
      </c>
      <c r="X391" t="n">
        <v/>
      </c>
      <c r="Y391" t="n">
        <v/>
      </c>
      <c r="Z391" t="n">
        <v/>
      </c>
      <c r="AA391" t="n">
        <v/>
      </c>
      <c r="AB391" t="n">
        <v/>
      </c>
      <c r="AC391" t="n">
        <v/>
      </c>
      <c r="AD391" t="n">
        <v/>
      </c>
      <c r="AE391" t="n">
        <v/>
      </c>
      <c r="AF391" t="n">
        <v/>
      </c>
      <c r="AG391" t="n">
        <v/>
      </c>
      <c r="AH391" t="n">
        <v/>
      </c>
      <c r="AI391" t="n">
        <v/>
      </c>
      <c r="AJ391" t="n">
        <v/>
      </c>
      <c r="AK391" t="n">
        <v/>
      </c>
      <c r="AL391" t="n">
        <v/>
      </c>
      <c r="AM391" t="n">
        <v/>
      </c>
      <c r="AN391" t="n">
        <v/>
      </c>
      <c r="AO391" t="n">
        <v/>
      </c>
      <c r="AP391" t="n">
        <v/>
      </c>
      <c r="AQ391" t="n">
        <v/>
      </c>
      <c r="AR391" t="n">
        <v/>
      </c>
      <c r="AS391" t="n">
        <v/>
      </c>
      <c r="AT391" t="n">
        <v>17.127243935</v>
      </c>
      <c r="AU391" t="n">
        <v/>
      </c>
    </row>
    <row r="392">
      <c r="A392" s="106" t="n">
        <v>18810</v>
      </c>
      <c r="B392" t="n">
        <v/>
      </c>
      <c r="C392" t="n">
        <v/>
      </c>
      <c r="D392" t="n">
        <v/>
      </c>
      <c r="E392" t="n">
        <v/>
      </c>
      <c r="F392" t="n">
        <v/>
      </c>
      <c r="G392" t="n">
        <v/>
      </c>
      <c r="H392" t="n">
        <v/>
      </c>
      <c r="I392" t="n">
        <v/>
      </c>
      <c r="J392" t="n">
        <v/>
      </c>
      <c r="K392" t="n">
        <v/>
      </c>
      <c r="L392" t="n">
        <v/>
      </c>
      <c r="M392" t="n">
        <v/>
      </c>
      <c r="N392" t="n">
        <v/>
      </c>
      <c r="O392" t="n">
        <v/>
      </c>
      <c r="P392" t="n">
        <v/>
      </c>
      <c r="Q392" t="n">
        <v/>
      </c>
      <c r="R392" t="n">
        <v/>
      </c>
      <c r="S392" t="n">
        <v/>
      </c>
      <c r="T392" t="n">
        <v/>
      </c>
      <c r="U392" t="n">
        <v/>
      </c>
      <c r="V392" t="n">
        <v/>
      </c>
      <c r="W392" t="n">
        <v/>
      </c>
      <c r="X392" t="n">
        <v/>
      </c>
      <c r="Y392" t="n">
        <v/>
      </c>
      <c r="Z392" t="n">
        <v/>
      </c>
      <c r="AA392" t="n">
        <v/>
      </c>
      <c r="AB392" t="n">
        <v/>
      </c>
      <c r="AC392" t="n">
        <v/>
      </c>
      <c r="AD392" t="n">
        <v/>
      </c>
      <c r="AE392" t="n">
        <v/>
      </c>
      <c r="AF392" t="n">
        <v/>
      </c>
      <c r="AG392" t="n">
        <v/>
      </c>
      <c r="AH392" t="n">
        <v/>
      </c>
      <c r="AI392" t="n">
        <v/>
      </c>
      <c r="AJ392" t="n">
        <v/>
      </c>
      <c r="AK392" t="n">
        <v/>
      </c>
      <c r="AL392" t="n">
        <v/>
      </c>
      <c r="AM392" t="n">
        <v/>
      </c>
      <c r="AN392" t="n">
        <v/>
      </c>
      <c r="AO392" t="n">
        <v/>
      </c>
      <c r="AP392" t="n">
        <v/>
      </c>
      <c r="AQ392" t="n">
        <v/>
      </c>
      <c r="AR392" t="n">
        <v/>
      </c>
      <c r="AS392" t="n">
        <v/>
      </c>
      <c r="AT392" t="n">
        <v>16.860011889</v>
      </c>
      <c r="AU392" t="n">
        <v/>
      </c>
    </row>
    <row r="393">
      <c r="A393" s="106" t="n">
        <v>18841</v>
      </c>
      <c r="B393" t="n">
        <v/>
      </c>
      <c r="C393" t="n">
        <v/>
      </c>
      <c r="D393" t="n">
        <v/>
      </c>
      <c r="E393" t="n">
        <v/>
      </c>
      <c r="F393" t="n">
        <v/>
      </c>
      <c r="G393" t="n">
        <v/>
      </c>
      <c r="H393" t="n">
        <v/>
      </c>
      <c r="I393" t="n">
        <v/>
      </c>
      <c r="J393" t="n">
        <v/>
      </c>
      <c r="K393" t="n">
        <v/>
      </c>
      <c r="L393" t="n">
        <v/>
      </c>
      <c r="M393" t="n">
        <v/>
      </c>
      <c r="N393" t="n">
        <v/>
      </c>
      <c r="O393" t="n">
        <v/>
      </c>
      <c r="P393" t="n">
        <v/>
      </c>
      <c r="Q393" t="n">
        <v/>
      </c>
      <c r="R393" t="n">
        <v/>
      </c>
      <c r="S393" t="n">
        <v/>
      </c>
      <c r="T393" t="n">
        <v/>
      </c>
      <c r="U393" t="n">
        <v/>
      </c>
      <c r="V393" t="n">
        <v/>
      </c>
      <c r="W393" t="n">
        <v/>
      </c>
      <c r="X393" t="n">
        <v/>
      </c>
      <c r="Y393" t="n">
        <v/>
      </c>
      <c r="Z393" t="n">
        <v/>
      </c>
      <c r="AA393" t="n">
        <v/>
      </c>
      <c r="AB393" t="n">
        <v/>
      </c>
      <c r="AC393" t="n">
        <v/>
      </c>
      <c r="AD393" t="n">
        <v/>
      </c>
      <c r="AE393" t="n">
        <v/>
      </c>
      <c r="AF393" t="n">
        <v/>
      </c>
      <c r="AG393" t="n">
        <v/>
      </c>
      <c r="AH393" t="n">
        <v/>
      </c>
      <c r="AI393" t="n">
        <v/>
      </c>
      <c r="AJ393" t="n">
        <v/>
      </c>
      <c r="AK393" t="n">
        <v/>
      </c>
      <c r="AL393" t="n">
        <v/>
      </c>
      <c r="AM393" t="n">
        <v/>
      </c>
      <c r="AN393" t="n">
        <v/>
      </c>
      <c r="AO393" t="n">
        <v/>
      </c>
      <c r="AP393" t="n">
        <v/>
      </c>
      <c r="AQ393" t="n">
        <v/>
      </c>
      <c r="AR393" t="n">
        <v/>
      </c>
      <c r="AS393" t="n">
        <v/>
      </c>
      <c r="AT393" t="n">
        <v>16.69977182</v>
      </c>
      <c r="AU393" t="n">
        <v/>
      </c>
    </row>
    <row r="394">
      <c r="A394" s="106" t="n">
        <v>18872</v>
      </c>
      <c r="B394" t="n">
        <v/>
      </c>
      <c r="C394" t="n">
        <v/>
      </c>
      <c r="D394" t="n">
        <v/>
      </c>
      <c r="E394" t="n">
        <v/>
      </c>
      <c r="F394" t="n">
        <v/>
      </c>
      <c r="G394" t="n">
        <v/>
      </c>
      <c r="H394" t="n">
        <v/>
      </c>
      <c r="I394" t="n">
        <v/>
      </c>
      <c r="J394" t="n">
        <v/>
      </c>
      <c r="K394" t="n">
        <v/>
      </c>
      <c r="L394" t="n">
        <v/>
      </c>
      <c r="M394" t="n">
        <v/>
      </c>
      <c r="N394" t="n">
        <v/>
      </c>
      <c r="O394" t="n">
        <v/>
      </c>
      <c r="P394" t="n">
        <v/>
      </c>
      <c r="Q394" t="n">
        <v/>
      </c>
      <c r="R394" t="n">
        <v/>
      </c>
      <c r="S394" t="n">
        <v/>
      </c>
      <c r="T394" t="n">
        <v/>
      </c>
      <c r="U394" t="n">
        <v/>
      </c>
      <c r="V394" t="n">
        <v/>
      </c>
      <c r="W394" t="n">
        <v/>
      </c>
      <c r="X394" t="n">
        <v/>
      </c>
      <c r="Y394" t="n">
        <v/>
      </c>
      <c r="Z394" t="n">
        <v/>
      </c>
      <c r="AA394" t="n">
        <v/>
      </c>
      <c r="AB394" t="n">
        <v/>
      </c>
      <c r="AC394" t="n">
        <v/>
      </c>
      <c r="AD394" t="n">
        <v/>
      </c>
      <c r="AE394" t="n">
        <v/>
      </c>
      <c r="AF394" t="n">
        <v/>
      </c>
      <c r="AG394" t="n">
        <v/>
      </c>
      <c r="AH394" t="n">
        <v/>
      </c>
      <c r="AI394" t="n">
        <v/>
      </c>
      <c r="AJ394" t="n">
        <v/>
      </c>
      <c r="AK394" t="n">
        <v/>
      </c>
      <c r="AL394" t="n">
        <v/>
      </c>
      <c r="AM394" t="n">
        <v/>
      </c>
      <c r="AN394" t="n">
        <v/>
      </c>
      <c r="AO394" t="n">
        <v/>
      </c>
      <c r="AP394" t="n">
        <v/>
      </c>
      <c r="AQ394" t="n">
        <v/>
      </c>
      <c r="AR394" t="n">
        <v/>
      </c>
      <c r="AS394" t="n">
        <v/>
      </c>
      <c r="AT394" t="n">
        <v>16.80656548</v>
      </c>
      <c r="AU394" t="n">
        <v/>
      </c>
    </row>
    <row r="395">
      <c r="A395" s="106" t="n">
        <v>18902</v>
      </c>
      <c r="B395" t="n">
        <v/>
      </c>
      <c r="C395" t="n">
        <v/>
      </c>
      <c r="D395" t="n">
        <v/>
      </c>
      <c r="E395" t="n">
        <v/>
      </c>
      <c r="F395" t="n">
        <v/>
      </c>
      <c r="G395" t="n">
        <v/>
      </c>
      <c r="H395" t="n">
        <v/>
      </c>
      <c r="I395" t="n">
        <v/>
      </c>
      <c r="J395" t="n">
        <v/>
      </c>
      <c r="K395" t="n">
        <v/>
      </c>
      <c r="L395" t="n">
        <v/>
      </c>
      <c r="M395" t="n">
        <v/>
      </c>
      <c r="N395" t="n">
        <v/>
      </c>
      <c r="O395" t="n">
        <v/>
      </c>
      <c r="P395" t="n">
        <v/>
      </c>
      <c r="Q395" t="n">
        <v/>
      </c>
      <c r="R395" t="n">
        <v/>
      </c>
      <c r="S395" t="n">
        <v/>
      </c>
      <c r="T395" t="n">
        <v/>
      </c>
      <c r="U395" t="n">
        <v/>
      </c>
      <c r="V395" t="n">
        <v/>
      </c>
      <c r="W395" t="n">
        <v/>
      </c>
      <c r="X395" t="n">
        <v/>
      </c>
      <c r="Y395" t="n">
        <v/>
      </c>
      <c r="Z395" t="n">
        <v/>
      </c>
      <c r="AA395" t="n">
        <v/>
      </c>
      <c r="AB395" t="n">
        <v/>
      </c>
      <c r="AC395" t="n">
        <v/>
      </c>
      <c r="AD395" t="n">
        <v/>
      </c>
      <c r="AE395" t="n">
        <v/>
      </c>
      <c r="AF395" t="n">
        <v/>
      </c>
      <c r="AG395" t="n">
        <v/>
      </c>
      <c r="AH395" t="n">
        <v/>
      </c>
      <c r="AI395" t="n">
        <v/>
      </c>
      <c r="AJ395" t="n">
        <v/>
      </c>
      <c r="AK395" t="n">
        <v/>
      </c>
      <c r="AL395" t="n">
        <v/>
      </c>
      <c r="AM395" t="n">
        <v/>
      </c>
      <c r="AN395" t="n">
        <v/>
      </c>
      <c r="AO395" t="n">
        <v/>
      </c>
      <c r="AP395" t="n">
        <v/>
      </c>
      <c r="AQ395" t="n">
        <v/>
      </c>
      <c r="AR395" t="n">
        <v/>
      </c>
      <c r="AS395" t="n">
        <v/>
      </c>
      <c r="AT395" t="n">
        <v>16.779891854</v>
      </c>
      <c r="AU395" t="n">
        <v/>
      </c>
    </row>
    <row r="396">
      <c r="A396" s="106" t="n">
        <v>18933</v>
      </c>
      <c r="B396" t="n">
        <v/>
      </c>
      <c r="C396" t="n">
        <v/>
      </c>
      <c r="D396" t="n">
        <v/>
      </c>
      <c r="E396" t="n">
        <v/>
      </c>
      <c r="F396" t="n">
        <v/>
      </c>
      <c r="G396" t="n">
        <v/>
      </c>
      <c r="H396" t="n">
        <v/>
      </c>
      <c r="I396" t="n">
        <v/>
      </c>
      <c r="J396" t="n">
        <v/>
      </c>
      <c r="K396" t="n">
        <v/>
      </c>
      <c r="L396" t="n">
        <v/>
      </c>
      <c r="M396" t="n">
        <v/>
      </c>
      <c r="N396" t="n">
        <v/>
      </c>
      <c r="O396" t="n">
        <v/>
      </c>
      <c r="P396" t="n">
        <v/>
      </c>
      <c r="Q396" t="n">
        <v/>
      </c>
      <c r="R396" t="n">
        <v/>
      </c>
      <c r="S396" t="n">
        <v/>
      </c>
      <c r="T396" t="n">
        <v/>
      </c>
      <c r="U396" t="n">
        <v/>
      </c>
      <c r="V396" t="n">
        <v/>
      </c>
      <c r="W396" t="n">
        <v/>
      </c>
      <c r="X396" t="n">
        <v/>
      </c>
      <c r="Y396" t="n">
        <v/>
      </c>
      <c r="Z396" t="n">
        <v/>
      </c>
      <c r="AA396" t="n">
        <v/>
      </c>
      <c r="AB396" t="n">
        <v/>
      </c>
      <c r="AC396" t="n">
        <v/>
      </c>
      <c r="AD396" t="n">
        <v/>
      </c>
      <c r="AE396" t="n">
        <v/>
      </c>
      <c r="AF396" t="n">
        <v/>
      </c>
      <c r="AG396" t="n">
        <v/>
      </c>
      <c r="AH396" t="n">
        <v/>
      </c>
      <c r="AI396" t="n">
        <v/>
      </c>
      <c r="AJ396" t="n">
        <v/>
      </c>
      <c r="AK396" t="n">
        <v/>
      </c>
      <c r="AL396" t="n">
        <v/>
      </c>
      <c r="AM396" t="n">
        <v/>
      </c>
      <c r="AN396" t="n">
        <v/>
      </c>
      <c r="AO396" t="n">
        <v/>
      </c>
      <c r="AP396" t="n">
        <v/>
      </c>
      <c r="AQ396" t="n">
        <v/>
      </c>
      <c r="AR396" t="n">
        <v/>
      </c>
      <c r="AS396" t="n">
        <v/>
      </c>
      <c r="AT396" t="n">
        <v>16.913458298</v>
      </c>
      <c r="AU396" t="n">
        <v/>
      </c>
    </row>
    <row r="397">
      <c r="A397" s="106" t="n">
        <v>18963</v>
      </c>
      <c r="B397" t="n">
        <v/>
      </c>
      <c r="C397" t="n">
        <v/>
      </c>
      <c r="D397" t="n">
        <v/>
      </c>
      <c r="E397" t="n">
        <v/>
      </c>
      <c r="F397" t="n">
        <v/>
      </c>
      <c r="G397" t="n">
        <v/>
      </c>
      <c r="H397" t="n">
        <v/>
      </c>
      <c r="I397" t="n">
        <v/>
      </c>
      <c r="J397" t="n">
        <v/>
      </c>
      <c r="K397" t="n">
        <v/>
      </c>
      <c r="L397" t="n">
        <v/>
      </c>
      <c r="M397" t="n">
        <v/>
      </c>
      <c r="N397" t="n">
        <v/>
      </c>
      <c r="O397" t="n">
        <v/>
      </c>
      <c r="P397" t="n">
        <v/>
      </c>
      <c r="Q397" t="n">
        <v/>
      </c>
      <c r="R397" t="n">
        <v/>
      </c>
      <c r="S397" t="n">
        <v/>
      </c>
      <c r="T397" t="n">
        <v/>
      </c>
      <c r="U397" t="n">
        <v/>
      </c>
      <c r="V397" t="n">
        <v/>
      </c>
      <c r="W397" t="n">
        <v/>
      </c>
      <c r="X397" t="n">
        <v/>
      </c>
      <c r="Y397" t="n">
        <v/>
      </c>
      <c r="Z397" t="n">
        <v/>
      </c>
      <c r="AA397" t="n">
        <v/>
      </c>
      <c r="AB397" t="n">
        <v/>
      </c>
      <c r="AC397" t="n">
        <v/>
      </c>
      <c r="AD397" t="n">
        <v/>
      </c>
      <c r="AE397" t="n">
        <v/>
      </c>
      <c r="AF397" t="n">
        <v/>
      </c>
      <c r="AG397" t="n">
        <v/>
      </c>
      <c r="AH397" t="n">
        <v/>
      </c>
      <c r="AI397" t="n">
        <v/>
      </c>
      <c r="AJ397" t="n">
        <v/>
      </c>
      <c r="AK397" t="n">
        <v/>
      </c>
      <c r="AL397" t="n">
        <v/>
      </c>
      <c r="AM397" t="n">
        <v/>
      </c>
      <c r="AN397" t="n">
        <v/>
      </c>
      <c r="AO397" t="n">
        <v/>
      </c>
      <c r="AP397" t="n">
        <v/>
      </c>
      <c r="AQ397" t="n">
        <v/>
      </c>
      <c r="AR397" t="n">
        <v/>
      </c>
      <c r="AS397" t="n">
        <v/>
      </c>
      <c r="AT397" t="n">
        <v>17.020351117</v>
      </c>
      <c r="AU397" t="n">
        <v/>
      </c>
    </row>
    <row r="398">
      <c r="A398" s="106" t="n">
        <v>18994</v>
      </c>
      <c r="B398" t="n">
        <v/>
      </c>
      <c r="C398" t="n">
        <v/>
      </c>
      <c r="D398" t="n">
        <v/>
      </c>
      <c r="E398" t="n">
        <v/>
      </c>
      <c r="F398" t="n">
        <v/>
      </c>
      <c r="G398" t="n">
        <v/>
      </c>
      <c r="H398" t="n">
        <v/>
      </c>
      <c r="I398" t="n">
        <v/>
      </c>
      <c r="J398" t="n">
        <v/>
      </c>
      <c r="K398" t="n">
        <v/>
      </c>
      <c r="L398" t="n">
        <v/>
      </c>
      <c r="M398" t="n">
        <v/>
      </c>
      <c r="N398" t="n">
        <v/>
      </c>
      <c r="O398" t="n">
        <v/>
      </c>
      <c r="P398" t="n">
        <v/>
      </c>
      <c r="Q398" t="n">
        <v/>
      </c>
      <c r="R398" t="n">
        <v/>
      </c>
      <c r="S398" t="n">
        <v/>
      </c>
      <c r="T398" t="n">
        <v/>
      </c>
      <c r="U398" t="n">
        <v/>
      </c>
      <c r="V398" t="n">
        <v/>
      </c>
      <c r="W398" t="n">
        <v/>
      </c>
      <c r="X398" t="n">
        <v/>
      </c>
      <c r="Y398" t="n">
        <v/>
      </c>
      <c r="Z398" t="n">
        <v/>
      </c>
      <c r="AA398" t="n">
        <v/>
      </c>
      <c r="AB398" t="n">
        <v/>
      </c>
      <c r="AC398" t="n">
        <v/>
      </c>
      <c r="AD398" t="n">
        <v/>
      </c>
      <c r="AE398" t="n">
        <v/>
      </c>
      <c r="AF398" t="n">
        <v/>
      </c>
      <c r="AG398" t="n">
        <v/>
      </c>
      <c r="AH398" t="n">
        <v/>
      </c>
      <c r="AI398" t="n">
        <v/>
      </c>
      <c r="AJ398" t="n">
        <v/>
      </c>
      <c r="AK398" t="n">
        <v/>
      </c>
      <c r="AL398" t="n">
        <v/>
      </c>
      <c r="AM398" t="n">
        <v/>
      </c>
      <c r="AN398" t="n">
        <v/>
      </c>
      <c r="AO398" t="n">
        <v/>
      </c>
      <c r="AP398" t="n">
        <v/>
      </c>
      <c r="AQ398" t="n">
        <v/>
      </c>
      <c r="AR398" t="n">
        <v/>
      </c>
      <c r="AS398" t="n">
        <v/>
      </c>
      <c r="AT398" t="n">
        <v>17.20736397</v>
      </c>
      <c r="AU398" t="n">
        <v/>
      </c>
    </row>
    <row r="399">
      <c r="A399" s="106" t="n">
        <v>19025</v>
      </c>
      <c r="B399" t="n">
        <v/>
      </c>
      <c r="C399" t="n">
        <v/>
      </c>
      <c r="D399" t="n">
        <v/>
      </c>
      <c r="E399" t="n">
        <v/>
      </c>
      <c r="F399" t="n">
        <v/>
      </c>
      <c r="G399" t="n">
        <v/>
      </c>
      <c r="H399" t="n">
        <v/>
      </c>
      <c r="I399" t="n">
        <v/>
      </c>
      <c r="J399" t="n">
        <v/>
      </c>
      <c r="K399" t="n">
        <v/>
      </c>
      <c r="L399" t="n">
        <v/>
      </c>
      <c r="M399" t="n">
        <v/>
      </c>
      <c r="N399" t="n">
        <v/>
      </c>
      <c r="O399" t="n">
        <v/>
      </c>
      <c r="P399" t="n">
        <v/>
      </c>
      <c r="Q399" t="n">
        <v/>
      </c>
      <c r="R399" t="n">
        <v/>
      </c>
      <c r="S399" t="n">
        <v/>
      </c>
      <c r="T399" t="n">
        <v/>
      </c>
      <c r="U399" t="n">
        <v/>
      </c>
      <c r="V399" t="n">
        <v/>
      </c>
      <c r="W399" t="n">
        <v/>
      </c>
      <c r="X399" t="n">
        <v/>
      </c>
      <c r="Y399" t="n">
        <v/>
      </c>
      <c r="Z399" t="n">
        <v/>
      </c>
      <c r="AA399" t="n">
        <v/>
      </c>
      <c r="AB399" t="n">
        <v/>
      </c>
      <c r="AC399" t="n">
        <v/>
      </c>
      <c r="AD399" t="n">
        <v/>
      </c>
      <c r="AE399" t="n">
        <v/>
      </c>
      <c r="AF399" t="n">
        <v/>
      </c>
      <c r="AG399" t="n">
        <v/>
      </c>
      <c r="AH399" t="n">
        <v/>
      </c>
      <c r="AI399" t="n">
        <v/>
      </c>
      <c r="AJ399" t="n">
        <v/>
      </c>
      <c r="AK399" t="n">
        <v/>
      </c>
      <c r="AL399" t="n">
        <v/>
      </c>
      <c r="AM399" t="n">
        <v/>
      </c>
      <c r="AN399" t="n">
        <v/>
      </c>
      <c r="AO399" t="n">
        <v/>
      </c>
      <c r="AP399" t="n">
        <v/>
      </c>
      <c r="AQ399" t="n">
        <v/>
      </c>
      <c r="AR399" t="n">
        <v/>
      </c>
      <c r="AS399" t="n">
        <v/>
      </c>
      <c r="AT399" t="n">
        <v>17.314256788</v>
      </c>
      <c r="AU399" t="n">
        <v/>
      </c>
    </row>
    <row r="400">
      <c r="A400" s="106" t="n">
        <v>19054</v>
      </c>
      <c r="B400" t="n">
        <v/>
      </c>
      <c r="C400" t="n">
        <v/>
      </c>
      <c r="D400" t="n">
        <v/>
      </c>
      <c r="E400" t="n">
        <v/>
      </c>
      <c r="F400" t="n">
        <v/>
      </c>
      <c r="G400" t="n">
        <v/>
      </c>
      <c r="H400" t="n">
        <v/>
      </c>
      <c r="I400" t="n">
        <v/>
      </c>
      <c r="J400" t="n">
        <v/>
      </c>
      <c r="K400" t="n">
        <v/>
      </c>
      <c r="L400" t="n">
        <v/>
      </c>
      <c r="M400" t="n">
        <v/>
      </c>
      <c r="N400" t="n">
        <v/>
      </c>
      <c r="O400" t="n">
        <v/>
      </c>
      <c r="P400" t="n">
        <v/>
      </c>
      <c r="Q400" t="n">
        <v/>
      </c>
      <c r="R400" t="n">
        <v/>
      </c>
      <c r="S400" t="n">
        <v/>
      </c>
      <c r="T400" t="n">
        <v/>
      </c>
      <c r="U400" t="n">
        <v/>
      </c>
      <c r="V400" t="n">
        <v/>
      </c>
      <c r="W400" t="n">
        <v/>
      </c>
      <c r="X400" t="n">
        <v/>
      </c>
      <c r="Y400" t="n">
        <v/>
      </c>
      <c r="Z400" t="n">
        <v/>
      </c>
      <c r="AA400" t="n">
        <v/>
      </c>
      <c r="AB400" t="n">
        <v/>
      </c>
      <c r="AC400" t="n">
        <v/>
      </c>
      <c r="AD400" t="n">
        <v/>
      </c>
      <c r="AE400" t="n">
        <v/>
      </c>
      <c r="AF400" t="n">
        <v/>
      </c>
      <c r="AG400" t="n">
        <v/>
      </c>
      <c r="AH400" t="n">
        <v/>
      </c>
      <c r="AI400" t="n">
        <v/>
      </c>
      <c r="AJ400" t="n">
        <v/>
      </c>
      <c r="AK400" t="n">
        <v/>
      </c>
      <c r="AL400" t="n">
        <v/>
      </c>
      <c r="AM400" t="n">
        <v/>
      </c>
      <c r="AN400" t="n">
        <v/>
      </c>
      <c r="AO400" t="n">
        <v/>
      </c>
      <c r="AP400" t="n">
        <v/>
      </c>
      <c r="AQ400" t="n">
        <v/>
      </c>
      <c r="AR400" t="n">
        <v/>
      </c>
      <c r="AS400" t="n">
        <v/>
      </c>
      <c r="AT400" t="n">
        <v>17.367703198</v>
      </c>
      <c r="AU400" t="n">
        <v/>
      </c>
    </row>
    <row r="401">
      <c r="A401" s="106" t="n">
        <v>19085</v>
      </c>
      <c r="B401" t="n">
        <v/>
      </c>
      <c r="C401" t="n">
        <v/>
      </c>
      <c r="D401" t="n">
        <v/>
      </c>
      <c r="E401" t="n">
        <v/>
      </c>
      <c r="F401" t="n">
        <v/>
      </c>
      <c r="G401" t="n">
        <v/>
      </c>
      <c r="H401" t="n">
        <v/>
      </c>
      <c r="I401" t="n">
        <v/>
      </c>
      <c r="J401" t="n">
        <v/>
      </c>
      <c r="K401" t="n">
        <v/>
      </c>
      <c r="L401" t="n">
        <v/>
      </c>
      <c r="M401" t="n">
        <v/>
      </c>
      <c r="N401" t="n">
        <v/>
      </c>
      <c r="O401" t="n">
        <v/>
      </c>
      <c r="P401" t="n">
        <v/>
      </c>
      <c r="Q401" t="n">
        <v/>
      </c>
      <c r="R401" t="n">
        <v/>
      </c>
      <c r="S401" t="n">
        <v/>
      </c>
      <c r="T401" t="n">
        <v/>
      </c>
      <c r="U401" t="n">
        <v/>
      </c>
      <c r="V401" t="n">
        <v/>
      </c>
      <c r="W401" t="n">
        <v/>
      </c>
      <c r="X401" t="n">
        <v/>
      </c>
      <c r="Y401" t="n">
        <v/>
      </c>
      <c r="Z401" t="n">
        <v/>
      </c>
      <c r="AA401" t="n">
        <v/>
      </c>
      <c r="AB401" t="n">
        <v/>
      </c>
      <c r="AC401" t="n">
        <v/>
      </c>
      <c r="AD401" t="n">
        <v/>
      </c>
      <c r="AE401" t="n">
        <v/>
      </c>
      <c r="AF401" t="n">
        <v/>
      </c>
      <c r="AG401" t="n">
        <v/>
      </c>
      <c r="AH401" t="n">
        <v/>
      </c>
      <c r="AI401" t="n">
        <v/>
      </c>
      <c r="AJ401" t="n">
        <v/>
      </c>
      <c r="AK401" t="n">
        <v/>
      </c>
      <c r="AL401" t="n">
        <v/>
      </c>
      <c r="AM401" t="n">
        <v/>
      </c>
      <c r="AN401" t="n">
        <v/>
      </c>
      <c r="AO401" t="n">
        <v/>
      </c>
      <c r="AP401" t="n">
        <v/>
      </c>
      <c r="AQ401" t="n">
        <v/>
      </c>
      <c r="AR401" t="n">
        <v/>
      </c>
      <c r="AS401" t="n">
        <v/>
      </c>
      <c r="AT401" t="n">
        <v>17.20736397</v>
      </c>
      <c r="AU401" t="n">
        <v/>
      </c>
    </row>
    <row r="402">
      <c r="A402" s="106" t="n">
        <v>19115</v>
      </c>
      <c r="B402" t="n">
        <v/>
      </c>
      <c r="C402" t="n">
        <v/>
      </c>
      <c r="D402" t="n">
        <v/>
      </c>
      <c r="E402" t="n">
        <v/>
      </c>
      <c r="F402" t="n">
        <v/>
      </c>
      <c r="G402" t="n">
        <v/>
      </c>
      <c r="H402" t="n">
        <v/>
      </c>
      <c r="I402" t="n">
        <v/>
      </c>
      <c r="J402" t="n">
        <v/>
      </c>
      <c r="K402" t="n">
        <v/>
      </c>
      <c r="L402" t="n">
        <v/>
      </c>
      <c r="M402" t="n">
        <v/>
      </c>
      <c r="N402" t="n">
        <v/>
      </c>
      <c r="O402" t="n">
        <v/>
      </c>
      <c r="P402" t="n">
        <v/>
      </c>
      <c r="Q402" t="n">
        <v/>
      </c>
      <c r="R402" t="n">
        <v/>
      </c>
      <c r="S402" t="n">
        <v/>
      </c>
      <c r="T402" t="n">
        <v/>
      </c>
      <c r="U402" t="n">
        <v/>
      </c>
      <c r="V402" t="n">
        <v/>
      </c>
      <c r="W402" t="n">
        <v/>
      </c>
      <c r="X402" t="n">
        <v/>
      </c>
      <c r="Y402" t="n">
        <v/>
      </c>
      <c r="Z402" t="n">
        <v/>
      </c>
      <c r="AA402" t="n">
        <v/>
      </c>
      <c r="AB402" t="n">
        <v/>
      </c>
      <c r="AC402" t="n">
        <v/>
      </c>
      <c r="AD402" t="n">
        <v/>
      </c>
      <c r="AE402" t="n">
        <v/>
      </c>
      <c r="AF402" t="n">
        <v/>
      </c>
      <c r="AG402" t="n">
        <v/>
      </c>
      <c r="AH402" t="n">
        <v/>
      </c>
      <c r="AI402" t="n">
        <v/>
      </c>
      <c r="AJ402" t="n">
        <v/>
      </c>
      <c r="AK402" t="n">
        <v/>
      </c>
      <c r="AL402" t="n">
        <v/>
      </c>
      <c r="AM402" t="n">
        <v/>
      </c>
      <c r="AN402" t="n">
        <v/>
      </c>
      <c r="AO402" t="n">
        <v/>
      </c>
      <c r="AP402" t="n">
        <v/>
      </c>
      <c r="AQ402" t="n">
        <v/>
      </c>
      <c r="AR402" t="n">
        <v/>
      </c>
      <c r="AS402" t="n">
        <v/>
      </c>
      <c r="AT402" t="n">
        <v>17.047123901</v>
      </c>
      <c r="AU402" t="n">
        <v/>
      </c>
    </row>
    <row r="403">
      <c r="A403" s="106" t="n">
        <v>19146</v>
      </c>
      <c r="B403" t="n">
        <v/>
      </c>
      <c r="C403" t="n">
        <v/>
      </c>
      <c r="D403" t="n">
        <v/>
      </c>
      <c r="E403" t="n">
        <v/>
      </c>
      <c r="F403" t="n">
        <v/>
      </c>
      <c r="G403" t="n">
        <v/>
      </c>
      <c r="H403" t="n">
        <v/>
      </c>
      <c r="I403" t="n">
        <v/>
      </c>
      <c r="J403" t="n">
        <v/>
      </c>
      <c r="K403" t="n">
        <v/>
      </c>
      <c r="L403" t="n">
        <v/>
      </c>
      <c r="M403" t="n">
        <v/>
      </c>
      <c r="N403" t="n">
        <v/>
      </c>
      <c r="O403" t="n">
        <v/>
      </c>
      <c r="P403" t="n">
        <v/>
      </c>
      <c r="Q403" t="n">
        <v/>
      </c>
      <c r="R403" t="n">
        <v/>
      </c>
      <c r="S403" t="n">
        <v/>
      </c>
      <c r="T403" t="n">
        <v/>
      </c>
      <c r="U403" t="n">
        <v/>
      </c>
      <c r="V403" t="n">
        <v/>
      </c>
      <c r="W403" t="n">
        <v/>
      </c>
      <c r="X403" t="n">
        <v/>
      </c>
      <c r="Y403" t="n">
        <v/>
      </c>
      <c r="Z403" t="n">
        <v/>
      </c>
      <c r="AA403" t="n">
        <v/>
      </c>
      <c r="AB403" t="n">
        <v/>
      </c>
      <c r="AC403" t="n">
        <v/>
      </c>
      <c r="AD403" t="n">
        <v/>
      </c>
      <c r="AE403" t="n">
        <v/>
      </c>
      <c r="AF403" t="n">
        <v/>
      </c>
      <c r="AG403" t="n">
        <v/>
      </c>
      <c r="AH403" t="n">
        <v/>
      </c>
      <c r="AI403" t="n">
        <v/>
      </c>
      <c r="AJ403" t="n">
        <v/>
      </c>
      <c r="AK403" t="n">
        <v/>
      </c>
      <c r="AL403" t="n">
        <v/>
      </c>
      <c r="AM403" t="n">
        <v/>
      </c>
      <c r="AN403" t="n">
        <v/>
      </c>
      <c r="AO403" t="n">
        <v/>
      </c>
      <c r="AP403" t="n">
        <v/>
      </c>
      <c r="AQ403" t="n">
        <v/>
      </c>
      <c r="AR403" t="n">
        <v/>
      </c>
      <c r="AS403" t="n">
        <v/>
      </c>
      <c r="AT403" t="n">
        <v>16.886784673</v>
      </c>
      <c r="AU403" t="n">
        <v/>
      </c>
    </row>
    <row r="404">
      <c r="A404" s="106" t="n">
        <v>19176</v>
      </c>
      <c r="B404" t="n">
        <v/>
      </c>
      <c r="C404" t="n">
        <v/>
      </c>
      <c r="D404" t="n">
        <v/>
      </c>
      <c r="E404" t="n">
        <v/>
      </c>
      <c r="F404" t="n">
        <v/>
      </c>
      <c r="G404" t="n">
        <v/>
      </c>
      <c r="H404" t="n">
        <v/>
      </c>
      <c r="I404" t="n">
        <v/>
      </c>
      <c r="J404" t="n">
        <v/>
      </c>
      <c r="K404" t="n">
        <v/>
      </c>
      <c r="L404" t="n">
        <v/>
      </c>
      <c r="M404" t="n">
        <v/>
      </c>
      <c r="N404" t="n">
        <v/>
      </c>
      <c r="O404" t="n">
        <v/>
      </c>
      <c r="P404" t="n">
        <v/>
      </c>
      <c r="Q404" t="n">
        <v/>
      </c>
      <c r="R404" t="n">
        <v/>
      </c>
      <c r="S404" t="n">
        <v/>
      </c>
      <c r="T404" t="n">
        <v/>
      </c>
      <c r="U404" t="n">
        <v/>
      </c>
      <c r="V404" t="n">
        <v/>
      </c>
      <c r="W404" t="n">
        <v/>
      </c>
      <c r="X404" t="n">
        <v/>
      </c>
      <c r="Y404" t="n">
        <v/>
      </c>
      <c r="Z404" t="n">
        <v/>
      </c>
      <c r="AA404" t="n">
        <v/>
      </c>
      <c r="AB404" t="n">
        <v/>
      </c>
      <c r="AC404" t="n">
        <v/>
      </c>
      <c r="AD404" t="n">
        <v/>
      </c>
      <c r="AE404" t="n">
        <v/>
      </c>
      <c r="AF404" t="n">
        <v/>
      </c>
      <c r="AG404" t="n">
        <v/>
      </c>
      <c r="AH404" t="n">
        <v/>
      </c>
      <c r="AI404" t="n">
        <v/>
      </c>
      <c r="AJ404" t="n">
        <v/>
      </c>
      <c r="AK404" t="n">
        <v/>
      </c>
      <c r="AL404" t="n">
        <v/>
      </c>
      <c r="AM404" t="n">
        <v/>
      </c>
      <c r="AN404" t="n">
        <v/>
      </c>
      <c r="AO404" t="n">
        <v/>
      </c>
      <c r="AP404" t="n">
        <v/>
      </c>
      <c r="AQ404" t="n">
        <v/>
      </c>
      <c r="AR404" t="n">
        <v/>
      </c>
      <c r="AS404" t="n">
        <v/>
      </c>
      <c r="AT404" t="n">
        <v>16.619552627</v>
      </c>
      <c r="AU404" t="n">
        <v/>
      </c>
    </row>
    <row r="405">
      <c r="A405" s="106" t="n">
        <v>19207</v>
      </c>
      <c r="B405" t="n">
        <v/>
      </c>
      <c r="C405" t="n">
        <v/>
      </c>
      <c r="D405" t="n">
        <v/>
      </c>
      <c r="E405" t="n">
        <v/>
      </c>
      <c r="F405" t="n">
        <v/>
      </c>
      <c r="G405" t="n">
        <v/>
      </c>
      <c r="H405" t="n">
        <v/>
      </c>
      <c r="I405" t="n">
        <v/>
      </c>
      <c r="J405" t="n">
        <v/>
      </c>
      <c r="K405" t="n">
        <v/>
      </c>
      <c r="L405" t="n">
        <v/>
      </c>
      <c r="M405" t="n">
        <v/>
      </c>
      <c r="N405" t="n">
        <v/>
      </c>
      <c r="O405" t="n">
        <v/>
      </c>
      <c r="P405" t="n">
        <v/>
      </c>
      <c r="Q405" t="n">
        <v/>
      </c>
      <c r="R405" t="n">
        <v/>
      </c>
      <c r="S405" t="n">
        <v/>
      </c>
      <c r="T405" t="n">
        <v/>
      </c>
      <c r="U405" t="n">
        <v/>
      </c>
      <c r="V405" t="n">
        <v/>
      </c>
      <c r="W405" t="n">
        <v/>
      </c>
      <c r="X405" t="n">
        <v/>
      </c>
      <c r="Y405" t="n">
        <v/>
      </c>
      <c r="Z405" t="n">
        <v/>
      </c>
      <c r="AA405" t="n">
        <v/>
      </c>
      <c r="AB405" t="n">
        <v/>
      </c>
      <c r="AC405" t="n">
        <v/>
      </c>
      <c r="AD405" t="n">
        <v/>
      </c>
      <c r="AE405" t="n">
        <v/>
      </c>
      <c r="AF405" t="n">
        <v/>
      </c>
      <c r="AG405" t="n">
        <v/>
      </c>
      <c r="AH405" t="n">
        <v/>
      </c>
      <c r="AI405" t="n">
        <v/>
      </c>
      <c r="AJ405" t="n">
        <v/>
      </c>
      <c r="AK405" t="n">
        <v/>
      </c>
      <c r="AL405" t="n">
        <v/>
      </c>
      <c r="AM405" t="n">
        <v/>
      </c>
      <c r="AN405" t="n">
        <v/>
      </c>
      <c r="AO405" t="n">
        <v/>
      </c>
      <c r="AP405" t="n">
        <v/>
      </c>
      <c r="AQ405" t="n">
        <v/>
      </c>
      <c r="AR405" t="n">
        <v/>
      </c>
      <c r="AS405" t="n">
        <v/>
      </c>
      <c r="AT405" t="n">
        <v>17.688381653</v>
      </c>
      <c r="AU405" t="n">
        <v/>
      </c>
    </row>
    <row r="406">
      <c r="A406" s="106" t="n">
        <v>19238</v>
      </c>
      <c r="B406" t="n">
        <v/>
      </c>
      <c r="C406" t="n">
        <v/>
      </c>
      <c r="D406" t="n">
        <v/>
      </c>
      <c r="E406" t="n">
        <v/>
      </c>
      <c r="F406" t="n">
        <v/>
      </c>
      <c r="G406" t="n">
        <v/>
      </c>
      <c r="H406" t="n">
        <v/>
      </c>
      <c r="I406" t="n">
        <v/>
      </c>
      <c r="J406" t="n">
        <v/>
      </c>
      <c r="K406" t="n">
        <v/>
      </c>
      <c r="L406" t="n">
        <v/>
      </c>
      <c r="M406" t="n">
        <v/>
      </c>
      <c r="N406" t="n">
        <v/>
      </c>
      <c r="O406" t="n">
        <v/>
      </c>
      <c r="P406" t="n">
        <v/>
      </c>
      <c r="Q406" t="n">
        <v/>
      </c>
      <c r="R406" t="n">
        <v/>
      </c>
      <c r="S406" t="n">
        <v/>
      </c>
      <c r="T406" t="n">
        <v/>
      </c>
      <c r="U406" t="n">
        <v/>
      </c>
      <c r="V406" t="n">
        <v/>
      </c>
      <c r="W406" t="n">
        <v/>
      </c>
      <c r="X406" t="n">
        <v/>
      </c>
      <c r="Y406" t="n">
        <v/>
      </c>
      <c r="Z406" t="n">
        <v/>
      </c>
      <c r="AA406" t="n">
        <v/>
      </c>
      <c r="AB406" t="n">
        <v/>
      </c>
      <c r="AC406" t="n">
        <v/>
      </c>
      <c r="AD406" t="n">
        <v/>
      </c>
      <c r="AE406" t="n">
        <v/>
      </c>
      <c r="AF406" t="n">
        <v/>
      </c>
      <c r="AG406" t="n">
        <v/>
      </c>
      <c r="AH406" t="n">
        <v/>
      </c>
      <c r="AI406" t="n">
        <v/>
      </c>
      <c r="AJ406" t="n">
        <v/>
      </c>
      <c r="AK406" t="n">
        <v/>
      </c>
      <c r="AL406" t="n">
        <v/>
      </c>
      <c r="AM406" t="n">
        <v/>
      </c>
      <c r="AN406" t="n">
        <v/>
      </c>
      <c r="AO406" t="n">
        <v/>
      </c>
      <c r="AP406" t="n">
        <v/>
      </c>
      <c r="AQ406" t="n">
        <v/>
      </c>
      <c r="AR406" t="n">
        <v/>
      </c>
      <c r="AS406" t="n">
        <v/>
      </c>
      <c r="AT406" t="n">
        <v>18.329639405</v>
      </c>
      <c r="AU406" t="n">
        <v/>
      </c>
    </row>
    <row r="407">
      <c r="A407" s="106" t="n">
        <v>19268</v>
      </c>
      <c r="B407" t="n">
        <v/>
      </c>
      <c r="C407" t="n">
        <v/>
      </c>
      <c r="D407" t="n">
        <v/>
      </c>
      <c r="E407" t="n">
        <v/>
      </c>
      <c r="F407" t="n">
        <v/>
      </c>
      <c r="G407" t="n">
        <v/>
      </c>
      <c r="H407" t="n">
        <v/>
      </c>
      <c r="I407" t="n">
        <v/>
      </c>
      <c r="J407" t="n">
        <v/>
      </c>
      <c r="K407" t="n">
        <v/>
      </c>
      <c r="L407" t="n">
        <v/>
      </c>
      <c r="M407" t="n">
        <v/>
      </c>
      <c r="N407" t="n">
        <v/>
      </c>
      <c r="O407" t="n">
        <v/>
      </c>
      <c r="P407" t="n">
        <v/>
      </c>
      <c r="Q407" t="n">
        <v/>
      </c>
      <c r="R407" t="n">
        <v/>
      </c>
      <c r="S407" t="n">
        <v/>
      </c>
      <c r="T407" t="n">
        <v/>
      </c>
      <c r="U407" t="n">
        <v/>
      </c>
      <c r="V407" t="n">
        <v/>
      </c>
      <c r="W407" t="n">
        <v/>
      </c>
      <c r="X407" t="n">
        <v/>
      </c>
      <c r="Y407" t="n">
        <v/>
      </c>
      <c r="Z407" t="n">
        <v/>
      </c>
      <c r="AA407" t="n">
        <v/>
      </c>
      <c r="AB407" t="n">
        <v/>
      </c>
      <c r="AC407" t="n">
        <v/>
      </c>
      <c r="AD407" t="n">
        <v/>
      </c>
      <c r="AE407" t="n">
        <v/>
      </c>
      <c r="AF407" t="n">
        <v/>
      </c>
      <c r="AG407" t="n">
        <v/>
      </c>
      <c r="AH407" t="n">
        <v/>
      </c>
      <c r="AI407" t="n">
        <v/>
      </c>
      <c r="AJ407" t="n">
        <v/>
      </c>
      <c r="AK407" t="n">
        <v/>
      </c>
      <c r="AL407" t="n">
        <v/>
      </c>
      <c r="AM407" t="n">
        <v/>
      </c>
      <c r="AN407" t="n">
        <v/>
      </c>
      <c r="AO407" t="n">
        <v/>
      </c>
      <c r="AP407" t="n">
        <v/>
      </c>
      <c r="AQ407" t="n">
        <v/>
      </c>
      <c r="AR407" t="n">
        <v/>
      </c>
      <c r="AS407" t="n">
        <v/>
      </c>
      <c r="AT407" t="n">
        <v>18.516652258</v>
      </c>
      <c r="AU407" t="n">
        <v/>
      </c>
    </row>
    <row r="408">
      <c r="A408" s="106" t="n">
        <v>19299</v>
      </c>
      <c r="B408" t="n">
        <v/>
      </c>
      <c r="C408" t="n">
        <v/>
      </c>
      <c r="D408" t="n">
        <v/>
      </c>
      <c r="E408" t="n">
        <v/>
      </c>
      <c r="F408" t="n">
        <v/>
      </c>
      <c r="G408" t="n">
        <v/>
      </c>
      <c r="H408" t="n">
        <v/>
      </c>
      <c r="I408" t="n">
        <v/>
      </c>
      <c r="J408" t="n">
        <v/>
      </c>
      <c r="K408" t="n">
        <v/>
      </c>
      <c r="L408" t="n">
        <v/>
      </c>
      <c r="M408" t="n">
        <v/>
      </c>
      <c r="N408" t="n">
        <v/>
      </c>
      <c r="O408" t="n">
        <v/>
      </c>
      <c r="P408" t="n">
        <v/>
      </c>
      <c r="Q408" t="n">
        <v/>
      </c>
      <c r="R408" t="n">
        <v/>
      </c>
      <c r="S408" t="n">
        <v/>
      </c>
      <c r="T408" t="n">
        <v/>
      </c>
      <c r="U408" t="n">
        <v/>
      </c>
      <c r="V408" t="n">
        <v/>
      </c>
      <c r="W408" t="n">
        <v/>
      </c>
      <c r="X408" t="n">
        <v/>
      </c>
      <c r="Y408" t="n">
        <v/>
      </c>
      <c r="Z408" t="n">
        <v/>
      </c>
      <c r="AA408" t="n">
        <v/>
      </c>
      <c r="AB408" t="n">
        <v/>
      </c>
      <c r="AC408" t="n">
        <v/>
      </c>
      <c r="AD408" t="n">
        <v/>
      </c>
      <c r="AE408" t="n">
        <v/>
      </c>
      <c r="AF408" t="n">
        <v/>
      </c>
      <c r="AG408" t="n">
        <v/>
      </c>
      <c r="AH408" t="n">
        <v/>
      </c>
      <c r="AI408" t="n">
        <v/>
      </c>
      <c r="AJ408" t="n">
        <v/>
      </c>
      <c r="AK408" t="n">
        <v/>
      </c>
      <c r="AL408" t="n">
        <v/>
      </c>
      <c r="AM408" t="n">
        <v/>
      </c>
      <c r="AN408" t="n">
        <v/>
      </c>
      <c r="AO408" t="n">
        <v/>
      </c>
      <c r="AP408" t="n">
        <v/>
      </c>
      <c r="AQ408" t="n">
        <v/>
      </c>
      <c r="AR408" t="n">
        <v/>
      </c>
      <c r="AS408" t="n">
        <v/>
      </c>
      <c r="AT408" t="n">
        <v>18.890777123</v>
      </c>
      <c r="AU408" t="n">
        <v/>
      </c>
    </row>
    <row r="409">
      <c r="A409" s="106" t="n">
        <v>19329</v>
      </c>
      <c r="B409" t="n">
        <v/>
      </c>
      <c r="C409" t="n">
        <v/>
      </c>
      <c r="D409" t="n">
        <v/>
      </c>
      <c r="E409" t="n">
        <v/>
      </c>
      <c r="F409" t="n">
        <v/>
      </c>
      <c r="G409" t="n">
        <v/>
      </c>
      <c r="H409" t="n">
        <v/>
      </c>
      <c r="I409" t="n">
        <v/>
      </c>
      <c r="J409" t="n">
        <v/>
      </c>
      <c r="K409" t="n">
        <v/>
      </c>
      <c r="L409" t="n">
        <v/>
      </c>
      <c r="M409" t="n">
        <v/>
      </c>
      <c r="N409" t="n">
        <v/>
      </c>
      <c r="O409" t="n">
        <v/>
      </c>
      <c r="P409" t="n">
        <v/>
      </c>
      <c r="Q409" t="n">
        <v/>
      </c>
      <c r="R409" t="n">
        <v/>
      </c>
      <c r="S409" t="n">
        <v/>
      </c>
      <c r="T409" t="n">
        <v/>
      </c>
      <c r="U409" t="n">
        <v/>
      </c>
      <c r="V409" t="n">
        <v/>
      </c>
      <c r="W409" t="n">
        <v/>
      </c>
      <c r="X409" t="n">
        <v/>
      </c>
      <c r="Y409" t="n">
        <v/>
      </c>
      <c r="Z409" t="n">
        <v/>
      </c>
      <c r="AA409" t="n">
        <v/>
      </c>
      <c r="AB409" t="n">
        <v/>
      </c>
      <c r="AC409" t="n">
        <v/>
      </c>
      <c r="AD409" t="n">
        <v/>
      </c>
      <c r="AE409" t="n">
        <v/>
      </c>
      <c r="AF409" t="n">
        <v/>
      </c>
      <c r="AG409" t="n">
        <v/>
      </c>
      <c r="AH409" t="n">
        <v/>
      </c>
      <c r="AI409" t="n">
        <v/>
      </c>
      <c r="AJ409" t="n">
        <v/>
      </c>
      <c r="AK409" t="n">
        <v/>
      </c>
      <c r="AL409" t="n">
        <v/>
      </c>
      <c r="AM409" t="n">
        <v/>
      </c>
      <c r="AN409" t="n">
        <v/>
      </c>
      <c r="AO409" t="n">
        <v/>
      </c>
      <c r="AP409" t="n">
        <v/>
      </c>
      <c r="AQ409" t="n">
        <v/>
      </c>
      <c r="AR409" t="n">
        <v/>
      </c>
      <c r="AS409" t="n">
        <v/>
      </c>
      <c r="AT409" t="n">
        <v>18.997570783</v>
      </c>
      <c r="AU409" t="n">
        <v/>
      </c>
    </row>
    <row r="410">
      <c r="A410" s="106" t="n">
        <v>19360</v>
      </c>
      <c r="B410" t="n">
        <v/>
      </c>
      <c r="C410" t="n">
        <v/>
      </c>
      <c r="D410" t="n">
        <v/>
      </c>
      <c r="E410" t="n">
        <v/>
      </c>
      <c r="F410" t="n">
        <v/>
      </c>
      <c r="G410" t="n">
        <v/>
      </c>
      <c r="H410" t="n">
        <v/>
      </c>
      <c r="I410" t="n">
        <v/>
      </c>
      <c r="J410" t="n">
        <v/>
      </c>
      <c r="K410" t="n">
        <v/>
      </c>
      <c r="L410" t="n">
        <v/>
      </c>
      <c r="M410" t="n">
        <v/>
      </c>
      <c r="N410" t="n">
        <v/>
      </c>
      <c r="O410" t="n">
        <v/>
      </c>
      <c r="P410" t="n">
        <v/>
      </c>
      <c r="Q410" t="n">
        <v/>
      </c>
      <c r="R410" t="n">
        <v/>
      </c>
      <c r="S410" t="n">
        <v/>
      </c>
      <c r="T410" t="n">
        <v/>
      </c>
      <c r="U410" t="n">
        <v/>
      </c>
      <c r="V410" t="n">
        <v/>
      </c>
      <c r="W410" t="n">
        <v/>
      </c>
      <c r="X410" t="n">
        <v/>
      </c>
      <c r="Y410" t="n">
        <v/>
      </c>
      <c r="Z410" t="n">
        <v/>
      </c>
      <c r="AA410" t="n">
        <v/>
      </c>
      <c r="AB410" t="n">
        <v/>
      </c>
      <c r="AC410" t="n">
        <v/>
      </c>
      <c r="AD410" t="n">
        <v/>
      </c>
      <c r="AE410" t="n">
        <v/>
      </c>
      <c r="AF410" t="n">
        <v/>
      </c>
      <c r="AG410" t="n">
        <v/>
      </c>
      <c r="AH410" t="n">
        <v/>
      </c>
      <c r="AI410" t="n">
        <v/>
      </c>
      <c r="AJ410" t="n">
        <v/>
      </c>
      <c r="AK410" t="n">
        <v/>
      </c>
      <c r="AL410" t="n">
        <v/>
      </c>
      <c r="AM410" t="n">
        <v/>
      </c>
      <c r="AN410" t="n">
        <v/>
      </c>
      <c r="AO410" t="n">
        <v/>
      </c>
      <c r="AP410" t="n">
        <v/>
      </c>
      <c r="AQ410" t="n">
        <v/>
      </c>
      <c r="AR410" t="n">
        <v/>
      </c>
      <c r="AS410" t="n">
        <v/>
      </c>
      <c r="AT410" t="n">
        <v>19.051017192</v>
      </c>
      <c r="AU410" t="n">
        <v/>
      </c>
    </row>
    <row r="411">
      <c r="A411" s="106" t="n">
        <v>19391</v>
      </c>
      <c r="B411" t="n">
        <v/>
      </c>
      <c r="C411" t="n">
        <v/>
      </c>
      <c r="D411" t="n">
        <v/>
      </c>
      <c r="E411" t="n">
        <v/>
      </c>
      <c r="F411" t="n">
        <v/>
      </c>
      <c r="G411" t="n">
        <v/>
      </c>
      <c r="H411" t="n">
        <v/>
      </c>
      <c r="I411" t="n">
        <v/>
      </c>
      <c r="J411" t="n">
        <v/>
      </c>
      <c r="K411" t="n">
        <v/>
      </c>
      <c r="L411" t="n">
        <v/>
      </c>
      <c r="M411" t="n">
        <v/>
      </c>
      <c r="N411" t="n">
        <v/>
      </c>
      <c r="O411" t="n">
        <v/>
      </c>
      <c r="P411" t="n">
        <v/>
      </c>
      <c r="Q411" t="n">
        <v/>
      </c>
      <c r="R411" t="n">
        <v/>
      </c>
      <c r="S411" t="n">
        <v/>
      </c>
      <c r="T411" t="n">
        <v/>
      </c>
      <c r="U411" t="n">
        <v/>
      </c>
      <c r="V411" t="n">
        <v/>
      </c>
      <c r="W411" t="n">
        <v/>
      </c>
      <c r="X411" t="n">
        <v/>
      </c>
      <c r="Y411" t="n">
        <v/>
      </c>
      <c r="Z411" t="n">
        <v/>
      </c>
      <c r="AA411" t="n">
        <v/>
      </c>
      <c r="AB411" t="n">
        <v/>
      </c>
      <c r="AC411" t="n">
        <v/>
      </c>
      <c r="AD411" t="n">
        <v/>
      </c>
      <c r="AE411" t="n">
        <v/>
      </c>
      <c r="AF411" t="n">
        <v/>
      </c>
      <c r="AG411" t="n">
        <v/>
      </c>
      <c r="AH411" t="n">
        <v/>
      </c>
      <c r="AI411" t="n">
        <v/>
      </c>
      <c r="AJ411" t="n">
        <v/>
      </c>
      <c r="AK411" t="n">
        <v/>
      </c>
      <c r="AL411" t="n">
        <v/>
      </c>
      <c r="AM411" t="n">
        <v/>
      </c>
      <c r="AN411" t="n">
        <v/>
      </c>
      <c r="AO411" t="n">
        <v/>
      </c>
      <c r="AP411" t="n">
        <v/>
      </c>
      <c r="AQ411" t="n">
        <v/>
      </c>
      <c r="AR411" t="n">
        <v/>
      </c>
      <c r="AS411" t="n">
        <v/>
      </c>
      <c r="AT411" t="n">
        <v>19.157910011</v>
      </c>
      <c r="AU411" t="n">
        <v/>
      </c>
    </row>
    <row r="412">
      <c r="A412" s="106" t="n">
        <v>19419</v>
      </c>
      <c r="B412" t="n">
        <v/>
      </c>
      <c r="C412" t="n">
        <v/>
      </c>
      <c r="D412" t="n">
        <v/>
      </c>
      <c r="E412" t="n">
        <v/>
      </c>
      <c r="F412" t="n">
        <v/>
      </c>
      <c r="G412" t="n">
        <v/>
      </c>
      <c r="H412" t="n">
        <v/>
      </c>
      <c r="I412" t="n">
        <v/>
      </c>
      <c r="J412" t="n">
        <v/>
      </c>
      <c r="K412" t="n">
        <v/>
      </c>
      <c r="L412" t="n">
        <v/>
      </c>
      <c r="M412" t="n">
        <v/>
      </c>
      <c r="N412" t="n">
        <v/>
      </c>
      <c r="O412" t="n">
        <v/>
      </c>
      <c r="P412" t="n">
        <v/>
      </c>
      <c r="Q412" t="n">
        <v/>
      </c>
      <c r="R412" t="n">
        <v/>
      </c>
      <c r="S412" t="n">
        <v/>
      </c>
      <c r="T412" t="n">
        <v/>
      </c>
      <c r="U412" t="n">
        <v/>
      </c>
      <c r="V412" t="n">
        <v/>
      </c>
      <c r="W412" t="n">
        <v/>
      </c>
      <c r="X412" t="n">
        <v/>
      </c>
      <c r="Y412" t="n">
        <v/>
      </c>
      <c r="Z412" t="n">
        <v/>
      </c>
      <c r="AA412" t="n">
        <v/>
      </c>
      <c r="AB412" t="n">
        <v/>
      </c>
      <c r="AC412" t="n">
        <v/>
      </c>
      <c r="AD412" t="n">
        <v/>
      </c>
      <c r="AE412" t="n">
        <v/>
      </c>
      <c r="AF412" t="n">
        <v/>
      </c>
      <c r="AG412" t="n">
        <v/>
      </c>
      <c r="AH412" t="n">
        <v/>
      </c>
      <c r="AI412" t="n">
        <v/>
      </c>
      <c r="AJ412" t="n">
        <v/>
      </c>
      <c r="AK412" t="n">
        <v/>
      </c>
      <c r="AL412" t="n">
        <v/>
      </c>
      <c r="AM412" t="n">
        <v/>
      </c>
      <c r="AN412" t="n">
        <v/>
      </c>
      <c r="AO412" t="n">
        <v/>
      </c>
      <c r="AP412" t="n">
        <v/>
      </c>
      <c r="AQ412" t="n">
        <v/>
      </c>
      <c r="AR412" t="n">
        <v/>
      </c>
      <c r="AS412" t="n">
        <v/>
      </c>
      <c r="AT412" t="n">
        <v>19.318249238</v>
      </c>
      <c r="AU412" t="n">
        <v/>
      </c>
    </row>
    <row r="413">
      <c r="A413" s="106" t="n">
        <v>19450</v>
      </c>
      <c r="B413" t="n">
        <v/>
      </c>
      <c r="C413" t="n">
        <v/>
      </c>
      <c r="D413" t="n">
        <v/>
      </c>
      <c r="E413" t="n">
        <v/>
      </c>
      <c r="F413" t="n">
        <v/>
      </c>
      <c r="G413" t="n">
        <v/>
      </c>
      <c r="H413" t="n">
        <v/>
      </c>
      <c r="I413" t="n">
        <v/>
      </c>
      <c r="J413" t="n">
        <v/>
      </c>
      <c r="K413" t="n">
        <v/>
      </c>
      <c r="L413" t="n">
        <v/>
      </c>
      <c r="M413" t="n">
        <v/>
      </c>
      <c r="N413" t="n">
        <v/>
      </c>
      <c r="O413" t="n">
        <v/>
      </c>
      <c r="P413" t="n">
        <v/>
      </c>
      <c r="Q413" t="n">
        <v/>
      </c>
      <c r="R413" t="n">
        <v/>
      </c>
      <c r="S413" t="n">
        <v/>
      </c>
      <c r="T413" t="n">
        <v/>
      </c>
      <c r="U413" t="n">
        <v/>
      </c>
      <c r="V413" t="n">
        <v/>
      </c>
      <c r="W413" t="n">
        <v/>
      </c>
      <c r="X413" t="n">
        <v/>
      </c>
      <c r="Y413" t="n">
        <v/>
      </c>
      <c r="Z413" t="n">
        <v/>
      </c>
      <c r="AA413" t="n">
        <v/>
      </c>
      <c r="AB413" t="n">
        <v/>
      </c>
      <c r="AC413" t="n">
        <v/>
      </c>
      <c r="AD413" t="n">
        <v/>
      </c>
      <c r="AE413" t="n">
        <v/>
      </c>
      <c r="AF413" t="n">
        <v/>
      </c>
      <c r="AG413" t="n">
        <v/>
      </c>
      <c r="AH413" t="n">
        <v/>
      </c>
      <c r="AI413" t="n">
        <v/>
      </c>
      <c r="AJ413" t="n">
        <v/>
      </c>
      <c r="AK413" t="n">
        <v/>
      </c>
      <c r="AL413" t="n">
        <v/>
      </c>
      <c r="AM413" t="n">
        <v/>
      </c>
      <c r="AN413" t="n">
        <v/>
      </c>
      <c r="AO413" t="n">
        <v/>
      </c>
      <c r="AP413" t="n">
        <v/>
      </c>
      <c r="AQ413" t="n">
        <v/>
      </c>
      <c r="AR413" t="n">
        <v/>
      </c>
      <c r="AS413" t="n">
        <v/>
      </c>
      <c r="AT413" t="n">
        <v>19.398369273</v>
      </c>
      <c r="AU413" t="n">
        <v/>
      </c>
    </row>
    <row r="414">
      <c r="A414" s="106" t="n">
        <v>19480</v>
      </c>
      <c r="B414" t="n">
        <v/>
      </c>
      <c r="C414" t="n">
        <v/>
      </c>
      <c r="D414" t="n">
        <v/>
      </c>
      <c r="E414" t="n">
        <v/>
      </c>
      <c r="F414" t="n">
        <v/>
      </c>
      <c r="G414" t="n">
        <v/>
      </c>
      <c r="H414" t="n">
        <v/>
      </c>
      <c r="I414" t="n">
        <v/>
      </c>
      <c r="J414" t="n">
        <v/>
      </c>
      <c r="K414" t="n">
        <v/>
      </c>
      <c r="L414" t="n">
        <v/>
      </c>
      <c r="M414" t="n">
        <v/>
      </c>
      <c r="N414" t="n">
        <v/>
      </c>
      <c r="O414" t="n">
        <v/>
      </c>
      <c r="P414" t="n">
        <v/>
      </c>
      <c r="Q414" t="n">
        <v/>
      </c>
      <c r="R414" t="n">
        <v/>
      </c>
      <c r="S414" t="n">
        <v/>
      </c>
      <c r="T414" t="n">
        <v/>
      </c>
      <c r="U414" t="n">
        <v/>
      </c>
      <c r="V414" t="n">
        <v/>
      </c>
      <c r="W414" t="n">
        <v/>
      </c>
      <c r="X414" t="n">
        <v/>
      </c>
      <c r="Y414" t="n">
        <v/>
      </c>
      <c r="Z414" t="n">
        <v/>
      </c>
      <c r="AA414" t="n">
        <v/>
      </c>
      <c r="AB414" t="n">
        <v/>
      </c>
      <c r="AC414" t="n">
        <v/>
      </c>
      <c r="AD414" t="n">
        <v/>
      </c>
      <c r="AE414" t="n">
        <v/>
      </c>
      <c r="AF414" t="n">
        <v/>
      </c>
      <c r="AG414" t="n">
        <v/>
      </c>
      <c r="AH414" t="n">
        <v/>
      </c>
      <c r="AI414" t="n">
        <v/>
      </c>
      <c r="AJ414" t="n">
        <v/>
      </c>
      <c r="AK414" t="n">
        <v/>
      </c>
      <c r="AL414" t="n">
        <v/>
      </c>
      <c r="AM414" t="n">
        <v/>
      </c>
      <c r="AN414" t="n">
        <v/>
      </c>
      <c r="AO414" t="n">
        <v/>
      </c>
      <c r="AP414" t="n">
        <v/>
      </c>
      <c r="AQ414" t="n">
        <v/>
      </c>
      <c r="AR414" t="n">
        <v/>
      </c>
      <c r="AS414" t="n">
        <v/>
      </c>
      <c r="AT414" t="n">
        <v>19.505262092</v>
      </c>
      <c r="AU414" t="n">
        <v/>
      </c>
    </row>
    <row r="415">
      <c r="A415" s="106" t="n">
        <v>19511</v>
      </c>
      <c r="B415" t="n">
        <v/>
      </c>
      <c r="C415" t="n">
        <v/>
      </c>
      <c r="D415" t="n">
        <v/>
      </c>
      <c r="E415" t="n">
        <v/>
      </c>
      <c r="F415" t="n">
        <v/>
      </c>
      <c r="G415" t="n">
        <v/>
      </c>
      <c r="H415" t="n">
        <v/>
      </c>
      <c r="I415" t="n">
        <v/>
      </c>
      <c r="J415" t="n">
        <v/>
      </c>
      <c r="K415" t="n">
        <v/>
      </c>
      <c r="L415" t="n">
        <v/>
      </c>
      <c r="M415" t="n">
        <v/>
      </c>
      <c r="N415" t="n">
        <v/>
      </c>
      <c r="O415" t="n">
        <v/>
      </c>
      <c r="P415" t="n">
        <v/>
      </c>
      <c r="Q415" t="n">
        <v/>
      </c>
      <c r="R415" t="n">
        <v/>
      </c>
      <c r="S415" t="n">
        <v/>
      </c>
      <c r="T415" t="n">
        <v/>
      </c>
      <c r="U415" t="n">
        <v/>
      </c>
      <c r="V415" t="n">
        <v/>
      </c>
      <c r="W415" t="n">
        <v/>
      </c>
      <c r="X415" t="n">
        <v/>
      </c>
      <c r="Y415" t="n">
        <v/>
      </c>
      <c r="Z415" t="n">
        <v/>
      </c>
      <c r="AA415" t="n">
        <v/>
      </c>
      <c r="AB415" t="n">
        <v/>
      </c>
      <c r="AC415" t="n">
        <v/>
      </c>
      <c r="AD415" t="n">
        <v/>
      </c>
      <c r="AE415" t="n">
        <v/>
      </c>
      <c r="AF415" t="n">
        <v/>
      </c>
      <c r="AG415" t="n">
        <v/>
      </c>
      <c r="AH415" t="n">
        <v/>
      </c>
      <c r="AI415" t="n">
        <v/>
      </c>
      <c r="AJ415" t="n">
        <v/>
      </c>
      <c r="AK415" t="n">
        <v/>
      </c>
      <c r="AL415" t="n">
        <v/>
      </c>
      <c r="AM415" t="n">
        <v/>
      </c>
      <c r="AN415" t="n">
        <v/>
      </c>
      <c r="AO415" t="n">
        <v/>
      </c>
      <c r="AP415" t="n">
        <v/>
      </c>
      <c r="AQ415" t="n">
        <v/>
      </c>
      <c r="AR415" t="n">
        <v/>
      </c>
      <c r="AS415" t="n">
        <v/>
      </c>
      <c r="AT415" t="n">
        <v>19.425142057</v>
      </c>
      <c r="AU415" t="n">
        <v/>
      </c>
    </row>
    <row r="416">
      <c r="A416" s="106" t="n">
        <v>19541</v>
      </c>
      <c r="B416" t="n">
        <v/>
      </c>
      <c r="C416" t="n">
        <v/>
      </c>
      <c r="D416" t="n">
        <v/>
      </c>
      <c r="E416" t="n">
        <v/>
      </c>
      <c r="F416" t="n">
        <v/>
      </c>
      <c r="G416" t="n">
        <v/>
      </c>
      <c r="H416" t="n">
        <v/>
      </c>
      <c r="I416" t="n">
        <v/>
      </c>
      <c r="J416" t="n">
        <v/>
      </c>
      <c r="K416" t="n">
        <v/>
      </c>
      <c r="L416" t="n">
        <v/>
      </c>
      <c r="M416" t="n">
        <v/>
      </c>
      <c r="N416" t="n">
        <v/>
      </c>
      <c r="O416" t="n">
        <v/>
      </c>
      <c r="P416" t="n">
        <v/>
      </c>
      <c r="Q416" t="n">
        <v/>
      </c>
      <c r="R416" t="n">
        <v/>
      </c>
      <c r="S416" t="n">
        <v/>
      </c>
      <c r="T416" t="n">
        <v/>
      </c>
      <c r="U416" t="n">
        <v/>
      </c>
      <c r="V416" t="n">
        <v/>
      </c>
      <c r="W416" t="n">
        <v/>
      </c>
      <c r="X416" t="n">
        <v/>
      </c>
      <c r="Y416" t="n">
        <v/>
      </c>
      <c r="Z416" t="n">
        <v/>
      </c>
      <c r="AA416" t="n">
        <v/>
      </c>
      <c r="AB416" t="n">
        <v/>
      </c>
      <c r="AC416" t="n">
        <v/>
      </c>
      <c r="AD416" t="n">
        <v/>
      </c>
      <c r="AE416" t="n">
        <v/>
      </c>
      <c r="AF416" t="n">
        <v/>
      </c>
      <c r="AG416" t="n">
        <v/>
      </c>
      <c r="AH416" t="n">
        <v/>
      </c>
      <c r="AI416" t="n">
        <v/>
      </c>
      <c r="AJ416" t="n">
        <v/>
      </c>
      <c r="AK416" t="n">
        <v/>
      </c>
      <c r="AL416" t="n">
        <v/>
      </c>
      <c r="AM416" t="n">
        <v/>
      </c>
      <c r="AN416" t="n">
        <v/>
      </c>
      <c r="AO416" t="n">
        <v/>
      </c>
      <c r="AP416" t="n">
        <v/>
      </c>
      <c r="AQ416" t="n">
        <v/>
      </c>
      <c r="AR416" t="n">
        <v/>
      </c>
      <c r="AS416" t="n">
        <v/>
      </c>
      <c r="AT416" t="n">
        <v>19.665601319</v>
      </c>
      <c r="AU416" t="n">
        <v/>
      </c>
    </row>
    <row r="417">
      <c r="A417" s="106" t="n">
        <v>19572</v>
      </c>
      <c r="B417" t="n">
        <v/>
      </c>
      <c r="C417" t="n">
        <v/>
      </c>
      <c r="D417" t="n">
        <v/>
      </c>
      <c r="E417" t="n">
        <v/>
      </c>
      <c r="F417" t="n">
        <v/>
      </c>
      <c r="G417" t="n">
        <v/>
      </c>
      <c r="H417" t="n">
        <v/>
      </c>
      <c r="I417" t="n">
        <v/>
      </c>
      <c r="J417" t="n">
        <v/>
      </c>
      <c r="K417" t="n">
        <v/>
      </c>
      <c r="L417" t="n">
        <v/>
      </c>
      <c r="M417" t="n">
        <v/>
      </c>
      <c r="N417" t="n">
        <v/>
      </c>
      <c r="O417" t="n">
        <v/>
      </c>
      <c r="P417" t="n">
        <v/>
      </c>
      <c r="Q417" t="n">
        <v/>
      </c>
      <c r="R417" t="n">
        <v/>
      </c>
      <c r="S417" t="n">
        <v/>
      </c>
      <c r="T417" t="n">
        <v/>
      </c>
      <c r="U417" t="n">
        <v/>
      </c>
      <c r="V417" t="n">
        <v/>
      </c>
      <c r="W417" t="n">
        <v/>
      </c>
      <c r="X417" t="n">
        <v/>
      </c>
      <c r="Y417" t="n">
        <v/>
      </c>
      <c r="Z417" t="n">
        <v/>
      </c>
      <c r="AA417" t="n">
        <v/>
      </c>
      <c r="AB417" t="n">
        <v/>
      </c>
      <c r="AC417" t="n">
        <v/>
      </c>
      <c r="AD417" t="n">
        <v/>
      </c>
      <c r="AE417" t="n">
        <v/>
      </c>
      <c r="AF417" t="n">
        <v/>
      </c>
      <c r="AG417" t="n">
        <v/>
      </c>
      <c r="AH417" t="n">
        <v/>
      </c>
      <c r="AI417" t="n">
        <v/>
      </c>
      <c r="AJ417" t="n">
        <v/>
      </c>
      <c r="AK417" t="n">
        <v/>
      </c>
      <c r="AL417" t="n">
        <v/>
      </c>
      <c r="AM417" t="n">
        <v/>
      </c>
      <c r="AN417" t="n">
        <v/>
      </c>
      <c r="AO417" t="n">
        <v/>
      </c>
      <c r="AP417" t="n">
        <v/>
      </c>
      <c r="AQ417" t="n">
        <v/>
      </c>
      <c r="AR417" t="n">
        <v/>
      </c>
      <c r="AS417" t="n">
        <v/>
      </c>
      <c r="AT417" t="n">
        <v>19.558708501</v>
      </c>
      <c r="AU417" t="n">
        <v/>
      </c>
    </row>
    <row r="418">
      <c r="A418" s="106" t="n">
        <v>19603</v>
      </c>
      <c r="B418" t="n">
        <v/>
      </c>
      <c r="C418" t="n">
        <v/>
      </c>
      <c r="D418" t="n">
        <v/>
      </c>
      <c r="E418" t="n">
        <v/>
      </c>
      <c r="F418" t="n">
        <v/>
      </c>
      <c r="G418" t="n">
        <v/>
      </c>
      <c r="H418" t="n">
        <v/>
      </c>
      <c r="I418" t="n">
        <v/>
      </c>
      <c r="J418" t="n">
        <v/>
      </c>
      <c r="K418" t="n">
        <v/>
      </c>
      <c r="L418" t="n">
        <v/>
      </c>
      <c r="M418" t="n">
        <v/>
      </c>
      <c r="N418" t="n">
        <v/>
      </c>
      <c r="O418" t="n">
        <v/>
      </c>
      <c r="P418" t="n">
        <v/>
      </c>
      <c r="Q418" t="n">
        <v/>
      </c>
      <c r="R418" t="n">
        <v/>
      </c>
      <c r="S418" t="n">
        <v/>
      </c>
      <c r="T418" t="n">
        <v/>
      </c>
      <c r="U418" t="n">
        <v/>
      </c>
      <c r="V418" t="n">
        <v/>
      </c>
      <c r="W418" t="n">
        <v/>
      </c>
      <c r="X418" t="n">
        <v/>
      </c>
      <c r="Y418" t="n">
        <v/>
      </c>
      <c r="Z418" t="n">
        <v/>
      </c>
      <c r="AA418" t="n">
        <v/>
      </c>
      <c r="AB418" t="n">
        <v/>
      </c>
      <c r="AC418" t="n">
        <v/>
      </c>
      <c r="AD418" t="n">
        <v/>
      </c>
      <c r="AE418" t="n">
        <v/>
      </c>
      <c r="AF418" t="n">
        <v/>
      </c>
      <c r="AG418" t="n">
        <v/>
      </c>
      <c r="AH418" t="n">
        <v/>
      </c>
      <c r="AI418" t="n">
        <v/>
      </c>
      <c r="AJ418" t="n">
        <v/>
      </c>
      <c r="AK418" t="n">
        <v/>
      </c>
      <c r="AL418" t="n">
        <v/>
      </c>
      <c r="AM418" t="n">
        <v/>
      </c>
      <c r="AN418" t="n">
        <v/>
      </c>
      <c r="AO418" t="n">
        <v/>
      </c>
      <c r="AP418" t="n">
        <v/>
      </c>
      <c r="AQ418" t="n">
        <v/>
      </c>
      <c r="AR418" t="n">
        <v/>
      </c>
      <c r="AS418" t="n">
        <v/>
      </c>
      <c r="AT418" t="n">
        <v>19.157910011</v>
      </c>
      <c r="AU418" t="n">
        <v/>
      </c>
    </row>
    <row r="419">
      <c r="A419" s="106" t="n">
        <v>19633</v>
      </c>
      <c r="B419" t="n">
        <v/>
      </c>
      <c r="C419" t="n">
        <v/>
      </c>
      <c r="D419" t="n">
        <v/>
      </c>
      <c r="E419" t="n">
        <v/>
      </c>
      <c r="F419" t="n">
        <v/>
      </c>
      <c r="G419" t="n">
        <v/>
      </c>
      <c r="H419" t="n">
        <v/>
      </c>
      <c r="I419" t="n">
        <v/>
      </c>
      <c r="J419" t="n">
        <v/>
      </c>
      <c r="K419" t="n">
        <v/>
      </c>
      <c r="L419" t="n">
        <v/>
      </c>
      <c r="M419" t="n">
        <v/>
      </c>
      <c r="N419" t="n">
        <v/>
      </c>
      <c r="O419" t="n">
        <v/>
      </c>
      <c r="P419" t="n">
        <v/>
      </c>
      <c r="Q419" t="n">
        <v/>
      </c>
      <c r="R419" t="n">
        <v/>
      </c>
      <c r="S419" t="n">
        <v/>
      </c>
      <c r="T419" t="n">
        <v/>
      </c>
      <c r="U419" t="n">
        <v/>
      </c>
      <c r="V419" t="n">
        <v/>
      </c>
      <c r="W419" t="n">
        <v/>
      </c>
      <c r="X419" t="n">
        <v/>
      </c>
      <c r="Y419" t="n">
        <v/>
      </c>
      <c r="Z419" t="n">
        <v/>
      </c>
      <c r="AA419" t="n">
        <v/>
      </c>
      <c r="AB419" t="n">
        <v/>
      </c>
      <c r="AC419" t="n">
        <v/>
      </c>
      <c r="AD419" t="n">
        <v/>
      </c>
      <c r="AE419" t="n">
        <v/>
      </c>
      <c r="AF419" t="n">
        <v/>
      </c>
      <c r="AG419" t="n">
        <v/>
      </c>
      <c r="AH419" t="n">
        <v/>
      </c>
      <c r="AI419" t="n">
        <v/>
      </c>
      <c r="AJ419" t="n">
        <v/>
      </c>
      <c r="AK419" t="n">
        <v/>
      </c>
      <c r="AL419" t="n">
        <v/>
      </c>
      <c r="AM419" t="n">
        <v/>
      </c>
      <c r="AN419" t="n">
        <v/>
      </c>
      <c r="AO419" t="n">
        <v/>
      </c>
      <c r="AP419" t="n">
        <v/>
      </c>
      <c r="AQ419" t="n">
        <v/>
      </c>
      <c r="AR419" t="n">
        <v/>
      </c>
      <c r="AS419" t="n">
        <v/>
      </c>
      <c r="AT419" t="n">
        <v>18.997570783</v>
      </c>
      <c r="AU419" t="n">
        <v/>
      </c>
    </row>
    <row r="420">
      <c r="A420" s="106" t="n">
        <v>19664</v>
      </c>
      <c r="B420" t="n">
        <v/>
      </c>
      <c r="C420" t="n">
        <v/>
      </c>
      <c r="D420" t="n">
        <v/>
      </c>
      <c r="E420" t="n">
        <v/>
      </c>
      <c r="F420" t="n">
        <v/>
      </c>
      <c r="G420" t="n">
        <v/>
      </c>
      <c r="H420" t="n">
        <v/>
      </c>
      <c r="I420" t="n">
        <v/>
      </c>
      <c r="J420" t="n">
        <v/>
      </c>
      <c r="K420" t="n">
        <v/>
      </c>
      <c r="L420" t="n">
        <v/>
      </c>
      <c r="M420" t="n">
        <v/>
      </c>
      <c r="N420" t="n">
        <v/>
      </c>
      <c r="O420" t="n">
        <v/>
      </c>
      <c r="P420" t="n">
        <v/>
      </c>
      <c r="Q420" t="n">
        <v/>
      </c>
      <c r="R420" t="n">
        <v/>
      </c>
      <c r="S420" t="n">
        <v/>
      </c>
      <c r="T420" t="n">
        <v/>
      </c>
      <c r="U420" t="n">
        <v/>
      </c>
      <c r="V420" t="n">
        <v/>
      </c>
      <c r="W420" t="n">
        <v/>
      </c>
      <c r="X420" t="n">
        <v/>
      </c>
      <c r="Y420" t="n">
        <v/>
      </c>
      <c r="Z420" t="n">
        <v/>
      </c>
      <c r="AA420" t="n">
        <v/>
      </c>
      <c r="AB420" t="n">
        <v/>
      </c>
      <c r="AC420" t="n">
        <v/>
      </c>
      <c r="AD420" t="n">
        <v/>
      </c>
      <c r="AE420" t="n">
        <v/>
      </c>
      <c r="AF420" t="n">
        <v/>
      </c>
      <c r="AG420" t="n">
        <v/>
      </c>
      <c r="AH420" t="n">
        <v/>
      </c>
      <c r="AI420" t="n">
        <v/>
      </c>
      <c r="AJ420" t="n">
        <v/>
      </c>
      <c r="AK420" t="n">
        <v/>
      </c>
      <c r="AL420" t="n">
        <v/>
      </c>
      <c r="AM420" t="n">
        <v/>
      </c>
      <c r="AN420" t="n">
        <v/>
      </c>
      <c r="AO420" t="n">
        <v/>
      </c>
      <c r="AP420" t="n">
        <v/>
      </c>
      <c r="AQ420" t="n">
        <v/>
      </c>
      <c r="AR420" t="n">
        <v/>
      </c>
      <c r="AS420" t="n">
        <v/>
      </c>
      <c r="AT420" t="n">
        <v>18.543425042</v>
      </c>
      <c r="AU420" t="n">
        <v/>
      </c>
    </row>
    <row r="421">
      <c r="A421" s="106" t="n">
        <v>19694</v>
      </c>
      <c r="B421" t="n">
        <v/>
      </c>
      <c r="C421" t="n">
        <v/>
      </c>
      <c r="D421" t="n">
        <v/>
      </c>
      <c r="E421" t="n">
        <v/>
      </c>
      <c r="F421" t="n">
        <v/>
      </c>
      <c r="G421" t="n">
        <v/>
      </c>
      <c r="H421" t="n">
        <v/>
      </c>
      <c r="I421" t="n">
        <v/>
      </c>
      <c r="J421" t="n">
        <v/>
      </c>
      <c r="K421" t="n">
        <v/>
      </c>
      <c r="L421" t="n">
        <v/>
      </c>
      <c r="M421" t="n">
        <v/>
      </c>
      <c r="N421" t="n">
        <v/>
      </c>
      <c r="O421" t="n">
        <v/>
      </c>
      <c r="P421" t="n">
        <v/>
      </c>
      <c r="Q421" t="n">
        <v/>
      </c>
      <c r="R421" t="n">
        <v/>
      </c>
      <c r="S421" t="n">
        <v/>
      </c>
      <c r="T421" t="n">
        <v/>
      </c>
      <c r="U421" t="n">
        <v/>
      </c>
      <c r="V421" t="n">
        <v/>
      </c>
      <c r="W421" t="n">
        <v/>
      </c>
      <c r="X421" t="n">
        <v/>
      </c>
      <c r="Y421" t="n">
        <v/>
      </c>
      <c r="Z421" t="n">
        <v/>
      </c>
      <c r="AA421" t="n">
        <v/>
      </c>
      <c r="AB421" t="n">
        <v/>
      </c>
      <c r="AC421" t="n">
        <v/>
      </c>
      <c r="AD421" t="n">
        <v/>
      </c>
      <c r="AE421" t="n">
        <v/>
      </c>
      <c r="AF421" t="n">
        <v/>
      </c>
      <c r="AG421" t="n">
        <v/>
      </c>
      <c r="AH421" t="n">
        <v/>
      </c>
      <c r="AI421" t="n">
        <v/>
      </c>
      <c r="AJ421" t="n">
        <v/>
      </c>
      <c r="AK421" t="n">
        <v/>
      </c>
      <c r="AL421" t="n">
        <v/>
      </c>
      <c r="AM421" t="n">
        <v/>
      </c>
      <c r="AN421" t="n">
        <v/>
      </c>
      <c r="AO421" t="n">
        <v/>
      </c>
      <c r="AP421" t="n">
        <v/>
      </c>
      <c r="AQ421" t="n">
        <v/>
      </c>
      <c r="AR421" t="n">
        <v/>
      </c>
      <c r="AS421" t="n">
        <v/>
      </c>
      <c r="AT421" t="n">
        <v>18.089180143</v>
      </c>
      <c r="AU421" t="n">
        <v/>
      </c>
    </row>
    <row r="422">
      <c r="A422" s="106" t="n">
        <v>19725</v>
      </c>
      <c r="B422" t="n">
        <v/>
      </c>
      <c r="C422" t="n">
        <v/>
      </c>
      <c r="D422" t="n">
        <v/>
      </c>
      <c r="E422" t="n">
        <v/>
      </c>
      <c r="F422" t="n">
        <v/>
      </c>
      <c r="G422" t="n">
        <v/>
      </c>
      <c r="H422" t="n">
        <v/>
      </c>
      <c r="I422" t="n">
        <v/>
      </c>
      <c r="J422" t="n">
        <v/>
      </c>
      <c r="K422" t="n">
        <v/>
      </c>
      <c r="L422" t="n">
        <v/>
      </c>
      <c r="M422" t="n">
        <v/>
      </c>
      <c r="N422" t="n">
        <v/>
      </c>
      <c r="O422" t="n">
        <v/>
      </c>
      <c r="P422" t="n">
        <v/>
      </c>
      <c r="Q422" t="n">
        <v/>
      </c>
      <c r="R422" t="n">
        <v/>
      </c>
      <c r="S422" t="n">
        <v/>
      </c>
      <c r="T422" t="n">
        <v/>
      </c>
      <c r="U422" t="n">
        <v/>
      </c>
      <c r="V422" t="n">
        <v/>
      </c>
      <c r="W422" t="n">
        <v/>
      </c>
      <c r="X422" t="n">
        <v/>
      </c>
      <c r="Y422" t="n">
        <v/>
      </c>
      <c r="Z422" t="n">
        <v/>
      </c>
      <c r="AA422" t="n">
        <v/>
      </c>
      <c r="AB422" t="n">
        <v/>
      </c>
      <c r="AC422" t="n">
        <v/>
      </c>
      <c r="AD422" t="n">
        <v/>
      </c>
      <c r="AE422" t="n">
        <v/>
      </c>
      <c r="AF422" t="n">
        <v/>
      </c>
      <c r="AG422" t="n">
        <v/>
      </c>
      <c r="AH422" t="n">
        <v/>
      </c>
      <c r="AI422" t="n">
        <v/>
      </c>
      <c r="AJ422" t="n">
        <v/>
      </c>
      <c r="AK422" t="n">
        <v/>
      </c>
      <c r="AL422" t="n">
        <v/>
      </c>
      <c r="AM422" t="n">
        <v/>
      </c>
      <c r="AN422" t="n">
        <v/>
      </c>
      <c r="AO422" t="n">
        <v/>
      </c>
      <c r="AP422" t="n">
        <v/>
      </c>
      <c r="AQ422" t="n">
        <v/>
      </c>
      <c r="AR422" t="n">
        <v/>
      </c>
      <c r="AS422" t="n">
        <v/>
      </c>
      <c r="AT422" t="n">
        <v>17.955514541</v>
      </c>
      <c r="AU422" t="n">
        <v/>
      </c>
    </row>
    <row r="423">
      <c r="A423" s="106" t="n">
        <v>19756</v>
      </c>
      <c r="B423" t="n">
        <v/>
      </c>
      <c r="C423" t="n">
        <v/>
      </c>
      <c r="D423" t="n">
        <v/>
      </c>
      <c r="E423" t="n">
        <v/>
      </c>
      <c r="F423" t="n">
        <v/>
      </c>
      <c r="G423" t="n">
        <v/>
      </c>
      <c r="H423" t="n">
        <v/>
      </c>
      <c r="I423" t="n">
        <v/>
      </c>
      <c r="J423" t="n">
        <v/>
      </c>
      <c r="K423" t="n">
        <v/>
      </c>
      <c r="L423" t="n">
        <v/>
      </c>
      <c r="M423" t="n">
        <v/>
      </c>
      <c r="N423" t="n">
        <v/>
      </c>
      <c r="O423" t="n">
        <v/>
      </c>
      <c r="P423" t="n">
        <v/>
      </c>
      <c r="Q423" t="n">
        <v/>
      </c>
      <c r="R423" t="n">
        <v/>
      </c>
      <c r="S423" t="n">
        <v/>
      </c>
      <c r="T423" t="n">
        <v/>
      </c>
      <c r="U423" t="n">
        <v/>
      </c>
      <c r="V423" t="n">
        <v/>
      </c>
      <c r="W423" t="n">
        <v/>
      </c>
      <c r="X423" t="n">
        <v/>
      </c>
      <c r="Y423" t="n">
        <v/>
      </c>
      <c r="Z423" t="n">
        <v/>
      </c>
      <c r="AA423" t="n">
        <v/>
      </c>
      <c r="AB423" t="n">
        <v/>
      </c>
      <c r="AC423" t="n">
        <v/>
      </c>
      <c r="AD423" t="n">
        <v/>
      </c>
      <c r="AE423" t="n">
        <v/>
      </c>
      <c r="AF423" t="n">
        <v/>
      </c>
      <c r="AG423" t="n">
        <v/>
      </c>
      <c r="AH423" t="n">
        <v/>
      </c>
      <c r="AI423" t="n">
        <v/>
      </c>
      <c r="AJ423" t="n">
        <v/>
      </c>
      <c r="AK423" t="n">
        <v/>
      </c>
      <c r="AL423" t="n">
        <v/>
      </c>
      <c r="AM423" t="n">
        <v/>
      </c>
      <c r="AN423" t="n">
        <v/>
      </c>
      <c r="AO423" t="n">
        <v/>
      </c>
      <c r="AP423" t="n">
        <v/>
      </c>
      <c r="AQ423" t="n">
        <v/>
      </c>
      <c r="AR423" t="n">
        <v/>
      </c>
      <c r="AS423" t="n">
        <v/>
      </c>
      <c r="AT423" t="n">
        <v>18.00896095</v>
      </c>
      <c r="AU423" t="n">
        <v/>
      </c>
    </row>
    <row r="424">
      <c r="A424" s="106" t="n">
        <v>19784</v>
      </c>
      <c r="B424" t="n">
        <v/>
      </c>
      <c r="C424" t="n">
        <v/>
      </c>
      <c r="D424" t="n">
        <v/>
      </c>
      <c r="E424" t="n">
        <v/>
      </c>
      <c r="F424" t="n">
        <v/>
      </c>
      <c r="G424" t="n">
        <v/>
      </c>
      <c r="H424" t="n">
        <v/>
      </c>
      <c r="I424" t="n">
        <v/>
      </c>
      <c r="J424" t="n">
        <v/>
      </c>
      <c r="K424" t="n">
        <v/>
      </c>
      <c r="L424" t="n">
        <v/>
      </c>
      <c r="M424" t="n">
        <v/>
      </c>
      <c r="N424" t="n">
        <v/>
      </c>
      <c r="O424" t="n">
        <v/>
      </c>
      <c r="P424" t="n">
        <v/>
      </c>
      <c r="Q424" t="n">
        <v/>
      </c>
      <c r="R424" t="n">
        <v/>
      </c>
      <c r="S424" t="n">
        <v/>
      </c>
      <c r="T424" t="n">
        <v/>
      </c>
      <c r="U424" t="n">
        <v/>
      </c>
      <c r="V424" t="n">
        <v/>
      </c>
      <c r="W424" t="n">
        <v/>
      </c>
      <c r="X424" t="n">
        <v/>
      </c>
      <c r="Y424" t="n">
        <v/>
      </c>
      <c r="Z424" t="n">
        <v/>
      </c>
      <c r="AA424" t="n">
        <v/>
      </c>
      <c r="AB424" t="n">
        <v/>
      </c>
      <c r="AC424" t="n">
        <v/>
      </c>
      <c r="AD424" t="n">
        <v/>
      </c>
      <c r="AE424" t="n">
        <v/>
      </c>
      <c r="AF424" t="n">
        <v/>
      </c>
      <c r="AG424" t="n">
        <v/>
      </c>
      <c r="AH424" t="n">
        <v/>
      </c>
      <c r="AI424" t="n">
        <v/>
      </c>
      <c r="AJ424" t="n">
        <v/>
      </c>
      <c r="AK424" t="n">
        <v/>
      </c>
      <c r="AL424" t="n">
        <v/>
      </c>
      <c r="AM424" t="n">
        <v/>
      </c>
      <c r="AN424" t="n">
        <v/>
      </c>
      <c r="AO424" t="n">
        <v/>
      </c>
      <c r="AP424" t="n">
        <v/>
      </c>
      <c r="AQ424" t="n">
        <v/>
      </c>
      <c r="AR424" t="n">
        <v/>
      </c>
      <c r="AS424" t="n">
        <v/>
      </c>
      <c r="AT424" t="n">
        <v>17.902068131</v>
      </c>
      <c r="AU424" t="n">
        <v/>
      </c>
    </row>
    <row r="425">
      <c r="A425" s="106" t="n">
        <v>19815</v>
      </c>
      <c r="B425" t="n">
        <v/>
      </c>
      <c r="C425" t="n">
        <v/>
      </c>
      <c r="D425" t="n">
        <v/>
      </c>
      <c r="E425" t="n">
        <v/>
      </c>
      <c r="F425" t="n">
        <v/>
      </c>
      <c r="G425" t="n">
        <v/>
      </c>
      <c r="H425" t="n">
        <v/>
      </c>
      <c r="I425" t="n">
        <v/>
      </c>
      <c r="J425" t="n">
        <v/>
      </c>
      <c r="K425" t="n">
        <v/>
      </c>
      <c r="L425" t="n">
        <v/>
      </c>
      <c r="M425" t="n">
        <v/>
      </c>
      <c r="N425" t="n">
        <v/>
      </c>
      <c r="O425" t="n">
        <v/>
      </c>
      <c r="P425" t="n">
        <v/>
      </c>
      <c r="Q425" t="n">
        <v/>
      </c>
      <c r="R425" t="n">
        <v/>
      </c>
      <c r="S425" t="n">
        <v/>
      </c>
      <c r="T425" t="n">
        <v/>
      </c>
      <c r="U425" t="n">
        <v/>
      </c>
      <c r="V425" t="n">
        <v/>
      </c>
      <c r="W425" t="n">
        <v/>
      </c>
      <c r="X425" t="n">
        <v/>
      </c>
      <c r="Y425" t="n">
        <v/>
      </c>
      <c r="Z425" t="n">
        <v/>
      </c>
      <c r="AA425" t="n">
        <v/>
      </c>
      <c r="AB425" t="n">
        <v/>
      </c>
      <c r="AC425" t="n">
        <v/>
      </c>
      <c r="AD425" t="n">
        <v/>
      </c>
      <c r="AE425" t="n">
        <v/>
      </c>
      <c r="AF425" t="n">
        <v/>
      </c>
      <c r="AG425" t="n">
        <v/>
      </c>
      <c r="AH425" t="n">
        <v/>
      </c>
      <c r="AI425" t="n">
        <v/>
      </c>
      <c r="AJ425" t="n">
        <v/>
      </c>
      <c r="AK425" t="n">
        <v/>
      </c>
      <c r="AL425" t="n">
        <v/>
      </c>
      <c r="AM425" t="n">
        <v/>
      </c>
      <c r="AN425" t="n">
        <v/>
      </c>
      <c r="AO425" t="n">
        <v/>
      </c>
      <c r="AP425" t="n">
        <v/>
      </c>
      <c r="AQ425" t="n">
        <v/>
      </c>
      <c r="AR425" t="n">
        <v/>
      </c>
      <c r="AS425" t="n">
        <v/>
      </c>
      <c r="AT425" t="n">
        <v>17.795175313</v>
      </c>
      <c r="AU425" t="n">
        <v/>
      </c>
    </row>
    <row r="426">
      <c r="A426" s="106" t="n">
        <v>19845</v>
      </c>
      <c r="B426" t="n">
        <v/>
      </c>
      <c r="C426" t="n">
        <v/>
      </c>
      <c r="D426" t="n">
        <v/>
      </c>
      <c r="E426" t="n">
        <v/>
      </c>
      <c r="F426" t="n">
        <v/>
      </c>
      <c r="G426" t="n">
        <v/>
      </c>
      <c r="H426" t="n">
        <v/>
      </c>
      <c r="I426" t="n">
        <v/>
      </c>
      <c r="J426" t="n">
        <v/>
      </c>
      <c r="K426" t="n">
        <v/>
      </c>
      <c r="L426" t="n">
        <v/>
      </c>
      <c r="M426" t="n">
        <v/>
      </c>
      <c r="N426" t="n">
        <v/>
      </c>
      <c r="O426" t="n">
        <v/>
      </c>
      <c r="P426" t="n">
        <v/>
      </c>
      <c r="Q426" t="n">
        <v/>
      </c>
      <c r="R426" t="n">
        <v/>
      </c>
      <c r="S426" t="n">
        <v/>
      </c>
      <c r="T426" t="n">
        <v/>
      </c>
      <c r="U426" t="n">
        <v/>
      </c>
      <c r="V426" t="n">
        <v/>
      </c>
      <c r="W426" t="n">
        <v/>
      </c>
      <c r="X426" t="n">
        <v/>
      </c>
      <c r="Y426" t="n">
        <v/>
      </c>
      <c r="Z426" t="n">
        <v/>
      </c>
      <c r="AA426" t="n">
        <v/>
      </c>
      <c r="AB426" t="n">
        <v/>
      </c>
      <c r="AC426" t="n">
        <v/>
      </c>
      <c r="AD426" t="n">
        <v/>
      </c>
      <c r="AE426" t="n">
        <v/>
      </c>
      <c r="AF426" t="n">
        <v/>
      </c>
      <c r="AG426" t="n">
        <v/>
      </c>
      <c r="AH426" t="n">
        <v/>
      </c>
      <c r="AI426" t="n">
        <v/>
      </c>
      <c r="AJ426" t="n">
        <v/>
      </c>
      <c r="AK426" t="n">
        <v/>
      </c>
      <c r="AL426" t="n">
        <v/>
      </c>
      <c r="AM426" t="n">
        <v/>
      </c>
      <c r="AN426" t="n">
        <v/>
      </c>
      <c r="AO426" t="n">
        <v/>
      </c>
      <c r="AP426" t="n">
        <v/>
      </c>
      <c r="AQ426" t="n">
        <v/>
      </c>
      <c r="AR426" t="n">
        <v/>
      </c>
      <c r="AS426" t="n">
        <v/>
      </c>
      <c r="AT426" t="n">
        <v>17.902068131</v>
      </c>
      <c r="AU426" t="n">
        <v/>
      </c>
    </row>
    <row r="427">
      <c r="A427" s="106" t="n">
        <v>19876</v>
      </c>
      <c r="B427" t="n">
        <v/>
      </c>
      <c r="C427" t="n">
        <v/>
      </c>
      <c r="D427" t="n">
        <v/>
      </c>
      <c r="E427" t="n">
        <v/>
      </c>
      <c r="F427" t="n">
        <v/>
      </c>
      <c r="G427" t="n">
        <v/>
      </c>
      <c r="H427" t="n">
        <v/>
      </c>
      <c r="I427" t="n">
        <v/>
      </c>
      <c r="J427" t="n">
        <v/>
      </c>
      <c r="K427" t="n">
        <v/>
      </c>
      <c r="L427" t="n">
        <v/>
      </c>
      <c r="M427" t="n">
        <v/>
      </c>
      <c r="N427" t="n">
        <v/>
      </c>
      <c r="O427" t="n">
        <v/>
      </c>
      <c r="P427" t="n">
        <v/>
      </c>
      <c r="Q427" t="n">
        <v/>
      </c>
      <c r="R427" t="n">
        <v/>
      </c>
      <c r="S427" t="n">
        <v/>
      </c>
      <c r="T427" t="n">
        <v/>
      </c>
      <c r="U427" t="n">
        <v/>
      </c>
      <c r="V427" t="n">
        <v/>
      </c>
      <c r="W427" t="n">
        <v/>
      </c>
      <c r="X427" t="n">
        <v/>
      </c>
      <c r="Y427" t="n">
        <v/>
      </c>
      <c r="Z427" t="n">
        <v/>
      </c>
      <c r="AA427" t="n">
        <v/>
      </c>
      <c r="AB427" t="n">
        <v/>
      </c>
      <c r="AC427" t="n">
        <v/>
      </c>
      <c r="AD427" t="n">
        <v/>
      </c>
      <c r="AE427" t="n">
        <v/>
      </c>
      <c r="AF427" t="n">
        <v/>
      </c>
      <c r="AG427" t="n">
        <v/>
      </c>
      <c r="AH427" t="n">
        <v/>
      </c>
      <c r="AI427" t="n">
        <v/>
      </c>
      <c r="AJ427" t="n">
        <v/>
      </c>
      <c r="AK427" t="n">
        <v/>
      </c>
      <c r="AL427" t="n">
        <v/>
      </c>
      <c r="AM427" t="n">
        <v/>
      </c>
      <c r="AN427" t="n">
        <v/>
      </c>
      <c r="AO427" t="n">
        <v/>
      </c>
      <c r="AP427" t="n">
        <v/>
      </c>
      <c r="AQ427" t="n">
        <v/>
      </c>
      <c r="AR427" t="n">
        <v/>
      </c>
      <c r="AS427" t="n">
        <v/>
      </c>
      <c r="AT427" t="n">
        <v>17.955514541</v>
      </c>
      <c r="AU427" t="n">
        <v/>
      </c>
    </row>
    <row r="428">
      <c r="A428" s="106" t="n">
        <v>19906</v>
      </c>
      <c r="B428" t="n">
        <v/>
      </c>
      <c r="C428" t="n">
        <v/>
      </c>
      <c r="D428" t="n">
        <v/>
      </c>
      <c r="E428" t="n">
        <v/>
      </c>
      <c r="F428" t="n">
        <v/>
      </c>
      <c r="G428" t="n">
        <v/>
      </c>
      <c r="H428" t="n">
        <v/>
      </c>
      <c r="I428" t="n">
        <v/>
      </c>
      <c r="J428" t="n">
        <v/>
      </c>
      <c r="K428" t="n">
        <v/>
      </c>
      <c r="L428" t="n">
        <v/>
      </c>
      <c r="M428" t="n">
        <v/>
      </c>
      <c r="N428" t="n">
        <v/>
      </c>
      <c r="O428" t="n">
        <v/>
      </c>
      <c r="P428" t="n">
        <v/>
      </c>
      <c r="Q428" t="n">
        <v/>
      </c>
      <c r="R428" t="n">
        <v/>
      </c>
      <c r="S428" t="n">
        <v/>
      </c>
      <c r="T428" t="n">
        <v/>
      </c>
      <c r="U428" t="n">
        <v/>
      </c>
      <c r="V428" t="n">
        <v/>
      </c>
      <c r="W428" t="n">
        <v/>
      </c>
      <c r="X428" t="n">
        <v/>
      </c>
      <c r="Y428" t="n">
        <v/>
      </c>
      <c r="Z428" t="n">
        <v/>
      </c>
      <c r="AA428" t="n">
        <v/>
      </c>
      <c r="AB428" t="n">
        <v/>
      </c>
      <c r="AC428" t="n">
        <v/>
      </c>
      <c r="AD428" t="n">
        <v/>
      </c>
      <c r="AE428" t="n">
        <v/>
      </c>
      <c r="AF428" t="n">
        <v/>
      </c>
      <c r="AG428" t="n">
        <v/>
      </c>
      <c r="AH428" t="n">
        <v/>
      </c>
      <c r="AI428" t="n">
        <v/>
      </c>
      <c r="AJ428" t="n">
        <v/>
      </c>
      <c r="AK428" t="n">
        <v/>
      </c>
      <c r="AL428" t="n">
        <v/>
      </c>
      <c r="AM428" t="n">
        <v/>
      </c>
      <c r="AN428" t="n">
        <v/>
      </c>
      <c r="AO428" t="n">
        <v/>
      </c>
      <c r="AP428" t="n">
        <v/>
      </c>
      <c r="AQ428" t="n">
        <v/>
      </c>
      <c r="AR428" t="n">
        <v/>
      </c>
      <c r="AS428" t="n">
        <v/>
      </c>
      <c r="AT428" t="n">
        <v>17.982287325</v>
      </c>
      <c r="AU428" t="n">
        <v/>
      </c>
    </row>
    <row r="429">
      <c r="A429" s="106" t="n">
        <v>19937</v>
      </c>
      <c r="B429" t="n">
        <v/>
      </c>
      <c r="C429" t="n">
        <v/>
      </c>
      <c r="D429" t="n">
        <v/>
      </c>
      <c r="E429" t="n">
        <v/>
      </c>
      <c r="F429" t="n">
        <v/>
      </c>
      <c r="G429" t="n">
        <v/>
      </c>
      <c r="H429" t="n">
        <v/>
      </c>
      <c r="I429" t="n">
        <v/>
      </c>
      <c r="J429" t="n">
        <v/>
      </c>
      <c r="K429" t="n">
        <v/>
      </c>
      <c r="L429" t="n">
        <v/>
      </c>
      <c r="M429" t="n">
        <v/>
      </c>
      <c r="N429" t="n">
        <v/>
      </c>
      <c r="O429" t="n">
        <v/>
      </c>
      <c r="P429" t="n">
        <v/>
      </c>
      <c r="Q429" t="n">
        <v/>
      </c>
      <c r="R429" t="n">
        <v/>
      </c>
      <c r="S429" t="n">
        <v/>
      </c>
      <c r="T429" t="n">
        <v/>
      </c>
      <c r="U429" t="n">
        <v/>
      </c>
      <c r="V429" t="n">
        <v/>
      </c>
      <c r="W429" t="n">
        <v/>
      </c>
      <c r="X429" t="n">
        <v/>
      </c>
      <c r="Y429" t="n">
        <v/>
      </c>
      <c r="Z429" t="n">
        <v/>
      </c>
      <c r="AA429" t="n">
        <v/>
      </c>
      <c r="AB429" t="n">
        <v/>
      </c>
      <c r="AC429" t="n">
        <v/>
      </c>
      <c r="AD429" t="n">
        <v/>
      </c>
      <c r="AE429" t="n">
        <v/>
      </c>
      <c r="AF429" t="n">
        <v/>
      </c>
      <c r="AG429" t="n">
        <v/>
      </c>
      <c r="AH429" t="n">
        <v/>
      </c>
      <c r="AI429" t="n">
        <v/>
      </c>
      <c r="AJ429" t="n">
        <v/>
      </c>
      <c r="AK429" t="n">
        <v/>
      </c>
      <c r="AL429" t="n">
        <v/>
      </c>
      <c r="AM429" t="n">
        <v/>
      </c>
      <c r="AN429" t="n">
        <v/>
      </c>
      <c r="AO429" t="n">
        <v/>
      </c>
      <c r="AP429" t="n">
        <v/>
      </c>
      <c r="AQ429" t="n">
        <v/>
      </c>
      <c r="AR429" t="n">
        <v/>
      </c>
      <c r="AS429" t="n">
        <v/>
      </c>
      <c r="AT429" t="n">
        <v>17.955514541</v>
      </c>
      <c r="AU429" t="n">
        <v/>
      </c>
    </row>
    <row r="430">
      <c r="A430" s="106" t="n">
        <v>19968</v>
      </c>
      <c r="B430" t="n">
        <v/>
      </c>
      <c r="C430" t="n">
        <v/>
      </c>
      <c r="D430" t="n">
        <v/>
      </c>
      <c r="E430" t="n">
        <v/>
      </c>
      <c r="F430" t="n">
        <v/>
      </c>
      <c r="G430" t="n">
        <v/>
      </c>
      <c r="H430" t="n">
        <v/>
      </c>
      <c r="I430" t="n">
        <v/>
      </c>
      <c r="J430" t="n">
        <v/>
      </c>
      <c r="K430" t="n">
        <v/>
      </c>
      <c r="L430" t="n">
        <v/>
      </c>
      <c r="M430" t="n">
        <v/>
      </c>
      <c r="N430" t="n">
        <v/>
      </c>
      <c r="O430" t="n">
        <v/>
      </c>
      <c r="P430" t="n">
        <v/>
      </c>
      <c r="Q430" t="n">
        <v/>
      </c>
      <c r="R430" t="n">
        <v/>
      </c>
      <c r="S430" t="n">
        <v/>
      </c>
      <c r="T430" t="n">
        <v/>
      </c>
      <c r="U430" t="n">
        <v/>
      </c>
      <c r="V430" t="n">
        <v/>
      </c>
      <c r="W430" t="n">
        <v/>
      </c>
      <c r="X430" t="n">
        <v/>
      </c>
      <c r="Y430" t="n">
        <v/>
      </c>
      <c r="Z430" t="n">
        <v/>
      </c>
      <c r="AA430" t="n">
        <v/>
      </c>
      <c r="AB430" t="n">
        <v/>
      </c>
      <c r="AC430" t="n">
        <v/>
      </c>
      <c r="AD430" t="n">
        <v/>
      </c>
      <c r="AE430" t="n">
        <v/>
      </c>
      <c r="AF430" t="n">
        <v/>
      </c>
      <c r="AG430" t="n">
        <v/>
      </c>
      <c r="AH430" t="n">
        <v/>
      </c>
      <c r="AI430" t="n">
        <v/>
      </c>
      <c r="AJ430" t="n">
        <v/>
      </c>
      <c r="AK430" t="n">
        <v/>
      </c>
      <c r="AL430" t="n">
        <v/>
      </c>
      <c r="AM430" t="n">
        <v/>
      </c>
      <c r="AN430" t="n">
        <v/>
      </c>
      <c r="AO430" t="n">
        <v/>
      </c>
      <c r="AP430" t="n">
        <v/>
      </c>
      <c r="AQ430" t="n">
        <v/>
      </c>
      <c r="AR430" t="n">
        <v/>
      </c>
      <c r="AS430" t="n">
        <v/>
      </c>
      <c r="AT430" t="n">
        <v>17.982287325</v>
      </c>
      <c r="AU430" t="n">
        <v/>
      </c>
    </row>
    <row r="431">
      <c r="A431" s="106" t="n">
        <v>19998</v>
      </c>
      <c r="B431" t="n">
        <v/>
      </c>
      <c r="C431" t="n">
        <v/>
      </c>
      <c r="D431" t="n">
        <v/>
      </c>
      <c r="E431" t="n">
        <v/>
      </c>
      <c r="F431" t="n">
        <v/>
      </c>
      <c r="G431" t="n">
        <v/>
      </c>
      <c r="H431" t="n">
        <v/>
      </c>
      <c r="I431" t="n">
        <v/>
      </c>
      <c r="J431" t="n">
        <v/>
      </c>
      <c r="K431" t="n">
        <v/>
      </c>
      <c r="L431" t="n">
        <v/>
      </c>
      <c r="M431" t="n">
        <v/>
      </c>
      <c r="N431" t="n">
        <v/>
      </c>
      <c r="O431" t="n">
        <v/>
      </c>
      <c r="P431" t="n">
        <v/>
      </c>
      <c r="Q431" t="n">
        <v/>
      </c>
      <c r="R431" t="n">
        <v/>
      </c>
      <c r="S431" t="n">
        <v/>
      </c>
      <c r="T431" t="n">
        <v/>
      </c>
      <c r="U431" t="n">
        <v/>
      </c>
      <c r="V431" t="n">
        <v/>
      </c>
      <c r="W431" t="n">
        <v/>
      </c>
      <c r="X431" t="n">
        <v/>
      </c>
      <c r="Y431" t="n">
        <v/>
      </c>
      <c r="Z431" t="n">
        <v/>
      </c>
      <c r="AA431" t="n">
        <v/>
      </c>
      <c r="AB431" t="n">
        <v/>
      </c>
      <c r="AC431" t="n">
        <v/>
      </c>
      <c r="AD431" t="n">
        <v/>
      </c>
      <c r="AE431" t="n">
        <v/>
      </c>
      <c r="AF431" t="n">
        <v/>
      </c>
      <c r="AG431" t="n">
        <v/>
      </c>
      <c r="AH431" t="n">
        <v/>
      </c>
      <c r="AI431" t="n">
        <v/>
      </c>
      <c r="AJ431" t="n">
        <v/>
      </c>
      <c r="AK431" t="n">
        <v/>
      </c>
      <c r="AL431" t="n">
        <v/>
      </c>
      <c r="AM431" t="n">
        <v/>
      </c>
      <c r="AN431" t="n">
        <v/>
      </c>
      <c r="AO431" t="n">
        <v/>
      </c>
      <c r="AP431" t="n">
        <v/>
      </c>
      <c r="AQ431" t="n">
        <v/>
      </c>
      <c r="AR431" t="n">
        <v/>
      </c>
      <c r="AS431" t="n">
        <v/>
      </c>
      <c r="AT431" t="n">
        <v>18.196072961</v>
      </c>
      <c r="AU431" t="n">
        <v/>
      </c>
    </row>
    <row r="432">
      <c r="A432" s="106" t="n">
        <v>20029</v>
      </c>
      <c r="B432" t="n">
        <v/>
      </c>
      <c r="C432" t="n">
        <v/>
      </c>
      <c r="D432" t="n">
        <v/>
      </c>
      <c r="E432" t="n">
        <v/>
      </c>
      <c r="F432" t="n">
        <v/>
      </c>
      <c r="G432" t="n">
        <v/>
      </c>
      <c r="H432" t="n">
        <v/>
      </c>
      <c r="I432" t="n">
        <v/>
      </c>
      <c r="J432" t="n">
        <v/>
      </c>
      <c r="K432" t="n">
        <v/>
      </c>
      <c r="L432" t="n">
        <v/>
      </c>
      <c r="M432" t="n">
        <v/>
      </c>
      <c r="N432" t="n">
        <v/>
      </c>
      <c r="O432" t="n">
        <v/>
      </c>
      <c r="P432" t="n">
        <v/>
      </c>
      <c r="Q432" t="n">
        <v/>
      </c>
      <c r="R432" t="n">
        <v/>
      </c>
      <c r="S432" t="n">
        <v/>
      </c>
      <c r="T432" t="n">
        <v/>
      </c>
      <c r="U432" t="n">
        <v/>
      </c>
      <c r="V432" t="n">
        <v/>
      </c>
      <c r="W432" t="n">
        <v/>
      </c>
      <c r="X432" t="n">
        <v/>
      </c>
      <c r="Y432" t="n">
        <v/>
      </c>
      <c r="Z432" t="n">
        <v/>
      </c>
      <c r="AA432" t="n">
        <v/>
      </c>
      <c r="AB432" t="n">
        <v/>
      </c>
      <c r="AC432" t="n">
        <v/>
      </c>
      <c r="AD432" t="n">
        <v/>
      </c>
      <c r="AE432" t="n">
        <v/>
      </c>
      <c r="AF432" t="n">
        <v/>
      </c>
      <c r="AG432" t="n">
        <v/>
      </c>
      <c r="AH432" t="n">
        <v/>
      </c>
      <c r="AI432" t="n">
        <v/>
      </c>
      <c r="AJ432" t="n">
        <v/>
      </c>
      <c r="AK432" t="n">
        <v/>
      </c>
      <c r="AL432" t="n">
        <v/>
      </c>
      <c r="AM432" t="n">
        <v/>
      </c>
      <c r="AN432" t="n">
        <v/>
      </c>
      <c r="AO432" t="n">
        <v/>
      </c>
      <c r="AP432" t="n">
        <v/>
      </c>
      <c r="AQ432" t="n">
        <v/>
      </c>
      <c r="AR432" t="n">
        <v/>
      </c>
      <c r="AS432" t="n">
        <v/>
      </c>
      <c r="AT432" t="n">
        <v>18.489978633</v>
      </c>
      <c r="AU432" t="n">
        <v/>
      </c>
    </row>
    <row r="433">
      <c r="A433" s="106" t="n">
        <v>20059</v>
      </c>
      <c r="B433" t="n">
        <v/>
      </c>
      <c r="C433" t="n">
        <v/>
      </c>
      <c r="D433" t="n">
        <v/>
      </c>
      <c r="E433" t="n">
        <v/>
      </c>
      <c r="F433" t="n">
        <v/>
      </c>
      <c r="G433" t="n">
        <v/>
      </c>
      <c r="H433" t="n">
        <v/>
      </c>
      <c r="I433" t="n">
        <v/>
      </c>
      <c r="J433" t="n">
        <v/>
      </c>
      <c r="K433" t="n">
        <v/>
      </c>
      <c r="L433" t="n">
        <v/>
      </c>
      <c r="M433" t="n">
        <v/>
      </c>
      <c r="N433" t="n">
        <v/>
      </c>
      <c r="O433" t="n">
        <v/>
      </c>
      <c r="P433" t="n">
        <v/>
      </c>
      <c r="Q433" t="n">
        <v/>
      </c>
      <c r="R433" t="n">
        <v/>
      </c>
      <c r="S433" t="n">
        <v/>
      </c>
      <c r="T433" t="n">
        <v/>
      </c>
      <c r="U433" t="n">
        <v/>
      </c>
      <c r="V433" t="n">
        <v/>
      </c>
      <c r="W433" t="n">
        <v/>
      </c>
      <c r="X433" t="n">
        <v/>
      </c>
      <c r="Y433" t="n">
        <v/>
      </c>
      <c r="Z433" t="n">
        <v/>
      </c>
      <c r="AA433" t="n">
        <v/>
      </c>
      <c r="AB433" t="n">
        <v/>
      </c>
      <c r="AC433" t="n">
        <v/>
      </c>
      <c r="AD433" t="n">
        <v/>
      </c>
      <c r="AE433" t="n">
        <v/>
      </c>
      <c r="AF433" t="n">
        <v/>
      </c>
      <c r="AG433" t="n">
        <v/>
      </c>
      <c r="AH433" t="n">
        <v/>
      </c>
      <c r="AI433" t="n">
        <v/>
      </c>
      <c r="AJ433" t="n">
        <v/>
      </c>
      <c r="AK433" t="n">
        <v/>
      </c>
      <c r="AL433" t="n">
        <v/>
      </c>
      <c r="AM433" t="n">
        <v/>
      </c>
      <c r="AN433" t="n">
        <v/>
      </c>
      <c r="AO433" t="n">
        <v/>
      </c>
      <c r="AP433" t="n">
        <v/>
      </c>
      <c r="AQ433" t="n">
        <v/>
      </c>
      <c r="AR433" t="n">
        <v/>
      </c>
      <c r="AS433" t="n">
        <v/>
      </c>
      <c r="AT433" t="n">
        <v>18.730437895</v>
      </c>
      <c r="AU433" t="n">
        <v/>
      </c>
    </row>
    <row r="434">
      <c r="A434" s="106" t="n">
        <v>20090</v>
      </c>
      <c r="B434" t="n">
        <v>10.764648671</v>
      </c>
      <c r="C434" t="n">
        <v>21.493118767</v>
      </c>
      <c r="D434" t="n">
        <v/>
      </c>
      <c r="E434" t="n">
        <v/>
      </c>
      <c r="F434" t="n">
        <v/>
      </c>
      <c r="G434" t="n">
        <v/>
      </c>
      <c r="H434" t="n">
        <v/>
      </c>
      <c r="I434" t="n">
        <v>10.764648671</v>
      </c>
      <c r="J434" t="n">
        <v/>
      </c>
      <c r="K434" t="n">
        <v/>
      </c>
      <c r="L434" t="n">
        <v/>
      </c>
      <c r="M434" t="n">
        <v/>
      </c>
      <c r="N434" t="n">
        <v/>
      </c>
      <c r="O434" t="n">
        <v/>
      </c>
      <c r="P434" t="n">
        <v/>
      </c>
      <c r="Q434" t="n">
        <v/>
      </c>
      <c r="R434" t="n">
        <v/>
      </c>
      <c r="S434" t="n">
        <v/>
      </c>
      <c r="T434" t="n">
        <v/>
      </c>
      <c r="U434" t="n">
        <v/>
      </c>
      <c r="V434" t="n">
        <v/>
      </c>
      <c r="W434" t="n">
        <v/>
      </c>
      <c r="X434" t="n">
        <v/>
      </c>
      <c r="Y434" t="n">
        <v/>
      </c>
      <c r="Z434" t="n">
        <v/>
      </c>
      <c r="AA434" t="n">
        <v/>
      </c>
      <c r="AB434" t="n">
        <v/>
      </c>
      <c r="AC434" t="n">
        <v>21.752094977</v>
      </c>
      <c r="AD434" t="n">
        <v>5.889027831</v>
      </c>
      <c r="AE434" t="n">
        <v/>
      </c>
      <c r="AF434" t="n">
        <v>32.262266726</v>
      </c>
      <c r="AG434" t="n">
        <v/>
      </c>
      <c r="AH434" t="n">
        <v/>
      </c>
      <c r="AI434" t="n">
        <v/>
      </c>
      <c r="AJ434" t="n">
        <v>16.31304868</v>
      </c>
      <c r="AK434" t="n">
        <v/>
      </c>
      <c r="AL434" t="n">
        <v/>
      </c>
      <c r="AM434" t="n">
        <v/>
      </c>
      <c r="AN434" t="n">
        <v>14.602895027</v>
      </c>
      <c r="AO434" t="n">
        <v/>
      </c>
      <c r="AP434" t="n">
        <v/>
      </c>
      <c r="AQ434" t="n">
        <v/>
      </c>
      <c r="AR434" t="n">
        <v/>
      </c>
      <c r="AS434" t="n">
        <v/>
      </c>
      <c r="AT434" t="n">
        <v>19.157910011</v>
      </c>
      <c r="AU434" t="n">
        <v/>
      </c>
    </row>
    <row r="435">
      <c r="A435" s="106" t="n">
        <v>20121</v>
      </c>
      <c r="B435" t="n">
        <v>10.776323982</v>
      </c>
      <c r="C435" t="n">
        <v>22.215790338</v>
      </c>
      <c r="D435" t="n">
        <v/>
      </c>
      <c r="E435" t="n">
        <v/>
      </c>
      <c r="F435" t="n">
        <v/>
      </c>
      <c r="G435" t="n">
        <v/>
      </c>
      <c r="H435" t="n">
        <v/>
      </c>
      <c r="I435" t="n">
        <v>10.776323982</v>
      </c>
      <c r="J435" t="n">
        <v/>
      </c>
      <c r="K435" t="n">
        <v/>
      </c>
      <c r="L435" t="n">
        <v/>
      </c>
      <c r="M435" t="n">
        <v/>
      </c>
      <c r="N435" t="n">
        <v/>
      </c>
      <c r="O435" t="n">
        <v/>
      </c>
      <c r="P435" t="n">
        <v/>
      </c>
      <c r="Q435" t="n">
        <v/>
      </c>
      <c r="R435" t="n">
        <v/>
      </c>
      <c r="S435" t="n">
        <v/>
      </c>
      <c r="T435" t="n">
        <v/>
      </c>
      <c r="U435" t="n">
        <v/>
      </c>
      <c r="V435" t="n">
        <v/>
      </c>
      <c r="W435" t="n">
        <v/>
      </c>
      <c r="X435" t="n">
        <v/>
      </c>
      <c r="Y435" t="n">
        <v/>
      </c>
      <c r="Z435" t="n">
        <v/>
      </c>
      <c r="AA435" t="n">
        <v/>
      </c>
      <c r="AB435" t="n">
        <v/>
      </c>
      <c r="AC435" t="n">
        <v>21.961249743</v>
      </c>
      <c r="AD435" t="n">
        <v>5.9731568</v>
      </c>
      <c r="AE435" t="n">
        <v/>
      </c>
      <c r="AF435" t="n">
        <v>34.53498525</v>
      </c>
      <c r="AG435" t="n">
        <v/>
      </c>
      <c r="AH435" t="n">
        <v/>
      </c>
      <c r="AI435" t="n">
        <v/>
      </c>
      <c r="AJ435" t="n">
        <v>16.51896374</v>
      </c>
      <c r="AK435" t="n">
        <v/>
      </c>
      <c r="AL435" t="n">
        <v/>
      </c>
      <c r="AM435" t="n">
        <v/>
      </c>
      <c r="AN435" t="n">
        <v>14.907758965</v>
      </c>
      <c r="AO435" t="n">
        <v/>
      </c>
      <c r="AP435" t="n">
        <v/>
      </c>
      <c r="AQ435" t="n">
        <v/>
      </c>
      <c r="AR435" t="n">
        <v/>
      </c>
      <c r="AS435" t="n">
        <v/>
      </c>
      <c r="AT435" t="n">
        <v>19.398369273</v>
      </c>
      <c r="AU435" t="n">
        <v/>
      </c>
    </row>
    <row r="436">
      <c r="A436" s="106" t="n">
        <v>20149</v>
      </c>
      <c r="B436" t="n">
        <v>10.753499102</v>
      </c>
      <c r="C436" t="n">
        <v>23.060045122</v>
      </c>
      <c r="D436" t="n">
        <v/>
      </c>
      <c r="E436" t="n">
        <v/>
      </c>
      <c r="F436" t="n">
        <v/>
      </c>
      <c r="G436" t="n">
        <v/>
      </c>
      <c r="H436" t="n">
        <v/>
      </c>
      <c r="I436" t="n">
        <v>10.753499102</v>
      </c>
      <c r="J436" t="n">
        <v/>
      </c>
      <c r="K436" t="n">
        <v/>
      </c>
      <c r="L436" t="n">
        <v/>
      </c>
      <c r="M436" t="n">
        <v/>
      </c>
      <c r="N436" t="n">
        <v/>
      </c>
      <c r="O436" t="n">
        <v/>
      </c>
      <c r="P436" t="n">
        <v/>
      </c>
      <c r="Q436" t="n">
        <v/>
      </c>
      <c r="R436" t="n">
        <v/>
      </c>
      <c r="S436" t="n">
        <v/>
      </c>
      <c r="T436" t="n">
        <v/>
      </c>
      <c r="U436" t="n">
        <v/>
      </c>
      <c r="V436" t="n">
        <v/>
      </c>
      <c r="W436" t="n">
        <v/>
      </c>
      <c r="X436" t="n">
        <v/>
      </c>
      <c r="Y436" t="n">
        <v/>
      </c>
      <c r="Z436" t="n">
        <v/>
      </c>
      <c r="AA436" t="n">
        <v/>
      </c>
      <c r="AB436" t="n">
        <v/>
      </c>
      <c r="AC436" t="n">
        <v>22.284488913</v>
      </c>
      <c r="AD436" t="n">
        <v>6.057285769</v>
      </c>
      <c r="AE436" t="n">
        <v/>
      </c>
      <c r="AF436" t="n">
        <v>32.30234635</v>
      </c>
      <c r="AG436" t="n">
        <v/>
      </c>
      <c r="AH436" t="n">
        <v/>
      </c>
      <c r="AI436" t="n">
        <v/>
      </c>
      <c r="AJ436" t="n">
        <v>16.999432215</v>
      </c>
      <c r="AK436" t="n">
        <v/>
      </c>
      <c r="AL436" t="n">
        <v/>
      </c>
      <c r="AM436" t="n">
        <v/>
      </c>
      <c r="AN436" t="n">
        <v>15.76611404</v>
      </c>
      <c r="AO436" t="n">
        <v/>
      </c>
      <c r="AP436" t="n">
        <v/>
      </c>
      <c r="AQ436" t="n">
        <v/>
      </c>
      <c r="AR436" t="n">
        <v/>
      </c>
      <c r="AS436" t="n">
        <v/>
      </c>
      <c r="AT436" t="n">
        <v>19.852614172</v>
      </c>
      <c r="AU436" t="n">
        <v/>
      </c>
    </row>
    <row r="437">
      <c r="A437" s="106" t="n">
        <v>20180</v>
      </c>
      <c r="B437" t="n">
        <v>11.018299098</v>
      </c>
      <c r="C437" t="n">
        <v>22.268759666</v>
      </c>
      <c r="D437" t="n">
        <v/>
      </c>
      <c r="E437" t="n">
        <v/>
      </c>
      <c r="F437" t="n">
        <v/>
      </c>
      <c r="G437" t="n">
        <v/>
      </c>
      <c r="H437" t="n">
        <v/>
      </c>
      <c r="I437" t="n">
        <v>11.018299098</v>
      </c>
      <c r="J437" t="n">
        <v/>
      </c>
      <c r="K437" t="n">
        <v/>
      </c>
      <c r="L437" t="n">
        <v/>
      </c>
      <c r="M437" t="n">
        <v/>
      </c>
      <c r="N437" t="n">
        <v/>
      </c>
      <c r="O437" t="n">
        <v/>
      </c>
      <c r="P437" t="n">
        <v/>
      </c>
      <c r="Q437" t="n">
        <v/>
      </c>
      <c r="R437" t="n">
        <v/>
      </c>
      <c r="S437" t="n">
        <v/>
      </c>
      <c r="T437" t="n">
        <v/>
      </c>
      <c r="U437" t="n">
        <v/>
      </c>
      <c r="V437" t="n">
        <v/>
      </c>
      <c r="W437" t="n">
        <v/>
      </c>
      <c r="X437" t="n">
        <v/>
      </c>
      <c r="Y437" t="n">
        <v/>
      </c>
      <c r="Z437" t="n">
        <v/>
      </c>
      <c r="AA437" t="n">
        <v/>
      </c>
      <c r="AB437" t="n">
        <v/>
      </c>
      <c r="AC437" t="n">
        <v>22.13237636</v>
      </c>
      <c r="AD437" t="n">
        <v>6.057285769</v>
      </c>
      <c r="AE437" t="n">
        <v/>
      </c>
      <c r="AF437" t="n">
        <v>31.013827474</v>
      </c>
      <c r="AG437" t="n">
        <v/>
      </c>
      <c r="AH437" t="n">
        <v/>
      </c>
      <c r="AI437" t="n">
        <v/>
      </c>
      <c r="AJ437" t="n">
        <v>16.061374717</v>
      </c>
      <c r="AK437" t="n">
        <v/>
      </c>
      <c r="AL437" t="n">
        <v/>
      </c>
      <c r="AM437" t="n">
        <v/>
      </c>
      <c r="AN437" t="n">
        <v>15.816315142</v>
      </c>
      <c r="AO437" t="n">
        <v/>
      </c>
      <c r="AP437" t="n">
        <v/>
      </c>
      <c r="AQ437" t="n">
        <v/>
      </c>
      <c r="AR437" t="n">
        <v/>
      </c>
      <c r="AS437" t="n">
        <v/>
      </c>
      <c r="AT437" t="n">
        <v>20.093073435</v>
      </c>
      <c r="AU437" t="n">
        <v/>
      </c>
    </row>
    <row r="438">
      <c r="A438" s="106" t="n">
        <v>20210</v>
      </c>
      <c r="B438" t="n">
        <v>10.886401121</v>
      </c>
      <c r="C438" t="n">
        <v>22.328691591</v>
      </c>
      <c r="D438" t="n">
        <v/>
      </c>
      <c r="E438" t="n">
        <v/>
      </c>
      <c r="F438" t="n">
        <v/>
      </c>
      <c r="G438" t="n">
        <v/>
      </c>
      <c r="H438" t="n">
        <v/>
      </c>
      <c r="I438" t="n">
        <v>10.886401121</v>
      </c>
      <c r="J438" t="n">
        <v/>
      </c>
      <c r="K438" t="n">
        <v/>
      </c>
      <c r="L438" t="n">
        <v/>
      </c>
      <c r="M438" t="n">
        <v/>
      </c>
      <c r="N438" t="n">
        <v/>
      </c>
      <c r="O438" t="n">
        <v/>
      </c>
      <c r="P438" t="n">
        <v/>
      </c>
      <c r="Q438" t="n">
        <v/>
      </c>
      <c r="R438" t="n">
        <v/>
      </c>
      <c r="S438" t="n">
        <v/>
      </c>
      <c r="T438" t="n">
        <v/>
      </c>
      <c r="U438" t="n">
        <v/>
      </c>
      <c r="V438" t="n">
        <v/>
      </c>
      <c r="W438" t="n">
        <v/>
      </c>
      <c r="X438" t="n">
        <v/>
      </c>
      <c r="Y438" t="n">
        <v/>
      </c>
      <c r="Z438" t="n">
        <v/>
      </c>
      <c r="AA438" t="n">
        <v/>
      </c>
      <c r="AB438" t="n">
        <v/>
      </c>
      <c r="AC438" t="n">
        <v>22.36054519</v>
      </c>
      <c r="AD438" t="n">
        <v>6.057285769</v>
      </c>
      <c r="AE438" t="n">
        <v/>
      </c>
      <c r="AF438" t="n">
        <v>32.147484862</v>
      </c>
      <c r="AG438" t="n">
        <v/>
      </c>
      <c r="AH438" t="n">
        <v/>
      </c>
      <c r="AI438" t="n">
        <v/>
      </c>
      <c r="AJ438" t="n">
        <v>16.90791441</v>
      </c>
      <c r="AK438" t="n">
        <v/>
      </c>
      <c r="AL438" t="n">
        <v/>
      </c>
      <c r="AM438" t="n">
        <v/>
      </c>
      <c r="AN438" t="n">
        <v>15.951311881</v>
      </c>
      <c r="AO438" t="n">
        <v/>
      </c>
      <c r="AP438" t="n">
        <v/>
      </c>
      <c r="AQ438" t="n">
        <v/>
      </c>
      <c r="AR438" t="n">
        <v/>
      </c>
      <c r="AS438" t="n">
        <v/>
      </c>
      <c r="AT438" t="n">
        <v>20.41375189</v>
      </c>
      <c r="AU438" t="n">
        <v/>
      </c>
    </row>
    <row r="439">
      <c r="A439" s="106" t="n">
        <v>20241</v>
      </c>
      <c r="B439" t="n">
        <v>11.119771</v>
      </c>
      <c r="C439" t="n">
        <v>23.31648849</v>
      </c>
      <c r="D439" t="n">
        <v/>
      </c>
      <c r="E439" t="n">
        <v/>
      </c>
      <c r="F439" t="n">
        <v/>
      </c>
      <c r="G439" t="n">
        <v/>
      </c>
      <c r="H439" t="n">
        <v/>
      </c>
      <c r="I439" t="n">
        <v>11.119771</v>
      </c>
      <c r="J439" t="n">
        <v/>
      </c>
      <c r="K439" t="n">
        <v/>
      </c>
      <c r="L439" t="n">
        <v/>
      </c>
      <c r="M439" t="n">
        <v/>
      </c>
      <c r="N439" t="n">
        <v/>
      </c>
      <c r="O439" t="n">
        <v/>
      </c>
      <c r="P439" t="n">
        <v/>
      </c>
      <c r="Q439" t="n">
        <v/>
      </c>
      <c r="R439" t="n">
        <v/>
      </c>
      <c r="S439" t="n">
        <v/>
      </c>
      <c r="T439" t="n">
        <v/>
      </c>
      <c r="U439" t="n">
        <v/>
      </c>
      <c r="V439" t="n">
        <v/>
      </c>
      <c r="W439" t="n">
        <v/>
      </c>
      <c r="X439" t="n">
        <v/>
      </c>
      <c r="Y439" t="n">
        <v/>
      </c>
      <c r="Z439" t="n">
        <v/>
      </c>
      <c r="AA439" t="n">
        <v/>
      </c>
      <c r="AB439" t="n">
        <v/>
      </c>
      <c r="AC439" t="n">
        <v>22.930967265</v>
      </c>
      <c r="AD439" t="n">
        <v>6.057285769</v>
      </c>
      <c r="AE439" t="n">
        <v/>
      </c>
      <c r="AF439" t="n">
        <v>33.508062824</v>
      </c>
      <c r="AG439" t="n">
        <v/>
      </c>
      <c r="AH439" t="n">
        <v/>
      </c>
      <c r="AI439" t="n">
        <v/>
      </c>
      <c r="AJ439" t="n">
        <v>17.090950019</v>
      </c>
      <c r="AK439" t="n">
        <v/>
      </c>
      <c r="AL439" t="n">
        <v/>
      </c>
      <c r="AM439" t="n">
        <v/>
      </c>
      <c r="AN439" t="n">
        <v>15.439832708</v>
      </c>
      <c r="AO439" t="n">
        <v/>
      </c>
      <c r="AP439" t="n">
        <v/>
      </c>
      <c r="AQ439" t="n">
        <v/>
      </c>
      <c r="AR439" t="n">
        <v/>
      </c>
      <c r="AS439" t="n">
        <v/>
      </c>
      <c r="AT439" t="n">
        <v>20.440425515</v>
      </c>
      <c r="AU439" t="n">
        <v/>
      </c>
    </row>
    <row r="440">
      <c r="A440" s="106" t="n">
        <v>20271</v>
      </c>
      <c r="B440" t="n">
        <v>11.242270507</v>
      </c>
      <c r="C440" t="n">
        <v>20.546239206</v>
      </c>
      <c r="D440" t="n">
        <v/>
      </c>
      <c r="E440" t="n">
        <v/>
      </c>
      <c r="F440" t="n">
        <v/>
      </c>
      <c r="G440" t="n">
        <v/>
      </c>
      <c r="H440" t="n">
        <v/>
      </c>
      <c r="I440" t="n">
        <v>11.242270507</v>
      </c>
      <c r="J440" t="n">
        <v/>
      </c>
      <c r="K440" t="n">
        <v/>
      </c>
      <c r="L440" t="n">
        <v/>
      </c>
      <c r="M440" t="n">
        <v/>
      </c>
      <c r="N440" t="n">
        <v/>
      </c>
      <c r="O440" t="n">
        <v/>
      </c>
      <c r="P440" t="n">
        <v/>
      </c>
      <c r="Q440" t="n">
        <v/>
      </c>
      <c r="R440" t="n">
        <v/>
      </c>
      <c r="S440" t="n">
        <v/>
      </c>
      <c r="T440" t="n">
        <v/>
      </c>
      <c r="U440" t="n">
        <v/>
      </c>
      <c r="V440" t="n">
        <v/>
      </c>
      <c r="W440" t="n">
        <v/>
      </c>
      <c r="X440" t="n">
        <v/>
      </c>
      <c r="Y440" t="n">
        <v/>
      </c>
      <c r="Z440" t="n">
        <v/>
      </c>
      <c r="AA440" t="n">
        <v/>
      </c>
      <c r="AB440" t="n">
        <v/>
      </c>
      <c r="AC440" t="n">
        <v>22.949981328</v>
      </c>
      <c r="AD440" t="n">
        <v>6.225543707</v>
      </c>
      <c r="AE440" t="n">
        <v/>
      </c>
      <c r="AF440" t="n">
        <v>33.704073153</v>
      </c>
      <c r="AG440" t="n">
        <v/>
      </c>
      <c r="AH440" t="n">
        <v/>
      </c>
      <c r="AI440" t="n">
        <v/>
      </c>
      <c r="AJ440" t="n">
        <v>16.244410326</v>
      </c>
      <c r="AK440" t="n">
        <v/>
      </c>
      <c r="AL440" t="n">
        <v/>
      </c>
      <c r="AM440" t="n">
        <v/>
      </c>
      <c r="AN440" t="n">
        <v>16.320441773</v>
      </c>
      <c r="AO440" t="n">
        <v/>
      </c>
      <c r="AP440" t="n">
        <v/>
      </c>
      <c r="AQ440" t="n">
        <v/>
      </c>
      <c r="AR440" t="n">
        <v/>
      </c>
      <c r="AS440" t="n">
        <v/>
      </c>
      <c r="AT440" t="n">
        <v>20.600764743</v>
      </c>
      <c r="AU440" t="n">
        <v/>
      </c>
    </row>
    <row r="441">
      <c r="A441" s="106" t="n">
        <v>20302</v>
      </c>
      <c r="B441" t="n">
        <v>11.304229288</v>
      </c>
      <c r="C441" t="n">
        <v>23.642449675</v>
      </c>
      <c r="D441" t="n">
        <v/>
      </c>
      <c r="E441" t="n">
        <v/>
      </c>
      <c r="F441" t="n">
        <v/>
      </c>
      <c r="G441" t="n">
        <v/>
      </c>
      <c r="H441" t="n">
        <v/>
      </c>
      <c r="I441" t="n">
        <v>11.304229288</v>
      </c>
      <c r="J441" t="n">
        <v/>
      </c>
      <c r="K441" t="n">
        <v/>
      </c>
      <c r="L441" t="n">
        <v/>
      </c>
      <c r="M441" t="n">
        <v/>
      </c>
      <c r="N441" t="n">
        <v/>
      </c>
      <c r="O441" t="n">
        <v/>
      </c>
      <c r="P441" t="n">
        <v/>
      </c>
      <c r="Q441" t="n">
        <v/>
      </c>
      <c r="R441" t="n">
        <v/>
      </c>
      <c r="S441" t="n">
        <v/>
      </c>
      <c r="T441" t="n">
        <v/>
      </c>
      <c r="U441" t="n">
        <v/>
      </c>
      <c r="V441" t="n">
        <v/>
      </c>
      <c r="W441" t="n">
        <v/>
      </c>
      <c r="X441" t="n">
        <v/>
      </c>
      <c r="Y441" t="n">
        <v/>
      </c>
      <c r="Z441" t="n">
        <v/>
      </c>
      <c r="AA441" t="n">
        <v/>
      </c>
      <c r="AB441" t="n">
        <v/>
      </c>
      <c r="AC441" t="n">
        <v>22.81688285</v>
      </c>
      <c r="AD441" t="n">
        <v>6.393801645</v>
      </c>
      <c r="AE441" t="n">
        <v/>
      </c>
      <c r="AF441" t="n">
        <v>34.718397038</v>
      </c>
      <c r="AG441" t="n">
        <v/>
      </c>
      <c r="AH441" t="n">
        <v/>
      </c>
      <c r="AI441" t="n">
        <v/>
      </c>
      <c r="AJ441" t="n">
        <v>16.90791441</v>
      </c>
      <c r="AK441" t="n">
        <v/>
      </c>
      <c r="AL441" t="n">
        <v/>
      </c>
      <c r="AM441" t="n">
        <v/>
      </c>
      <c r="AN441" t="n">
        <v>15.677198804</v>
      </c>
      <c r="AO441" t="n">
        <v/>
      </c>
      <c r="AP441" t="n">
        <v/>
      </c>
      <c r="AQ441" t="n">
        <v/>
      </c>
      <c r="AR441" t="n">
        <v/>
      </c>
      <c r="AS441" t="n">
        <v/>
      </c>
      <c r="AT441" t="n">
        <v>20.574091118</v>
      </c>
      <c r="AU441" t="n">
        <v/>
      </c>
    </row>
    <row r="442">
      <c r="A442" s="106" t="n">
        <v>20333</v>
      </c>
      <c r="B442" t="n">
        <v>11.413026168</v>
      </c>
      <c r="C442" t="n">
        <v>23.821375457</v>
      </c>
      <c r="D442" t="n">
        <v/>
      </c>
      <c r="E442" t="n">
        <v/>
      </c>
      <c r="F442" t="n">
        <v/>
      </c>
      <c r="G442" t="n">
        <v/>
      </c>
      <c r="H442" t="n">
        <v/>
      </c>
      <c r="I442" t="n">
        <v>11.413026168</v>
      </c>
      <c r="J442" t="n">
        <v/>
      </c>
      <c r="K442" t="n">
        <v/>
      </c>
      <c r="L442" t="n">
        <v/>
      </c>
      <c r="M442" t="n">
        <v/>
      </c>
      <c r="N442" t="n">
        <v/>
      </c>
      <c r="O442" t="n">
        <v/>
      </c>
      <c r="P442" t="n">
        <v/>
      </c>
      <c r="Q442" t="n">
        <v/>
      </c>
      <c r="R442" t="n">
        <v/>
      </c>
      <c r="S442" t="n">
        <v/>
      </c>
      <c r="T442" t="n">
        <v/>
      </c>
      <c r="U442" t="n">
        <v/>
      </c>
      <c r="V442" t="n">
        <v/>
      </c>
      <c r="W442" t="n">
        <v/>
      </c>
      <c r="X442" t="n">
        <v/>
      </c>
      <c r="Y442" t="n">
        <v/>
      </c>
      <c r="Z442" t="n">
        <v/>
      </c>
      <c r="AA442" t="n">
        <v/>
      </c>
      <c r="AB442" t="n">
        <v/>
      </c>
      <c r="AC442" t="n">
        <v>22.91195319</v>
      </c>
      <c r="AD442" t="n">
        <v>6.562059583</v>
      </c>
      <c r="AE442" t="n">
        <v/>
      </c>
      <c r="AF442" t="n">
        <v>35.002987015</v>
      </c>
      <c r="AG442" t="n">
        <v/>
      </c>
      <c r="AH442" t="n">
        <v/>
      </c>
      <c r="AI442" t="n">
        <v/>
      </c>
      <c r="AJ442" t="n">
        <v>17.228226726</v>
      </c>
      <c r="AK442" t="n">
        <v/>
      </c>
      <c r="AL442" t="n">
        <v/>
      </c>
      <c r="AM442" t="n">
        <v/>
      </c>
      <c r="AN442" t="n">
        <v>16.840932476</v>
      </c>
      <c r="AO442" t="n">
        <v/>
      </c>
      <c r="AP442" t="n">
        <v/>
      </c>
      <c r="AQ442" t="n">
        <v/>
      </c>
      <c r="AR442" t="n">
        <v/>
      </c>
      <c r="AS442" t="n">
        <v/>
      </c>
      <c r="AT442" t="n">
        <v>20.707657562</v>
      </c>
      <c r="AU442" t="n">
        <v/>
      </c>
    </row>
    <row r="443">
      <c r="A443" s="106" t="n">
        <v>20363</v>
      </c>
      <c r="B443" t="n">
        <v>11.387955361</v>
      </c>
      <c r="C443" t="n">
        <v>23.798731071</v>
      </c>
      <c r="D443" t="n">
        <v/>
      </c>
      <c r="E443" t="n">
        <v/>
      </c>
      <c r="F443" t="n">
        <v/>
      </c>
      <c r="G443" t="n">
        <v/>
      </c>
      <c r="H443" t="n">
        <v/>
      </c>
      <c r="I443" t="n">
        <v>11.387955361</v>
      </c>
      <c r="J443" t="n">
        <v/>
      </c>
      <c r="K443" t="n">
        <v/>
      </c>
      <c r="L443" t="n">
        <v/>
      </c>
      <c r="M443" t="n">
        <v/>
      </c>
      <c r="N443" t="n">
        <v/>
      </c>
      <c r="O443" t="n">
        <v/>
      </c>
      <c r="P443" t="n">
        <v/>
      </c>
      <c r="Q443" t="n">
        <v/>
      </c>
      <c r="R443" t="n">
        <v/>
      </c>
      <c r="S443" t="n">
        <v/>
      </c>
      <c r="T443" t="n">
        <v/>
      </c>
      <c r="U443" t="n">
        <v/>
      </c>
      <c r="V443" t="n">
        <v/>
      </c>
      <c r="W443" t="n">
        <v/>
      </c>
      <c r="X443" t="n">
        <v/>
      </c>
      <c r="Y443" t="n">
        <v/>
      </c>
      <c r="Z443" t="n">
        <v/>
      </c>
      <c r="AA443" t="n">
        <v/>
      </c>
      <c r="AB443" t="n">
        <v/>
      </c>
      <c r="AC443" t="n">
        <v>22.949981328</v>
      </c>
      <c r="AD443" t="n">
        <v>6.562059583</v>
      </c>
      <c r="AE443" t="n">
        <v/>
      </c>
      <c r="AF443" t="n">
        <v>35.051313797</v>
      </c>
      <c r="AG443" t="n">
        <v/>
      </c>
      <c r="AH443" t="n">
        <v/>
      </c>
      <c r="AI443" t="n">
        <v/>
      </c>
      <c r="AJ443" t="n">
        <v>17.090950019</v>
      </c>
      <c r="AK443" t="n">
        <v/>
      </c>
      <c r="AL443" t="n">
        <v/>
      </c>
      <c r="AM443" t="n">
        <v/>
      </c>
      <c r="AN443" t="n">
        <v>14.751347118</v>
      </c>
      <c r="AO443" t="n">
        <v/>
      </c>
      <c r="AP443" t="n">
        <v/>
      </c>
      <c r="AQ443" t="n">
        <v/>
      </c>
      <c r="AR443" t="n">
        <v/>
      </c>
      <c r="AS443" t="n">
        <v/>
      </c>
      <c r="AT443" t="n">
        <v>21.055009642</v>
      </c>
      <c r="AU443" t="n">
        <v/>
      </c>
    </row>
    <row r="444">
      <c r="A444" s="106" t="n">
        <v>20394</v>
      </c>
      <c r="B444" t="n">
        <v>11.62751035</v>
      </c>
      <c r="C444" t="n">
        <v>23.265396809</v>
      </c>
      <c r="D444" t="n">
        <v/>
      </c>
      <c r="E444" t="n">
        <v/>
      </c>
      <c r="F444" t="n">
        <v/>
      </c>
      <c r="G444" t="n">
        <v/>
      </c>
      <c r="H444" t="n">
        <v/>
      </c>
      <c r="I444" t="n">
        <v>11.62751035</v>
      </c>
      <c r="J444" t="n">
        <v/>
      </c>
      <c r="K444" t="n">
        <v/>
      </c>
      <c r="L444" t="n">
        <v/>
      </c>
      <c r="M444" t="n">
        <v/>
      </c>
      <c r="N444" t="n">
        <v/>
      </c>
      <c r="O444" t="n">
        <v/>
      </c>
      <c r="P444" t="n">
        <v/>
      </c>
      <c r="Q444" t="n">
        <v/>
      </c>
      <c r="R444" t="n">
        <v/>
      </c>
      <c r="S444" t="n">
        <v/>
      </c>
      <c r="T444" t="n">
        <v/>
      </c>
      <c r="U444" t="n">
        <v/>
      </c>
      <c r="V444" t="n">
        <v/>
      </c>
      <c r="W444" t="n">
        <v/>
      </c>
      <c r="X444" t="n">
        <v/>
      </c>
      <c r="Y444" t="n">
        <v/>
      </c>
      <c r="Z444" t="n">
        <v/>
      </c>
      <c r="AA444" t="n">
        <v/>
      </c>
      <c r="AB444" t="n">
        <v/>
      </c>
      <c r="AC444" t="n">
        <v>23.178150158</v>
      </c>
      <c r="AD444" t="n">
        <v>6.646188552</v>
      </c>
      <c r="AE444" t="n">
        <v/>
      </c>
      <c r="AF444" t="n">
        <v>35.069022802</v>
      </c>
      <c r="AG444" t="n">
        <v/>
      </c>
      <c r="AH444" t="n">
        <v/>
      </c>
      <c r="AI444" t="n">
        <v/>
      </c>
      <c r="AJ444" t="n">
        <v>17.434141787</v>
      </c>
      <c r="AK444" t="n">
        <v/>
      </c>
      <c r="AL444" t="n">
        <v/>
      </c>
      <c r="AM444" t="n">
        <v/>
      </c>
      <c r="AN444" t="n">
        <v>15.952324305</v>
      </c>
      <c r="AO444" t="n">
        <v/>
      </c>
      <c r="AP444" t="n">
        <v/>
      </c>
      <c r="AQ444" t="n">
        <v/>
      </c>
      <c r="AR444" t="n">
        <v/>
      </c>
      <c r="AS444" t="n">
        <v/>
      </c>
      <c r="AT444" t="n">
        <v>21.108456052</v>
      </c>
      <c r="AU444" t="n">
        <v/>
      </c>
    </row>
    <row r="445">
      <c r="A445" s="106" t="n">
        <v>20424</v>
      </c>
      <c r="B445" t="n">
        <v>11.912548851</v>
      </c>
      <c r="C445" t="n">
        <v>24.591894167</v>
      </c>
      <c r="D445" t="n">
        <v/>
      </c>
      <c r="E445" t="n">
        <v/>
      </c>
      <c r="F445" t="n">
        <v/>
      </c>
      <c r="G445" t="n">
        <v/>
      </c>
      <c r="H445" t="n">
        <v/>
      </c>
      <c r="I445" t="n">
        <v>11.912548851</v>
      </c>
      <c r="J445" t="n">
        <v/>
      </c>
      <c r="K445" t="n">
        <v/>
      </c>
      <c r="L445" t="n">
        <v/>
      </c>
      <c r="M445" t="n">
        <v/>
      </c>
      <c r="N445" t="n">
        <v/>
      </c>
      <c r="O445" t="n">
        <v/>
      </c>
      <c r="P445" t="n">
        <v/>
      </c>
      <c r="Q445" t="n">
        <v/>
      </c>
      <c r="R445" t="n">
        <v/>
      </c>
      <c r="S445" t="n">
        <v/>
      </c>
      <c r="T445" t="n">
        <v/>
      </c>
      <c r="U445" t="n">
        <v/>
      </c>
      <c r="V445" t="n">
        <v/>
      </c>
      <c r="W445" t="n">
        <v/>
      </c>
      <c r="X445" t="n">
        <v/>
      </c>
      <c r="Y445" t="n">
        <v/>
      </c>
      <c r="Z445" t="n">
        <v/>
      </c>
      <c r="AA445" t="n">
        <v/>
      </c>
      <c r="AB445" t="n">
        <v/>
      </c>
      <c r="AC445" t="n">
        <v>23.083079818</v>
      </c>
      <c r="AD445" t="n">
        <v>6.81444649</v>
      </c>
      <c r="AE445" t="n">
        <v/>
      </c>
      <c r="AF445" t="n">
        <v>34.770739769</v>
      </c>
      <c r="AG445" t="n">
        <v/>
      </c>
      <c r="AH445" t="n">
        <v/>
      </c>
      <c r="AI445" t="n">
        <v/>
      </c>
      <c r="AJ445" t="n">
        <v>17.319744531</v>
      </c>
      <c r="AK445" t="n">
        <v/>
      </c>
      <c r="AL445" t="n">
        <v/>
      </c>
      <c r="AM445" t="n">
        <v/>
      </c>
      <c r="AN445" t="n">
        <v>17.821146761</v>
      </c>
      <c r="AO445" t="n">
        <v/>
      </c>
      <c r="AP445" t="n">
        <v/>
      </c>
      <c r="AQ445" t="n">
        <v/>
      </c>
      <c r="AR445" t="n">
        <v/>
      </c>
      <c r="AS445" t="n">
        <v/>
      </c>
      <c r="AT445" t="n">
        <v>21.188576086</v>
      </c>
      <c r="AU445" t="n">
        <v/>
      </c>
    </row>
    <row r="446">
      <c r="A446" s="106" t="n">
        <v>20455</v>
      </c>
      <c r="B446" t="n">
        <v>11.498729345</v>
      </c>
      <c r="C446" t="n">
        <v>24.488573966</v>
      </c>
      <c r="D446" t="n">
        <v/>
      </c>
      <c r="E446" t="n">
        <v/>
      </c>
      <c r="F446" t="n">
        <v/>
      </c>
      <c r="G446" t="n">
        <v/>
      </c>
      <c r="H446" t="n">
        <v/>
      </c>
      <c r="I446" t="n">
        <v>11.498729345</v>
      </c>
      <c r="J446" t="n">
        <v/>
      </c>
      <c r="K446" t="n">
        <v/>
      </c>
      <c r="L446" t="n">
        <v/>
      </c>
      <c r="M446" t="n">
        <v/>
      </c>
      <c r="N446" t="n">
        <v/>
      </c>
      <c r="O446" t="n">
        <v/>
      </c>
      <c r="P446" t="n">
        <v/>
      </c>
      <c r="Q446" t="n">
        <v/>
      </c>
      <c r="R446" t="n">
        <v>27.469519995</v>
      </c>
      <c r="S446" t="n">
        <v/>
      </c>
      <c r="T446" t="n">
        <v/>
      </c>
      <c r="U446" t="n">
        <v/>
      </c>
      <c r="V446" t="n">
        <v/>
      </c>
      <c r="W446" t="n">
        <v/>
      </c>
      <c r="X446" t="n">
        <v/>
      </c>
      <c r="Y446" t="n">
        <v/>
      </c>
      <c r="Z446" t="n">
        <v/>
      </c>
      <c r="AA446" t="n">
        <v/>
      </c>
      <c r="AB446" t="n">
        <v/>
      </c>
      <c r="AC446" t="n">
        <v>23.273220499</v>
      </c>
      <c r="AD446" t="n">
        <v>6.982704429</v>
      </c>
      <c r="AE446" t="n">
        <v/>
      </c>
      <c r="AF446" t="n">
        <v>34.56254961</v>
      </c>
      <c r="AG446" t="n">
        <v/>
      </c>
      <c r="AH446" t="n">
        <v/>
      </c>
      <c r="AI446" t="n">
        <v>18.569197309</v>
      </c>
      <c r="AJ446" t="n">
        <v>17.594297945</v>
      </c>
      <c r="AK446" t="n">
        <v/>
      </c>
      <c r="AL446" t="n">
        <v/>
      </c>
      <c r="AM446" t="n">
        <v/>
      </c>
      <c r="AN446" t="n">
        <v>16.172106322</v>
      </c>
      <c r="AO446" t="n">
        <v/>
      </c>
      <c r="AP446" t="n">
        <v/>
      </c>
      <c r="AQ446" t="n">
        <v/>
      </c>
      <c r="AR446" t="n">
        <v/>
      </c>
      <c r="AS446" t="n">
        <v/>
      </c>
      <c r="AT446" t="n">
        <v>21.322241688</v>
      </c>
      <c r="AU446" t="n">
        <v/>
      </c>
    </row>
    <row r="447">
      <c r="A447" s="106" t="n">
        <v>20486</v>
      </c>
      <c r="B447" t="n">
        <v>11.617234351</v>
      </c>
      <c r="C447" t="n">
        <v>24.002137736</v>
      </c>
      <c r="D447" t="n">
        <v/>
      </c>
      <c r="E447" t="n">
        <v/>
      </c>
      <c r="F447" t="n">
        <v/>
      </c>
      <c r="G447" t="n">
        <v/>
      </c>
      <c r="H447" t="n">
        <v/>
      </c>
      <c r="I447" t="n">
        <v>11.617234351</v>
      </c>
      <c r="J447" t="n">
        <v/>
      </c>
      <c r="K447" t="n">
        <v/>
      </c>
      <c r="L447" t="n">
        <v/>
      </c>
      <c r="M447" t="n">
        <v/>
      </c>
      <c r="N447" t="n">
        <v/>
      </c>
      <c r="O447" t="n">
        <v/>
      </c>
      <c r="P447" t="n">
        <v/>
      </c>
      <c r="Q447" t="n">
        <v/>
      </c>
      <c r="R447" t="n">
        <v>26.939987073</v>
      </c>
      <c r="S447" t="n">
        <v/>
      </c>
      <c r="T447" t="n">
        <v/>
      </c>
      <c r="U447" t="n">
        <v/>
      </c>
      <c r="V447" t="n">
        <v/>
      </c>
      <c r="W447" t="n">
        <v/>
      </c>
      <c r="X447" t="n">
        <v/>
      </c>
      <c r="Y447" t="n">
        <v/>
      </c>
      <c r="Z447" t="n">
        <v/>
      </c>
      <c r="AA447" t="n">
        <v/>
      </c>
      <c r="AB447" t="n">
        <v/>
      </c>
      <c r="AC447" t="n">
        <v>22.531671807</v>
      </c>
      <c r="AD447" t="n">
        <v>7.150962367</v>
      </c>
      <c r="AE447" t="n">
        <v/>
      </c>
      <c r="AF447" t="n">
        <v>34.555118243</v>
      </c>
      <c r="AG447" t="n">
        <v/>
      </c>
      <c r="AH447" t="n">
        <v/>
      </c>
      <c r="AI447" t="n">
        <v>17.997837391</v>
      </c>
      <c r="AJ447" t="n">
        <v>17.319744531</v>
      </c>
      <c r="AK447" t="n">
        <v/>
      </c>
      <c r="AL447" t="n">
        <v/>
      </c>
      <c r="AM447" t="n">
        <v/>
      </c>
      <c r="AN447" t="n">
        <v>17.010211975</v>
      </c>
      <c r="AO447" t="n">
        <v/>
      </c>
      <c r="AP447" t="n">
        <v/>
      </c>
      <c r="AQ447" t="n">
        <v/>
      </c>
      <c r="AR447" t="n">
        <v/>
      </c>
      <c r="AS447" t="n">
        <v/>
      </c>
      <c r="AT447" t="n">
        <v>21.135129677</v>
      </c>
      <c r="AU447" t="n">
        <v/>
      </c>
    </row>
    <row r="448">
      <c r="A448" s="106" t="n">
        <v>20515</v>
      </c>
      <c r="B448" t="n">
        <v>11.495889999</v>
      </c>
      <c r="C448" t="n">
        <v>25.025768838</v>
      </c>
      <c r="D448" t="n">
        <v/>
      </c>
      <c r="E448" t="n">
        <v/>
      </c>
      <c r="F448" t="n">
        <v/>
      </c>
      <c r="G448" t="n">
        <v/>
      </c>
      <c r="H448" t="n">
        <v/>
      </c>
      <c r="I448" t="n">
        <v>11.495889999</v>
      </c>
      <c r="J448" t="n">
        <v/>
      </c>
      <c r="K448" t="n">
        <v/>
      </c>
      <c r="L448" t="n">
        <v/>
      </c>
      <c r="M448" t="n">
        <v/>
      </c>
      <c r="N448" t="n">
        <v/>
      </c>
      <c r="O448" t="n">
        <v/>
      </c>
      <c r="P448" t="n">
        <v/>
      </c>
      <c r="Q448" t="n">
        <v/>
      </c>
      <c r="R448" t="n">
        <v>27.866669679</v>
      </c>
      <c r="S448" t="n">
        <v/>
      </c>
      <c r="T448" t="n">
        <v/>
      </c>
      <c r="U448" t="n">
        <v/>
      </c>
      <c r="V448" t="n">
        <v/>
      </c>
      <c r="W448" t="n">
        <v/>
      </c>
      <c r="X448" t="n">
        <v/>
      </c>
      <c r="Y448" t="n">
        <v/>
      </c>
      <c r="Z448" t="n">
        <v/>
      </c>
      <c r="AA448" t="n">
        <v/>
      </c>
      <c r="AB448" t="n">
        <v/>
      </c>
      <c r="AC448" t="n">
        <v>23.539417467</v>
      </c>
      <c r="AD448" t="n">
        <v>6.982704429</v>
      </c>
      <c r="AE448" t="n">
        <v/>
      </c>
      <c r="AF448" t="n">
        <v>35.2026046</v>
      </c>
      <c r="AG448" t="n">
        <v/>
      </c>
      <c r="AH448" t="n">
        <v/>
      </c>
      <c r="AI448" t="n">
        <v>18.854877267</v>
      </c>
      <c r="AJ448" t="n">
        <v>17.022311666</v>
      </c>
      <c r="AK448" t="n">
        <v/>
      </c>
      <c r="AL448" t="n">
        <v/>
      </c>
      <c r="AM448" t="n">
        <v/>
      </c>
      <c r="AN448" t="n">
        <v>16.908354795</v>
      </c>
      <c r="AO448" t="n">
        <v/>
      </c>
      <c r="AP448" t="n">
        <v/>
      </c>
      <c r="AQ448" t="n">
        <v/>
      </c>
      <c r="AR448" t="n">
        <v/>
      </c>
      <c r="AS448" t="n">
        <v/>
      </c>
      <c r="AT448" t="n">
        <v>21.135129677</v>
      </c>
      <c r="AU448" t="n">
        <v/>
      </c>
    </row>
    <row r="449">
      <c r="A449" s="106" t="n">
        <v>20546</v>
      </c>
      <c r="B449" t="n">
        <v>11.553010672</v>
      </c>
      <c r="C449" t="n">
        <v>22.759124645</v>
      </c>
      <c r="D449" t="n">
        <v/>
      </c>
      <c r="E449" t="n">
        <v/>
      </c>
      <c r="F449" t="n">
        <v/>
      </c>
      <c r="G449" t="n">
        <v/>
      </c>
      <c r="H449" t="n">
        <v/>
      </c>
      <c r="I449" t="n">
        <v>11.553010672</v>
      </c>
      <c r="J449" t="n">
        <v/>
      </c>
      <c r="K449" t="n">
        <v/>
      </c>
      <c r="L449" t="n">
        <v/>
      </c>
      <c r="M449" t="n">
        <v/>
      </c>
      <c r="N449" t="n">
        <v/>
      </c>
      <c r="O449" t="n">
        <v/>
      </c>
      <c r="P449" t="n">
        <v/>
      </c>
      <c r="Q449" t="n">
        <v/>
      </c>
      <c r="R449" t="n">
        <v>28.296915169</v>
      </c>
      <c r="S449" t="n">
        <v/>
      </c>
      <c r="T449" t="n">
        <v/>
      </c>
      <c r="U449" t="n">
        <v/>
      </c>
      <c r="V449" t="n">
        <v/>
      </c>
      <c r="W449" t="n">
        <v/>
      </c>
      <c r="X449" t="n">
        <v/>
      </c>
      <c r="Y449" t="n">
        <v/>
      </c>
      <c r="Z449" t="n">
        <v/>
      </c>
      <c r="AA449" t="n">
        <v/>
      </c>
      <c r="AB449" t="n">
        <v/>
      </c>
      <c r="AC449" t="n">
        <v>24.223923957</v>
      </c>
      <c r="AD449" t="n">
        <v>7.235091336</v>
      </c>
      <c r="AE449" t="n">
        <v/>
      </c>
      <c r="AF449" t="n">
        <v>35.763445846</v>
      </c>
      <c r="AG449" t="n">
        <v/>
      </c>
      <c r="AH449" t="n">
        <v/>
      </c>
      <c r="AI449" t="n">
        <v>19.140557226</v>
      </c>
      <c r="AJ449" t="n">
        <v>17.937489712</v>
      </c>
      <c r="AK449" t="n">
        <v/>
      </c>
      <c r="AL449" t="n">
        <v/>
      </c>
      <c r="AM449" t="n">
        <v/>
      </c>
      <c r="AN449" t="n">
        <v>16.4401328</v>
      </c>
      <c r="AO449" t="n">
        <v/>
      </c>
      <c r="AP449" t="n">
        <v/>
      </c>
      <c r="AQ449" t="n">
        <v/>
      </c>
      <c r="AR449" t="n">
        <v/>
      </c>
      <c r="AS449" t="n">
        <v/>
      </c>
      <c r="AT449" t="n">
        <v>21.295468905</v>
      </c>
      <c r="AU449" t="n">
        <v/>
      </c>
    </row>
    <row r="450">
      <c r="A450" s="106" t="n">
        <v>20576</v>
      </c>
      <c r="B450" t="n">
        <v>11.630160861</v>
      </c>
      <c r="C450" t="n">
        <v>24.78076016</v>
      </c>
      <c r="D450" t="n">
        <v/>
      </c>
      <c r="E450" t="n">
        <v/>
      </c>
      <c r="F450" t="n">
        <v/>
      </c>
      <c r="G450" t="n">
        <v/>
      </c>
      <c r="H450" t="n">
        <v/>
      </c>
      <c r="I450" t="n">
        <v>11.630160861</v>
      </c>
      <c r="J450" t="n">
        <v/>
      </c>
      <c r="K450" t="n">
        <v/>
      </c>
      <c r="L450" t="n">
        <v/>
      </c>
      <c r="M450" t="n">
        <v/>
      </c>
      <c r="N450" t="n">
        <v/>
      </c>
      <c r="O450" t="n">
        <v/>
      </c>
      <c r="P450" t="n">
        <v/>
      </c>
      <c r="Q450" t="n">
        <v/>
      </c>
      <c r="R450" t="n">
        <v>28.760256472</v>
      </c>
      <c r="S450" t="n">
        <v/>
      </c>
      <c r="T450" t="n">
        <v/>
      </c>
      <c r="U450" t="n">
        <v/>
      </c>
      <c r="V450" t="n">
        <v/>
      </c>
      <c r="W450" t="n">
        <v/>
      </c>
      <c r="X450" t="n">
        <v/>
      </c>
      <c r="Y450" t="n">
        <v/>
      </c>
      <c r="Z450" t="n">
        <v/>
      </c>
      <c r="AA450" t="n">
        <v/>
      </c>
      <c r="AB450" t="n">
        <v/>
      </c>
      <c r="AC450" t="n">
        <v>24.47110685</v>
      </c>
      <c r="AD450" t="n">
        <v>7.403349274</v>
      </c>
      <c r="AE450" t="n">
        <v/>
      </c>
      <c r="AF450" t="n">
        <v>36.287084721</v>
      </c>
      <c r="AG450" t="n">
        <v/>
      </c>
      <c r="AH450" t="n">
        <v/>
      </c>
      <c r="AI450" t="n">
        <v>19.426237184</v>
      </c>
      <c r="AJ450" t="n">
        <v>17.182467824</v>
      </c>
      <c r="AK450" t="n">
        <v/>
      </c>
      <c r="AL450" t="n">
        <v/>
      </c>
      <c r="AM450" t="n">
        <v/>
      </c>
      <c r="AN450" t="n">
        <v>16.668424057</v>
      </c>
      <c r="AO450" t="n">
        <v/>
      </c>
      <c r="AP450" t="n">
        <v/>
      </c>
      <c r="AQ450" t="n">
        <v/>
      </c>
      <c r="AR450" t="n">
        <v/>
      </c>
      <c r="AS450" t="n">
        <v/>
      </c>
      <c r="AT450" t="n">
        <v>21.108456052</v>
      </c>
      <c r="AU450" t="n">
        <v/>
      </c>
    </row>
    <row r="451">
      <c r="A451" s="106" t="n">
        <v>20607</v>
      </c>
      <c r="B451" t="n">
        <v>11.636481681</v>
      </c>
      <c r="C451" t="n">
        <v>25.027439048</v>
      </c>
      <c r="D451" t="n">
        <v/>
      </c>
      <c r="E451" t="n">
        <v/>
      </c>
      <c r="F451" t="n">
        <v/>
      </c>
      <c r="G451" t="n">
        <v/>
      </c>
      <c r="H451" t="n">
        <v/>
      </c>
      <c r="I451" t="n">
        <v>11.636481681</v>
      </c>
      <c r="J451" t="n">
        <v/>
      </c>
      <c r="K451" t="n">
        <v/>
      </c>
      <c r="L451" t="n">
        <v/>
      </c>
      <c r="M451" t="n">
        <v/>
      </c>
      <c r="N451" t="n">
        <v/>
      </c>
      <c r="O451" t="n">
        <v/>
      </c>
      <c r="P451" t="n">
        <v/>
      </c>
      <c r="Q451" t="n">
        <v/>
      </c>
      <c r="R451" t="n">
        <v>28.8926397</v>
      </c>
      <c r="S451" t="n">
        <v/>
      </c>
      <c r="T451" t="n">
        <v/>
      </c>
      <c r="U451" t="n">
        <v/>
      </c>
      <c r="V451" t="n">
        <v/>
      </c>
      <c r="W451" t="n">
        <v/>
      </c>
      <c r="X451" t="n">
        <v/>
      </c>
      <c r="Y451" t="n">
        <v/>
      </c>
      <c r="Z451" t="n">
        <v/>
      </c>
      <c r="AA451" t="n">
        <v/>
      </c>
      <c r="AB451" t="n">
        <v/>
      </c>
      <c r="AC451" t="n">
        <v>24.509134989</v>
      </c>
      <c r="AD451" t="n">
        <v>7.571607212</v>
      </c>
      <c r="AE451" t="n">
        <v/>
      </c>
      <c r="AF451" t="n">
        <v>36.016438484</v>
      </c>
      <c r="AG451" t="n">
        <v/>
      </c>
      <c r="AH451" t="n">
        <v/>
      </c>
      <c r="AI451" t="n">
        <v>19.711917143</v>
      </c>
      <c r="AJ451" t="n">
        <v>17.800213005</v>
      </c>
      <c r="AK451" t="n">
        <v/>
      </c>
      <c r="AL451" t="n">
        <v/>
      </c>
      <c r="AM451" t="n">
        <v/>
      </c>
      <c r="AN451" t="n">
        <v>17.416728056</v>
      </c>
      <c r="AO451" t="n">
        <v/>
      </c>
      <c r="AP451" t="n">
        <v/>
      </c>
      <c r="AQ451" t="n">
        <v/>
      </c>
      <c r="AR451" t="n">
        <v/>
      </c>
      <c r="AS451" t="n">
        <v/>
      </c>
      <c r="AT451" t="n">
        <v>20.921443198</v>
      </c>
      <c r="AU451" t="n">
        <v/>
      </c>
    </row>
    <row r="452">
      <c r="A452" s="106" t="n">
        <v>20637</v>
      </c>
      <c r="B452" t="n">
        <v>11.760427978</v>
      </c>
      <c r="C452" t="n">
        <v>24.407718132</v>
      </c>
      <c r="D452" t="n">
        <v/>
      </c>
      <c r="E452" t="n">
        <v/>
      </c>
      <c r="F452" t="n">
        <v/>
      </c>
      <c r="G452" t="n">
        <v/>
      </c>
      <c r="H452" t="n">
        <v/>
      </c>
      <c r="I452" t="n">
        <v>11.760427978</v>
      </c>
      <c r="J452" t="n">
        <v/>
      </c>
      <c r="K452" t="n">
        <v/>
      </c>
      <c r="L452" t="n">
        <v/>
      </c>
      <c r="M452" t="n">
        <v/>
      </c>
      <c r="N452" t="n">
        <v/>
      </c>
      <c r="O452" t="n">
        <v/>
      </c>
      <c r="P452" t="n">
        <v/>
      </c>
      <c r="Q452" t="n">
        <v/>
      </c>
      <c r="R452" t="n">
        <v>29.322885199</v>
      </c>
      <c r="S452" t="n">
        <v/>
      </c>
      <c r="T452" t="n">
        <v/>
      </c>
      <c r="U452" t="n">
        <v/>
      </c>
      <c r="V452" t="n">
        <v/>
      </c>
      <c r="W452" t="n">
        <v/>
      </c>
      <c r="X452" t="n">
        <v/>
      </c>
      <c r="Y452" t="n">
        <v/>
      </c>
      <c r="Z452" t="n">
        <v/>
      </c>
      <c r="AA452" t="n">
        <v/>
      </c>
      <c r="AB452" t="n">
        <v/>
      </c>
      <c r="AC452" t="n">
        <v>24.870402308</v>
      </c>
      <c r="AD452" t="n">
        <v>7.823994119</v>
      </c>
      <c r="AE452" t="n">
        <v/>
      </c>
      <c r="AF452" t="n">
        <v>36.465083905</v>
      </c>
      <c r="AG452" t="n">
        <v/>
      </c>
      <c r="AH452" t="n">
        <v/>
      </c>
      <c r="AI452" t="n">
        <v>19.711917143</v>
      </c>
      <c r="AJ452" t="n">
        <v>16.862155508</v>
      </c>
      <c r="AK452" t="n">
        <v/>
      </c>
      <c r="AL452" t="n">
        <v/>
      </c>
      <c r="AM452" t="n">
        <v/>
      </c>
      <c r="AN452" t="n">
        <v>17.000236453</v>
      </c>
      <c r="AO452" t="n">
        <v/>
      </c>
      <c r="AP452" t="n">
        <v/>
      </c>
      <c r="AQ452" t="n">
        <v/>
      </c>
      <c r="AR452" t="n">
        <v/>
      </c>
      <c r="AS452" t="n">
        <v/>
      </c>
      <c r="AT452" t="n">
        <v>20.280086288</v>
      </c>
      <c r="AU452" t="n">
        <v/>
      </c>
    </row>
    <row r="453">
      <c r="A453" s="106" t="n">
        <v>20668</v>
      </c>
      <c r="B453" t="n">
        <v>12.045452556</v>
      </c>
      <c r="C453" t="n">
        <v>24.488354379</v>
      </c>
      <c r="D453" t="n">
        <v/>
      </c>
      <c r="E453" t="n">
        <v/>
      </c>
      <c r="F453" t="n">
        <v/>
      </c>
      <c r="G453" t="n">
        <v/>
      </c>
      <c r="H453" t="n">
        <v/>
      </c>
      <c r="I453" t="n">
        <v>12.045452556</v>
      </c>
      <c r="J453" t="n">
        <v/>
      </c>
      <c r="K453" t="n">
        <v/>
      </c>
      <c r="L453" t="n">
        <v/>
      </c>
      <c r="M453" t="n">
        <v/>
      </c>
      <c r="N453" t="n">
        <v/>
      </c>
      <c r="O453" t="n">
        <v/>
      </c>
      <c r="P453" t="n">
        <v/>
      </c>
      <c r="Q453" t="n">
        <v/>
      </c>
      <c r="R453" t="n">
        <v>29.322885199</v>
      </c>
      <c r="S453" t="n">
        <v/>
      </c>
      <c r="T453" t="n">
        <v/>
      </c>
      <c r="U453" t="n">
        <v/>
      </c>
      <c r="V453" t="n">
        <v/>
      </c>
      <c r="W453" t="n">
        <v/>
      </c>
      <c r="X453" t="n">
        <v/>
      </c>
      <c r="Y453" t="n">
        <v/>
      </c>
      <c r="Z453" t="n">
        <v/>
      </c>
      <c r="AA453" t="n">
        <v/>
      </c>
      <c r="AB453" t="n">
        <v/>
      </c>
      <c r="AC453" t="n">
        <v>24.528149063</v>
      </c>
      <c r="AD453" t="n">
        <v>7.908123088</v>
      </c>
      <c r="AE453" t="n">
        <v/>
      </c>
      <c r="AF453" t="n">
        <v>35.363373531</v>
      </c>
      <c r="AG453" t="n">
        <v/>
      </c>
      <c r="AH453" t="n">
        <v/>
      </c>
      <c r="AI453" t="n">
        <v>19.711917143</v>
      </c>
      <c r="AJ453" t="n">
        <v>17.68581575</v>
      </c>
      <c r="AK453" t="n">
        <v/>
      </c>
      <c r="AL453" t="n">
        <v/>
      </c>
      <c r="AM453" t="n">
        <v/>
      </c>
      <c r="AN453" t="n">
        <v>17.448829589</v>
      </c>
      <c r="AO453" t="n">
        <v/>
      </c>
      <c r="AP453" t="n">
        <v/>
      </c>
      <c r="AQ453" t="n">
        <v/>
      </c>
      <c r="AR453" t="n">
        <v/>
      </c>
      <c r="AS453" t="n">
        <v/>
      </c>
      <c r="AT453" t="n">
        <v>21.108456052</v>
      </c>
      <c r="AU453" t="n">
        <v/>
      </c>
    </row>
    <row r="454">
      <c r="A454" s="106" t="n">
        <v>20699</v>
      </c>
      <c r="B454" t="n">
        <v>11.986232042</v>
      </c>
      <c r="C454" t="n">
        <v>21.867082904</v>
      </c>
      <c r="D454" t="n">
        <v/>
      </c>
      <c r="E454" t="n">
        <v/>
      </c>
      <c r="F454" t="n">
        <v/>
      </c>
      <c r="G454" t="n">
        <v/>
      </c>
      <c r="H454" t="n">
        <v/>
      </c>
      <c r="I454" t="n">
        <v>11.986232042</v>
      </c>
      <c r="J454" t="n">
        <v/>
      </c>
      <c r="K454" t="n">
        <v/>
      </c>
      <c r="L454" t="n">
        <v/>
      </c>
      <c r="M454" t="n">
        <v/>
      </c>
      <c r="N454" t="n">
        <v/>
      </c>
      <c r="O454" t="n">
        <v/>
      </c>
      <c r="P454" t="n">
        <v/>
      </c>
      <c r="Q454" t="n">
        <v/>
      </c>
      <c r="R454" t="n">
        <v>29.554555841</v>
      </c>
      <c r="S454" t="n">
        <v/>
      </c>
      <c r="T454" t="n">
        <v/>
      </c>
      <c r="U454" t="n">
        <v/>
      </c>
      <c r="V454" t="n">
        <v/>
      </c>
      <c r="W454" t="n">
        <v/>
      </c>
      <c r="X454" t="n">
        <v/>
      </c>
      <c r="Y454" t="n">
        <v/>
      </c>
      <c r="Z454" t="n">
        <v/>
      </c>
      <c r="AA454" t="n">
        <v/>
      </c>
      <c r="AB454" t="n">
        <v/>
      </c>
      <c r="AC454" t="n">
        <v>25.174627404</v>
      </c>
      <c r="AD454" t="n">
        <v>8.076381026</v>
      </c>
      <c r="AE454" t="n">
        <v/>
      </c>
      <c r="AF454" t="n">
        <v>36.393590489</v>
      </c>
      <c r="AG454" t="n">
        <v/>
      </c>
      <c r="AH454" t="n">
        <v/>
      </c>
      <c r="AI454" t="n">
        <v>19.997597102</v>
      </c>
      <c r="AJ454" t="n">
        <v>17.868851359</v>
      </c>
      <c r="AK454" t="n">
        <v/>
      </c>
      <c r="AL454" t="n">
        <v/>
      </c>
      <c r="AM454" t="n">
        <v/>
      </c>
      <c r="AN454" t="n">
        <v>17.638596281</v>
      </c>
      <c r="AO454" t="n">
        <v/>
      </c>
      <c r="AP454" t="n">
        <v/>
      </c>
      <c r="AQ454" t="n">
        <v/>
      </c>
      <c r="AR454" t="n">
        <v/>
      </c>
      <c r="AS454" t="n">
        <v/>
      </c>
      <c r="AT454" t="n">
        <v>21.589374576</v>
      </c>
      <c r="AU454" t="n">
        <v/>
      </c>
    </row>
    <row r="455">
      <c r="A455" s="106" t="n">
        <v>20729</v>
      </c>
      <c r="B455" t="n">
        <v>11.970087265</v>
      </c>
      <c r="C455" t="n">
        <v>27.93713988</v>
      </c>
      <c r="D455" t="n">
        <v/>
      </c>
      <c r="E455" t="n">
        <v/>
      </c>
      <c r="F455" t="n">
        <v/>
      </c>
      <c r="G455" t="n">
        <v/>
      </c>
      <c r="H455" t="n">
        <v/>
      </c>
      <c r="I455" t="n">
        <v>11.970087265</v>
      </c>
      <c r="J455" t="n">
        <v/>
      </c>
      <c r="K455" t="n">
        <v/>
      </c>
      <c r="L455" t="n">
        <v/>
      </c>
      <c r="M455" t="n">
        <v/>
      </c>
      <c r="N455" t="n">
        <v/>
      </c>
      <c r="O455" t="n">
        <v/>
      </c>
      <c r="P455" t="n">
        <v/>
      </c>
      <c r="Q455" t="n">
        <v/>
      </c>
      <c r="R455" t="n">
        <v>29.918609721</v>
      </c>
      <c r="S455" t="n">
        <v/>
      </c>
      <c r="T455" t="n">
        <v/>
      </c>
      <c r="U455" t="n">
        <v/>
      </c>
      <c r="V455" t="n">
        <v/>
      </c>
      <c r="W455" t="n">
        <v/>
      </c>
      <c r="X455" t="n">
        <v/>
      </c>
      <c r="Y455" t="n">
        <v/>
      </c>
      <c r="Z455" t="n">
        <v/>
      </c>
      <c r="AA455" t="n">
        <v/>
      </c>
      <c r="AB455" t="n">
        <v/>
      </c>
      <c r="AC455" t="n">
        <v>25.193641478</v>
      </c>
      <c r="AD455" t="n">
        <v>8.412896902</v>
      </c>
      <c r="AE455" t="n">
        <v/>
      </c>
      <c r="AF455" t="n">
        <v>37.030911392</v>
      </c>
      <c r="AG455" t="n">
        <v/>
      </c>
      <c r="AH455" t="n">
        <v/>
      </c>
      <c r="AI455" t="n">
        <v>19.997597102</v>
      </c>
      <c r="AJ455" t="n">
        <v>18.006128066</v>
      </c>
      <c r="AK455" t="n">
        <v/>
      </c>
      <c r="AL455" t="n">
        <v/>
      </c>
      <c r="AM455" t="n">
        <v/>
      </c>
      <c r="AN455" t="n">
        <v>17.5205805</v>
      </c>
      <c r="AO455" t="n">
        <v/>
      </c>
      <c r="AP455" t="n">
        <v/>
      </c>
      <c r="AQ455" t="n">
        <v/>
      </c>
      <c r="AR455" t="n">
        <v/>
      </c>
      <c r="AS455" t="n">
        <v/>
      </c>
      <c r="AT455" t="n">
        <v>21.776486588</v>
      </c>
      <c r="AU455" t="n">
        <v/>
      </c>
    </row>
    <row r="456">
      <c r="A456" s="106" t="n">
        <v>20760</v>
      </c>
      <c r="B456" t="n">
        <v>12.040593298</v>
      </c>
      <c r="C456" t="n">
        <v>25.731150525</v>
      </c>
      <c r="D456" t="n">
        <v/>
      </c>
      <c r="E456" t="n">
        <v/>
      </c>
      <c r="F456" t="n">
        <v/>
      </c>
      <c r="G456" t="n">
        <v/>
      </c>
      <c r="H456" t="n">
        <v/>
      </c>
      <c r="I456" t="n">
        <v>12.040593298</v>
      </c>
      <c r="J456" t="n">
        <v/>
      </c>
      <c r="K456" t="n">
        <v/>
      </c>
      <c r="L456" t="n">
        <v/>
      </c>
      <c r="M456" t="n">
        <v/>
      </c>
      <c r="N456" t="n">
        <v/>
      </c>
      <c r="O456" t="n">
        <v/>
      </c>
      <c r="P456" t="n">
        <v/>
      </c>
      <c r="Q456" t="n">
        <v/>
      </c>
      <c r="R456" t="n">
        <v>29.98480134</v>
      </c>
      <c r="S456" t="n">
        <v/>
      </c>
      <c r="T456" t="n">
        <v/>
      </c>
      <c r="U456" t="n">
        <v/>
      </c>
      <c r="V456" t="n">
        <v/>
      </c>
      <c r="W456" t="n">
        <v/>
      </c>
      <c r="X456" t="n">
        <v/>
      </c>
      <c r="Y456" t="n">
        <v/>
      </c>
      <c r="Z456" t="n">
        <v/>
      </c>
      <c r="AA456" t="n">
        <v/>
      </c>
      <c r="AB456" t="n">
        <v/>
      </c>
      <c r="AC456" t="n">
        <v>24.870402308</v>
      </c>
      <c r="AD456" t="n">
        <v>8.412896902</v>
      </c>
      <c r="AE456" t="n">
        <v/>
      </c>
      <c r="AF456" t="n">
        <v>36.580996006</v>
      </c>
      <c r="AG456" t="n">
        <v/>
      </c>
      <c r="AH456" t="n">
        <v/>
      </c>
      <c r="AI456" t="n">
        <v>20.28327706</v>
      </c>
      <c r="AJ456" t="n">
        <v>18.120525322</v>
      </c>
      <c r="AK456" t="n">
        <v/>
      </c>
      <c r="AL456" t="n">
        <v/>
      </c>
      <c r="AM456" t="n">
        <v/>
      </c>
      <c r="AN456" t="n">
        <v>17.563918755</v>
      </c>
      <c r="AO456" t="n">
        <v/>
      </c>
      <c r="AP456" t="n">
        <v/>
      </c>
      <c r="AQ456" t="n">
        <v/>
      </c>
      <c r="AR456" t="n">
        <v/>
      </c>
      <c r="AS456" t="n">
        <v/>
      </c>
      <c r="AT456" t="n">
        <v>21.589374576</v>
      </c>
      <c r="AU456" t="n">
        <v/>
      </c>
    </row>
    <row r="457">
      <c r="A457" s="106" t="n">
        <v>20790</v>
      </c>
      <c r="B457" t="n">
        <v>11.890473297</v>
      </c>
      <c r="C457" t="n">
        <v>22.284093394</v>
      </c>
      <c r="D457" t="n">
        <v/>
      </c>
      <c r="E457" t="n">
        <v/>
      </c>
      <c r="F457" t="n">
        <v/>
      </c>
      <c r="G457" t="n">
        <v/>
      </c>
      <c r="H457" t="n">
        <v/>
      </c>
      <c r="I457" t="n">
        <v>11.890473297</v>
      </c>
      <c r="J457" t="n">
        <v/>
      </c>
      <c r="K457" t="n">
        <v/>
      </c>
      <c r="L457" t="n">
        <v/>
      </c>
      <c r="M457" t="n">
        <v/>
      </c>
      <c r="N457" t="n">
        <v/>
      </c>
      <c r="O457" t="n">
        <v/>
      </c>
      <c r="P457" t="n">
        <v/>
      </c>
      <c r="Q457" t="n">
        <v/>
      </c>
      <c r="R457" t="n">
        <v>30.050992958</v>
      </c>
      <c r="S457" t="n">
        <v/>
      </c>
      <c r="T457" t="n">
        <v/>
      </c>
      <c r="U457" t="n">
        <v/>
      </c>
      <c r="V457" t="n">
        <v/>
      </c>
      <c r="W457" t="n">
        <v/>
      </c>
      <c r="X457" t="n">
        <v/>
      </c>
      <c r="Y457" t="n">
        <v/>
      </c>
      <c r="Z457" t="n">
        <v/>
      </c>
      <c r="AA457" t="n">
        <v/>
      </c>
      <c r="AB457" t="n">
        <v/>
      </c>
      <c r="AC457" t="n">
        <v>25.345754032</v>
      </c>
      <c r="AD457" t="n">
        <v>8.412896902</v>
      </c>
      <c r="AE457" t="n">
        <v/>
      </c>
      <c r="AF457" t="n">
        <v>37.537591545</v>
      </c>
      <c r="AG457" t="n">
        <v/>
      </c>
      <c r="AH457" t="n">
        <v/>
      </c>
      <c r="AI457" t="n">
        <v>20.568957019</v>
      </c>
      <c r="AJ457" t="n">
        <v>18.029007517</v>
      </c>
      <c r="AK457" t="n">
        <v/>
      </c>
      <c r="AL457" t="n">
        <v/>
      </c>
      <c r="AM457" t="n">
        <v/>
      </c>
      <c r="AN457" t="n">
        <v>18.401796862</v>
      </c>
      <c r="AO457" t="n">
        <v/>
      </c>
      <c r="AP457" t="n">
        <v/>
      </c>
      <c r="AQ457" t="n">
        <v/>
      </c>
      <c r="AR457" t="n">
        <v/>
      </c>
      <c r="AS457" t="n">
        <v/>
      </c>
      <c r="AT457" t="n">
        <v>21.910053032</v>
      </c>
      <c r="AU457" t="n">
        <v/>
      </c>
    </row>
    <row r="458">
      <c r="A458" s="106" t="n">
        <v>20821</v>
      </c>
      <c r="B458" t="n">
        <v>12.09410898</v>
      </c>
      <c r="C458" t="n">
        <v>25.687714807</v>
      </c>
      <c r="D458" t="n">
        <v/>
      </c>
      <c r="E458" t="n">
        <v/>
      </c>
      <c r="F458" t="n">
        <v/>
      </c>
      <c r="G458" t="n">
        <v/>
      </c>
      <c r="H458" t="n">
        <v/>
      </c>
      <c r="I458" t="n">
        <v>12.09410898</v>
      </c>
      <c r="J458" t="n">
        <v/>
      </c>
      <c r="K458" t="n">
        <v/>
      </c>
      <c r="L458" t="n">
        <v/>
      </c>
      <c r="M458" t="n">
        <v/>
      </c>
      <c r="N458" t="n">
        <v/>
      </c>
      <c r="O458" t="n">
        <v/>
      </c>
      <c r="P458" t="n">
        <v/>
      </c>
      <c r="Q458" t="n">
        <v/>
      </c>
      <c r="R458" t="n">
        <v>30.448142643</v>
      </c>
      <c r="S458" t="n">
        <v/>
      </c>
      <c r="T458" t="n">
        <v/>
      </c>
      <c r="U458" t="n">
        <v/>
      </c>
      <c r="V458" t="n">
        <v/>
      </c>
      <c r="W458" t="n">
        <v/>
      </c>
      <c r="X458" t="n">
        <v/>
      </c>
      <c r="Y458" t="n">
        <v/>
      </c>
      <c r="Z458" t="n">
        <v/>
      </c>
      <c r="AA458" t="n">
        <v/>
      </c>
      <c r="AB458" t="n">
        <v/>
      </c>
      <c r="AC458" t="n">
        <v>25.440824372</v>
      </c>
      <c r="AD458" t="n">
        <v>8.497025871</v>
      </c>
      <c r="AE458" t="n">
        <v/>
      </c>
      <c r="AF458" t="n">
        <v>37.229544759</v>
      </c>
      <c r="AG458" t="n">
        <v/>
      </c>
      <c r="AH458" t="n">
        <v/>
      </c>
      <c r="AI458" t="n">
        <v>20.568957019</v>
      </c>
      <c r="AJ458" t="n">
        <v>18.09764587</v>
      </c>
      <c r="AK458" t="n">
        <v/>
      </c>
      <c r="AL458" t="n">
        <v/>
      </c>
      <c r="AM458" t="n">
        <v/>
      </c>
      <c r="AN458" t="n">
        <v>17.810100134</v>
      </c>
      <c r="AO458" t="n">
        <v/>
      </c>
      <c r="AP458" t="n">
        <v/>
      </c>
      <c r="AQ458" t="n">
        <v/>
      </c>
      <c r="AR458" t="n">
        <v/>
      </c>
      <c r="AS458" t="n">
        <v/>
      </c>
      <c r="AT458" t="n">
        <v>21.829833839</v>
      </c>
      <c r="AU458" t="n">
        <v/>
      </c>
    </row>
    <row r="459">
      <c r="A459" s="106" t="n">
        <v>20852</v>
      </c>
      <c r="B459" t="n">
        <v>12.019061502</v>
      </c>
      <c r="C459" t="n">
        <v>24.854561198</v>
      </c>
      <c r="D459" t="n">
        <v/>
      </c>
      <c r="E459" t="n">
        <v/>
      </c>
      <c r="F459" t="n">
        <v/>
      </c>
      <c r="G459" t="n">
        <v/>
      </c>
      <c r="H459" t="n">
        <v/>
      </c>
      <c r="I459" t="n">
        <v>12.019061502</v>
      </c>
      <c r="J459" t="n">
        <v/>
      </c>
      <c r="K459" t="n">
        <v/>
      </c>
      <c r="L459" t="n">
        <v/>
      </c>
      <c r="M459" t="n">
        <v/>
      </c>
      <c r="N459" t="n">
        <v/>
      </c>
      <c r="O459" t="n">
        <v/>
      </c>
      <c r="P459" t="n">
        <v/>
      </c>
      <c r="Q459" t="n">
        <v/>
      </c>
      <c r="R459" t="n">
        <v>30.613621676</v>
      </c>
      <c r="S459" t="n">
        <v/>
      </c>
      <c r="T459" t="n">
        <v/>
      </c>
      <c r="U459" t="n">
        <v/>
      </c>
      <c r="V459" t="n">
        <v/>
      </c>
      <c r="W459" t="n">
        <v/>
      </c>
      <c r="X459" t="n">
        <v/>
      </c>
      <c r="Y459" t="n">
        <v/>
      </c>
      <c r="Z459" t="n">
        <v/>
      </c>
      <c r="AA459" t="n">
        <v/>
      </c>
      <c r="AB459" t="n">
        <v/>
      </c>
      <c r="AC459" t="n">
        <v>25.954204234</v>
      </c>
      <c r="AD459" t="n">
        <v>8.665283809</v>
      </c>
      <c r="AE459" t="n">
        <v/>
      </c>
      <c r="AF459" t="n">
        <v>37.561981377</v>
      </c>
      <c r="AG459" t="n">
        <v/>
      </c>
      <c r="AH459" t="n">
        <v/>
      </c>
      <c r="AI459" t="n">
        <v>20.568957019</v>
      </c>
      <c r="AJ459" t="n">
        <v>18.372199284</v>
      </c>
      <c r="AK459" t="n">
        <v/>
      </c>
      <c r="AL459" t="n">
        <v/>
      </c>
      <c r="AM459" t="n">
        <v/>
      </c>
      <c r="AN459" t="n">
        <v>17.72108454</v>
      </c>
      <c r="AO459" t="n">
        <v/>
      </c>
      <c r="AP459" t="n">
        <v/>
      </c>
      <c r="AQ459" t="n">
        <v/>
      </c>
      <c r="AR459" t="n">
        <v/>
      </c>
      <c r="AS459" t="n">
        <v/>
      </c>
      <c r="AT459" t="n">
        <v>22.043619475</v>
      </c>
      <c r="AU459" t="n">
        <v/>
      </c>
    </row>
    <row r="460">
      <c r="A460" s="106" t="n">
        <v>20880</v>
      </c>
      <c r="B460" t="n">
        <v>12.305519642</v>
      </c>
      <c r="C460" t="n">
        <v>24.744621796</v>
      </c>
      <c r="D460" t="n">
        <v/>
      </c>
      <c r="E460" t="n">
        <v/>
      </c>
      <c r="F460" t="n">
        <v/>
      </c>
      <c r="G460" t="n">
        <v/>
      </c>
      <c r="H460" t="n">
        <v/>
      </c>
      <c r="I460" t="n">
        <v>12.305519642</v>
      </c>
      <c r="J460" t="n">
        <v/>
      </c>
      <c r="K460" t="n">
        <v/>
      </c>
      <c r="L460" t="n">
        <v/>
      </c>
      <c r="M460" t="n">
        <v/>
      </c>
      <c r="N460" t="n">
        <v/>
      </c>
      <c r="O460" t="n">
        <v/>
      </c>
      <c r="P460" t="n">
        <v/>
      </c>
      <c r="Q460" t="n">
        <v/>
      </c>
      <c r="R460" t="n">
        <v>30.878388132</v>
      </c>
      <c r="S460" t="n">
        <v/>
      </c>
      <c r="T460" t="n">
        <v/>
      </c>
      <c r="U460" t="n">
        <v/>
      </c>
      <c r="V460" t="n">
        <v/>
      </c>
      <c r="W460" t="n">
        <v/>
      </c>
      <c r="X460" t="n">
        <v/>
      </c>
      <c r="Y460" t="n">
        <v/>
      </c>
      <c r="Z460" t="n">
        <v/>
      </c>
      <c r="AA460" t="n">
        <v/>
      </c>
      <c r="AB460" t="n">
        <v/>
      </c>
      <c r="AC460" t="n">
        <v>25.954204234</v>
      </c>
      <c r="AD460" t="n">
        <v>8.749412778</v>
      </c>
      <c r="AE460" t="n">
        <v/>
      </c>
      <c r="AF460" t="n">
        <v>37.28198791</v>
      </c>
      <c r="AG460" t="n">
        <v/>
      </c>
      <c r="AH460" t="n">
        <v/>
      </c>
      <c r="AI460" t="n">
        <v>20.28327706</v>
      </c>
      <c r="AJ460" t="n">
        <v>18.349319833</v>
      </c>
      <c r="AK460" t="n">
        <v/>
      </c>
      <c r="AL460" t="n">
        <v/>
      </c>
      <c r="AM460" t="n">
        <v/>
      </c>
      <c r="AN460" t="n">
        <v>17.862513977</v>
      </c>
      <c r="AO460" t="n">
        <v/>
      </c>
      <c r="AP460" t="n">
        <v/>
      </c>
      <c r="AQ460" t="n">
        <v/>
      </c>
      <c r="AR460" t="n">
        <v/>
      </c>
      <c r="AS460" t="n">
        <v/>
      </c>
      <c r="AT460" t="n">
        <v>22.01694585</v>
      </c>
      <c r="AU460" t="n">
        <v/>
      </c>
    </row>
    <row r="461">
      <c r="A461" s="106" t="n">
        <v>20911</v>
      </c>
      <c r="B461" t="n">
        <v>12.248260859</v>
      </c>
      <c r="C461" t="n">
        <v>25.513918368</v>
      </c>
      <c r="D461" t="n">
        <v/>
      </c>
      <c r="E461" t="n">
        <v/>
      </c>
      <c r="F461" t="n">
        <v/>
      </c>
      <c r="G461" t="n">
        <v/>
      </c>
      <c r="H461" t="n">
        <v/>
      </c>
      <c r="I461" t="n">
        <v>12.248260859</v>
      </c>
      <c r="J461" t="n">
        <v/>
      </c>
      <c r="K461" t="n">
        <v/>
      </c>
      <c r="L461" t="n">
        <v/>
      </c>
      <c r="M461" t="n">
        <v/>
      </c>
      <c r="N461" t="n">
        <v/>
      </c>
      <c r="O461" t="n">
        <v/>
      </c>
      <c r="P461" t="n">
        <v/>
      </c>
      <c r="Q461" t="n">
        <v/>
      </c>
      <c r="R461" t="n">
        <v>30.580525871</v>
      </c>
      <c r="S461" t="n">
        <v/>
      </c>
      <c r="T461" t="n">
        <v/>
      </c>
      <c r="U461" t="n">
        <v/>
      </c>
      <c r="V461" t="n">
        <v/>
      </c>
      <c r="W461" t="n">
        <v/>
      </c>
      <c r="X461" t="n">
        <v/>
      </c>
      <c r="Y461" t="n">
        <v/>
      </c>
      <c r="Z461" t="n">
        <v/>
      </c>
      <c r="AA461" t="n">
        <v/>
      </c>
      <c r="AB461" t="n">
        <v/>
      </c>
      <c r="AC461" t="n">
        <v>26.353499692</v>
      </c>
      <c r="AD461" t="n">
        <v>9.085928654</v>
      </c>
      <c r="AE461" t="n">
        <v/>
      </c>
      <c r="AF461" t="n">
        <v>36.913182393</v>
      </c>
      <c r="AG461" t="n">
        <v/>
      </c>
      <c r="AH461" t="n">
        <v/>
      </c>
      <c r="AI461" t="n">
        <v>20.28327706</v>
      </c>
      <c r="AJ461" t="n">
        <v>17.960369163</v>
      </c>
      <c r="AK461" t="n">
        <v/>
      </c>
      <c r="AL461" t="n">
        <v/>
      </c>
      <c r="AM461" t="n">
        <v/>
      </c>
      <c r="AN461" t="n">
        <v>18.808153911</v>
      </c>
      <c r="AO461" t="n">
        <v/>
      </c>
      <c r="AP461" t="n">
        <v/>
      </c>
      <c r="AQ461" t="n">
        <v/>
      </c>
      <c r="AR461" t="n">
        <v/>
      </c>
      <c r="AS461" t="n">
        <v/>
      </c>
      <c r="AT461" t="n">
        <v>21.723040179</v>
      </c>
      <c r="AU461" t="n">
        <v/>
      </c>
    </row>
    <row r="462">
      <c r="A462" s="106" t="n">
        <v>20941</v>
      </c>
      <c r="B462" t="n">
        <v>12.484360165</v>
      </c>
      <c r="C462" t="n">
        <v>25.929944718</v>
      </c>
      <c r="D462" t="n">
        <v/>
      </c>
      <c r="E462" t="n">
        <v/>
      </c>
      <c r="F462" t="n">
        <v/>
      </c>
      <c r="G462" t="n">
        <v/>
      </c>
      <c r="H462" t="n">
        <v/>
      </c>
      <c r="I462" t="n">
        <v>12.484360165</v>
      </c>
      <c r="J462" t="n">
        <v/>
      </c>
      <c r="K462" t="n">
        <v/>
      </c>
      <c r="L462" t="n">
        <v/>
      </c>
      <c r="M462" t="n">
        <v/>
      </c>
      <c r="N462" t="n">
        <v/>
      </c>
      <c r="O462" t="n">
        <v/>
      </c>
      <c r="P462" t="n">
        <v/>
      </c>
      <c r="Q462" t="n">
        <v/>
      </c>
      <c r="R462" t="n">
        <v>31.143154589</v>
      </c>
      <c r="S462" t="n">
        <v/>
      </c>
      <c r="T462" t="n">
        <v/>
      </c>
      <c r="U462" t="n">
        <v/>
      </c>
      <c r="V462" t="n">
        <v/>
      </c>
      <c r="W462" t="n">
        <v/>
      </c>
      <c r="X462" t="n">
        <v/>
      </c>
      <c r="Y462" t="n">
        <v/>
      </c>
      <c r="Z462" t="n">
        <v/>
      </c>
      <c r="AA462" t="n">
        <v/>
      </c>
      <c r="AB462" t="n">
        <v/>
      </c>
      <c r="AC462" t="n">
        <v>26.068288649</v>
      </c>
      <c r="AD462" t="n">
        <v>9.590702468</v>
      </c>
      <c r="AE462" t="n">
        <v/>
      </c>
      <c r="AF462" t="n">
        <v>36.87491806</v>
      </c>
      <c r="AG462" t="n">
        <v/>
      </c>
      <c r="AH462" t="n">
        <v/>
      </c>
      <c r="AI462" t="n">
        <v>20.28327706</v>
      </c>
      <c r="AJ462" t="n">
        <v>18.898426661</v>
      </c>
      <c r="AK462" t="n">
        <v/>
      </c>
      <c r="AL462" t="n">
        <v/>
      </c>
      <c r="AM462" t="n">
        <v/>
      </c>
      <c r="AN462" t="n">
        <v>18.417290299</v>
      </c>
      <c r="AO462" t="n">
        <v/>
      </c>
      <c r="AP462" t="n">
        <v/>
      </c>
      <c r="AQ462" t="n">
        <v/>
      </c>
      <c r="AR462" t="n">
        <v/>
      </c>
      <c r="AS462" t="n">
        <v/>
      </c>
      <c r="AT462" t="n">
        <v>21.642820985</v>
      </c>
      <c r="AU462" t="n">
        <v/>
      </c>
    </row>
    <row r="463">
      <c r="A463" s="106" t="n">
        <v>20972</v>
      </c>
      <c r="B463" t="n">
        <v>12.414684451</v>
      </c>
      <c r="C463" t="n">
        <v>22.095269277</v>
      </c>
      <c r="D463" t="n">
        <v/>
      </c>
      <c r="E463" t="n">
        <v/>
      </c>
      <c r="F463" t="n">
        <v/>
      </c>
      <c r="G463" t="n">
        <v/>
      </c>
      <c r="H463" t="n">
        <v/>
      </c>
      <c r="I463" t="n">
        <v>12.414684451</v>
      </c>
      <c r="J463" t="n">
        <v/>
      </c>
      <c r="K463" t="n">
        <v/>
      </c>
      <c r="L463" t="n">
        <v/>
      </c>
      <c r="M463" t="n">
        <v/>
      </c>
      <c r="N463" t="n">
        <v/>
      </c>
      <c r="O463" t="n">
        <v/>
      </c>
      <c r="P463" t="n">
        <v/>
      </c>
      <c r="Q463" t="n">
        <v/>
      </c>
      <c r="R463" t="n">
        <v>31.110058784</v>
      </c>
      <c r="S463" t="n">
        <v/>
      </c>
      <c r="T463" t="n">
        <v/>
      </c>
      <c r="U463" t="n">
        <v/>
      </c>
      <c r="V463" t="n">
        <v/>
      </c>
      <c r="W463" t="n">
        <v/>
      </c>
      <c r="X463" t="n">
        <v/>
      </c>
      <c r="Y463" t="n">
        <v/>
      </c>
      <c r="Z463" t="n">
        <v/>
      </c>
      <c r="AA463" t="n">
        <v/>
      </c>
      <c r="AB463" t="n">
        <v/>
      </c>
      <c r="AC463" t="n">
        <v>26.315471553</v>
      </c>
      <c r="AD463" t="n">
        <v>9.338315561</v>
      </c>
      <c r="AE463" t="n">
        <v/>
      </c>
      <c r="AF463" t="n">
        <v>37.036962195</v>
      </c>
      <c r="AG463" t="n">
        <v/>
      </c>
      <c r="AH463" t="n">
        <v/>
      </c>
      <c r="AI463" t="n">
        <v>20.568957019</v>
      </c>
      <c r="AJ463" t="n">
        <v>17.823092456</v>
      </c>
      <c r="AK463" t="n">
        <v/>
      </c>
      <c r="AL463" t="n">
        <v/>
      </c>
      <c r="AM463" t="n">
        <v/>
      </c>
      <c r="AN463" t="n">
        <v>18.340637063</v>
      </c>
      <c r="AO463" t="n">
        <v/>
      </c>
      <c r="AP463" t="n">
        <v/>
      </c>
      <c r="AQ463" t="n">
        <v/>
      </c>
      <c r="AR463" t="n">
        <v/>
      </c>
      <c r="AS463" t="n">
        <v/>
      </c>
      <c r="AT463" t="n">
        <v>21.696267395</v>
      </c>
      <c r="AU463" t="n">
        <v/>
      </c>
    </row>
    <row r="464">
      <c r="A464" s="106" t="n">
        <v>21002</v>
      </c>
      <c r="B464" t="n">
        <v>12.480258817</v>
      </c>
      <c r="C464" t="n">
        <v>22.925840819</v>
      </c>
      <c r="D464" t="n">
        <v/>
      </c>
      <c r="E464" t="n">
        <v/>
      </c>
      <c r="F464" t="n">
        <v/>
      </c>
      <c r="G464" t="n">
        <v/>
      </c>
      <c r="H464" t="n">
        <v/>
      </c>
      <c r="I464" t="n">
        <v>12.480258817</v>
      </c>
      <c r="J464" t="n">
        <v/>
      </c>
      <c r="K464" t="n">
        <v/>
      </c>
      <c r="L464" t="n">
        <v/>
      </c>
      <c r="M464" t="n">
        <v/>
      </c>
      <c r="N464" t="n">
        <v/>
      </c>
      <c r="O464" t="n">
        <v/>
      </c>
      <c r="P464" t="n">
        <v/>
      </c>
      <c r="Q464" t="n">
        <v/>
      </c>
      <c r="R464" t="n">
        <v>31.871262348</v>
      </c>
      <c r="S464" t="n">
        <v/>
      </c>
      <c r="T464" t="n">
        <v/>
      </c>
      <c r="U464" t="n">
        <v/>
      </c>
      <c r="V464" t="n">
        <v/>
      </c>
      <c r="W464" t="n">
        <v/>
      </c>
      <c r="X464" t="n">
        <v/>
      </c>
      <c r="Y464" t="n">
        <v/>
      </c>
      <c r="Z464" t="n">
        <v/>
      </c>
      <c r="AA464" t="n">
        <v/>
      </c>
      <c r="AB464" t="n">
        <v/>
      </c>
      <c r="AC464" t="n">
        <v>26.581668522</v>
      </c>
      <c r="AD464" t="n">
        <v>9.506573499</v>
      </c>
      <c r="AE464" t="n">
        <v/>
      </c>
      <c r="AF464" t="n">
        <v>36.323637693</v>
      </c>
      <c r="AG464" t="n">
        <v/>
      </c>
      <c r="AH464" t="n">
        <v/>
      </c>
      <c r="AI464" t="n">
        <v>20.568957019</v>
      </c>
      <c r="AJ464" t="n">
        <v>18.303560931</v>
      </c>
      <c r="AK464" t="n">
        <v/>
      </c>
      <c r="AL464" t="n">
        <v/>
      </c>
      <c r="AM464" t="n">
        <v/>
      </c>
      <c r="AN464" t="n">
        <v>18.503657501</v>
      </c>
      <c r="AO464" t="n">
        <v/>
      </c>
      <c r="AP464" t="n">
        <v/>
      </c>
      <c r="AQ464" t="n">
        <v/>
      </c>
      <c r="AR464" t="n">
        <v/>
      </c>
      <c r="AS464" t="n">
        <v/>
      </c>
      <c r="AT464" t="n">
        <v>21.829833839</v>
      </c>
      <c r="AU464" t="n">
        <v/>
      </c>
    </row>
    <row r="465">
      <c r="A465" s="106" t="n">
        <v>21033</v>
      </c>
      <c r="B465" t="n">
        <v>12.552219168</v>
      </c>
      <c r="C465" t="n">
        <v>23.681145085</v>
      </c>
      <c r="D465" t="n">
        <v/>
      </c>
      <c r="E465" t="n">
        <v/>
      </c>
      <c r="F465" t="n">
        <v/>
      </c>
      <c r="G465" t="n">
        <v/>
      </c>
      <c r="H465" t="n">
        <v/>
      </c>
      <c r="I465" t="n">
        <v>12.552219168</v>
      </c>
      <c r="J465" t="n">
        <v/>
      </c>
      <c r="K465" t="n">
        <v/>
      </c>
      <c r="L465" t="n">
        <v/>
      </c>
      <c r="M465" t="n">
        <v/>
      </c>
      <c r="N465" t="n">
        <v/>
      </c>
      <c r="O465" t="n">
        <v/>
      </c>
      <c r="P465" t="n">
        <v/>
      </c>
      <c r="Q465" t="n">
        <v/>
      </c>
      <c r="R465" t="n">
        <v>31.871262348</v>
      </c>
      <c r="S465" t="n">
        <v/>
      </c>
      <c r="T465" t="n">
        <v/>
      </c>
      <c r="U465" t="n">
        <v/>
      </c>
      <c r="V465" t="n">
        <v/>
      </c>
      <c r="W465" t="n">
        <v/>
      </c>
      <c r="X465" t="n">
        <v/>
      </c>
      <c r="Y465" t="n">
        <v/>
      </c>
      <c r="Z465" t="n">
        <v/>
      </c>
      <c r="AA465" t="n">
        <v/>
      </c>
      <c r="AB465" t="n">
        <v/>
      </c>
      <c r="AC465" t="n">
        <v>26.676738862</v>
      </c>
      <c r="AD465" t="n">
        <v>9.170057623</v>
      </c>
      <c r="AE465" t="n">
        <v/>
      </c>
      <c r="AF465" t="n">
        <v>36.228089419</v>
      </c>
      <c r="AG465" t="n">
        <v/>
      </c>
      <c r="AH465" t="n">
        <v/>
      </c>
      <c r="AI465" t="n">
        <v>20.568957019</v>
      </c>
      <c r="AJ465" t="n">
        <v>18.555234894</v>
      </c>
      <c r="AK465" t="n">
        <v/>
      </c>
      <c r="AL465" t="n">
        <v/>
      </c>
      <c r="AM465" t="n">
        <v/>
      </c>
      <c r="AN465" t="n">
        <v>18.205898313</v>
      </c>
      <c r="AO465" t="n">
        <v/>
      </c>
      <c r="AP465" t="n">
        <v/>
      </c>
      <c r="AQ465" t="n">
        <v/>
      </c>
      <c r="AR465" t="n">
        <v/>
      </c>
      <c r="AS465" t="n">
        <v/>
      </c>
      <c r="AT465" t="n">
        <v>21.829932997</v>
      </c>
      <c r="AU465" t="n">
        <v/>
      </c>
    </row>
    <row r="466">
      <c r="A466" s="106" t="n">
        <v>21064</v>
      </c>
      <c r="B466" t="n">
        <v>12.736497936</v>
      </c>
      <c r="C466" t="n">
        <v>23.044839138</v>
      </c>
      <c r="D466" t="n">
        <v/>
      </c>
      <c r="E466" t="n">
        <v/>
      </c>
      <c r="F466" t="n">
        <v/>
      </c>
      <c r="G466" t="n">
        <v/>
      </c>
      <c r="H466" t="n">
        <v/>
      </c>
      <c r="I466" t="n">
        <v>12.736497936</v>
      </c>
      <c r="J466" t="n">
        <v/>
      </c>
      <c r="K466" t="n">
        <v/>
      </c>
      <c r="L466" t="n">
        <v/>
      </c>
      <c r="M466" t="n">
        <v/>
      </c>
      <c r="N466" t="n">
        <v/>
      </c>
      <c r="O466" t="n">
        <v/>
      </c>
      <c r="P466" t="n">
        <v/>
      </c>
      <c r="Q466" t="n">
        <v/>
      </c>
      <c r="R466" t="n">
        <v>32.202220424</v>
      </c>
      <c r="S466" t="n">
        <v/>
      </c>
      <c r="T466" t="n">
        <v/>
      </c>
      <c r="U466" t="n">
        <v/>
      </c>
      <c r="V466" t="n">
        <v/>
      </c>
      <c r="W466" t="n">
        <v/>
      </c>
      <c r="X466" t="n">
        <v/>
      </c>
      <c r="Y466" t="n">
        <v/>
      </c>
      <c r="Z466" t="n">
        <v/>
      </c>
      <c r="AA466" t="n">
        <v/>
      </c>
      <c r="AB466" t="n">
        <v/>
      </c>
      <c r="AC466" t="n">
        <v>26.999978032</v>
      </c>
      <c r="AD466" t="n">
        <v>9.170057623</v>
      </c>
      <c r="AE466" t="n">
        <v/>
      </c>
      <c r="AF466" t="n">
        <v>36.203352754</v>
      </c>
      <c r="AG466" t="n">
        <v/>
      </c>
      <c r="AH466" t="n">
        <v/>
      </c>
      <c r="AI466" t="n">
        <v>20.28327706</v>
      </c>
      <c r="AJ466" t="n">
        <v>18.440837638</v>
      </c>
      <c r="AK466" t="n">
        <v/>
      </c>
      <c r="AL466" t="n">
        <v/>
      </c>
      <c r="AM466" t="n">
        <v/>
      </c>
      <c r="AN466" t="n">
        <v>17.872120536</v>
      </c>
      <c r="AO466" t="n">
        <v/>
      </c>
      <c r="AP466" t="n">
        <v/>
      </c>
      <c r="AQ466" t="n">
        <v/>
      </c>
      <c r="AR466" t="n">
        <v/>
      </c>
      <c r="AS466" t="n">
        <v/>
      </c>
      <c r="AT466" t="n">
        <v>21.642820985</v>
      </c>
      <c r="AU466" t="n">
        <v/>
      </c>
    </row>
    <row r="467">
      <c r="A467" s="106" t="n">
        <v>21094</v>
      </c>
      <c r="B467" t="n">
        <v>12.550488305</v>
      </c>
      <c r="C467" t="n">
        <v>27.831694451</v>
      </c>
      <c r="D467" t="n">
        <v/>
      </c>
      <c r="E467" t="n">
        <v/>
      </c>
      <c r="F467" t="n">
        <v/>
      </c>
      <c r="G467" t="n">
        <v/>
      </c>
      <c r="H467" t="n">
        <v/>
      </c>
      <c r="I467" t="n">
        <v>12.550488305</v>
      </c>
      <c r="J467" t="n">
        <v/>
      </c>
      <c r="K467" t="n">
        <v/>
      </c>
      <c r="L467" t="n">
        <v/>
      </c>
      <c r="M467" t="n">
        <v/>
      </c>
      <c r="N467" t="n">
        <v/>
      </c>
      <c r="O467" t="n">
        <v/>
      </c>
      <c r="P467" t="n">
        <v/>
      </c>
      <c r="Q467" t="n">
        <v/>
      </c>
      <c r="R467" t="n">
        <v>31.838166544</v>
      </c>
      <c r="S467" t="n">
        <v/>
      </c>
      <c r="T467" t="n">
        <v/>
      </c>
      <c r="U467" t="n">
        <v/>
      </c>
      <c r="V467" t="n">
        <v/>
      </c>
      <c r="W467" t="n">
        <v/>
      </c>
      <c r="X467" t="n">
        <v/>
      </c>
      <c r="Y467" t="n">
        <v/>
      </c>
      <c r="Z467" t="n">
        <v/>
      </c>
      <c r="AA467" t="n">
        <v/>
      </c>
      <c r="AB467" t="n">
        <v/>
      </c>
      <c r="AC467" t="n">
        <v>25.954204234</v>
      </c>
      <c r="AD467" t="n">
        <v>9.085928654</v>
      </c>
      <c r="AE467" t="n">
        <v/>
      </c>
      <c r="AF467" t="n">
        <v>35.93031294</v>
      </c>
      <c r="AG467" t="n">
        <v/>
      </c>
      <c r="AH467" t="n">
        <v/>
      </c>
      <c r="AI467" t="n">
        <v>19.711917143</v>
      </c>
      <c r="AJ467" t="n">
        <v>18.349319833</v>
      </c>
      <c r="AK467" t="n">
        <v/>
      </c>
      <c r="AL467" t="n">
        <v/>
      </c>
      <c r="AM467" t="n">
        <v/>
      </c>
      <c r="AN467" t="n">
        <v>18.13736948</v>
      </c>
      <c r="AO467" t="n">
        <v/>
      </c>
      <c r="AP467" t="n">
        <v/>
      </c>
      <c r="AQ467" t="n">
        <v/>
      </c>
      <c r="AR467" t="n">
        <v/>
      </c>
      <c r="AS467" t="n">
        <v/>
      </c>
      <c r="AT467" t="n">
        <v>21.322241688</v>
      </c>
      <c r="AU467" t="n">
        <v/>
      </c>
    </row>
    <row r="468">
      <c r="A468" s="106" t="n">
        <v>21125</v>
      </c>
      <c r="B468" t="n">
        <v>12.610277536</v>
      </c>
      <c r="C468" t="n">
        <v>22.233408604</v>
      </c>
      <c r="D468" t="n">
        <v/>
      </c>
      <c r="E468" t="n">
        <v/>
      </c>
      <c r="F468" t="n">
        <v/>
      </c>
      <c r="G468" t="n">
        <v/>
      </c>
      <c r="H468" t="n">
        <v/>
      </c>
      <c r="I468" t="n">
        <v>12.610277536</v>
      </c>
      <c r="J468" t="n">
        <v/>
      </c>
      <c r="K468" t="n">
        <v/>
      </c>
      <c r="L468" t="n">
        <v/>
      </c>
      <c r="M468" t="n">
        <v/>
      </c>
      <c r="N468" t="n">
        <v/>
      </c>
      <c r="O468" t="n">
        <v/>
      </c>
      <c r="P468" t="n">
        <v/>
      </c>
      <c r="Q468" t="n">
        <v/>
      </c>
      <c r="R468" t="n">
        <v>32.500082685</v>
      </c>
      <c r="S468" t="n">
        <v/>
      </c>
      <c r="T468" t="n">
        <v/>
      </c>
      <c r="U468" t="n">
        <v/>
      </c>
      <c r="V468" t="n">
        <v/>
      </c>
      <c r="W468" t="n">
        <v/>
      </c>
      <c r="X468" t="n">
        <v/>
      </c>
      <c r="Y468" t="n">
        <v/>
      </c>
      <c r="Z468" t="n">
        <v/>
      </c>
      <c r="AA468" t="n">
        <v/>
      </c>
      <c r="AB468" t="n">
        <v/>
      </c>
      <c r="AC468" t="n">
        <v>26.277443415</v>
      </c>
      <c r="AD468" t="n">
        <v>9.085928654</v>
      </c>
      <c r="AE468" t="n">
        <v/>
      </c>
      <c r="AF468" t="n">
        <v>35.743317446</v>
      </c>
      <c r="AG468" t="n">
        <v/>
      </c>
      <c r="AH468" t="n">
        <v/>
      </c>
      <c r="AI468" t="n">
        <v>19.997597102</v>
      </c>
      <c r="AJ468" t="n">
        <v>18.051886968</v>
      </c>
      <c r="AK468" t="n">
        <v/>
      </c>
      <c r="AL468" t="n">
        <v/>
      </c>
      <c r="AM468" t="n">
        <v/>
      </c>
      <c r="AN468" t="n">
        <v>18.493336538</v>
      </c>
      <c r="AO468" t="n">
        <v/>
      </c>
      <c r="AP468" t="n">
        <v/>
      </c>
      <c r="AQ468" t="n">
        <v/>
      </c>
      <c r="AR468" t="n">
        <v/>
      </c>
      <c r="AS468" t="n">
        <v/>
      </c>
      <c r="AT468" t="n">
        <v>20.81455038</v>
      </c>
      <c r="AU468" t="n">
        <v/>
      </c>
    </row>
    <row r="469">
      <c r="A469" s="106" t="n">
        <v>21155</v>
      </c>
      <c r="B469" t="n">
        <v>12.618375108</v>
      </c>
      <c r="C469" t="n">
        <v>23.168959983</v>
      </c>
      <c r="D469" t="n">
        <v/>
      </c>
      <c r="E469" t="n">
        <v/>
      </c>
      <c r="F469" t="n">
        <v/>
      </c>
      <c r="G469" t="n">
        <v/>
      </c>
      <c r="H469" t="n">
        <v/>
      </c>
      <c r="I469" t="n">
        <v>12.618375108</v>
      </c>
      <c r="J469" t="n">
        <v/>
      </c>
      <c r="K469" t="n">
        <v/>
      </c>
      <c r="L469" t="n">
        <v/>
      </c>
      <c r="M469" t="n">
        <v/>
      </c>
      <c r="N469" t="n">
        <v/>
      </c>
      <c r="O469" t="n">
        <v/>
      </c>
      <c r="P469" t="n">
        <v/>
      </c>
      <c r="Q469" t="n">
        <v/>
      </c>
      <c r="R469" t="n">
        <v>32.897232379</v>
      </c>
      <c r="S469" t="n">
        <v/>
      </c>
      <c r="T469" t="n">
        <v/>
      </c>
      <c r="U469" t="n">
        <v/>
      </c>
      <c r="V469" t="n">
        <v/>
      </c>
      <c r="W469" t="n">
        <v/>
      </c>
      <c r="X469" t="n">
        <v/>
      </c>
      <c r="Y469" t="n">
        <v/>
      </c>
      <c r="Z469" t="n">
        <v/>
      </c>
      <c r="AA469" t="n">
        <v/>
      </c>
      <c r="AB469" t="n">
        <v/>
      </c>
      <c r="AC469" t="n">
        <v>26.562654447</v>
      </c>
      <c r="AD469" t="n">
        <v>8.917670716</v>
      </c>
      <c r="AE469" t="n">
        <v/>
      </c>
      <c r="AF469" t="n">
        <v>35.667245567</v>
      </c>
      <c r="AG469" t="n">
        <v/>
      </c>
      <c r="AH469" t="n">
        <v/>
      </c>
      <c r="AI469" t="n">
        <v>19.997597102</v>
      </c>
      <c r="AJ469" t="n">
        <v>18.074766419</v>
      </c>
      <c r="AK469" t="n">
        <v/>
      </c>
      <c r="AL469" t="n">
        <v/>
      </c>
      <c r="AM469" t="n">
        <v/>
      </c>
      <c r="AN469" t="n">
        <v>18.029877883</v>
      </c>
      <c r="AO469" t="n">
        <v/>
      </c>
      <c r="AP469" t="n">
        <v/>
      </c>
      <c r="AQ469" t="n">
        <v/>
      </c>
      <c r="AR469" t="n">
        <v/>
      </c>
      <c r="AS469" t="n">
        <v/>
      </c>
      <c r="AT469" t="n">
        <v>20.41375189</v>
      </c>
      <c r="AU469" t="n">
        <v/>
      </c>
    </row>
    <row r="470">
      <c r="A470" s="106" t="n">
        <v>21186</v>
      </c>
      <c r="B470" t="n">
        <v>12.842346513</v>
      </c>
      <c r="C470" t="n">
        <v>23.767539764</v>
      </c>
      <c r="D470" t="n">
        <v/>
      </c>
      <c r="E470" t="n">
        <v/>
      </c>
      <c r="F470" t="n">
        <v/>
      </c>
      <c r="G470" t="n">
        <v/>
      </c>
      <c r="H470" t="n">
        <v/>
      </c>
      <c r="I470" t="n">
        <v>12.842346513</v>
      </c>
      <c r="J470" t="n">
        <v/>
      </c>
      <c r="K470" t="n">
        <v>23.601720952</v>
      </c>
      <c r="L470" t="n">
        <v/>
      </c>
      <c r="M470" t="n">
        <v/>
      </c>
      <c r="N470" t="n">
        <v/>
      </c>
      <c r="O470" t="n">
        <v/>
      </c>
      <c r="P470" t="n">
        <v/>
      </c>
      <c r="Q470" t="n">
        <v>12.981956889</v>
      </c>
      <c r="R470" t="n">
        <v>33.228190444</v>
      </c>
      <c r="S470" t="n">
        <v/>
      </c>
      <c r="T470" t="n">
        <v/>
      </c>
      <c r="U470" t="n">
        <v/>
      </c>
      <c r="V470" t="n">
        <v/>
      </c>
      <c r="W470" t="n">
        <v/>
      </c>
      <c r="X470" t="n">
        <v/>
      </c>
      <c r="Y470" t="n">
        <v/>
      </c>
      <c r="Z470" t="n">
        <v/>
      </c>
      <c r="AA470" t="n">
        <v/>
      </c>
      <c r="AB470" t="n">
        <v/>
      </c>
      <c r="AC470" t="n">
        <v>26.961949894</v>
      </c>
      <c r="AD470" t="n">
        <v>8.833541747</v>
      </c>
      <c r="AE470" t="n">
        <v/>
      </c>
      <c r="AF470" t="n">
        <v>36.048778864</v>
      </c>
      <c r="AG470" t="n">
        <v/>
      </c>
      <c r="AH470" t="n">
        <v/>
      </c>
      <c r="AI470" t="n">
        <v>19.997597102</v>
      </c>
      <c r="AJ470" t="n">
        <v>18.303560931</v>
      </c>
      <c r="AK470" t="n">
        <v/>
      </c>
      <c r="AL470" t="n">
        <v/>
      </c>
      <c r="AM470" t="n">
        <v/>
      </c>
      <c r="AN470" t="n">
        <v>18.816092922</v>
      </c>
      <c r="AO470" t="n">
        <v/>
      </c>
      <c r="AP470" t="n">
        <v/>
      </c>
      <c r="AQ470" t="n">
        <v/>
      </c>
      <c r="AR470" t="n">
        <v/>
      </c>
      <c r="AS470" t="n">
        <v/>
      </c>
      <c r="AT470" t="n">
        <v>20.039627025</v>
      </c>
      <c r="AU470" t="n">
        <v/>
      </c>
    </row>
    <row r="471">
      <c r="A471" s="106" t="n">
        <v>21217</v>
      </c>
      <c r="B471" t="n">
        <v>12.83383947</v>
      </c>
      <c r="C471" t="n">
        <v>25.808322562</v>
      </c>
      <c r="D471" t="n">
        <v/>
      </c>
      <c r="E471" t="n">
        <v/>
      </c>
      <c r="F471" t="n">
        <v/>
      </c>
      <c r="G471" t="n">
        <v/>
      </c>
      <c r="H471" t="n">
        <v/>
      </c>
      <c r="I471" t="n">
        <v>12.83383947</v>
      </c>
      <c r="J471" t="n">
        <v/>
      </c>
      <c r="K471" t="n">
        <v>23.70092767</v>
      </c>
      <c r="L471" t="n">
        <v/>
      </c>
      <c r="M471" t="n">
        <v/>
      </c>
      <c r="N471" t="n">
        <v/>
      </c>
      <c r="O471" t="n">
        <v/>
      </c>
      <c r="P471" t="n">
        <v/>
      </c>
      <c r="Q471" t="n">
        <v>12.857330103</v>
      </c>
      <c r="R471" t="n">
        <v>33.360573673</v>
      </c>
      <c r="S471" t="n">
        <v/>
      </c>
      <c r="T471" t="n">
        <v/>
      </c>
      <c r="U471" t="n">
        <v/>
      </c>
      <c r="V471" t="n">
        <v/>
      </c>
      <c r="W471" t="n">
        <v/>
      </c>
      <c r="X471" t="n">
        <v/>
      </c>
      <c r="Y471" t="n">
        <v/>
      </c>
      <c r="Z471" t="n">
        <v/>
      </c>
      <c r="AA471" t="n">
        <v/>
      </c>
      <c r="AB471" t="n">
        <v/>
      </c>
      <c r="AC471" t="n">
        <v>26.410541894</v>
      </c>
      <c r="AD471" t="n">
        <v>8.917670716</v>
      </c>
      <c r="AE471" t="n">
        <v/>
      </c>
      <c r="AF471" t="n">
        <v>36.773059451</v>
      </c>
      <c r="AG471" t="n">
        <v/>
      </c>
      <c r="AH471" t="n">
        <v/>
      </c>
      <c r="AI471" t="n">
        <v>19.997597102</v>
      </c>
      <c r="AJ471" t="n">
        <v>18.257802029</v>
      </c>
      <c r="AK471" t="n">
        <v/>
      </c>
      <c r="AL471" t="n">
        <v/>
      </c>
      <c r="AM471" t="n">
        <v/>
      </c>
      <c r="AN471" t="n">
        <v>18.790966001</v>
      </c>
      <c r="AO471" t="n">
        <v/>
      </c>
      <c r="AP471" t="n">
        <v/>
      </c>
      <c r="AQ471" t="n">
        <v/>
      </c>
      <c r="AR471" t="n">
        <v/>
      </c>
      <c r="AS471" t="n">
        <v/>
      </c>
      <c r="AT471" t="n">
        <v>19.61215491</v>
      </c>
      <c r="AU471" t="n">
        <v/>
      </c>
    </row>
    <row r="472">
      <c r="A472" s="106" t="n">
        <v>21245</v>
      </c>
      <c r="B472" t="n">
        <v>12.671275676</v>
      </c>
      <c r="C472" t="n">
        <v>22.882706282</v>
      </c>
      <c r="D472" t="n">
        <v/>
      </c>
      <c r="E472" t="n">
        <v/>
      </c>
      <c r="F472" t="n">
        <v/>
      </c>
      <c r="G472" t="n">
        <v/>
      </c>
      <c r="H472" t="n">
        <v/>
      </c>
      <c r="I472" t="n">
        <v>12.671275676</v>
      </c>
      <c r="J472" t="n">
        <v/>
      </c>
      <c r="K472" t="n">
        <v>24.085981328</v>
      </c>
      <c r="L472" t="n">
        <v/>
      </c>
      <c r="M472" t="n">
        <v/>
      </c>
      <c r="N472" t="n">
        <v/>
      </c>
      <c r="O472" t="n">
        <v/>
      </c>
      <c r="P472" t="n">
        <v/>
      </c>
      <c r="Q472" t="n">
        <v>12.587305399</v>
      </c>
      <c r="R472" t="n">
        <v>33.261286249</v>
      </c>
      <c r="S472" t="n">
        <v/>
      </c>
      <c r="T472" t="n">
        <v/>
      </c>
      <c r="U472" t="n">
        <v/>
      </c>
      <c r="V472" t="n">
        <v/>
      </c>
      <c r="W472" t="n">
        <v/>
      </c>
      <c r="X472" t="n">
        <v/>
      </c>
      <c r="Y472" t="n">
        <v/>
      </c>
      <c r="Z472" t="n">
        <v/>
      </c>
      <c r="AA472" t="n">
        <v/>
      </c>
      <c r="AB472" t="n">
        <v/>
      </c>
      <c r="AC472" t="n">
        <v>26.372513755</v>
      </c>
      <c r="AD472" t="n">
        <v>8.833541747</v>
      </c>
      <c r="AE472" t="n">
        <v/>
      </c>
      <c r="AF472" t="n">
        <v>35.235647887</v>
      </c>
      <c r="AG472" t="n">
        <v/>
      </c>
      <c r="AH472" t="n">
        <v/>
      </c>
      <c r="AI472" t="n">
        <v>20.28327706</v>
      </c>
      <c r="AJ472" t="n">
        <v>18.578114345</v>
      </c>
      <c r="AK472" t="n">
        <v/>
      </c>
      <c r="AL472" t="n">
        <v/>
      </c>
      <c r="AM472" t="n">
        <v/>
      </c>
      <c r="AN472" t="n">
        <v>19.131789593</v>
      </c>
      <c r="AO472" t="n">
        <v/>
      </c>
      <c r="AP472" t="n">
        <v/>
      </c>
      <c r="AQ472" t="n">
        <v/>
      </c>
      <c r="AR472" t="n">
        <v/>
      </c>
      <c r="AS472" t="n">
        <v/>
      </c>
      <c r="AT472" t="n">
        <v>19.371695648</v>
      </c>
      <c r="AU472" t="n">
        <v/>
      </c>
    </row>
    <row r="473">
      <c r="A473" s="106" t="n">
        <v>21276</v>
      </c>
      <c r="B473" t="n">
        <v>12.616838057</v>
      </c>
      <c r="C473" t="n">
        <v>22.992208699</v>
      </c>
      <c r="D473" t="n">
        <v/>
      </c>
      <c r="E473" t="n">
        <v/>
      </c>
      <c r="F473" t="n">
        <v/>
      </c>
      <c r="G473" t="n">
        <v/>
      </c>
      <c r="H473" t="n">
        <v/>
      </c>
      <c r="I473" t="n">
        <v>12.616838057</v>
      </c>
      <c r="J473" t="n">
        <v/>
      </c>
      <c r="K473" t="n">
        <v>23.329040403</v>
      </c>
      <c r="L473" t="n">
        <v/>
      </c>
      <c r="M473" t="n">
        <v/>
      </c>
      <c r="N473" t="n">
        <v/>
      </c>
      <c r="O473" t="n">
        <v/>
      </c>
      <c r="P473" t="n">
        <v/>
      </c>
      <c r="Q473" t="n">
        <v>12.774245578</v>
      </c>
      <c r="R473" t="n">
        <v>32.963423988</v>
      </c>
      <c r="S473" t="n">
        <v/>
      </c>
      <c r="T473" t="n">
        <v/>
      </c>
      <c r="U473" t="n">
        <v/>
      </c>
      <c r="V473" t="n">
        <v/>
      </c>
      <c r="W473" t="n">
        <v/>
      </c>
      <c r="X473" t="n">
        <v/>
      </c>
      <c r="Y473" t="n">
        <v/>
      </c>
      <c r="Z473" t="n">
        <v/>
      </c>
      <c r="AA473" t="n">
        <v/>
      </c>
      <c r="AB473" t="n">
        <v/>
      </c>
      <c r="AC473" t="n">
        <v>26.277443415</v>
      </c>
      <c r="AD473" t="n">
        <v>8.833541747</v>
      </c>
      <c r="AE473" t="n">
        <v/>
      </c>
      <c r="AF473" t="n">
        <v>35.435675989</v>
      </c>
      <c r="AG473" t="n">
        <v/>
      </c>
      <c r="AH473" t="n">
        <v/>
      </c>
      <c r="AI473" t="n">
        <v>19.997597102</v>
      </c>
      <c r="AJ473" t="n">
        <v>18.006128066</v>
      </c>
      <c r="AK473" t="n">
        <v/>
      </c>
      <c r="AL473" t="n">
        <v/>
      </c>
      <c r="AM473" t="n">
        <v/>
      </c>
      <c r="AN473" t="n">
        <v>18.967002336</v>
      </c>
      <c r="AO473" t="n">
        <v/>
      </c>
      <c r="AP473" t="n">
        <v/>
      </c>
      <c r="AQ473" t="n">
        <v/>
      </c>
      <c r="AR473" t="n">
        <v/>
      </c>
      <c r="AS473" t="n">
        <v/>
      </c>
      <c r="AT473" t="n">
        <v>19.051017192</v>
      </c>
      <c r="AU473" t="n">
        <v/>
      </c>
    </row>
    <row r="474">
      <c r="A474" s="106" t="n">
        <v>21306</v>
      </c>
      <c r="B474" t="n">
        <v>12.689763778</v>
      </c>
      <c r="C474" t="n">
        <v>23.029842848</v>
      </c>
      <c r="D474" t="n">
        <v/>
      </c>
      <c r="E474" t="n">
        <v/>
      </c>
      <c r="F474" t="n">
        <v/>
      </c>
      <c r="G474" t="n">
        <v/>
      </c>
      <c r="H474" t="n">
        <v/>
      </c>
      <c r="I474" t="n">
        <v>12.689763778</v>
      </c>
      <c r="J474" t="n">
        <v/>
      </c>
      <c r="K474" t="n">
        <v>23.61413039</v>
      </c>
      <c r="L474" t="n">
        <v/>
      </c>
      <c r="M474" t="n">
        <v/>
      </c>
      <c r="N474" t="n">
        <v/>
      </c>
      <c r="O474" t="n">
        <v/>
      </c>
      <c r="P474" t="n">
        <v/>
      </c>
      <c r="Q474" t="n">
        <v>12.732703316</v>
      </c>
      <c r="R474" t="n">
        <v>32.731753336</v>
      </c>
      <c r="S474" t="n">
        <v/>
      </c>
      <c r="T474" t="n">
        <v/>
      </c>
      <c r="U474" t="n">
        <v/>
      </c>
      <c r="V474" t="n">
        <v/>
      </c>
      <c r="W474" t="n">
        <v/>
      </c>
      <c r="X474" t="n">
        <v/>
      </c>
      <c r="Y474" t="n">
        <v/>
      </c>
      <c r="Z474" t="n">
        <v/>
      </c>
      <c r="AA474" t="n">
        <v/>
      </c>
      <c r="AB474" t="n">
        <v/>
      </c>
      <c r="AC474" t="n">
        <v>26.334485617</v>
      </c>
      <c r="AD474" t="n">
        <v>8.58115484</v>
      </c>
      <c r="AE474" t="n">
        <v/>
      </c>
      <c r="AF474" t="n">
        <v>35.036014143</v>
      </c>
      <c r="AG474" t="n">
        <v/>
      </c>
      <c r="AH474" t="n">
        <v/>
      </c>
      <c r="AI474" t="n">
        <v>20.28327706</v>
      </c>
      <c r="AJ474" t="n">
        <v>17.937489712</v>
      </c>
      <c r="AK474" t="n">
        <v/>
      </c>
      <c r="AL474" t="n">
        <v/>
      </c>
      <c r="AM474" t="n">
        <v/>
      </c>
      <c r="AN474" t="n">
        <v>19.7224852</v>
      </c>
      <c r="AO474" t="n">
        <v/>
      </c>
      <c r="AP474" t="n">
        <v/>
      </c>
      <c r="AQ474" t="n">
        <v/>
      </c>
      <c r="AR474" t="n">
        <v/>
      </c>
      <c r="AS474" t="n">
        <v/>
      </c>
      <c r="AT474" t="n">
        <v>19.238030045</v>
      </c>
      <c r="AU474" t="n">
        <v/>
      </c>
    </row>
    <row r="475">
      <c r="A475" s="106" t="n">
        <v>21337</v>
      </c>
      <c r="B475" t="n">
        <v>12.736580431</v>
      </c>
      <c r="C475" t="n">
        <v>22.889327684</v>
      </c>
      <c r="D475" t="n">
        <v/>
      </c>
      <c r="E475" t="n">
        <v/>
      </c>
      <c r="F475" t="n">
        <v/>
      </c>
      <c r="G475" t="n">
        <v/>
      </c>
      <c r="H475" t="n">
        <v/>
      </c>
      <c r="I475" t="n">
        <v>12.736580431</v>
      </c>
      <c r="J475" t="n">
        <v/>
      </c>
      <c r="K475" t="n">
        <v>23.902680279</v>
      </c>
      <c r="L475" t="n">
        <v/>
      </c>
      <c r="M475" t="n">
        <v/>
      </c>
      <c r="N475" t="n">
        <v/>
      </c>
      <c r="O475" t="n">
        <v/>
      </c>
      <c r="P475" t="n">
        <v/>
      </c>
      <c r="Q475" t="n">
        <v>12.649618792</v>
      </c>
      <c r="R475" t="n">
        <v>32.963423988</v>
      </c>
      <c r="S475" t="n">
        <v/>
      </c>
      <c r="T475" t="n">
        <v/>
      </c>
      <c r="U475" t="n">
        <v/>
      </c>
      <c r="V475" t="n">
        <v/>
      </c>
      <c r="W475" t="n">
        <v/>
      </c>
      <c r="X475" t="n">
        <v/>
      </c>
      <c r="Y475" t="n">
        <v/>
      </c>
      <c r="Z475" t="n">
        <v/>
      </c>
      <c r="AA475" t="n">
        <v/>
      </c>
      <c r="AB475" t="n">
        <v/>
      </c>
      <c r="AC475" t="n">
        <v>26.980963968</v>
      </c>
      <c r="AD475" t="n">
        <v>8.497025871</v>
      </c>
      <c r="AE475" t="n">
        <v/>
      </c>
      <c r="AF475" t="n">
        <v>34.626489594</v>
      </c>
      <c r="AG475" t="n">
        <v/>
      </c>
      <c r="AH475" t="n">
        <v/>
      </c>
      <c r="AI475" t="n">
        <v>20.28327706</v>
      </c>
      <c r="AJ475" t="n">
        <v>18.806908857</v>
      </c>
      <c r="AK475" t="n">
        <v/>
      </c>
      <c r="AL475" t="n">
        <v/>
      </c>
      <c r="AM475" t="n">
        <v/>
      </c>
      <c r="AN475" t="n">
        <v>18.548231336</v>
      </c>
      <c r="AO475" t="n">
        <v/>
      </c>
      <c r="AP475" t="n">
        <v/>
      </c>
      <c r="AQ475" t="n">
        <v/>
      </c>
      <c r="AR475" t="n">
        <v/>
      </c>
      <c r="AS475" t="n">
        <v/>
      </c>
      <c r="AT475" t="n">
        <v>19.745721354</v>
      </c>
      <c r="AU475" t="n">
        <v/>
      </c>
    </row>
    <row r="476">
      <c r="A476" s="106" t="n">
        <v>21367</v>
      </c>
      <c r="B476" t="n">
        <v>12.970367157</v>
      </c>
      <c r="C476" t="n">
        <v>23.313869324</v>
      </c>
      <c r="D476" t="n">
        <v/>
      </c>
      <c r="E476" t="n">
        <v/>
      </c>
      <c r="F476" t="n">
        <v/>
      </c>
      <c r="G476" t="n">
        <v/>
      </c>
      <c r="H476" t="n">
        <v/>
      </c>
      <c r="I476" t="n">
        <v>12.970367157</v>
      </c>
      <c r="J476" t="n">
        <v/>
      </c>
      <c r="K476" t="n">
        <v>23.494208675</v>
      </c>
      <c r="L476" t="n">
        <v/>
      </c>
      <c r="M476" t="n">
        <v/>
      </c>
      <c r="N476" t="n">
        <v/>
      </c>
      <c r="O476" t="n">
        <v/>
      </c>
      <c r="P476" t="n">
        <v/>
      </c>
      <c r="Q476" t="n">
        <v>12.60807653</v>
      </c>
      <c r="R476" t="n">
        <v>32.698657532</v>
      </c>
      <c r="S476" t="n">
        <v/>
      </c>
      <c r="T476" t="n">
        <v/>
      </c>
      <c r="U476" t="n">
        <v/>
      </c>
      <c r="V476" t="n">
        <v/>
      </c>
      <c r="W476" t="n">
        <v/>
      </c>
      <c r="X476" t="n">
        <v/>
      </c>
      <c r="Y476" t="n">
        <v/>
      </c>
      <c r="Z476" t="n">
        <v/>
      </c>
      <c r="AA476" t="n">
        <v/>
      </c>
      <c r="AB476" t="n">
        <v/>
      </c>
      <c r="AC476" t="n">
        <v>27.228146862</v>
      </c>
      <c r="AD476" t="n">
        <v>8.833541747</v>
      </c>
      <c r="AE476" t="n">
        <v/>
      </c>
      <c r="AF476" t="n">
        <v>34.32513708</v>
      </c>
      <c r="AG476" t="n">
        <v/>
      </c>
      <c r="AH476" t="n">
        <v/>
      </c>
      <c r="AI476" t="n">
        <v>20.28327706</v>
      </c>
      <c r="AJ476" t="n">
        <v>18.463717089</v>
      </c>
      <c r="AK476" t="n">
        <v/>
      </c>
      <c r="AL476" t="n">
        <v/>
      </c>
      <c r="AM476" t="n">
        <v/>
      </c>
      <c r="AN476" t="n">
        <v>19.198796871</v>
      </c>
      <c r="AO476" t="n">
        <v/>
      </c>
      <c r="AP476" t="n">
        <v/>
      </c>
      <c r="AQ476" t="n">
        <v/>
      </c>
      <c r="AR476" t="n">
        <v/>
      </c>
      <c r="AS476" t="n">
        <v/>
      </c>
      <c r="AT476" t="n">
        <v>20.039627025</v>
      </c>
      <c r="AU476" t="n">
        <v/>
      </c>
    </row>
    <row r="477">
      <c r="A477" s="106" t="n">
        <v>21398</v>
      </c>
      <c r="B477" t="n">
        <v>12.593355593</v>
      </c>
      <c r="C477" t="n">
        <v>22.816067407</v>
      </c>
      <c r="D477" t="n">
        <v/>
      </c>
      <c r="E477" t="n">
        <v/>
      </c>
      <c r="F477" t="n">
        <v/>
      </c>
      <c r="G477" t="n">
        <v/>
      </c>
      <c r="H477" t="n">
        <v/>
      </c>
      <c r="I477" t="n">
        <v>12.593355593</v>
      </c>
      <c r="J477" t="n">
        <v/>
      </c>
      <c r="K477" t="n">
        <v>24.390604466</v>
      </c>
      <c r="L477" t="n">
        <v/>
      </c>
      <c r="M477" t="n">
        <v/>
      </c>
      <c r="N477" t="n">
        <v/>
      </c>
      <c r="O477" t="n">
        <v/>
      </c>
      <c r="P477" t="n">
        <v/>
      </c>
      <c r="Q477" t="n">
        <v>12.815787841</v>
      </c>
      <c r="R477" t="n">
        <v>32.698657532</v>
      </c>
      <c r="S477" t="n">
        <v/>
      </c>
      <c r="T477" t="n">
        <v/>
      </c>
      <c r="U477" t="n">
        <v/>
      </c>
      <c r="V477" t="n">
        <v/>
      </c>
      <c r="W477" t="n">
        <v/>
      </c>
      <c r="X477" t="n">
        <v/>
      </c>
      <c r="Y477" t="n">
        <v/>
      </c>
      <c r="Z477" t="n">
        <v/>
      </c>
      <c r="AA477" t="n">
        <v/>
      </c>
      <c r="AB477" t="n">
        <v/>
      </c>
      <c r="AC477" t="n">
        <v>27.17110466</v>
      </c>
      <c r="AD477" t="n">
        <v>8.917670716</v>
      </c>
      <c r="AE477" t="n">
        <v/>
      </c>
      <c r="AF477" t="n">
        <v>34.626550676</v>
      </c>
      <c r="AG477" t="n">
        <v/>
      </c>
      <c r="AH477" t="n">
        <v/>
      </c>
      <c r="AI477" t="n">
        <v>20.568957019</v>
      </c>
      <c r="AJ477" t="n">
        <v>18.372199284</v>
      </c>
      <c r="AK477" t="n">
        <v/>
      </c>
      <c r="AL477" t="n">
        <v/>
      </c>
      <c r="AM477" t="n">
        <v/>
      </c>
      <c r="AN477" t="n">
        <v>20.102089155</v>
      </c>
      <c r="AO477" t="n">
        <v/>
      </c>
      <c r="AP477" t="n">
        <v/>
      </c>
      <c r="AQ477" t="n">
        <v/>
      </c>
      <c r="AR477" t="n">
        <v/>
      </c>
      <c r="AS477" t="n">
        <v/>
      </c>
      <c r="AT477" t="n">
        <v>20.440425515</v>
      </c>
      <c r="AU477" t="n">
        <v/>
      </c>
    </row>
    <row r="478">
      <c r="A478" s="106" t="n">
        <v>21429</v>
      </c>
      <c r="B478" t="n">
        <v>12.54511045</v>
      </c>
      <c r="C478" t="n">
        <v>22.853644263</v>
      </c>
      <c r="D478" t="n">
        <v/>
      </c>
      <c r="E478" t="n">
        <v/>
      </c>
      <c r="F478" t="n">
        <v/>
      </c>
      <c r="G478" t="n">
        <v/>
      </c>
      <c r="H478" t="n">
        <v/>
      </c>
      <c r="I478" t="n">
        <v>12.54511045</v>
      </c>
      <c r="J478" t="n">
        <v/>
      </c>
      <c r="K478" t="n">
        <v>23.698821313</v>
      </c>
      <c r="L478" t="n">
        <v/>
      </c>
      <c r="M478" t="n">
        <v/>
      </c>
      <c r="N478" t="n">
        <v/>
      </c>
      <c r="O478" t="n">
        <v/>
      </c>
      <c r="P478" t="n">
        <v/>
      </c>
      <c r="Q478" t="n">
        <v>12.898872365</v>
      </c>
      <c r="R478" t="n">
        <v>32.500082685</v>
      </c>
      <c r="S478" t="n">
        <v/>
      </c>
      <c r="T478" t="n">
        <v/>
      </c>
      <c r="U478" t="n">
        <v/>
      </c>
      <c r="V478" t="n">
        <v/>
      </c>
      <c r="W478" t="n">
        <v/>
      </c>
      <c r="X478" t="n">
        <v/>
      </c>
      <c r="Y478" t="n">
        <v/>
      </c>
      <c r="Z478" t="n">
        <v/>
      </c>
      <c r="AA478" t="n">
        <v/>
      </c>
      <c r="AB478" t="n">
        <v/>
      </c>
      <c r="AC478" t="n">
        <v>27.627442309</v>
      </c>
      <c r="AD478" t="n">
        <v>8.917670716</v>
      </c>
      <c r="AE478" t="n">
        <v/>
      </c>
      <c r="AF478" t="n">
        <v>34.395315955</v>
      </c>
      <c r="AG478" t="n">
        <v/>
      </c>
      <c r="AH478" t="n">
        <v/>
      </c>
      <c r="AI478" t="n">
        <v>20.854636977</v>
      </c>
      <c r="AJ478" t="n">
        <v>18.09764587</v>
      </c>
      <c r="AK478" t="n">
        <v/>
      </c>
      <c r="AL478" t="n">
        <v/>
      </c>
      <c r="AM478" t="n">
        <v/>
      </c>
      <c r="AN478" t="n">
        <v>20.388122892</v>
      </c>
      <c r="AO478" t="n">
        <v/>
      </c>
      <c r="AP478" t="n">
        <v/>
      </c>
      <c r="AQ478" t="n">
        <v/>
      </c>
      <c r="AR478" t="n">
        <v/>
      </c>
      <c r="AS478" t="n">
        <v/>
      </c>
      <c r="AT478" t="n">
        <v>20.627537527</v>
      </c>
      <c r="AU478" t="n">
        <v/>
      </c>
    </row>
    <row r="479">
      <c r="A479" s="106" t="n">
        <v>21459</v>
      </c>
      <c r="B479" t="n">
        <v>12.929547323</v>
      </c>
      <c r="C479" t="n">
        <v>23.020214803</v>
      </c>
      <c r="D479" t="n">
        <v/>
      </c>
      <c r="E479" t="n">
        <v/>
      </c>
      <c r="F479" t="n">
        <v/>
      </c>
      <c r="G479" t="n">
        <v/>
      </c>
      <c r="H479" t="n">
        <v/>
      </c>
      <c r="I479" t="n">
        <v>12.929547323</v>
      </c>
      <c r="J479" t="n">
        <v/>
      </c>
      <c r="K479" t="n">
        <v>23.690462547</v>
      </c>
      <c r="L479" t="n">
        <v/>
      </c>
      <c r="M479" t="n">
        <v/>
      </c>
      <c r="N479" t="n">
        <v/>
      </c>
      <c r="O479" t="n">
        <v/>
      </c>
      <c r="P479" t="n">
        <v/>
      </c>
      <c r="Q479" t="n">
        <v>13.065041413</v>
      </c>
      <c r="R479" t="n">
        <v>32.566274303</v>
      </c>
      <c r="S479" t="n">
        <v/>
      </c>
      <c r="T479" t="n">
        <v/>
      </c>
      <c r="U479" t="n">
        <v/>
      </c>
      <c r="V479" t="n">
        <v/>
      </c>
      <c r="W479" t="n">
        <v/>
      </c>
      <c r="X479" t="n">
        <v/>
      </c>
      <c r="Y479" t="n">
        <v/>
      </c>
      <c r="Z479" t="n">
        <v/>
      </c>
      <c r="AA479" t="n">
        <v/>
      </c>
      <c r="AB479" t="n">
        <v/>
      </c>
      <c r="AC479" t="n">
        <v>27.779554862</v>
      </c>
      <c r="AD479" t="n">
        <v>9.170057623</v>
      </c>
      <c r="AE479" t="n">
        <v/>
      </c>
      <c r="AF479" t="n">
        <v>34.423929894</v>
      </c>
      <c r="AG479" t="n">
        <v/>
      </c>
      <c r="AH479" t="n">
        <v/>
      </c>
      <c r="AI479" t="n">
        <v>21.140316936</v>
      </c>
      <c r="AJ479" t="n">
        <v>18.623873247</v>
      </c>
      <c r="AK479" t="n">
        <v/>
      </c>
      <c r="AL479" t="n">
        <v/>
      </c>
      <c r="AM479" t="n">
        <v/>
      </c>
      <c r="AN479" t="n">
        <v>20.538558418</v>
      </c>
      <c r="AO479" t="n">
        <v/>
      </c>
      <c r="AP479" t="n">
        <v/>
      </c>
      <c r="AQ479" t="n">
        <v/>
      </c>
      <c r="AR479" t="n">
        <v/>
      </c>
      <c r="AS479" t="n">
        <v/>
      </c>
      <c r="AT479" t="n">
        <v>20.867996789</v>
      </c>
      <c r="AU479" t="n">
        <v/>
      </c>
    </row>
    <row r="480">
      <c r="A480" s="106" t="n">
        <v>21490</v>
      </c>
      <c r="B480" t="n">
        <v>12.681726191</v>
      </c>
      <c r="C480" t="n">
        <v>23.266570439</v>
      </c>
      <c r="D480" t="n">
        <v/>
      </c>
      <c r="E480" t="n">
        <v/>
      </c>
      <c r="F480" t="n">
        <v/>
      </c>
      <c r="G480" t="n">
        <v/>
      </c>
      <c r="H480" t="n">
        <v/>
      </c>
      <c r="I480" t="n">
        <v>12.681726191</v>
      </c>
      <c r="J480" t="n">
        <v/>
      </c>
      <c r="K480" t="n">
        <v>24.241933426</v>
      </c>
      <c r="L480" t="n">
        <v/>
      </c>
      <c r="M480" t="n">
        <v/>
      </c>
      <c r="N480" t="n">
        <v/>
      </c>
      <c r="O480" t="n">
        <v/>
      </c>
      <c r="P480" t="n">
        <v/>
      </c>
      <c r="Q480" t="n">
        <v>13.397379509</v>
      </c>
      <c r="R480" t="n">
        <v>32.136028805</v>
      </c>
      <c r="S480" t="n">
        <v/>
      </c>
      <c r="T480" t="n">
        <v/>
      </c>
      <c r="U480" t="n">
        <v/>
      </c>
      <c r="V480" t="n">
        <v/>
      </c>
      <c r="W480" t="n">
        <v/>
      </c>
      <c r="X480" t="n">
        <v/>
      </c>
      <c r="Y480" t="n">
        <v/>
      </c>
      <c r="Z480" t="n">
        <v/>
      </c>
      <c r="AA480" t="n">
        <v/>
      </c>
      <c r="AB480" t="n">
        <v/>
      </c>
      <c r="AC480" t="n">
        <v>27.95068149</v>
      </c>
      <c r="AD480" t="n">
        <v>9.085928654</v>
      </c>
      <c r="AE480" t="n">
        <v/>
      </c>
      <c r="AF480" t="n">
        <v>34.881922355</v>
      </c>
      <c r="AG480" t="n">
        <v/>
      </c>
      <c r="AH480" t="n">
        <v/>
      </c>
      <c r="AI480" t="n">
        <v>20.854636977</v>
      </c>
      <c r="AJ480" t="n">
        <v>18.692511601</v>
      </c>
      <c r="AK480" t="n">
        <v/>
      </c>
      <c r="AL480" t="n">
        <v/>
      </c>
      <c r="AM480" t="n">
        <v/>
      </c>
      <c r="AN480" t="n">
        <v>20.932219174</v>
      </c>
      <c r="AO480" t="n">
        <v/>
      </c>
      <c r="AP480" t="n">
        <v/>
      </c>
      <c r="AQ480" t="n">
        <v/>
      </c>
      <c r="AR480" t="n">
        <v/>
      </c>
      <c r="AS480" t="n">
        <v/>
      </c>
      <c r="AT480" t="n">
        <v>21.482580916</v>
      </c>
      <c r="AU480" t="n">
        <v/>
      </c>
    </row>
    <row r="481">
      <c r="A481" s="106" t="n">
        <v>21520</v>
      </c>
      <c r="B481" t="n">
        <v>12.827692301</v>
      </c>
      <c r="C481" t="n">
        <v>22.679400962</v>
      </c>
      <c r="D481" t="n">
        <v/>
      </c>
      <c r="E481" t="n">
        <v/>
      </c>
      <c r="F481" t="n">
        <v/>
      </c>
      <c r="G481" t="n">
        <v/>
      </c>
      <c r="H481" t="n">
        <v/>
      </c>
      <c r="I481" t="n">
        <v>12.827692301</v>
      </c>
      <c r="J481" t="n">
        <v/>
      </c>
      <c r="K481" t="n">
        <v>24.340309467</v>
      </c>
      <c r="L481" t="n">
        <v/>
      </c>
      <c r="M481" t="n">
        <v/>
      </c>
      <c r="N481" t="n">
        <v/>
      </c>
      <c r="O481" t="n">
        <v/>
      </c>
      <c r="P481" t="n">
        <v/>
      </c>
      <c r="Q481" t="n">
        <v>12.981956889</v>
      </c>
      <c r="R481" t="n">
        <v>31.871262348</v>
      </c>
      <c r="S481" t="n">
        <v/>
      </c>
      <c r="T481" t="n">
        <v/>
      </c>
      <c r="U481" t="n">
        <v/>
      </c>
      <c r="V481" t="n">
        <v/>
      </c>
      <c r="W481" t="n">
        <v/>
      </c>
      <c r="X481" t="n">
        <v/>
      </c>
      <c r="Y481" t="n">
        <v/>
      </c>
      <c r="Z481" t="n">
        <v/>
      </c>
      <c r="AA481" t="n">
        <v/>
      </c>
      <c r="AB481" t="n">
        <v/>
      </c>
      <c r="AC481" t="n">
        <v>27.95068149</v>
      </c>
      <c r="AD481" t="n">
        <v>9.338315561</v>
      </c>
      <c r="AE481" t="n">
        <v/>
      </c>
      <c r="AF481" t="n">
        <v>35.063765715</v>
      </c>
      <c r="AG481" t="n">
        <v/>
      </c>
      <c r="AH481" t="n">
        <v/>
      </c>
      <c r="AI481" t="n">
        <v>21.140316936</v>
      </c>
      <c r="AJ481" t="n">
        <v>18.715391052</v>
      </c>
      <c r="AK481" t="n">
        <v/>
      </c>
      <c r="AL481" t="n">
        <v/>
      </c>
      <c r="AM481" t="n">
        <v/>
      </c>
      <c r="AN481" t="n">
        <v>20.344368453</v>
      </c>
      <c r="AO481" t="n">
        <v/>
      </c>
      <c r="AP481" t="n">
        <v/>
      </c>
      <c r="AQ481" t="n">
        <v/>
      </c>
      <c r="AR481" t="n">
        <v/>
      </c>
      <c r="AS481" t="n">
        <v/>
      </c>
      <c r="AT481" t="n">
        <v>21.509254542</v>
      </c>
      <c r="AU481" t="n">
        <v/>
      </c>
    </row>
    <row r="482">
      <c r="A482" s="106" t="n">
        <v>21551</v>
      </c>
      <c r="B482" t="n">
        <v>12.961551072</v>
      </c>
      <c r="C482" t="n">
        <v>22.891264807</v>
      </c>
      <c r="D482" t="n">
        <v/>
      </c>
      <c r="E482" t="n">
        <v/>
      </c>
      <c r="F482" t="n">
        <v/>
      </c>
      <c r="G482" t="n">
        <v/>
      </c>
      <c r="H482" t="n">
        <v/>
      </c>
      <c r="I482" t="n">
        <v>12.961551072</v>
      </c>
      <c r="J482" t="n">
        <v/>
      </c>
      <c r="K482" t="n">
        <v>24.125771169</v>
      </c>
      <c r="L482" t="n">
        <v/>
      </c>
      <c r="M482" t="n">
        <v/>
      </c>
      <c r="N482" t="n">
        <v/>
      </c>
      <c r="O482" t="n">
        <v/>
      </c>
      <c r="P482" t="n">
        <v/>
      </c>
      <c r="Q482" t="n">
        <v>13.023499151</v>
      </c>
      <c r="R482" t="n">
        <v>31.705783316</v>
      </c>
      <c r="S482" t="n">
        <v/>
      </c>
      <c r="T482" t="n">
        <v/>
      </c>
      <c r="U482" t="n">
        <v/>
      </c>
      <c r="V482" t="n">
        <v/>
      </c>
      <c r="W482" t="n">
        <v/>
      </c>
      <c r="X482" t="n">
        <v/>
      </c>
      <c r="Y482" t="n">
        <v/>
      </c>
      <c r="Z482" t="n">
        <v/>
      </c>
      <c r="AA482" t="n">
        <v/>
      </c>
      <c r="AB482" t="n">
        <v/>
      </c>
      <c r="AC482" t="n">
        <v>28.064765905</v>
      </c>
      <c r="AD482" t="n">
        <v>9.42244453</v>
      </c>
      <c r="AE482" t="n">
        <v/>
      </c>
      <c r="AF482" t="n">
        <v>34.967418059</v>
      </c>
      <c r="AG482" t="n">
        <v/>
      </c>
      <c r="AH482" t="n">
        <v/>
      </c>
      <c r="AI482" t="n">
        <v>21.425996895</v>
      </c>
      <c r="AJ482" t="n">
        <v>18.509475991</v>
      </c>
      <c r="AK482" t="n">
        <v/>
      </c>
      <c r="AL482" t="n">
        <v/>
      </c>
      <c r="AM482" t="n">
        <v/>
      </c>
      <c r="AN482" t="n">
        <v>21.252030817</v>
      </c>
      <c r="AO482" t="n">
        <v/>
      </c>
      <c r="AP482" t="n">
        <v/>
      </c>
      <c r="AQ482" t="n">
        <v/>
      </c>
      <c r="AR482" t="n">
        <v>24.558810802</v>
      </c>
      <c r="AS482" t="n">
        <v/>
      </c>
      <c r="AT482" t="n">
        <v>21.829833839</v>
      </c>
      <c r="AU482" t="n">
        <v/>
      </c>
    </row>
    <row r="483">
      <c r="A483" s="106" t="n">
        <v>21582</v>
      </c>
      <c r="B483" t="n">
        <v>12.939468483</v>
      </c>
      <c r="C483" t="n">
        <v>23.567208776</v>
      </c>
      <c r="D483" t="n">
        <v/>
      </c>
      <c r="E483" t="n">
        <v/>
      </c>
      <c r="F483" t="n">
        <v/>
      </c>
      <c r="G483" t="n">
        <v/>
      </c>
      <c r="H483" t="n">
        <v/>
      </c>
      <c r="I483" t="n">
        <v>12.939468483</v>
      </c>
      <c r="J483" t="n">
        <v/>
      </c>
      <c r="K483" t="n">
        <v>24.191118085</v>
      </c>
      <c r="L483" t="n">
        <v/>
      </c>
      <c r="M483" t="n">
        <v/>
      </c>
      <c r="N483" t="n">
        <v/>
      </c>
      <c r="O483" t="n">
        <v/>
      </c>
      <c r="P483" t="n">
        <v/>
      </c>
      <c r="Q483" t="n">
        <v>13.251981592</v>
      </c>
      <c r="R483" t="n">
        <v>31.937453967</v>
      </c>
      <c r="S483" t="n">
        <v/>
      </c>
      <c r="T483" t="n">
        <v/>
      </c>
      <c r="U483" t="n">
        <v/>
      </c>
      <c r="V483" t="n">
        <v/>
      </c>
      <c r="W483" t="n">
        <v/>
      </c>
      <c r="X483" t="n">
        <v/>
      </c>
      <c r="Y483" t="n">
        <v/>
      </c>
      <c r="Z483" t="n">
        <v/>
      </c>
      <c r="AA483" t="n">
        <v/>
      </c>
      <c r="AB483" t="n">
        <v/>
      </c>
      <c r="AC483" t="n">
        <v>28.996455289</v>
      </c>
      <c r="AD483" t="n">
        <v>9.758960406</v>
      </c>
      <c r="AE483" t="n">
        <v/>
      </c>
      <c r="AF483" t="n">
        <v>34.754447594</v>
      </c>
      <c r="AG483" t="n">
        <v/>
      </c>
      <c r="AH483" t="n">
        <v/>
      </c>
      <c r="AI483" t="n">
        <v>21.425996895</v>
      </c>
      <c r="AJ483" t="n">
        <v>18.944185564</v>
      </c>
      <c r="AK483" t="n">
        <v/>
      </c>
      <c r="AL483" t="n">
        <v/>
      </c>
      <c r="AM483" t="n">
        <v/>
      </c>
      <c r="AN483" t="n">
        <v>21.052201358</v>
      </c>
      <c r="AO483" t="n">
        <v/>
      </c>
      <c r="AP483" t="n">
        <v/>
      </c>
      <c r="AQ483" t="n">
        <v/>
      </c>
      <c r="AR483" t="n">
        <v>25.013603594</v>
      </c>
      <c r="AS483" t="n">
        <v/>
      </c>
      <c r="AT483" t="n">
        <v>22.257405112</v>
      </c>
      <c r="AU483" t="n">
        <v/>
      </c>
    </row>
    <row r="484">
      <c r="A484" s="106" t="n">
        <v>21610</v>
      </c>
      <c r="B484" t="n">
        <v>12.652549361</v>
      </c>
      <c r="C484" t="n">
        <v>23.608275144</v>
      </c>
      <c r="D484" t="n">
        <v/>
      </c>
      <c r="E484" t="n">
        <v/>
      </c>
      <c r="F484" t="n">
        <v/>
      </c>
      <c r="G484" t="n">
        <v/>
      </c>
      <c r="H484" t="n">
        <v/>
      </c>
      <c r="I484" t="n">
        <v>12.652549361</v>
      </c>
      <c r="J484" t="n">
        <v/>
      </c>
      <c r="K484" t="n">
        <v>24.448557349</v>
      </c>
      <c r="L484" t="n">
        <v/>
      </c>
      <c r="M484" t="n">
        <v/>
      </c>
      <c r="N484" t="n">
        <v/>
      </c>
      <c r="O484" t="n">
        <v/>
      </c>
      <c r="P484" t="n">
        <v/>
      </c>
      <c r="Q484" t="n">
        <v>13.646633081</v>
      </c>
      <c r="R484" t="n">
        <v>32.069837195</v>
      </c>
      <c r="S484" t="n">
        <v/>
      </c>
      <c r="T484" t="n">
        <v/>
      </c>
      <c r="U484" t="n">
        <v/>
      </c>
      <c r="V484" t="n">
        <v/>
      </c>
      <c r="W484" t="n">
        <v/>
      </c>
      <c r="X484" t="n">
        <v/>
      </c>
      <c r="Y484" t="n">
        <v/>
      </c>
      <c r="Z484" t="n">
        <v/>
      </c>
      <c r="AA484" t="n">
        <v/>
      </c>
      <c r="AB484" t="n">
        <v/>
      </c>
      <c r="AC484" t="n">
        <v>29.110539703</v>
      </c>
      <c r="AD484" t="n">
        <v>9.843089375</v>
      </c>
      <c r="AE484" t="n">
        <v/>
      </c>
      <c r="AF484" t="n">
        <v>35.565329435</v>
      </c>
      <c r="AG484" t="n">
        <v/>
      </c>
      <c r="AH484" t="n">
        <v/>
      </c>
      <c r="AI484" t="n">
        <v>21.711676853</v>
      </c>
      <c r="AJ484" t="n">
        <v>19.012823917</v>
      </c>
      <c r="AK484" t="n">
        <v/>
      </c>
      <c r="AL484" t="n">
        <v/>
      </c>
      <c r="AM484" t="n">
        <v/>
      </c>
      <c r="AN484" t="n">
        <v>20.542304408</v>
      </c>
      <c r="AO484" t="n">
        <v/>
      </c>
      <c r="AP484" t="n">
        <v/>
      </c>
      <c r="AQ484" t="n">
        <v/>
      </c>
      <c r="AR484" t="n">
        <v>25.92318918</v>
      </c>
      <c r="AS484" t="n">
        <v/>
      </c>
      <c r="AT484" t="n">
        <v>22.577984409</v>
      </c>
      <c r="AU484" t="n">
        <v/>
      </c>
    </row>
    <row r="485">
      <c r="A485" s="106" t="n">
        <v>21641</v>
      </c>
      <c r="B485" t="n">
        <v>13.491756531</v>
      </c>
      <c r="C485" t="n">
        <v>24.252305669</v>
      </c>
      <c r="D485" t="n">
        <v/>
      </c>
      <c r="E485" t="n">
        <v/>
      </c>
      <c r="F485" t="n">
        <v/>
      </c>
      <c r="G485" t="n">
        <v/>
      </c>
      <c r="H485" t="n">
        <v/>
      </c>
      <c r="I485" t="n">
        <v>13.491756531</v>
      </c>
      <c r="J485" t="n">
        <v/>
      </c>
      <c r="K485" t="n">
        <v>24.391002051</v>
      </c>
      <c r="L485" t="n">
        <v/>
      </c>
      <c r="M485" t="n">
        <v/>
      </c>
      <c r="N485" t="n">
        <v/>
      </c>
      <c r="O485" t="n">
        <v/>
      </c>
      <c r="P485" t="n">
        <v/>
      </c>
      <c r="Q485" t="n">
        <v>13.522006295</v>
      </c>
      <c r="R485" t="n">
        <v>32.930328183</v>
      </c>
      <c r="S485" t="n">
        <v/>
      </c>
      <c r="T485" t="n">
        <v/>
      </c>
      <c r="U485" t="n">
        <v/>
      </c>
      <c r="V485" t="n">
        <v/>
      </c>
      <c r="W485" t="n">
        <v/>
      </c>
      <c r="X485" t="n">
        <v/>
      </c>
      <c r="Y485" t="n">
        <v/>
      </c>
      <c r="Z485" t="n">
        <v/>
      </c>
      <c r="AA485" t="n">
        <v/>
      </c>
      <c r="AB485" t="n">
        <v/>
      </c>
      <c r="AC485" t="n">
        <v>29.148567842</v>
      </c>
      <c r="AD485" t="n">
        <v>10.011347313</v>
      </c>
      <c r="AE485" t="n">
        <v/>
      </c>
      <c r="AF485" t="n">
        <v>35.643432083</v>
      </c>
      <c r="AG485" t="n">
        <v/>
      </c>
      <c r="AH485" t="n">
        <v/>
      </c>
      <c r="AI485" t="n">
        <v>21.711676853</v>
      </c>
      <c r="AJ485" t="n">
        <v>18.944185564</v>
      </c>
      <c r="AK485" t="n">
        <v/>
      </c>
      <c r="AL485" t="n">
        <v/>
      </c>
      <c r="AM485" t="n">
        <v/>
      </c>
      <c r="AN485" t="n">
        <v>20.408321197</v>
      </c>
      <c r="AO485" t="n">
        <v/>
      </c>
      <c r="AP485" t="n">
        <v/>
      </c>
      <c r="AQ485" t="n">
        <v/>
      </c>
      <c r="AR485" t="n">
        <v>25.468396387</v>
      </c>
      <c r="AS485" t="n">
        <v/>
      </c>
      <c r="AT485" t="n">
        <v>23.059002092</v>
      </c>
      <c r="AU485" t="n">
        <v/>
      </c>
    </row>
    <row r="486">
      <c r="A486" s="106" t="n">
        <v>21671</v>
      </c>
      <c r="B486" t="n">
        <v>13.609732138</v>
      </c>
      <c r="C486" t="n">
        <v>23.971515692</v>
      </c>
      <c r="D486" t="n">
        <v/>
      </c>
      <c r="E486" t="n">
        <v/>
      </c>
      <c r="F486" t="n">
        <v/>
      </c>
      <c r="G486" t="n">
        <v/>
      </c>
      <c r="H486" t="n">
        <v/>
      </c>
      <c r="I486" t="n">
        <v>13.609732138</v>
      </c>
      <c r="J486" t="n">
        <v/>
      </c>
      <c r="K486" t="n">
        <v>25.398385331</v>
      </c>
      <c r="L486" t="n">
        <v/>
      </c>
      <c r="M486" t="n">
        <v/>
      </c>
      <c r="N486" t="n">
        <v/>
      </c>
      <c r="O486" t="n">
        <v/>
      </c>
      <c r="P486" t="n">
        <v/>
      </c>
      <c r="Q486" t="n">
        <v>14.22822475</v>
      </c>
      <c r="R486" t="n">
        <v>32.698657532</v>
      </c>
      <c r="S486" t="n">
        <v/>
      </c>
      <c r="T486" t="n">
        <v/>
      </c>
      <c r="U486" t="n">
        <v/>
      </c>
      <c r="V486" t="n">
        <v/>
      </c>
      <c r="W486" t="n">
        <v/>
      </c>
      <c r="X486" t="n">
        <v/>
      </c>
      <c r="Y486" t="n">
        <v/>
      </c>
      <c r="Z486" t="n">
        <v/>
      </c>
      <c r="AA486" t="n">
        <v/>
      </c>
      <c r="AB486" t="n">
        <v/>
      </c>
      <c r="AC486" t="n">
        <v>29.18659598</v>
      </c>
      <c r="AD486" t="n">
        <v>10.347863189</v>
      </c>
      <c r="AE486" t="n">
        <v/>
      </c>
      <c r="AF486" t="n">
        <v>36.970361843</v>
      </c>
      <c r="AG486" t="n">
        <v/>
      </c>
      <c r="AH486" t="n">
        <v/>
      </c>
      <c r="AI486" t="n">
        <v>22.28303677</v>
      </c>
      <c r="AJ486" t="n">
        <v>19.058582819</v>
      </c>
      <c r="AK486" t="n">
        <v/>
      </c>
      <c r="AL486" t="n">
        <v/>
      </c>
      <c r="AM486" t="n">
        <v/>
      </c>
      <c r="AN486" t="n">
        <v>20.41673251</v>
      </c>
      <c r="AO486" t="n">
        <v/>
      </c>
      <c r="AP486" t="n">
        <v/>
      </c>
      <c r="AQ486" t="n">
        <v/>
      </c>
      <c r="AR486" t="n">
        <v>25.468396387</v>
      </c>
      <c r="AS486" t="n">
        <v/>
      </c>
      <c r="AT486" t="n">
        <v>23.406354173</v>
      </c>
      <c r="AU486" t="n">
        <v/>
      </c>
    </row>
    <row r="487">
      <c r="A487" s="106" t="n">
        <v>21702</v>
      </c>
      <c r="B487" t="n">
        <v>13.443583414</v>
      </c>
      <c r="C487" t="n">
        <v>24.333024597</v>
      </c>
      <c r="D487" t="n">
        <v/>
      </c>
      <c r="E487" t="n">
        <v/>
      </c>
      <c r="F487" t="n">
        <v/>
      </c>
      <c r="G487" t="n">
        <v/>
      </c>
      <c r="H487" t="n">
        <v/>
      </c>
      <c r="I487" t="n">
        <v>13.443583414</v>
      </c>
      <c r="J487" t="n">
        <v/>
      </c>
      <c r="K487" t="n">
        <v>25.268610066</v>
      </c>
      <c r="L487" t="n">
        <v/>
      </c>
      <c r="M487" t="n">
        <v/>
      </c>
      <c r="N487" t="n">
        <v/>
      </c>
      <c r="O487" t="n">
        <v/>
      </c>
      <c r="P487" t="n">
        <v/>
      </c>
      <c r="Q487" t="n">
        <v>13.854344392</v>
      </c>
      <c r="R487" t="n">
        <v>33.029615607</v>
      </c>
      <c r="S487" t="n">
        <v/>
      </c>
      <c r="T487" t="n">
        <v/>
      </c>
      <c r="U487" t="n">
        <v/>
      </c>
      <c r="V487" t="n">
        <v/>
      </c>
      <c r="W487" t="n">
        <v/>
      </c>
      <c r="X487" t="n">
        <v/>
      </c>
      <c r="Y487" t="n">
        <v/>
      </c>
      <c r="Z487" t="n">
        <v/>
      </c>
      <c r="AA487" t="n">
        <v/>
      </c>
      <c r="AB487" t="n">
        <v/>
      </c>
      <c r="AC487" t="n">
        <v>29.015469352</v>
      </c>
      <c r="AD487" t="n">
        <v>10.684379065</v>
      </c>
      <c r="AE487" t="n">
        <v/>
      </c>
      <c r="AF487" t="n">
        <v>36.407309809</v>
      </c>
      <c r="AG487" t="n">
        <v/>
      </c>
      <c r="AH487" t="n">
        <v/>
      </c>
      <c r="AI487" t="n">
        <v>21.997356812</v>
      </c>
      <c r="AJ487" t="n">
        <v>19.767845805</v>
      </c>
      <c r="AK487" t="n">
        <v/>
      </c>
      <c r="AL487" t="n">
        <v/>
      </c>
      <c r="AM487" t="n">
        <v/>
      </c>
      <c r="AN487" t="n">
        <v>21.694728485</v>
      </c>
      <c r="AO487" t="n">
        <v/>
      </c>
      <c r="AP487" t="n">
        <v/>
      </c>
      <c r="AQ487" t="n">
        <v/>
      </c>
      <c r="AR487" t="n">
        <v>25.92318918</v>
      </c>
      <c r="AS487" t="n">
        <v/>
      </c>
      <c r="AT487" t="n">
        <v>23.433027799</v>
      </c>
      <c r="AU487" t="n">
        <v/>
      </c>
    </row>
    <row r="488">
      <c r="A488" s="106" t="n">
        <v>21732</v>
      </c>
      <c r="B488" t="n">
        <v>13.492613438</v>
      </c>
      <c r="C488" t="n">
        <v>24.218753521</v>
      </c>
      <c r="D488" t="n">
        <v/>
      </c>
      <c r="E488" t="n">
        <v/>
      </c>
      <c r="F488" t="n">
        <v/>
      </c>
      <c r="G488" t="n">
        <v/>
      </c>
      <c r="H488" t="n">
        <v/>
      </c>
      <c r="I488" t="n">
        <v>13.492613438</v>
      </c>
      <c r="J488" t="n">
        <v/>
      </c>
      <c r="K488" t="n">
        <v>24.905151798</v>
      </c>
      <c r="L488" t="n">
        <v/>
      </c>
      <c r="M488" t="n">
        <v/>
      </c>
      <c r="N488" t="n">
        <v/>
      </c>
      <c r="O488" t="n">
        <v/>
      </c>
      <c r="P488" t="n">
        <v/>
      </c>
      <c r="Q488" t="n">
        <v>14.041284571</v>
      </c>
      <c r="R488" t="n">
        <v>32.996519793</v>
      </c>
      <c r="S488" t="n">
        <v/>
      </c>
      <c r="T488" t="n">
        <v/>
      </c>
      <c r="U488" t="n">
        <v/>
      </c>
      <c r="V488" t="n">
        <v/>
      </c>
      <c r="W488" t="n">
        <v/>
      </c>
      <c r="X488" t="n">
        <v/>
      </c>
      <c r="Y488" t="n">
        <v/>
      </c>
      <c r="Z488" t="n">
        <v/>
      </c>
      <c r="AA488" t="n">
        <v/>
      </c>
      <c r="AB488" t="n">
        <v/>
      </c>
      <c r="AC488" t="n">
        <v>29.224624118</v>
      </c>
      <c r="AD488" t="n">
        <v>10.768508034</v>
      </c>
      <c r="AE488" t="n">
        <v/>
      </c>
      <c r="AF488" t="n">
        <v>36.860324861</v>
      </c>
      <c r="AG488" t="n">
        <v/>
      </c>
      <c r="AH488" t="n">
        <v/>
      </c>
      <c r="AI488" t="n">
        <v>22.854396688</v>
      </c>
      <c r="AJ488" t="n">
        <v>20.156796475</v>
      </c>
      <c r="AK488" t="n">
        <v/>
      </c>
      <c r="AL488" t="n">
        <v/>
      </c>
      <c r="AM488" t="n">
        <v/>
      </c>
      <c r="AN488" t="n">
        <v>22.156927594</v>
      </c>
      <c r="AO488" t="n">
        <v/>
      </c>
      <c r="AP488" t="n">
        <v/>
      </c>
      <c r="AQ488" t="n">
        <v/>
      </c>
      <c r="AR488" t="n">
        <v>29.561531521</v>
      </c>
      <c r="AS488" t="n">
        <v/>
      </c>
      <c r="AT488" t="n">
        <v>22.871890081</v>
      </c>
      <c r="AU488" t="n">
        <v/>
      </c>
    </row>
    <row r="489">
      <c r="A489" s="106" t="n">
        <v>21763</v>
      </c>
      <c r="B489" t="n">
        <v>13.649197698</v>
      </c>
      <c r="C489" t="n">
        <v>24.039237538</v>
      </c>
      <c r="D489" t="n">
        <v/>
      </c>
      <c r="E489" t="n">
        <v/>
      </c>
      <c r="F489" t="n">
        <v/>
      </c>
      <c r="G489" t="n">
        <v/>
      </c>
      <c r="H489" t="n">
        <v/>
      </c>
      <c r="I489" t="n">
        <v>13.649197698</v>
      </c>
      <c r="J489" t="n">
        <v/>
      </c>
      <c r="K489" t="n">
        <v>26.378839938</v>
      </c>
      <c r="L489" t="n">
        <v/>
      </c>
      <c r="M489" t="n">
        <v/>
      </c>
      <c r="N489" t="n">
        <v/>
      </c>
      <c r="O489" t="n">
        <v/>
      </c>
      <c r="P489" t="n">
        <v/>
      </c>
      <c r="Q489" t="n">
        <v>14.269767012</v>
      </c>
      <c r="R489" t="n">
        <v>32.996519793</v>
      </c>
      <c r="S489" t="n">
        <v/>
      </c>
      <c r="T489" t="n">
        <v/>
      </c>
      <c r="U489" t="n">
        <v/>
      </c>
      <c r="V489" t="n">
        <v/>
      </c>
      <c r="W489" t="n">
        <v/>
      </c>
      <c r="X489" t="n">
        <v/>
      </c>
      <c r="Y489" t="n">
        <v/>
      </c>
      <c r="Z489" t="n">
        <v/>
      </c>
      <c r="AA489" t="n">
        <v/>
      </c>
      <c r="AB489" t="n">
        <v/>
      </c>
      <c r="AC489" t="n">
        <v>30.28941198</v>
      </c>
      <c r="AD489" t="n">
        <v>10.936765972</v>
      </c>
      <c r="AE489" t="n">
        <v/>
      </c>
      <c r="AF489" t="n">
        <v>36.843444689</v>
      </c>
      <c r="AG489" t="n">
        <v/>
      </c>
      <c r="AH489" t="n">
        <v/>
      </c>
      <c r="AI489" t="n">
        <v>22.854396688</v>
      </c>
      <c r="AJ489" t="n">
        <v>19.539051294</v>
      </c>
      <c r="AK489" t="n">
        <v/>
      </c>
      <c r="AL489" t="n">
        <v/>
      </c>
      <c r="AM489" t="n">
        <v/>
      </c>
      <c r="AN489" t="n">
        <v>22.251814683</v>
      </c>
      <c r="AO489" t="n">
        <v/>
      </c>
      <c r="AP489" t="n">
        <v/>
      </c>
      <c r="AQ489" t="n">
        <v/>
      </c>
      <c r="AR489" t="n">
        <v>27.287567558</v>
      </c>
      <c r="AS489" t="n">
        <v/>
      </c>
      <c r="AT489" t="n">
        <v>22.097065885</v>
      </c>
      <c r="AU489" t="n">
        <v/>
      </c>
    </row>
    <row r="490">
      <c r="A490" s="106" t="n">
        <v>21794</v>
      </c>
      <c r="B490" t="n">
        <v>13.571797323</v>
      </c>
      <c r="C490" t="n">
        <v>24.659484689</v>
      </c>
      <c r="D490" t="n">
        <v/>
      </c>
      <c r="E490" t="n">
        <v/>
      </c>
      <c r="F490" t="n">
        <v/>
      </c>
      <c r="G490" t="n">
        <v/>
      </c>
      <c r="H490" t="n">
        <v/>
      </c>
      <c r="I490" t="n">
        <v>13.571797323</v>
      </c>
      <c r="J490" t="n">
        <v/>
      </c>
      <c r="K490" t="n">
        <v>26.008772595</v>
      </c>
      <c r="L490" t="n">
        <v/>
      </c>
      <c r="M490" t="n">
        <v/>
      </c>
      <c r="N490" t="n">
        <v/>
      </c>
      <c r="O490" t="n">
        <v/>
      </c>
      <c r="P490" t="n">
        <v/>
      </c>
      <c r="Q490" t="n">
        <v>14.394393798</v>
      </c>
      <c r="R490" t="n">
        <v>33.625340129</v>
      </c>
      <c r="S490" t="n">
        <v/>
      </c>
      <c r="T490" t="n">
        <v/>
      </c>
      <c r="U490" t="n">
        <v/>
      </c>
      <c r="V490" t="n">
        <v/>
      </c>
      <c r="W490" t="n">
        <v/>
      </c>
      <c r="X490" t="n">
        <v/>
      </c>
      <c r="Y490" t="n">
        <v/>
      </c>
      <c r="Z490" t="n">
        <v/>
      </c>
      <c r="AA490" t="n">
        <v/>
      </c>
      <c r="AB490" t="n">
        <v/>
      </c>
      <c r="AC490" t="n">
        <v>30.954904396</v>
      </c>
      <c r="AD490" t="n">
        <v>11.189152879</v>
      </c>
      <c r="AE490" t="n">
        <v/>
      </c>
      <c r="AF490" t="n">
        <v>36.662480756</v>
      </c>
      <c r="AG490" t="n">
        <v/>
      </c>
      <c r="AH490" t="n">
        <v/>
      </c>
      <c r="AI490" t="n">
        <v>23.140076646</v>
      </c>
      <c r="AJ490" t="n">
        <v>19.744966354</v>
      </c>
      <c r="AK490" t="n">
        <v/>
      </c>
      <c r="AL490" t="n">
        <v/>
      </c>
      <c r="AM490" t="n">
        <v/>
      </c>
      <c r="AN490" t="n">
        <v>22.358083099</v>
      </c>
      <c r="AO490" t="n">
        <v/>
      </c>
      <c r="AP490" t="n">
        <v/>
      </c>
      <c r="AQ490" t="n">
        <v/>
      </c>
      <c r="AR490" t="n">
        <v>26.832774765</v>
      </c>
      <c r="AS490" t="n">
        <v/>
      </c>
      <c r="AT490" t="n">
        <v>22.070392259</v>
      </c>
      <c r="AU490" t="n">
        <v/>
      </c>
    </row>
    <row r="491">
      <c r="A491" s="106" t="n">
        <v>21824</v>
      </c>
      <c r="B491" t="n">
        <v>13.830093526</v>
      </c>
      <c r="C491" t="n">
        <v>24.90662868</v>
      </c>
      <c r="D491" t="n">
        <v/>
      </c>
      <c r="E491" t="n">
        <v/>
      </c>
      <c r="F491" t="n">
        <v/>
      </c>
      <c r="G491" t="n">
        <v/>
      </c>
      <c r="H491" t="n">
        <v/>
      </c>
      <c r="I491" t="n">
        <v>13.830093526</v>
      </c>
      <c r="J491" t="n">
        <v/>
      </c>
      <c r="K491" t="n">
        <v>26.987425401</v>
      </c>
      <c r="L491" t="n">
        <v/>
      </c>
      <c r="M491" t="n">
        <v/>
      </c>
      <c r="N491" t="n">
        <v/>
      </c>
      <c r="O491" t="n">
        <v/>
      </c>
      <c r="P491" t="n">
        <v/>
      </c>
      <c r="Q491" t="n">
        <v>14.602105108</v>
      </c>
      <c r="R491" t="n">
        <v>34.154873051</v>
      </c>
      <c r="S491" t="n">
        <v/>
      </c>
      <c r="T491" t="n">
        <v/>
      </c>
      <c r="U491" t="n">
        <v/>
      </c>
      <c r="V491" t="n">
        <v/>
      </c>
      <c r="W491" t="n">
        <v/>
      </c>
      <c r="X491" t="n">
        <v/>
      </c>
      <c r="Y491" t="n">
        <v/>
      </c>
      <c r="Z491" t="n">
        <v/>
      </c>
      <c r="AA491" t="n">
        <v/>
      </c>
      <c r="AB491" t="n">
        <v/>
      </c>
      <c r="AC491" t="n">
        <v>31.506312396</v>
      </c>
      <c r="AD491" t="n">
        <v>11.441539786</v>
      </c>
      <c r="AE491" t="n">
        <v/>
      </c>
      <c r="AF491" t="n">
        <v>37.158430912</v>
      </c>
      <c r="AG491" t="n">
        <v/>
      </c>
      <c r="AH491" t="n">
        <v/>
      </c>
      <c r="AI491" t="n">
        <v>23.425756605</v>
      </c>
      <c r="AJ491" t="n">
        <v>19.905122512</v>
      </c>
      <c r="AK491" t="n">
        <v/>
      </c>
      <c r="AL491" t="n">
        <v/>
      </c>
      <c r="AM491" t="n">
        <v/>
      </c>
      <c r="AN491" t="n">
        <v>23.028940989</v>
      </c>
      <c r="AO491" t="n">
        <v/>
      </c>
      <c r="AP491" t="n">
        <v/>
      </c>
      <c r="AQ491" t="n">
        <v/>
      </c>
      <c r="AR491" t="n">
        <v>27.287567558</v>
      </c>
      <c r="AS491" t="n">
        <v/>
      </c>
      <c r="AT491" t="n">
        <v>21.910053032</v>
      </c>
      <c r="AU491" t="n">
        <v/>
      </c>
    </row>
    <row r="492">
      <c r="A492" s="106" t="n">
        <v>21855</v>
      </c>
      <c r="B492" t="n">
        <v>13.859361854</v>
      </c>
      <c r="C492" t="n">
        <v>25.805504071</v>
      </c>
      <c r="D492" t="n">
        <v/>
      </c>
      <c r="E492" t="n">
        <v/>
      </c>
      <c r="F492" t="n">
        <v/>
      </c>
      <c r="G492" t="n">
        <v/>
      </c>
      <c r="H492" t="n">
        <v/>
      </c>
      <c r="I492" t="n">
        <v>13.859361854</v>
      </c>
      <c r="J492" t="n">
        <v/>
      </c>
      <c r="K492" t="n">
        <v>26.726917532</v>
      </c>
      <c r="L492" t="n">
        <v/>
      </c>
      <c r="M492" t="n">
        <v/>
      </c>
      <c r="N492" t="n">
        <v/>
      </c>
      <c r="O492" t="n">
        <v/>
      </c>
      <c r="P492" t="n">
        <v/>
      </c>
      <c r="Q492" t="n">
        <v>14.726731895</v>
      </c>
      <c r="R492" t="n">
        <v>34.386543703</v>
      </c>
      <c r="S492" t="n">
        <v/>
      </c>
      <c r="T492" t="n">
        <v/>
      </c>
      <c r="U492" t="n">
        <v/>
      </c>
      <c r="V492" t="n">
        <v/>
      </c>
      <c r="W492" t="n">
        <v/>
      </c>
      <c r="X492" t="n">
        <v/>
      </c>
      <c r="Y492" t="n">
        <v/>
      </c>
      <c r="Z492" t="n">
        <v/>
      </c>
      <c r="AA492" t="n">
        <v/>
      </c>
      <c r="AB492" t="n">
        <v/>
      </c>
      <c r="AC492" t="n">
        <v>32.266875162</v>
      </c>
      <c r="AD492" t="n">
        <v>11.609797725</v>
      </c>
      <c r="AE492" t="n">
        <v/>
      </c>
      <c r="AF492" t="n">
        <v>39.044857524</v>
      </c>
      <c r="AG492" t="n">
        <v/>
      </c>
      <c r="AH492" t="n">
        <v/>
      </c>
      <c r="AI492" t="n">
        <v>23.425756605</v>
      </c>
      <c r="AJ492" t="n">
        <v>19.699207452</v>
      </c>
      <c r="AK492" t="n">
        <v/>
      </c>
      <c r="AL492" t="n">
        <v/>
      </c>
      <c r="AM492" t="n">
        <v/>
      </c>
      <c r="AN492" t="n">
        <v>22.554489422</v>
      </c>
      <c r="AO492" t="n">
        <v/>
      </c>
      <c r="AP492" t="n">
        <v/>
      </c>
      <c r="AQ492" t="n">
        <v/>
      </c>
      <c r="AR492" t="n">
        <v>27.287567558</v>
      </c>
      <c r="AS492" t="n">
        <v/>
      </c>
      <c r="AT492" t="n">
        <v>22.043619475</v>
      </c>
      <c r="AU492" t="n">
        <v/>
      </c>
    </row>
    <row r="493">
      <c r="A493" s="106" t="n">
        <v>21885</v>
      </c>
      <c r="B493" t="n">
        <v>14.141937035</v>
      </c>
      <c r="C493" t="n">
        <v>25.261200677</v>
      </c>
      <c r="D493" t="n">
        <v/>
      </c>
      <c r="E493" t="n">
        <v/>
      </c>
      <c r="F493" t="n">
        <v/>
      </c>
      <c r="G493" t="n">
        <v/>
      </c>
      <c r="H493" t="n">
        <v/>
      </c>
      <c r="I493" t="n">
        <v>14.141937035</v>
      </c>
      <c r="J493" t="n">
        <v/>
      </c>
      <c r="K493" t="n">
        <v>26.837629593</v>
      </c>
      <c r="L493" t="n">
        <v/>
      </c>
      <c r="M493" t="n">
        <v/>
      </c>
      <c r="N493" t="n">
        <v/>
      </c>
      <c r="O493" t="n">
        <v/>
      </c>
      <c r="P493" t="n">
        <v/>
      </c>
      <c r="Q493" t="n">
        <v>14.934443205</v>
      </c>
      <c r="R493" t="n">
        <v>34.651310159</v>
      </c>
      <c r="S493" t="n">
        <v/>
      </c>
      <c r="T493" t="n">
        <v/>
      </c>
      <c r="U493" t="n">
        <v/>
      </c>
      <c r="V493" t="n">
        <v/>
      </c>
      <c r="W493" t="n">
        <v/>
      </c>
      <c r="X493" t="n">
        <v/>
      </c>
      <c r="Y493" t="n">
        <v/>
      </c>
      <c r="Z493" t="n">
        <v/>
      </c>
      <c r="AA493" t="n">
        <v/>
      </c>
      <c r="AB493" t="n">
        <v/>
      </c>
      <c r="AC493" t="n">
        <v>32.666170609</v>
      </c>
      <c r="AD493" t="n">
        <v>12.114571539</v>
      </c>
      <c r="AE493" t="n">
        <v/>
      </c>
      <c r="AF493" t="n">
        <v>40.195207699</v>
      </c>
      <c r="AG493" t="n">
        <v/>
      </c>
      <c r="AH493" t="n">
        <v/>
      </c>
      <c r="AI493" t="n">
        <v>23.425756605</v>
      </c>
      <c r="AJ493" t="n">
        <v>20.225434829</v>
      </c>
      <c r="AK493" t="n">
        <v/>
      </c>
      <c r="AL493" t="n">
        <v/>
      </c>
      <c r="AM493" t="n">
        <v/>
      </c>
      <c r="AN493" t="n">
        <v>22.969943475</v>
      </c>
      <c r="AO493" t="n">
        <v/>
      </c>
      <c r="AP493" t="n">
        <v/>
      </c>
      <c r="AQ493" t="n">
        <v/>
      </c>
      <c r="AR493" t="n">
        <v>27.74236035</v>
      </c>
      <c r="AS493" t="n">
        <v/>
      </c>
      <c r="AT493" t="n">
        <v>23.406354173</v>
      </c>
      <c r="AU493" t="n">
        <v/>
      </c>
    </row>
    <row r="494">
      <c r="A494" s="106" t="n">
        <v>21916</v>
      </c>
      <c r="B494" t="n">
        <v>14.213264712</v>
      </c>
      <c r="C494" t="n">
        <v>25.190213675</v>
      </c>
      <c r="D494" t="n">
        <v/>
      </c>
      <c r="E494" t="n">
        <v/>
      </c>
      <c r="F494" t="n">
        <v/>
      </c>
      <c r="G494" t="n">
        <v/>
      </c>
      <c r="H494" t="n">
        <v/>
      </c>
      <c r="I494" t="n">
        <v>14.213264712</v>
      </c>
      <c r="J494" t="n">
        <v/>
      </c>
      <c r="K494" t="n">
        <v>27.27731605</v>
      </c>
      <c r="L494" t="n">
        <v/>
      </c>
      <c r="M494" t="n">
        <v/>
      </c>
      <c r="N494" t="n">
        <v/>
      </c>
      <c r="O494" t="n">
        <v/>
      </c>
      <c r="P494" t="n">
        <v/>
      </c>
      <c r="Q494" t="n">
        <v>15.017527729</v>
      </c>
      <c r="R494" t="n">
        <v>34.849884997</v>
      </c>
      <c r="S494" t="n">
        <v>22.524989838</v>
      </c>
      <c r="T494" t="n">
        <v/>
      </c>
      <c r="U494" t="n">
        <v/>
      </c>
      <c r="V494" t="n">
        <v/>
      </c>
      <c r="W494" t="n">
        <v/>
      </c>
      <c r="X494" t="n">
        <v/>
      </c>
      <c r="Y494" t="n">
        <v/>
      </c>
      <c r="Z494" t="n">
        <v/>
      </c>
      <c r="AA494" t="n">
        <v/>
      </c>
      <c r="AB494" t="n">
        <v/>
      </c>
      <c r="AC494" t="n">
        <v>32.552086194</v>
      </c>
      <c r="AD494" t="n">
        <v>12.114571539</v>
      </c>
      <c r="AE494" t="n">
        <v/>
      </c>
      <c r="AF494" t="n">
        <v>40.262927138</v>
      </c>
      <c r="AG494" t="n">
        <v/>
      </c>
      <c r="AH494" t="n">
        <v/>
      </c>
      <c r="AI494" t="n">
        <v>23.711436563</v>
      </c>
      <c r="AJ494" t="n">
        <v>20.63726495</v>
      </c>
      <c r="AK494" t="n">
        <v/>
      </c>
      <c r="AL494" t="n">
        <v/>
      </c>
      <c r="AM494" t="n">
        <v/>
      </c>
      <c r="AN494" t="n">
        <v>20.94593448</v>
      </c>
      <c r="AO494" t="n">
        <v/>
      </c>
      <c r="AP494" t="n">
        <v/>
      </c>
      <c r="AQ494" t="n">
        <v/>
      </c>
      <c r="AR494" t="n">
        <v>27.74236035</v>
      </c>
      <c r="AS494" t="n">
        <v/>
      </c>
      <c r="AT494" t="n">
        <v>24.020839142</v>
      </c>
      <c r="AU494" t="n">
        <v/>
      </c>
    </row>
    <row r="495">
      <c r="A495" s="106" t="n">
        <v>21947</v>
      </c>
      <c r="B495" t="n">
        <v>14.290248</v>
      </c>
      <c r="C495" t="n">
        <v>26.121187807</v>
      </c>
      <c r="D495" t="n">
        <v/>
      </c>
      <c r="E495" t="n">
        <v/>
      </c>
      <c r="F495" t="n">
        <v/>
      </c>
      <c r="G495" t="n">
        <v/>
      </c>
      <c r="H495" t="n">
        <v/>
      </c>
      <c r="I495" t="n">
        <v>14.290248</v>
      </c>
      <c r="J495" t="n">
        <v/>
      </c>
      <c r="K495" t="n">
        <v>27.118943069</v>
      </c>
      <c r="L495" t="n">
        <v/>
      </c>
      <c r="M495" t="n">
        <v/>
      </c>
      <c r="N495" t="n">
        <v/>
      </c>
      <c r="O495" t="n">
        <v/>
      </c>
      <c r="P495" t="n">
        <v/>
      </c>
      <c r="Q495" t="n">
        <v>15.079841122</v>
      </c>
      <c r="R495" t="n">
        <v>35.114651453</v>
      </c>
      <c r="S495" t="n">
        <v>22.692968509</v>
      </c>
      <c r="T495" t="n">
        <v/>
      </c>
      <c r="U495" t="n">
        <v/>
      </c>
      <c r="V495" t="n">
        <v/>
      </c>
      <c r="W495" t="n">
        <v/>
      </c>
      <c r="X495" t="n">
        <v/>
      </c>
      <c r="Y495" t="n">
        <v/>
      </c>
      <c r="Z495" t="n">
        <v/>
      </c>
      <c r="AA495" t="n">
        <v/>
      </c>
      <c r="AB495" t="n">
        <v/>
      </c>
      <c r="AC495" t="n">
        <v>33.445747439</v>
      </c>
      <c r="AD495" t="n">
        <v>12.703474322</v>
      </c>
      <c r="AE495" t="n">
        <v/>
      </c>
      <c r="AF495" t="n">
        <v>39.92095214</v>
      </c>
      <c r="AG495" t="n">
        <v/>
      </c>
      <c r="AH495" t="n">
        <v/>
      </c>
      <c r="AI495" t="n">
        <v>23.711436563</v>
      </c>
      <c r="AJ495" t="n">
        <v>20.45422934</v>
      </c>
      <c r="AK495" t="n">
        <v/>
      </c>
      <c r="AL495" t="n">
        <v/>
      </c>
      <c r="AM495" t="n">
        <v/>
      </c>
      <c r="AN495" t="n">
        <v>22.734290689</v>
      </c>
      <c r="AO495" t="n">
        <v/>
      </c>
      <c r="AP495" t="n">
        <v/>
      </c>
      <c r="AQ495" t="n">
        <v/>
      </c>
      <c r="AR495" t="n">
        <v>27.74236035</v>
      </c>
      <c r="AS495" t="n">
        <v/>
      </c>
      <c r="AT495" t="n">
        <v>23.807152663</v>
      </c>
      <c r="AU495" t="n">
        <v/>
      </c>
    </row>
    <row r="496">
      <c r="A496" s="106" t="n">
        <v>21976</v>
      </c>
      <c r="B496" t="n">
        <v>14.539987286</v>
      </c>
      <c r="C496" t="n">
        <v>25.590886083</v>
      </c>
      <c r="D496" t="n">
        <v/>
      </c>
      <c r="E496" t="n">
        <v/>
      </c>
      <c r="F496" t="n">
        <v/>
      </c>
      <c r="G496" t="n">
        <v/>
      </c>
      <c r="H496" t="n">
        <v/>
      </c>
      <c r="I496" t="n">
        <v>14.539987286</v>
      </c>
      <c r="J496" t="n">
        <v/>
      </c>
      <c r="K496" t="n">
        <v>27.503731713</v>
      </c>
      <c r="L496" t="n">
        <v/>
      </c>
      <c r="M496" t="n">
        <v/>
      </c>
      <c r="N496" t="n">
        <v/>
      </c>
      <c r="O496" t="n">
        <v/>
      </c>
      <c r="P496" t="n">
        <v/>
      </c>
      <c r="Q496" t="n">
        <v>15.391408087</v>
      </c>
      <c r="R496" t="n">
        <v>35.114651453</v>
      </c>
      <c r="S496" t="n">
        <v>22.686233375</v>
      </c>
      <c r="T496" t="n">
        <v/>
      </c>
      <c r="U496" t="n">
        <v/>
      </c>
      <c r="V496" t="n">
        <v/>
      </c>
      <c r="W496" t="n">
        <v/>
      </c>
      <c r="X496" t="n">
        <v/>
      </c>
      <c r="Y496" t="n">
        <v/>
      </c>
      <c r="Z496" t="n">
        <v/>
      </c>
      <c r="AA496" t="n">
        <v/>
      </c>
      <c r="AB496" t="n">
        <v/>
      </c>
      <c r="AC496" t="n">
        <v>33.959127301</v>
      </c>
      <c r="AD496" t="n">
        <v>12.703474322</v>
      </c>
      <c r="AE496" t="n">
        <v/>
      </c>
      <c r="AF496" t="n">
        <v>40.036054694</v>
      </c>
      <c r="AG496" t="n">
        <v/>
      </c>
      <c r="AH496" t="n">
        <v/>
      </c>
      <c r="AI496" t="n">
        <v>23.997116522</v>
      </c>
      <c r="AJ496" t="n">
        <v>20.728782754</v>
      </c>
      <c r="AK496" t="n">
        <v/>
      </c>
      <c r="AL496" t="n">
        <v/>
      </c>
      <c r="AM496" t="n">
        <v/>
      </c>
      <c r="AN496" t="n">
        <v>22.616335373</v>
      </c>
      <c r="AO496" t="n">
        <v/>
      </c>
      <c r="AP496" t="n">
        <v/>
      </c>
      <c r="AQ496" t="n">
        <v/>
      </c>
      <c r="AR496" t="n">
        <v>27.74236035</v>
      </c>
      <c r="AS496" t="n">
        <v/>
      </c>
      <c r="AT496" t="n">
        <v>23.593367026</v>
      </c>
      <c r="AU496" t="n">
        <v/>
      </c>
    </row>
    <row r="497">
      <c r="A497" s="106" t="n">
        <v>22007</v>
      </c>
      <c r="B497" t="n">
        <v>14.65585334</v>
      </c>
      <c r="C497" t="n">
        <v>25.793826513</v>
      </c>
      <c r="D497" t="n">
        <v/>
      </c>
      <c r="E497" t="n">
        <v/>
      </c>
      <c r="F497" t="n">
        <v/>
      </c>
      <c r="G497" t="n">
        <v/>
      </c>
      <c r="H497" t="n">
        <v/>
      </c>
      <c r="I497" t="n">
        <v>14.65585334</v>
      </c>
      <c r="J497" t="n">
        <v/>
      </c>
      <c r="K497" t="n">
        <v>28.122871669</v>
      </c>
      <c r="L497" t="n">
        <v/>
      </c>
      <c r="M497" t="n">
        <v/>
      </c>
      <c r="N497" t="n">
        <v/>
      </c>
      <c r="O497" t="n">
        <v/>
      </c>
      <c r="P497" t="n">
        <v/>
      </c>
      <c r="Q497" t="n">
        <v>15.619890528</v>
      </c>
      <c r="R497" t="n">
        <v>35.511801147</v>
      </c>
      <c r="S497" t="n">
        <v>22.8116211</v>
      </c>
      <c r="T497" t="n">
        <v/>
      </c>
      <c r="U497" t="n">
        <v/>
      </c>
      <c r="V497" t="n">
        <v/>
      </c>
      <c r="W497" t="n">
        <v/>
      </c>
      <c r="X497" t="n">
        <v/>
      </c>
      <c r="Y497" t="n">
        <v/>
      </c>
      <c r="Z497" t="n">
        <v/>
      </c>
      <c r="AA497" t="n">
        <v/>
      </c>
      <c r="AB497" t="n">
        <v/>
      </c>
      <c r="AC497" t="n">
        <v>34.016169514</v>
      </c>
      <c r="AD497" t="n">
        <v>12.955861229</v>
      </c>
      <c r="AE497" t="n">
        <v/>
      </c>
      <c r="AF497" t="n">
        <v>39.675320584</v>
      </c>
      <c r="AG497" t="n">
        <v/>
      </c>
      <c r="AH497" t="n">
        <v/>
      </c>
      <c r="AI497" t="n">
        <v>24.568476439</v>
      </c>
      <c r="AJ497" t="n">
        <v>20.774541657</v>
      </c>
      <c r="AK497" t="n">
        <v/>
      </c>
      <c r="AL497" t="n">
        <v/>
      </c>
      <c r="AM497" t="n">
        <v/>
      </c>
      <c r="AN497" t="n">
        <v>22.911012451</v>
      </c>
      <c r="AO497" t="n">
        <v/>
      </c>
      <c r="AP497" t="n">
        <v/>
      </c>
      <c r="AQ497" t="n">
        <v/>
      </c>
      <c r="AR497" t="n">
        <v>27.74236035</v>
      </c>
      <c r="AS497" t="n">
        <v/>
      </c>
      <c r="AT497" t="n">
        <v>23.406354173</v>
      </c>
      <c r="AU497" t="n">
        <v/>
      </c>
    </row>
    <row r="498">
      <c r="A498" s="106" t="n">
        <v>22037</v>
      </c>
      <c r="B498" t="n">
        <v>14.768021216</v>
      </c>
      <c r="C498" t="n">
        <v>25.840734724</v>
      </c>
      <c r="D498" t="n">
        <v/>
      </c>
      <c r="E498" t="n">
        <v/>
      </c>
      <c r="F498" t="n">
        <v/>
      </c>
      <c r="G498" t="n">
        <v/>
      </c>
      <c r="H498" t="n">
        <v/>
      </c>
      <c r="I498" t="n">
        <v>14.768021216</v>
      </c>
      <c r="J498" t="n">
        <v/>
      </c>
      <c r="K498" t="n">
        <v>27.771989959</v>
      </c>
      <c r="L498" t="n">
        <v/>
      </c>
      <c r="M498" t="n">
        <v/>
      </c>
      <c r="N498" t="n">
        <v/>
      </c>
      <c r="O498" t="n">
        <v/>
      </c>
      <c r="P498" t="n">
        <v/>
      </c>
      <c r="Q498" t="n">
        <v>15.661432791</v>
      </c>
      <c r="R498" t="n">
        <v>35.412513724</v>
      </c>
      <c r="S498" t="n">
        <v>22.80191576</v>
      </c>
      <c r="T498" t="n">
        <v/>
      </c>
      <c r="U498" t="n">
        <v/>
      </c>
      <c r="V498" t="n">
        <v/>
      </c>
      <c r="W498" t="n">
        <v/>
      </c>
      <c r="X498" t="n">
        <v/>
      </c>
      <c r="Y498" t="n">
        <v/>
      </c>
      <c r="Z498" t="n">
        <v/>
      </c>
      <c r="AA498" t="n">
        <v/>
      </c>
      <c r="AB498" t="n">
        <v/>
      </c>
      <c r="AC498" t="n">
        <v>34.472507163</v>
      </c>
      <c r="AD498" t="n">
        <v>13.039990198</v>
      </c>
      <c r="AE498" t="n">
        <v/>
      </c>
      <c r="AF498" t="n">
        <v>39.439079148</v>
      </c>
      <c r="AG498" t="n">
        <v/>
      </c>
      <c r="AH498" t="n">
        <v/>
      </c>
      <c r="AI498" t="n">
        <v>24.568476439</v>
      </c>
      <c r="AJ498" t="n">
        <v>22.032911471</v>
      </c>
      <c r="AK498" t="n">
        <v/>
      </c>
      <c r="AL498" t="n">
        <v/>
      </c>
      <c r="AM498" t="n">
        <v/>
      </c>
      <c r="AN498" t="n">
        <v>22.105760975</v>
      </c>
      <c r="AO498" t="n">
        <v/>
      </c>
      <c r="AP498" t="n">
        <v/>
      </c>
      <c r="AQ498" t="n">
        <v/>
      </c>
      <c r="AR498" t="n">
        <v>27.287567558</v>
      </c>
      <c r="AS498" t="n">
        <v/>
      </c>
      <c r="AT498" t="n">
        <v>23.379581389</v>
      </c>
      <c r="AU498" t="n">
        <v/>
      </c>
    </row>
    <row r="499">
      <c r="A499" s="106" t="n">
        <v>22068</v>
      </c>
      <c r="B499" t="n">
        <v>14.849777921</v>
      </c>
      <c r="C499" t="n">
        <v>25.703663649</v>
      </c>
      <c r="D499" t="n">
        <v/>
      </c>
      <c r="E499" t="n">
        <v/>
      </c>
      <c r="F499" t="n">
        <v/>
      </c>
      <c r="G499" t="n">
        <v/>
      </c>
      <c r="H499" t="n">
        <v/>
      </c>
      <c r="I499" t="n">
        <v>14.849777921</v>
      </c>
      <c r="J499" t="n">
        <v/>
      </c>
      <c r="K499" t="n">
        <v>27.917011638</v>
      </c>
      <c r="L499" t="n">
        <v/>
      </c>
      <c r="M499" t="n">
        <v/>
      </c>
      <c r="N499" t="n">
        <v/>
      </c>
      <c r="O499" t="n">
        <v/>
      </c>
      <c r="P499" t="n">
        <v/>
      </c>
      <c r="Q499" t="n">
        <v>16.014542018</v>
      </c>
      <c r="R499" t="n">
        <v>35.942046636</v>
      </c>
      <c r="S499" t="n">
        <v>22.765703507</v>
      </c>
      <c r="T499" t="n">
        <v/>
      </c>
      <c r="U499" t="n">
        <v/>
      </c>
      <c r="V499" t="n">
        <v/>
      </c>
      <c r="W499" t="n">
        <v/>
      </c>
      <c r="X499" t="n">
        <v/>
      </c>
      <c r="Y499" t="n">
        <v/>
      </c>
      <c r="Z499" t="n">
        <v/>
      </c>
      <c r="AA499" t="n">
        <v/>
      </c>
      <c r="AB499" t="n">
        <v/>
      </c>
      <c r="AC499" t="n">
        <v>35.252083993</v>
      </c>
      <c r="AD499" t="n">
        <v>13.039990198</v>
      </c>
      <c r="AE499" t="n">
        <v/>
      </c>
      <c r="AF499" t="n">
        <v>39.818217358</v>
      </c>
      <c r="AG499" t="n">
        <v/>
      </c>
      <c r="AH499" t="n">
        <v/>
      </c>
      <c r="AI499" t="n">
        <v>24.854156398</v>
      </c>
      <c r="AJ499" t="n">
        <v>21.23213068</v>
      </c>
      <c r="AK499" t="n">
        <v/>
      </c>
      <c r="AL499" t="n">
        <v/>
      </c>
      <c r="AM499" t="n">
        <v/>
      </c>
      <c r="AN499" t="n">
        <v>23.056987754</v>
      </c>
      <c r="AO499" t="n">
        <v/>
      </c>
      <c r="AP499" t="n">
        <v/>
      </c>
      <c r="AQ499" t="n">
        <v/>
      </c>
      <c r="AR499" t="n">
        <v>28.197153143</v>
      </c>
      <c r="AS499" t="n">
        <v/>
      </c>
      <c r="AT499" t="n">
        <v>23.085675718</v>
      </c>
      <c r="AU499" t="n">
        <v/>
      </c>
    </row>
    <row r="500">
      <c r="A500" s="106" t="n">
        <v>22098</v>
      </c>
      <c r="B500" t="n">
        <v>14.916480325</v>
      </c>
      <c r="C500" t="n">
        <v>26.505701221</v>
      </c>
      <c r="D500" t="n">
        <v/>
      </c>
      <c r="E500" t="n">
        <v/>
      </c>
      <c r="F500" t="n">
        <v/>
      </c>
      <c r="G500" t="n">
        <v/>
      </c>
      <c r="H500" t="n">
        <v/>
      </c>
      <c r="I500" t="n">
        <v>14.916480325</v>
      </c>
      <c r="J500" t="n">
        <v/>
      </c>
      <c r="K500" t="n">
        <v>28.945437876</v>
      </c>
      <c r="L500" t="n">
        <v/>
      </c>
      <c r="M500" t="n">
        <v/>
      </c>
      <c r="N500" t="n">
        <v/>
      </c>
      <c r="O500" t="n">
        <v/>
      </c>
      <c r="P500" t="n">
        <v/>
      </c>
      <c r="Q500" t="n">
        <v>16.097626542</v>
      </c>
      <c r="R500" t="n">
        <v>36.239908907</v>
      </c>
      <c r="S500" t="n">
        <v>23.015399793</v>
      </c>
      <c r="T500" t="n">
        <v/>
      </c>
      <c r="U500" t="n">
        <v/>
      </c>
      <c r="V500" t="n">
        <v/>
      </c>
      <c r="W500" t="n">
        <v/>
      </c>
      <c r="X500" t="n">
        <v/>
      </c>
      <c r="Y500" t="n">
        <v/>
      </c>
      <c r="Z500" t="n">
        <v/>
      </c>
      <c r="AA500" t="n">
        <v/>
      </c>
      <c r="AB500" t="n">
        <v/>
      </c>
      <c r="AC500" t="n">
        <v>35.157013653</v>
      </c>
      <c r="AD500" t="n">
        <v>13.376506074</v>
      </c>
      <c r="AE500" t="n">
        <v/>
      </c>
      <c r="AF500" t="n">
        <v>40.320881023</v>
      </c>
      <c r="AG500" t="n">
        <v/>
      </c>
      <c r="AH500" t="n">
        <v/>
      </c>
      <c r="AI500" t="n">
        <v>24.568476439</v>
      </c>
      <c r="AJ500" t="n">
        <v>21.62108135</v>
      </c>
      <c r="AK500" t="n">
        <v/>
      </c>
      <c r="AL500" t="n">
        <v/>
      </c>
      <c r="AM500" t="n">
        <v/>
      </c>
      <c r="AN500" t="n">
        <v>23.34696261</v>
      </c>
      <c r="AO500" t="n">
        <v/>
      </c>
      <c r="AP500" t="n">
        <v/>
      </c>
      <c r="AQ500" t="n">
        <v/>
      </c>
      <c r="AR500" t="n">
        <v>30.925909899</v>
      </c>
      <c r="AS500" t="n">
        <v/>
      </c>
      <c r="AT500" t="n">
        <v>23.005555683</v>
      </c>
      <c r="AU500" t="n">
        <v/>
      </c>
    </row>
    <row r="501">
      <c r="A501" s="106" t="n">
        <v>22129</v>
      </c>
      <c r="B501" t="n">
        <v>15.1692331</v>
      </c>
      <c r="C501" t="n">
        <v>26.470045163</v>
      </c>
      <c r="D501" t="n">
        <v/>
      </c>
      <c r="E501" t="n">
        <v/>
      </c>
      <c r="F501" t="n">
        <v/>
      </c>
      <c r="G501" t="n">
        <v/>
      </c>
      <c r="H501" t="n">
        <v/>
      </c>
      <c r="I501" t="n">
        <v>15.1692331</v>
      </c>
      <c r="J501" t="n">
        <v/>
      </c>
      <c r="K501" t="n">
        <v>28.388477299</v>
      </c>
      <c r="L501" t="n">
        <v/>
      </c>
      <c r="M501" t="n">
        <v/>
      </c>
      <c r="N501" t="n">
        <v/>
      </c>
      <c r="O501" t="n">
        <v/>
      </c>
      <c r="P501" t="n">
        <v/>
      </c>
      <c r="Q501" t="n">
        <v>15.412179218</v>
      </c>
      <c r="R501" t="n">
        <v>36.239908907</v>
      </c>
      <c r="S501" t="n">
        <v>22.993752504</v>
      </c>
      <c r="T501" t="n">
        <v/>
      </c>
      <c r="U501" t="n">
        <v/>
      </c>
      <c r="V501" t="n">
        <v/>
      </c>
      <c r="W501" t="n">
        <v/>
      </c>
      <c r="X501" t="n">
        <v/>
      </c>
      <c r="Y501" t="n">
        <v/>
      </c>
      <c r="Z501" t="n">
        <v/>
      </c>
      <c r="AA501" t="n">
        <v/>
      </c>
      <c r="AB501" t="n">
        <v/>
      </c>
      <c r="AC501" t="n">
        <v>35.309126206</v>
      </c>
      <c r="AD501" t="n">
        <v>13.544764012</v>
      </c>
      <c r="AE501" t="n">
        <v/>
      </c>
      <c r="AF501" t="n">
        <v>40.249574248</v>
      </c>
      <c r="AG501" t="n">
        <v/>
      </c>
      <c r="AH501" t="n">
        <v/>
      </c>
      <c r="AI501" t="n">
        <v>24.854156398</v>
      </c>
      <c r="AJ501" t="n">
        <v>21.62108135</v>
      </c>
      <c r="AK501" t="n">
        <v/>
      </c>
      <c r="AL501" t="n">
        <v/>
      </c>
      <c r="AM501" t="n">
        <v/>
      </c>
      <c r="AN501" t="n">
        <v>23.818563663</v>
      </c>
      <c r="AO501" t="n">
        <v/>
      </c>
      <c r="AP501" t="n">
        <v/>
      </c>
      <c r="AQ501" t="n">
        <v/>
      </c>
      <c r="AR501" t="n">
        <v>29.106738728</v>
      </c>
      <c r="AS501" t="n">
        <v/>
      </c>
      <c r="AT501" t="n">
        <v>22.978782899</v>
      </c>
      <c r="AU501" t="n">
        <v/>
      </c>
    </row>
    <row r="502">
      <c r="A502" s="106" t="n">
        <v>22160</v>
      </c>
      <c r="B502" t="n">
        <v>14.995352194</v>
      </c>
      <c r="C502" t="n">
        <v>26.479715453</v>
      </c>
      <c r="D502" t="n">
        <v/>
      </c>
      <c r="E502" t="n">
        <v/>
      </c>
      <c r="F502" t="n">
        <v/>
      </c>
      <c r="G502" t="n">
        <v/>
      </c>
      <c r="H502" t="n">
        <v/>
      </c>
      <c r="I502" t="n">
        <v>14.995352194</v>
      </c>
      <c r="J502" t="n">
        <v/>
      </c>
      <c r="K502" t="n">
        <v>28.876248837</v>
      </c>
      <c r="L502" t="n">
        <v/>
      </c>
      <c r="M502" t="n">
        <v/>
      </c>
      <c r="N502" t="n">
        <v/>
      </c>
      <c r="O502" t="n">
        <v/>
      </c>
      <c r="P502" t="n">
        <v/>
      </c>
      <c r="Q502" t="n">
        <v>16.05608428</v>
      </c>
      <c r="R502" t="n">
        <v>37.133495699</v>
      </c>
      <c r="S502" t="n">
        <v>23.123387799</v>
      </c>
      <c r="T502" t="n">
        <v/>
      </c>
      <c r="U502" t="n">
        <v/>
      </c>
      <c r="V502" t="n">
        <v/>
      </c>
      <c r="W502" t="n">
        <v/>
      </c>
      <c r="X502" t="n">
        <v/>
      </c>
      <c r="Y502" t="n">
        <v/>
      </c>
      <c r="Z502" t="n">
        <v/>
      </c>
      <c r="AA502" t="n">
        <v/>
      </c>
      <c r="AB502" t="n">
        <v/>
      </c>
      <c r="AC502" t="n">
        <v>35.765463866</v>
      </c>
      <c r="AD502" t="n">
        <v>13.797150919</v>
      </c>
      <c r="AE502" t="n">
        <v/>
      </c>
      <c r="AF502" t="n">
        <v>40.230326891</v>
      </c>
      <c r="AG502" t="n">
        <v/>
      </c>
      <c r="AH502" t="n">
        <v/>
      </c>
      <c r="AI502" t="n">
        <v>25.139836356</v>
      </c>
      <c r="AJ502" t="n">
        <v>21.598201898</v>
      </c>
      <c r="AK502" t="n">
        <v/>
      </c>
      <c r="AL502" t="n">
        <v/>
      </c>
      <c r="AM502" t="n">
        <v/>
      </c>
      <c r="AN502" t="n">
        <v>23.856539937</v>
      </c>
      <c r="AO502" t="n">
        <v/>
      </c>
      <c r="AP502" t="n">
        <v/>
      </c>
      <c r="AQ502" t="n">
        <v/>
      </c>
      <c r="AR502" t="n">
        <v>28.197153143</v>
      </c>
      <c r="AS502" t="n">
        <v/>
      </c>
      <c r="AT502" t="n">
        <v>22.738323637</v>
      </c>
      <c r="AU502" t="n">
        <v/>
      </c>
    </row>
    <row r="503">
      <c r="A503" s="106" t="n">
        <v>22190</v>
      </c>
      <c r="B503" t="n">
        <v>15.143511317</v>
      </c>
      <c r="C503" t="n">
        <v>27.129264103</v>
      </c>
      <c r="D503" t="n">
        <v/>
      </c>
      <c r="E503" t="n">
        <v/>
      </c>
      <c r="F503" t="n">
        <v/>
      </c>
      <c r="G503" t="n">
        <v/>
      </c>
      <c r="H503" t="n">
        <v/>
      </c>
      <c r="I503" t="n">
        <v>15.143511317</v>
      </c>
      <c r="J503" t="n">
        <v/>
      </c>
      <c r="K503" t="n">
        <v>29.494470062</v>
      </c>
      <c r="L503" t="n">
        <v/>
      </c>
      <c r="M503" t="n">
        <v/>
      </c>
      <c r="N503" t="n">
        <v/>
      </c>
      <c r="O503" t="n">
        <v/>
      </c>
      <c r="P503" t="n">
        <v/>
      </c>
      <c r="Q503" t="n">
        <v>16.180711066</v>
      </c>
      <c r="R503" t="n">
        <v>36.868729243</v>
      </c>
      <c r="S503" t="n">
        <v>23.226987685</v>
      </c>
      <c r="T503" t="n">
        <v/>
      </c>
      <c r="U503" t="n">
        <v/>
      </c>
      <c r="V503" t="n">
        <v/>
      </c>
      <c r="W503" t="n">
        <v/>
      </c>
      <c r="X503" t="n">
        <v/>
      </c>
      <c r="Y503" t="n">
        <v/>
      </c>
      <c r="Z503" t="n">
        <v/>
      </c>
      <c r="AA503" t="n">
        <v/>
      </c>
      <c r="AB503" t="n">
        <v/>
      </c>
      <c r="AC503" t="n">
        <v>35.32814027</v>
      </c>
      <c r="AD503" t="n">
        <v>13.965408857</v>
      </c>
      <c r="AE503" t="n">
        <v/>
      </c>
      <c r="AF503" t="n">
        <v>40.085792461</v>
      </c>
      <c r="AG503" t="n">
        <v/>
      </c>
      <c r="AH503" t="n">
        <v/>
      </c>
      <c r="AI503" t="n">
        <v>25.425516315</v>
      </c>
      <c r="AJ503" t="n">
        <v>22.032911471</v>
      </c>
      <c r="AK503" t="n">
        <v/>
      </c>
      <c r="AL503" t="n">
        <v/>
      </c>
      <c r="AM503" t="n">
        <v/>
      </c>
      <c r="AN503" t="n">
        <v>23.670592645</v>
      </c>
      <c r="AO503" t="n">
        <v/>
      </c>
      <c r="AP503" t="n">
        <v/>
      </c>
      <c r="AQ503" t="n">
        <v/>
      </c>
      <c r="AR503" t="n">
        <v>29.561531521</v>
      </c>
      <c r="AS503" t="n">
        <v/>
      </c>
      <c r="AT503" t="n">
        <v>22.711650012</v>
      </c>
      <c r="AU503" t="n">
        <v/>
      </c>
    </row>
    <row r="504">
      <c r="A504" s="106" t="n">
        <v>22221</v>
      </c>
      <c r="B504" t="n">
        <v>15.547465768</v>
      </c>
      <c r="C504" t="n">
        <v>27.387792898</v>
      </c>
      <c r="D504" t="n">
        <v/>
      </c>
      <c r="E504" t="n">
        <v/>
      </c>
      <c r="F504" t="n">
        <v/>
      </c>
      <c r="G504" t="n">
        <v/>
      </c>
      <c r="H504" t="n">
        <v/>
      </c>
      <c r="I504" t="n">
        <v>15.547465768</v>
      </c>
      <c r="J504" t="n">
        <v/>
      </c>
      <c r="K504" t="n">
        <v>29.263938415</v>
      </c>
      <c r="L504" t="n">
        <v/>
      </c>
      <c r="M504" t="n">
        <v/>
      </c>
      <c r="N504" t="n">
        <v/>
      </c>
      <c r="O504" t="n">
        <v/>
      </c>
      <c r="P504" t="n">
        <v/>
      </c>
      <c r="Q504" t="n">
        <v>16.367651245</v>
      </c>
      <c r="R504" t="n">
        <v>37.265878928</v>
      </c>
      <c r="S504" t="n">
        <v>23.204356479</v>
      </c>
      <c r="T504" t="n">
        <v/>
      </c>
      <c r="U504" t="n">
        <v/>
      </c>
      <c r="V504" t="n">
        <v/>
      </c>
      <c r="W504" t="n">
        <v/>
      </c>
      <c r="X504" t="n">
        <v/>
      </c>
      <c r="Y504" t="n">
        <v/>
      </c>
      <c r="Z504" t="n">
        <v/>
      </c>
      <c r="AA504" t="n">
        <v/>
      </c>
      <c r="AB504" t="n">
        <v/>
      </c>
      <c r="AC504" t="n">
        <v>35.442224685</v>
      </c>
      <c r="AD504" t="n">
        <v>14.301924733</v>
      </c>
      <c r="AE504" t="n">
        <v/>
      </c>
      <c r="AF504" t="n">
        <v>40.175839498</v>
      </c>
      <c r="AG504" t="n">
        <v/>
      </c>
      <c r="AH504" t="n">
        <v/>
      </c>
      <c r="AI504" t="n">
        <v>25.425516315</v>
      </c>
      <c r="AJ504" t="n">
        <v>22.124429275</v>
      </c>
      <c r="AK504" t="n">
        <v/>
      </c>
      <c r="AL504" t="n">
        <v/>
      </c>
      <c r="AM504" t="n">
        <v/>
      </c>
      <c r="AN504" t="n">
        <v>22.476407567</v>
      </c>
      <c r="AO504" t="n">
        <v/>
      </c>
      <c r="AP504" t="n">
        <v/>
      </c>
      <c r="AQ504" t="n">
        <v/>
      </c>
      <c r="AR504" t="n">
        <v>29.561531521</v>
      </c>
      <c r="AS504" t="n">
        <v/>
      </c>
      <c r="AT504" t="n">
        <v>22.390971556</v>
      </c>
      <c r="AU504" t="n">
        <v/>
      </c>
    </row>
    <row r="505">
      <c r="A505" s="106" t="n">
        <v>22251</v>
      </c>
      <c r="B505" t="n">
        <v>15.617135858</v>
      </c>
      <c r="C505" t="n">
        <v>23.443465989</v>
      </c>
      <c r="D505" t="n">
        <v/>
      </c>
      <c r="E505" t="n">
        <v/>
      </c>
      <c r="F505" t="n">
        <v/>
      </c>
      <c r="G505" t="n">
        <v/>
      </c>
      <c r="H505" t="n">
        <v/>
      </c>
      <c r="I505" t="n">
        <v>15.617135858</v>
      </c>
      <c r="J505" t="n">
        <v/>
      </c>
      <c r="K505" t="n">
        <v>29.674601426</v>
      </c>
      <c r="L505" t="n">
        <v/>
      </c>
      <c r="M505" t="n">
        <v/>
      </c>
      <c r="N505" t="n">
        <v/>
      </c>
      <c r="O505" t="n">
        <v/>
      </c>
      <c r="P505" t="n">
        <v/>
      </c>
      <c r="Q505" t="n">
        <v>16.65844708</v>
      </c>
      <c r="R505" t="n">
        <v>37.232783123</v>
      </c>
      <c r="S505" t="n">
        <v>23.112538102</v>
      </c>
      <c r="T505" t="n">
        <v/>
      </c>
      <c r="U505" t="n">
        <v/>
      </c>
      <c r="V505" t="n">
        <v/>
      </c>
      <c r="W505" t="n">
        <v/>
      </c>
      <c r="X505" t="n">
        <v/>
      </c>
      <c r="Y505" t="n">
        <v/>
      </c>
      <c r="Z505" t="n">
        <v/>
      </c>
      <c r="AA505" t="n">
        <v/>
      </c>
      <c r="AB505" t="n">
        <v/>
      </c>
      <c r="AC505" t="n">
        <v>35.518280961</v>
      </c>
      <c r="AD505" t="n">
        <v>14.386053702</v>
      </c>
      <c r="AE505" t="n">
        <v/>
      </c>
      <c r="AF505" t="n">
        <v>39.960157486</v>
      </c>
      <c r="AG505" t="n">
        <v/>
      </c>
      <c r="AH505" t="n">
        <v/>
      </c>
      <c r="AI505" t="n">
        <v>25.996876232</v>
      </c>
      <c r="AJ505" t="n">
        <v>22.559138847</v>
      </c>
      <c r="AK505" t="n">
        <v/>
      </c>
      <c r="AL505" t="n">
        <v/>
      </c>
      <c r="AM505" t="n">
        <v/>
      </c>
      <c r="AN505" t="n">
        <v>24.380594677</v>
      </c>
      <c r="AO505" t="n">
        <v/>
      </c>
      <c r="AP505" t="n">
        <v/>
      </c>
      <c r="AQ505" t="n">
        <v/>
      </c>
      <c r="AR505" t="n">
        <v>29.561531521</v>
      </c>
      <c r="AS505" t="n">
        <v/>
      </c>
      <c r="AT505" t="n">
        <v>21.963499441</v>
      </c>
      <c r="AU505" t="n">
        <v/>
      </c>
    </row>
    <row r="506">
      <c r="A506" s="106" t="n">
        <v>22282</v>
      </c>
      <c r="B506" t="n">
        <v>15.03419992</v>
      </c>
      <c r="C506" t="n">
        <v>20.985917207</v>
      </c>
      <c r="D506" t="n">
        <v/>
      </c>
      <c r="E506" t="n">
        <v>21.932541914</v>
      </c>
      <c r="F506" t="n">
        <v/>
      </c>
      <c r="G506" t="n">
        <v/>
      </c>
      <c r="H506" t="n">
        <v/>
      </c>
      <c r="I506" t="n">
        <v>15.03419992</v>
      </c>
      <c r="J506" t="n">
        <v/>
      </c>
      <c r="K506" t="n">
        <v>30.073014861</v>
      </c>
      <c r="L506" t="n">
        <v/>
      </c>
      <c r="M506" t="n">
        <v/>
      </c>
      <c r="N506" t="n">
        <v/>
      </c>
      <c r="O506" t="n">
        <v/>
      </c>
      <c r="P506" t="n">
        <v/>
      </c>
      <c r="Q506" t="n">
        <v>16.824616128</v>
      </c>
      <c r="R506" t="n">
        <v>37.398262156</v>
      </c>
      <c r="S506" t="n">
        <v>23.380494559</v>
      </c>
      <c r="T506" t="n">
        <v/>
      </c>
      <c r="U506" t="n">
        <v/>
      </c>
      <c r="V506" t="n">
        <v/>
      </c>
      <c r="W506" t="n">
        <v/>
      </c>
      <c r="X506" t="n">
        <v/>
      </c>
      <c r="Y506" t="n">
        <v/>
      </c>
      <c r="Z506" t="n">
        <v/>
      </c>
      <c r="AA506" t="n">
        <v/>
      </c>
      <c r="AB506" t="n">
        <v/>
      </c>
      <c r="AC506" t="n">
        <v>36.088703036</v>
      </c>
      <c r="AD506" t="n">
        <v>14.806698547</v>
      </c>
      <c r="AE506" t="n">
        <v/>
      </c>
      <c r="AF506" t="n">
        <v>40.837992064</v>
      </c>
      <c r="AG506" t="n">
        <v/>
      </c>
      <c r="AH506" t="n">
        <v/>
      </c>
      <c r="AI506" t="n">
        <v>25.425516315</v>
      </c>
      <c r="AJ506" t="n">
        <v>22.559138847</v>
      </c>
      <c r="AK506" t="n">
        <v/>
      </c>
      <c r="AL506" t="n">
        <v/>
      </c>
      <c r="AM506" t="n">
        <v/>
      </c>
      <c r="AN506" t="n">
        <v>24.024748167</v>
      </c>
      <c r="AO506" t="n">
        <v/>
      </c>
      <c r="AP506" t="n">
        <v/>
      </c>
      <c r="AQ506" t="n">
        <v/>
      </c>
      <c r="AR506" t="n">
        <v>30.016324313</v>
      </c>
      <c r="AS506" t="n">
        <v/>
      </c>
      <c r="AT506" t="n">
        <v>21.990173066</v>
      </c>
      <c r="AU506" t="n">
        <v/>
      </c>
    </row>
    <row r="507">
      <c r="A507" s="106" t="n">
        <v>22313</v>
      </c>
      <c r="B507" t="n">
        <v>15.43491688</v>
      </c>
      <c r="C507" t="n">
        <v>28.170885859</v>
      </c>
      <c r="D507" t="n">
        <v/>
      </c>
      <c r="E507" t="n">
        <v>21.954627646</v>
      </c>
      <c r="F507" t="n">
        <v/>
      </c>
      <c r="G507" t="n">
        <v/>
      </c>
      <c r="H507" t="n">
        <v/>
      </c>
      <c r="I507" t="n">
        <v>15.43491688</v>
      </c>
      <c r="J507" t="n">
        <v/>
      </c>
      <c r="K507" t="n">
        <v>30.250980411</v>
      </c>
      <c r="L507" t="n">
        <v/>
      </c>
      <c r="M507" t="n">
        <v/>
      </c>
      <c r="N507" t="n">
        <v/>
      </c>
      <c r="O507" t="n">
        <v/>
      </c>
      <c r="P507" t="n">
        <v/>
      </c>
      <c r="Q507" t="n">
        <v>17.053098569</v>
      </c>
      <c r="R507" t="n">
        <v>37.696124417</v>
      </c>
      <c r="S507" t="n">
        <v>23.474027327</v>
      </c>
      <c r="T507" t="n">
        <v/>
      </c>
      <c r="U507" t="n">
        <v/>
      </c>
      <c r="V507" t="n">
        <v/>
      </c>
      <c r="W507" t="n">
        <v/>
      </c>
      <c r="X507" t="n">
        <v/>
      </c>
      <c r="Y507" t="n">
        <v/>
      </c>
      <c r="Z507" t="n">
        <v/>
      </c>
      <c r="AA507" t="n">
        <v/>
      </c>
      <c r="AB507" t="n">
        <v/>
      </c>
      <c r="AC507" t="n">
        <v>36.906308004</v>
      </c>
      <c r="AD507" t="n">
        <v>14.890827516</v>
      </c>
      <c r="AE507" t="n">
        <v/>
      </c>
      <c r="AF507" t="n">
        <v>41.144424472</v>
      </c>
      <c r="AG507" t="n">
        <v/>
      </c>
      <c r="AH507" t="n">
        <v/>
      </c>
      <c r="AI507" t="n">
        <v>25.425516315</v>
      </c>
      <c r="AJ507" t="n">
        <v>22.536259396</v>
      </c>
      <c r="AK507" t="n">
        <v/>
      </c>
      <c r="AL507" t="n">
        <v/>
      </c>
      <c r="AM507" t="n">
        <v/>
      </c>
      <c r="AN507" t="n">
        <v>24.225923174</v>
      </c>
      <c r="AO507" t="n">
        <v/>
      </c>
      <c r="AP507" t="n">
        <v/>
      </c>
      <c r="AQ507" t="n">
        <v/>
      </c>
      <c r="AR507" t="n">
        <v>30.471117106</v>
      </c>
      <c r="AS507" t="n">
        <v/>
      </c>
      <c r="AT507" t="n">
        <v>21.963499441</v>
      </c>
      <c r="AU507" t="n">
        <v/>
      </c>
    </row>
    <row r="508">
      <c r="A508" s="106" t="n">
        <v>22341</v>
      </c>
      <c r="B508" t="n">
        <v>15.59843289</v>
      </c>
      <c r="C508" t="n">
        <v>27.942588029</v>
      </c>
      <c r="D508" t="n">
        <v/>
      </c>
      <c r="E508" t="n">
        <v>21.869574081</v>
      </c>
      <c r="F508" t="n">
        <v/>
      </c>
      <c r="G508" t="n">
        <v/>
      </c>
      <c r="H508" t="n">
        <v/>
      </c>
      <c r="I508" t="n">
        <v>15.59843289</v>
      </c>
      <c r="J508" t="n">
        <v/>
      </c>
      <c r="K508" t="n">
        <v>30.541058659</v>
      </c>
      <c r="L508" t="n">
        <v/>
      </c>
      <c r="M508" t="n">
        <v/>
      </c>
      <c r="N508" t="n">
        <v/>
      </c>
      <c r="O508" t="n">
        <v/>
      </c>
      <c r="P508" t="n">
        <v/>
      </c>
      <c r="Q508" t="n">
        <v>17.343894403</v>
      </c>
      <c r="R508" t="n">
        <v>38.027082492</v>
      </c>
      <c r="S508" t="n">
        <v>23.712838476</v>
      </c>
      <c r="T508" t="n">
        <v/>
      </c>
      <c r="U508" t="n">
        <v/>
      </c>
      <c r="V508" t="n">
        <v/>
      </c>
      <c r="W508" t="n">
        <v/>
      </c>
      <c r="X508" t="n">
        <v/>
      </c>
      <c r="Y508" t="n">
        <v/>
      </c>
      <c r="Z508" t="n">
        <v/>
      </c>
      <c r="AA508" t="n">
        <v/>
      </c>
      <c r="AB508" t="n">
        <v/>
      </c>
      <c r="AC508" t="n">
        <v>36.868279866</v>
      </c>
      <c r="AD508" t="n">
        <v>15.311472361</v>
      </c>
      <c r="AE508" t="n">
        <v/>
      </c>
      <c r="AF508" t="n">
        <v>41.606867272</v>
      </c>
      <c r="AG508" t="n">
        <v/>
      </c>
      <c r="AH508" t="n">
        <v/>
      </c>
      <c r="AI508" t="n">
        <v>25.425516315</v>
      </c>
      <c r="AJ508" t="n">
        <v>22.513379945</v>
      </c>
      <c r="AK508" t="n">
        <v/>
      </c>
      <c r="AL508" t="n">
        <v/>
      </c>
      <c r="AM508" t="n">
        <v/>
      </c>
      <c r="AN508" t="n">
        <v>26.359354753</v>
      </c>
      <c r="AO508" t="n">
        <v/>
      </c>
      <c r="AP508" t="n">
        <v/>
      </c>
      <c r="AQ508" t="n">
        <v/>
      </c>
      <c r="AR508" t="n">
        <v>30.925909899</v>
      </c>
      <c r="AS508" t="n">
        <v/>
      </c>
      <c r="AT508" t="n">
        <v>22.097065885</v>
      </c>
      <c r="AU508" t="n">
        <v/>
      </c>
    </row>
    <row r="509">
      <c r="A509" s="106" t="n">
        <v>22372</v>
      </c>
      <c r="B509" t="n">
        <v>15.443400578</v>
      </c>
      <c r="C509" t="n">
        <v>28.029876503</v>
      </c>
      <c r="D509" t="n">
        <v/>
      </c>
      <c r="E509" t="n">
        <v>22.328205459</v>
      </c>
      <c r="F509" t="n">
        <v/>
      </c>
      <c r="G509" t="n">
        <v/>
      </c>
      <c r="H509" t="n">
        <v/>
      </c>
      <c r="I509" t="n">
        <v>15.443400578</v>
      </c>
      <c r="J509" t="n">
        <v/>
      </c>
      <c r="K509" t="n">
        <v>30.530881372</v>
      </c>
      <c r="L509" t="n">
        <v/>
      </c>
      <c r="M509" t="n">
        <v/>
      </c>
      <c r="N509" t="n">
        <v/>
      </c>
      <c r="O509" t="n">
        <v/>
      </c>
      <c r="P509" t="n">
        <v/>
      </c>
      <c r="Q509" t="n">
        <v>17.0738697</v>
      </c>
      <c r="R509" t="n">
        <v>37.762316036</v>
      </c>
      <c r="S509" t="n">
        <v>23.953572522</v>
      </c>
      <c r="T509" t="n">
        <v/>
      </c>
      <c r="U509" t="n">
        <v/>
      </c>
      <c r="V509" t="n">
        <v/>
      </c>
      <c r="W509" t="n">
        <v/>
      </c>
      <c r="X509" t="n">
        <v/>
      </c>
      <c r="Y509" t="n">
        <v/>
      </c>
      <c r="Z509" t="n">
        <v/>
      </c>
      <c r="AA509" t="n">
        <v/>
      </c>
      <c r="AB509" t="n">
        <v/>
      </c>
      <c r="AC509" t="n">
        <v>37.229547175</v>
      </c>
      <c r="AD509" t="n">
        <v>15.311472361</v>
      </c>
      <c r="AE509" t="n">
        <v/>
      </c>
      <c r="AF509" t="n">
        <v>41.560768342</v>
      </c>
      <c r="AG509" t="n">
        <v/>
      </c>
      <c r="AH509" t="n">
        <v/>
      </c>
      <c r="AI509" t="n">
        <v>25.996876232</v>
      </c>
      <c r="AJ509" t="n">
        <v>22.490500494</v>
      </c>
      <c r="AK509" t="n">
        <v/>
      </c>
      <c r="AL509" t="n">
        <v/>
      </c>
      <c r="AM509" t="n">
        <v/>
      </c>
      <c r="AN509" t="n">
        <v>25.357455885</v>
      </c>
      <c r="AO509" t="n">
        <v/>
      </c>
      <c r="AP509" t="n">
        <v/>
      </c>
      <c r="AQ509" t="n">
        <v/>
      </c>
      <c r="AR509" t="n">
        <v>30.925909899</v>
      </c>
      <c r="AS509" t="n">
        <v/>
      </c>
      <c r="AT509" t="n">
        <v>22.551310784</v>
      </c>
      <c r="AU509" t="n">
        <v/>
      </c>
    </row>
    <row r="510">
      <c r="A510" s="106" t="n">
        <v>22402</v>
      </c>
      <c r="B510" t="n">
        <v>15.339117849</v>
      </c>
      <c r="C510" t="n">
        <v>27.918502386</v>
      </c>
      <c r="D510" t="n">
        <v/>
      </c>
      <c r="E510" t="n">
        <v>22.440983666</v>
      </c>
      <c r="F510" t="n">
        <v/>
      </c>
      <c r="G510" t="n">
        <v/>
      </c>
      <c r="H510" t="n">
        <v/>
      </c>
      <c r="I510" t="n">
        <v>15.339117849</v>
      </c>
      <c r="J510" t="n">
        <v/>
      </c>
      <c r="K510" t="n">
        <v>29.884562311</v>
      </c>
      <c r="L510" t="n">
        <v/>
      </c>
      <c r="M510" t="n">
        <v/>
      </c>
      <c r="N510" t="n">
        <v/>
      </c>
      <c r="O510" t="n">
        <v/>
      </c>
      <c r="P510" t="n">
        <v/>
      </c>
      <c r="Q510" t="n">
        <v>17.385436665</v>
      </c>
      <c r="R510" t="n">
        <v>37.861603459</v>
      </c>
      <c r="S510" t="n">
        <v>24.166218327</v>
      </c>
      <c r="T510" t="n">
        <v/>
      </c>
      <c r="U510" t="n">
        <v/>
      </c>
      <c r="V510" t="n">
        <v/>
      </c>
      <c r="W510" t="n">
        <v/>
      </c>
      <c r="X510" t="n">
        <v/>
      </c>
      <c r="Y510" t="n">
        <v/>
      </c>
      <c r="Z510" t="n">
        <v/>
      </c>
      <c r="AA510" t="n">
        <v/>
      </c>
      <c r="AB510" t="n">
        <v/>
      </c>
      <c r="AC510" t="n">
        <v>37.647856696</v>
      </c>
      <c r="AD510" t="n">
        <v>15.647988237</v>
      </c>
      <c r="AE510" t="n">
        <v/>
      </c>
      <c r="AF510" t="n">
        <v>42.033029992</v>
      </c>
      <c r="AG510" t="n">
        <v/>
      </c>
      <c r="AH510" t="n">
        <v/>
      </c>
      <c r="AI510" t="n">
        <v>25.139836356</v>
      </c>
      <c r="AJ510" t="n">
        <v>21.895634764</v>
      </c>
      <c r="AK510" t="n">
        <v/>
      </c>
      <c r="AL510" t="n">
        <v/>
      </c>
      <c r="AM510" t="n">
        <v/>
      </c>
      <c r="AN510" t="n">
        <v>25.571651623</v>
      </c>
      <c r="AO510" t="n">
        <v/>
      </c>
      <c r="AP510" t="n">
        <v/>
      </c>
      <c r="AQ510" t="n">
        <v/>
      </c>
      <c r="AR510" t="n">
        <v>30.471117106</v>
      </c>
      <c r="AS510" t="n">
        <v/>
      </c>
      <c r="AT510" t="n">
        <v>22.898662865</v>
      </c>
      <c r="AU510" t="n">
        <v/>
      </c>
    </row>
    <row r="511">
      <c r="A511" s="106" t="n">
        <v>22433</v>
      </c>
      <c r="B511" t="n">
        <v>15.402147432</v>
      </c>
      <c r="C511" t="n">
        <v>28.039998351</v>
      </c>
      <c r="D511" t="n">
        <v/>
      </c>
      <c r="E511" t="n">
        <v>22.811272114</v>
      </c>
      <c r="F511" t="n">
        <v/>
      </c>
      <c r="G511" t="n">
        <v/>
      </c>
      <c r="H511" t="n">
        <v/>
      </c>
      <c r="I511" t="n">
        <v>15.402147432</v>
      </c>
      <c r="J511" t="n">
        <v/>
      </c>
      <c r="K511" t="n">
        <v>29.886182158</v>
      </c>
      <c r="L511" t="n">
        <v/>
      </c>
      <c r="M511" t="n">
        <v/>
      </c>
      <c r="N511" t="n">
        <v/>
      </c>
      <c r="O511" t="n">
        <v/>
      </c>
      <c r="P511" t="n">
        <v/>
      </c>
      <c r="Q511" t="n">
        <v>17.593147976</v>
      </c>
      <c r="R511" t="n">
        <v>38.093274111</v>
      </c>
      <c r="S511" t="n">
        <v>24.425411022</v>
      </c>
      <c r="T511" t="n">
        <v/>
      </c>
      <c r="U511" t="n">
        <v/>
      </c>
      <c r="V511" t="n">
        <v/>
      </c>
      <c r="W511" t="n">
        <v/>
      </c>
      <c r="X511" t="n">
        <v/>
      </c>
      <c r="Y511" t="n">
        <v/>
      </c>
      <c r="Z511" t="n">
        <v/>
      </c>
      <c r="AA511" t="n">
        <v/>
      </c>
      <c r="AB511" t="n">
        <v/>
      </c>
      <c r="AC511" t="n">
        <v>38.218278771</v>
      </c>
      <c r="AD511" t="n">
        <v>15.816246175</v>
      </c>
      <c r="AE511" t="n">
        <v/>
      </c>
      <c r="AF511" t="n">
        <v>41.234954845</v>
      </c>
      <c r="AG511" t="n">
        <v/>
      </c>
      <c r="AH511" t="n">
        <v/>
      </c>
      <c r="AI511" t="n">
        <v>25.425516315</v>
      </c>
      <c r="AJ511" t="n">
        <v>23.245522382</v>
      </c>
      <c r="AK511" t="n">
        <v/>
      </c>
      <c r="AL511" t="n">
        <v/>
      </c>
      <c r="AM511" t="n">
        <v/>
      </c>
      <c r="AN511" t="n">
        <v>24.939186199</v>
      </c>
      <c r="AO511" t="n">
        <v/>
      </c>
      <c r="AP511" t="n">
        <v/>
      </c>
      <c r="AQ511" t="n">
        <v/>
      </c>
      <c r="AR511" t="n">
        <v>30.471117106</v>
      </c>
      <c r="AS511" t="n">
        <v/>
      </c>
      <c r="AT511" t="n">
        <v>23.21934132</v>
      </c>
      <c r="AU511" t="n">
        <v/>
      </c>
    </row>
    <row r="512">
      <c r="A512" s="106" t="n">
        <v>22463</v>
      </c>
      <c r="B512" t="n">
        <v>15.646859243</v>
      </c>
      <c r="C512" t="n">
        <v>28.607528519</v>
      </c>
      <c r="D512" t="n">
        <v/>
      </c>
      <c r="E512" t="n">
        <v>23.035418802</v>
      </c>
      <c r="F512" t="n">
        <v/>
      </c>
      <c r="G512" t="n">
        <v/>
      </c>
      <c r="H512" t="n">
        <v/>
      </c>
      <c r="I512" t="n">
        <v>15.646859243</v>
      </c>
      <c r="J512" t="n">
        <v/>
      </c>
      <c r="K512" t="n">
        <v>30.443733932</v>
      </c>
      <c r="L512" t="n">
        <v/>
      </c>
      <c r="M512" t="n">
        <v/>
      </c>
      <c r="N512" t="n">
        <v/>
      </c>
      <c r="O512" t="n">
        <v/>
      </c>
      <c r="P512" t="n">
        <v/>
      </c>
      <c r="Q512" t="n">
        <v>18.029341727</v>
      </c>
      <c r="R512" t="n">
        <v>38.5235196</v>
      </c>
      <c r="S512" t="n">
        <v>24.789709449</v>
      </c>
      <c r="T512" t="n">
        <v/>
      </c>
      <c r="U512" t="n">
        <v/>
      </c>
      <c r="V512" t="n">
        <v/>
      </c>
      <c r="W512" t="n">
        <v/>
      </c>
      <c r="X512" t="n">
        <v/>
      </c>
      <c r="Y512" t="n">
        <v/>
      </c>
      <c r="Z512" t="n">
        <v/>
      </c>
      <c r="AA512" t="n">
        <v/>
      </c>
      <c r="AB512" t="n">
        <v/>
      </c>
      <c r="AC512" t="n">
        <v>38.845743048</v>
      </c>
      <c r="AD512" t="n">
        <v>16.152762051</v>
      </c>
      <c r="AE512" t="n">
        <v/>
      </c>
      <c r="AF512" t="n">
        <v>41.865237704</v>
      </c>
      <c r="AG512" t="n">
        <v/>
      </c>
      <c r="AH512" t="n">
        <v/>
      </c>
      <c r="AI512" t="n">
        <v>25.711196274</v>
      </c>
      <c r="AJ512" t="n">
        <v>22.719295006</v>
      </c>
      <c r="AK512" t="n">
        <v/>
      </c>
      <c r="AL512" t="n">
        <v/>
      </c>
      <c r="AM512" t="n">
        <v/>
      </c>
      <c r="AN512" t="n">
        <v>24.638203143</v>
      </c>
      <c r="AO512" t="n">
        <v/>
      </c>
      <c r="AP512" t="n">
        <v/>
      </c>
      <c r="AQ512" t="n">
        <v/>
      </c>
      <c r="AR512" t="n">
        <v>31.835495484</v>
      </c>
      <c r="AS512" t="n">
        <v/>
      </c>
      <c r="AT512" t="n">
        <v>23.486474208</v>
      </c>
      <c r="AU512" t="n">
        <v/>
      </c>
    </row>
    <row r="513">
      <c r="A513" s="106" t="n">
        <v>22494</v>
      </c>
      <c r="B513" t="n">
        <v>15.308324072</v>
      </c>
      <c r="C513" t="n">
        <v>28.280806599</v>
      </c>
      <c r="D513" t="n">
        <v/>
      </c>
      <c r="E513" t="n">
        <v>22.910892864</v>
      </c>
      <c r="F513" t="n">
        <v/>
      </c>
      <c r="G513" t="n">
        <v/>
      </c>
      <c r="H513" t="n">
        <v/>
      </c>
      <c r="I513" t="n">
        <v>15.308324072</v>
      </c>
      <c r="J513" t="n">
        <v/>
      </c>
      <c r="K513" t="n">
        <v>30.213573825</v>
      </c>
      <c r="L513" t="n">
        <v/>
      </c>
      <c r="M513" t="n">
        <v/>
      </c>
      <c r="N513" t="n">
        <v/>
      </c>
      <c r="O513" t="n">
        <v/>
      </c>
      <c r="P513" t="n">
        <v/>
      </c>
      <c r="Q513" t="n">
        <v>17.800859286</v>
      </c>
      <c r="R513" t="n">
        <v>38.5235196</v>
      </c>
      <c r="S513" t="n">
        <v>24.936299032</v>
      </c>
      <c r="T513" t="n">
        <v/>
      </c>
      <c r="U513" t="n">
        <v/>
      </c>
      <c r="V513" t="n">
        <v/>
      </c>
      <c r="W513" t="n">
        <v/>
      </c>
      <c r="X513" t="n">
        <v/>
      </c>
      <c r="Y513" t="n">
        <v/>
      </c>
      <c r="Z513" t="n">
        <v/>
      </c>
      <c r="AA513" t="n">
        <v/>
      </c>
      <c r="AB513" t="n">
        <v/>
      </c>
      <c r="AC513" t="n">
        <v>38.921799324</v>
      </c>
      <c r="AD513" t="n">
        <v>16.405148959</v>
      </c>
      <c r="AE513" t="n">
        <v/>
      </c>
      <c r="AF513" t="n">
        <v>42.244671595</v>
      </c>
      <c r="AG513" t="n">
        <v/>
      </c>
      <c r="AH513" t="n">
        <v/>
      </c>
      <c r="AI513" t="n">
        <v>25.996876232</v>
      </c>
      <c r="AJ513" t="n">
        <v>23.314160736</v>
      </c>
      <c r="AK513" t="n">
        <v/>
      </c>
      <c r="AL513" t="n">
        <v/>
      </c>
      <c r="AM513" t="n">
        <v/>
      </c>
      <c r="AN513" t="n">
        <v>24.056064827</v>
      </c>
      <c r="AO513" t="n">
        <v/>
      </c>
      <c r="AP513" t="n">
        <v/>
      </c>
      <c r="AQ513" t="n">
        <v/>
      </c>
      <c r="AR513" t="n">
        <v>31.380702691</v>
      </c>
      <c r="AS513" t="n">
        <v/>
      </c>
      <c r="AT513" t="n">
        <v>23.700259845</v>
      </c>
      <c r="AU513" t="n">
        <v/>
      </c>
    </row>
    <row r="514">
      <c r="A514" s="106" t="n">
        <v>22525</v>
      </c>
      <c r="B514" t="n">
        <v>15.70181419</v>
      </c>
      <c r="C514" t="n">
        <v>28.110381162</v>
      </c>
      <c r="D514" t="n">
        <v/>
      </c>
      <c r="E514" t="n">
        <v>23.455047716</v>
      </c>
      <c r="F514" t="n">
        <v/>
      </c>
      <c r="G514" t="n">
        <v/>
      </c>
      <c r="H514" t="n">
        <v/>
      </c>
      <c r="I514" t="n">
        <v>15.70181419</v>
      </c>
      <c r="J514" t="n">
        <v/>
      </c>
      <c r="K514" t="n">
        <v>30.462984496</v>
      </c>
      <c r="L514" t="n">
        <v/>
      </c>
      <c r="M514" t="n">
        <v/>
      </c>
      <c r="N514" t="n">
        <v/>
      </c>
      <c r="O514" t="n">
        <v/>
      </c>
      <c r="P514" t="n">
        <v/>
      </c>
      <c r="Q514" t="n">
        <v>17.593147976</v>
      </c>
      <c r="R514" t="n">
        <v>38.655902828</v>
      </c>
      <c r="S514" t="n">
        <v>24.979524397</v>
      </c>
      <c r="T514" t="n">
        <v/>
      </c>
      <c r="U514" t="n">
        <v/>
      </c>
      <c r="V514" t="n">
        <v/>
      </c>
      <c r="W514" t="n">
        <v/>
      </c>
      <c r="X514" t="n">
        <v/>
      </c>
      <c r="Y514" t="n">
        <v/>
      </c>
      <c r="Z514" t="n">
        <v/>
      </c>
      <c r="AA514" t="n">
        <v/>
      </c>
      <c r="AB514" t="n">
        <v/>
      </c>
      <c r="AC514" t="n">
        <v>39.302080708</v>
      </c>
      <c r="AD514" t="n">
        <v>16.32101999</v>
      </c>
      <c r="AE514" t="n">
        <v/>
      </c>
      <c r="AF514" t="n">
        <v>40.882481986</v>
      </c>
      <c r="AG514" t="n">
        <v/>
      </c>
      <c r="AH514" t="n">
        <v/>
      </c>
      <c r="AI514" t="n">
        <v>25.996876232</v>
      </c>
      <c r="AJ514" t="n">
        <v>23.085366224</v>
      </c>
      <c r="AK514" t="n">
        <v/>
      </c>
      <c r="AL514" t="n">
        <v/>
      </c>
      <c r="AM514" t="n">
        <v/>
      </c>
      <c r="AN514" t="n">
        <v>25.036785364</v>
      </c>
      <c r="AO514" t="n">
        <v/>
      </c>
      <c r="AP514" t="n">
        <v/>
      </c>
      <c r="AQ514" t="n">
        <v/>
      </c>
      <c r="AR514" t="n">
        <v>30.925909899</v>
      </c>
      <c r="AS514" t="n">
        <v/>
      </c>
      <c r="AT514" t="n">
        <v>23.673586219</v>
      </c>
      <c r="AU514" t="n">
        <v/>
      </c>
    </row>
    <row r="515">
      <c r="A515" s="106" t="n">
        <v>22555</v>
      </c>
      <c r="B515" t="n">
        <v>15.626478341</v>
      </c>
      <c r="C515" t="n">
        <v>28.264412685</v>
      </c>
      <c r="D515" t="n">
        <v/>
      </c>
      <c r="E515" t="n">
        <v>23.662747581</v>
      </c>
      <c r="F515" t="n">
        <v/>
      </c>
      <c r="G515" t="n">
        <v/>
      </c>
      <c r="H515" t="n">
        <v/>
      </c>
      <c r="I515" t="n">
        <v>15.626478341</v>
      </c>
      <c r="J515" t="n">
        <v/>
      </c>
      <c r="K515" t="n">
        <v>30.228254862</v>
      </c>
      <c r="L515" t="n">
        <v/>
      </c>
      <c r="M515" t="n">
        <v/>
      </c>
      <c r="N515" t="n">
        <v/>
      </c>
      <c r="O515" t="n">
        <v/>
      </c>
      <c r="P515" t="n">
        <v/>
      </c>
      <c r="Q515" t="n">
        <v>17.717774762</v>
      </c>
      <c r="R515" t="n">
        <v>38.5235196</v>
      </c>
      <c r="S515" t="n">
        <v>25.306217635</v>
      </c>
      <c r="T515" t="n">
        <v/>
      </c>
      <c r="U515" t="n">
        <v/>
      </c>
      <c r="V515" t="n">
        <v/>
      </c>
      <c r="W515" t="n">
        <v/>
      </c>
      <c r="X515" t="n">
        <v/>
      </c>
      <c r="Y515" t="n">
        <v/>
      </c>
      <c r="Z515" t="n">
        <v/>
      </c>
      <c r="AA515" t="n">
        <v/>
      </c>
      <c r="AB515" t="n">
        <v/>
      </c>
      <c r="AC515" t="n">
        <v>40.005601261</v>
      </c>
      <c r="AD515" t="n">
        <v>16.657535866</v>
      </c>
      <c r="AE515" t="n">
        <v/>
      </c>
      <c r="AF515" t="n">
        <v>40.832809995</v>
      </c>
      <c r="AG515" t="n">
        <v/>
      </c>
      <c r="AH515" t="n">
        <v/>
      </c>
      <c r="AI515" t="n">
        <v>25.996876232</v>
      </c>
      <c r="AJ515" t="n">
        <v>23.222642931</v>
      </c>
      <c r="AK515" t="n">
        <v/>
      </c>
      <c r="AL515" t="n">
        <v/>
      </c>
      <c r="AM515" t="n">
        <v/>
      </c>
      <c r="AN515" t="n">
        <v>24.923305047</v>
      </c>
      <c r="AO515" t="n">
        <v/>
      </c>
      <c r="AP515" t="n">
        <v/>
      </c>
      <c r="AQ515" t="n">
        <v/>
      </c>
      <c r="AR515" t="n">
        <v>31.835495484</v>
      </c>
      <c r="AS515" t="n">
        <v/>
      </c>
      <c r="AT515" t="n">
        <v>24.12773196</v>
      </c>
      <c r="AU515" t="n">
        <v/>
      </c>
    </row>
    <row r="516">
      <c r="A516" s="106" t="n">
        <v>22586</v>
      </c>
      <c r="B516" t="n">
        <v>15.5402934</v>
      </c>
      <c r="C516" t="n">
        <v>28.339344978</v>
      </c>
      <c r="D516" t="n">
        <v/>
      </c>
      <c r="E516" t="n">
        <v>23.760018785</v>
      </c>
      <c r="F516" t="n">
        <v/>
      </c>
      <c r="G516" t="n">
        <v/>
      </c>
      <c r="H516" t="n">
        <v/>
      </c>
      <c r="I516" t="n">
        <v>15.5402934</v>
      </c>
      <c r="J516" t="n">
        <v/>
      </c>
      <c r="K516" t="n">
        <v>30.316298985</v>
      </c>
      <c r="L516" t="n">
        <v/>
      </c>
      <c r="M516" t="n">
        <v/>
      </c>
      <c r="N516" t="n">
        <v/>
      </c>
      <c r="O516" t="n">
        <v/>
      </c>
      <c r="P516" t="n">
        <v/>
      </c>
      <c r="Q516" t="n">
        <v>18.153968513</v>
      </c>
      <c r="R516" t="n">
        <v>38.722094447</v>
      </c>
      <c r="S516" t="n">
        <v>25.588446774</v>
      </c>
      <c r="T516" t="n">
        <v/>
      </c>
      <c r="U516" t="n">
        <v/>
      </c>
      <c r="V516" t="n">
        <v/>
      </c>
      <c r="W516" t="n">
        <v/>
      </c>
      <c r="X516" t="n">
        <v/>
      </c>
      <c r="Y516" t="n">
        <v/>
      </c>
      <c r="Z516" t="n">
        <v/>
      </c>
      <c r="AA516" t="n">
        <v/>
      </c>
      <c r="AB516" t="n">
        <v/>
      </c>
      <c r="AC516" t="n">
        <v>40.557009261</v>
      </c>
      <c r="AD516" t="n">
        <v>16.825793804</v>
      </c>
      <c r="AE516" t="n">
        <v/>
      </c>
      <c r="AF516" t="n">
        <v>40.474922192</v>
      </c>
      <c r="AG516" t="n">
        <v/>
      </c>
      <c r="AH516" t="n">
        <v/>
      </c>
      <c r="AI516" t="n">
        <v>26.282556191</v>
      </c>
      <c r="AJ516" t="n">
        <v>23.931905917</v>
      </c>
      <c r="AK516" t="n">
        <v/>
      </c>
      <c r="AL516" t="n">
        <v/>
      </c>
      <c r="AM516" t="n">
        <v/>
      </c>
      <c r="AN516" t="n">
        <v>24.550998196</v>
      </c>
      <c r="AO516" t="n">
        <v/>
      </c>
      <c r="AP516" t="n">
        <v/>
      </c>
      <c r="AQ516" t="n">
        <v/>
      </c>
      <c r="AR516" t="n">
        <v>31.835495484</v>
      </c>
      <c r="AS516" t="n">
        <v/>
      </c>
      <c r="AT516" t="n">
        <v>24.501856825</v>
      </c>
      <c r="AU516" t="n">
        <v/>
      </c>
    </row>
    <row r="517">
      <c r="A517" s="106" t="n">
        <v>22616</v>
      </c>
      <c r="B517" t="n">
        <v>15.905799702</v>
      </c>
      <c r="C517" t="n">
        <v>28.370060741</v>
      </c>
      <c r="D517" t="n">
        <v/>
      </c>
      <c r="E517" t="n">
        <v>23.906630455</v>
      </c>
      <c r="F517" t="n">
        <v/>
      </c>
      <c r="G517" t="n">
        <v/>
      </c>
      <c r="H517" t="n">
        <v/>
      </c>
      <c r="I517" t="n">
        <v>15.905799702</v>
      </c>
      <c r="J517" t="n">
        <v/>
      </c>
      <c r="K517" t="n">
        <v>30.993616691</v>
      </c>
      <c r="L517" t="n">
        <v/>
      </c>
      <c r="M517" t="n">
        <v/>
      </c>
      <c r="N517" t="n">
        <v/>
      </c>
      <c r="O517" t="n">
        <v/>
      </c>
      <c r="P517" t="n">
        <v/>
      </c>
      <c r="Q517" t="n">
        <v>18.133197382</v>
      </c>
      <c r="R517" t="n">
        <v>39.847351891</v>
      </c>
      <c r="S517" t="n">
        <v>25.928908229</v>
      </c>
      <c r="T517" t="n">
        <v/>
      </c>
      <c r="U517" t="n">
        <v/>
      </c>
      <c r="V517" t="n">
        <v/>
      </c>
      <c r="W517" t="n">
        <v/>
      </c>
      <c r="X517" t="n">
        <v/>
      </c>
      <c r="Y517" t="n">
        <v/>
      </c>
      <c r="Z517" t="n">
        <v/>
      </c>
      <c r="AA517" t="n">
        <v/>
      </c>
      <c r="AB517" t="n">
        <v/>
      </c>
      <c r="AC517" t="n">
        <v>40.880248431</v>
      </c>
      <c r="AD517" t="n">
        <v>17.078180711</v>
      </c>
      <c r="AE517" t="n">
        <v/>
      </c>
      <c r="AF517" t="n">
        <v>39.431953927</v>
      </c>
      <c r="AG517" t="n">
        <v/>
      </c>
      <c r="AH517" t="n">
        <v/>
      </c>
      <c r="AI517" t="n">
        <v>26.853916108</v>
      </c>
      <c r="AJ517" t="n">
        <v>23.497196345</v>
      </c>
      <c r="AK517" t="n">
        <v/>
      </c>
      <c r="AL517" t="n">
        <v/>
      </c>
      <c r="AM517" t="n">
        <v/>
      </c>
      <c r="AN517" t="n">
        <v>24.550968133</v>
      </c>
      <c r="AO517" t="n">
        <v/>
      </c>
      <c r="AP517" t="n">
        <v/>
      </c>
      <c r="AQ517" t="n">
        <v/>
      </c>
      <c r="AR517" t="n">
        <v>31.380702691</v>
      </c>
      <c r="AS517" t="n">
        <v/>
      </c>
      <c r="AT517" t="n">
        <v>24.715543303</v>
      </c>
      <c r="AU517" t="n">
        <v/>
      </c>
    </row>
    <row r="518">
      <c r="A518" s="106" t="n">
        <v>22647</v>
      </c>
      <c r="B518" t="n">
        <v>15.658355079</v>
      </c>
      <c r="C518" t="n">
        <v>28.706166656</v>
      </c>
      <c r="D518" t="n">
        <v/>
      </c>
      <c r="E518" t="n">
        <v>24.005311387</v>
      </c>
      <c r="F518" t="n">
        <v/>
      </c>
      <c r="G518" t="n">
        <v/>
      </c>
      <c r="H518" t="n">
        <v/>
      </c>
      <c r="I518" t="n">
        <v>15.658355079</v>
      </c>
      <c r="J518" t="n">
        <v/>
      </c>
      <c r="K518" t="n">
        <v>32.345383005</v>
      </c>
      <c r="L518" t="n">
        <v/>
      </c>
      <c r="M518" t="n">
        <v/>
      </c>
      <c r="N518" t="n">
        <v/>
      </c>
      <c r="O518" t="n">
        <v/>
      </c>
      <c r="P518" t="n">
        <v/>
      </c>
      <c r="Q518" t="n">
        <v>18.48630661</v>
      </c>
      <c r="R518" t="n">
        <v>39.516393816</v>
      </c>
      <c r="S518" t="n">
        <v>26.106045675</v>
      </c>
      <c r="T518" t="n">
        <v/>
      </c>
      <c r="U518" t="n">
        <v/>
      </c>
      <c r="V518" t="n">
        <v>27.181244653</v>
      </c>
      <c r="W518" t="n">
        <v/>
      </c>
      <c r="X518" t="n">
        <v/>
      </c>
      <c r="Y518" t="n">
        <v/>
      </c>
      <c r="Z518" t="n">
        <v/>
      </c>
      <c r="AA518" t="n">
        <v/>
      </c>
      <c r="AB518" t="n">
        <v/>
      </c>
      <c r="AC518" t="n">
        <v>41.507712708</v>
      </c>
      <c r="AD518" t="n">
        <v>17.330567618</v>
      </c>
      <c r="AE518" t="n">
        <v/>
      </c>
      <c r="AF518" t="n">
        <v>39.003811875</v>
      </c>
      <c r="AG518" t="n">
        <v/>
      </c>
      <c r="AH518" t="n">
        <v/>
      </c>
      <c r="AI518" t="n">
        <v>26.568236149</v>
      </c>
      <c r="AJ518" t="n">
        <v>23.085366224</v>
      </c>
      <c r="AK518" t="n">
        <v/>
      </c>
      <c r="AL518" t="n">
        <v/>
      </c>
      <c r="AM518" t="n">
        <v/>
      </c>
      <c r="AN518" t="n">
        <v>25.758769518</v>
      </c>
      <c r="AO518" t="n">
        <v/>
      </c>
      <c r="AP518" t="n">
        <v/>
      </c>
      <c r="AQ518" t="n">
        <v/>
      </c>
      <c r="AR518" t="n">
        <v>31.380702691</v>
      </c>
      <c r="AS518" t="n">
        <v/>
      </c>
      <c r="AT518" t="n">
        <v>24.501856825</v>
      </c>
      <c r="AU518" t="n">
        <v/>
      </c>
    </row>
    <row r="519">
      <c r="A519" s="106" t="n">
        <v>22678</v>
      </c>
      <c r="B519" t="n">
        <v>15.986157106</v>
      </c>
      <c r="C519" t="n">
        <v>28.86581957</v>
      </c>
      <c r="D519" t="n">
        <v/>
      </c>
      <c r="E519" t="n">
        <v>24.236976622</v>
      </c>
      <c r="F519" t="n">
        <v/>
      </c>
      <c r="G519" t="n">
        <v/>
      </c>
      <c r="H519" t="n">
        <v/>
      </c>
      <c r="I519" t="n">
        <v>15.986157106</v>
      </c>
      <c r="J519" t="n">
        <v/>
      </c>
      <c r="K519" t="n">
        <v>32.283655174</v>
      </c>
      <c r="L519" t="n">
        <v/>
      </c>
      <c r="M519" t="n">
        <v/>
      </c>
      <c r="N519" t="n">
        <v/>
      </c>
      <c r="O519" t="n">
        <v/>
      </c>
      <c r="P519" t="n">
        <v/>
      </c>
      <c r="Q519" t="n">
        <v>18.423993216</v>
      </c>
      <c r="R519" t="n">
        <v>39.847351891</v>
      </c>
      <c r="S519" t="n">
        <v>26.31920033</v>
      </c>
      <c r="T519" t="n">
        <v/>
      </c>
      <c r="U519" t="n">
        <v/>
      </c>
      <c r="V519" t="n">
        <v>26.981095414</v>
      </c>
      <c r="W519" t="n">
        <v/>
      </c>
      <c r="X519" t="n">
        <v/>
      </c>
      <c r="Y519" t="n">
        <v/>
      </c>
      <c r="Z519" t="n">
        <v/>
      </c>
      <c r="AA519" t="n">
        <v/>
      </c>
      <c r="AB519" t="n">
        <v/>
      </c>
      <c r="AC519" t="n">
        <v>41.621797123</v>
      </c>
      <c r="AD519" t="n">
        <v>17.330567618</v>
      </c>
      <c r="AE519" t="n">
        <v/>
      </c>
      <c r="AF519" t="n">
        <v>39.989042775</v>
      </c>
      <c r="AG519" t="n">
        <v/>
      </c>
      <c r="AH519" t="n">
        <v/>
      </c>
      <c r="AI519" t="n">
        <v>26.853916108</v>
      </c>
      <c r="AJ519" t="n">
        <v>23.520075796</v>
      </c>
      <c r="AK519" t="n">
        <v/>
      </c>
      <c r="AL519" t="n">
        <v/>
      </c>
      <c r="AM519" t="n">
        <v/>
      </c>
      <c r="AN519" t="n">
        <v>25.42727956</v>
      </c>
      <c r="AO519" t="n">
        <v/>
      </c>
      <c r="AP519" t="n">
        <v/>
      </c>
      <c r="AQ519" t="n">
        <v/>
      </c>
      <c r="AR519" t="n">
        <v>32.290288276</v>
      </c>
      <c r="AS519" t="n">
        <v/>
      </c>
      <c r="AT519" t="n">
        <v>24.902655315</v>
      </c>
      <c r="AU519" t="n">
        <v/>
      </c>
    </row>
    <row r="520">
      <c r="A520" s="106" t="n">
        <v>22706</v>
      </c>
      <c r="B520" t="n">
        <v>15.849110961</v>
      </c>
      <c r="C520" t="n">
        <v>28.284213047</v>
      </c>
      <c r="D520" t="n">
        <v/>
      </c>
      <c r="E520" t="n">
        <v>24.574841335</v>
      </c>
      <c r="F520" t="n">
        <v/>
      </c>
      <c r="G520" t="n">
        <v/>
      </c>
      <c r="H520" t="n">
        <v/>
      </c>
      <c r="I520" t="n">
        <v>15.849110961</v>
      </c>
      <c r="J520" t="n">
        <v/>
      </c>
      <c r="K520" t="n">
        <v>32.283655174</v>
      </c>
      <c r="L520" t="n">
        <v/>
      </c>
      <c r="M520" t="n">
        <v/>
      </c>
      <c r="N520" t="n">
        <v/>
      </c>
      <c r="O520" t="n">
        <v/>
      </c>
      <c r="P520" t="n">
        <v/>
      </c>
      <c r="Q520" t="n">
        <v>18.216281906</v>
      </c>
      <c r="R520" t="n">
        <v>40.145214153</v>
      </c>
      <c r="S520" t="n">
        <v>26.46662281</v>
      </c>
      <c r="T520" t="n">
        <v/>
      </c>
      <c r="U520" t="n">
        <v/>
      </c>
      <c r="V520" t="n">
        <v>26.823934707</v>
      </c>
      <c r="W520" t="n">
        <v/>
      </c>
      <c r="X520" t="n">
        <v/>
      </c>
      <c r="Y520" t="n">
        <v/>
      </c>
      <c r="Z520" t="n">
        <v/>
      </c>
      <c r="AA520" t="n">
        <v/>
      </c>
      <c r="AB520" t="n">
        <v/>
      </c>
      <c r="AC520" t="n">
        <v>41.279543889</v>
      </c>
      <c r="AD520" t="n">
        <v>17.582954525</v>
      </c>
      <c r="AE520" t="n">
        <v/>
      </c>
      <c r="AF520" t="n">
        <v>39.107810571</v>
      </c>
      <c r="AG520" t="n">
        <v/>
      </c>
      <c r="AH520" t="n">
        <v/>
      </c>
      <c r="AI520" t="n">
        <v>26.568236149</v>
      </c>
      <c r="AJ520" t="n">
        <v>23.222642931</v>
      </c>
      <c r="AK520" t="n">
        <v/>
      </c>
      <c r="AL520" t="n">
        <v/>
      </c>
      <c r="AM520" t="n">
        <v/>
      </c>
      <c r="AN520" t="n">
        <v>24.692078985</v>
      </c>
      <c r="AO520" t="n">
        <v/>
      </c>
      <c r="AP520" t="n">
        <v/>
      </c>
      <c r="AQ520" t="n">
        <v/>
      </c>
      <c r="AR520" t="n">
        <v>32.290288276</v>
      </c>
      <c r="AS520" t="n">
        <v/>
      </c>
      <c r="AT520" t="n">
        <v>25.036221759</v>
      </c>
      <c r="AU520" t="n">
        <v/>
      </c>
    </row>
    <row r="521">
      <c r="A521" s="106" t="n">
        <v>22737</v>
      </c>
      <c r="B521" t="n">
        <v>16.127861985</v>
      </c>
      <c r="C521" t="n">
        <v>28.463617909</v>
      </c>
      <c r="D521" t="n">
        <v/>
      </c>
      <c r="E521" t="n">
        <v>24.663184264</v>
      </c>
      <c r="F521" t="n">
        <v/>
      </c>
      <c r="G521" t="n">
        <v/>
      </c>
      <c r="H521" t="n">
        <v/>
      </c>
      <c r="I521" t="n">
        <v>16.127861985</v>
      </c>
      <c r="J521" t="n">
        <v/>
      </c>
      <c r="K521" t="n">
        <v>31.789832533</v>
      </c>
      <c r="L521" t="n">
        <v/>
      </c>
      <c r="M521" t="n">
        <v/>
      </c>
      <c r="N521" t="n">
        <v/>
      </c>
      <c r="O521" t="n">
        <v/>
      </c>
      <c r="P521" t="n">
        <v/>
      </c>
      <c r="Q521" t="n">
        <v>19.026356016</v>
      </c>
      <c r="R521" t="n">
        <v>39.97973512</v>
      </c>
      <c r="S521" t="n">
        <v>26.362459414</v>
      </c>
      <c r="T521" t="n">
        <v/>
      </c>
      <c r="U521" t="n">
        <v/>
      </c>
      <c r="V521" t="n">
        <v>27.253183821</v>
      </c>
      <c r="W521" t="n">
        <v/>
      </c>
      <c r="X521" t="n">
        <v/>
      </c>
      <c r="Y521" t="n">
        <v/>
      </c>
      <c r="Z521" t="n">
        <v/>
      </c>
      <c r="AA521" t="n">
        <v/>
      </c>
      <c r="AB521" t="n">
        <v/>
      </c>
      <c r="AC521" t="n">
        <v>41.583768985</v>
      </c>
      <c r="AD521" t="n">
        <v>17.330567618</v>
      </c>
      <c r="AE521" t="n">
        <v/>
      </c>
      <c r="AF521" t="n">
        <v>39.240387158</v>
      </c>
      <c r="AG521" t="n">
        <v/>
      </c>
      <c r="AH521" t="n">
        <v/>
      </c>
      <c r="AI521" t="n">
        <v>26.568236149</v>
      </c>
      <c r="AJ521" t="n">
        <v>23.863267564</v>
      </c>
      <c r="AK521" t="n">
        <v/>
      </c>
      <c r="AL521" t="n">
        <v/>
      </c>
      <c r="AM521" t="n">
        <v/>
      </c>
      <c r="AN521" t="n">
        <v>23.710665038</v>
      </c>
      <c r="AO521" t="n">
        <v/>
      </c>
      <c r="AP521" t="n">
        <v/>
      </c>
      <c r="AQ521" t="n">
        <v/>
      </c>
      <c r="AR521" t="n">
        <v>32.290288276</v>
      </c>
      <c r="AS521" t="n">
        <v/>
      </c>
      <c r="AT521" t="n">
        <v>25.089668168</v>
      </c>
      <c r="AU521" t="n">
        <v/>
      </c>
    </row>
    <row r="522">
      <c r="A522" s="106" t="n">
        <v>22767</v>
      </c>
      <c r="B522" t="n">
        <v>15.408526431</v>
      </c>
      <c r="C522" t="n">
        <v>29.177917563</v>
      </c>
      <c r="D522" t="n">
        <v/>
      </c>
      <c r="E522" t="n">
        <v>25.073414994</v>
      </c>
      <c r="F522" t="n">
        <v/>
      </c>
      <c r="G522" t="n">
        <v/>
      </c>
      <c r="H522" t="n">
        <v/>
      </c>
      <c r="I522" t="n">
        <v>15.408526431</v>
      </c>
      <c r="J522" t="n">
        <v/>
      </c>
      <c r="K522" t="n">
        <v>32.777477816</v>
      </c>
      <c r="L522" t="n">
        <v/>
      </c>
      <c r="M522" t="n">
        <v/>
      </c>
      <c r="N522" t="n">
        <v/>
      </c>
      <c r="O522" t="n">
        <v/>
      </c>
      <c r="P522" t="n">
        <v/>
      </c>
      <c r="Q522" t="n">
        <v>18.714789051</v>
      </c>
      <c r="R522" t="n">
        <v>40.277597381</v>
      </c>
      <c r="S522" t="n">
        <v>26.618244178</v>
      </c>
      <c r="T522" t="n">
        <v/>
      </c>
      <c r="U522" t="n">
        <v/>
      </c>
      <c r="V522" t="n">
        <v>27.158221938</v>
      </c>
      <c r="W522" t="n">
        <v/>
      </c>
      <c r="X522" t="n">
        <v/>
      </c>
      <c r="Y522" t="n">
        <v/>
      </c>
      <c r="Z522" t="n">
        <v/>
      </c>
      <c r="AA522" t="n">
        <v/>
      </c>
      <c r="AB522" t="n">
        <v/>
      </c>
      <c r="AC522" t="n">
        <v>42.135176996</v>
      </c>
      <c r="AD522" t="n">
        <v>17.582954525</v>
      </c>
      <c r="AE522" t="n">
        <v/>
      </c>
      <c r="AF522" t="n">
        <v>37.765524581</v>
      </c>
      <c r="AG522" t="n">
        <v/>
      </c>
      <c r="AH522" t="n">
        <v/>
      </c>
      <c r="AI522" t="n">
        <v>26.853916108</v>
      </c>
      <c r="AJ522" t="n">
        <v>23.771749759</v>
      </c>
      <c r="AK522" t="n">
        <v/>
      </c>
      <c r="AL522" t="n">
        <v/>
      </c>
      <c r="AM522" t="n">
        <v/>
      </c>
      <c r="AN522" t="n">
        <v>24.942213601</v>
      </c>
      <c r="AO522" t="n">
        <v/>
      </c>
      <c r="AP522" t="n">
        <v/>
      </c>
      <c r="AQ522" t="n">
        <v/>
      </c>
      <c r="AR522" t="n">
        <v>32.290288276</v>
      </c>
      <c r="AS522" t="n">
        <v/>
      </c>
      <c r="AT522" t="n">
        <v>25.062895384</v>
      </c>
      <c r="AU522" t="n">
        <v/>
      </c>
    </row>
    <row r="523">
      <c r="A523" s="106" t="n">
        <v>22798</v>
      </c>
      <c r="B523" t="n">
        <v>15.913985495</v>
      </c>
      <c r="C523" t="n">
        <v>29.333123008</v>
      </c>
      <c r="D523" t="n">
        <v/>
      </c>
      <c r="E523" t="n">
        <v>25.365228606</v>
      </c>
      <c r="F523" t="n">
        <v/>
      </c>
      <c r="G523" t="n">
        <v/>
      </c>
      <c r="H523" t="n">
        <v/>
      </c>
      <c r="I523" t="n">
        <v>15.913985495</v>
      </c>
      <c r="J523" t="n">
        <v/>
      </c>
      <c r="K523" t="n">
        <v>32.777477816</v>
      </c>
      <c r="L523" t="n">
        <v/>
      </c>
      <c r="M523" t="n">
        <v/>
      </c>
      <c r="N523" t="n">
        <v/>
      </c>
      <c r="O523" t="n">
        <v/>
      </c>
      <c r="P523" t="n">
        <v/>
      </c>
      <c r="Q523" t="n">
        <v>18.590162265</v>
      </c>
      <c r="R523" t="n">
        <v>40.012830924</v>
      </c>
      <c r="S523" t="n">
        <v>26.459482053</v>
      </c>
      <c r="T523" t="n">
        <v/>
      </c>
      <c r="U523" t="n">
        <v/>
      </c>
      <c r="V523" t="n">
        <v>27.902418567</v>
      </c>
      <c r="W523" t="n">
        <v/>
      </c>
      <c r="X523" t="n">
        <v/>
      </c>
      <c r="Y523" t="n">
        <v/>
      </c>
      <c r="Z523" t="n">
        <v/>
      </c>
      <c r="AA523" t="n">
        <v/>
      </c>
      <c r="AB523" t="n">
        <v/>
      </c>
      <c r="AC523" t="n">
        <v>40.956304708</v>
      </c>
      <c r="AD523" t="n">
        <v>17.330567618</v>
      </c>
      <c r="AE523" t="n">
        <v/>
      </c>
      <c r="AF523" t="n">
        <v>38.970546935</v>
      </c>
      <c r="AG523" t="n">
        <v/>
      </c>
      <c r="AH523" t="n">
        <v/>
      </c>
      <c r="AI523" t="n">
        <v>27.139596066</v>
      </c>
      <c r="AJ523" t="n">
        <v>23.497196345</v>
      </c>
      <c r="AK523" t="n">
        <v/>
      </c>
      <c r="AL523" t="n">
        <v/>
      </c>
      <c r="AM523" t="n">
        <v/>
      </c>
      <c r="AN523" t="n">
        <v>26.0530551</v>
      </c>
      <c r="AO523" t="n">
        <v/>
      </c>
      <c r="AP523" t="n">
        <v/>
      </c>
      <c r="AQ523" t="n">
        <v/>
      </c>
      <c r="AR523" t="n">
        <v>32.745081069</v>
      </c>
      <c r="AS523" t="n">
        <v/>
      </c>
      <c r="AT523" t="n">
        <v>25.009548133</v>
      </c>
      <c r="AU523" t="n">
        <v/>
      </c>
    </row>
    <row r="524">
      <c r="A524" s="106" t="n">
        <v>22828</v>
      </c>
      <c r="B524" t="n">
        <v>15.927835391</v>
      </c>
      <c r="C524" t="n">
        <v>29.33736169</v>
      </c>
      <c r="D524" t="n">
        <v/>
      </c>
      <c r="E524" t="n">
        <v>25.667380221</v>
      </c>
      <c r="F524" t="n">
        <v/>
      </c>
      <c r="G524" t="n">
        <v/>
      </c>
      <c r="H524" t="n">
        <v/>
      </c>
      <c r="I524" t="n">
        <v>15.927835391</v>
      </c>
      <c r="J524" t="n">
        <v/>
      </c>
      <c r="K524" t="n">
        <v>32.839205646</v>
      </c>
      <c r="L524" t="n">
        <v/>
      </c>
      <c r="M524" t="n">
        <v/>
      </c>
      <c r="N524" t="n">
        <v/>
      </c>
      <c r="O524" t="n">
        <v/>
      </c>
      <c r="P524" t="n">
        <v/>
      </c>
      <c r="Q524" t="n">
        <v>18.403222085</v>
      </c>
      <c r="R524" t="n">
        <v>40.641651261</v>
      </c>
      <c r="S524" t="n">
        <v>26.603393137</v>
      </c>
      <c r="T524" t="n">
        <v/>
      </c>
      <c r="U524" t="n">
        <v/>
      </c>
      <c r="V524" t="n">
        <v>27.209781997</v>
      </c>
      <c r="W524" t="n">
        <v/>
      </c>
      <c r="X524" t="n">
        <v/>
      </c>
      <c r="Y524" t="n">
        <v/>
      </c>
      <c r="Z524" t="n">
        <v/>
      </c>
      <c r="AA524" t="n">
        <v/>
      </c>
      <c r="AB524" t="n">
        <v/>
      </c>
      <c r="AC524" t="n">
        <v>42.458416166</v>
      </c>
      <c r="AD524" t="n">
        <v>16.994051742</v>
      </c>
      <c r="AE524" t="n">
        <v/>
      </c>
      <c r="AF524" t="n">
        <v>38.648798026</v>
      </c>
      <c r="AG524" t="n">
        <v/>
      </c>
      <c r="AH524" t="n">
        <v/>
      </c>
      <c r="AI524" t="n">
        <v>27.425276025</v>
      </c>
      <c r="AJ524" t="n">
        <v>23.863267564</v>
      </c>
      <c r="AK524" t="n">
        <v/>
      </c>
      <c r="AL524" t="n">
        <v/>
      </c>
      <c r="AM524" t="n">
        <v/>
      </c>
      <c r="AN524" t="n">
        <v>25.086052861</v>
      </c>
      <c r="AO524" t="n">
        <v/>
      </c>
      <c r="AP524" t="n">
        <v/>
      </c>
      <c r="AQ524" t="n">
        <v/>
      </c>
      <c r="AR524" t="n">
        <v>33.654666654</v>
      </c>
      <c r="AS524" t="n">
        <v/>
      </c>
      <c r="AT524" t="n">
        <v>25.250007396</v>
      </c>
      <c r="AU524" t="n">
        <v/>
      </c>
    </row>
    <row r="525">
      <c r="A525" s="106" t="n">
        <v>22859</v>
      </c>
      <c r="B525" t="n">
        <v>15.995950257</v>
      </c>
      <c r="C525" t="n">
        <v>29.709550746</v>
      </c>
      <c r="D525" t="n">
        <v/>
      </c>
      <c r="E525" t="n">
        <v>25.152359739</v>
      </c>
      <c r="F525" t="n">
        <v/>
      </c>
      <c r="G525" t="n">
        <v/>
      </c>
      <c r="H525" t="n">
        <v/>
      </c>
      <c r="I525" t="n">
        <v>15.995950257</v>
      </c>
      <c r="J525" t="n">
        <v/>
      </c>
      <c r="K525" t="n">
        <v>34.25894574</v>
      </c>
      <c r="L525" t="n">
        <v/>
      </c>
      <c r="M525" t="n">
        <v/>
      </c>
      <c r="N525" t="n">
        <v/>
      </c>
      <c r="O525" t="n">
        <v/>
      </c>
      <c r="P525" t="n">
        <v/>
      </c>
      <c r="Q525" t="n">
        <v>18.590162265</v>
      </c>
      <c r="R525" t="n">
        <v>40.641651261</v>
      </c>
      <c r="S525" t="n">
        <v>26.891186866</v>
      </c>
      <c r="T525" t="n">
        <v/>
      </c>
      <c r="U525" t="n">
        <v/>
      </c>
      <c r="V525" t="n">
        <v>27.04401103</v>
      </c>
      <c r="W525" t="n">
        <v/>
      </c>
      <c r="X525" t="n">
        <v/>
      </c>
      <c r="Y525" t="n">
        <v/>
      </c>
      <c r="Z525" t="n">
        <v/>
      </c>
      <c r="AA525" t="n">
        <v/>
      </c>
      <c r="AB525" t="n">
        <v/>
      </c>
      <c r="AC525" t="n">
        <v>42.534472443</v>
      </c>
      <c r="AD525" t="n">
        <v>17.330567618</v>
      </c>
      <c r="AE525" t="n">
        <v/>
      </c>
      <c r="AF525" t="n">
        <v>38.664665135</v>
      </c>
      <c r="AG525" t="n">
        <v/>
      </c>
      <c r="AH525" t="n">
        <v/>
      </c>
      <c r="AI525" t="n">
        <v>27.425276025</v>
      </c>
      <c r="AJ525" t="n">
        <v>24.000544271</v>
      </c>
      <c r="AK525" t="n">
        <v/>
      </c>
      <c r="AL525" t="n">
        <v/>
      </c>
      <c r="AM525" t="n">
        <v/>
      </c>
      <c r="AN525" t="n">
        <v>25.922604017</v>
      </c>
      <c r="AO525" t="n">
        <v/>
      </c>
      <c r="AP525" t="n">
        <v/>
      </c>
      <c r="AQ525" t="n">
        <v/>
      </c>
      <c r="AR525" t="n">
        <v>33.654666654</v>
      </c>
      <c r="AS525" t="n">
        <v/>
      </c>
      <c r="AT525" t="n">
        <v>25.276681021</v>
      </c>
      <c r="AU525" t="n">
        <v/>
      </c>
    </row>
    <row r="526">
      <c r="A526" s="106" t="n">
        <v>22890</v>
      </c>
      <c r="B526" t="n">
        <v>16.244672482</v>
      </c>
      <c r="C526" t="n">
        <v>29.687644462</v>
      </c>
      <c r="D526" t="n">
        <v/>
      </c>
      <c r="E526" t="n">
        <v>25.745385148</v>
      </c>
      <c r="F526" t="n">
        <v/>
      </c>
      <c r="G526" t="n">
        <v/>
      </c>
      <c r="H526" t="n">
        <v/>
      </c>
      <c r="I526" t="n">
        <v>16.244672482</v>
      </c>
      <c r="J526" t="n">
        <v/>
      </c>
      <c r="K526" t="n">
        <v>33.456483948</v>
      </c>
      <c r="L526" t="n">
        <v/>
      </c>
      <c r="M526" t="n">
        <v/>
      </c>
      <c r="N526" t="n">
        <v/>
      </c>
      <c r="O526" t="n">
        <v/>
      </c>
      <c r="P526" t="n">
        <v/>
      </c>
      <c r="Q526" t="n">
        <v>19.067898278</v>
      </c>
      <c r="R526" t="n">
        <v>40.939513531</v>
      </c>
      <c r="S526" t="n">
        <v>26.786773348</v>
      </c>
      <c r="T526" t="n">
        <v/>
      </c>
      <c r="U526" t="n">
        <v/>
      </c>
      <c r="V526" t="n">
        <v>27.635953581</v>
      </c>
      <c r="W526" t="n">
        <v/>
      </c>
      <c r="X526" t="n">
        <v/>
      </c>
      <c r="Y526" t="n">
        <v/>
      </c>
      <c r="Z526" t="n">
        <v/>
      </c>
      <c r="AA526" t="n">
        <v/>
      </c>
      <c r="AB526" t="n">
        <v/>
      </c>
      <c r="AC526" t="n">
        <v>41.830951889</v>
      </c>
      <c r="AD526" t="n">
        <v>17.078180711</v>
      </c>
      <c r="AE526" t="n">
        <v/>
      </c>
      <c r="AF526" t="n">
        <v>40.425532821</v>
      </c>
      <c r="AG526" t="n">
        <v/>
      </c>
      <c r="AH526" t="n">
        <v/>
      </c>
      <c r="AI526" t="n">
        <v>27.425276025</v>
      </c>
      <c r="AJ526" t="n">
        <v>24.18357988</v>
      </c>
      <c r="AK526" t="n">
        <v/>
      </c>
      <c r="AL526" t="n">
        <v/>
      </c>
      <c r="AM526" t="n">
        <v/>
      </c>
      <c r="AN526" t="n">
        <v>24.948420181</v>
      </c>
      <c r="AO526" t="n">
        <v/>
      </c>
      <c r="AP526" t="n">
        <v/>
      </c>
      <c r="AQ526" t="n">
        <v/>
      </c>
      <c r="AR526" t="n">
        <v>33.654666654</v>
      </c>
      <c r="AS526" t="n">
        <v/>
      </c>
      <c r="AT526" t="n">
        <v>25.437020249</v>
      </c>
      <c r="AU526" t="n">
        <v/>
      </c>
    </row>
    <row r="527">
      <c r="A527" s="106" t="n">
        <v>22920</v>
      </c>
      <c r="B527" t="n">
        <v>16.030254968</v>
      </c>
      <c r="C527" t="n">
        <v>29.444366199</v>
      </c>
      <c r="D527" t="n">
        <v/>
      </c>
      <c r="E527" t="n">
        <v>25.576687745</v>
      </c>
      <c r="F527" t="n">
        <v/>
      </c>
      <c r="G527" t="n">
        <v/>
      </c>
      <c r="H527" t="n">
        <v/>
      </c>
      <c r="I527" t="n">
        <v>16.030254968</v>
      </c>
      <c r="J527" t="n">
        <v/>
      </c>
      <c r="K527" t="n">
        <v>32.900933476</v>
      </c>
      <c r="L527" t="n">
        <v/>
      </c>
      <c r="M527" t="n">
        <v/>
      </c>
      <c r="N527" t="n">
        <v/>
      </c>
      <c r="O527" t="n">
        <v/>
      </c>
      <c r="P527" t="n">
        <v/>
      </c>
      <c r="Q527" t="n">
        <v>18.756331313</v>
      </c>
      <c r="R527" t="n">
        <v>41.071896759</v>
      </c>
      <c r="S527" t="n">
        <v>26.72677276</v>
      </c>
      <c r="T527" t="n">
        <v/>
      </c>
      <c r="U527" t="n">
        <v/>
      </c>
      <c r="V527" t="n">
        <v>27.90790348</v>
      </c>
      <c r="W527" t="n">
        <v/>
      </c>
      <c r="X527" t="n">
        <v/>
      </c>
      <c r="Y527" t="n">
        <v/>
      </c>
      <c r="Z527" t="n">
        <v/>
      </c>
      <c r="AA527" t="n">
        <v/>
      </c>
      <c r="AB527" t="n">
        <v/>
      </c>
      <c r="AC527" t="n">
        <v>42.401373953</v>
      </c>
      <c r="AD527" t="n">
        <v>16.994051742</v>
      </c>
      <c r="AE527" t="n">
        <v/>
      </c>
      <c r="AF527" t="n">
        <v>39.467857101</v>
      </c>
      <c r="AG527" t="n">
        <v/>
      </c>
      <c r="AH527" t="n">
        <v/>
      </c>
      <c r="AI527" t="n">
        <v>27.425276025</v>
      </c>
      <c r="AJ527" t="n">
        <v>24.709807257</v>
      </c>
      <c r="AK527" t="n">
        <v/>
      </c>
      <c r="AL527" t="n">
        <v/>
      </c>
      <c r="AM527" t="n">
        <v/>
      </c>
      <c r="AN527" t="n">
        <v>24.649426396</v>
      </c>
      <c r="AO527" t="n">
        <v/>
      </c>
      <c r="AP527" t="n">
        <v/>
      </c>
      <c r="AQ527" t="n">
        <v/>
      </c>
      <c r="AR527" t="n">
        <v>33.654666654</v>
      </c>
      <c r="AS527" t="n">
        <v/>
      </c>
      <c r="AT527" t="n">
        <v>25.463793032</v>
      </c>
      <c r="AU527" t="n">
        <v/>
      </c>
    </row>
    <row r="528">
      <c r="A528" s="106" t="n">
        <v>22951</v>
      </c>
      <c r="B528" t="n">
        <v>16.010366233</v>
      </c>
      <c r="C528" t="n">
        <v>29.505536415</v>
      </c>
      <c r="D528" t="n">
        <v/>
      </c>
      <c r="E528" t="n">
        <v>25.598773478</v>
      </c>
      <c r="F528" t="n">
        <v/>
      </c>
      <c r="G528" t="n">
        <v/>
      </c>
      <c r="H528" t="n">
        <v/>
      </c>
      <c r="I528" t="n">
        <v>16.010366233</v>
      </c>
      <c r="J528" t="n">
        <v/>
      </c>
      <c r="K528" t="n">
        <v>33.579939608</v>
      </c>
      <c r="L528" t="n">
        <v/>
      </c>
      <c r="M528" t="n">
        <v/>
      </c>
      <c r="N528" t="n">
        <v/>
      </c>
      <c r="O528" t="n">
        <v/>
      </c>
      <c r="P528" t="n">
        <v/>
      </c>
      <c r="Q528" t="n">
        <v>19.005584885</v>
      </c>
      <c r="R528" t="n">
        <v>41.270471597</v>
      </c>
      <c r="S528" t="n">
        <v>26.952201362</v>
      </c>
      <c r="T528" t="n">
        <v/>
      </c>
      <c r="U528" t="n">
        <v/>
      </c>
      <c r="V528" t="n">
        <v>27.944552583</v>
      </c>
      <c r="W528" t="n">
        <v/>
      </c>
      <c r="X528" t="n">
        <v/>
      </c>
      <c r="Y528" t="n">
        <v/>
      </c>
      <c r="Z528" t="n">
        <v/>
      </c>
      <c r="AA528" t="n">
        <v/>
      </c>
      <c r="AB528" t="n">
        <v/>
      </c>
      <c r="AC528" t="n">
        <v>43.314049273</v>
      </c>
      <c r="AD528" t="n">
        <v>17.078180711</v>
      </c>
      <c r="AE528" t="n">
        <v/>
      </c>
      <c r="AF528" t="n">
        <v>41.377751157</v>
      </c>
      <c r="AG528" t="n">
        <v/>
      </c>
      <c r="AH528" t="n">
        <v/>
      </c>
      <c r="AI528" t="n">
        <v>27.710955984</v>
      </c>
      <c r="AJ528" t="n">
        <v>24.686927806</v>
      </c>
      <c r="AK528" t="n">
        <v/>
      </c>
      <c r="AL528" t="n">
        <v/>
      </c>
      <c r="AM528" t="n">
        <v/>
      </c>
      <c r="AN528" t="n">
        <v>25.564699107</v>
      </c>
      <c r="AO528" t="n">
        <v/>
      </c>
      <c r="AP528" t="n">
        <v/>
      </c>
      <c r="AQ528" t="n">
        <v/>
      </c>
      <c r="AR528" t="n">
        <v>34.109459447</v>
      </c>
      <c r="AS528" t="n">
        <v/>
      </c>
      <c r="AT528" t="n">
        <v>25.570586693</v>
      </c>
      <c r="AU528" t="n">
        <v/>
      </c>
    </row>
    <row r="529">
      <c r="A529" s="106" t="n">
        <v>22981</v>
      </c>
      <c r="B529" t="n">
        <v>15.915286163</v>
      </c>
      <c r="C529" t="n">
        <v>29.680036027</v>
      </c>
      <c r="D529" t="n">
        <v/>
      </c>
      <c r="E529" t="n">
        <v>25.576687745</v>
      </c>
      <c r="F529" t="n">
        <v/>
      </c>
      <c r="G529" t="n">
        <v/>
      </c>
      <c r="H529" t="n">
        <v/>
      </c>
      <c r="I529" t="n">
        <v>15.915286163</v>
      </c>
      <c r="J529" t="n">
        <v/>
      </c>
      <c r="K529" t="n">
        <v>32.715749986</v>
      </c>
      <c r="L529" t="n">
        <v/>
      </c>
      <c r="M529" t="n">
        <v/>
      </c>
      <c r="N529" t="n">
        <v/>
      </c>
      <c r="O529" t="n">
        <v/>
      </c>
      <c r="P529" t="n">
        <v/>
      </c>
      <c r="Q529" t="n">
        <v>19.296380719</v>
      </c>
      <c r="R529" t="n">
        <v>40.906417717</v>
      </c>
      <c r="S529" t="n">
        <v>26.838651714</v>
      </c>
      <c r="T529" t="n">
        <v/>
      </c>
      <c r="U529" t="n">
        <v/>
      </c>
      <c r="V529" t="n">
        <v>27.742039699</v>
      </c>
      <c r="W529" t="n">
        <v/>
      </c>
      <c r="X529" t="n">
        <v/>
      </c>
      <c r="Y529" t="n">
        <v/>
      </c>
      <c r="Z529" t="n">
        <v/>
      </c>
      <c r="AA529" t="n">
        <v/>
      </c>
      <c r="AB529" t="n">
        <v/>
      </c>
      <c r="AC529" t="n">
        <v>44.245738656</v>
      </c>
      <c r="AD529" t="n">
        <v>16.994051742</v>
      </c>
      <c r="AE529" t="n">
        <v/>
      </c>
      <c r="AF529" t="n">
        <v>39.228332984</v>
      </c>
      <c r="AG529" t="n">
        <v/>
      </c>
      <c r="AH529" t="n">
        <v/>
      </c>
      <c r="AI529" t="n">
        <v>26.853916108</v>
      </c>
      <c r="AJ529" t="n">
        <v>24.046303173</v>
      </c>
      <c r="AK529" t="n">
        <v/>
      </c>
      <c r="AL529" t="n">
        <v/>
      </c>
      <c r="AM529" t="n">
        <v/>
      </c>
      <c r="AN529" t="n">
        <v>24.365428831</v>
      </c>
      <c r="AO529" t="n">
        <v/>
      </c>
      <c r="AP529" t="n">
        <v/>
      </c>
      <c r="AQ529" t="n">
        <v/>
      </c>
      <c r="AR529" t="n">
        <v>34.56425224</v>
      </c>
      <c r="AS529" t="n">
        <v/>
      </c>
      <c r="AT529" t="n">
        <v>25.570586693</v>
      </c>
      <c r="AU529" t="n">
        <v/>
      </c>
    </row>
    <row r="530">
      <c r="A530" s="106" t="n">
        <v>23012</v>
      </c>
      <c r="B530" t="n">
        <v>16.029600628</v>
      </c>
      <c r="C530" t="n">
        <v>29.276098522</v>
      </c>
      <c r="D530" t="n">
        <v/>
      </c>
      <c r="E530" t="n">
        <v>25.600183205</v>
      </c>
      <c r="F530" t="n">
        <v/>
      </c>
      <c r="G530" t="n">
        <v/>
      </c>
      <c r="H530" t="n">
        <v/>
      </c>
      <c r="I530" t="n">
        <v>16.029600628</v>
      </c>
      <c r="J530" t="n">
        <v/>
      </c>
      <c r="K530" t="n">
        <v>32.839205646</v>
      </c>
      <c r="L530" t="n">
        <v/>
      </c>
      <c r="M530" t="n">
        <v/>
      </c>
      <c r="N530" t="n">
        <v/>
      </c>
      <c r="O530" t="n">
        <v/>
      </c>
      <c r="P530" t="n">
        <v/>
      </c>
      <c r="Q530" t="n">
        <v>19.10944054</v>
      </c>
      <c r="R530" t="n">
        <v>41.007083474</v>
      </c>
      <c r="S530" t="n">
        <v>27.046959368</v>
      </c>
      <c r="T530" t="n">
        <v/>
      </c>
      <c r="U530" t="n">
        <v/>
      </c>
      <c r="V530" t="n">
        <v>28.05825664</v>
      </c>
      <c r="W530" t="n">
        <v/>
      </c>
      <c r="X530" t="n">
        <v/>
      </c>
      <c r="Y530" t="n">
        <v/>
      </c>
      <c r="Z530" t="n">
        <v/>
      </c>
      <c r="AA530" t="n">
        <v/>
      </c>
      <c r="AB530" t="n">
        <v/>
      </c>
      <c r="AC530" t="n">
        <v>44.226724582</v>
      </c>
      <c r="AD530" t="n">
        <v>17.330567618</v>
      </c>
      <c r="AE530" t="n">
        <v/>
      </c>
      <c r="AF530" t="n">
        <v>38.844339434</v>
      </c>
      <c r="AG530" t="n">
        <v/>
      </c>
      <c r="AH530" t="n">
        <v/>
      </c>
      <c r="AI530" t="n">
        <v>26.853916108</v>
      </c>
      <c r="AJ530" t="n">
        <v>24.206459331</v>
      </c>
      <c r="AK530" t="n">
        <v/>
      </c>
      <c r="AL530" t="n">
        <v/>
      </c>
      <c r="AM530" t="n">
        <v/>
      </c>
      <c r="AN530" t="n">
        <v>25.039360226</v>
      </c>
      <c r="AO530" t="n">
        <v/>
      </c>
      <c r="AP530" t="n">
        <v/>
      </c>
      <c r="AQ530" t="n">
        <v/>
      </c>
      <c r="AR530" t="n">
        <v>33.199873862</v>
      </c>
      <c r="AS530" t="n">
        <v/>
      </c>
      <c r="AT530" t="n">
        <v>25.757599546</v>
      </c>
      <c r="AU530" t="n">
        <v/>
      </c>
    </row>
    <row r="531">
      <c r="A531" s="106" t="n">
        <v>23043</v>
      </c>
      <c r="B531" t="n">
        <v>15.919568152</v>
      </c>
      <c r="C531" t="n">
        <v>29.646366828</v>
      </c>
      <c r="D531" t="n">
        <v/>
      </c>
      <c r="E531" t="n">
        <v>25.813521981</v>
      </c>
      <c r="F531" t="n">
        <v/>
      </c>
      <c r="G531" t="n">
        <v/>
      </c>
      <c r="H531" t="n">
        <v/>
      </c>
      <c r="I531" t="n">
        <v>15.919568152</v>
      </c>
      <c r="J531" t="n">
        <v/>
      </c>
      <c r="K531" t="n">
        <v>32.468838665</v>
      </c>
      <c r="L531" t="n">
        <v/>
      </c>
      <c r="M531" t="n">
        <v/>
      </c>
      <c r="N531" t="n">
        <v/>
      </c>
      <c r="O531" t="n">
        <v/>
      </c>
      <c r="P531" t="n">
        <v/>
      </c>
      <c r="Q531" t="n">
        <v>19.005584885</v>
      </c>
      <c r="R531" t="n">
        <v>40.397765743</v>
      </c>
      <c r="S531" t="n">
        <v>27.213198462</v>
      </c>
      <c r="T531" t="n">
        <v/>
      </c>
      <c r="U531" t="n">
        <v/>
      </c>
      <c r="V531" t="n">
        <v>29.1911804</v>
      </c>
      <c r="W531" t="n">
        <v/>
      </c>
      <c r="X531" t="n">
        <v/>
      </c>
      <c r="Y531" t="n">
        <v/>
      </c>
      <c r="Z531" t="n">
        <v/>
      </c>
      <c r="AA531" t="n">
        <v/>
      </c>
      <c r="AB531" t="n">
        <v/>
      </c>
      <c r="AC531" t="n">
        <v>43.180950783</v>
      </c>
      <c r="AD531" t="n">
        <v>17.835341432</v>
      </c>
      <c r="AE531" t="n">
        <v/>
      </c>
      <c r="AF531" t="n">
        <v>38.358984924</v>
      </c>
      <c r="AG531" t="n">
        <v/>
      </c>
      <c r="AH531" t="n">
        <v/>
      </c>
      <c r="AI531" t="n">
        <v>26.853916108</v>
      </c>
      <c r="AJ531" t="n">
        <v>24.57253055</v>
      </c>
      <c r="AK531" t="n">
        <v/>
      </c>
      <c r="AL531" t="n">
        <v/>
      </c>
      <c r="AM531" t="n">
        <v/>
      </c>
      <c r="AN531" t="n">
        <v>25.247938665</v>
      </c>
      <c r="AO531" t="n">
        <v/>
      </c>
      <c r="AP531" t="n">
        <v/>
      </c>
      <c r="AQ531" t="n">
        <v/>
      </c>
      <c r="AR531" t="n">
        <v>33.654666654</v>
      </c>
      <c r="AS531" t="n">
        <v/>
      </c>
      <c r="AT531" t="n">
        <v>26.051604376</v>
      </c>
      <c r="AU531" t="n">
        <v/>
      </c>
    </row>
    <row r="532">
      <c r="A532" s="106" t="n">
        <v>23071</v>
      </c>
      <c r="B532" t="n">
        <v>16.297271625</v>
      </c>
      <c r="C532" t="n">
        <v>30.50236769</v>
      </c>
      <c r="D532" t="n">
        <v/>
      </c>
      <c r="E532" t="n">
        <v>26.098756865</v>
      </c>
      <c r="F532" t="n">
        <v/>
      </c>
      <c r="G532" t="n">
        <v/>
      </c>
      <c r="H532" t="n">
        <v/>
      </c>
      <c r="I532" t="n">
        <v>16.297271625</v>
      </c>
      <c r="J532" t="n">
        <v/>
      </c>
      <c r="K532" t="n">
        <v>33.271300457</v>
      </c>
      <c r="L532" t="n">
        <v/>
      </c>
      <c r="M532" t="n">
        <v/>
      </c>
      <c r="N532" t="n">
        <v/>
      </c>
      <c r="O532" t="n">
        <v/>
      </c>
      <c r="P532" t="n">
        <v/>
      </c>
      <c r="Q532" t="n">
        <v>18.112426251</v>
      </c>
      <c r="R532" t="n">
        <v>36.315336928</v>
      </c>
      <c r="S532" t="n">
        <v>27.309643795</v>
      </c>
      <c r="T532" t="n">
        <v/>
      </c>
      <c r="U532" t="n">
        <v/>
      </c>
      <c r="V532" t="n">
        <v>29.210860329</v>
      </c>
      <c r="W532" t="n">
        <v/>
      </c>
      <c r="X532" t="n">
        <v/>
      </c>
      <c r="Y532" t="n">
        <v/>
      </c>
      <c r="Z532" t="n">
        <v/>
      </c>
      <c r="AA532" t="n">
        <v/>
      </c>
      <c r="AB532" t="n">
        <v/>
      </c>
      <c r="AC532" t="n">
        <v>44.39785121</v>
      </c>
      <c r="AD532" t="n">
        <v>17.919470401</v>
      </c>
      <c r="AE532" t="n">
        <v/>
      </c>
      <c r="AF532" t="n">
        <v>38.381619798</v>
      </c>
      <c r="AG532" t="n">
        <v/>
      </c>
      <c r="AH532" t="n">
        <v/>
      </c>
      <c r="AI532" t="n">
        <v>27.710955984</v>
      </c>
      <c r="AJ532" t="n">
        <v>24.252218233</v>
      </c>
      <c r="AK532" t="n">
        <v/>
      </c>
      <c r="AL532" t="n">
        <v/>
      </c>
      <c r="AM532" t="n">
        <v/>
      </c>
      <c r="AN532" t="n">
        <v>25.333828</v>
      </c>
      <c r="AO532" t="n">
        <v/>
      </c>
      <c r="AP532" t="n">
        <v/>
      </c>
      <c r="AQ532" t="n">
        <v/>
      </c>
      <c r="AR532" t="n">
        <v>33.199873862</v>
      </c>
      <c r="AS532" t="n">
        <v/>
      </c>
      <c r="AT532" t="n">
        <v>26.211943603</v>
      </c>
      <c r="AU532" t="n">
        <v/>
      </c>
    </row>
    <row r="533">
      <c r="A533" s="106" t="n">
        <v>23102</v>
      </c>
      <c r="B533" t="n">
        <v>16.352891108</v>
      </c>
      <c r="C533" t="n">
        <v>31.350381513</v>
      </c>
      <c r="D533" t="n">
        <v/>
      </c>
      <c r="E533" t="n">
        <v>26.139638965</v>
      </c>
      <c r="F533" t="n">
        <v/>
      </c>
      <c r="G533" t="n">
        <v/>
      </c>
      <c r="H533" t="n">
        <v/>
      </c>
      <c r="I533" t="n">
        <v>16.352891108</v>
      </c>
      <c r="J533" t="n">
        <v/>
      </c>
      <c r="K533" t="n">
        <v>33.579939608</v>
      </c>
      <c r="L533" t="n">
        <v/>
      </c>
      <c r="M533" t="n">
        <v/>
      </c>
      <c r="N533" t="n">
        <v/>
      </c>
      <c r="O533" t="n">
        <v/>
      </c>
      <c r="P533" t="n">
        <v/>
      </c>
      <c r="Q533" t="n">
        <v>19.234067326</v>
      </c>
      <c r="R533" t="n">
        <v>41.372674114</v>
      </c>
      <c r="S533" t="n">
        <v>27.95952017</v>
      </c>
      <c r="T533" t="n">
        <v/>
      </c>
      <c r="U533" t="n">
        <v/>
      </c>
      <c r="V533" t="n">
        <v>28.824471438</v>
      </c>
      <c r="W533" t="n">
        <v/>
      </c>
      <c r="X533" t="n">
        <v/>
      </c>
      <c r="Y533" t="n">
        <v/>
      </c>
      <c r="Z533" t="n">
        <v/>
      </c>
      <c r="AA533" t="n">
        <v/>
      </c>
      <c r="AB533" t="n">
        <v/>
      </c>
      <c r="AC533" t="n">
        <v>45.519681285</v>
      </c>
      <c r="AD533" t="n">
        <v>18.592502153</v>
      </c>
      <c r="AE533" t="n">
        <v/>
      </c>
      <c r="AF533" t="n">
        <v>39.00066051</v>
      </c>
      <c r="AG533" t="n">
        <v/>
      </c>
      <c r="AH533" t="n">
        <v/>
      </c>
      <c r="AI533" t="n">
        <v>28.282315901</v>
      </c>
      <c r="AJ533" t="n">
        <v>24.618289452</v>
      </c>
      <c r="AK533" t="n">
        <v/>
      </c>
      <c r="AL533" t="n">
        <v/>
      </c>
      <c r="AM533" t="n">
        <v/>
      </c>
      <c r="AN533" t="n">
        <v>25.588036929</v>
      </c>
      <c r="AO533" t="n">
        <v/>
      </c>
      <c r="AP533" t="n">
        <v/>
      </c>
      <c r="AQ533" t="n">
        <v/>
      </c>
      <c r="AR533" t="n">
        <v>34.109459447</v>
      </c>
      <c r="AS533" t="n">
        <v/>
      </c>
      <c r="AT533" t="n">
        <v>26.452402866</v>
      </c>
      <c r="AU533" t="n">
        <v/>
      </c>
    </row>
    <row r="534">
      <c r="A534" s="106" t="n">
        <v>23132</v>
      </c>
      <c r="B534" t="n">
        <v>16.517260986</v>
      </c>
      <c r="C534" t="n">
        <v>31.63778032</v>
      </c>
      <c r="D534" t="n">
        <v/>
      </c>
      <c r="E534" t="n">
        <v>26.497239865</v>
      </c>
      <c r="F534" t="n">
        <v/>
      </c>
      <c r="G534" t="n">
        <v/>
      </c>
      <c r="H534" t="n">
        <v/>
      </c>
      <c r="I534" t="n">
        <v>16.517260986</v>
      </c>
      <c r="J534" t="n">
        <v/>
      </c>
      <c r="K534" t="n">
        <v>33.826850929</v>
      </c>
      <c r="L534" t="n">
        <v/>
      </c>
      <c r="M534" t="n">
        <v/>
      </c>
      <c r="N534" t="n">
        <v/>
      </c>
      <c r="O534" t="n">
        <v/>
      </c>
      <c r="P534" t="n">
        <v/>
      </c>
      <c r="Q534" t="n">
        <v>19.483320899</v>
      </c>
      <c r="R534" t="n">
        <v>43.078763766</v>
      </c>
      <c r="S534" t="n">
        <v>28.311212002</v>
      </c>
      <c r="T534" t="n">
        <v/>
      </c>
      <c r="U534" t="n">
        <v/>
      </c>
      <c r="V534" t="n">
        <v>29.173715219</v>
      </c>
      <c r="W534" t="n">
        <v/>
      </c>
      <c r="X534" t="n">
        <v/>
      </c>
      <c r="Y534" t="n">
        <v/>
      </c>
      <c r="Z534" t="n">
        <v/>
      </c>
      <c r="AA534" t="n">
        <v/>
      </c>
      <c r="AB534" t="n">
        <v/>
      </c>
      <c r="AC534" t="n">
        <v>45.462639072</v>
      </c>
      <c r="AD534" t="n">
        <v>18.84488906</v>
      </c>
      <c r="AE534" t="n">
        <v/>
      </c>
      <c r="AF534" t="n">
        <v>39.496539611</v>
      </c>
      <c r="AG534" t="n">
        <v/>
      </c>
      <c r="AH534" t="n">
        <v/>
      </c>
      <c r="AI534" t="n">
        <v>28.282315901</v>
      </c>
      <c r="AJ534" t="n">
        <v>25.236034634</v>
      </c>
      <c r="AK534" t="n">
        <v/>
      </c>
      <c r="AL534" t="n">
        <v/>
      </c>
      <c r="AM534" t="n">
        <v/>
      </c>
      <c r="AN534" t="n">
        <v>26.290482109</v>
      </c>
      <c r="AO534" t="n">
        <v/>
      </c>
      <c r="AP534" t="n">
        <v/>
      </c>
      <c r="AQ534" t="n">
        <v/>
      </c>
      <c r="AR534" t="n">
        <v>34.56425224</v>
      </c>
      <c r="AS534" t="n">
        <v/>
      </c>
      <c r="AT534" t="n">
        <v>26.772982163</v>
      </c>
      <c r="AU534" t="n">
        <v/>
      </c>
    </row>
    <row r="535">
      <c r="A535" s="106" t="n">
        <v>23163</v>
      </c>
      <c r="B535" t="n">
        <v>16.962975412</v>
      </c>
      <c r="C535" t="n">
        <v>31.546743606</v>
      </c>
      <c r="D535" t="n">
        <v/>
      </c>
      <c r="E535" t="n">
        <v>26.862829221</v>
      </c>
      <c r="F535" t="n">
        <v/>
      </c>
      <c r="G535" t="n">
        <v/>
      </c>
      <c r="H535" t="n">
        <v/>
      </c>
      <c r="I535" t="n">
        <v>16.962975412</v>
      </c>
      <c r="J535" t="n">
        <v/>
      </c>
      <c r="K535" t="n">
        <v>33.518211778</v>
      </c>
      <c r="L535" t="n">
        <v/>
      </c>
      <c r="M535" t="n">
        <v/>
      </c>
      <c r="N535" t="n">
        <v/>
      </c>
      <c r="O535" t="n">
        <v/>
      </c>
      <c r="P535" t="n">
        <v/>
      </c>
      <c r="Q535" t="n">
        <v>20.314166139</v>
      </c>
      <c r="R535" t="n">
        <v>43.078763766</v>
      </c>
      <c r="S535" t="n">
        <v>28.309607836</v>
      </c>
      <c r="T535" t="n">
        <v/>
      </c>
      <c r="U535" t="n">
        <v/>
      </c>
      <c r="V535" t="n">
        <v>29.143216654</v>
      </c>
      <c r="W535" t="n">
        <v/>
      </c>
      <c r="X535" t="n">
        <v/>
      </c>
      <c r="Y535" t="n">
        <v/>
      </c>
      <c r="Z535" t="n">
        <v/>
      </c>
      <c r="AA535" t="n">
        <v/>
      </c>
      <c r="AB535" t="n">
        <v/>
      </c>
      <c r="AC535" t="n">
        <v>46.261229976</v>
      </c>
      <c r="AD535" t="n">
        <v>18.676631122</v>
      </c>
      <c r="AE535" t="n">
        <v/>
      </c>
      <c r="AF535" t="n">
        <v>40.101433738</v>
      </c>
      <c r="AG535" t="n">
        <v/>
      </c>
      <c r="AH535" t="n">
        <v/>
      </c>
      <c r="AI535" t="n">
        <v>28.853675818</v>
      </c>
      <c r="AJ535" t="n">
        <v>24.595410001</v>
      </c>
      <c r="AK535" t="n">
        <v/>
      </c>
      <c r="AL535" t="n">
        <v/>
      </c>
      <c r="AM535" t="n">
        <v/>
      </c>
      <c r="AN535" t="n">
        <v>24.94151467</v>
      </c>
      <c r="AO535" t="n">
        <v/>
      </c>
      <c r="AP535" t="n">
        <v/>
      </c>
      <c r="AQ535" t="n">
        <v/>
      </c>
      <c r="AR535" t="n">
        <v>35.473837825</v>
      </c>
      <c r="AS535" t="n">
        <v/>
      </c>
      <c r="AT535" t="n">
        <v>26.853201356</v>
      </c>
      <c r="AU535" t="n">
        <v/>
      </c>
    </row>
    <row r="536">
      <c r="A536" s="106" t="n">
        <v>23193</v>
      </c>
      <c r="B536" t="n">
        <v>16.43125099</v>
      </c>
      <c r="C536" t="n">
        <v>31.248311276</v>
      </c>
      <c r="D536" t="n">
        <v/>
      </c>
      <c r="E536" t="n">
        <v>26.340760102</v>
      </c>
      <c r="F536" t="n">
        <v/>
      </c>
      <c r="G536" t="n">
        <v/>
      </c>
      <c r="H536" t="n">
        <v/>
      </c>
      <c r="I536" t="n">
        <v>16.43125099</v>
      </c>
      <c r="J536" t="n">
        <v/>
      </c>
      <c r="K536" t="n">
        <v>34.073762249</v>
      </c>
      <c r="L536" t="n">
        <v/>
      </c>
      <c r="M536" t="n">
        <v/>
      </c>
      <c r="N536" t="n">
        <v/>
      </c>
      <c r="O536" t="n">
        <v/>
      </c>
      <c r="P536" t="n">
        <v/>
      </c>
      <c r="Q536" t="n">
        <v>19.379465243</v>
      </c>
      <c r="R536" t="n">
        <v>44.236467467</v>
      </c>
      <c r="S536" t="n">
        <v>28.552121678</v>
      </c>
      <c r="T536" t="n">
        <v/>
      </c>
      <c r="U536" t="n">
        <v/>
      </c>
      <c r="V536" t="n">
        <v>29.289098744</v>
      </c>
      <c r="W536" t="n">
        <v/>
      </c>
      <c r="X536" t="n">
        <v/>
      </c>
      <c r="Y536" t="n">
        <v/>
      </c>
      <c r="Z536" t="n">
        <v/>
      </c>
      <c r="AA536" t="n">
        <v/>
      </c>
      <c r="AB536" t="n">
        <v/>
      </c>
      <c r="AC536" t="n">
        <v>45.861934519</v>
      </c>
      <c r="AD536" t="n">
        <v>19.349662874</v>
      </c>
      <c r="AE536" t="n">
        <v/>
      </c>
      <c r="AF536" t="n">
        <v>40.634090815</v>
      </c>
      <c r="AG536" t="n">
        <v/>
      </c>
      <c r="AH536" t="n">
        <v/>
      </c>
      <c r="AI536" t="n">
        <v>29.139355777</v>
      </c>
      <c r="AJ536" t="n">
        <v>25.94529762</v>
      </c>
      <c r="AK536" t="n">
        <v/>
      </c>
      <c r="AL536" t="n">
        <v/>
      </c>
      <c r="AM536" t="n">
        <v/>
      </c>
      <c r="AN536" t="n">
        <v>25.602275539</v>
      </c>
      <c r="AO536" t="n">
        <v/>
      </c>
      <c r="AP536" t="n">
        <v/>
      </c>
      <c r="AQ536" t="n">
        <v/>
      </c>
      <c r="AR536" t="n">
        <v>35.019045032</v>
      </c>
      <c r="AS536" t="n">
        <v/>
      </c>
      <c r="AT536" t="n">
        <v>26.746308537</v>
      </c>
      <c r="AU536" t="n">
        <v/>
      </c>
    </row>
    <row r="537">
      <c r="A537" s="106" t="n">
        <v>23224</v>
      </c>
      <c r="B537" t="n">
        <v>16.960914891</v>
      </c>
      <c r="C537" t="n">
        <v>32.270912842</v>
      </c>
      <c r="D537" t="n">
        <v/>
      </c>
      <c r="E537" t="n">
        <v>26.351098104</v>
      </c>
      <c r="F537" t="n">
        <v/>
      </c>
      <c r="G537" t="n">
        <v/>
      </c>
      <c r="H537" t="n">
        <v/>
      </c>
      <c r="I537" t="n">
        <v>16.960914891</v>
      </c>
      <c r="J537" t="n">
        <v/>
      </c>
      <c r="K537" t="n">
        <v>35.308318852</v>
      </c>
      <c r="L537" t="n">
        <v/>
      </c>
      <c r="M537" t="n">
        <v/>
      </c>
      <c r="N537" t="n">
        <v/>
      </c>
      <c r="O537" t="n">
        <v/>
      </c>
      <c r="P537" t="n">
        <v/>
      </c>
      <c r="Q537" t="n">
        <v>19.794887864</v>
      </c>
      <c r="R537" t="n">
        <v>44.236467467</v>
      </c>
      <c r="S537" t="n">
        <v>28.936754376</v>
      </c>
      <c r="T537" t="n">
        <v/>
      </c>
      <c r="U537" t="n">
        <v/>
      </c>
      <c r="V537" t="n">
        <v>31.417600209</v>
      </c>
      <c r="W537" t="n">
        <v/>
      </c>
      <c r="X537" t="n">
        <v/>
      </c>
      <c r="Y537" t="n">
        <v/>
      </c>
      <c r="Z537" t="n">
        <v/>
      </c>
      <c r="AA537" t="n">
        <v/>
      </c>
      <c r="AB537" t="n">
        <v/>
      </c>
      <c r="AC537" t="n">
        <v>46.546441008</v>
      </c>
      <c r="AD537" t="n">
        <v>19.854436688</v>
      </c>
      <c r="AE537" t="n">
        <v/>
      </c>
      <c r="AF537" t="n">
        <v>40.461270338</v>
      </c>
      <c r="AG537" t="n">
        <v/>
      </c>
      <c r="AH537" t="n">
        <v/>
      </c>
      <c r="AI537" t="n">
        <v>29.139355777</v>
      </c>
      <c r="AJ537" t="n">
        <v>25.37331134</v>
      </c>
      <c r="AK537" t="n">
        <v/>
      </c>
      <c r="AL537" t="n">
        <v/>
      </c>
      <c r="AM537" t="n">
        <v/>
      </c>
      <c r="AN537" t="n">
        <v>26.046438904</v>
      </c>
      <c r="AO537" t="n">
        <v/>
      </c>
      <c r="AP537" t="n">
        <v/>
      </c>
      <c r="AQ537" t="n">
        <v/>
      </c>
      <c r="AR537" t="n">
        <v>35.928630617</v>
      </c>
      <c r="AS537" t="n">
        <v/>
      </c>
      <c r="AT537" t="n">
        <v>26.799754946</v>
      </c>
      <c r="AU537" t="n">
        <v/>
      </c>
    </row>
    <row r="538">
      <c r="A538" s="106" t="n">
        <v>23255</v>
      </c>
      <c r="B538" t="n">
        <v>16.969034594</v>
      </c>
      <c r="C538" t="n">
        <v>32.333283524</v>
      </c>
      <c r="D538" t="n">
        <v/>
      </c>
      <c r="E538" t="n">
        <v>27.440347625</v>
      </c>
      <c r="F538" t="n">
        <v/>
      </c>
      <c r="G538" t="n">
        <v/>
      </c>
      <c r="H538" t="n">
        <v/>
      </c>
      <c r="I538" t="n">
        <v>16.969034594</v>
      </c>
      <c r="J538" t="n">
        <v/>
      </c>
      <c r="K538" t="n">
        <v>34.32067357</v>
      </c>
      <c r="L538" t="n">
        <v/>
      </c>
      <c r="M538" t="n">
        <v/>
      </c>
      <c r="N538" t="n">
        <v/>
      </c>
      <c r="O538" t="n">
        <v/>
      </c>
      <c r="P538" t="n">
        <v/>
      </c>
      <c r="Q538" t="n">
        <v>19.981828043</v>
      </c>
      <c r="R538" t="n">
        <v>43.749013277</v>
      </c>
      <c r="S538" t="n">
        <v>28.990919594</v>
      </c>
      <c r="T538" t="n">
        <v/>
      </c>
      <c r="U538" t="n">
        <v/>
      </c>
      <c r="V538" t="n">
        <v>32.336697828</v>
      </c>
      <c r="W538" t="n">
        <v/>
      </c>
      <c r="X538" t="n">
        <v/>
      </c>
      <c r="Y538" t="n">
        <v/>
      </c>
      <c r="Z538" t="n">
        <v/>
      </c>
      <c r="AA538" t="n">
        <v/>
      </c>
      <c r="AB538" t="n">
        <v/>
      </c>
      <c r="AC538" t="n">
        <v>47.459116317</v>
      </c>
      <c r="AD538" t="n">
        <v>19.854436688</v>
      </c>
      <c r="AE538" t="n">
        <v/>
      </c>
      <c r="AF538" t="n">
        <v>40.602262078</v>
      </c>
      <c r="AG538" t="n">
        <v/>
      </c>
      <c r="AH538" t="n">
        <v/>
      </c>
      <c r="AI538" t="n">
        <v>29.139355777</v>
      </c>
      <c r="AJ538" t="n">
        <v>25.922418168</v>
      </c>
      <c r="AK538" t="n">
        <v/>
      </c>
      <c r="AL538" t="n">
        <v/>
      </c>
      <c r="AM538" t="n">
        <v/>
      </c>
      <c r="AN538" t="n">
        <v>26.553537653</v>
      </c>
      <c r="AO538" t="n">
        <v/>
      </c>
      <c r="AP538" t="n">
        <v/>
      </c>
      <c r="AQ538" t="n">
        <v/>
      </c>
      <c r="AR538" t="n">
        <v>35.928630617</v>
      </c>
      <c r="AS538" t="n">
        <v/>
      </c>
      <c r="AT538" t="n">
        <v>27.066887834</v>
      </c>
      <c r="AU538" t="n">
        <v/>
      </c>
    </row>
    <row r="539">
      <c r="A539" s="106" t="n">
        <v>23285</v>
      </c>
      <c r="B539" t="n">
        <v>16.994983382</v>
      </c>
      <c r="C539" t="n">
        <v>32.304609557</v>
      </c>
      <c r="D539" t="n">
        <v/>
      </c>
      <c r="E539" t="n">
        <v>27.421551257</v>
      </c>
      <c r="F539" t="n">
        <v/>
      </c>
      <c r="G539" t="n">
        <v/>
      </c>
      <c r="H539" t="n">
        <v/>
      </c>
      <c r="I539" t="n">
        <v>16.994983382</v>
      </c>
      <c r="J539" t="n">
        <v/>
      </c>
      <c r="K539" t="n">
        <v>34.876224041</v>
      </c>
      <c r="L539" t="n">
        <v/>
      </c>
      <c r="M539" t="n">
        <v/>
      </c>
      <c r="N539" t="n">
        <v/>
      </c>
      <c r="O539" t="n">
        <v/>
      </c>
      <c r="P539" t="n">
        <v/>
      </c>
      <c r="Q539" t="n">
        <v>20.418021795</v>
      </c>
      <c r="R539" t="n">
        <v>43.992740367</v>
      </c>
      <c r="S539" t="n">
        <v>29.346125152</v>
      </c>
      <c r="T539" t="n">
        <v/>
      </c>
      <c r="U539" t="n">
        <v/>
      </c>
      <c r="V539" t="n">
        <v>31.569495498</v>
      </c>
      <c r="W539" t="n">
        <v/>
      </c>
      <c r="X539" t="n">
        <v/>
      </c>
      <c r="Y539" t="n">
        <v/>
      </c>
      <c r="Z539" t="n">
        <v/>
      </c>
      <c r="AA539" t="n">
        <v/>
      </c>
      <c r="AB539" t="n">
        <v/>
      </c>
      <c r="AC539" t="n">
        <v>47.497144455</v>
      </c>
      <c r="AD539" t="n">
        <v>20.443339471</v>
      </c>
      <c r="AE539" t="n">
        <v/>
      </c>
      <c r="AF539" t="n">
        <v>39.253270693</v>
      </c>
      <c r="AG539" t="n">
        <v/>
      </c>
      <c r="AH539" t="n">
        <v/>
      </c>
      <c r="AI539" t="n">
        <v>29.139355777</v>
      </c>
      <c r="AJ539" t="n">
        <v>25.876659266</v>
      </c>
      <c r="AK539" t="n">
        <v/>
      </c>
      <c r="AL539" t="n">
        <v/>
      </c>
      <c r="AM539" t="n">
        <v/>
      </c>
      <c r="AN539" t="n">
        <v>26.890089927</v>
      </c>
      <c r="AO539" t="n">
        <v/>
      </c>
      <c r="AP539" t="n">
        <v/>
      </c>
      <c r="AQ539" t="n">
        <v/>
      </c>
      <c r="AR539" t="n">
        <v>35.928630617</v>
      </c>
      <c r="AS539" t="n">
        <v/>
      </c>
      <c r="AT539" t="n">
        <v>27.253999846</v>
      </c>
      <c r="AU539" t="n">
        <v/>
      </c>
    </row>
    <row r="540">
      <c r="A540" s="106" t="n">
        <v>23316</v>
      </c>
      <c r="B540" t="n">
        <v>17.544914335</v>
      </c>
      <c r="C540" t="n">
        <v>32.864449654</v>
      </c>
      <c r="D540" t="n">
        <v/>
      </c>
      <c r="E540" t="n">
        <v>27.890050728</v>
      </c>
      <c r="F540" t="n">
        <v/>
      </c>
      <c r="G540" t="n">
        <v/>
      </c>
      <c r="H540" t="n">
        <v/>
      </c>
      <c r="I540" t="n">
        <v>17.544914335</v>
      </c>
      <c r="J540" t="n">
        <v/>
      </c>
      <c r="K540" t="n">
        <v>35.123135362</v>
      </c>
      <c r="L540" t="n">
        <v/>
      </c>
      <c r="M540" t="n">
        <v/>
      </c>
      <c r="N540" t="n">
        <v/>
      </c>
      <c r="O540" t="n">
        <v/>
      </c>
      <c r="P540" t="n">
        <v/>
      </c>
      <c r="Q540" t="n">
        <v>20.106454829</v>
      </c>
      <c r="R540" t="n">
        <v>43.992740367</v>
      </c>
      <c r="S540" t="n">
        <v>29.551608515</v>
      </c>
      <c r="T540" t="n">
        <v/>
      </c>
      <c r="U540" t="n">
        <v/>
      </c>
      <c r="V540" t="n">
        <v>31.646002726</v>
      </c>
      <c r="W540" t="n">
        <v/>
      </c>
      <c r="X540" t="n">
        <v/>
      </c>
      <c r="Y540" t="n">
        <v/>
      </c>
      <c r="Z540" t="n">
        <v/>
      </c>
      <c r="AA540" t="n">
        <v/>
      </c>
      <c r="AB540" t="n">
        <v/>
      </c>
      <c r="AC540" t="n">
        <v>47.249961562</v>
      </c>
      <c r="AD540" t="n">
        <v>20.779855347</v>
      </c>
      <c r="AE540" t="n">
        <v/>
      </c>
      <c r="AF540" t="n">
        <v>40.337234472</v>
      </c>
      <c r="AG540" t="n">
        <v/>
      </c>
      <c r="AH540" t="n">
        <v/>
      </c>
      <c r="AI540" t="n">
        <v>29.710715694</v>
      </c>
      <c r="AJ540" t="n">
        <v>25.830900364</v>
      </c>
      <c r="AK540" t="n">
        <v/>
      </c>
      <c r="AL540" t="n">
        <v/>
      </c>
      <c r="AM540" t="n">
        <v/>
      </c>
      <c r="AN540" t="n">
        <v>26.766182971</v>
      </c>
      <c r="AO540" t="n">
        <v/>
      </c>
      <c r="AP540" t="n">
        <v/>
      </c>
      <c r="AQ540" t="n">
        <v/>
      </c>
      <c r="AR540" t="n">
        <v>36.38342341</v>
      </c>
      <c r="AS540" t="n">
        <v/>
      </c>
      <c r="AT540" t="n">
        <v>27.387566289</v>
      </c>
      <c r="AU540" t="n">
        <v/>
      </c>
    </row>
    <row r="541">
      <c r="A541" s="106" t="n">
        <v>23346</v>
      </c>
      <c r="B541" t="n">
        <v>16.786199337</v>
      </c>
      <c r="C541" t="n">
        <v>32.686284391</v>
      </c>
      <c r="D541" t="n">
        <v/>
      </c>
      <c r="E541" t="n">
        <v>28.183743977</v>
      </c>
      <c r="F541" t="n">
        <v/>
      </c>
      <c r="G541" t="n">
        <v/>
      </c>
      <c r="H541" t="n">
        <v/>
      </c>
      <c r="I541" t="n">
        <v>16.786199337</v>
      </c>
      <c r="J541" t="n">
        <v/>
      </c>
      <c r="K541" t="n">
        <v>34.073762249</v>
      </c>
      <c r="L541" t="n">
        <v/>
      </c>
      <c r="M541" t="n">
        <v/>
      </c>
      <c r="N541" t="n">
        <v/>
      </c>
      <c r="O541" t="n">
        <v/>
      </c>
      <c r="P541" t="n">
        <v/>
      </c>
      <c r="Q541" t="n">
        <v>20.376479533</v>
      </c>
      <c r="R541" t="n">
        <v>44.602058107</v>
      </c>
      <c r="S541" t="n">
        <v>29.426820647</v>
      </c>
      <c r="T541" t="n">
        <v/>
      </c>
      <c r="U541" t="n">
        <v/>
      </c>
      <c r="V541" t="n">
        <v>32.129274718</v>
      </c>
      <c r="W541" t="n">
        <v/>
      </c>
      <c r="X541" t="n">
        <v/>
      </c>
      <c r="Y541" t="n">
        <v/>
      </c>
      <c r="Z541" t="n">
        <v/>
      </c>
      <c r="AA541" t="n">
        <v/>
      </c>
      <c r="AB541" t="n">
        <v/>
      </c>
      <c r="AC541" t="n">
        <v>46.888694253</v>
      </c>
      <c r="AD541" t="n">
        <v>20.863984317</v>
      </c>
      <c r="AE541" t="n">
        <v/>
      </c>
      <c r="AF541" t="n">
        <v>41.761142699</v>
      </c>
      <c r="AG541" t="n">
        <v/>
      </c>
      <c r="AH541" t="n">
        <v/>
      </c>
      <c r="AI541" t="n">
        <v>29.425035735</v>
      </c>
      <c r="AJ541" t="n">
        <v>26.196971582</v>
      </c>
      <c r="AK541" t="n">
        <v/>
      </c>
      <c r="AL541" t="n">
        <v/>
      </c>
      <c r="AM541" t="n">
        <v/>
      </c>
      <c r="AN541" t="n">
        <v>27.902584915</v>
      </c>
      <c r="AO541" t="n">
        <v/>
      </c>
      <c r="AP541" t="n">
        <v/>
      </c>
      <c r="AQ541" t="n">
        <v/>
      </c>
      <c r="AR541" t="n">
        <v>36.38342341</v>
      </c>
      <c r="AS541" t="n">
        <v/>
      </c>
      <c r="AT541" t="n">
        <v>27.33411988</v>
      </c>
      <c r="AU541" t="n">
        <v/>
      </c>
    </row>
    <row r="542">
      <c r="A542" s="106" t="n">
        <v>23377</v>
      </c>
      <c r="B542" t="n">
        <v>17.578482518</v>
      </c>
      <c r="C542" t="n">
        <v>33.19432537</v>
      </c>
      <c r="D542" t="n">
        <v/>
      </c>
      <c r="E542" t="n">
        <v>28.403661481</v>
      </c>
      <c r="F542" t="n">
        <v/>
      </c>
      <c r="G542" t="n">
        <v/>
      </c>
      <c r="H542" t="n">
        <v/>
      </c>
      <c r="I542" t="n">
        <v>17.578482518</v>
      </c>
      <c r="J542" t="n">
        <v/>
      </c>
      <c r="K542" t="n">
        <v>35.678685833</v>
      </c>
      <c r="L542" t="n">
        <v/>
      </c>
      <c r="M542" t="n">
        <v/>
      </c>
      <c r="N542" t="n">
        <v/>
      </c>
      <c r="O542" t="n">
        <v/>
      </c>
      <c r="P542" t="n">
        <v/>
      </c>
      <c r="Q542" t="n">
        <v>19.950756571</v>
      </c>
      <c r="R542" t="n">
        <v>45.516034699</v>
      </c>
      <c r="S542" t="n">
        <v>29.954510392</v>
      </c>
      <c r="T542" t="n">
        <v/>
      </c>
      <c r="U542" t="n">
        <v/>
      </c>
      <c r="V542" t="n">
        <v>31.953457643</v>
      </c>
      <c r="W542" t="n">
        <v/>
      </c>
      <c r="X542" t="n">
        <v/>
      </c>
      <c r="Y542" t="n">
        <v/>
      </c>
      <c r="Z542" t="n">
        <v/>
      </c>
      <c r="AA542" t="n">
        <v/>
      </c>
      <c r="AB542" t="n">
        <v/>
      </c>
      <c r="AC542" t="n">
        <v>48.143622807</v>
      </c>
      <c r="AD542" t="n">
        <v>21.116371224</v>
      </c>
      <c r="AE542" t="n">
        <v/>
      </c>
      <c r="AF542" t="n">
        <v>41.107863493</v>
      </c>
      <c r="AG542" t="n">
        <v/>
      </c>
      <c r="AH542" t="n">
        <v/>
      </c>
      <c r="AI542" t="n">
        <v>30.56775557</v>
      </c>
      <c r="AJ542" t="n">
        <v>26.036815424</v>
      </c>
      <c r="AK542" t="n">
        <v/>
      </c>
      <c r="AL542" t="n">
        <v/>
      </c>
      <c r="AM542" t="n">
        <v/>
      </c>
      <c r="AN542" t="n">
        <v>27.695540516</v>
      </c>
      <c r="AO542" t="n">
        <v/>
      </c>
      <c r="AP542" t="n">
        <v/>
      </c>
      <c r="AQ542" t="n">
        <v/>
      </c>
      <c r="AR542" t="n">
        <v>37.293008995</v>
      </c>
      <c r="AS542" t="n">
        <v/>
      </c>
      <c r="AT542" t="n">
        <v>27.574579143</v>
      </c>
      <c r="AU542" t="n">
        <v/>
      </c>
    </row>
    <row r="543">
      <c r="A543" s="106" t="n">
        <v>23408</v>
      </c>
      <c r="B543" t="n">
        <v>17.857103826</v>
      </c>
      <c r="C543" t="n">
        <v>33.18449887</v>
      </c>
      <c r="D543" t="n">
        <v/>
      </c>
      <c r="E543" t="n">
        <v>28.883908682</v>
      </c>
      <c r="F543" t="n">
        <v/>
      </c>
      <c r="G543" t="n">
        <v/>
      </c>
      <c r="H543" t="n">
        <v/>
      </c>
      <c r="I543" t="n">
        <v>17.857103826</v>
      </c>
      <c r="J543" t="n">
        <v/>
      </c>
      <c r="K543" t="n">
        <v>36.542875456</v>
      </c>
      <c r="L543" t="n">
        <v/>
      </c>
      <c r="M543" t="n">
        <v/>
      </c>
      <c r="N543" t="n">
        <v/>
      </c>
      <c r="O543" t="n">
        <v/>
      </c>
      <c r="P543" t="n">
        <v/>
      </c>
      <c r="Q543" t="n">
        <v>20.002915411</v>
      </c>
      <c r="R543" t="n">
        <v>45.272307608</v>
      </c>
      <c r="S543" t="n">
        <v>30.237516908</v>
      </c>
      <c r="T543" t="n">
        <v/>
      </c>
      <c r="U543" t="n">
        <v/>
      </c>
      <c r="V543" t="n">
        <v>31.3563705</v>
      </c>
      <c r="W543" t="n">
        <v/>
      </c>
      <c r="X543" t="n">
        <v/>
      </c>
      <c r="Y543" t="n">
        <v/>
      </c>
      <c r="Z543" t="n">
        <v/>
      </c>
      <c r="AA543" t="n">
        <v/>
      </c>
      <c r="AB543" t="n">
        <v/>
      </c>
      <c r="AC543" t="n">
        <v>46.60348321</v>
      </c>
      <c r="AD543" t="n">
        <v>21.621145038</v>
      </c>
      <c r="AE543" t="n">
        <v/>
      </c>
      <c r="AF543" t="n">
        <v>41.899199565</v>
      </c>
      <c r="AG543" t="n">
        <v/>
      </c>
      <c r="AH543" t="n">
        <v/>
      </c>
      <c r="AI543" t="n">
        <v>30.853435528</v>
      </c>
      <c r="AJ543" t="n">
        <v>25.853779815</v>
      </c>
      <c r="AK543" t="n">
        <v/>
      </c>
      <c r="AL543" t="n">
        <v/>
      </c>
      <c r="AM543" t="n">
        <v/>
      </c>
      <c r="AN543" t="n">
        <v>27.016286379</v>
      </c>
      <c r="AO543" t="n">
        <v/>
      </c>
      <c r="AP543" t="n">
        <v/>
      </c>
      <c r="AQ543" t="n">
        <v/>
      </c>
      <c r="AR543" t="n">
        <v>37.293008995</v>
      </c>
      <c r="AS543" t="n">
        <v/>
      </c>
      <c r="AT543" t="n">
        <v>27.761591996</v>
      </c>
      <c r="AU543" t="n">
        <v/>
      </c>
    </row>
    <row r="544">
      <c r="A544" s="106" t="n">
        <v>23437</v>
      </c>
      <c r="B544" t="n">
        <v>17.630137451</v>
      </c>
      <c r="C544" t="n">
        <v>33.613378155</v>
      </c>
      <c r="D544" t="n">
        <v/>
      </c>
      <c r="E544" t="n">
        <v>28.705813096</v>
      </c>
      <c r="F544" t="n">
        <v/>
      </c>
      <c r="G544" t="n">
        <v/>
      </c>
      <c r="H544" t="n">
        <v/>
      </c>
      <c r="I544" t="n">
        <v>17.630137451</v>
      </c>
      <c r="J544" t="n">
        <v/>
      </c>
      <c r="K544" t="n">
        <v>35.925597154</v>
      </c>
      <c r="L544" t="n">
        <v/>
      </c>
      <c r="M544" t="n">
        <v/>
      </c>
      <c r="N544" t="n">
        <v/>
      </c>
      <c r="O544" t="n">
        <v/>
      </c>
      <c r="P544" t="n">
        <v/>
      </c>
      <c r="Q544" t="n">
        <v>20.537543529</v>
      </c>
      <c r="R544" t="n">
        <v>45.333239379</v>
      </c>
      <c r="S544" t="n">
        <v>30.126604971</v>
      </c>
      <c r="T544" t="n">
        <v/>
      </c>
      <c r="U544" t="n">
        <v/>
      </c>
      <c r="V544" t="n">
        <v>31.902790623</v>
      </c>
      <c r="W544" t="n">
        <v/>
      </c>
      <c r="X544" t="n">
        <v/>
      </c>
      <c r="Y544" t="n">
        <v/>
      </c>
      <c r="Z544" t="n">
        <v/>
      </c>
      <c r="AA544" t="n">
        <v/>
      </c>
      <c r="AB544" t="n">
        <v/>
      </c>
      <c r="AC544" t="n">
        <v>47.61122887</v>
      </c>
      <c r="AD544" t="n">
        <v>21.368758131</v>
      </c>
      <c r="AE544" t="n">
        <v/>
      </c>
      <c r="AF544" t="n">
        <v>43.706089706</v>
      </c>
      <c r="AG544" t="n">
        <v/>
      </c>
      <c r="AH544" t="n">
        <v/>
      </c>
      <c r="AI544" t="n">
        <v>31.424795445</v>
      </c>
      <c r="AJ544" t="n">
        <v>26.608801703</v>
      </c>
      <c r="AK544" t="n">
        <v/>
      </c>
      <c r="AL544" t="n">
        <v/>
      </c>
      <c r="AM544" t="n">
        <v/>
      </c>
      <c r="AN544" t="n">
        <v>26.285484242</v>
      </c>
      <c r="AO544" t="n">
        <v/>
      </c>
      <c r="AP544" t="n">
        <v/>
      </c>
      <c r="AQ544" t="n">
        <v/>
      </c>
      <c r="AR544" t="n">
        <v>37.293008995</v>
      </c>
      <c r="AS544" t="n">
        <v/>
      </c>
      <c r="AT544" t="n">
        <v>27.761591996</v>
      </c>
      <c r="AU544" t="n">
        <v/>
      </c>
    </row>
    <row r="545">
      <c r="A545" s="106" t="n">
        <v>23468</v>
      </c>
      <c r="B545" t="n">
        <v>17.47140442</v>
      </c>
      <c r="C545" t="n">
        <v>33.088239206</v>
      </c>
      <c r="D545" t="n">
        <v/>
      </c>
      <c r="E545" t="n">
        <v>28.912573143</v>
      </c>
      <c r="F545" t="n">
        <v/>
      </c>
      <c r="G545" t="n">
        <v/>
      </c>
      <c r="H545" t="n">
        <v/>
      </c>
      <c r="I545" t="n">
        <v>17.47140442</v>
      </c>
      <c r="J545" t="n">
        <v/>
      </c>
      <c r="K545" t="n">
        <v>35.987324984</v>
      </c>
      <c r="L545" t="n">
        <v/>
      </c>
      <c r="M545" t="n">
        <v/>
      </c>
      <c r="N545" t="n">
        <v/>
      </c>
      <c r="O545" t="n">
        <v/>
      </c>
      <c r="P545" t="n">
        <v/>
      </c>
      <c r="Q545" t="n">
        <v>20.273489398</v>
      </c>
      <c r="R545" t="n">
        <v>45.759761799</v>
      </c>
      <c r="S545" t="n">
        <v>30.445164712</v>
      </c>
      <c r="T545" t="n">
        <v/>
      </c>
      <c r="U545" t="n">
        <v/>
      </c>
      <c r="V545" t="n">
        <v>33.347117449</v>
      </c>
      <c r="W545" t="n">
        <v/>
      </c>
      <c r="X545" t="n">
        <v/>
      </c>
      <c r="Y545" t="n">
        <v/>
      </c>
      <c r="Z545" t="n">
        <v/>
      </c>
      <c r="AA545" t="n">
        <v/>
      </c>
      <c r="AB545" t="n">
        <v/>
      </c>
      <c r="AC545" t="n">
        <v>47.002778668</v>
      </c>
      <c r="AD545" t="n">
        <v>21.705274007</v>
      </c>
      <c r="AE545" t="n">
        <v/>
      </c>
      <c r="AF545" t="n">
        <v>43.523773202</v>
      </c>
      <c r="AG545" t="n">
        <v/>
      </c>
      <c r="AH545" t="n">
        <v/>
      </c>
      <c r="AI545" t="n">
        <v>30.853435528</v>
      </c>
      <c r="AJ545" t="n">
        <v>27.340944141</v>
      </c>
      <c r="AK545" t="n">
        <v/>
      </c>
      <c r="AL545" t="n">
        <v/>
      </c>
      <c r="AM545" t="n">
        <v/>
      </c>
      <c r="AN545" t="n">
        <v>27.350481425</v>
      </c>
      <c r="AO545" t="n">
        <v/>
      </c>
      <c r="AP545" t="n">
        <v/>
      </c>
      <c r="AQ545" t="n">
        <v/>
      </c>
      <c r="AR545" t="n">
        <v>36.838216203</v>
      </c>
      <c r="AS545" t="n">
        <v/>
      </c>
      <c r="AT545" t="n">
        <v>28.215836895</v>
      </c>
      <c r="AU545" t="n">
        <v/>
      </c>
    </row>
    <row r="546">
      <c r="A546" s="106" t="n">
        <v>23498</v>
      </c>
      <c r="B546" t="n">
        <v>18.540417953</v>
      </c>
      <c r="C546" t="n">
        <v>32.712399502</v>
      </c>
      <c r="D546" t="n">
        <v/>
      </c>
      <c r="E546" t="n">
        <v>29.244798946</v>
      </c>
      <c r="F546" t="n">
        <v/>
      </c>
      <c r="G546" t="n">
        <v/>
      </c>
      <c r="H546" t="n">
        <v/>
      </c>
      <c r="I546" t="n">
        <v>18.540417953</v>
      </c>
      <c r="J546" t="n">
        <v/>
      </c>
      <c r="K546" t="n">
        <v>35.925597154</v>
      </c>
      <c r="L546" t="n">
        <v/>
      </c>
      <c r="M546" t="n">
        <v/>
      </c>
      <c r="N546" t="n">
        <v/>
      </c>
      <c r="O546" t="n">
        <v/>
      </c>
      <c r="P546" t="n">
        <v/>
      </c>
      <c r="Q546" t="n">
        <v>20.625561572</v>
      </c>
      <c r="R546" t="n">
        <v>45.637898249</v>
      </c>
      <c r="S546" t="n">
        <v>30.564189657</v>
      </c>
      <c r="T546" t="n">
        <v/>
      </c>
      <c r="U546" t="n">
        <v/>
      </c>
      <c r="V546" t="n">
        <v>31.498027792</v>
      </c>
      <c r="W546" t="n">
        <v/>
      </c>
      <c r="X546" t="n">
        <v/>
      </c>
      <c r="Y546" t="n">
        <v/>
      </c>
      <c r="Z546" t="n">
        <v/>
      </c>
      <c r="AA546" t="n">
        <v/>
      </c>
      <c r="AB546" t="n">
        <v/>
      </c>
      <c r="AC546" t="n">
        <v>46.470384732</v>
      </c>
      <c r="AD546" t="n">
        <v>21.957660914</v>
      </c>
      <c r="AE546" t="n">
        <v/>
      </c>
      <c r="AF546" t="n">
        <v>43.791894584</v>
      </c>
      <c r="AG546" t="n">
        <v/>
      </c>
      <c r="AH546" t="n">
        <v/>
      </c>
      <c r="AI546" t="n">
        <v>31.710475404</v>
      </c>
      <c r="AJ546" t="n">
        <v>26.92911402</v>
      </c>
      <c r="AK546" t="n">
        <v/>
      </c>
      <c r="AL546" t="n">
        <v/>
      </c>
      <c r="AM546" t="n">
        <v/>
      </c>
      <c r="AN546" t="n">
        <v>27.437508505</v>
      </c>
      <c r="AO546" t="n">
        <v/>
      </c>
      <c r="AP546" t="n">
        <v/>
      </c>
      <c r="AQ546" t="n">
        <v/>
      </c>
      <c r="AR546" t="n">
        <v>37.747801788</v>
      </c>
      <c r="AS546" t="n">
        <v/>
      </c>
      <c r="AT546" t="n">
        <v>28.376176123</v>
      </c>
      <c r="AU546" t="n">
        <v/>
      </c>
    </row>
    <row r="547">
      <c r="A547" s="106" t="n">
        <v>23529</v>
      </c>
      <c r="B547" t="n">
        <v>17.665893173</v>
      </c>
      <c r="C547" t="n">
        <v>33.357844075</v>
      </c>
      <c r="D547" t="n">
        <v/>
      </c>
      <c r="E547" t="n">
        <v>29.27158377</v>
      </c>
      <c r="F547" t="n">
        <v/>
      </c>
      <c r="G547" t="n">
        <v/>
      </c>
      <c r="H547" t="n">
        <v/>
      </c>
      <c r="I547" t="n">
        <v>17.665893173</v>
      </c>
      <c r="J547" t="n">
        <v/>
      </c>
      <c r="K547" t="n">
        <v>36.542875456</v>
      </c>
      <c r="L547" t="n">
        <v/>
      </c>
      <c r="M547" t="n">
        <v/>
      </c>
      <c r="N547" t="n">
        <v/>
      </c>
      <c r="O547" t="n">
        <v/>
      </c>
      <c r="P547" t="n">
        <v/>
      </c>
      <c r="Q547" t="n">
        <v>20.61578179</v>
      </c>
      <c r="R547" t="n">
        <v>45.211375838</v>
      </c>
      <c r="S547" t="n">
        <v>30.746459834</v>
      </c>
      <c r="T547" t="n">
        <v/>
      </c>
      <c r="U547" t="n">
        <v/>
      </c>
      <c r="V547" t="n">
        <v>32.140971616</v>
      </c>
      <c r="W547" t="n">
        <v/>
      </c>
      <c r="X547" t="n">
        <v/>
      </c>
      <c r="Y547" t="n">
        <v/>
      </c>
      <c r="Z547" t="n">
        <v/>
      </c>
      <c r="AA547" t="n">
        <v/>
      </c>
      <c r="AB547" t="n">
        <v/>
      </c>
      <c r="AC547" t="n">
        <v>45.652779763</v>
      </c>
      <c r="AD547" t="n">
        <v>22.378305759</v>
      </c>
      <c r="AE547" t="n">
        <v/>
      </c>
      <c r="AF547" t="n">
        <v>43.719667253</v>
      </c>
      <c r="AG547" t="n">
        <v/>
      </c>
      <c r="AH547" t="n">
        <v/>
      </c>
      <c r="AI547" t="n">
        <v>30.853435528</v>
      </c>
      <c r="AJ547" t="n">
        <v>27.501100299</v>
      </c>
      <c r="AK547" t="n">
        <v/>
      </c>
      <c r="AL547" t="n">
        <v/>
      </c>
      <c r="AM547" t="n">
        <v/>
      </c>
      <c r="AN547" t="n">
        <v>29.274076405</v>
      </c>
      <c r="AO547" t="n">
        <v/>
      </c>
      <c r="AP547" t="n">
        <v/>
      </c>
      <c r="AQ547" t="n">
        <v/>
      </c>
      <c r="AR547" t="n">
        <v>37.747801788</v>
      </c>
      <c r="AS547" t="n">
        <v/>
      </c>
      <c r="AT547" t="n">
        <v>28.456296157</v>
      </c>
      <c r="AU547" t="n">
        <v/>
      </c>
    </row>
    <row r="548">
      <c r="A548" s="106" t="n">
        <v>23559</v>
      </c>
      <c r="B548" t="n">
        <v>18.084102873</v>
      </c>
      <c r="C548" t="n">
        <v>34.063820889</v>
      </c>
      <c r="D548" t="n">
        <v/>
      </c>
      <c r="E548" t="n">
        <v>29.062474177</v>
      </c>
      <c r="F548" t="n">
        <v/>
      </c>
      <c r="G548" t="n">
        <v/>
      </c>
      <c r="H548" t="n">
        <v/>
      </c>
      <c r="I548" t="n">
        <v>18.084102873</v>
      </c>
      <c r="J548" t="n">
        <v/>
      </c>
      <c r="K548" t="n">
        <v>37.283609418</v>
      </c>
      <c r="L548" t="n">
        <v/>
      </c>
      <c r="M548" t="n">
        <v/>
      </c>
      <c r="N548" t="n">
        <v/>
      </c>
      <c r="O548" t="n">
        <v/>
      </c>
      <c r="P548" t="n">
        <v/>
      </c>
      <c r="Q548" t="n">
        <v>21.088471284</v>
      </c>
      <c r="R548" t="n">
        <v>44.419262787</v>
      </c>
      <c r="S548" t="n">
        <v>30.942289633</v>
      </c>
      <c r="T548" t="n">
        <v/>
      </c>
      <c r="U548" t="n">
        <v/>
      </c>
      <c r="V548" t="n">
        <v>33.836781199</v>
      </c>
      <c r="W548" t="n">
        <v/>
      </c>
      <c r="X548" t="n">
        <v/>
      </c>
      <c r="Y548" t="n">
        <v/>
      </c>
      <c r="Z548" t="n">
        <v/>
      </c>
      <c r="AA548" t="n">
        <v/>
      </c>
      <c r="AB548" t="n">
        <v/>
      </c>
      <c r="AC548" t="n">
        <v>46.527426934</v>
      </c>
      <c r="AD548" t="n">
        <v>22.378305759</v>
      </c>
      <c r="AE548" t="n">
        <v/>
      </c>
      <c r="AF548" t="n">
        <v>43.585645337</v>
      </c>
      <c r="AG548" t="n">
        <v/>
      </c>
      <c r="AH548" t="n">
        <v/>
      </c>
      <c r="AI548" t="n">
        <v>31.139115487</v>
      </c>
      <c r="AJ548" t="n">
        <v>28.004448224</v>
      </c>
      <c r="AK548" t="n">
        <v/>
      </c>
      <c r="AL548" t="n">
        <v/>
      </c>
      <c r="AM548" t="n">
        <v/>
      </c>
      <c r="AN548" t="n">
        <v>29.21227087</v>
      </c>
      <c r="AO548" t="n">
        <v/>
      </c>
      <c r="AP548" t="n">
        <v/>
      </c>
      <c r="AQ548" t="n">
        <v/>
      </c>
      <c r="AR548" t="n">
        <v>37.293008995</v>
      </c>
      <c r="AS548" t="n">
        <v/>
      </c>
      <c r="AT548" t="n">
        <v>28.643408169</v>
      </c>
      <c r="AU548" t="n">
        <v/>
      </c>
    </row>
    <row r="549">
      <c r="A549" s="106" t="n">
        <v>23590</v>
      </c>
      <c r="B549" t="n">
        <v>18.061460651</v>
      </c>
      <c r="C549" t="n">
        <v>33.07313897</v>
      </c>
      <c r="D549" t="n">
        <v/>
      </c>
      <c r="E549" t="n">
        <v>29.312465871</v>
      </c>
      <c r="F549" t="n">
        <v/>
      </c>
      <c r="G549" t="n">
        <v/>
      </c>
      <c r="H549" t="n">
        <v/>
      </c>
      <c r="I549" t="n">
        <v>18.061460651</v>
      </c>
      <c r="J549" t="n">
        <v/>
      </c>
      <c r="K549" t="n">
        <v>36.974970267</v>
      </c>
      <c r="L549" t="n">
        <v/>
      </c>
      <c r="M549" t="n">
        <v/>
      </c>
      <c r="N549" t="n">
        <v/>
      </c>
      <c r="O549" t="n">
        <v/>
      </c>
      <c r="P549" t="n">
        <v/>
      </c>
      <c r="Q549" t="n">
        <v>21.163449617</v>
      </c>
      <c r="R549" t="n">
        <v>44.419262787</v>
      </c>
      <c r="S549" t="n">
        <v>30.854933872</v>
      </c>
      <c r="T549" t="n">
        <v/>
      </c>
      <c r="U549" t="n">
        <v/>
      </c>
      <c r="V549" t="n">
        <v>35.394556619</v>
      </c>
      <c r="W549" t="n">
        <v/>
      </c>
      <c r="X549" t="n">
        <v/>
      </c>
      <c r="Y549" t="n">
        <v/>
      </c>
      <c r="Z549" t="n">
        <v/>
      </c>
      <c r="AA549" t="n">
        <v/>
      </c>
      <c r="AB549" t="n">
        <v/>
      </c>
      <c r="AC549" t="n">
        <v>43.675316582</v>
      </c>
      <c r="AD549" t="n">
        <v>22.378305759</v>
      </c>
      <c r="AE549" t="n">
        <v/>
      </c>
      <c r="AF549" t="n">
        <v>44.845496435</v>
      </c>
      <c r="AG549" t="n">
        <v/>
      </c>
      <c r="AH549" t="n">
        <v/>
      </c>
      <c r="AI549" t="n">
        <v>31.139115487</v>
      </c>
      <c r="AJ549" t="n">
        <v>27.363823592</v>
      </c>
      <c r="AK549" t="n">
        <v/>
      </c>
      <c r="AL549" t="n">
        <v/>
      </c>
      <c r="AM549" t="n">
        <v/>
      </c>
      <c r="AN549" t="n">
        <v>28.003337703</v>
      </c>
      <c r="AO549" t="n">
        <v/>
      </c>
      <c r="AP549" t="n">
        <v/>
      </c>
      <c r="AQ549" t="n">
        <v/>
      </c>
      <c r="AR549" t="n">
        <v>39.112180166</v>
      </c>
      <c r="AS549" t="n">
        <v/>
      </c>
      <c r="AT549" t="n">
        <v>28.830421022</v>
      </c>
      <c r="AU549" t="n">
        <v/>
      </c>
    </row>
    <row r="550">
      <c r="A550" s="106" t="n">
        <v>23621</v>
      </c>
      <c r="B550" t="n">
        <v>17.903558185</v>
      </c>
      <c r="C550" t="n">
        <v>33.29557071</v>
      </c>
      <c r="D550" t="n">
        <v/>
      </c>
      <c r="E550" t="n">
        <v>29.960470655</v>
      </c>
      <c r="F550" t="n">
        <v/>
      </c>
      <c r="G550" t="n">
        <v/>
      </c>
      <c r="H550" t="n">
        <v/>
      </c>
      <c r="I550" t="n">
        <v>17.903558185</v>
      </c>
      <c r="J550" t="n">
        <v/>
      </c>
      <c r="K550" t="n">
        <v>37.036698097</v>
      </c>
      <c r="L550" t="n">
        <v/>
      </c>
      <c r="M550" t="n">
        <v/>
      </c>
      <c r="N550" t="n">
        <v/>
      </c>
      <c r="O550" t="n">
        <v/>
      </c>
      <c r="P550" t="n">
        <v/>
      </c>
      <c r="Q550" t="n">
        <v>21.202568748</v>
      </c>
      <c r="R550" t="n">
        <v>45.333239379</v>
      </c>
      <c r="S550" t="n">
        <v>31.290428096</v>
      </c>
      <c r="T550" t="n">
        <v/>
      </c>
      <c r="U550" t="n">
        <v/>
      </c>
      <c r="V550" t="n">
        <v>34.073452578</v>
      </c>
      <c r="W550" t="n">
        <v/>
      </c>
      <c r="X550" t="n">
        <v/>
      </c>
      <c r="Y550" t="n">
        <v/>
      </c>
      <c r="Z550" t="n">
        <v/>
      </c>
      <c r="AA550" t="n">
        <v/>
      </c>
      <c r="AB550" t="n">
        <v/>
      </c>
      <c r="AC550" t="n">
        <v>46.090103348</v>
      </c>
      <c r="AD550" t="n">
        <v>23.051337511</v>
      </c>
      <c r="AE550" t="n">
        <v/>
      </c>
      <c r="AF550" t="n">
        <v>43.733711898</v>
      </c>
      <c r="AG550" t="n">
        <v/>
      </c>
      <c r="AH550" t="n">
        <v/>
      </c>
      <c r="AI550" t="n">
        <v>31.424795445</v>
      </c>
      <c r="AJ550" t="n">
        <v>27.615497555</v>
      </c>
      <c r="AK550" t="n">
        <v/>
      </c>
      <c r="AL550" t="n">
        <v/>
      </c>
      <c r="AM550" t="n">
        <v/>
      </c>
      <c r="AN550" t="n">
        <v>28.55528773</v>
      </c>
      <c r="AO550" t="n">
        <v/>
      </c>
      <c r="AP550" t="n">
        <v/>
      </c>
      <c r="AQ550" t="n">
        <v/>
      </c>
      <c r="AR550" t="n">
        <v>38.657387373</v>
      </c>
      <c r="AS550" t="n">
        <v/>
      </c>
      <c r="AT550" t="n">
        <v>28.93731384</v>
      </c>
      <c r="AU550" t="n">
        <v/>
      </c>
    </row>
    <row r="551">
      <c r="A551" s="106" t="n">
        <v>23651</v>
      </c>
      <c r="B551" t="n">
        <v>18.256690688</v>
      </c>
      <c r="C551" t="n">
        <v>34.071559362</v>
      </c>
      <c r="D551" t="n">
        <v/>
      </c>
      <c r="E551" t="n">
        <v>29.907840825</v>
      </c>
      <c r="F551" t="n">
        <v/>
      </c>
      <c r="G551" t="n">
        <v/>
      </c>
      <c r="H551" t="n">
        <v/>
      </c>
      <c r="I551" t="n">
        <v>18.256690688</v>
      </c>
      <c r="J551" t="n">
        <v/>
      </c>
      <c r="K551" t="n">
        <v>37.530520738</v>
      </c>
      <c r="L551" t="n">
        <v/>
      </c>
      <c r="M551" t="n">
        <v/>
      </c>
      <c r="N551" t="n">
        <v/>
      </c>
      <c r="O551" t="n">
        <v/>
      </c>
      <c r="P551" t="n">
        <v/>
      </c>
      <c r="Q551" t="n">
        <v>21.482922517</v>
      </c>
      <c r="R551" t="n">
        <v>45.394171158</v>
      </c>
      <c r="S551" t="n">
        <v>31.137655193</v>
      </c>
      <c r="T551" t="n">
        <v/>
      </c>
      <c r="U551" t="n">
        <v/>
      </c>
      <c r="V551" t="n">
        <v>34.367355129</v>
      </c>
      <c r="W551" t="n">
        <v/>
      </c>
      <c r="X551" t="n">
        <v/>
      </c>
      <c r="Y551" t="n">
        <v/>
      </c>
      <c r="Z551" t="n">
        <v/>
      </c>
      <c r="AA551" t="n">
        <v/>
      </c>
      <c r="AB551" t="n">
        <v/>
      </c>
      <c r="AC551" t="n">
        <v>45.95700487</v>
      </c>
      <c r="AD551" t="n">
        <v>22.967208542</v>
      </c>
      <c r="AE551" t="n">
        <v/>
      </c>
      <c r="AF551" t="n">
        <v>44.528989858</v>
      </c>
      <c r="AG551" t="n">
        <v/>
      </c>
      <c r="AH551" t="n">
        <v/>
      </c>
      <c r="AI551" t="n">
        <v>31.996155363</v>
      </c>
      <c r="AJ551" t="n">
        <v>27.295185238</v>
      </c>
      <c r="AK551" t="n">
        <v/>
      </c>
      <c r="AL551" t="n">
        <v/>
      </c>
      <c r="AM551" t="n">
        <v/>
      </c>
      <c r="AN551" t="n">
        <v>29.309449176</v>
      </c>
      <c r="AO551" t="n">
        <v/>
      </c>
      <c r="AP551" t="n">
        <v/>
      </c>
      <c r="AQ551" t="n">
        <v/>
      </c>
      <c r="AR551" t="n">
        <v>39.112180166</v>
      </c>
      <c r="AS551" t="n">
        <v/>
      </c>
      <c r="AT551" t="n">
        <v>28.53651535</v>
      </c>
      <c r="AU551" t="n">
        <v/>
      </c>
    </row>
    <row r="552">
      <c r="A552" s="106" t="n">
        <v>23682</v>
      </c>
      <c r="B552" t="n">
        <v>18.192120384</v>
      </c>
      <c r="C552" t="n">
        <v>33.515855872</v>
      </c>
      <c r="D552" t="n">
        <v/>
      </c>
      <c r="E552" t="n">
        <v>30.436018763</v>
      </c>
      <c r="F552" t="n">
        <v/>
      </c>
      <c r="G552" t="n">
        <v/>
      </c>
      <c r="H552" t="n">
        <v/>
      </c>
      <c r="I552" t="n">
        <v>18.192120384</v>
      </c>
      <c r="J552" t="n">
        <v/>
      </c>
      <c r="K552" t="n">
        <v>37.468792908</v>
      </c>
      <c r="L552" t="n">
        <v/>
      </c>
      <c r="M552" t="n">
        <v/>
      </c>
      <c r="N552" t="n">
        <v/>
      </c>
      <c r="O552" t="n">
        <v/>
      </c>
      <c r="P552" t="n">
        <v/>
      </c>
      <c r="Q552" t="n">
        <v>21.456843096</v>
      </c>
      <c r="R552" t="n">
        <v>45.333239379</v>
      </c>
      <c r="S552" t="n">
        <v>31.523676005</v>
      </c>
      <c r="T552" t="n">
        <v/>
      </c>
      <c r="U552" t="n">
        <v/>
      </c>
      <c r="V552" t="n">
        <v>34.830117427</v>
      </c>
      <c r="W552" t="n">
        <v/>
      </c>
      <c r="X552" t="n">
        <v/>
      </c>
      <c r="Y552" t="n">
        <v/>
      </c>
      <c r="Z552" t="n">
        <v/>
      </c>
      <c r="AA552" t="n">
        <v/>
      </c>
      <c r="AB552" t="n">
        <v/>
      </c>
      <c r="AC552" t="n">
        <v>46.299258115</v>
      </c>
      <c r="AD552" t="n">
        <v>22.714821635</v>
      </c>
      <c r="AE552" t="n">
        <v/>
      </c>
      <c r="AF552" t="n">
        <v>43.555245984</v>
      </c>
      <c r="AG552" t="n">
        <v/>
      </c>
      <c r="AH552" t="n">
        <v/>
      </c>
      <c r="AI552" t="n">
        <v>32.281835321</v>
      </c>
      <c r="AJ552" t="n">
        <v>28.050207127</v>
      </c>
      <c r="AK552" t="n">
        <v/>
      </c>
      <c r="AL552" t="n">
        <v/>
      </c>
      <c r="AM552" t="n">
        <v/>
      </c>
      <c r="AN552" t="n">
        <v>29.491736532</v>
      </c>
      <c r="AO552" t="n">
        <v/>
      </c>
      <c r="AP552" t="n">
        <v/>
      </c>
      <c r="AQ552" t="n">
        <v/>
      </c>
      <c r="AR552" t="n">
        <v>39.566972958</v>
      </c>
      <c r="AS552" t="n">
        <v/>
      </c>
      <c r="AT552" t="n">
        <v>29.418232365</v>
      </c>
      <c r="AU552" t="n">
        <v/>
      </c>
    </row>
    <row r="553">
      <c r="A553" s="106" t="n">
        <v>23712</v>
      </c>
      <c r="B553" t="n">
        <v>18.15195604</v>
      </c>
      <c r="C553" t="n">
        <v>33.495578467</v>
      </c>
      <c r="D553" t="n">
        <v/>
      </c>
      <c r="E553" t="n">
        <v>30.443067401</v>
      </c>
      <c r="F553" t="n">
        <v/>
      </c>
      <c r="G553" t="n">
        <v/>
      </c>
      <c r="H553" t="n">
        <v/>
      </c>
      <c r="I553" t="n">
        <v>18.15195604</v>
      </c>
      <c r="J553" t="n">
        <v/>
      </c>
      <c r="K553" t="n">
        <v>37.900887719</v>
      </c>
      <c r="L553" t="n">
        <v/>
      </c>
      <c r="M553" t="n">
        <v/>
      </c>
      <c r="N553" t="n">
        <v/>
      </c>
      <c r="O553" t="n">
        <v/>
      </c>
      <c r="P553" t="n">
        <v/>
      </c>
      <c r="Q553" t="n">
        <v>21.476402661</v>
      </c>
      <c r="R553" t="n">
        <v>44.480194557</v>
      </c>
      <c r="S553" t="n">
        <v>31.882581262</v>
      </c>
      <c r="T553" t="n">
        <v/>
      </c>
      <c r="U553" t="n">
        <v/>
      </c>
      <c r="V553" t="n">
        <v>35.411706367</v>
      </c>
      <c r="W553" t="n">
        <v/>
      </c>
      <c r="X553" t="n">
        <v/>
      </c>
      <c r="Y553" t="n">
        <v/>
      </c>
      <c r="Z553" t="n">
        <v/>
      </c>
      <c r="AA553" t="n">
        <v/>
      </c>
      <c r="AB553" t="n">
        <v/>
      </c>
      <c r="AC553" t="n">
        <v>46.432356593</v>
      </c>
      <c r="AD553" t="n">
        <v>23.303724418</v>
      </c>
      <c r="AE553" t="n">
        <v/>
      </c>
      <c r="AF553" t="n">
        <v>44.28435116</v>
      </c>
      <c r="AG553" t="n">
        <v/>
      </c>
      <c r="AH553" t="n">
        <v/>
      </c>
      <c r="AI553" t="n">
        <v>32.281835321</v>
      </c>
      <c r="AJ553" t="n">
        <v>28.324760541</v>
      </c>
      <c r="AK553" t="n">
        <v/>
      </c>
      <c r="AL553" t="n">
        <v/>
      </c>
      <c r="AM553" t="n">
        <v/>
      </c>
      <c r="AN553" t="n">
        <v>29.314584467</v>
      </c>
      <c r="AO553" t="n">
        <v/>
      </c>
      <c r="AP553" t="n">
        <v/>
      </c>
      <c r="AQ553" t="n">
        <v/>
      </c>
      <c r="AR553" t="n">
        <v>40.021765751</v>
      </c>
      <c r="AS553" t="n">
        <v/>
      </c>
      <c r="AT553" t="n">
        <v>29.765584446</v>
      </c>
      <c r="AU553" t="n">
        <v/>
      </c>
    </row>
    <row r="554">
      <c r="A554" s="106" t="n">
        <v>23743</v>
      </c>
      <c r="B554" t="n">
        <v>19.097015966</v>
      </c>
      <c r="C554" t="n">
        <v>34.17621164</v>
      </c>
      <c r="D554" t="n">
        <v/>
      </c>
      <c r="E554" t="n">
        <v>30.884312138</v>
      </c>
      <c r="F554" t="n">
        <v/>
      </c>
      <c r="G554" t="n">
        <v/>
      </c>
      <c r="H554" t="n">
        <v/>
      </c>
      <c r="I554" t="n">
        <v>19.097015966</v>
      </c>
      <c r="J554" t="n">
        <v/>
      </c>
      <c r="K554" t="n">
        <v>38.765077341</v>
      </c>
      <c r="L554" t="n">
        <v/>
      </c>
      <c r="M554" t="n">
        <v/>
      </c>
      <c r="N554" t="n">
        <v>29.650600448</v>
      </c>
      <c r="O554" t="n">
        <v/>
      </c>
      <c r="P554" t="n">
        <v/>
      </c>
      <c r="Q554" t="n">
        <v>21.740456793</v>
      </c>
      <c r="R554" t="n">
        <v>44.541126328</v>
      </c>
      <c r="S554" t="n">
        <v>32.109945286</v>
      </c>
      <c r="T554" t="n">
        <v/>
      </c>
      <c r="U554" t="n">
        <v/>
      </c>
      <c r="V554" t="n">
        <v>35.67113448</v>
      </c>
      <c r="W554" t="n">
        <v/>
      </c>
      <c r="X554" t="n">
        <v/>
      </c>
      <c r="Y554" t="n">
        <v/>
      </c>
      <c r="Z554" t="n">
        <v/>
      </c>
      <c r="AA554" t="n">
        <v/>
      </c>
      <c r="AB554" t="n">
        <v/>
      </c>
      <c r="AC554" t="n">
        <v>46.356300317</v>
      </c>
      <c r="AD554" t="n">
        <v>23.051337511</v>
      </c>
      <c r="AE554" t="n">
        <v/>
      </c>
      <c r="AF554" t="n">
        <v>44.931526011</v>
      </c>
      <c r="AG554" t="n">
        <v/>
      </c>
      <c r="AH554" t="n">
        <v/>
      </c>
      <c r="AI554" t="n">
        <v>32.853195238</v>
      </c>
      <c r="AJ554" t="n">
        <v>27.981568773</v>
      </c>
      <c r="AK554" t="n">
        <v/>
      </c>
      <c r="AL554" t="n">
        <v/>
      </c>
      <c r="AM554" t="n">
        <v/>
      </c>
      <c r="AN554" t="n">
        <v>28.788206819</v>
      </c>
      <c r="AO554" t="n">
        <v/>
      </c>
      <c r="AP554" t="n">
        <v/>
      </c>
      <c r="AQ554" t="n">
        <v/>
      </c>
      <c r="AR554" t="n">
        <v>41.386144129</v>
      </c>
      <c r="AS554" t="n">
        <v/>
      </c>
      <c r="AT554" t="n">
        <v>30.086262901</v>
      </c>
      <c r="AU554" t="n">
        <v/>
      </c>
    </row>
    <row r="555">
      <c r="A555" s="106" t="n">
        <v>23774</v>
      </c>
      <c r="B555" t="n">
        <v>18.442479425</v>
      </c>
      <c r="C555" t="n">
        <v>34.054081922</v>
      </c>
      <c r="D555" t="n">
        <v/>
      </c>
      <c r="E555" t="n">
        <v>30.712325372</v>
      </c>
      <c r="F555" t="n">
        <v/>
      </c>
      <c r="G555" t="n">
        <v/>
      </c>
      <c r="H555" t="n">
        <v/>
      </c>
      <c r="I555" t="n">
        <v>18.442479425</v>
      </c>
      <c r="J555" t="n">
        <v/>
      </c>
      <c r="K555" t="n">
        <v>38.456438191</v>
      </c>
      <c r="L555" t="n">
        <v/>
      </c>
      <c r="M555" t="n">
        <v/>
      </c>
      <c r="N555" t="n">
        <v>30.613166226</v>
      </c>
      <c r="O555" t="n">
        <v/>
      </c>
      <c r="P555" t="n">
        <v/>
      </c>
      <c r="Q555" t="n">
        <v>21.939312373</v>
      </c>
      <c r="R555" t="n">
        <v>44.967648748</v>
      </c>
      <c r="S555" t="n">
        <v>32.15380507</v>
      </c>
      <c r="T555" t="n">
        <v/>
      </c>
      <c r="U555" t="n">
        <v/>
      </c>
      <c r="V555" t="n">
        <v>35.473324299</v>
      </c>
      <c r="W555" t="n">
        <v/>
      </c>
      <c r="X555" t="n">
        <v/>
      </c>
      <c r="Y555" t="n">
        <v/>
      </c>
      <c r="Z555" t="n">
        <v/>
      </c>
      <c r="AA555" t="n">
        <v/>
      </c>
      <c r="AB555" t="n">
        <v/>
      </c>
      <c r="AC555" t="n">
        <v>46.869680179</v>
      </c>
      <c r="AD555" t="n">
        <v>22.883079573</v>
      </c>
      <c r="AE555" t="n">
        <v/>
      </c>
      <c r="AF555" t="n">
        <v>45.798992461</v>
      </c>
      <c r="AG555" t="n">
        <v/>
      </c>
      <c r="AH555" t="n">
        <v/>
      </c>
      <c r="AI555" t="n">
        <v>32.56751528</v>
      </c>
      <c r="AJ555" t="n">
        <v>28.576434503</v>
      </c>
      <c r="AK555" t="n">
        <v/>
      </c>
      <c r="AL555" t="n">
        <v/>
      </c>
      <c r="AM555" t="n">
        <v/>
      </c>
      <c r="AN555" t="n">
        <v>29.77995537</v>
      </c>
      <c r="AO555" t="n">
        <v/>
      </c>
      <c r="AP555" t="n">
        <v/>
      </c>
      <c r="AQ555" t="n">
        <v/>
      </c>
      <c r="AR555" t="n">
        <v>40.931351336</v>
      </c>
      <c r="AS555" t="n">
        <v/>
      </c>
      <c r="AT555" t="n">
        <v>30.273275754</v>
      </c>
      <c r="AU555" t="n">
        <v/>
      </c>
    </row>
    <row r="556">
      <c r="A556" s="106" t="n">
        <v>23802</v>
      </c>
      <c r="B556" t="n">
        <v>18.208036872</v>
      </c>
      <c r="C556" t="n">
        <v>33.54096997</v>
      </c>
      <c r="D556" t="n">
        <v/>
      </c>
      <c r="E556" t="n">
        <v>31.354691246</v>
      </c>
      <c r="F556" t="n">
        <v/>
      </c>
      <c r="G556" t="n">
        <v/>
      </c>
      <c r="H556" t="n">
        <v/>
      </c>
      <c r="I556" t="n">
        <v>18.208036872</v>
      </c>
      <c r="J556" t="n">
        <v/>
      </c>
      <c r="K556" t="n">
        <v>38.39471036</v>
      </c>
      <c r="L556" t="n">
        <v/>
      </c>
      <c r="M556" t="n">
        <v/>
      </c>
      <c r="N556" t="n">
        <v>31.177470226</v>
      </c>
      <c r="O556" t="n">
        <v/>
      </c>
      <c r="P556" t="n">
        <v/>
      </c>
      <c r="Q556" t="n">
        <v>21.662218531</v>
      </c>
      <c r="R556" t="n">
        <v>44.967648748</v>
      </c>
      <c r="S556" t="n">
        <v>32.370874258</v>
      </c>
      <c r="T556" t="n">
        <v/>
      </c>
      <c r="U556" t="n">
        <v/>
      </c>
      <c r="V556" t="n">
        <v>35.726821217</v>
      </c>
      <c r="W556" t="n">
        <v/>
      </c>
      <c r="X556" t="n">
        <v/>
      </c>
      <c r="Y556" t="n">
        <v/>
      </c>
      <c r="Z556" t="n">
        <v/>
      </c>
      <c r="AA556" t="n">
        <v/>
      </c>
      <c r="AB556" t="n">
        <v/>
      </c>
      <c r="AC556" t="n">
        <v>46.223201838</v>
      </c>
      <c r="AD556" t="n">
        <v>23.051337511</v>
      </c>
      <c r="AE556" t="n">
        <v/>
      </c>
      <c r="AF556" t="n">
        <v>42.284339895</v>
      </c>
      <c r="AG556" t="n">
        <v/>
      </c>
      <c r="AH556" t="n">
        <v/>
      </c>
      <c r="AI556" t="n">
        <v>32.281835321</v>
      </c>
      <c r="AJ556" t="n">
        <v>28.50779615</v>
      </c>
      <c r="AK556" t="n">
        <v/>
      </c>
      <c r="AL556" t="n">
        <v/>
      </c>
      <c r="AM556" t="n">
        <v/>
      </c>
      <c r="AN556" t="n">
        <v>29.137564864</v>
      </c>
      <c r="AO556" t="n">
        <v/>
      </c>
      <c r="AP556" t="n">
        <v/>
      </c>
      <c r="AQ556" t="n">
        <v/>
      </c>
      <c r="AR556" t="n">
        <v>40.021765751</v>
      </c>
      <c r="AS556" t="n">
        <v/>
      </c>
      <c r="AT556" t="n">
        <v>30.674074244</v>
      </c>
      <c r="AU556" t="n">
        <v/>
      </c>
    </row>
    <row r="557">
      <c r="A557" s="106" t="n">
        <v>23833</v>
      </c>
      <c r="B557" t="n">
        <v>18.39828748</v>
      </c>
      <c r="C557" t="n">
        <v>34.108250818</v>
      </c>
      <c r="D557" t="n">
        <v/>
      </c>
      <c r="E557" t="n">
        <v>31.320857783</v>
      </c>
      <c r="F557" t="n">
        <v/>
      </c>
      <c r="G557" t="n">
        <v/>
      </c>
      <c r="H557" t="n">
        <v/>
      </c>
      <c r="I557" t="n">
        <v>18.39828748</v>
      </c>
      <c r="J557" t="n">
        <v/>
      </c>
      <c r="K557" t="n">
        <v>38.579893851</v>
      </c>
      <c r="L557" t="n">
        <v/>
      </c>
      <c r="M557" t="n">
        <v/>
      </c>
      <c r="N557" t="n">
        <v>31.024228712</v>
      </c>
      <c r="O557" t="n">
        <v/>
      </c>
      <c r="P557" t="n">
        <v/>
      </c>
      <c r="Q557" t="n">
        <v>22.147947736</v>
      </c>
      <c r="R557" t="n">
        <v>45.211375838</v>
      </c>
      <c r="S557" t="n">
        <v>32.463919913</v>
      </c>
      <c r="T557" t="n">
        <v/>
      </c>
      <c r="U557" t="n">
        <v/>
      </c>
      <c r="V557" t="n">
        <v>35.413862631</v>
      </c>
      <c r="W557" t="n">
        <v/>
      </c>
      <c r="X557" t="n">
        <v/>
      </c>
      <c r="Y557" t="n">
        <v/>
      </c>
      <c r="Z557" t="n">
        <v/>
      </c>
      <c r="AA557" t="n">
        <v/>
      </c>
      <c r="AB557" t="n">
        <v/>
      </c>
      <c r="AC557" t="n">
        <v>46.888694253</v>
      </c>
      <c r="AD557" t="n">
        <v>22.883079573</v>
      </c>
      <c r="AE557" t="n">
        <v/>
      </c>
      <c r="AF557" t="n">
        <v>44.039246888</v>
      </c>
      <c r="AG557" t="n">
        <v/>
      </c>
      <c r="AH557" t="n">
        <v/>
      </c>
      <c r="AI557" t="n">
        <v>32.281835321</v>
      </c>
      <c r="AJ557" t="n">
        <v>29.400094745</v>
      </c>
      <c r="AK557" t="n">
        <v/>
      </c>
      <c r="AL557" t="n">
        <v/>
      </c>
      <c r="AM557" t="n">
        <v/>
      </c>
      <c r="AN557" t="n">
        <v>29.586055163</v>
      </c>
      <c r="AO557" t="n">
        <v/>
      </c>
      <c r="AP557" t="n">
        <v/>
      </c>
      <c r="AQ557" t="n">
        <v/>
      </c>
      <c r="AR557" t="n">
        <v>40.021765751</v>
      </c>
      <c r="AS557" t="n">
        <v/>
      </c>
      <c r="AT557" t="n">
        <v>30.807640688</v>
      </c>
      <c r="AU557" t="n">
        <v/>
      </c>
    </row>
    <row r="558">
      <c r="A558" s="106" t="n">
        <v>23863</v>
      </c>
      <c r="B558" t="n">
        <v>18.553651785</v>
      </c>
      <c r="C558" t="n">
        <v>34.203989318</v>
      </c>
      <c r="D558" t="n">
        <v/>
      </c>
      <c r="E558" t="n">
        <v>31.52197892</v>
      </c>
      <c r="F558" t="n">
        <v/>
      </c>
      <c r="G558" t="n">
        <v/>
      </c>
      <c r="H558" t="n">
        <v/>
      </c>
      <c r="I558" t="n">
        <v>18.553651785</v>
      </c>
      <c r="J558" t="n">
        <v/>
      </c>
      <c r="K558" t="n">
        <v>38.579893851</v>
      </c>
      <c r="L558" t="n">
        <v/>
      </c>
      <c r="M558" t="n">
        <v/>
      </c>
      <c r="N558" t="n">
        <v>31.685364119</v>
      </c>
      <c r="O558" t="n">
        <v/>
      </c>
      <c r="P558" t="n">
        <v/>
      </c>
      <c r="Q558" t="n">
        <v>22.226185997</v>
      </c>
      <c r="R558" t="n">
        <v>45.455102929</v>
      </c>
      <c r="S558" t="n">
        <v>32.599602221</v>
      </c>
      <c r="T558" t="n">
        <v/>
      </c>
      <c r="U558" t="n">
        <v/>
      </c>
      <c r="V558" t="n">
        <v>35.920701278</v>
      </c>
      <c r="W558" t="n">
        <v/>
      </c>
      <c r="X558" t="n">
        <v/>
      </c>
      <c r="Y558" t="n">
        <v/>
      </c>
      <c r="Z558" t="n">
        <v/>
      </c>
      <c r="AA558" t="n">
        <v/>
      </c>
      <c r="AB558" t="n">
        <v/>
      </c>
      <c r="AC558" t="n">
        <v>48.504890115</v>
      </c>
      <c r="AD558" t="n">
        <v>22.546563697</v>
      </c>
      <c r="AE558" t="n">
        <v/>
      </c>
      <c r="AF558" t="n">
        <v>43.611942321</v>
      </c>
      <c r="AG558" t="n">
        <v/>
      </c>
      <c r="AH558" t="n">
        <v/>
      </c>
      <c r="AI558" t="n">
        <v>33.138875197</v>
      </c>
      <c r="AJ558" t="n">
        <v>29.49161255</v>
      </c>
      <c r="AK558" t="n">
        <v/>
      </c>
      <c r="AL558" t="n">
        <v/>
      </c>
      <c r="AM558" t="n">
        <v/>
      </c>
      <c r="AN558" t="n">
        <v>29.413289741</v>
      </c>
      <c r="AO558" t="n">
        <v/>
      </c>
      <c r="AP558" t="n">
        <v/>
      </c>
      <c r="AQ558" t="n">
        <v/>
      </c>
      <c r="AR558" t="n">
        <v>40.476558544</v>
      </c>
      <c r="AS558" t="n">
        <v/>
      </c>
      <c r="AT558" t="n">
        <v>31.04809995</v>
      </c>
      <c r="AU558" t="n">
        <v/>
      </c>
    </row>
    <row r="559">
      <c r="A559" s="106" t="n">
        <v>23894</v>
      </c>
      <c r="B559" t="n">
        <v>18.726779199</v>
      </c>
      <c r="C559" t="n">
        <v>33.925121071</v>
      </c>
      <c r="D559" t="n">
        <v/>
      </c>
      <c r="E559" t="n">
        <v>31.573668932</v>
      </c>
      <c r="F559" t="n">
        <v/>
      </c>
      <c r="G559" t="n">
        <v/>
      </c>
      <c r="H559" t="n">
        <v/>
      </c>
      <c r="I559" t="n">
        <v>18.726779199</v>
      </c>
      <c r="J559" t="n">
        <v/>
      </c>
      <c r="K559" t="n">
        <v>38.2712547</v>
      </c>
      <c r="L559" t="n">
        <v/>
      </c>
      <c r="M559" t="n">
        <v/>
      </c>
      <c r="N559" t="n">
        <v>30.997081525</v>
      </c>
      <c r="O559" t="n">
        <v/>
      </c>
      <c r="P559" t="n">
        <v/>
      </c>
      <c r="Q559" t="n">
        <v>22.946629984</v>
      </c>
      <c r="R559" t="n">
        <v>46.003488889</v>
      </c>
      <c r="S559" t="n">
        <v>32.840061541</v>
      </c>
      <c r="T559" t="n">
        <v/>
      </c>
      <c r="U559" t="n">
        <v/>
      </c>
      <c r="V559" t="n">
        <v>36.928046091</v>
      </c>
      <c r="W559" t="n">
        <v/>
      </c>
      <c r="X559" t="n">
        <v/>
      </c>
      <c r="Y559" t="n">
        <v/>
      </c>
      <c r="Z559" t="n">
        <v/>
      </c>
      <c r="AA559" t="n">
        <v/>
      </c>
      <c r="AB559" t="n">
        <v/>
      </c>
      <c r="AC559" t="n">
        <v>48.98024185</v>
      </c>
      <c r="AD559" t="n">
        <v>22.967208542</v>
      </c>
      <c r="AE559" t="n">
        <v/>
      </c>
      <c r="AF559" t="n">
        <v>43.592287889</v>
      </c>
      <c r="AG559" t="n">
        <v/>
      </c>
      <c r="AH559" t="n">
        <v/>
      </c>
      <c r="AI559" t="n">
        <v>32.853195238</v>
      </c>
      <c r="AJ559" t="n">
        <v>28.164604382</v>
      </c>
      <c r="AK559" t="n">
        <v/>
      </c>
      <c r="AL559" t="n">
        <v/>
      </c>
      <c r="AM559" t="n">
        <v/>
      </c>
      <c r="AN559" t="n">
        <v>28.879823975</v>
      </c>
      <c r="AO559" t="n">
        <v/>
      </c>
      <c r="AP559" t="n">
        <v/>
      </c>
      <c r="AQ559" t="n">
        <v/>
      </c>
      <c r="AR559" t="n">
        <v>40.931351336</v>
      </c>
      <c r="AS559" t="n">
        <v/>
      </c>
      <c r="AT559" t="n">
        <v>31.288559213</v>
      </c>
      <c r="AU559" t="n">
        <v/>
      </c>
    </row>
    <row r="560">
      <c r="A560" s="106" t="n">
        <v>23924</v>
      </c>
      <c r="B560" t="n">
        <v>18.825395534</v>
      </c>
      <c r="C560" t="n">
        <v>33.899925765</v>
      </c>
      <c r="D560" t="n">
        <v/>
      </c>
      <c r="E560" t="n">
        <v>32.396479938</v>
      </c>
      <c r="F560" t="n">
        <v/>
      </c>
      <c r="G560" t="n">
        <v/>
      </c>
      <c r="H560" t="n">
        <v/>
      </c>
      <c r="I560" t="n">
        <v>18.825395534</v>
      </c>
      <c r="J560" t="n">
        <v/>
      </c>
      <c r="K560" t="n">
        <v>38.456438191</v>
      </c>
      <c r="L560" t="n">
        <v/>
      </c>
      <c r="M560" t="n">
        <v/>
      </c>
      <c r="N560" t="n">
        <v>33.51839812</v>
      </c>
      <c r="O560" t="n">
        <v/>
      </c>
      <c r="P560" t="n">
        <v/>
      </c>
      <c r="Q560" t="n">
        <v>22.737994621</v>
      </c>
      <c r="R560" t="n">
        <v>45.942557119</v>
      </c>
      <c r="S560" t="n">
        <v>33.056888492</v>
      </c>
      <c r="T560" t="n">
        <v/>
      </c>
      <c r="U560" t="n">
        <v/>
      </c>
      <c r="V560" t="n">
        <v>36.708567726</v>
      </c>
      <c r="W560" t="n">
        <v/>
      </c>
      <c r="X560" t="n">
        <v/>
      </c>
      <c r="Y560" t="n">
        <v/>
      </c>
      <c r="Z560" t="n">
        <v/>
      </c>
      <c r="AA560" t="n">
        <v/>
      </c>
      <c r="AB560" t="n">
        <v/>
      </c>
      <c r="AC560" t="n">
        <v>49.341509158</v>
      </c>
      <c r="AD560" t="n">
        <v>22.967208542</v>
      </c>
      <c r="AE560" t="n">
        <v/>
      </c>
      <c r="AF560" t="n">
        <v>43.279987154</v>
      </c>
      <c r="AG560" t="n">
        <v/>
      </c>
      <c r="AH560" t="n">
        <v/>
      </c>
      <c r="AI560" t="n">
        <v>33.138875197</v>
      </c>
      <c r="AJ560" t="n">
        <v>28.622193406</v>
      </c>
      <c r="AK560" t="n">
        <v/>
      </c>
      <c r="AL560" t="n">
        <v/>
      </c>
      <c r="AM560" t="n">
        <v/>
      </c>
      <c r="AN560" t="n">
        <v>30.258108225</v>
      </c>
      <c r="AO560" t="n">
        <v/>
      </c>
      <c r="AP560" t="n">
        <v/>
      </c>
      <c r="AQ560" t="n">
        <v/>
      </c>
      <c r="AR560" t="n">
        <v>38.202594581</v>
      </c>
      <c r="AS560" t="n">
        <v/>
      </c>
      <c r="AT560" t="n">
        <v>31.582564043</v>
      </c>
      <c r="AU560" t="n">
        <v/>
      </c>
    </row>
    <row r="561">
      <c r="A561" s="106" t="n">
        <v>23955</v>
      </c>
      <c r="B561" t="n">
        <v>18.925825429</v>
      </c>
      <c r="C561" t="n">
        <v>33.860452463</v>
      </c>
      <c r="D561" t="n">
        <v/>
      </c>
      <c r="E561" t="n">
        <v>31.672349864</v>
      </c>
      <c r="F561" t="n">
        <v/>
      </c>
      <c r="G561" t="n">
        <v/>
      </c>
      <c r="H561" t="n">
        <v/>
      </c>
      <c r="I561" t="n">
        <v>18.925825429</v>
      </c>
      <c r="J561" t="n">
        <v/>
      </c>
      <c r="K561" t="n">
        <v>38.826805172</v>
      </c>
      <c r="L561" t="n">
        <v/>
      </c>
      <c r="M561" t="n">
        <v/>
      </c>
      <c r="N561" t="n">
        <v>32.895490975</v>
      </c>
      <c r="O561" t="n">
        <v/>
      </c>
      <c r="P561" t="n">
        <v/>
      </c>
      <c r="Q561" t="n">
        <v>22.705395346</v>
      </c>
      <c r="R561" t="n">
        <v>45.942557119</v>
      </c>
      <c r="S561" t="n">
        <v>33.130782391</v>
      </c>
      <c r="T561" t="n">
        <v/>
      </c>
      <c r="U561" t="n">
        <v/>
      </c>
      <c r="V561" t="n">
        <v>36.080853758</v>
      </c>
      <c r="W561" t="n">
        <v/>
      </c>
      <c r="X561" t="n">
        <v/>
      </c>
      <c r="Y561" t="n">
        <v/>
      </c>
      <c r="Z561" t="n">
        <v/>
      </c>
      <c r="AA561" t="n">
        <v/>
      </c>
      <c r="AB561" t="n">
        <v/>
      </c>
      <c r="AC561" t="n">
        <v>48.714044882</v>
      </c>
      <c r="AD561" t="n">
        <v>23.051337511</v>
      </c>
      <c r="AE561" t="n">
        <v/>
      </c>
      <c r="AF561" t="n">
        <v>43.143566167</v>
      </c>
      <c r="AG561" t="n">
        <v/>
      </c>
      <c r="AH561" t="n">
        <v/>
      </c>
      <c r="AI561" t="n">
        <v>32.56751528</v>
      </c>
      <c r="AJ561" t="n">
        <v>29.514492001</v>
      </c>
      <c r="AK561" t="n">
        <v/>
      </c>
      <c r="AL561" t="n">
        <v/>
      </c>
      <c r="AM561" t="n">
        <v/>
      </c>
      <c r="AN561" t="n">
        <v>29.475155383</v>
      </c>
      <c r="AO561" t="n">
        <v/>
      </c>
      <c r="AP561" t="n">
        <v/>
      </c>
      <c r="AQ561" t="n">
        <v/>
      </c>
      <c r="AR561" t="n">
        <v>41.386144129</v>
      </c>
      <c r="AS561" t="n">
        <v/>
      </c>
      <c r="AT561" t="n">
        <v>31.716130487</v>
      </c>
      <c r="AU561" t="n">
        <v/>
      </c>
    </row>
    <row r="562">
      <c r="A562" s="106" t="n">
        <v>23986</v>
      </c>
      <c r="B562" t="n">
        <v>19.158928709</v>
      </c>
      <c r="C562" t="n">
        <v>33.83658923</v>
      </c>
      <c r="D562" t="n">
        <v/>
      </c>
      <c r="E562" t="n">
        <v>32.362646476</v>
      </c>
      <c r="F562" t="n">
        <v/>
      </c>
      <c r="G562" t="n">
        <v/>
      </c>
      <c r="H562" t="n">
        <v/>
      </c>
      <c r="I562" t="n">
        <v>19.158928709</v>
      </c>
      <c r="J562" t="n">
        <v/>
      </c>
      <c r="K562" t="n">
        <v>39.135444322</v>
      </c>
      <c r="L562" t="n">
        <v/>
      </c>
      <c r="M562" t="n">
        <v/>
      </c>
      <c r="N562" t="n">
        <v>32.951273129</v>
      </c>
      <c r="O562" t="n">
        <v/>
      </c>
      <c r="P562" t="n">
        <v/>
      </c>
      <c r="Q562" t="n">
        <v>22.786893534</v>
      </c>
      <c r="R562" t="n">
        <v>46.4300113</v>
      </c>
      <c r="S562" t="n">
        <v>33.323050215</v>
      </c>
      <c r="T562" t="n">
        <v/>
      </c>
      <c r="U562" t="n">
        <v/>
      </c>
      <c r="V562" t="n">
        <v>37.097953195</v>
      </c>
      <c r="W562" t="n">
        <v/>
      </c>
      <c r="X562" t="n">
        <v/>
      </c>
      <c r="Y562" t="n">
        <v/>
      </c>
      <c r="Z562" t="n">
        <v/>
      </c>
      <c r="AA562" t="n">
        <v/>
      </c>
      <c r="AB562" t="n">
        <v/>
      </c>
      <c r="AC562" t="n">
        <v>49.341509158</v>
      </c>
      <c r="AD562" t="n">
        <v>23.13546648</v>
      </c>
      <c r="AE562" t="n">
        <v/>
      </c>
      <c r="AF562" t="n">
        <v>43.551001375</v>
      </c>
      <c r="AG562" t="n">
        <v/>
      </c>
      <c r="AH562" t="n">
        <v/>
      </c>
      <c r="AI562" t="n">
        <v>33.710235114</v>
      </c>
      <c r="AJ562" t="n">
        <v>29.674648159</v>
      </c>
      <c r="AK562" t="n">
        <v/>
      </c>
      <c r="AL562" t="n">
        <v/>
      </c>
      <c r="AM562" t="n">
        <v/>
      </c>
      <c r="AN562" t="n">
        <v>29.762978421</v>
      </c>
      <c r="AO562" t="n">
        <v/>
      </c>
      <c r="AP562" t="n">
        <v/>
      </c>
      <c r="AQ562" t="n">
        <v/>
      </c>
      <c r="AR562" t="n">
        <v>42.295729714</v>
      </c>
      <c r="AS562" t="n">
        <v/>
      </c>
      <c r="AT562" t="n">
        <v>31.796250521</v>
      </c>
      <c r="AU562" t="n">
        <v/>
      </c>
    </row>
    <row r="563">
      <c r="A563" s="106" t="n">
        <v>24016</v>
      </c>
      <c r="B563" t="n">
        <v>19.105702429</v>
      </c>
      <c r="C563" t="n">
        <v>34.482887551</v>
      </c>
      <c r="D563" t="n">
        <v/>
      </c>
      <c r="E563" t="n">
        <v>33.087246459</v>
      </c>
      <c r="F563" t="n">
        <v/>
      </c>
      <c r="G563" t="n">
        <v/>
      </c>
      <c r="H563" t="n">
        <v/>
      </c>
      <c r="I563" t="n">
        <v>19.105702429</v>
      </c>
      <c r="J563" t="n">
        <v/>
      </c>
      <c r="K563" t="n">
        <v>38.950260832</v>
      </c>
      <c r="L563" t="n">
        <v/>
      </c>
      <c r="M563" t="n">
        <v/>
      </c>
      <c r="N563" t="n">
        <v>33.199500806</v>
      </c>
      <c r="O563" t="n">
        <v/>
      </c>
      <c r="P563" t="n">
        <v/>
      </c>
      <c r="Q563" t="n">
        <v>22.193586721</v>
      </c>
      <c r="R563" t="n">
        <v>47.343987901</v>
      </c>
      <c r="S563" t="n">
        <v>33.53704975</v>
      </c>
      <c r="T563" t="n">
        <v/>
      </c>
      <c r="U563" t="n">
        <v/>
      </c>
      <c r="V563" t="n">
        <v>36.87449412</v>
      </c>
      <c r="W563" t="n">
        <v/>
      </c>
      <c r="X563" t="n">
        <v/>
      </c>
      <c r="Y563" t="n">
        <v/>
      </c>
      <c r="Z563" t="n">
        <v/>
      </c>
      <c r="AA563" t="n">
        <v/>
      </c>
      <c r="AB563" t="n">
        <v/>
      </c>
      <c r="AC563" t="n">
        <v>49.550663914</v>
      </c>
      <c r="AD563" t="n">
        <v>23.13546648</v>
      </c>
      <c r="AE563" t="n">
        <v/>
      </c>
      <c r="AF563" t="n">
        <v>43.581735198</v>
      </c>
      <c r="AG563" t="n">
        <v/>
      </c>
      <c r="AH563" t="n">
        <v/>
      </c>
      <c r="AI563" t="n">
        <v>33.995915073</v>
      </c>
      <c r="AJ563" t="n">
        <v>29.148420782</v>
      </c>
      <c r="AK563" t="n">
        <v/>
      </c>
      <c r="AL563" t="n">
        <v/>
      </c>
      <c r="AM563" t="n">
        <v/>
      </c>
      <c r="AN563" t="n">
        <v>29.523779707</v>
      </c>
      <c r="AO563" t="n">
        <v/>
      </c>
      <c r="AP563" t="n">
        <v/>
      </c>
      <c r="AQ563" t="n">
        <v/>
      </c>
      <c r="AR563" t="n">
        <v>41.840936922</v>
      </c>
      <c r="AS563" t="n">
        <v/>
      </c>
      <c r="AT563" t="n">
        <v>32.116928977</v>
      </c>
      <c r="AU563" t="n">
        <v/>
      </c>
    </row>
    <row r="564">
      <c r="A564" s="106" t="n">
        <v>24047</v>
      </c>
      <c r="B564" t="n">
        <v>19.184507183</v>
      </c>
      <c r="C564" t="n">
        <v>34.796211852</v>
      </c>
      <c r="D564" t="n">
        <v/>
      </c>
      <c r="E564" t="n">
        <v>33.239966949</v>
      </c>
      <c r="F564" t="n">
        <v/>
      </c>
      <c r="G564" t="n">
        <v/>
      </c>
      <c r="H564" t="n">
        <v/>
      </c>
      <c r="I564" t="n">
        <v>19.184507183</v>
      </c>
      <c r="J564" t="n">
        <v/>
      </c>
      <c r="K564" t="n">
        <v>38.703349511</v>
      </c>
      <c r="L564" t="n">
        <v/>
      </c>
      <c r="M564" t="n">
        <v/>
      </c>
      <c r="N564" t="n">
        <v>33.842860122</v>
      </c>
      <c r="O564" t="n">
        <v/>
      </c>
      <c r="P564" t="n">
        <v/>
      </c>
      <c r="Q564" t="n">
        <v>22.398962156</v>
      </c>
      <c r="R564" t="n">
        <v>47.343987901</v>
      </c>
      <c r="S564" t="n">
        <v>33.756582958</v>
      </c>
      <c r="T564" t="n">
        <v/>
      </c>
      <c r="U564" t="n">
        <v/>
      </c>
      <c r="V564" t="n">
        <v>37.630194848</v>
      </c>
      <c r="W564" t="n">
        <v/>
      </c>
      <c r="X564" t="n">
        <v/>
      </c>
      <c r="Y564" t="n">
        <v/>
      </c>
      <c r="Z564" t="n">
        <v/>
      </c>
      <c r="AA564" t="n">
        <v/>
      </c>
      <c r="AB564" t="n">
        <v/>
      </c>
      <c r="AC564" t="n">
        <v>50.824606542</v>
      </c>
      <c r="AD564" t="n">
        <v>23.556111325</v>
      </c>
      <c r="AE564" t="n">
        <v/>
      </c>
      <c r="AF564" t="n">
        <v>44.649209734</v>
      </c>
      <c r="AG564" t="n">
        <v/>
      </c>
      <c r="AH564" t="n">
        <v/>
      </c>
      <c r="AI564" t="n">
        <v>33.995915073</v>
      </c>
      <c r="AJ564" t="n">
        <v>29.583130355</v>
      </c>
      <c r="AK564" t="n">
        <v/>
      </c>
      <c r="AL564" t="n">
        <v/>
      </c>
      <c r="AM564" t="n">
        <v/>
      </c>
      <c r="AN564" t="n">
        <v>29.885453001</v>
      </c>
      <c r="AO564" t="n">
        <v/>
      </c>
      <c r="AP564" t="n">
        <v/>
      </c>
      <c r="AQ564" t="n">
        <v/>
      </c>
      <c r="AR564" t="n">
        <v>41.840936922</v>
      </c>
      <c r="AS564" t="n">
        <v/>
      </c>
      <c r="AT564" t="n">
        <v>32.25049542</v>
      </c>
      <c r="AU564" t="n">
        <v/>
      </c>
    </row>
    <row r="565">
      <c r="A565" s="106" t="n">
        <v>24077</v>
      </c>
      <c r="B565" t="n">
        <v>18.297731318</v>
      </c>
      <c r="C565" t="n">
        <v>35.328008986</v>
      </c>
      <c r="D565" t="n">
        <v/>
      </c>
      <c r="E565" t="n">
        <v>33.736660971</v>
      </c>
      <c r="F565" t="n">
        <v/>
      </c>
      <c r="G565" t="n">
        <v/>
      </c>
      <c r="H565" t="n">
        <v/>
      </c>
      <c r="I565" t="n">
        <v>18.297731318</v>
      </c>
      <c r="J565" t="n">
        <v/>
      </c>
      <c r="K565" t="n">
        <v>39.629266964</v>
      </c>
      <c r="L565" t="n">
        <v/>
      </c>
      <c r="M565" t="n">
        <v/>
      </c>
      <c r="N565" t="n">
        <v>34.202178729</v>
      </c>
      <c r="O565" t="n">
        <v/>
      </c>
      <c r="P565" t="n">
        <v/>
      </c>
      <c r="Q565" t="n">
        <v>22.428301504</v>
      </c>
      <c r="R565" t="n">
        <v>47.526783221</v>
      </c>
      <c r="S565" t="n">
        <v>34.09700454</v>
      </c>
      <c r="T565" t="n">
        <v/>
      </c>
      <c r="U565" t="n">
        <v/>
      </c>
      <c r="V565" t="n">
        <v>37.536562711</v>
      </c>
      <c r="W565" t="n">
        <v/>
      </c>
      <c r="X565" t="n">
        <v/>
      </c>
      <c r="Y565" t="n">
        <v/>
      </c>
      <c r="Z565" t="n">
        <v/>
      </c>
      <c r="AA565" t="n">
        <v/>
      </c>
      <c r="AB565" t="n">
        <v/>
      </c>
      <c r="AC565" t="n">
        <v>50.63446585</v>
      </c>
      <c r="AD565" t="n">
        <v>23.556111325</v>
      </c>
      <c r="AE565" t="n">
        <v/>
      </c>
      <c r="AF565" t="n">
        <v>43.536705101</v>
      </c>
      <c r="AG565" t="n">
        <v/>
      </c>
      <c r="AH565" t="n">
        <v/>
      </c>
      <c r="AI565" t="n">
        <v>33.995915073</v>
      </c>
      <c r="AJ565" t="n">
        <v>29.514492001</v>
      </c>
      <c r="AK565" t="n">
        <v/>
      </c>
      <c r="AL565" t="n">
        <v/>
      </c>
      <c r="AM565" t="n">
        <v/>
      </c>
      <c r="AN565" t="n">
        <v>31.933170702</v>
      </c>
      <c r="AO565" t="n">
        <v/>
      </c>
      <c r="AP565" t="n">
        <v/>
      </c>
      <c r="AQ565" t="n">
        <v/>
      </c>
      <c r="AR565" t="n">
        <v>41.386144129</v>
      </c>
      <c r="AS565" t="n">
        <v/>
      </c>
      <c r="AT565" t="n">
        <v>32.65129391</v>
      </c>
      <c r="AU565" t="n">
        <v/>
      </c>
    </row>
    <row r="566">
      <c r="A566" s="106" t="n">
        <v>24108</v>
      </c>
      <c r="B566" t="n">
        <v>19.353514067</v>
      </c>
      <c r="C566" t="n">
        <v>34.340132339</v>
      </c>
      <c r="D566" t="n">
        <v/>
      </c>
      <c r="E566" t="n">
        <v>33.715984966</v>
      </c>
      <c r="F566" t="n">
        <v/>
      </c>
      <c r="G566" t="n">
        <v/>
      </c>
      <c r="H566" t="n">
        <v/>
      </c>
      <c r="I566" t="n">
        <v>19.353514067</v>
      </c>
      <c r="J566" t="n">
        <v/>
      </c>
      <c r="K566" t="n">
        <v>39.320627813</v>
      </c>
      <c r="L566" t="n">
        <v/>
      </c>
      <c r="M566" t="n">
        <v/>
      </c>
      <c r="N566" t="n">
        <v>34.701271522</v>
      </c>
      <c r="O566" t="n">
        <v/>
      </c>
      <c r="P566" t="n">
        <v/>
      </c>
      <c r="Q566" t="n">
        <v>22.183806939</v>
      </c>
      <c r="R566" t="n">
        <v>46.79560194</v>
      </c>
      <c r="S566" t="n">
        <v>34.324375658</v>
      </c>
      <c r="T566" t="n">
        <v/>
      </c>
      <c r="U566" t="n">
        <v/>
      </c>
      <c r="V566" t="n">
        <v>38.794345111</v>
      </c>
      <c r="W566" t="n">
        <v/>
      </c>
      <c r="X566" t="n">
        <v/>
      </c>
      <c r="Y566" t="n">
        <v/>
      </c>
      <c r="Z566" t="n">
        <v/>
      </c>
      <c r="AA566" t="n">
        <v/>
      </c>
      <c r="AB566" t="n">
        <v/>
      </c>
      <c r="AC566" t="n">
        <v>51.801364542</v>
      </c>
      <c r="AD566" t="n">
        <v>23.892627201</v>
      </c>
      <c r="AE566" t="n">
        <v/>
      </c>
      <c r="AF566" t="n">
        <v>43.301579099</v>
      </c>
      <c r="AG566" t="n">
        <v/>
      </c>
      <c r="AH566" t="n">
        <v/>
      </c>
      <c r="AI566" t="n">
        <v>33.995915073</v>
      </c>
      <c r="AJ566" t="n">
        <v>29.468733099</v>
      </c>
      <c r="AK566" t="n">
        <v/>
      </c>
      <c r="AL566" t="n">
        <v/>
      </c>
      <c r="AM566" t="n">
        <v/>
      </c>
      <c r="AN566" t="n">
        <v>31.089563477</v>
      </c>
      <c r="AO566" t="n">
        <v/>
      </c>
      <c r="AP566" t="n">
        <v/>
      </c>
      <c r="AQ566" t="n">
        <v/>
      </c>
      <c r="AR566" t="n">
        <v>42.295729714</v>
      </c>
      <c r="AS566" t="n">
        <v/>
      </c>
      <c r="AT566" t="n">
        <v>32.971972366</v>
      </c>
      <c r="AU566" t="n">
        <v/>
      </c>
    </row>
    <row r="567">
      <c r="A567" s="106" t="n">
        <v>24139</v>
      </c>
      <c r="B567" t="n">
        <v>19.385313652</v>
      </c>
      <c r="C567" t="n">
        <v>34.78653373</v>
      </c>
      <c r="D567" t="n">
        <v/>
      </c>
      <c r="E567" t="n">
        <v>33.895960189</v>
      </c>
      <c r="F567" t="n">
        <v/>
      </c>
      <c r="G567" t="n">
        <v/>
      </c>
      <c r="H567" t="n">
        <v/>
      </c>
      <c r="I567" t="n">
        <v>19.385313652</v>
      </c>
      <c r="J567" t="n">
        <v/>
      </c>
      <c r="K567" t="n">
        <v>39.382355643</v>
      </c>
      <c r="L567" t="n">
        <v/>
      </c>
      <c r="M567" t="n">
        <v/>
      </c>
      <c r="N567" t="n">
        <v>34.81109686</v>
      </c>
      <c r="O567" t="n">
        <v/>
      </c>
      <c r="P567" t="n">
        <v/>
      </c>
      <c r="Q567" t="n">
        <v>22.610857447</v>
      </c>
      <c r="R567" t="n">
        <v>47.892373861</v>
      </c>
      <c r="S567" t="n">
        <v>34.508772545</v>
      </c>
      <c r="T567" t="n">
        <v/>
      </c>
      <c r="U567" t="n">
        <v/>
      </c>
      <c r="V567" t="n">
        <v>39.795288661</v>
      </c>
      <c r="W567" t="n">
        <v/>
      </c>
      <c r="X567" t="n">
        <v/>
      </c>
      <c r="Y567" t="n">
        <v/>
      </c>
      <c r="Z567" t="n">
        <v/>
      </c>
      <c r="AA567" t="n">
        <v/>
      </c>
      <c r="AB567" t="n">
        <v/>
      </c>
      <c r="AC567" t="n">
        <v>51.596616065</v>
      </c>
      <c r="AD567" t="n">
        <v>23.97675617</v>
      </c>
      <c r="AE567" t="n">
        <v/>
      </c>
      <c r="AF567" t="n">
        <v>42.911423463</v>
      </c>
      <c r="AG567" t="n">
        <v/>
      </c>
      <c r="AH567" t="n">
        <v/>
      </c>
      <c r="AI567" t="n">
        <v>33.995915073</v>
      </c>
      <c r="AJ567" t="n">
        <v>28.988264624</v>
      </c>
      <c r="AK567" t="n">
        <v/>
      </c>
      <c r="AL567" t="n">
        <v/>
      </c>
      <c r="AM567" t="n">
        <v/>
      </c>
      <c r="AN567" t="n">
        <v>31.030104748</v>
      </c>
      <c r="AO567" t="n">
        <v/>
      </c>
      <c r="AP567" t="n">
        <v/>
      </c>
      <c r="AQ567" t="n">
        <v/>
      </c>
      <c r="AR567" t="n">
        <v>41.386144129</v>
      </c>
      <c r="AS567" t="n">
        <v/>
      </c>
      <c r="AT567" t="n">
        <v>33.185758003</v>
      </c>
      <c r="AU567" t="n">
        <v/>
      </c>
    </row>
    <row r="568">
      <c r="A568" s="106" t="n">
        <v>24167</v>
      </c>
      <c r="B568" t="n">
        <v>19.485704211</v>
      </c>
      <c r="C568" t="n">
        <v>34.779174171</v>
      </c>
      <c r="D568" t="n">
        <v/>
      </c>
      <c r="E568" t="n">
        <v>33.791170438</v>
      </c>
      <c r="F568" t="n">
        <v/>
      </c>
      <c r="G568" t="n">
        <v/>
      </c>
      <c r="H568" t="n">
        <v/>
      </c>
      <c r="I568" t="n">
        <v>19.485704211</v>
      </c>
      <c r="J568" t="n">
        <v/>
      </c>
      <c r="K568" t="n">
        <v>40.184817435</v>
      </c>
      <c r="L568" t="n">
        <v/>
      </c>
      <c r="M568" t="n">
        <v/>
      </c>
      <c r="N568" t="n">
        <v>36.627871533</v>
      </c>
      <c r="O568" t="n">
        <v/>
      </c>
      <c r="P568" t="n">
        <v/>
      </c>
      <c r="Q568" t="n">
        <v>22.83253252</v>
      </c>
      <c r="R568" t="n">
        <v>48.136100961</v>
      </c>
      <c r="S568" t="n">
        <v>35.107435791</v>
      </c>
      <c r="T568" t="n">
        <v/>
      </c>
      <c r="U568" t="n">
        <v/>
      </c>
      <c r="V568" t="n">
        <v>40.222933218</v>
      </c>
      <c r="W568" t="n">
        <v/>
      </c>
      <c r="X568" t="n">
        <v/>
      </c>
      <c r="Y568" t="n">
        <v/>
      </c>
      <c r="Z568" t="n">
        <v/>
      </c>
      <c r="AA568" t="n">
        <v/>
      </c>
      <c r="AB568" t="n">
        <v/>
      </c>
      <c r="AC568" t="n">
        <v>52.961605899</v>
      </c>
      <c r="AD568" t="n">
        <v>24.649787922</v>
      </c>
      <c r="AE568" t="n">
        <v/>
      </c>
      <c r="AF568" t="n">
        <v>41.390509373</v>
      </c>
      <c r="AG568" t="n">
        <v/>
      </c>
      <c r="AH568" t="n">
        <v/>
      </c>
      <c r="AI568" t="n">
        <v>34.852954949</v>
      </c>
      <c r="AJ568" t="n">
        <v>29.88056322</v>
      </c>
      <c r="AK568" t="n">
        <v/>
      </c>
      <c r="AL568" t="n">
        <v/>
      </c>
      <c r="AM568" t="n">
        <v/>
      </c>
      <c r="AN568" t="n">
        <v>32.792836816</v>
      </c>
      <c r="AO568" t="n">
        <v/>
      </c>
      <c r="AP568" t="n">
        <v/>
      </c>
      <c r="AQ568" t="n">
        <v/>
      </c>
      <c r="AR568" t="n">
        <v>42.750522507</v>
      </c>
      <c r="AS568" t="n">
        <v/>
      </c>
      <c r="AT568" t="n">
        <v>33.639903744</v>
      </c>
      <c r="AU568" t="n">
        <v/>
      </c>
    </row>
    <row r="569">
      <c r="A569" s="106" t="n">
        <v>24198</v>
      </c>
      <c r="B569" t="n">
        <v>19.536721319</v>
      </c>
      <c r="C569" t="n">
        <v>34.945087354</v>
      </c>
      <c r="D569" t="n">
        <v/>
      </c>
      <c r="E569" t="n">
        <v>34.007798578</v>
      </c>
      <c r="F569" t="n">
        <v/>
      </c>
      <c r="G569" t="n">
        <v/>
      </c>
      <c r="H569" t="n">
        <v/>
      </c>
      <c r="I569" t="n">
        <v>19.536721319</v>
      </c>
      <c r="J569" t="n">
        <v/>
      </c>
      <c r="K569" t="n">
        <v>39.505811303</v>
      </c>
      <c r="L569" t="n">
        <v/>
      </c>
      <c r="M569" t="n">
        <v/>
      </c>
      <c r="N569" t="n">
        <v>35.773759247</v>
      </c>
      <c r="O569" t="n">
        <v/>
      </c>
      <c r="P569" t="n">
        <v/>
      </c>
      <c r="Q569" t="n">
        <v>22.982489187</v>
      </c>
      <c r="R569" t="n">
        <v>47.709578541</v>
      </c>
      <c r="S569" t="n">
        <v>35.095120462</v>
      </c>
      <c r="T569" t="n">
        <v/>
      </c>
      <c r="U569" t="n">
        <v/>
      </c>
      <c r="V569" t="n">
        <v>41.312668214</v>
      </c>
      <c r="W569" t="n">
        <v/>
      </c>
      <c r="X569" t="n">
        <v/>
      </c>
      <c r="Y569" t="n">
        <v/>
      </c>
      <c r="Z569" t="n">
        <v/>
      </c>
      <c r="AA569" t="n">
        <v/>
      </c>
      <c r="AB569" t="n">
        <v/>
      </c>
      <c r="AC569" t="n">
        <v>51.801364542</v>
      </c>
      <c r="AD569" t="n">
        <v>25.154561736</v>
      </c>
      <c r="AE569" t="n">
        <v/>
      </c>
      <c r="AF569" t="n">
        <v>41.48118779</v>
      </c>
      <c r="AG569" t="n">
        <v/>
      </c>
      <c r="AH569" t="n">
        <v/>
      </c>
      <c r="AI569" t="n">
        <v>35.138634907</v>
      </c>
      <c r="AJ569" t="n">
        <v>29.217059136</v>
      </c>
      <c r="AK569" t="n">
        <v/>
      </c>
      <c r="AL569" t="n">
        <v/>
      </c>
      <c r="AM569" t="n">
        <v/>
      </c>
      <c r="AN569" t="n">
        <v>32.842595646</v>
      </c>
      <c r="AO569" t="n">
        <v/>
      </c>
      <c r="AP569" t="n">
        <v/>
      </c>
      <c r="AQ569" t="n">
        <v/>
      </c>
      <c r="AR569" t="n">
        <v>41.386144129</v>
      </c>
      <c r="AS569" t="n">
        <v/>
      </c>
      <c r="AT569" t="n">
        <v>33.693350153</v>
      </c>
      <c r="AU569" t="n">
        <v/>
      </c>
    </row>
    <row r="570">
      <c r="A570" s="106" t="n">
        <v>24228</v>
      </c>
      <c r="B570" t="n">
        <v>19.472939485</v>
      </c>
      <c r="C570" t="n">
        <v>34.58400016</v>
      </c>
      <c r="D570" t="n">
        <v/>
      </c>
      <c r="E570" t="n">
        <v>34.020956036</v>
      </c>
      <c r="F570" t="n">
        <v/>
      </c>
      <c r="G570" t="n">
        <v/>
      </c>
      <c r="H570" t="n">
        <v/>
      </c>
      <c r="I570" t="n">
        <v>19.472939485</v>
      </c>
      <c r="J570" t="n">
        <v/>
      </c>
      <c r="K570" t="n">
        <v>39.320627813</v>
      </c>
      <c r="L570" t="n">
        <v/>
      </c>
      <c r="M570" t="n">
        <v/>
      </c>
      <c r="N570" t="n">
        <v>36.12723299</v>
      </c>
      <c r="O570" t="n">
        <v/>
      </c>
      <c r="P570" t="n">
        <v/>
      </c>
      <c r="Q570" t="n">
        <v>23.20416426</v>
      </c>
      <c r="R570" t="n">
        <v>48.440759822</v>
      </c>
      <c r="S570" t="n">
        <v>35.431145641</v>
      </c>
      <c r="T570" t="n">
        <v/>
      </c>
      <c r="U570" t="n">
        <v/>
      </c>
      <c r="V570" t="n">
        <v>44.592934631</v>
      </c>
      <c r="W570" t="n">
        <v/>
      </c>
      <c r="X570" t="n">
        <v/>
      </c>
      <c r="Y570" t="n">
        <v/>
      </c>
      <c r="Z570" t="n">
        <v/>
      </c>
      <c r="AA570" t="n">
        <v/>
      </c>
      <c r="AB570" t="n">
        <v/>
      </c>
      <c r="AC570" t="n">
        <v>53.780599804</v>
      </c>
      <c r="AD570" t="n">
        <v>25.406948643</v>
      </c>
      <c r="AE570" t="n">
        <v/>
      </c>
      <c r="AF570" t="n">
        <v>41.974436162</v>
      </c>
      <c r="AG570" t="n">
        <v/>
      </c>
      <c r="AH570" t="n">
        <v/>
      </c>
      <c r="AI570" t="n">
        <v>34.852954949</v>
      </c>
      <c r="AJ570" t="n">
        <v>29.766165964</v>
      </c>
      <c r="AK570" t="n">
        <v/>
      </c>
      <c r="AL570" t="n">
        <v/>
      </c>
      <c r="AM570" t="n">
        <v/>
      </c>
      <c r="AN570" t="n">
        <v>32.314491239</v>
      </c>
      <c r="AO570" t="n">
        <v/>
      </c>
      <c r="AP570" t="n">
        <v/>
      </c>
      <c r="AQ570" t="n">
        <v/>
      </c>
      <c r="AR570" t="n">
        <v>41.840936922</v>
      </c>
      <c r="AS570" t="n">
        <v/>
      </c>
      <c r="AT570" t="n">
        <v>34.014028608</v>
      </c>
      <c r="AU570" t="n">
        <v/>
      </c>
    </row>
    <row r="571">
      <c r="A571" s="106" t="n">
        <v>24259</v>
      </c>
      <c r="B571" t="n">
        <v>19.529328306</v>
      </c>
      <c r="C571" t="n">
        <v>34.96195434</v>
      </c>
      <c r="D571" t="n">
        <v/>
      </c>
      <c r="E571" t="n">
        <v>34.046801042</v>
      </c>
      <c r="F571" t="n">
        <v/>
      </c>
      <c r="G571" t="n">
        <v/>
      </c>
      <c r="H571" t="n">
        <v/>
      </c>
      <c r="I571" t="n">
        <v>19.529328306</v>
      </c>
      <c r="J571" t="n">
        <v/>
      </c>
      <c r="K571" t="n">
        <v>39.814450454</v>
      </c>
      <c r="L571" t="n">
        <v/>
      </c>
      <c r="M571" t="n">
        <v/>
      </c>
      <c r="N571" t="n">
        <v>36.330131636</v>
      </c>
      <c r="O571" t="n">
        <v/>
      </c>
      <c r="P571" t="n">
        <v/>
      </c>
      <c r="Q571" t="n">
        <v>23.438879043</v>
      </c>
      <c r="R571" t="n">
        <v>49.111009332</v>
      </c>
      <c r="S571" t="n">
        <v>35.742088521</v>
      </c>
      <c r="T571" t="n">
        <v/>
      </c>
      <c r="U571" t="n">
        <v/>
      </c>
      <c r="V571" t="n">
        <v>42.904527911</v>
      </c>
      <c r="W571" t="n">
        <v/>
      </c>
      <c r="X571" t="n">
        <v/>
      </c>
      <c r="Y571" t="n">
        <v/>
      </c>
      <c r="Z571" t="n">
        <v/>
      </c>
      <c r="AA571" t="n">
        <v/>
      </c>
      <c r="AB571" t="n">
        <v/>
      </c>
      <c r="AC571" t="n">
        <v>53.985348291</v>
      </c>
      <c r="AD571" t="n">
        <v>25.827593489</v>
      </c>
      <c r="AE571" t="n">
        <v/>
      </c>
      <c r="AF571" t="n">
        <v>42.19218422</v>
      </c>
      <c r="AG571" t="n">
        <v/>
      </c>
      <c r="AH571" t="n">
        <v/>
      </c>
      <c r="AI571" t="n">
        <v>34.852954949</v>
      </c>
      <c r="AJ571" t="n">
        <v>31.047415229</v>
      </c>
      <c r="AK571" t="n">
        <v/>
      </c>
      <c r="AL571" t="n">
        <v/>
      </c>
      <c r="AM571" t="n">
        <v/>
      </c>
      <c r="AN571" t="n">
        <v>30.867310312</v>
      </c>
      <c r="AO571" t="n">
        <v/>
      </c>
      <c r="AP571" t="n">
        <v/>
      </c>
      <c r="AQ571" t="n">
        <v/>
      </c>
      <c r="AR571" t="n">
        <v>42.750522507</v>
      </c>
      <c r="AS571" t="n">
        <v/>
      </c>
      <c r="AT571" t="n">
        <v>34.174268677</v>
      </c>
      <c r="AU571" t="n">
        <v/>
      </c>
    </row>
    <row r="572">
      <c r="A572" s="106" t="n">
        <v>24289</v>
      </c>
      <c r="B572" t="n">
        <v>19.713157317</v>
      </c>
      <c r="C572" t="n">
        <v>34.899732469</v>
      </c>
      <c r="D572" t="n">
        <v/>
      </c>
      <c r="E572" t="n">
        <v>33.902069009</v>
      </c>
      <c r="F572" t="n">
        <v/>
      </c>
      <c r="G572" t="n">
        <v/>
      </c>
      <c r="H572" t="n">
        <v/>
      </c>
      <c r="I572" t="n">
        <v>19.713157317</v>
      </c>
      <c r="J572" t="n">
        <v/>
      </c>
      <c r="K572" t="n">
        <v>39.382355643</v>
      </c>
      <c r="L572" t="n">
        <v/>
      </c>
      <c r="M572" t="n">
        <v/>
      </c>
      <c r="N572" t="n">
        <v>36.059249094</v>
      </c>
      <c r="O572" t="n">
        <v/>
      </c>
      <c r="P572" t="n">
        <v/>
      </c>
      <c r="Q572" t="n">
        <v>23.109626361</v>
      </c>
      <c r="R572" t="n">
        <v>49.415668202</v>
      </c>
      <c r="S572" t="n">
        <v>35.916823801</v>
      </c>
      <c r="T572" t="n">
        <v/>
      </c>
      <c r="U572" t="n">
        <v/>
      </c>
      <c r="V572" t="n">
        <v>42.825902075</v>
      </c>
      <c r="W572" t="n">
        <v/>
      </c>
      <c r="X572" t="n">
        <v/>
      </c>
      <c r="Y572" t="n">
        <v/>
      </c>
      <c r="Z572" t="n">
        <v/>
      </c>
      <c r="AA572" t="n">
        <v/>
      </c>
      <c r="AB572" t="n">
        <v/>
      </c>
      <c r="AC572" t="n">
        <v>54.463094731</v>
      </c>
      <c r="AD572" t="n">
        <v>26.248238334</v>
      </c>
      <c r="AE572" t="n">
        <v/>
      </c>
      <c r="AF572" t="n">
        <v>41.942004035</v>
      </c>
      <c r="AG572" t="n">
        <v/>
      </c>
      <c r="AH572" t="n">
        <v/>
      </c>
      <c r="AI572" t="n">
        <v>34.56727499</v>
      </c>
      <c r="AJ572" t="n">
        <v>29.88056322</v>
      </c>
      <c r="AK572" t="n">
        <v/>
      </c>
      <c r="AL572" t="n">
        <v/>
      </c>
      <c r="AM572" t="n">
        <v/>
      </c>
      <c r="AN572" t="n">
        <v>30.947046522</v>
      </c>
      <c r="AO572" t="n">
        <v/>
      </c>
      <c r="AP572" t="n">
        <v/>
      </c>
      <c r="AQ572" t="n">
        <v/>
      </c>
      <c r="AR572" t="n">
        <v>39.112180166</v>
      </c>
      <c r="AS572" t="n">
        <v/>
      </c>
      <c r="AT572" t="n">
        <v>34.361380689</v>
      </c>
      <c r="AU572" t="n">
        <v/>
      </c>
    </row>
    <row r="573">
      <c r="A573" s="106" t="n">
        <v>24320</v>
      </c>
      <c r="B573" t="n">
        <v>19.052475523</v>
      </c>
      <c r="C573" t="n">
        <v>35.078832532</v>
      </c>
      <c r="D573" t="n">
        <v/>
      </c>
      <c r="E573" t="n">
        <v>33.358384067</v>
      </c>
      <c r="F573" t="n">
        <v/>
      </c>
      <c r="G573" t="n">
        <v/>
      </c>
      <c r="H573" t="n">
        <v/>
      </c>
      <c r="I573" t="n">
        <v>19.052475523</v>
      </c>
      <c r="J573" t="n">
        <v/>
      </c>
      <c r="K573" t="n">
        <v>38.888533002</v>
      </c>
      <c r="L573" t="n">
        <v/>
      </c>
      <c r="M573" t="n">
        <v/>
      </c>
      <c r="N573" t="n">
        <v>37.575260003</v>
      </c>
      <c r="O573" t="n">
        <v/>
      </c>
      <c r="P573" t="n">
        <v/>
      </c>
      <c r="Q573" t="n">
        <v>23.226983753</v>
      </c>
      <c r="R573" t="n">
        <v>49.415668202</v>
      </c>
      <c r="S573" t="n">
        <v>36.027728673</v>
      </c>
      <c r="T573" t="n">
        <v/>
      </c>
      <c r="U573" t="n">
        <v/>
      </c>
      <c r="V573" t="n">
        <v>42.404540268</v>
      </c>
      <c r="W573" t="n">
        <v/>
      </c>
      <c r="X573" t="n">
        <v/>
      </c>
      <c r="Y573" t="n">
        <v/>
      </c>
      <c r="Z573" t="n">
        <v/>
      </c>
      <c r="AA573" t="n">
        <v/>
      </c>
      <c r="AB573" t="n">
        <v/>
      </c>
      <c r="AC573" t="n">
        <v>55.896334064</v>
      </c>
      <c r="AD573" t="n">
        <v>26.668883179</v>
      </c>
      <c r="AE573" t="n">
        <v/>
      </c>
      <c r="AF573" t="n">
        <v>42.050893719</v>
      </c>
      <c r="AG573" t="n">
        <v/>
      </c>
      <c r="AH573" t="n">
        <v/>
      </c>
      <c r="AI573" t="n">
        <v>35.424314866</v>
      </c>
      <c r="AJ573" t="n">
        <v>30.08647828</v>
      </c>
      <c r="AK573" t="n">
        <v/>
      </c>
      <c r="AL573" t="n">
        <v/>
      </c>
      <c r="AM573" t="n">
        <v/>
      </c>
      <c r="AN573" t="n">
        <v>31.736387174</v>
      </c>
      <c r="AO573" t="n">
        <v/>
      </c>
      <c r="AP573" t="n">
        <v/>
      </c>
      <c r="AQ573" t="n">
        <v/>
      </c>
      <c r="AR573" t="n">
        <v>41.840936922</v>
      </c>
      <c r="AS573" t="n">
        <v/>
      </c>
      <c r="AT573" t="n">
        <v>34.388054314</v>
      </c>
      <c r="AU573" t="n">
        <v/>
      </c>
    </row>
    <row r="574">
      <c r="A574" s="106" t="n">
        <v>24351</v>
      </c>
      <c r="B574" t="n">
        <v>19.608544651</v>
      </c>
      <c r="C574" t="n">
        <v>35.286098399</v>
      </c>
      <c r="D574" t="n">
        <v/>
      </c>
      <c r="E574" t="n">
        <v>34.21220908</v>
      </c>
      <c r="F574" t="n">
        <v/>
      </c>
      <c r="G574" t="n">
        <v/>
      </c>
      <c r="H574" t="n">
        <v/>
      </c>
      <c r="I574" t="n">
        <v>19.608544651</v>
      </c>
      <c r="J574" t="n">
        <v/>
      </c>
      <c r="K574" t="n">
        <v>39.135444322</v>
      </c>
      <c r="L574" t="n">
        <v/>
      </c>
      <c r="M574" t="n">
        <v/>
      </c>
      <c r="N574" t="n">
        <v>38.219517786</v>
      </c>
      <c r="O574" t="n">
        <v/>
      </c>
      <c r="P574" t="n">
        <v/>
      </c>
      <c r="Q574" t="n">
        <v>23.843110059</v>
      </c>
      <c r="R574" t="n">
        <v>49.537531743</v>
      </c>
      <c r="S574" t="n">
        <v>36.37744029</v>
      </c>
      <c r="T574" t="n">
        <v/>
      </c>
      <c r="U574" t="n">
        <v/>
      </c>
      <c r="V574" t="n">
        <v>42.717707751</v>
      </c>
      <c r="W574" t="n">
        <v/>
      </c>
      <c r="X574" t="n">
        <v/>
      </c>
      <c r="Y574" t="n">
        <v/>
      </c>
      <c r="Z574" t="n">
        <v/>
      </c>
      <c r="AA574" t="n">
        <v/>
      </c>
      <c r="AB574" t="n">
        <v/>
      </c>
      <c r="AC574" t="n">
        <v>56.032833052</v>
      </c>
      <c r="AD574" t="n">
        <v>27.089528024</v>
      </c>
      <c r="AE574" t="n">
        <v/>
      </c>
      <c r="AF574" t="n">
        <v>42.190895664</v>
      </c>
      <c r="AG574" t="n">
        <v/>
      </c>
      <c r="AH574" t="n">
        <v/>
      </c>
      <c r="AI574" t="n">
        <v>35.424314866</v>
      </c>
      <c r="AJ574" t="n">
        <v>31.230450838</v>
      </c>
      <c r="AK574" t="n">
        <v/>
      </c>
      <c r="AL574" t="n">
        <v/>
      </c>
      <c r="AM574" t="n">
        <v/>
      </c>
      <c r="AN574" t="n">
        <v>29.997437827</v>
      </c>
      <c r="AO574" t="n">
        <v/>
      </c>
      <c r="AP574" t="n">
        <v/>
      </c>
      <c r="AQ574" t="n">
        <v/>
      </c>
      <c r="AR574" t="n">
        <v>43.660108092</v>
      </c>
      <c r="AS574" t="n">
        <v/>
      </c>
      <c r="AT574" t="n">
        <v>34.70873277</v>
      </c>
      <c r="AU574" t="n">
        <v/>
      </c>
    </row>
    <row r="575">
      <c r="A575" s="106" t="n">
        <v>24381</v>
      </c>
      <c r="B575" t="n">
        <v>20.076418726</v>
      </c>
      <c r="C575" t="n">
        <v>34.817049586</v>
      </c>
      <c r="D575" t="n">
        <v/>
      </c>
      <c r="E575" t="n">
        <v>34.597534622</v>
      </c>
      <c r="F575" t="n">
        <v/>
      </c>
      <c r="G575" t="n">
        <v/>
      </c>
      <c r="H575" t="n">
        <v/>
      </c>
      <c r="I575" t="n">
        <v>20.076418726</v>
      </c>
      <c r="J575" t="n">
        <v/>
      </c>
      <c r="K575" t="n">
        <v>38.641621681</v>
      </c>
      <c r="L575" t="n">
        <v/>
      </c>
      <c r="M575" t="n">
        <v/>
      </c>
      <c r="N575" t="n">
        <v>38.377406203</v>
      </c>
      <c r="O575" t="n">
        <v/>
      </c>
      <c r="P575" t="n">
        <v/>
      </c>
      <c r="Q575" t="n">
        <v>24.328839263</v>
      </c>
      <c r="R575" t="n">
        <v>48.928214012</v>
      </c>
      <c r="S575" t="n">
        <v>36.50628342</v>
      </c>
      <c r="T575" t="n">
        <v/>
      </c>
      <c r="U575" t="n">
        <v/>
      </c>
      <c r="V575" t="n">
        <v>43.027883222</v>
      </c>
      <c r="W575" t="n">
        <v/>
      </c>
      <c r="X575" t="n">
        <v/>
      </c>
      <c r="Y575" t="n">
        <v/>
      </c>
      <c r="Z575" t="n">
        <v/>
      </c>
      <c r="AA575" t="n">
        <v/>
      </c>
      <c r="AB575" t="n">
        <v/>
      </c>
      <c r="AC575" t="n">
        <v>55.418587624</v>
      </c>
      <c r="AD575" t="n">
        <v>27.594301838</v>
      </c>
      <c r="AE575" t="n">
        <v/>
      </c>
      <c r="AF575" t="n">
        <v>42.501144407</v>
      </c>
      <c r="AG575" t="n">
        <v/>
      </c>
      <c r="AH575" t="n">
        <v/>
      </c>
      <c r="AI575" t="n">
        <v>35.709994824</v>
      </c>
      <c r="AJ575" t="n">
        <v>30.47542895</v>
      </c>
      <c r="AK575" t="n">
        <v/>
      </c>
      <c r="AL575" t="n">
        <v/>
      </c>
      <c r="AM575" t="n">
        <v/>
      </c>
      <c r="AN575" t="n">
        <v>29.979929253</v>
      </c>
      <c r="AO575" t="n">
        <v/>
      </c>
      <c r="AP575" t="n">
        <v/>
      </c>
      <c r="AQ575" t="n">
        <v/>
      </c>
      <c r="AR575" t="n">
        <v>43.205315299</v>
      </c>
      <c r="AS575" t="n">
        <v/>
      </c>
      <c r="AT575" t="n">
        <v>34.949192032</v>
      </c>
      <c r="AU575" t="n">
        <v/>
      </c>
    </row>
    <row r="576">
      <c r="A576" s="106" t="n">
        <v>24412</v>
      </c>
      <c r="B576" t="n">
        <v>19.742945923</v>
      </c>
      <c r="C576" t="n">
        <v>35.034699761</v>
      </c>
      <c r="D576" t="n">
        <v/>
      </c>
      <c r="E576" t="n">
        <v>34.454212317</v>
      </c>
      <c r="F576" t="n">
        <v/>
      </c>
      <c r="G576" t="n">
        <v/>
      </c>
      <c r="H576" t="n">
        <v/>
      </c>
      <c r="I576" t="n">
        <v>19.742945923</v>
      </c>
      <c r="J576" t="n">
        <v/>
      </c>
      <c r="K576" t="n">
        <v>38.14779904</v>
      </c>
      <c r="L576" t="n">
        <v/>
      </c>
      <c r="M576" t="n">
        <v/>
      </c>
      <c r="N576" t="n">
        <v>37.98638046</v>
      </c>
      <c r="O576" t="n">
        <v/>
      </c>
      <c r="P576" t="n">
        <v/>
      </c>
      <c r="Q576" t="n">
        <v>24.29298006</v>
      </c>
      <c r="R576" t="n">
        <v>49.476599973</v>
      </c>
      <c r="S576" t="n">
        <v>36.521246227</v>
      </c>
      <c r="T576" t="n">
        <v/>
      </c>
      <c r="U576" t="n">
        <v/>
      </c>
      <c r="V576" t="n">
        <v>42.804524125</v>
      </c>
      <c r="W576" t="n">
        <v/>
      </c>
      <c r="X576" t="n">
        <v/>
      </c>
      <c r="Y576" t="n">
        <v/>
      </c>
      <c r="Z576" t="n">
        <v/>
      </c>
      <c r="AA576" t="n">
        <v/>
      </c>
      <c r="AB576" t="n">
        <v/>
      </c>
      <c r="AC576" t="n">
        <v>55.691585588</v>
      </c>
      <c r="AD576" t="n">
        <v>28.183204621</v>
      </c>
      <c r="AE576" t="n">
        <v/>
      </c>
      <c r="AF576" t="n">
        <v>42.112119397</v>
      </c>
      <c r="AG576" t="n">
        <v/>
      </c>
      <c r="AH576" t="n">
        <v/>
      </c>
      <c r="AI576" t="n">
        <v>35.995674783</v>
      </c>
      <c r="AJ576" t="n">
        <v>31.093174131</v>
      </c>
      <c r="AK576" t="n">
        <v/>
      </c>
      <c r="AL576" t="n">
        <v/>
      </c>
      <c r="AM576" t="n">
        <v/>
      </c>
      <c r="AN576" t="n">
        <v>30.366574408</v>
      </c>
      <c r="AO576" t="n">
        <v/>
      </c>
      <c r="AP576" t="n">
        <v/>
      </c>
      <c r="AQ576" t="n">
        <v/>
      </c>
      <c r="AR576" t="n">
        <v>42.750522507</v>
      </c>
      <c r="AS576" t="n">
        <v/>
      </c>
      <c r="AT576" t="n">
        <v>34.70873277</v>
      </c>
      <c r="AU576" t="n">
        <v/>
      </c>
    </row>
    <row r="577">
      <c r="A577" s="106" t="n">
        <v>24442</v>
      </c>
      <c r="B577" t="n">
        <v>20.362333215</v>
      </c>
      <c r="C577" t="n">
        <v>34.627185177</v>
      </c>
      <c r="D577" t="n">
        <v/>
      </c>
      <c r="E577" t="n">
        <v>34.496504144</v>
      </c>
      <c r="F577" t="n">
        <v/>
      </c>
      <c r="G577" t="n">
        <v/>
      </c>
      <c r="H577" t="n">
        <v/>
      </c>
      <c r="I577" t="n">
        <v>20.362333215</v>
      </c>
      <c r="J577" t="n">
        <v/>
      </c>
      <c r="K577" t="n">
        <v>38.20952687</v>
      </c>
      <c r="L577" t="n">
        <v/>
      </c>
      <c r="M577" t="n">
        <v/>
      </c>
      <c r="N577" t="n">
        <v>39.390846384</v>
      </c>
      <c r="O577" t="n">
        <v/>
      </c>
      <c r="P577" t="n">
        <v/>
      </c>
      <c r="Q577" t="n">
        <v>24.15932303</v>
      </c>
      <c r="R577" t="n">
        <v>49.476599973</v>
      </c>
      <c r="S577" t="n">
        <v>36.794799364</v>
      </c>
      <c r="T577" t="n">
        <v/>
      </c>
      <c r="U577" t="n">
        <v/>
      </c>
      <c r="V577" t="n">
        <v>43.868069771</v>
      </c>
      <c r="W577" t="n">
        <v/>
      </c>
      <c r="X577" t="n">
        <v/>
      </c>
      <c r="Y577" t="n">
        <v/>
      </c>
      <c r="Z577" t="n">
        <v/>
      </c>
      <c r="AA577" t="n">
        <v/>
      </c>
      <c r="AB577" t="n">
        <v/>
      </c>
      <c r="AC577" t="n">
        <v>56.851826957</v>
      </c>
      <c r="AD577" t="n">
        <v>28.772107404</v>
      </c>
      <c r="AE577" t="n">
        <v/>
      </c>
      <c r="AF577" t="n">
        <v>42.47407592</v>
      </c>
      <c r="AG577" t="n">
        <v/>
      </c>
      <c r="AH577" t="n">
        <v/>
      </c>
      <c r="AI577" t="n">
        <v>35.709994824</v>
      </c>
      <c r="AJ577" t="n">
        <v>31.45924535</v>
      </c>
      <c r="AK577" t="n">
        <v/>
      </c>
      <c r="AL577" t="n">
        <v/>
      </c>
      <c r="AM577" t="n">
        <v/>
      </c>
      <c r="AN577" t="n">
        <v>30.107159446</v>
      </c>
      <c r="AO577" t="n">
        <v/>
      </c>
      <c r="AP577" t="n">
        <v/>
      </c>
      <c r="AQ577" t="n">
        <v/>
      </c>
      <c r="AR577" t="n">
        <v>41.840936922</v>
      </c>
      <c r="AS577" t="n">
        <v/>
      </c>
      <c r="AT577" t="n">
        <v>34.788852804</v>
      </c>
      <c r="AU577" t="n">
        <v/>
      </c>
    </row>
    <row r="578">
      <c r="A578" s="106" t="n">
        <v>24473</v>
      </c>
      <c r="B578" t="n">
        <v>19.54443402</v>
      </c>
      <c r="C578" t="n">
        <v>34.967248451</v>
      </c>
      <c r="D578" t="n">
        <v/>
      </c>
      <c r="E578" t="n">
        <v>34.75119493</v>
      </c>
      <c r="F578" t="n">
        <v/>
      </c>
      <c r="G578" t="n">
        <v/>
      </c>
      <c r="H578" t="n">
        <v/>
      </c>
      <c r="I578" t="n">
        <v>19.54443402</v>
      </c>
      <c r="J578" t="n">
        <v/>
      </c>
      <c r="K578" t="n">
        <v>37.530520738</v>
      </c>
      <c r="L578" t="n">
        <v/>
      </c>
      <c r="M578" t="n">
        <v/>
      </c>
      <c r="N578" t="n">
        <v>37.685172289</v>
      </c>
      <c r="O578" t="n">
        <v/>
      </c>
      <c r="P578" t="n">
        <v/>
      </c>
      <c r="Q578" t="n">
        <v>24.198442161</v>
      </c>
      <c r="R578" t="n">
        <v>49.232872882</v>
      </c>
      <c r="S578" t="n">
        <v>36.825164465</v>
      </c>
      <c r="T578" t="n">
        <v/>
      </c>
      <c r="U578" t="n">
        <v/>
      </c>
      <c r="V578" t="n">
        <v>43.962608819</v>
      </c>
      <c r="W578" t="n">
        <v/>
      </c>
      <c r="X578" t="n">
        <v/>
      </c>
      <c r="Y578" t="n">
        <v/>
      </c>
      <c r="Z578" t="n">
        <v/>
      </c>
      <c r="AA578" t="n">
        <v/>
      </c>
      <c r="AB578" t="n">
        <v/>
      </c>
      <c r="AC578" t="n">
        <v>57.056575433</v>
      </c>
      <c r="AD578" t="n">
        <v>28.940365342</v>
      </c>
      <c r="AE578" t="n">
        <v/>
      </c>
      <c r="AF578" t="n">
        <v>43.306364011</v>
      </c>
      <c r="AG578" t="n">
        <v/>
      </c>
      <c r="AH578" t="n">
        <v/>
      </c>
      <c r="AI578" t="n">
        <v>35.424314866</v>
      </c>
      <c r="AJ578" t="n">
        <v>32.05411108</v>
      </c>
      <c r="AK578" t="n">
        <v/>
      </c>
      <c r="AL578" t="n">
        <v/>
      </c>
      <c r="AM578" t="n">
        <v/>
      </c>
      <c r="AN578" t="n">
        <v>30.270740162</v>
      </c>
      <c r="AO578" t="n">
        <v/>
      </c>
      <c r="AP578" t="n">
        <v/>
      </c>
      <c r="AQ578" t="n">
        <v/>
      </c>
      <c r="AR578" t="n">
        <v>42.750522507</v>
      </c>
      <c r="AS578" t="n">
        <v/>
      </c>
      <c r="AT578" t="n">
        <v>34.952960054</v>
      </c>
      <c r="AU578" t="n">
        <v/>
      </c>
    </row>
    <row r="579">
      <c r="A579" s="106" t="n">
        <v>24504</v>
      </c>
      <c r="B579" t="n">
        <v>19.551743253</v>
      </c>
      <c r="C579" t="n">
        <v>35.567580773</v>
      </c>
      <c r="D579" t="n">
        <v/>
      </c>
      <c r="E579" t="n">
        <v>34.438235404</v>
      </c>
      <c r="F579" t="n">
        <v/>
      </c>
      <c r="G579" t="n">
        <v/>
      </c>
      <c r="H579" t="n">
        <v/>
      </c>
      <c r="I579" t="n">
        <v>19.551743253</v>
      </c>
      <c r="J579" t="n">
        <v/>
      </c>
      <c r="K579" t="n">
        <v>37.098425927</v>
      </c>
      <c r="L579" t="n">
        <v/>
      </c>
      <c r="M579" t="n">
        <v/>
      </c>
      <c r="N579" t="n">
        <v>35.892694834</v>
      </c>
      <c r="O579" t="n">
        <v/>
      </c>
      <c r="P579" t="n">
        <v/>
      </c>
      <c r="Q579" t="n">
        <v>24.234301364</v>
      </c>
      <c r="R579" t="n">
        <v>48.928214012</v>
      </c>
      <c r="S579" t="n">
        <v>36.522127451</v>
      </c>
      <c r="T579" t="n">
        <v/>
      </c>
      <c r="U579" t="n">
        <v/>
      </c>
      <c r="V579" t="n">
        <v>44.027100375</v>
      </c>
      <c r="W579" t="n">
        <v/>
      </c>
      <c r="X579" t="n">
        <v/>
      </c>
      <c r="Y579" t="n">
        <v/>
      </c>
      <c r="Z579" t="n">
        <v/>
      </c>
      <c r="AA579" t="n">
        <v/>
      </c>
      <c r="AB579" t="n">
        <v/>
      </c>
      <c r="AC579" t="n">
        <v>57.943818826</v>
      </c>
      <c r="AD579" t="n">
        <v>28.687978435</v>
      </c>
      <c r="AE579" t="n">
        <v/>
      </c>
      <c r="AF579" t="n">
        <v>42.674632923</v>
      </c>
      <c r="AG579" t="n">
        <v/>
      </c>
      <c r="AH579" t="n">
        <v/>
      </c>
      <c r="AI579" t="n">
        <v>35.709994824</v>
      </c>
      <c r="AJ579" t="n">
        <v>31.25333029</v>
      </c>
      <c r="AK579" t="n">
        <v/>
      </c>
      <c r="AL579" t="n">
        <v/>
      </c>
      <c r="AM579" t="n">
        <v/>
      </c>
      <c r="AN579" t="n">
        <v>29.103417143</v>
      </c>
      <c r="AO579" t="n">
        <v/>
      </c>
      <c r="AP579" t="n">
        <v/>
      </c>
      <c r="AQ579" t="n">
        <v/>
      </c>
      <c r="AR579" t="n">
        <v>43.205315299</v>
      </c>
      <c r="AS579" t="n">
        <v/>
      </c>
      <c r="AT579" t="n">
        <v>34.556524536</v>
      </c>
      <c r="AU579" t="n">
        <v/>
      </c>
    </row>
    <row r="580">
      <c r="A580" s="106" t="n">
        <v>24532</v>
      </c>
      <c r="B580" t="n">
        <v>19.61204599</v>
      </c>
      <c r="C580" t="n">
        <v>35.371040361</v>
      </c>
      <c r="D580" t="n">
        <v/>
      </c>
      <c r="E580" t="n">
        <v>34.488515688</v>
      </c>
      <c r="F580" t="n">
        <v/>
      </c>
      <c r="G580" t="n">
        <v/>
      </c>
      <c r="H580" t="n">
        <v/>
      </c>
      <c r="I580" t="n">
        <v>19.61204599</v>
      </c>
      <c r="J580" t="n">
        <v/>
      </c>
      <c r="K580" t="n">
        <v>36.851514606</v>
      </c>
      <c r="L580" t="n">
        <v/>
      </c>
      <c r="M580" t="n">
        <v/>
      </c>
      <c r="N580" t="n">
        <v>36.972399263</v>
      </c>
      <c r="O580" t="n">
        <v/>
      </c>
      <c r="P580" t="n">
        <v/>
      </c>
      <c r="Q580" t="n">
        <v>24.247341074</v>
      </c>
      <c r="R580" t="n">
        <v>49.232872882</v>
      </c>
      <c r="S580" t="n">
        <v>36.549957133</v>
      </c>
      <c r="T580" t="n">
        <v/>
      </c>
      <c r="U580" t="n">
        <v/>
      </c>
      <c r="V580" t="n">
        <v>44.155734348</v>
      </c>
      <c r="W580" t="n">
        <v/>
      </c>
      <c r="X580" t="n">
        <v/>
      </c>
      <c r="Y580" t="n">
        <v/>
      </c>
      <c r="Z580" t="n">
        <v/>
      </c>
      <c r="AA580" t="n">
        <v/>
      </c>
      <c r="AB580" t="n">
        <v/>
      </c>
      <c r="AC580" t="n">
        <v>57.124824921</v>
      </c>
      <c r="AD580" t="n">
        <v>29.445139156</v>
      </c>
      <c r="AE580" t="n">
        <v/>
      </c>
      <c r="AF580" t="n">
        <v>42.388613111</v>
      </c>
      <c r="AG580" t="n">
        <v/>
      </c>
      <c r="AH580" t="n">
        <v/>
      </c>
      <c r="AI580" t="n">
        <v>35.709994824</v>
      </c>
      <c r="AJ580" t="n">
        <v>30.955897424</v>
      </c>
      <c r="AK580" t="n">
        <v/>
      </c>
      <c r="AL580" t="n">
        <v/>
      </c>
      <c r="AM580" t="n">
        <v/>
      </c>
      <c r="AN580" t="n">
        <v>30.214932099</v>
      </c>
      <c r="AO580" t="n">
        <v/>
      </c>
      <c r="AP580" t="n">
        <v/>
      </c>
      <c r="AQ580" t="n">
        <v/>
      </c>
      <c r="AR580" t="n">
        <v>43.205315299</v>
      </c>
      <c r="AS580" t="n">
        <v/>
      </c>
      <c r="AT580" t="n">
        <v>34.361777323</v>
      </c>
      <c r="AU580" t="n">
        <v/>
      </c>
    </row>
    <row r="581">
      <c r="A581" s="106" t="n">
        <v>24563</v>
      </c>
      <c r="B581" t="n">
        <v>20.0190531</v>
      </c>
      <c r="C581" t="n">
        <v>34.649203053</v>
      </c>
      <c r="D581" t="n">
        <v/>
      </c>
      <c r="E581" t="n">
        <v>34.831549403</v>
      </c>
      <c r="F581" t="n">
        <v/>
      </c>
      <c r="G581" t="n">
        <v/>
      </c>
      <c r="H581" t="n">
        <v/>
      </c>
      <c r="I581" t="n">
        <v>20.0190531</v>
      </c>
      <c r="J581" t="n">
        <v/>
      </c>
      <c r="K581" t="n">
        <v>37.098425927</v>
      </c>
      <c r="L581" t="n">
        <v/>
      </c>
      <c r="M581" t="n">
        <v/>
      </c>
      <c r="N581" t="n">
        <v>38.603384783</v>
      </c>
      <c r="O581" t="n">
        <v/>
      </c>
      <c r="P581" t="n">
        <v/>
      </c>
      <c r="Q581" t="n">
        <v>24.009366363</v>
      </c>
      <c r="R581" t="n">
        <v>48.684486922</v>
      </c>
      <c r="S581" t="n">
        <v>36.848208386</v>
      </c>
      <c r="T581" t="n">
        <v/>
      </c>
      <c r="U581" t="n">
        <v/>
      </c>
      <c r="V581" t="n">
        <v>44.195802936</v>
      </c>
      <c r="W581" t="n">
        <v/>
      </c>
      <c r="X581" t="n">
        <v/>
      </c>
      <c r="Y581" t="n">
        <v/>
      </c>
      <c r="Z581" t="n">
        <v/>
      </c>
      <c r="AA581" t="n">
        <v/>
      </c>
      <c r="AB581" t="n">
        <v/>
      </c>
      <c r="AC581" t="n">
        <v>58.216816801</v>
      </c>
      <c r="AD581" t="n">
        <v>29.697526063</v>
      </c>
      <c r="AE581" t="n">
        <v/>
      </c>
      <c r="AF581" t="n">
        <v>42.436269052</v>
      </c>
      <c r="AG581" t="n">
        <v/>
      </c>
      <c r="AH581" t="n">
        <v/>
      </c>
      <c r="AI581" t="n">
        <v>36.281354742</v>
      </c>
      <c r="AJ581" t="n">
        <v>31.207571387</v>
      </c>
      <c r="AK581" t="n">
        <v/>
      </c>
      <c r="AL581" t="n">
        <v/>
      </c>
      <c r="AM581" t="n">
        <v/>
      </c>
      <c r="AN581" t="n">
        <v>29.613506991</v>
      </c>
      <c r="AO581" t="n">
        <v/>
      </c>
      <c r="AP581" t="n">
        <v/>
      </c>
      <c r="AQ581" t="n">
        <v/>
      </c>
      <c r="AR581" t="n">
        <v>43.205315299</v>
      </c>
      <c r="AS581" t="n">
        <v/>
      </c>
      <c r="AT581" t="n">
        <v>34.685827166</v>
      </c>
      <c r="AU581" t="n">
        <v/>
      </c>
    </row>
    <row r="582">
      <c r="A582" s="106" t="n">
        <v>24593</v>
      </c>
      <c r="B582" t="n">
        <v>19.792095271</v>
      </c>
      <c r="C582" t="n">
        <v>35.402112763</v>
      </c>
      <c r="D582" t="n">
        <v/>
      </c>
      <c r="E582" t="n">
        <v>34.712192466</v>
      </c>
      <c r="F582" t="n">
        <v/>
      </c>
      <c r="G582" t="n">
        <v/>
      </c>
      <c r="H582" t="n">
        <v/>
      </c>
      <c r="I582" t="n">
        <v>19.792095271</v>
      </c>
      <c r="J582" t="n">
        <v/>
      </c>
      <c r="K582" t="n">
        <v>36.542875456</v>
      </c>
      <c r="L582" t="n">
        <v/>
      </c>
      <c r="M582" t="n">
        <v/>
      </c>
      <c r="N582" t="n">
        <v>37.559618973</v>
      </c>
      <c r="O582" t="n">
        <v/>
      </c>
      <c r="P582" t="n">
        <v/>
      </c>
      <c r="Q582" t="n">
        <v>23.817030638</v>
      </c>
      <c r="R582" t="n">
        <v>48.928214012</v>
      </c>
      <c r="S582" t="n">
        <v>36.807236158</v>
      </c>
      <c r="T582" t="n">
        <v/>
      </c>
      <c r="U582" t="n">
        <v/>
      </c>
      <c r="V582" t="n">
        <v>44.493431981</v>
      </c>
      <c r="W582" t="n">
        <v/>
      </c>
      <c r="X582" t="n">
        <v/>
      </c>
      <c r="Y582" t="n">
        <v/>
      </c>
      <c r="Z582" t="n">
        <v/>
      </c>
      <c r="AA582" t="n">
        <v/>
      </c>
      <c r="AB582" t="n">
        <v/>
      </c>
      <c r="AC582" t="n">
        <v>58.626313754</v>
      </c>
      <c r="AD582" t="n">
        <v>30.370557816</v>
      </c>
      <c r="AE582" t="n">
        <v/>
      </c>
      <c r="AF582" t="n">
        <v>42.255410884</v>
      </c>
      <c r="AG582" t="n">
        <v/>
      </c>
      <c r="AH582" t="n">
        <v/>
      </c>
      <c r="AI582" t="n">
        <v>35.138634907</v>
      </c>
      <c r="AJ582" t="n">
        <v>30.338152243</v>
      </c>
      <c r="AK582" t="n">
        <v/>
      </c>
      <c r="AL582" t="n">
        <v/>
      </c>
      <c r="AM582" t="n">
        <v/>
      </c>
      <c r="AN582" t="n">
        <v>30.062717922</v>
      </c>
      <c r="AO582" t="n">
        <v/>
      </c>
      <c r="AP582" t="n">
        <v/>
      </c>
      <c r="AQ582" t="n">
        <v/>
      </c>
      <c r="AR582" t="n">
        <v>44.114900885</v>
      </c>
      <c r="AS582" t="n">
        <v/>
      </c>
      <c r="AT582" t="n">
        <v>34.38319555</v>
      </c>
      <c r="AU582" t="n">
        <v/>
      </c>
    </row>
    <row r="583">
      <c r="A583" s="106" t="n">
        <v>24624</v>
      </c>
      <c r="B583" t="n">
        <v>19.660935658</v>
      </c>
      <c r="C583" t="n">
        <v>35.076887066</v>
      </c>
      <c r="D583" t="n">
        <v/>
      </c>
      <c r="E583" t="n">
        <v>34.878070413</v>
      </c>
      <c r="F583" t="n">
        <v/>
      </c>
      <c r="G583" t="n">
        <v/>
      </c>
      <c r="H583" t="n">
        <v/>
      </c>
      <c r="I583" t="n">
        <v>19.660935658</v>
      </c>
      <c r="J583" t="n">
        <v/>
      </c>
      <c r="K583" t="n">
        <v>37.345337248</v>
      </c>
      <c r="L583" t="n">
        <v/>
      </c>
      <c r="M583" t="n">
        <v/>
      </c>
      <c r="N583" t="n">
        <v>38.808727639</v>
      </c>
      <c r="O583" t="n">
        <v/>
      </c>
      <c r="P583" t="n">
        <v/>
      </c>
      <c r="Q583" t="n">
        <v>23.435619116</v>
      </c>
      <c r="R583" t="n">
        <v>50.207781254</v>
      </c>
      <c r="S583" t="n">
        <v>37.122911939</v>
      </c>
      <c r="T583" t="n">
        <v/>
      </c>
      <c r="U583" t="n">
        <v/>
      </c>
      <c r="V583" t="n">
        <v>43.337429634</v>
      </c>
      <c r="W583" t="n">
        <v/>
      </c>
      <c r="X583" t="n">
        <v/>
      </c>
      <c r="Y583" t="n">
        <v/>
      </c>
      <c r="Z583" t="n">
        <v/>
      </c>
      <c r="AA583" t="n">
        <v/>
      </c>
      <c r="AB583" t="n">
        <v/>
      </c>
      <c r="AC583" t="n">
        <v>58.353315778</v>
      </c>
      <c r="AD583" t="n">
        <v>30.87533163</v>
      </c>
      <c r="AE583" t="n">
        <v/>
      </c>
      <c r="AF583" t="n">
        <v>41.427971644</v>
      </c>
      <c r="AG583" t="n">
        <v/>
      </c>
      <c r="AH583" t="n">
        <v/>
      </c>
      <c r="AI583" t="n">
        <v>36.5670347</v>
      </c>
      <c r="AJ583" t="n">
        <v>32.05411108</v>
      </c>
      <c r="AK583" t="n">
        <v/>
      </c>
      <c r="AL583" t="n">
        <v/>
      </c>
      <c r="AM583" t="n">
        <v/>
      </c>
      <c r="AN583" t="n">
        <v>32.139620002</v>
      </c>
      <c r="AO583" t="n">
        <v/>
      </c>
      <c r="AP583" t="n">
        <v/>
      </c>
      <c r="AQ583" t="n">
        <v/>
      </c>
      <c r="AR583" t="n">
        <v>43.660108092</v>
      </c>
      <c r="AS583" t="n">
        <v/>
      </c>
      <c r="AT583" t="n">
        <v>34.378931736</v>
      </c>
      <c r="AU583" t="n">
        <v/>
      </c>
    </row>
    <row r="584">
      <c r="A584" s="106" t="n">
        <v>24654</v>
      </c>
      <c r="B584" t="n">
        <v>19.69542284</v>
      </c>
      <c r="C584" t="n">
        <v>35.30502324</v>
      </c>
      <c r="D584" t="n">
        <v/>
      </c>
      <c r="E584" t="n">
        <v>35.00917508</v>
      </c>
      <c r="F584" t="n">
        <v/>
      </c>
      <c r="G584" t="n">
        <v/>
      </c>
      <c r="H584" t="n">
        <v/>
      </c>
      <c r="I584" t="n">
        <v>19.69542284</v>
      </c>
      <c r="J584" t="n">
        <v/>
      </c>
      <c r="K584" t="n">
        <v>38.33298253</v>
      </c>
      <c r="L584" t="n">
        <v/>
      </c>
      <c r="M584" t="n">
        <v/>
      </c>
      <c r="N584" t="n">
        <v>38.233342558</v>
      </c>
      <c r="O584" t="n">
        <v/>
      </c>
      <c r="P584" t="n">
        <v/>
      </c>
      <c r="Q584" t="n">
        <v>24.006106436</v>
      </c>
      <c r="R584" t="n">
        <v>49.781258843</v>
      </c>
      <c r="S584" t="n">
        <v>37.320450325</v>
      </c>
      <c r="T584" t="n">
        <v/>
      </c>
      <c r="U584" t="n">
        <v/>
      </c>
      <c r="V584" t="n">
        <v>43.201070446</v>
      </c>
      <c r="W584" t="n">
        <v/>
      </c>
      <c r="X584" t="n">
        <v/>
      </c>
      <c r="Y584" t="n">
        <v/>
      </c>
      <c r="Z584" t="n">
        <v/>
      </c>
      <c r="AA584" t="n">
        <v/>
      </c>
      <c r="AB584" t="n">
        <v/>
      </c>
      <c r="AC584" t="n">
        <v>58.421565278</v>
      </c>
      <c r="AD584" t="n">
        <v>31.211847506</v>
      </c>
      <c r="AE584" t="n">
        <v/>
      </c>
      <c r="AF584" t="n">
        <v>42.351985573</v>
      </c>
      <c r="AG584" t="n">
        <v/>
      </c>
      <c r="AH584" t="n">
        <v/>
      </c>
      <c r="AI584" t="n">
        <v>36.852714659</v>
      </c>
      <c r="AJ584" t="n">
        <v>29.926322122</v>
      </c>
      <c r="AK584" t="n">
        <v/>
      </c>
      <c r="AL584" t="n">
        <v/>
      </c>
      <c r="AM584" t="n">
        <v/>
      </c>
      <c r="AN584" t="n">
        <v>31.141338791</v>
      </c>
      <c r="AO584" t="n">
        <v/>
      </c>
      <c r="AP584" t="n">
        <v/>
      </c>
      <c r="AQ584" t="n">
        <v/>
      </c>
      <c r="AR584" t="n">
        <v>42.295729714</v>
      </c>
      <c r="AS584" t="n">
        <v/>
      </c>
      <c r="AT584" t="n">
        <v>34.300695712</v>
      </c>
      <c r="AU584" t="n">
        <v/>
      </c>
    </row>
    <row r="585">
      <c r="A585" s="106" t="n">
        <v>24685</v>
      </c>
      <c r="B585" t="n">
        <v>19.107373502</v>
      </c>
      <c r="C585" t="n">
        <v>35.345219587</v>
      </c>
      <c r="D585" t="n">
        <v/>
      </c>
      <c r="E585" t="n">
        <v>35.601730578</v>
      </c>
      <c r="F585" t="n">
        <v/>
      </c>
      <c r="G585" t="n">
        <v/>
      </c>
      <c r="H585" t="n">
        <v/>
      </c>
      <c r="I585" t="n">
        <v>19.107373502</v>
      </c>
      <c r="J585" t="n">
        <v/>
      </c>
      <c r="K585" t="n">
        <v>37.530520738</v>
      </c>
      <c r="L585" t="n">
        <v/>
      </c>
      <c r="M585" t="n">
        <v/>
      </c>
      <c r="N585" t="n">
        <v>38.65912829</v>
      </c>
      <c r="O585" t="n">
        <v/>
      </c>
      <c r="P585" t="n">
        <v/>
      </c>
      <c r="Q585" t="n">
        <v>24.537474626</v>
      </c>
      <c r="R585" t="n">
        <v>49.781258843</v>
      </c>
      <c r="S585" t="n">
        <v>37.654254523</v>
      </c>
      <c r="T585" t="n">
        <v/>
      </c>
      <c r="U585" t="n">
        <v/>
      </c>
      <c r="V585" t="n">
        <v>43.697559079</v>
      </c>
      <c r="W585" t="n">
        <v/>
      </c>
      <c r="X585" t="n">
        <v/>
      </c>
      <c r="Y585" t="n">
        <v/>
      </c>
      <c r="Z585" t="n">
        <v/>
      </c>
      <c r="AA585" t="n">
        <v/>
      </c>
      <c r="AB585" t="n">
        <v/>
      </c>
      <c r="AC585" t="n">
        <v>58.626313754</v>
      </c>
      <c r="AD585" t="n">
        <v>31.71662132</v>
      </c>
      <c r="AE585" t="n">
        <v/>
      </c>
      <c r="AF585" t="n">
        <v>40.969179726</v>
      </c>
      <c r="AG585" t="n">
        <v/>
      </c>
      <c r="AH585" t="n">
        <v/>
      </c>
      <c r="AI585" t="n">
        <v>36.852714659</v>
      </c>
      <c r="AJ585" t="n">
        <v>32.076990531</v>
      </c>
      <c r="AK585" t="n">
        <v/>
      </c>
      <c r="AL585" t="n">
        <v/>
      </c>
      <c r="AM585" t="n">
        <v/>
      </c>
      <c r="AN585" t="n">
        <v>30.898577566</v>
      </c>
      <c r="AO585" t="n">
        <v/>
      </c>
      <c r="AP585" t="n">
        <v/>
      </c>
      <c r="AQ585" t="n">
        <v/>
      </c>
      <c r="AR585" t="n">
        <v>43.660108092</v>
      </c>
      <c r="AS585" t="n">
        <v/>
      </c>
      <c r="AT585" t="n">
        <v>34.957818818</v>
      </c>
      <c r="AU585" t="n">
        <v/>
      </c>
    </row>
    <row r="586">
      <c r="A586" s="106" t="n">
        <v>24716</v>
      </c>
      <c r="B586" t="n">
        <v>19.77252223</v>
      </c>
      <c r="C586" t="n">
        <v>35.407320695</v>
      </c>
      <c r="D586" t="n">
        <v/>
      </c>
      <c r="E586" t="n">
        <v>35.488012552</v>
      </c>
      <c r="F586" t="n">
        <v/>
      </c>
      <c r="G586" t="n">
        <v/>
      </c>
      <c r="H586" t="n">
        <v/>
      </c>
      <c r="I586" t="n">
        <v>19.77252223</v>
      </c>
      <c r="J586" t="n">
        <v/>
      </c>
      <c r="K586" t="n">
        <v>38.518166021</v>
      </c>
      <c r="L586" t="n">
        <v/>
      </c>
      <c r="M586" t="n">
        <v/>
      </c>
      <c r="N586" t="n">
        <v>38.106591287</v>
      </c>
      <c r="O586" t="n">
        <v/>
      </c>
      <c r="P586" t="n">
        <v/>
      </c>
      <c r="Q586" t="n">
        <v>24.270160567</v>
      </c>
      <c r="R586" t="n">
        <v>50.695235444</v>
      </c>
      <c r="S586" t="n">
        <v>38.048585332</v>
      </c>
      <c r="T586" t="n">
        <v/>
      </c>
      <c r="U586" t="n">
        <v/>
      </c>
      <c r="V586" t="n">
        <v>43.624392658</v>
      </c>
      <c r="W586" t="n">
        <v/>
      </c>
      <c r="X586" t="n">
        <v/>
      </c>
      <c r="Y586" t="n">
        <v/>
      </c>
      <c r="Z586" t="n">
        <v/>
      </c>
      <c r="AA586" t="n">
        <v/>
      </c>
      <c r="AB586" t="n">
        <v/>
      </c>
      <c r="AC586" t="n">
        <v>58.353315778</v>
      </c>
      <c r="AD586" t="n">
        <v>32.642039979</v>
      </c>
      <c r="AE586" t="n">
        <v/>
      </c>
      <c r="AF586" t="n">
        <v>41.795159978</v>
      </c>
      <c r="AG586" t="n">
        <v/>
      </c>
      <c r="AH586" t="n">
        <v/>
      </c>
      <c r="AI586" t="n">
        <v>37.709754534</v>
      </c>
      <c r="AJ586" t="n">
        <v>31.436365899</v>
      </c>
      <c r="AK586" t="n">
        <v/>
      </c>
      <c r="AL586" t="n">
        <v/>
      </c>
      <c r="AM586" t="n">
        <v/>
      </c>
      <c r="AN586" t="n">
        <v>30.735664734</v>
      </c>
      <c r="AO586" t="n">
        <v/>
      </c>
      <c r="AP586" t="n">
        <v/>
      </c>
      <c r="AQ586" t="n">
        <v/>
      </c>
      <c r="AR586" t="n">
        <v>44.569693677</v>
      </c>
      <c r="AS586" t="n">
        <v/>
      </c>
      <c r="AT586" t="n">
        <v>34.901001021</v>
      </c>
      <c r="AU586" t="n">
        <v/>
      </c>
    </row>
    <row r="587">
      <c r="A587" s="106" t="n">
        <v>24746</v>
      </c>
      <c r="B587" t="n">
        <v>19.844007099</v>
      </c>
      <c r="C587" t="n">
        <v>35.995321768</v>
      </c>
      <c r="D587" t="n">
        <v/>
      </c>
      <c r="E587" t="n">
        <v>35.247419043</v>
      </c>
      <c r="F587" t="n">
        <v/>
      </c>
      <c r="G587" t="n">
        <v/>
      </c>
      <c r="H587" t="n">
        <v/>
      </c>
      <c r="I587" t="n">
        <v>19.844007099</v>
      </c>
      <c r="J587" t="n">
        <v/>
      </c>
      <c r="K587" t="n">
        <v>38.950260832</v>
      </c>
      <c r="L587" t="n">
        <v/>
      </c>
      <c r="M587" t="n">
        <v/>
      </c>
      <c r="N587" t="n">
        <v>37.689229875</v>
      </c>
      <c r="O587" t="n">
        <v/>
      </c>
      <c r="P587" t="n">
        <v/>
      </c>
      <c r="Q587" t="n">
        <v>24.948225496</v>
      </c>
      <c r="R587" t="n">
        <v>50.024985933</v>
      </c>
      <c r="S587" t="n">
        <v>38.327778284</v>
      </c>
      <c r="T587" t="n">
        <v/>
      </c>
      <c r="U587" t="n">
        <v/>
      </c>
      <c r="V587" t="n">
        <v>44.622274635</v>
      </c>
      <c r="W587" t="n">
        <v/>
      </c>
      <c r="X587" t="n">
        <v/>
      </c>
      <c r="Y587" t="n">
        <v/>
      </c>
      <c r="Z587" t="n">
        <v/>
      </c>
      <c r="AA587" t="n">
        <v/>
      </c>
      <c r="AB587" t="n">
        <v/>
      </c>
      <c r="AC587" t="n">
        <v>59.035810706</v>
      </c>
      <c r="AD587" t="n">
        <v>32.978555855</v>
      </c>
      <c r="AE587" t="n">
        <v/>
      </c>
      <c r="AF587" t="n">
        <v>42.188288066</v>
      </c>
      <c r="AG587" t="n">
        <v/>
      </c>
      <c r="AH587" t="n">
        <v/>
      </c>
      <c r="AI587" t="n">
        <v>37.424074576</v>
      </c>
      <c r="AJ587" t="n">
        <v>31.939713824</v>
      </c>
      <c r="AK587" t="n">
        <v/>
      </c>
      <c r="AL587" t="n">
        <v/>
      </c>
      <c r="AM587" t="n">
        <v/>
      </c>
      <c r="AN587" t="n">
        <v>32.020474143</v>
      </c>
      <c r="AO587" t="n">
        <v/>
      </c>
      <c r="AP587" t="n">
        <v/>
      </c>
      <c r="AQ587" t="n">
        <v/>
      </c>
      <c r="AR587" t="n">
        <v>43.660108092</v>
      </c>
      <c r="AS587" t="n">
        <v/>
      </c>
      <c r="AT587" t="n">
        <v>35.185288322</v>
      </c>
      <c r="AU587" t="n">
        <v/>
      </c>
    </row>
    <row r="588">
      <c r="A588" s="106" t="n">
        <v>24777</v>
      </c>
      <c r="B588" t="n">
        <v>19.811788076</v>
      </c>
      <c r="C588" t="n">
        <v>35.704686762</v>
      </c>
      <c r="D588" t="n">
        <v/>
      </c>
      <c r="E588" t="n">
        <v>35.78264562</v>
      </c>
      <c r="F588" t="n">
        <v/>
      </c>
      <c r="G588" t="n">
        <v/>
      </c>
      <c r="H588" t="n">
        <v/>
      </c>
      <c r="I588" t="n">
        <v>19.811788076</v>
      </c>
      <c r="J588" t="n">
        <v/>
      </c>
      <c r="K588" t="n">
        <v>39.320627813</v>
      </c>
      <c r="L588" t="n">
        <v/>
      </c>
      <c r="M588" t="n">
        <v/>
      </c>
      <c r="N588" t="n">
        <v>38.61140335</v>
      </c>
      <c r="O588" t="n">
        <v/>
      </c>
      <c r="P588" t="n">
        <v/>
      </c>
      <c r="Q588" t="n">
        <v>24.778709264</v>
      </c>
      <c r="R588" t="n">
        <v>50.634303664</v>
      </c>
      <c r="S588" t="n">
        <v>38.863418392</v>
      </c>
      <c r="T588" t="n">
        <v/>
      </c>
      <c r="U588" t="n">
        <v/>
      </c>
      <c r="V588" t="n">
        <v>44.930021189</v>
      </c>
      <c r="W588" t="n">
        <v/>
      </c>
      <c r="X588" t="n">
        <v/>
      </c>
      <c r="Y588" t="n">
        <v/>
      </c>
      <c r="Z588" t="n">
        <v/>
      </c>
      <c r="AA588" t="n">
        <v/>
      </c>
      <c r="AB588" t="n">
        <v/>
      </c>
      <c r="AC588" t="n">
        <v>59.37705817</v>
      </c>
      <c r="AD588" t="n">
        <v>33.651587607</v>
      </c>
      <c r="AE588" t="n">
        <v/>
      </c>
      <c r="AF588" t="n">
        <v>43.605620617</v>
      </c>
      <c r="AG588" t="n">
        <v/>
      </c>
      <c r="AH588" t="n">
        <v/>
      </c>
      <c r="AI588" t="n">
        <v>37.995434493</v>
      </c>
      <c r="AJ588" t="n">
        <v>32.671856262</v>
      </c>
      <c r="AK588" t="n">
        <v/>
      </c>
      <c r="AL588" t="n">
        <v/>
      </c>
      <c r="AM588" t="n">
        <v/>
      </c>
      <c r="AN588" t="n">
        <v>31.928386517</v>
      </c>
      <c r="AO588" t="n">
        <v/>
      </c>
      <c r="AP588" t="n">
        <v/>
      </c>
      <c r="AQ588" t="n">
        <v/>
      </c>
      <c r="AR588" t="n">
        <v>44.114900885</v>
      </c>
      <c r="AS588" t="n">
        <v/>
      </c>
      <c r="AT588" t="n">
        <v>35.6885175</v>
      </c>
      <c r="AU588" t="n">
        <v/>
      </c>
    </row>
    <row r="589">
      <c r="A589" s="106" t="n">
        <v>24807</v>
      </c>
      <c r="B589" t="n">
        <v>20.719567131</v>
      </c>
      <c r="C589" t="n">
        <v>36.332372346</v>
      </c>
      <c r="D589" t="n">
        <v/>
      </c>
      <c r="E589" t="n">
        <v>36.183948075</v>
      </c>
      <c r="F589" t="n">
        <v/>
      </c>
      <c r="G589" t="n">
        <v/>
      </c>
      <c r="H589" t="n">
        <v/>
      </c>
      <c r="I589" t="n">
        <v>20.719567131</v>
      </c>
      <c r="J589" t="n">
        <v/>
      </c>
      <c r="K589" t="n">
        <v>41.604557529</v>
      </c>
      <c r="L589" t="n">
        <v/>
      </c>
      <c r="M589" t="n">
        <v/>
      </c>
      <c r="N589" t="n">
        <v>38.729508094</v>
      </c>
      <c r="O589" t="n">
        <v/>
      </c>
      <c r="P589" t="n">
        <v/>
      </c>
      <c r="Q589" t="n">
        <v>24.706990858</v>
      </c>
      <c r="R589" t="n">
        <v>51.426416715</v>
      </c>
      <c r="S589" t="n">
        <v>39.56336641</v>
      </c>
      <c r="T589" t="n">
        <v/>
      </c>
      <c r="U589" t="n">
        <v/>
      </c>
      <c r="V589" t="n">
        <v>45.054908661</v>
      </c>
      <c r="W589" t="n">
        <v/>
      </c>
      <c r="X589" t="n">
        <v/>
      </c>
      <c r="Y589" t="n">
        <v/>
      </c>
      <c r="Z589" t="n">
        <v/>
      </c>
      <c r="AA589" t="n">
        <v/>
      </c>
      <c r="AB589" t="n">
        <v/>
      </c>
      <c r="AC589" t="n">
        <v>59.308808671</v>
      </c>
      <c r="AD589" t="n">
        <v>33.988103483</v>
      </c>
      <c r="AE589" t="n">
        <v/>
      </c>
      <c r="AF589" t="n">
        <v>42.189302424</v>
      </c>
      <c r="AG589" t="n">
        <v/>
      </c>
      <c r="AH589" t="n">
        <v/>
      </c>
      <c r="AI589" t="n">
        <v>38.56679441</v>
      </c>
      <c r="AJ589" t="n">
        <v>32.648976811</v>
      </c>
      <c r="AK589" t="n">
        <v/>
      </c>
      <c r="AL589" t="n">
        <v/>
      </c>
      <c r="AM589" t="n">
        <v/>
      </c>
      <c r="AN589" t="n">
        <v>29.579750451</v>
      </c>
      <c r="AO589" t="n">
        <v/>
      </c>
      <c r="AP589" t="n">
        <v/>
      </c>
      <c r="AQ589" t="n">
        <v/>
      </c>
      <c r="AR589" t="n">
        <v>44.114900885</v>
      </c>
      <c r="AS589" t="n">
        <v/>
      </c>
      <c r="AT589" t="n">
        <v>36.072855686</v>
      </c>
      <c r="AU589" t="n">
        <v/>
      </c>
    </row>
    <row r="590">
      <c r="A590" s="106" t="n">
        <v>24838</v>
      </c>
      <c r="B590" t="n">
        <v>20.233079199</v>
      </c>
      <c r="C590" t="n">
        <v>36.279312686</v>
      </c>
      <c r="D590" t="n">
        <v/>
      </c>
      <c r="E590" t="n">
        <v>35.995514486</v>
      </c>
      <c r="F590" t="n">
        <v/>
      </c>
      <c r="G590" t="n">
        <v/>
      </c>
      <c r="H590" t="n">
        <v/>
      </c>
      <c r="I590" t="n">
        <v>20.233079199</v>
      </c>
      <c r="J590" t="n">
        <v/>
      </c>
      <c r="K590" t="n">
        <v>38.33298253</v>
      </c>
      <c r="L590" t="n">
        <v/>
      </c>
      <c r="M590" t="n">
        <v/>
      </c>
      <c r="N590" t="n">
        <v>39.307153833</v>
      </c>
      <c r="O590" t="n">
        <v/>
      </c>
      <c r="P590" t="n">
        <v/>
      </c>
      <c r="Q590" t="n">
        <v>24.710250785</v>
      </c>
      <c r="R590" t="n">
        <v>51.365484945</v>
      </c>
      <c r="S590" t="n">
        <v>38.991240451</v>
      </c>
      <c r="T590" t="n">
        <v>56.45560665</v>
      </c>
      <c r="U590" t="n">
        <v/>
      </c>
      <c r="V590" t="n">
        <v>43.778403571</v>
      </c>
      <c r="W590" t="n">
        <v/>
      </c>
      <c r="X590" t="n">
        <v/>
      </c>
      <c r="Y590" t="n">
        <v/>
      </c>
      <c r="Z590" t="n">
        <v/>
      </c>
      <c r="AA590" t="n">
        <v/>
      </c>
      <c r="AB590" t="n">
        <v/>
      </c>
      <c r="AC590" t="n">
        <v>59.786555122</v>
      </c>
      <c r="AD590" t="n">
        <v>33.903974514</v>
      </c>
      <c r="AE590" t="n">
        <v/>
      </c>
      <c r="AF590" t="n">
        <v>42.101244783</v>
      </c>
      <c r="AG590" t="n">
        <v/>
      </c>
      <c r="AH590" t="n">
        <v/>
      </c>
      <c r="AI590" t="n">
        <v>38.56679441</v>
      </c>
      <c r="AJ590" t="n">
        <v>32.580338457</v>
      </c>
      <c r="AK590" t="n">
        <v/>
      </c>
      <c r="AL590" t="n">
        <v/>
      </c>
      <c r="AM590" t="n">
        <v/>
      </c>
      <c r="AN590" t="n">
        <v>30.930227119</v>
      </c>
      <c r="AO590" t="n">
        <v/>
      </c>
      <c r="AP590" t="n">
        <v/>
      </c>
      <c r="AQ590" t="n">
        <v/>
      </c>
      <c r="AR590" t="n">
        <v>43.205315299</v>
      </c>
      <c r="AS590" t="n">
        <v/>
      </c>
      <c r="AT590" t="n">
        <v>36.034084729</v>
      </c>
      <c r="AU590" t="n">
        <v/>
      </c>
    </row>
    <row r="591">
      <c r="A591" s="106" t="n">
        <v>24869</v>
      </c>
      <c r="B591" t="n">
        <v>20.141155228</v>
      </c>
      <c r="C591" t="n">
        <v>36.201252558</v>
      </c>
      <c r="D591" t="n">
        <v/>
      </c>
      <c r="E591" t="n">
        <v>35.854541727</v>
      </c>
      <c r="F591" t="n">
        <v/>
      </c>
      <c r="G591" t="n">
        <v/>
      </c>
      <c r="H591" t="n">
        <v/>
      </c>
      <c r="I591" t="n">
        <v>20.141155228</v>
      </c>
      <c r="J591" t="n">
        <v/>
      </c>
      <c r="K591" t="n">
        <v>39.197172153</v>
      </c>
      <c r="L591" t="n">
        <v/>
      </c>
      <c r="M591" t="n">
        <v/>
      </c>
      <c r="N591" t="n">
        <v>39.582982759</v>
      </c>
      <c r="O591" t="n">
        <v/>
      </c>
      <c r="P591" t="n">
        <v/>
      </c>
      <c r="Q591" t="n">
        <v>24.847167742</v>
      </c>
      <c r="R591" t="n">
        <v>51.670143815</v>
      </c>
      <c r="S591" t="n">
        <v>39.338792579</v>
      </c>
      <c r="T591" t="n">
        <v>57.092324018</v>
      </c>
      <c r="U591" t="n">
        <v/>
      </c>
      <c r="V591" t="n">
        <v>44.207492222</v>
      </c>
      <c r="W591" t="n">
        <v/>
      </c>
      <c r="X591" t="n">
        <v/>
      </c>
      <c r="Y591" t="n">
        <v/>
      </c>
      <c r="Z591" t="n">
        <v/>
      </c>
      <c r="AA591" t="n">
        <v/>
      </c>
      <c r="AB591" t="n">
        <v/>
      </c>
      <c r="AC591" t="n">
        <v>59.854804611</v>
      </c>
      <c r="AD591" t="n">
        <v>34.408748328</v>
      </c>
      <c r="AE591" t="n">
        <v/>
      </c>
      <c r="AF591" t="n">
        <v>41.862265805</v>
      </c>
      <c r="AG591" t="n">
        <v/>
      </c>
      <c r="AH591" t="n">
        <v/>
      </c>
      <c r="AI591" t="n">
        <v>38.852474369</v>
      </c>
      <c r="AJ591" t="n">
        <v>32.648976811</v>
      </c>
      <c r="AK591" t="n">
        <v/>
      </c>
      <c r="AL591" t="n">
        <v/>
      </c>
      <c r="AM591" t="n">
        <v/>
      </c>
      <c r="AN591" t="n">
        <v>31.811235806</v>
      </c>
      <c r="AO591" t="n">
        <v/>
      </c>
      <c r="AP591" t="n">
        <v/>
      </c>
      <c r="AQ591" t="n">
        <v/>
      </c>
      <c r="AR591" t="n">
        <v>42.750522507</v>
      </c>
      <c r="AS591" t="n">
        <v/>
      </c>
      <c r="AT591" t="n">
        <v>36.163189042</v>
      </c>
      <c r="AU591" t="n">
        <v/>
      </c>
    </row>
    <row r="592">
      <c r="A592" s="106" t="n">
        <v>24898</v>
      </c>
      <c r="B592" t="n">
        <v>20.744136411</v>
      </c>
      <c r="C592" t="n">
        <v>36.373142233</v>
      </c>
      <c r="D592" t="n">
        <v/>
      </c>
      <c r="E592" t="n">
        <v>36.057072591</v>
      </c>
      <c r="F592" t="n">
        <v/>
      </c>
      <c r="G592" t="n">
        <v/>
      </c>
      <c r="H592" t="n">
        <v/>
      </c>
      <c r="I592" t="n">
        <v>20.744136411</v>
      </c>
      <c r="J592" t="n">
        <v/>
      </c>
      <c r="K592" t="n">
        <v>39.690994794</v>
      </c>
      <c r="L592" t="n">
        <v/>
      </c>
      <c r="M592" t="n">
        <v/>
      </c>
      <c r="N592" t="n">
        <v>38.970799238</v>
      </c>
      <c r="O592" t="n">
        <v/>
      </c>
      <c r="P592" t="n">
        <v/>
      </c>
      <c r="Q592" t="n">
        <v>24.958005279</v>
      </c>
      <c r="R592" t="n">
        <v>52.645052186</v>
      </c>
      <c r="S592" t="n">
        <v>39.575007083</v>
      </c>
      <c r="T592" t="n">
        <v>57.410682703</v>
      </c>
      <c r="U592" t="n">
        <v/>
      </c>
      <c r="V592" t="n">
        <v>46.140648966</v>
      </c>
      <c r="W592" t="n">
        <v/>
      </c>
      <c r="X592" t="n">
        <v/>
      </c>
      <c r="Y592" t="n">
        <v/>
      </c>
      <c r="Z592" t="n">
        <v/>
      </c>
      <c r="AA592" t="n">
        <v/>
      </c>
      <c r="AB592" t="n">
        <v/>
      </c>
      <c r="AC592" t="n">
        <v>59.854804611</v>
      </c>
      <c r="AD592" t="n">
        <v>34.577006266</v>
      </c>
      <c r="AE592" t="n">
        <v/>
      </c>
      <c r="AF592" t="n">
        <v>43.761649655</v>
      </c>
      <c r="AG592" t="n">
        <v/>
      </c>
      <c r="AH592" t="n">
        <v/>
      </c>
      <c r="AI592" t="n">
        <v>39.423834286</v>
      </c>
      <c r="AJ592" t="n">
        <v>32.511700104</v>
      </c>
      <c r="AK592" t="n">
        <v/>
      </c>
      <c r="AL592" t="n">
        <v/>
      </c>
      <c r="AM592" t="n">
        <v/>
      </c>
      <c r="AN592" t="n">
        <v>31.469706289</v>
      </c>
      <c r="AO592" t="n">
        <v/>
      </c>
      <c r="AP592" t="n">
        <v/>
      </c>
      <c r="AQ592" t="n">
        <v/>
      </c>
      <c r="AR592" t="n">
        <v>43.660108092</v>
      </c>
      <c r="AS592" t="n">
        <v/>
      </c>
      <c r="AT592" t="n">
        <v>36.276031368</v>
      </c>
      <c r="AU592" t="n">
        <v/>
      </c>
    </row>
    <row r="593">
      <c r="A593" s="106" t="n">
        <v>24929</v>
      </c>
      <c r="B593" t="n">
        <v>20.764744643</v>
      </c>
      <c r="C593" t="n">
        <v>37.004963742</v>
      </c>
      <c r="D593" t="n">
        <v/>
      </c>
      <c r="E593" t="n">
        <v>36.991252077</v>
      </c>
      <c r="F593" t="n">
        <v/>
      </c>
      <c r="G593" t="n">
        <v/>
      </c>
      <c r="H593" t="n">
        <v/>
      </c>
      <c r="I593" t="n">
        <v>20.764744643</v>
      </c>
      <c r="J593" t="n">
        <v/>
      </c>
      <c r="K593" t="n">
        <v>39.814450454</v>
      </c>
      <c r="L593" t="n">
        <v/>
      </c>
      <c r="M593" t="n">
        <v/>
      </c>
      <c r="N593" t="n">
        <v>39.179165961</v>
      </c>
      <c r="O593" t="n">
        <v/>
      </c>
      <c r="P593" t="n">
        <v/>
      </c>
      <c r="Q593" t="n">
        <v>25.587171295</v>
      </c>
      <c r="R593" t="n">
        <v>52.523188636</v>
      </c>
      <c r="S593" t="n">
        <v>39.760830377</v>
      </c>
      <c r="T593" t="n">
        <v>57.622921825</v>
      </c>
      <c r="U593" t="n">
        <v/>
      </c>
      <c r="V593" t="n">
        <v>45.871237107</v>
      </c>
      <c r="W593" t="n">
        <v/>
      </c>
      <c r="X593" t="n">
        <v/>
      </c>
      <c r="Y593" t="n">
        <v/>
      </c>
      <c r="Z593" t="n">
        <v/>
      </c>
      <c r="AA593" t="n">
        <v/>
      </c>
      <c r="AB593" t="n">
        <v/>
      </c>
      <c r="AC593" t="n">
        <v>60.878546991</v>
      </c>
      <c r="AD593" t="n">
        <v>34.829393174</v>
      </c>
      <c r="AE593" t="n">
        <v/>
      </c>
      <c r="AF593" t="n">
        <v>43.853118827</v>
      </c>
      <c r="AG593" t="n">
        <v/>
      </c>
      <c r="AH593" t="n">
        <v/>
      </c>
      <c r="AI593" t="n">
        <v>39.709514245</v>
      </c>
      <c r="AJ593" t="n">
        <v>32.397302848</v>
      </c>
      <c r="AK593" t="n">
        <v/>
      </c>
      <c r="AL593" t="n">
        <v/>
      </c>
      <c r="AM593" t="n">
        <v/>
      </c>
      <c r="AN593" t="n">
        <v>30.912476817</v>
      </c>
      <c r="AO593" t="n">
        <v/>
      </c>
      <c r="AP593" t="n">
        <v/>
      </c>
      <c r="AQ593" t="n">
        <v/>
      </c>
      <c r="AR593" t="n">
        <v>45.02448647</v>
      </c>
      <c r="AS593" t="n">
        <v/>
      </c>
      <c r="AT593" t="n">
        <v>36.328585351</v>
      </c>
      <c r="AU593" t="n">
        <v/>
      </c>
    </row>
    <row r="594">
      <c r="A594" s="106" t="n">
        <v>24959</v>
      </c>
      <c r="B594" t="n">
        <v>20.802536292</v>
      </c>
      <c r="C594" t="n">
        <v>36.486337806</v>
      </c>
      <c r="D594" t="n">
        <v/>
      </c>
      <c r="E594" t="n">
        <v>37.459751548</v>
      </c>
      <c r="F594" t="n">
        <v/>
      </c>
      <c r="G594" t="n">
        <v/>
      </c>
      <c r="H594" t="n">
        <v/>
      </c>
      <c r="I594" t="n">
        <v>20.802536292</v>
      </c>
      <c r="J594" t="n">
        <v/>
      </c>
      <c r="K594" t="n">
        <v>40.863823567</v>
      </c>
      <c r="L594" t="n">
        <v/>
      </c>
      <c r="M594" t="n">
        <v/>
      </c>
      <c r="N594" t="n">
        <v>40.749104126</v>
      </c>
      <c r="O594" t="n">
        <v/>
      </c>
      <c r="P594" t="n">
        <v/>
      </c>
      <c r="Q594" t="n">
        <v>25.274218251</v>
      </c>
      <c r="R594" t="n">
        <v>35.949746288</v>
      </c>
      <c r="S594" t="n">
        <v>39.588061</v>
      </c>
      <c r="T594" t="n">
        <v>57.729041387</v>
      </c>
      <c r="U594" t="n">
        <v/>
      </c>
      <c r="V594" t="n">
        <v>46.467937699</v>
      </c>
      <c r="W594" t="n">
        <v/>
      </c>
      <c r="X594" t="n">
        <v/>
      </c>
      <c r="Y594" t="n">
        <v/>
      </c>
      <c r="Z594" t="n">
        <v/>
      </c>
      <c r="AA594" t="n">
        <v/>
      </c>
      <c r="AB594" t="n">
        <v/>
      </c>
      <c r="AC594" t="n">
        <v>61.697540896</v>
      </c>
      <c r="AD594" t="n">
        <v>35.923069771</v>
      </c>
      <c r="AE594" t="n">
        <v/>
      </c>
      <c r="AF594" t="n">
        <v>44.414146821</v>
      </c>
      <c r="AG594" t="n">
        <v/>
      </c>
      <c r="AH594" t="n">
        <v/>
      </c>
      <c r="AI594" t="n">
        <v>39.995194203</v>
      </c>
      <c r="AJ594" t="n">
        <v>33.998864429</v>
      </c>
      <c r="AK594" t="n">
        <v/>
      </c>
      <c r="AL594" t="n">
        <v/>
      </c>
      <c r="AM594" t="n">
        <v/>
      </c>
      <c r="AN594" t="n">
        <v>32.203439427</v>
      </c>
      <c r="AO594" t="n">
        <v/>
      </c>
      <c r="AP594" t="n">
        <v/>
      </c>
      <c r="AQ594" t="n">
        <v/>
      </c>
      <c r="AR594" t="n">
        <v>44.569693677</v>
      </c>
      <c r="AS594" t="n">
        <v/>
      </c>
      <c r="AT594" t="n">
        <v>36.736027458</v>
      </c>
      <c r="AU594" t="n">
        <v/>
      </c>
    </row>
    <row r="595">
      <c r="A595" s="106" t="n">
        <v>24990</v>
      </c>
      <c r="B595" t="n">
        <v>21.953427084</v>
      </c>
      <c r="C595" t="n">
        <v>37.554732429</v>
      </c>
      <c r="D595" t="n">
        <v/>
      </c>
      <c r="E595" t="n">
        <v>37.754384615</v>
      </c>
      <c r="F595" t="n">
        <v/>
      </c>
      <c r="G595" t="n">
        <v/>
      </c>
      <c r="H595" t="n">
        <v/>
      </c>
      <c r="I595" t="n">
        <v>21.953427084</v>
      </c>
      <c r="J595" t="n">
        <v/>
      </c>
      <c r="K595" t="n">
        <v>41.542829699</v>
      </c>
      <c r="L595" t="n">
        <v/>
      </c>
      <c r="M595" t="n">
        <v/>
      </c>
      <c r="N595" t="n">
        <v>39.975505944</v>
      </c>
      <c r="O595" t="n">
        <v/>
      </c>
      <c r="P595" t="n">
        <v/>
      </c>
      <c r="Q595" t="n">
        <v>25.205759772</v>
      </c>
      <c r="R595" t="n">
        <v>45.211375838</v>
      </c>
      <c r="S595" t="n">
        <v>40.094078781</v>
      </c>
      <c r="T595" t="n">
        <v>57.835160948</v>
      </c>
      <c r="U595" t="n">
        <v/>
      </c>
      <c r="V595" t="n">
        <v>48.148609027</v>
      </c>
      <c r="W595" t="n">
        <v/>
      </c>
      <c r="X595" t="n">
        <v/>
      </c>
      <c r="Y595" t="n">
        <v/>
      </c>
      <c r="Z595" t="n">
        <v/>
      </c>
      <c r="AA595" t="n">
        <v/>
      </c>
      <c r="AB595" t="n">
        <v/>
      </c>
      <c r="AC595" t="n">
        <v>61.561041908</v>
      </c>
      <c r="AD595" t="n">
        <v>35.334166988</v>
      </c>
      <c r="AE595" t="n">
        <v/>
      </c>
      <c r="AF595" t="n">
        <v>44.826955899</v>
      </c>
      <c r="AG595" t="n">
        <v/>
      </c>
      <c r="AH595" t="n">
        <v/>
      </c>
      <c r="AI595" t="n">
        <v>41.137914038</v>
      </c>
      <c r="AJ595" t="n">
        <v>31.871075471</v>
      </c>
      <c r="AK595" t="n">
        <v/>
      </c>
      <c r="AL595" t="n">
        <v/>
      </c>
      <c r="AM595" t="n">
        <v/>
      </c>
      <c r="AN595" t="n">
        <v>31.196905503</v>
      </c>
      <c r="AO595" t="n">
        <v/>
      </c>
      <c r="AP595" t="n">
        <v/>
      </c>
      <c r="AQ595" t="n">
        <v/>
      </c>
      <c r="AR595" t="n">
        <v>45.934072055</v>
      </c>
      <c r="AS595" t="n">
        <v/>
      </c>
      <c r="AT595" t="n">
        <v>36.87098212</v>
      </c>
      <c r="AU595" t="n">
        <v/>
      </c>
    </row>
    <row r="596">
      <c r="A596" s="106" t="n">
        <v>25020</v>
      </c>
      <c r="B596" t="n">
        <v>21.375899981</v>
      </c>
      <c r="C596" t="n">
        <v>36.135992977</v>
      </c>
      <c r="D596" t="n">
        <v/>
      </c>
      <c r="E596" t="n">
        <v>37.604483581</v>
      </c>
      <c r="F596" t="n">
        <v/>
      </c>
      <c r="G596" t="n">
        <v/>
      </c>
      <c r="H596" t="n">
        <v/>
      </c>
      <c r="I596" t="n">
        <v>21.375899981</v>
      </c>
      <c r="J596" t="n">
        <v/>
      </c>
      <c r="K596" t="n">
        <v>40.987279227</v>
      </c>
      <c r="L596" t="n">
        <v/>
      </c>
      <c r="M596" t="n">
        <v/>
      </c>
      <c r="N596" t="n">
        <v>40.981033836</v>
      </c>
      <c r="O596" t="n">
        <v/>
      </c>
      <c r="P596" t="n">
        <v/>
      </c>
      <c r="Q596" t="n">
        <v>25.010164119</v>
      </c>
      <c r="R596" t="n">
        <v>54.777664258</v>
      </c>
      <c r="S596" t="n">
        <v>40.565925113</v>
      </c>
      <c r="T596" t="n">
        <v>58.153519632</v>
      </c>
      <c r="U596" t="n">
        <v/>
      </c>
      <c r="V596" t="n">
        <v>47.765329695</v>
      </c>
      <c r="W596" t="n">
        <v/>
      </c>
      <c r="X596" t="n">
        <v/>
      </c>
      <c r="Y596" t="n">
        <v/>
      </c>
      <c r="Z596" t="n">
        <v/>
      </c>
      <c r="AA596" t="n">
        <v/>
      </c>
      <c r="AB596" t="n">
        <v/>
      </c>
      <c r="AC596" t="n">
        <v>62.03878836</v>
      </c>
      <c r="AD596" t="n">
        <v>35.754811833</v>
      </c>
      <c r="AE596" t="n">
        <v/>
      </c>
      <c r="AF596" t="n">
        <v>44.761492075</v>
      </c>
      <c r="AG596" t="n">
        <v/>
      </c>
      <c r="AH596" t="n">
        <v/>
      </c>
      <c r="AI596" t="n">
        <v>40.852234079</v>
      </c>
      <c r="AJ596" t="n">
        <v>33.358239797</v>
      </c>
      <c r="AK596" t="n">
        <v/>
      </c>
      <c r="AL596" t="n">
        <v/>
      </c>
      <c r="AM596" t="n">
        <v/>
      </c>
      <c r="AN596" t="n">
        <v>31.430091056</v>
      </c>
      <c r="AO596" t="n">
        <v/>
      </c>
      <c r="AP596" t="n">
        <v/>
      </c>
      <c r="AQ596" t="n">
        <v/>
      </c>
      <c r="AR596" t="n">
        <v>50.027207189</v>
      </c>
      <c r="AS596" t="n">
        <v/>
      </c>
      <c r="AT596" t="n">
        <v>36.814461798</v>
      </c>
      <c r="AU596" t="n">
        <v/>
      </c>
    </row>
    <row r="597">
      <c r="A597" s="106" t="n">
        <v>25051</v>
      </c>
      <c r="B597" t="n">
        <v>21.667841164</v>
      </c>
      <c r="C597" t="n">
        <v>37.847900908</v>
      </c>
      <c r="D597" t="n">
        <v/>
      </c>
      <c r="E597" t="n">
        <v>38.109635969</v>
      </c>
      <c r="F597" t="n">
        <v/>
      </c>
      <c r="G597" t="n">
        <v/>
      </c>
      <c r="H597" t="n">
        <v/>
      </c>
      <c r="I597" t="n">
        <v>21.667841164</v>
      </c>
      <c r="J597" t="n">
        <v/>
      </c>
      <c r="K597" t="n">
        <v>43.765031585</v>
      </c>
      <c r="L597" t="n">
        <v/>
      </c>
      <c r="M597" t="n">
        <v/>
      </c>
      <c r="N597" t="n">
        <v>41.121262089</v>
      </c>
      <c r="O597" t="n">
        <v/>
      </c>
      <c r="P597" t="n">
        <v/>
      </c>
      <c r="Q597" t="n">
        <v>25.26117854</v>
      </c>
      <c r="R597" t="n">
        <v>54.777664258</v>
      </c>
      <c r="S597" t="n">
        <v>41.249510233</v>
      </c>
      <c r="T597" t="n">
        <v>58.259639193</v>
      </c>
      <c r="U597" t="n">
        <v/>
      </c>
      <c r="V597" t="n">
        <v>48.8599216</v>
      </c>
      <c r="W597" t="n">
        <v/>
      </c>
      <c r="X597" t="n">
        <v/>
      </c>
      <c r="Y597" t="n">
        <v/>
      </c>
      <c r="Z597" t="n">
        <v/>
      </c>
      <c r="AA597" t="n">
        <v/>
      </c>
      <c r="AB597" t="n">
        <v/>
      </c>
      <c r="AC597" t="n">
        <v>61.834039884</v>
      </c>
      <c r="AD597" t="n">
        <v>36.680230492</v>
      </c>
      <c r="AE597" t="n">
        <v/>
      </c>
      <c r="AF597" t="n">
        <v>45.095618109</v>
      </c>
      <c r="AG597" t="n">
        <v/>
      </c>
      <c r="AH597" t="n">
        <v/>
      </c>
      <c r="AI597" t="n">
        <v>41.137914038</v>
      </c>
      <c r="AJ597" t="n">
        <v>32.603217908</v>
      </c>
      <c r="AK597" t="n">
        <v/>
      </c>
      <c r="AL597" t="n">
        <v/>
      </c>
      <c r="AM597" t="n">
        <v/>
      </c>
      <c r="AN597" t="n">
        <v>33.284380313</v>
      </c>
      <c r="AO597" t="n">
        <v/>
      </c>
      <c r="AP597" t="n">
        <v/>
      </c>
      <c r="AQ597" t="n">
        <v/>
      </c>
      <c r="AR597" t="n">
        <v>46.84365764</v>
      </c>
      <c r="AS597" t="n">
        <v/>
      </c>
      <c r="AT597" t="n">
        <v>36.917189962</v>
      </c>
      <c r="AU597" t="n">
        <v/>
      </c>
    </row>
    <row r="598">
      <c r="A598" s="106" t="n">
        <v>25082</v>
      </c>
      <c r="B598" t="n">
        <v>22.052865369</v>
      </c>
      <c r="C598" t="n">
        <v>38.946965514</v>
      </c>
      <c r="D598" t="n">
        <v/>
      </c>
      <c r="E598" t="n">
        <v>38.523625972</v>
      </c>
      <c r="F598" t="n">
        <v/>
      </c>
      <c r="G598" t="n">
        <v/>
      </c>
      <c r="H598" t="n">
        <v/>
      </c>
      <c r="I598" t="n">
        <v>22.052865369</v>
      </c>
      <c r="J598" t="n">
        <v/>
      </c>
      <c r="K598" t="n">
        <v>43.086025453</v>
      </c>
      <c r="L598" t="n">
        <v/>
      </c>
      <c r="M598" t="n">
        <v/>
      </c>
      <c r="N598" t="n">
        <v>41.463818993</v>
      </c>
      <c r="O598" t="n">
        <v/>
      </c>
      <c r="P598" t="n">
        <v/>
      </c>
      <c r="Q598" t="n">
        <v>25.945763325</v>
      </c>
      <c r="R598" t="n">
        <v>53.193438147</v>
      </c>
      <c r="S598" t="n">
        <v>41.204966043</v>
      </c>
      <c r="T598" t="n">
        <v>58.365758755</v>
      </c>
      <c r="U598" t="n">
        <v/>
      </c>
      <c r="V598" t="n">
        <v>48.719194347</v>
      </c>
      <c r="W598" t="n">
        <v/>
      </c>
      <c r="X598" t="n">
        <v/>
      </c>
      <c r="Y598" t="n">
        <v/>
      </c>
      <c r="Z598" t="n">
        <v/>
      </c>
      <c r="AA598" t="n">
        <v/>
      </c>
      <c r="AB598" t="n">
        <v/>
      </c>
      <c r="AC598" t="n">
        <v>63.676776169</v>
      </c>
      <c r="AD598" t="n">
        <v>36.511972554</v>
      </c>
      <c r="AE598" t="n">
        <v/>
      </c>
      <c r="AF598" t="n">
        <v>46.511791186</v>
      </c>
      <c r="AG598" t="n">
        <v/>
      </c>
      <c r="AH598" t="n">
        <v/>
      </c>
      <c r="AI598" t="n">
        <v>41.994953913</v>
      </c>
      <c r="AJ598" t="n">
        <v>32.717615164</v>
      </c>
      <c r="AK598" t="n">
        <v/>
      </c>
      <c r="AL598" t="n">
        <v/>
      </c>
      <c r="AM598" t="n">
        <v/>
      </c>
      <c r="AN598" t="n">
        <v>35.43231408</v>
      </c>
      <c r="AO598" t="n">
        <v/>
      </c>
      <c r="AP598" t="n">
        <v/>
      </c>
      <c r="AQ598" t="n">
        <v/>
      </c>
      <c r="AR598" t="n">
        <v>46.84365764</v>
      </c>
      <c r="AS598" t="n">
        <v/>
      </c>
      <c r="AT598" t="n">
        <v>37.057003388</v>
      </c>
      <c r="AU598" t="n">
        <v/>
      </c>
    </row>
    <row r="599">
      <c r="A599" s="106" t="n">
        <v>25112</v>
      </c>
      <c r="B599" t="n">
        <v>21.856553763</v>
      </c>
      <c r="C599" t="n">
        <v>38.012554767</v>
      </c>
      <c r="D599" t="n">
        <v/>
      </c>
      <c r="E599" t="n">
        <v>38.769388483</v>
      </c>
      <c r="F599" t="n">
        <v/>
      </c>
      <c r="G599" t="n">
        <v/>
      </c>
      <c r="H599" t="n">
        <v/>
      </c>
      <c r="I599" t="n">
        <v>21.856553763</v>
      </c>
      <c r="J599" t="n">
        <v/>
      </c>
      <c r="K599" t="n">
        <v>43.209481113</v>
      </c>
      <c r="L599" t="n">
        <v/>
      </c>
      <c r="M599" t="n">
        <v/>
      </c>
      <c r="N599" t="n">
        <v>43.148789733</v>
      </c>
      <c r="O599" t="n">
        <v/>
      </c>
      <c r="P599" t="n">
        <v/>
      </c>
      <c r="Q599" t="n">
        <v>26.216337311</v>
      </c>
      <c r="R599" t="n">
        <v>55.569777309</v>
      </c>
      <c r="S599" t="n">
        <v>41.589328989</v>
      </c>
      <c r="T599" t="n">
        <v>58.365758755</v>
      </c>
      <c r="U599" t="n">
        <v/>
      </c>
      <c r="V599" t="n">
        <v>48.957762126</v>
      </c>
      <c r="W599" t="n">
        <v/>
      </c>
      <c r="X599" t="n">
        <v/>
      </c>
      <c r="Y599" t="n">
        <v/>
      </c>
      <c r="Z599" t="n">
        <v/>
      </c>
      <c r="AA599" t="n">
        <v/>
      </c>
      <c r="AB599" t="n">
        <v/>
      </c>
      <c r="AC599" t="n">
        <v>64.15452261</v>
      </c>
      <c r="AD599" t="n">
        <v>37.437391213</v>
      </c>
      <c r="AE599" t="n">
        <v/>
      </c>
      <c r="AF599" t="n">
        <v>46.398755865</v>
      </c>
      <c r="AG599" t="n">
        <v/>
      </c>
      <c r="AH599" t="n">
        <v/>
      </c>
      <c r="AI599" t="n">
        <v>42.280633872</v>
      </c>
      <c r="AJ599" t="n">
        <v>33.541275406</v>
      </c>
      <c r="AK599" t="n">
        <v/>
      </c>
      <c r="AL599" t="n">
        <v/>
      </c>
      <c r="AM599" t="n">
        <v/>
      </c>
      <c r="AN599" t="n">
        <v>33.876381613</v>
      </c>
      <c r="AO599" t="n">
        <v/>
      </c>
      <c r="AP599" t="n">
        <v/>
      </c>
      <c r="AQ599" t="n">
        <v/>
      </c>
      <c r="AR599" t="n">
        <v>46.388864848</v>
      </c>
      <c r="AS599" t="n">
        <v/>
      </c>
      <c r="AT599" t="n">
        <v>37.130578965</v>
      </c>
      <c r="AU599" t="n">
        <v/>
      </c>
    </row>
    <row r="600">
      <c r="A600" s="106" t="n">
        <v>25143</v>
      </c>
      <c r="B600" t="n">
        <v>22.370340362</v>
      </c>
      <c r="C600" t="n">
        <v>38.816137705</v>
      </c>
      <c r="D600" t="n">
        <v/>
      </c>
      <c r="E600" t="n">
        <v>39.244466682</v>
      </c>
      <c r="F600" t="n">
        <v/>
      </c>
      <c r="G600" t="n">
        <v/>
      </c>
      <c r="H600" t="n">
        <v/>
      </c>
      <c r="I600" t="n">
        <v>22.370340362</v>
      </c>
      <c r="J600" t="n">
        <v/>
      </c>
      <c r="K600" t="n">
        <v>44.690949037</v>
      </c>
      <c r="L600" t="n">
        <v/>
      </c>
      <c r="M600" t="n">
        <v/>
      </c>
      <c r="N600" t="n">
        <v>43.3063207</v>
      </c>
      <c r="O600" t="n">
        <v/>
      </c>
      <c r="P600" t="n">
        <v/>
      </c>
      <c r="Q600" t="n">
        <v>26.773784921</v>
      </c>
      <c r="R600" t="n">
        <v>56.727481001</v>
      </c>
      <c r="S600" t="n">
        <v>42.20455353</v>
      </c>
      <c r="T600" t="n">
        <v>58.471878316</v>
      </c>
      <c r="U600" t="n">
        <v/>
      </c>
      <c r="V600" t="n">
        <v>49.513804858</v>
      </c>
      <c r="W600" t="n">
        <v/>
      </c>
      <c r="X600" t="n">
        <v/>
      </c>
      <c r="Y600" t="n">
        <v/>
      </c>
      <c r="Z600" t="n">
        <v/>
      </c>
      <c r="AA600" t="n">
        <v/>
      </c>
      <c r="AB600" t="n">
        <v/>
      </c>
      <c r="AC600" t="n">
        <v>61.834039884</v>
      </c>
      <c r="AD600" t="n">
        <v>38.446938841</v>
      </c>
      <c r="AE600" t="n">
        <v/>
      </c>
      <c r="AF600" t="n">
        <v>47.111479624</v>
      </c>
      <c r="AG600" t="n">
        <v/>
      </c>
      <c r="AH600" t="n">
        <v/>
      </c>
      <c r="AI600" t="n">
        <v>42.851993789</v>
      </c>
      <c r="AJ600" t="n">
        <v>33.243842541</v>
      </c>
      <c r="AK600" t="n">
        <v/>
      </c>
      <c r="AL600" t="n">
        <v/>
      </c>
      <c r="AM600" t="n">
        <v/>
      </c>
      <c r="AN600" t="n">
        <v>33.670612473</v>
      </c>
      <c r="AO600" t="n">
        <v/>
      </c>
      <c r="AP600" t="n">
        <v/>
      </c>
      <c r="AQ600" t="n">
        <v/>
      </c>
      <c r="AR600" t="n">
        <v>46.84365764</v>
      </c>
      <c r="AS600" t="n">
        <v/>
      </c>
      <c r="AT600" t="n">
        <v>37.610902539</v>
      </c>
      <c r="AU600" t="n">
        <v/>
      </c>
    </row>
    <row r="601">
      <c r="A601" s="106" t="n">
        <v>25173</v>
      </c>
      <c r="B601" t="n">
        <v>20.74809019</v>
      </c>
      <c r="C601" t="n">
        <v>39.257856087</v>
      </c>
      <c r="D601" t="n">
        <v/>
      </c>
      <c r="E601" t="n">
        <v>39.188547488</v>
      </c>
      <c r="F601" t="n">
        <v/>
      </c>
      <c r="G601" t="n">
        <v/>
      </c>
      <c r="H601" t="n">
        <v/>
      </c>
      <c r="I601" t="n">
        <v>20.74809019</v>
      </c>
      <c r="J601" t="n">
        <v/>
      </c>
      <c r="K601" t="n">
        <v>44.444037716</v>
      </c>
      <c r="L601" t="n">
        <v/>
      </c>
      <c r="M601" t="n">
        <v/>
      </c>
      <c r="N601" t="n">
        <v>44.860772409</v>
      </c>
      <c r="O601" t="n">
        <v/>
      </c>
      <c r="P601" t="n">
        <v/>
      </c>
      <c r="Q601" t="n">
        <v>27.275813763</v>
      </c>
      <c r="R601" t="n">
        <v>56.66654923</v>
      </c>
      <c r="S601" t="n">
        <v>42.316819452</v>
      </c>
      <c r="T601" t="n">
        <v>58.577997878</v>
      </c>
      <c r="U601" t="n">
        <v/>
      </c>
      <c r="V601" t="n">
        <v>49.721235786</v>
      </c>
      <c r="W601" t="n">
        <v/>
      </c>
      <c r="X601" t="n">
        <v/>
      </c>
      <c r="Y601" t="n">
        <v/>
      </c>
      <c r="Z601" t="n">
        <v/>
      </c>
      <c r="AA601" t="n">
        <v/>
      </c>
      <c r="AB601" t="n">
        <v/>
      </c>
      <c r="AC601" t="n">
        <v>64.564019573</v>
      </c>
      <c r="AD601" t="n">
        <v>38.278680903</v>
      </c>
      <c r="AE601" t="n">
        <v/>
      </c>
      <c r="AF601" t="n">
        <v>47.867723664</v>
      </c>
      <c r="AG601" t="n">
        <v/>
      </c>
      <c r="AH601" t="n">
        <v/>
      </c>
      <c r="AI601" t="n">
        <v>43.423353706</v>
      </c>
      <c r="AJ601" t="n">
        <v>33.266721992</v>
      </c>
      <c r="AK601" t="n">
        <v/>
      </c>
      <c r="AL601" t="n">
        <v/>
      </c>
      <c r="AM601" t="n">
        <v/>
      </c>
      <c r="AN601" t="n">
        <v>33.5961613</v>
      </c>
      <c r="AO601" t="n">
        <v/>
      </c>
      <c r="AP601" t="n">
        <v/>
      </c>
      <c r="AQ601" t="n">
        <v/>
      </c>
      <c r="AR601" t="n">
        <v>48.208036018</v>
      </c>
      <c r="AS601" t="n">
        <v/>
      </c>
      <c r="AT601" t="n">
        <v>37.729694372</v>
      </c>
      <c r="AU601" t="n">
        <v/>
      </c>
    </row>
    <row r="602">
      <c r="A602" s="106" t="n">
        <v>25204</v>
      </c>
      <c r="B602" t="n">
        <v>22.477048362</v>
      </c>
      <c r="C602" t="n">
        <v>40.083825271</v>
      </c>
      <c r="D602" t="n">
        <v/>
      </c>
      <c r="E602" t="n">
        <v>39.331869793</v>
      </c>
      <c r="F602" t="n">
        <v/>
      </c>
      <c r="G602" t="n">
        <v/>
      </c>
      <c r="H602" t="n">
        <v/>
      </c>
      <c r="I602" t="n">
        <v>22.477048362</v>
      </c>
      <c r="J602" t="n">
        <v/>
      </c>
      <c r="K602" t="n">
        <v>44.937860358</v>
      </c>
      <c r="L602" t="n">
        <v/>
      </c>
      <c r="M602" t="n">
        <v/>
      </c>
      <c r="N602" t="n">
        <v>45.473979987</v>
      </c>
      <c r="O602" t="n">
        <v/>
      </c>
      <c r="P602" t="n">
        <v/>
      </c>
      <c r="Q602" t="n">
        <v>27.458369705</v>
      </c>
      <c r="R602" t="n">
        <v>56.30095859</v>
      </c>
      <c r="S602" t="n">
        <v>42.666406877</v>
      </c>
      <c r="T602" t="n">
        <v>58.896356562</v>
      </c>
      <c r="U602" t="n">
        <v/>
      </c>
      <c r="V602" t="n">
        <v>49.235879757</v>
      </c>
      <c r="W602" t="n">
        <v/>
      </c>
      <c r="X602" t="n">
        <v/>
      </c>
      <c r="Y602" t="n">
        <v/>
      </c>
      <c r="Z602" t="n">
        <v/>
      </c>
      <c r="AA602" t="n">
        <v/>
      </c>
      <c r="AB602" t="n">
        <v/>
      </c>
      <c r="AC602" t="n">
        <v>65.860759918</v>
      </c>
      <c r="AD602" t="n">
        <v>38.783454717</v>
      </c>
      <c r="AE602" t="n">
        <v/>
      </c>
      <c r="AF602" t="n">
        <v>50.453363976</v>
      </c>
      <c r="AG602" t="n">
        <v/>
      </c>
      <c r="AH602" t="n">
        <v/>
      </c>
      <c r="AI602" t="n">
        <v>43.137673748</v>
      </c>
      <c r="AJ602" t="n">
        <v>34.933946541</v>
      </c>
      <c r="AK602" t="n">
        <v/>
      </c>
      <c r="AL602" t="n">
        <v/>
      </c>
      <c r="AM602" t="n">
        <v/>
      </c>
      <c r="AN602" t="n">
        <v>34.754626177</v>
      </c>
      <c r="AO602" t="n">
        <v/>
      </c>
      <c r="AP602" t="n">
        <v/>
      </c>
      <c r="AQ602" t="n">
        <v/>
      </c>
      <c r="AR602" t="n">
        <v>47.753243226</v>
      </c>
      <c r="AS602" t="n">
        <v/>
      </c>
      <c r="AT602" t="n">
        <v>37.957957144</v>
      </c>
      <c r="AU602" t="n">
        <v/>
      </c>
    </row>
    <row r="603">
      <c r="A603" s="106" t="n">
        <v>25235</v>
      </c>
      <c r="B603" t="n">
        <v>22.711688906</v>
      </c>
      <c r="C603" t="n">
        <v>39.313530811</v>
      </c>
      <c r="D603" t="n">
        <v/>
      </c>
      <c r="E603" t="n">
        <v>39.874145008</v>
      </c>
      <c r="F603" t="n">
        <v/>
      </c>
      <c r="G603" t="n">
        <v/>
      </c>
      <c r="H603" t="n">
        <v/>
      </c>
      <c r="I603" t="n">
        <v>22.711688906</v>
      </c>
      <c r="J603" t="n">
        <v/>
      </c>
      <c r="K603" t="n">
        <v>45.184771678</v>
      </c>
      <c r="L603" t="n">
        <v/>
      </c>
      <c r="M603" t="n">
        <v/>
      </c>
      <c r="N603" t="n">
        <v>43.971697252</v>
      </c>
      <c r="O603" t="n">
        <v/>
      </c>
      <c r="P603" t="n">
        <v/>
      </c>
      <c r="Q603" t="n">
        <v>27.78436246</v>
      </c>
      <c r="R603" t="n">
        <v>55.691640859</v>
      </c>
      <c r="S603" t="n">
        <v>42.852078418</v>
      </c>
      <c r="T603" t="n">
        <v>59.320834807</v>
      </c>
      <c r="U603" t="n">
        <v/>
      </c>
      <c r="V603" t="n">
        <v>50.743712994</v>
      </c>
      <c r="W603" t="n">
        <v/>
      </c>
      <c r="X603" t="n">
        <v/>
      </c>
      <c r="Y603" t="n">
        <v/>
      </c>
      <c r="Z603" t="n">
        <v/>
      </c>
      <c r="AA603" t="n">
        <v/>
      </c>
      <c r="AB603" t="n">
        <v/>
      </c>
      <c r="AC603" t="n">
        <v>63.881524645</v>
      </c>
      <c r="AD603" t="n">
        <v>39.372357501</v>
      </c>
      <c r="AE603" t="n">
        <v/>
      </c>
      <c r="AF603" t="n">
        <v>49.040937789</v>
      </c>
      <c r="AG603" t="n">
        <v/>
      </c>
      <c r="AH603" t="n">
        <v/>
      </c>
      <c r="AI603" t="n">
        <v>43.137673748</v>
      </c>
      <c r="AJ603" t="n">
        <v>33.94565531</v>
      </c>
      <c r="AK603" t="n">
        <v/>
      </c>
      <c r="AL603" t="n">
        <v/>
      </c>
      <c r="AM603" t="n">
        <v/>
      </c>
      <c r="AN603" t="n">
        <v>35.554852688</v>
      </c>
      <c r="AO603" t="n">
        <v/>
      </c>
      <c r="AP603" t="n">
        <v/>
      </c>
      <c r="AQ603" t="n">
        <v/>
      </c>
      <c r="AR603" t="n">
        <v>46.84365764</v>
      </c>
      <c r="AS603" t="n">
        <v/>
      </c>
      <c r="AT603" t="n">
        <v>38.200796209</v>
      </c>
      <c r="AU603" t="n">
        <v/>
      </c>
    </row>
    <row r="604">
      <c r="A604" s="106" t="n">
        <v>25263</v>
      </c>
      <c r="B604" t="n">
        <v>22.930893892</v>
      </c>
      <c r="C604" t="n">
        <v>39.929979904</v>
      </c>
      <c r="D604" t="n">
        <v/>
      </c>
      <c r="E604" t="n">
        <v>40.559272619</v>
      </c>
      <c r="F604" t="n">
        <v/>
      </c>
      <c r="G604" t="n">
        <v/>
      </c>
      <c r="H604" t="n">
        <v/>
      </c>
      <c r="I604" t="n">
        <v>22.930893892</v>
      </c>
      <c r="J604" t="n">
        <v/>
      </c>
      <c r="K604" t="n">
        <v>45.67859432</v>
      </c>
      <c r="L604" t="n">
        <v/>
      </c>
      <c r="M604" t="n">
        <v/>
      </c>
      <c r="N604" t="n">
        <v>46.918509748</v>
      </c>
      <c r="O604" t="n">
        <v/>
      </c>
      <c r="P604" t="n">
        <v/>
      </c>
      <c r="Q604" t="n">
        <v>28.263571809</v>
      </c>
      <c r="R604" t="n">
        <v>55.691640859</v>
      </c>
      <c r="S604" t="n">
        <v>43.226373306</v>
      </c>
      <c r="T604" t="n">
        <v>59.745313053</v>
      </c>
      <c r="U604" t="n">
        <v/>
      </c>
      <c r="V604" t="n">
        <v>50.917047287</v>
      </c>
      <c r="W604" t="n">
        <v/>
      </c>
      <c r="X604" t="n">
        <v/>
      </c>
      <c r="Y604" t="n">
        <v/>
      </c>
      <c r="Z604" t="n">
        <v/>
      </c>
      <c r="AA604" t="n">
        <v/>
      </c>
      <c r="AB604" t="n">
        <v/>
      </c>
      <c r="AC604" t="n">
        <v>65.860759918</v>
      </c>
      <c r="AD604" t="n">
        <v>39.45648647</v>
      </c>
      <c r="AE604" t="n">
        <v/>
      </c>
      <c r="AF604" t="n">
        <v>49.275105584</v>
      </c>
      <c r="AG604" t="n">
        <v/>
      </c>
      <c r="AH604" t="n">
        <v/>
      </c>
      <c r="AI604" t="n">
        <v>43.994713624</v>
      </c>
      <c r="AJ604" t="n">
        <v>34.590193069</v>
      </c>
      <c r="AK604" t="n">
        <v/>
      </c>
      <c r="AL604" t="n">
        <v/>
      </c>
      <c r="AM604" t="n">
        <v/>
      </c>
      <c r="AN604" t="n">
        <v>34.029587818</v>
      </c>
      <c r="AO604" t="n">
        <v/>
      </c>
      <c r="AP604" t="n">
        <v/>
      </c>
      <c r="AQ604" t="n">
        <v/>
      </c>
      <c r="AR604" t="n">
        <v>47.753243226</v>
      </c>
      <c r="AS604" t="n">
        <v/>
      </c>
      <c r="AT604" t="n">
        <v>38.500353913</v>
      </c>
      <c r="AU604" t="n">
        <v/>
      </c>
    </row>
    <row r="605">
      <c r="A605" s="106" t="n">
        <v>25294</v>
      </c>
      <c r="B605" t="n">
        <v>22.874895678</v>
      </c>
      <c r="C605" t="n">
        <v>40.791154988</v>
      </c>
      <c r="D605" t="n">
        <v/>
      </c>
      <c r="E605" t="n">
        <v>40.176296622</v>
      </c>
      <c r="F605" t="n">
        <v/>
      </c>
      <c r="G605" t="n">
        <v/>
      </c>
      <c r="H605" t="n">
        <v/>
      </c>
      <c r="I605" t="n">
        <v>22.874895678</v>
      </c>
      <c r="J605" t="n">
        <v/>
      </c>
      <c r="K605" t="n">
        <v>45.98723347</v>
      </c>
      <c r="L605" t="n">
        <v/>
      </c>
      <c r="M605" t="n">
        <v/>
      </c>
      <c r="N605" t="n">
        <v>47.019514668</v>
      </c>
      <c r="O605" t="n">
        <v/>
      </c>
      <c r="P605" t="n">
        <v/>
      </c>
      <c r="Q605" t="n">
        <v>28.413528476</v>
      </c>
      <c r="R605" t="n">
        <v>57.519594052</v>
      </c>
      <c r="S605" t="n">
        <v>43.53579213</v>
      </c>
      <c r="T605" t="n">
        <v>60.169791298</v>
      </c>
      <c r="U605" t="n">
        <v/>
      </c>
      <c r="V605" t="n">
        <v>51.368051247</v>
      </c>
      <c r="W605" t="n">
        <v/>
      </c>
      <c r="X605" t="n">
        <v/>
      </c>
      <c r="Y605" t="n">
        <v/>
      </c>
      <c r="Z605" t="n">
        <v/>
      </c>
      <c r="AA605" t="n">
        <v/>
      </c>
      <c r="AB605" t="n">
        <v/>
      </c>
      <c r="AC605" t="n">
        <v>66.20200738200001</v>
      </c>
      <c r="AD605" t="n">
        <v>40.550163067</v>
      </c>
      <c r="AE605" t="n">
        <v/>
      </c>
      <c r="AF605" t="n">
        <v>49.334243433</v>
      </c>
      <c r="AG605" t="n">
        <v/>
      </c>
      <c r="AH605" t="n">
        <v/>
      </c>
      <c r="AI605" t="n">
        <v>44.566073541</v>
      </c>
      <c r="AJ605" t="n">
        <v>33.601901839</v>
      </c>
      <c r="AK605" t="n">
        <v/>
      </c>
      <c r="AL605" t="n">
        <v/>
      </c>
      <c r="AM605" t="n">
        <v/>
      </c>
      <c r="AN605" t="n">
        <v>34.077489507</v>
      </c>
      <c r="AO605" t="n">
        <v/>
      </c>
      <c r="AP605" t="n">
        <v/>
      </c>
      <c r="AQ605" t="n">
        <v/>
      </c>
      <c r="AR605" t="n">
        <v>48.662828811</v>
      </c>
      <c r="AS605" t="n">
        <v/>
      </c>
      <c r="AT605" t="n">
        <v>38.358656476</v>
      </c>
      <c r="AU605" t="n">
        <v/>
      </c>
    </row>
    <row r="606">
      <c r="A606" s="106" t="n">
        <v>25324</v>
      </c>
      <c r="B606" t="n">
        <v>23.429438971</v>
      </c>
      <c r="C606" t="n">
        <v>41.167340695</v>
      </c>
      <c r="D606" t="n">
        <v/>
      </c>
      <c r="E606" t="n">
        <v>40.141993251</v>
      </c>
      <c r="F606" t="n">
        <v/>
      </c>
      <c r="G606" t="n">
        <v/>
      </c>
      <c r="H606" t="n">
        <v/>
      </c>
      <c r="I606" t="n">
        <v>23.429438971</v>
      </c>
      <c r="J606" t="n">
        <v/>
      </c>
      <c r="K606" t="n">
        <v>46.542783942</v>
      </c>
      <c r="L606" t="n">
        <v/>
      </c>
      <c r="M606" t="n">
        <v/>
      </c>
      <c r="N606" t="n">
        <v>47.632248867</v>
      </c>
      <c r="O606" t="n">
        <v/>
      </c>
      <c r="P606" t="n">
        <v/>
      </c>
      <c r="Q606" t="n">
        <v>28.9253371</v>
      </c>
      <c r="R606" t="n">
        <v>58.860093073</v>
      </c>
      <c r="S606" t="n">
        <v>43.758683947</v>
      </c>
      <c r="T606" t="n">
        <v>60.488149982</v>
      </c>
      <c r="U606" t="n">
        <v/>
      </c>
      <c r="V606" t="n">
        <v>52.745014667</v>
      </c>
      <c r="W606" t="n">
        <v/>
      </c>
      <c r="X606" t="n">
        <v/>
      </c>
      <c r="Y606" t="n">
        <v/>
      </c>
      <c r="Z606" t="n">
        <v/>
      </c>
      <c r="AA606" t="n">
        <v/>
      </c>
      <c r="AB606" t="n">
        <v/>
      </c>
      <c r="AC606" t="n">
        <v>65.041766014</v>
      </c>
      <c r="AD606" t="n">
        <v>41.475581726</v>
      </c>
      <c r="AE606" t="n">
        <v/>
      </c>
      <c r="AF606" t="n">
        <v>48.412450626</v>
      </c>
      <c r="AG606" t="n">
        <v/>
      </c>
      <c r="AH606" t="n">
        <v/>
      </c>
      <c r="AI606" t="n">
        <v>45.137433458</v>
      </c>
      <c r="AJ606" t="n">
        <v>34.16050123</v>
      </c>
      <c r="AK606" t="n">
        <v/>
      </c>
      <c r="AL606" t="n">
        <v/>
      </c>
      <c r="AM606" t="n">
        <v/>
      </c>
      <c r="AN606" t="n">
        <v>33.283687721</v>
      </c>
      <c r="AO606" t="n">
        <v/>
      </c>
      <c r="AP606" t="n">
        <v/>
      </c>
      <c r="AQ606" t="n">
        <v/>
      </c>
      <c r="AR606" t="n">
        <v>48.208036018</v>
      </c>
      <c r="AS606" t="n">
        <v/>
      </c>
      <c r="AT606" t="n">
        <v>38.213686809</v>
      </c>
      <c r="AU606" t="n">
        <v/>
      </c>
    </row>
    <row r="607">
      <c r="A607" s="106" t="n">
        <v>25355</v>
      </c>
      <c r="B607" t="n">
        <v>23.927991701</v>
      </c>
      <c r="C607" t="n">
        <v>41.312960761</v>
      </c>
      <c r="D607" t="n">
        <v/>
      </c>
      <c r="E607" t="n">
        <v>40.203081447</v>
      </c>
      <c r="F607" t="n">
        <v/>
      </c>
      <c r="G607" t="n">
        <v/>
      </c>
      <c r="H607" t="n">
        <v/>
      </c>
      <c r="I607" t="n">
        <v>23.927991701</v>
      </c>
      <c r="J607" t="n">
        <v/>
      </c>
      <c r="K607" t="n">
        <v>47.036606583</v>
      </c>
      <c r="L607" t="n">
        <v/>
      </c>
      <c r="M607" t="n">
        <v/>
      </c>
      <c r="N607" t="n">
        <v>47.02433547</v>
      </c>
      <c r="O607" t="n">
        <v/>
      </c>
      <c r="P607" t="n">
        <v/>
      </c>
      <c r="Q607" t="n">
        <v>28.824279346</v>
      </c>
      <c r="R607" t="n">
        <v>58.128911792</v>
      </c>
      <c r="S607" t="n">
        <v>43.980738404</v>
      </c>
      <c r="T607" t="n">
        <v>60.382030421</v>
      </c>
      <c r="U607" t="n">
        <v/>
      </c>
      <c r="V607" t="n">
        <v>53.537470873</v>
      </c>
      <c r="W607" t="n">
        <v/>
      </c>
      <c r="X607" t="n">
        <v/>
      </c>
      <c r="Y607" t="n">
        <v/>
      </c>
      <c r="Z607" t="n">
        <v/>
      </c>
      <c r="AA607" t="n">
        <v/>
      </c>
      <c r="AB607" t="n">
        <v/>
      </c>
      <c r="AC607" t="n">
        <v>66.81625280999999</v>
      </c>
      <c r="AD607" t="n">
        <v>41.13906585</v>
      </c>
      <c r="AE607" t="n">
        <v/>
      </c>
      <c r="AF607" t="n">
        <v>50.5243626</v>
      </c>
      <c r="AG607" t="n">
        <v/>
      </c>
      <c r="AH607" t="n">
        <v/>
      </c>
      <c r="AI607" t="n">
        <v>45.708793375</v>
      </c>
      <c r="AJ607" t="n">
        <v>34.504254701</v>
      </c>
      <c r="AK607" t="n">
        <v/>
      </c>
      <c r="AL607" t="n">
        <v/>
      </c>
      <c r="AM607" t="n">
        <v/>
      </c>
      <c r="AN607" t="n">
        <v>35.426454357</v>
      </c>
      <c r="AO607" t="n">
        <v/>
      </c>
      <c r="AP607" t="n">
        <v/>
      </c>
      <c r="AQ607" t="n">
        <v/>
      </c>
      <c r="AR607" t="n">
        <v>49.572414396</v>
      </c>
      <c r="AS607" t="n">
        <v/>
      </c>
      <c r="AT607" t="n">
        <v>38.587018406</v>
      </c>
      <c r="AU607" t="n">
        <v/>
      </c>
    </row>
    <row r="608">
      <c r="A608" s="106" t="n">
        <v>25385</v>
      </c>
      <c r="B608" t="n">
        <v>23.892458894</v>
      </c>
      <c r="C608" t="n">
        <v>42.164511436</v>
      </c>
      <c r="D608" t="n">
        <v/>
      </c>
      <c r="E608" t="n">
        <v>40.547524889</v>
      </c>
      <c r="F608" t="n">
        <v/>
      </c>
      <c r="G608" t="n">
        <v/>
      </c>
      <c r="H608" t="n">
        <v/>
      </c>
      <c r="I608" t="n">
        <v>23.892458894</v>
      </c>
      <c r="J608" t="n">
        <v/>
      </c>
      <c r="K608" t="n">
        <v>46.913150923</v>
      </c>
      <c r="L608" t="n">
        <v/>
      </c>
      <c r="M608" t="n">
        <v/>
      </c>
      <c r="N608" t="n">
        <v>47.309467866</v>
      </c>
      <c r="O608" t="n">
        <v/>
      </c>
      <c r="P608" t="n">
        <v/>
      </c>
      <c r="Q608" t="n">
        <v>29.528423696</v>
      </c>
      <c r="R608" t="n">
        <v>58.372638882</v>
      </c>
      <c r="S608" t="n">
        <v>44.191864458</v>
      </c>
      <c r="T608" t="n">
        <v>60.169791298</v>
      </c>
      <c r="U608" t="n">
        <v/>
      </c>
      <c r="V608" t="n">
        <v>54.110345384</v>
      </c>
      <c r="W608" t="n">
        <v/>
      </c>
      <c r="X608" t="n">
        <v/>
      </c>
      <c r="Y608" t="n">
        <v/>
      </c>
      <c r="Z608" t="n">
        <v/>
      </c>
      <c r="AA608" t="n">
        <v/>
      </c>
      <c r="AB608" t="n">
        <v/>
      </c>
      <c r="AC608" t="n">
        <v>67.089250775</v>
      </c>
      <c r="AD608" t="n">
        <v>41.727968633</v>
      </c>
      <c r="AE608" t="n">
        <v/>
      </c>
      <c r="AF608" t="n">
        <v>50.883663051</v>
      </c>
      <c r="AG608" t="n">
        <v/>
      </c>
      <c r="AH608" t="n">
        <v/>
      </c>
      <c r="AI608" t="n">
        <v>46.280153292</v>
      </c>
      <c r="AJ608" t="n">
        <v>34.848008173</v>
      </c>
      <c r="AK608" t="n">
        <v/>
      </c>
      <c r="AL608" t="n">
        <v/>
      </c>
      <c r="AM608" t="n">
        <v/>
      </c>
      <c r="AN608" t="n">
        <v>31.467261942</v>
      </c>
      <c r="AO608" t="n">
        <v/>
      </c>
      <c r="AP608" t="n">
        <v/>
      </c>
      <c r="AQ608" t="n">
        <v/>
      </c>
      <c r="AR608" t="n">
        <v>53.210756737</v>
      </c>
      <c r="AS608" t="n">
        <v/>
      </c>
      <c r="AT608" t="n">
        <v>38.790789039</v>
      </c>
      <c r="AU608" t="n">
        <v/>
      </c>
    </row>
    <row r="609">
      <c r="A609" s="106" t="n">
        <v>25416</v>
      </c>
      <c r="B609" t="n">
        <v>24.406772503</v>
      </c>
      <c r="C609" t="n">
        <v>41.697021791</v>
      </c>
      <c r="D609" t="n">
        <v/>
      </c>
      <c r="E609" t="n">
        <v>39.806008174</v>
      </c>
      <c r="F609" t="n">
        <v/>
      </c>
      <c r="G609" t="n">
        <v/>
      </c>
      <c r="H609" t="n">
        <v/>
      </c>
      <c r="I609" t="n">
        <v>24.406772503</v>
      </c>
      <c r="J609" t="n">
        <v/>
      </c>
      <c r="K609" t="n">
        <v>48.209435356</v>
      </c>
      <c r="L609" t="n">
        <v/>
      </c>
      <c r="M609" t="n">
        <v/>
      </c>
      <c r="N609" t="n">
        <v>48.459552099</v>
      </c>
      <c r="O609" t="n">
        <v/>
      </c>
      <c r="P609" t="n">
        <v/>
      </c>
      <c r="Q609" t="n">
        <v>29.798997682</v>
      </c>
      <c r="R609" t="n">
        <v>58.372638882</v>
      </c>
      <c r="S609" t="n">
        <v>44.388261675</v>
      </c>
      <c r="T609" t="n">
        <v>59.851432614</v>
      </c>
      <c r="U609" t="n">
        <v/>
      </c>
      <c r="V609" t="n">
        <v>54.492723635</v>
      </c>
      <c r="W609" t="n">
        <v/>
      </c>
      <c r="X609" t="n">
        <v/>
      </c>
      <c r="Y609" t="n">
        <v/>
      </c>
      <c r="Z609" t="n">
        <v/>
      </c>
      <c r="AA609" t="n">
        <v/>
      </c>
      <c r="AB609" t="n">
        <v/>
      </c>
      <c r="AC609" t="n">
        <v>66.06550839400001</v>
      </c>
      <c r="AD609" t="n">
        <v>42.064484509</v>
      </c>
      <c r="AE609" t="n">
        <v/>
      </c>
      <c r="AF609" t="n">
        <v>50.379094912</v>
      </c>
      <c r="AG609" t="n">
        <v/>
      </c>
      <c r="AH609" t="n">
        <v/>
      </c>
      <c r="AI609" t="n">
        <v>46.85151321</v>
      </c>
      <c r="AJ609" t="n">
        <v>35.320669196</v>
      </c>
      <c r="AK609" t="n">
        <v/>
      </c>
      <c r="AL609" t="n">
        <v/>
      </c>
      <c r="AM609" t="n">
        <v/>
      </c>
      <c r="AN609" t="n">
        <v>38.098520717</v>
      </c>
      <c r="AO609" t="n">
        <v/>
      </c>
      <c r="AP609" t="n">
        <v/>
      </c>
      <c r="AQ609" t="n">
        <v/>
      </c>
      <c r="AR609" t="n">
        <v>49.117621604</v>
      </c>
      <c r="AS609" t="n">
        <v/>
      </c>
      <c r="AT609" t="n">
        <v>38.879932493</v>
      </c>
      <c r="AU609" t="n">
        <v/>
      </c>
    </row>
    <row r="610">
      <c r="A610" s="106" t="n">
        <v>25447</v>
      </c>
      <c r="B610" t="n">
        <v>24.308650984</v>
      </c>
      <c r="C610" t="n">
        <v>41.299856696</v>
      </c>
      <c r="D610" t="n">
        <v/>
      </c>
      <c r="E610" t="n">
        <v>39.930064202</v>
      </c>
      <c r="F610" t="n">
        <v/>
      </c>
      <c r="G610" t="n">
        <v/>
      </c>
      <c r="H610" t="n">
        <v/>
      </c>
      <c r="I610" t="n">
        <v>24.308650984</v>
      </c>
      <c r="J610" t="n">
        <v/>
      </c>
      <c r="K610" t="n">
        <v>47.777340545</v>
      </c>
      <c r="L610" t="n">
        <v/>
      </c>
      <c r="M610" t="n">
        <v/>
      </c>
      <c r="N610" t="n">
        <v>49.157621203</v>
      </c>
      <c r="O610" t="n">
        <v/>
      </c>
      <c r="P610" t="n">
        <v/>
      </c>
      <c r="Q610" t="n">
        <v>29.688160145</v>
      </c>
      <c r="R610" t="n">
        <v>57.641457602</v>
      </c>
      <c r="S610" t="n">
        <v>44.288470155</v>
      </c>
      <c r="T610" t="n">
        <v>59.745313053</v>
      </c>
      <c r="U610" t="n">
        <v/>
      </c>
      <c r="V610" t="n">
        <v>54.800143948</v>
      </c>
      <c r="W610" t="n">
        <v/>
      </c>
      <c r="X610" t="n">
        <v/>
      </c>
      <c r="Y610" t="n">
        <v/>
      </c>
      <c r="Z610" t="n">
        <v/>
      </c>
      <c r="AA610" t="n">
        <v/>
      </c>
      <c r="AB610" t="n">
        <v/>
      </c>
      <c r="AC610" t="n">
        <v>62.448285312</v>
      </c>
      <c r="AD610" t="n">
        <v>42.989903168</v>
      </c>
      <c r="AE610" t="n">
        <v/>
      </c>
      <c r="AF610" t="n">
        <v>51.563229195</v>
      </c>
      <c r="AG610" t="n">
        <v/>
      </c>
      <c r="AH610" t="n">
        <v/>
      </c>
      <c r="AI610" t="n">
        <v>46.565833251</v>
      </c>
      <c r="AJ610" t="n">
        <v>35.234730828</v>
      </c>
      <c r="AK610" t="n">
        <v/>
      </c>
      <c r="AL610" t="n">
        <v/>
      </c>
      <c r="AM610" t="n">
        <v/>
      </c>
      <c r="AN610" t="n">
        <v>36.225868172</v>
      </c>
      <c r="AO610" t="n">
        <v/>
      </c>
      <c r="AP610" t="n">
        <v/>
      </c>
      <c r="AQ610" t="n">
        <v/>
      </c>
      <c r="AR610" t="n">
        <v>50.027207189</v>
      </c>
      <c r="AS610" t="n">
        <v/>
      </c>
      <c r="AT610" t="n">
        <v>38.871206549</v>
      </c>
      <c r="AU610" t="n">
        <v/>
      </c>
    </row>
    <row r="611">
      <c r="A611" s="106" t="n">
        <v>25477</v>
      </c>
      <c r="B611" t="n">
        <v>24.462183979</v>
      </c>
      <c r="C611" t="n">
        <v>41.740176005</v>
      </c>
      <c r="D611" t="n">
        <v/>
      </c>
      <c r="E611" t="n">
        <v>39.617104677</v>
      </c>
      <c r="F611" t="n">
        <v/>
      </c>
      <c r="G611" t="n">
        <v/>
      </c>
      <c r="H611" t="n">
        <v/>
      </c>
      <c r="I611" t="n">
        <v>24.462183979</v>
      </c>
      <c r="J611" t="n">
        <v/>
      </c>
      <c r="K611" t="n">
        <v>48.394618847</v>
      </c>
      <c r="L611" t="n">
        <v/>
      </c>
      <c r="M611" t="n">
        <v/>
      </c>
      <c r="N611" t="n">
        <v>50.394122368</v>
      </c>
      <c r="O611" t="n">
        <v/>
      </c>
      <c r="P611" t="n">
        <v/>
      </c>
      <c r="Q611" t="n">
        <v>29.971773842</v>
      </c>
      <c r="R611" t="n">
        <v>59.591274353</v>
      </c>
      <c r="S611" t="n">
        <v>44.555590163</v>
      </c>
      <c r="T611" t="n">
        <v>59.745313053</v>
      </c>
      <c r="U611" t="n">
        <v/>
      </c>
      <c r="V611" t="n">
        <v>55.149196594</v>
      </c>
      <c r="W611" t="n">
        <v/>
      </c>
      <c r="X611" t="n">
        <v/>
      </c>
      <c r="Y611" t="n">
        <v/>
      </c>
      <c r="Z611" t="n">
        <v/>
      </c>
      <c r="AA611" t="n">
        <v/>
      </c>
      <c r="AB611" t="n">
        <v/>
      </c>
      <c r="AC611" t="n">
        <v>59.581806646</v>
      </c>
      <c r="AD611" t="n">
        <v>44.167708735</v>
      </c>
      <c r="AE611" t="n">
        <v/>
      </c>
      <c r="AF611" t="n">
        <v>51.820027323</v>
      </c>
      <c r="AG611" t="n">
        <v/>
      </c>
      <c r="AH611" t="n">
        <v/>
      </c>
      <c r="AI611" t="n">
        <v>47.137193168</v>
      </c>
      <c r="AJ611" t="n">
        <v>35.277700012</v>
      </c>
      <c r="AK611" t="n">
        <v/>
      </c>
      <c r="AL611" t="n">
        <v/>
      </c>
      <c r="AM611" t="n">
        <v/>
      </c>
      <c r="AN611" t="n">
        <v>34.696552935</v>
      </c>
      <c r="AO611" t="n">
        <v/>
      </c>
      <c r="AP611" t="n">
        <v/>
      </c>
      <c r="AQ611" t="n">
        <v/>
      </c>
      <c r="AR611" t="n">
        <v>51.391585567</v>
      </c>
      <c r="AS611" t="n">
        <v/>
      </c>
      <c r="AT611" t="n">
        <v>38.882510613</v>
      </c>
      <c r="AU611" t="n">
        <v/>
      </c>
    </row>
    <row r="612">
      <c r="A612" s="106" t="n">
        <v>25508</v>
      </c>
      <c r="B612" t="n">
        <v>25.02883246</v>
      </c>
      <c r="C612" t="n">
        <v>42.024250003</v>
      </c>
      <c r="D612" t="n">
        <v/>
      </c>
      <c r="E612" t="n">
        <v>40.097351877</v>
      </c>
      <c r="F612" t="n">
        <v/>
      </c>
      <c r="G612" t="n">
        <v/>
      </c>
      <c r="H612" t="n">
        <v/>
      </c>
      <c r="I612" t="n">
        <v>25.02883246</v>
      </c>
      <c r="J612" t="n">
        <v/>
      </c>
      <c r="K612" t="n">
        <v>49.135352809</v>
      </c>
      <c r="L612" t="n">
        <v/>
      </c>
      <c r="M612" t="n">
        <v/>
      </c>
      <c r="N612" t="n">
        <v>48.049619935</v>
      </c>
      <c r="O612" t="n">
        <v/>
      </c>
      <c r="P612" t="n">
        <v/>
      </c>
      <c r="Q612" t="n">
        <v>30.666138409</v>
      </c>
      <c r="R612" t="n">
        <v>58.189843562</v>
      </c>
      <c r="S612" t="n">
        <v>44.386651044</v>
      </c>
      <c r="T612" t="n">
        <v>59.745313053</v>
      </c>
      <c r="U612" t="n">
        <v/>
      </c>
      <c r="V612" t="n">
        <v>55.653778436</v>
      </c>
      <c r="W612" t="n">
        <v/>
      </c>
      <c r="X612" t="n">
        <v/>
      </c>
      <c r="Y612" t="n">
        <v/>
      </c>
      <c r="Z612" t="n">
        <v/>
      </c>
      <c r="AA612" t="n">
        <v/>
      </c>
      <c r="AB612" t="n">
        <v/>
      </c>
      <c r="AC612" t="n">
        <v>58.28506629</v>
      </c>
      <c r="AD612" t="n">
        <v>44.167708735</v>
      </c>
      <c r="AE612" t="n">
        <v/>
      </c>
      <c r="AF612" t="n">
        <v>52.841631097</v>
      </c>
      <c r="AG612" t="n">
        <v/>
      </c>
      <c r="AH612" t="n">
        <v/>
      </c>
      <c r="AI612" t="n">
        <v>48.279913002</v>
      </c>
      <c r="AJ612" t="n">
        <v>35.879268587</v>
      </c>
      <c r="AK612" t="n">
        <v/>
      </c>
      <c r="AL612" t="n">
        <v/>
      </c>
      <c r="AM612" t="n">
        <v/>
      </c>
      <c r="AN612" t="n">
        <v>35.908481652</v>
      </c>
      <c r="AO612" t="n">
        <v/>
      </c>
      <c r="AP612" t="n">
        <v/>
      </c>
      <c r="AQ612" t="n">
        <v/>
      </c>
      <c r="AR612" t="n">
        <v>52.301171152</v>
      </c>
      <c r="AS612" t="n">
        <v/>
      </c>
      <c r="AT612" t="n">
        <v>38.51602095</v>
      </c>
      <c r="AU612" t="n">
        <v/>
      </c>
    </row>
    <row r="613">
      <c r="A613" s="106" t="n">
        <v>25538</v>
      </c>
      <c r="B613" t="n">
        <v>22.916452787</v>
      </c>
      <c r="C613" t="n">
        <v>41.405943965</v>
      </c>
      <c r="D613" t="n">
        <v/>
      </c>
      <c r="E613" t="n">
        <v>40.460591687</v>
      </c>
      <c r="F613" t="n">
        <v/>
      </c>
      <c r="G613" t="n">
        <v/>
      </c>
      <c r="H613" t="n">
        <v/>
      </c>
      <c r="I613" t="n">
        <v>22.916452787</v>
      </c>
      <c r="J613" t="n">
        <v/>
      </c>
      <c r="K613" t="n">
        <v>48.764985828</v>
      </c>
      <c r="L613" t="n">
        <v/>
      </c>
      <c r="M613" t="n">
        <v/>
      </c>
      <c r="N613" t="n">
        <v>49.220291596</v>
      </c>
      <c r="O613" t="n">
        <v/>
      </c>
      <c r="P613" t="n">
        <v/>
      </c>
      <c r="Q613" t="n">
        <v>31.093188917</v>
      </c>
      <c r="R613" t="n">
        <v>58.311707112</v>
      </c>
      <c r="S613" t="n">
        <v>44.58707903</v>
      </c>
      <c r="T613" t="n">
        <v>59.745313053</v>
      </c>
      <c r="U613" t="n">
        <v/>
      </c>
      <c r="V613" t="n">
        <v>53.7206619</v>
      </c>
      <c r="W613" t="n">
        <v/>
      </c>
      <c r="X613" t="n">
        <v/>
      </c>
      <c r="Y613" t="n">
        <v/>
      </c>
      <c r="Z613" t="n">
        <v/>
      </c>
      <c r="AA613" t="n">
        <v/>
      </c>
      <c r="AB613" t="n">
        <v/>
      </c>
      <c r="AC613" t="n">
        <v>60.810297503</v>
      </c>
      <c r="AD613" t="n">
        <v>45.008998425</v>
      </c>
      <c r="AE613" t="n">
        <v/>
      </c>
      <c r="AF613" t="n">
        <v>52.552332759</v>
      </c>
      <c r="AG613" t="n">
        <v/>
      </c>
      <c r="AH613" t="n">
        <v/>
      </c>
      <c r="AI613" t="n">
        <v>47.708553085</v>
      </c>
      <c r="AJ613" t="n">
        <v>36.008176139</v>
      </c>
      <c r="AK613" t="n">
        <v/>
      </c>
      <c r="AL613" t="n">
        <v/>
      </c>
      <c r="AM613" t="n">
        <v/>
      </c>
      <c r="AN613" t="n">
        <v>37.739571597</v>
      </c>
      <c r="AO613" t="n">
        <v/>
      </c>
      <c r="AP613" t="n">
        <v/>
      </c>
      <c r="AQ613" t="n">
        <v/>
      </c>
      <c r="AR613" t="n">
        <v>51.391585567</v>
      </c>
      <c r="AS613" t="n">
        <v/>
      </c>
      <c r="AT613" t="n">
        <v>38.412697836</v>
      </c>
      <c r="AU613" t="n">
        <v/>
      </c>
    </row>
    <row r="614">
      <c r="A614" s="106" t="n">
        <v>25569</v>
      </c>
      <c r="B614" t="n">
        <v>24.225431392</v>
      </c>
      <c r="C614" t="n">
        <v>40.568903534</v>
      </c>
      <c r="D614" t="n">
        <v/>
      </c>
      <c r="E614" t="n">
        <v>40.204491174</v>
      </c>
      <c r="F614" t="n">
        <v/>
      </c>
      <c r="G614" t="n">
        <v/>
      </c>
      <c r="H614" t="n">
        <v/>
      </c>
      <c r="I614" t="n">
        <v>24.225431392</v>
      </c>
      <c r="J614" t="n">
        <v/>
      </c>
      <c r="K614" t="n">
        <v>48.888441488</v>
      </c>
      <c r="L614" t="n">
        <v/>
      </c>
      <c r="M614" t="n">
        <v/>
      </c>
      <c r="N614" t="n">
        <v>49.94296706</v>
      </c>
      <c r="O614" t="n">
        <v/>
      </c>
      <c r="P614" t="n">
        <v/>
      </c>
      <c r="Q614" t="n">
        <v>31.829932542</v>
      </c>
      <c r="R614" t="n">
        <v>59.956864994</v>
      </c>
      <c r="S614" t="n">
        <v>44.815692079</v>
      </c>
      <c r="T614" t="n">
        <v>59.745313053</v>
      </c>
      <c r="U614" t="n">
        <v/>
      </c>
      <c r="V614" t="n">
        <v>56.699486608</v>
      </c>
      <c r="W614" t="n">
        <v/>
      </c>
      <c r="X614" t="n">
        <v/>
      </c>
      <c r="Y614" t="n">
        <v/>
      </c>
      <c r="Z614" t="n">
        <v/>
      </c>
      <c r="AA614" t="n">
        <v/>
      </c>
      <c r="AB614" t="n">
        <v/>
      </c>
      <c r="AC614" t="n">
        <v>68.18124265500001</v>
      </c>
      <c r="AD614" t="n">
        <v>45.597901208</v>
      </c>
      <c r="AE614" t="n">
        <v/>
      </c>
      <c r="AF614" t="n">
        <v>52.986180262</v>
      </c>
      <c r="AG614" t="n">
        <v/>
      </c>
      <c r="AH614" t="n">
        <v/>
      </c>
      <c r="AI614" t="n">
        <v>48.592234223</v>
      </c>
      <c r="AJ614" t="n">
        <v>34.890977357</v>
      </c>
      <c r="AK614" t="n">
        <v/>
      </c>
      <c r="AL614" t="n">
        <v/>
      </c>
      <c r="AM614" t="n">
        <v/>
      </c>
      <c r="AN614" t="n">
        <v>36.768161595</v>
      </c>
      <c r="AO614" t="n">
        <v/>
      </c>
      <c r="AP614" t="n">
        <v/>
      </c>
      <c r="AQ614" t="n">
        <v/>
      </c>
      <c r="AR614" t="n">
        <v>50.481999981</v>
      </c>
      <c r="AS614" t="n">
        <v/>
      </c>
      <c r="AT614" t="n">
        <v>37.701335053</v>
      </c>
      <c r="AU614" t="n">
        <v/>
      </c>
    </row>
    <row r="615">
      <c r="A615" s="106" t="n">
        <v>25600</v>
      </c>
      <c r="B615" t="n">
        <v>25.207536646</v>
      </c>
      <c r="C615" t="n">
        <v>41.718541085</v>
      </c>
      <c r="D615" t="n">
        <v/>
      </c>
      <c r="E615" t="n">
        <v>40.574779622</v>
      </c>
      <c r="F615" t="n">
        <v/>
      </c>
      <c r="G615" t="n">
        <v/>
      </c>
      <c r="H615" t="n">
        <v/>
      </c>
      <c r="I615" t="n">
        <v>25.207536646</v>
      </c>
      <c r="J615" t="n">
        <v/>
      </c>
      <c r="K615" t="n">
        <v>49.56744762</v>
      </c>
      <c r="L615" t="n">
        <v/>
      </c>
      <c r="M615" t="n">
        <v/>
      </c>
      <c r="N615" t="n">
        <v>50.038078819</v>
      </c>
      <c r="O615" t="n">
        <v/>
      </c>
      <c r="P615" t="n">
        <v/>
      </c>
      <c r="Q615" t="n">
        <v>31.715835078</v>
      </c>
      <c r="R615" t="n">
        <v>60.627114495</v>
      </c>
      <c r="S615" t="n">
        <v>45.08003894</v>
      </c>
      <c r="T615" t="n">
        <v>59.851432614</v>
      </c>
      <c r="U615" t="n">
        <v/>
      </c>
      <c r="V615" t="n">
        <v>56.428689497</v>
      </c>
      <c r="W615" t="n">
        <v/>
      </c>
      <c r="X615" t="n">
        <v/>
      </c>
      <c r="Y615" t="n">
        <v/>
      </c>
      <c r="Z615" t="n">
        <v/>
      </c>
      <c r="AA615" t="n">
        <v/>
      </c>
      <c r="AB615" t="n">
        <v/>
      </c>
      <c r="AC615" t="n">
        <v>69.00023656</v>
      </c>
      <c r="AD615" t="n">
        <v>46.102675022</v>
      </c>
      <c r="AE615" t="n">
        <v/>
      </c>
      <c r="AF615" t="n">
        <v>52.338480804</v>
      </c>
      <c r="AG615" t="n">
        <v/>
      </c>
      <c r="AH615" t="n">
        <v/>
      </c>
      <c r="AI615" t="n">
        <v>49.093185091</v>
      </c>
      <c r="AJ615" t="n">
        <v>35.36363838</v>
      </c>
      <c r="AK615" t="n">
        <v/>
      </c>
      <c r="AL615" t="n">
        <v/>
      </c>
      <c r="AM615" t="n">
        <v/>
      </c>
      <c r="AN615" t="n">
        <v>36.598556815</v>
      </c>
      <c r="AO615" t="n">
        <v/>
      </c>
      <c r="AP615" t="n">
        <v/>
      </c>
      <c r="AQ615" t="n">
        <v/>
      </c>
      <c r="AR615" t="n">
        <v>51.846378359</v>
      </c>
      <c r="AS615" t="n">
        <v/>
      </c>
      <c r="AT615" t="n">
        <v>37.676545438</v>
      </c>
      <c r="AU615" t="n">
        <v/>
      </c>
    </row>
    <row r="616">
      <c r="A616" s="106" t="n">
        <v>25628</v>
      </c>
      <c r="B616" t="n">
        <v>25.19853022</v>
      </c>
      <c r="C616" t="n">
        <v>42.750957826</v>
      </c>
      <c r="D616" t="n">
        <v/>
      </c>
      <c r="E616" t="n">
        <v>39.899990014</v>
      </c>
      <c r="F616" t="n">
        <v/>
      </c>
      <c r="G616" t="n">
        <v/>
      </c>
      <c r="H616" t="n">
        <v/>
      </c>
      <c r="I616" t="n">
        <v>25.19853022</v>
      </c>
      <c r="J616" t="n">
        <v/>
      </c>
      <c r="K616" t="n">
        <v>49.75263111</v>
      </c>
      <c r="L616" t="n">
        <v/>
      </c>
      <c r="M616" t="n">
        <v/>
      </c>
      <c r="N616" t="n">
        <v>47.473181818</v>
      </c>
      <c r="O616" t="n">
        <v/>
      </c>
      <c r="P616" t="n">
        <v/>
      </c>
      <c r="Q616" t="n">
        <v>31.569138338</v>
      </c>
      <c r="R616" t="n">
        <v>60.505250954</v>
      </c>
      <c r="S616" t="n">
        <v>45.102376008</v>
      </c>
      <c r="T616" t="n">
        <v>59.957552175</v>
      </c>
      <c r="U616" t="n">
        <v/>
      </c>
      <c r="V616" t="n">
        <v>56.71781356</v>
      </c>
      <c r="W616" t="n">
        <v/>
      </c>
      <c r="X616" t="n">
        <v/>
      </c>
      <c r="Y616" t="n">
        <v/>
      </c>
      <c r="Z616" t="n">
        <v/>
      </c>
      <c r="AA616" t="n">
        <v/>
      </c>
      <c r="AB616" t="n">
        <v/>
      </c>
      <c r="AC616" t="n">
        <v>68.72723858400001</v>
      </c>
      <c r="AD616" t="n">
        <v>46.439190898</v>
      </c>
      <c r="AE616" t="n">
        <v/>
      </c>
      <c r="AF616" t="n">
        <v>53.167084612</v>
      </c>
      <c r="AG616" t="n">
        <v/>
      </c>
      <c r="AH616" t="n">
        <v/>
      </c>
      <c r="AI616" t="n">
        <v>50.095086828</v>
      </c>
      <c r="AJ616" t="n">
        <v>37.340220841</v>
      </c>
      <c r="AK616" t="n">
        <v/>
      </c>
      <c r="AL616" t="n">
        <v/>
      </c>
      <c r="AM616" t="n">
        <v/>
      </c>
      <c r="AN616" t="n">
        <v>36.873799855</v>
      </c>
      <c r="AO616" t="n">
        <v/>
      </c>
      <c r="AP616" t="n">
        <v/>
      </c>
      <c r="AQ616" t="n">
        <v/>
      </c>
      <c r="AR616" t="n">
        <v>52.301171152</v>
      </c>
      <c r="AS616" t="n">
        <v/>
      </c>
      <c r="AT616" t="n">
        <v>37.62756116</v>
      </c>
      <c r="AU616" t="n">
        <v/>
      </c>
    </row>
    <row r="617">
      <c r="A617" s="106" t="n">
        <v>25659</v>
      </c>
      <c r="B617" t="n">
        <v>25.378003293</v>
      </c>
      <c r="C617" t="n">
        <v>41.502145501</v>
      </c>
      <c r="D617" t="n">
        <v/>
      </c>
      <c r="E617" t="n">
        <v>39.324351246</v>
      </c>
      <c r="F617" t="n">
        <v/>
      </c>
      <c r="G617" t="n">
        <v/>
      </c>
      <c r="H617" t="n">
        <v/>
      </c>
      <c r="I617" t="n">
        <v>25.378003293</v>
      </c>
      <c r="J617" t="n">
        <v/>
      </c>
      <c r="K617" t="n">
        <v>50.246453752</v>
      </c>
      <c r="L617" t="n">
        <v/>
      </c>
      <c r="M617" t="n">
        <v/>
      </c>
      <c r="N617" t="n">
        <v>52.970593158</v>
      </c>
      <c r="O617" t="n">
        <v/>
      </c>
      <c r="P617" t="n">
        <v/>
      </c>
      <c r="Q617" t="n">
        <v>32.654694211</v>
      </c>
      <c r="R617" t="n">
        <v>61.358295776</v>
      </c>
      <c r="S617" t="n">
        <v>45.186147634</v>
      </c>
      <c r="T617" t="n">
        <v>59.957552175</v>
      </c>
      <c r="U617" t="n">
        <v/>
      </c>
      <c r="V617" t="n">
        <v>57.379524148</v>
      </c>
      <c r="W617" t="n">
        <v/>
      </c>
      <c r="X617" t="n">
        <v/>
      </c>
      <c r="Y617" t="n">
        <v/>
      </c>
      <c r="Z617" t="n">
        <v/>
      </c>
      <c r="AA617" t="n">
        <v/>
      </c>
      <c r="AB617" t="n">
        <v/>
      </c>
      <c r="AC617" t="n">
        <v>68.112993156</v>
      </c>
      <c r="AD617" t="n">
        <v>46.859835743</v>
      </c>
      <c r="AE617" t="n">
        <v/>
      </c>
      <c r="AF617" t="n">
        <v>51.782070628</v>
      </c>
      <c r="AG617" t="n">
        <v/>
      </c>
      <c r="AH617" t="n">
        <v/>
      </c>
      <c r="AI617" t="n">
        <v>49.594135959</v>
      </c>
      <c r="AJ617" t="n">
        <v>35.105823276</v>
      </c>
      <c r="AK617" t="n">
        <v/>
      </c>
      <c r="AL617" t="n">
        <v/>
      </c>
      <c r="AM617" t="n">
        <v/>
      </c>
      <c r="AN617" t="n">
        <v>38.02570329</v>
      </c>
      <c r="AO617" t="n">
        <v/>
      </c>
      <c r="AP617" t="n">
        <v/>
      </c>
      <c r="AQ617" t="n">
        <v/>
      </c>
      <c r="AR617" t="n">
        <v>51.846378359</v>
      </c>
      <c r="AS617" t="n">
        <v/>
      </c>
      <c r="AT617" t="n">
        <v>37.530881662</v>
      </c>
      <c r="AU617" t="n">
        <v/>
      </c>
    </row>
    <row r="618">
      <c r="A618" s="106" t="n">
        <v>25689</v>
      </c>
      <c r="B618" t="n">
        <v>26.245082076</v>
      </c>
      <c r="C618" t="n">
        <v>42.515023322</v>
      </c>
      <c r="D618" t="n">
        <v/>
      </c>
      <c r="E618" t="n">
        <v>39.408934902</v>
      </c>
      <c r="F618" t="n">
        <v/>
      </c>
      <c r="G618" t="n">
        <v/>
      </c>
      <c r="H618" t="n">
        <v/>
      </c>
      <c r="I618" t="n">
        <v>26.245082076</v>
      </c>
      <c r="J618" t="n">
        <v/>
      </c>
      <c r="K618" t="n">
        <v>50.616820732</v>
      </c>
      <c r="L618" t="n">
        <v/>
      </c>
      <c r="M618" t="n">
        <v/>
      </c>
      <c r="N618" t="n">
        <v>49.74735275</v>
      </c>
      <c r="O618" t="n">
        <v/>
      </c>
      <c r="P618" t="n">
        <v/>
      </c>
      <c r="Q618" t="n">
        <v>33.023066023</v>
      </c>
      <c r="R618" t="n">
        <v>60.627114495</v>
      </c>
      <c r="S618" t="n">
        <v>45.245147784</v>
      </c>
      <c r="T618" t="n">
        <v>60.063671737</v>
      </c>
      <c r="U618" t="n">
        <v/>
      </c>
      <c r="V618" t="n">
        <v>57.244825423</v>
      </c>
      <c r="W618" t="n">
        <v/>
      </c>
      <c r="X618" t="n">
        <v/>
      </c>
      <c r="Y618" t="n">
        <v/>
      </c>
      <c r="Z618" t="n">
        <v/>
      </c>
      <c r="AA618" t="n">
        <v/>
      </c>
      <c r="AB618" t="n">
        <v/>
      </c>
      <c r="AC618" t="n">
        <v>67.089250775</v>
      </c>
      <c r="AD618" t="n">
        <v>47.448738526</v>
      </c>
      <c r="AE618" t="n">
        <v/>
      </c>
      <c r="AF618" t="n">
        <v>51.564712723</v>
      </c>
      <c r="AG618" t="n">
        <v/>
      </c>
      <c r="AH618" t="n">
        <v/>
      </c>
      <c r="AI618" t="n">
        <v>49.594135959</v>
      </c>
      <c r="AJ618" t="n">
        <v>35.14879246</v>
      </c>
      <c r="AK618" t="n">
        <v/>
      </c>
      <c r="AL618" t="n">
        <v/>
      </c>
      <c r="AM618" t="n">
        <v/>
      </c>
      <c r="AN618" t="n">
        <v>37.205562925</v>
      </c>
      <c r="AO618" t="n">
        <v/>
      </c>
      <c r="AP618" t="n">
        <v/>
      </c>
      <c r="AQ618" t="n">
        <v/>
      </c>
      <c r="AR618" t="n">
        <v>53.66554953</v>
      </c>
      <c r="AS618" t="n">
        <v/>
      </c>
      <c r="AT618" t="n">
        <v>37.487152782</v>
      </c>
      <c r="AU618" t="n">
        <v/>
      </c>
    </row>
    <row r="619">
      <c r="A619" s="106" t="n">
        <v>25720</v>
      </c>
      <c r="B619" t="n">
        <v>25.525549498</v>
      </c>
      <c r="C619" t="n">
        <v>42.038516544</v>
      </c>
      <c r="D619" t="n">
        <v/>
      </c>
      <c r="E619" t="n">
        <v>39.290987693</v>
      </c>
      <c r="F619" t="n">
        <v/>
      </c>
      <c r="G619" t="n">
        <v/>
      </c>
      <c r="H619" t="n">
        <v/>
      </c>
      <c r="I619" t="n">
        <v>25.525549498</v>
      </c>
      <c r="J619" t="n">
        <v/>
      </c>
      <c r="K619" t="n">
        <v>50.122998091</v>
      </c>
      <c r="L619" t="n">
        <v/>
      </c>
      <c r="M619" t="n">
        <v/>
      </c>
      <c r="N619" t="n">
        <v>50.67855918</v>
      </c>
      <c r="O619" t="n">
        <v/>
      </c>
      <c r="P619" t="n">
        <v/>
      </c>
      <c r="Q619" t="n">
        <v>32.573196022</v>
      </c>
      <c r="R619" t="n">
        <v>60.748978045</v>
      </c>
      <c r="S619" t="n">
        <v>45.236821199</v>
      </c>
      <c r="T619" t="n">
        <v>60.063671737</v>
      </c>
      <c r="U619" t="n">
        <v/>
      </c>
      <c r="V619" t="n">
        <v>57.554241778</v>
      </c>
      <c r="W619" t="n">
        <v/>
      </c>
      <c r="X619" t="n">
        <v/>
      </c>
      <c r="Y619" t="n">
        <v/>
      </c>
      <c r="Z619" t="n">
        <v/>
      </c>
      <c r="AA619" t="n">
        <v/>
      </c>
      <c r="AB619" t="n">
        <v/>
      </c>
      <c r="AC619" t="n">
        <v>67.157500263</v>
      </c>
      <c r="AD619" t="n">
        <v>48.121770278</v>
      </c>
      <c r="AE619" t="n">
        <v/>
      </c>
      <c r="AF619" t="n">
        <v>51.37362766</v>
      </c>
      <c r="AG619" t="n">
        <v/>
      </c>
      <c r="AH619" t="n">
        <v/>
      </c>
      <c r="AI619" t="n">
        <v>49.594135959</v>
      </c>
      <c r="AJ619" t="n">
        <v>35.750361035</v>
      </c>
      <c r="AK619" t="n">
        <v/>
      </c>
      <c r="AL619" t="n">
        <v/>
      </c>
      <c r="AM619" t="n">
        <v/>
      </c>
      <c r="AN619" t="n">
        <v>38.763584613</v>
      </c>
      <c r="AO619" t="n">
        <v/>
      </c>
      <c r="AP619" t="n">
        <v/>
      </c>
      <c r="AQ619" t="n">
        <v/>
      </c>
      <c r="AR619" t="n">
        <v>51.391585567</v>
      </c>
      <c r="AS619" t="n">
        <v/>
      </c>
      <c r="AT619" t="n">
        <v>37.365881987</v>
      </c>
      <c r="AU619" t="n">
        <v/>
      </c>
    </row>
    <row r="620">
      <c r="A620" s="106" t="n">
        <v>25750</v>
      </c>
      <c r="B620" t="n">
        <v>25.936343777</v>
      </c>
      <c r="C620" t="n">
        <v>43.324304577</v>
      </c>
      <c r="D620" t="n">
        <v/>
      </c>
      <c r="E620" t="n">
        <v>39.305084969</v>
      </c>
      <c r="F620" t="n">
        <v/>
      </c>
      <c r="G620" t="n">
        <v/>
      </c>
      <c r="H620" t="n">
        <v/>
      </c>
      <c r="I620" t="n">
        <v>25.936343777</v>
      </c>
      <c r="J620" t="n">
        <v/>
      </c>
      <c r="K620" t="n">
        <v>50.740276393</v>
      </c>
      <c r="L620" t="n">
        <v/>
      </c>
      <c r="M620" t="n">
        <v/>
      </c>
      <c r="N620" t="n">
        <v>52.191372324</v>
      </c>
      <c r="O620" t="n">
        <v/>
      </c>
      <c r="P620" t="n">
        <v/>
      </c>
      <c r="Q620" t="n">
        <v>33.913026243</v>
      </c>
      <c r="R620" t="n">
        <v>60.444319175</v>
      </c>
      <c r="S620" t="n">
        <v>45.443559848</v>
      </c>
      <c r="T620" t="n">
        <v>60.063671737</v>
      </c>
      <c r="U620" t="n">
        <v/>
      </c>
      <c r="V620" t="n">
        <v>58.456943382</v>
      </c>
      <c r="W620" t="n">
        <v/>
      </c>
      <c r="X620" t="n">
        <v/>
      </c>
      <c r="Y620" t="n">
        <v/>
      </c>
      <c r="Z620" t="n">
        <v/>
      </c>
      <c r="AA620" t="n">
        <v/>
      </c>
      <c r="AB620" t="n">
        <v/>
      </c>
      <c r="AC620" t="n">
        <v>69.00023656</v>
      </c>
      <c r="AD620" t="n">
        <v>48.121770278</v>
      </c>
      <c r="AE620" t="n">
        <v/>
      </c>
      <c r="AF620" t="n">
        <v>52.228463491</v>
      </c>
      <c r="AG620" t="n">
        <v/>
      </c>
      <c r="AH620" t="n">
        <v/>
      </c>
      <c r="AI620" t="n">
        <v>51.096988564</v>
      </c>
      <c r="AJ620" t="n">
        <v>36.910529002</v>
      </c>
      <c r="AK620" t="n">
        <v/>
      </c>
      <c r="AL620" t="n">
        <v/>
      </c>
      <c r="AM620" t="n">
        <v/>
      </c>
      <c r="AN620" t="n">
        <v>36.717472228</v>
      </c>
      <c r="AO620" t="n">
        <v/>
      </c>
      <c r="AP620" t="n">
        <v/>
      </c>
      <c r="AQ620" t="n">
        <v/>
      </c>
      <c r="AR620" t="n">
        <v>54.575135115</v>
      </c>
      <c r="AS620" t="n">
        <v/>
      </c>
      <c r="AT620" t="n">
        <v>37.457603562</v>
      </c>
      <c r="AU620" t="n">
        <v/>
      </c>
    </row>
    <row r="621">
      <c r="A621" s="106" t="n">
        <v>25781</v>
      </c>
      <c r="B621" t="n">
        <v>26.296677659</v>
      </c>
      <c r="C621" t="n">
        <v>42.67679232</v>
      </c>
      <c r="D621" t="n">
        <v/>
      </c>
      <c r="E621" t="n">
        <v>39.613345403</v>
      </c>
      <c r="F621" t="n">
        <v/>
      </c>
      <c r="G621" t="n">
        <v/>
      </c>
      <c r="H621" t="n">
        <v/>
      </c>
      <c r="I621" t="n">
        <v>26.296677659</v>
      </c>
      <c r="J621" t="n">
        <v/>
      </c>
      <c r="K621" t="n">
        <v>49.937814601</v>
      </c>
      <c r="L621" t="n">
        <v/>
      </c>
      <c r="M621" t="n">
        <v/>
      </c>
      <c r="N621" t="n">
        <v>50.978617698</v>
      </c>
      <c r="O621" t="n">
        <v/>
      </c>
      <c r="P621" t="n">
        <v/>
      </c>
      <c r="Q621" t="n">
        <v>33.551174285</v>
      </c>
      <c r="R621" t="n">
        <v>60.444319175</v>
      </c>
      <c r="S621" t="n">
        <v>45.195210081</v>
      </c>
      <c r="T621" t="n">
        <v>60.063671737</v>
      </c>
      <c r="U621" t="n">
        <v/>
      </c>
      <c r="V621" t="n">
        <v>58.993165314</v>
      </c>
      <c r="W621" t="n">
        <v/>
      </c>
      <c r="X621" t="n">
        <v/>
      </c>
      <c r="Y621" t="n">
        <v/>
      </c>
      <c r="Z621" t="n">
        <v/>
      </c>
      <c r="AA621" t="n">
        <v/>
      </c>
      <c r="AB621" t="n">
        <v/>
      </c>
      <c r="AC621" t="n">
        <v>67.225749763</v>
      </c>
      <c r="AD621" t="n">
        <v>47.95351234</v>
      </c>
      <c r="AE621" t="n">
        <v/>
      </c>
      <c r="AF621" t="n">
        <v>50.671766638</v>
      </c>
      <c r="AG621" t="n">
        <v/>
      </c>
      <c r="AH621" t="n">
        <v/>
      </c>
      <c r="AI621" t="n">
        <v>50.095086828</v>
      </c>
      <c r="AJ621" t="n">
        <v>36.437867978</v>
      </c>
      <c r="AK621" t="n">
        <v/>
      </c>
      <c r="AL621" t="n">
        <v/>
      </c>
      <c r="AM621" t="n">
        <v/>
      </c>
      <c r="AN621" t="n">
        <v>36.459276295</v>
      </c>
      <c r="AO621" t="n">
        <v/>
      </c>
      <c r="AP621" t="n">
        <v/>
      </c>
      <c r="AQ621" t="n">
        <v/>
      </c>
      <c r="AR621" t="n">
        <v>52.301171152</v>
      </c>
      <c r="AS621" t="n">
        <v/>
      </c>
      <c r="AT621" t="n">
        <v>37.39077076</v>
      </c>
      <c r="AU621" t="n">
        <v/>
      </c>
    </row>
    <row r="622">
      <c r="A622" s="106" t="n">
        <v>25812</v>
      </c>
      <c r="B622" t="n">
        <v>26.159454924</v>
      </c>
      <c r="C622" t="n">
        <v>42.380118452</v>
      </c>
      <c r="D622" t="n">
        <v/>
      </c>
      <c r="E622" t="n">
        <v>39.084697555</v>
      </c>
      <c r="F622" t="n">
        <v/>
      </c>
      <c r="G622" t="n">
        <v/>
      </c>
      <c r="H622" t="n">
        <v/>
      </c>
      <c r="I622" t="n">
        <v>26.159454924</v>
      </c>
      <c r="J622" t="n">
        <v/>
      </c>
      <c r="K622" t="n">
        <v>49.69090328</v>
      </c>
      <c r="L622" t="n">
        <v/>
      </c>
      <c r="M622" t="n">
        <v/>
      </c>
      <c r="N622" t="n">
        <v>51.327280307</v>
      </c>
      <c r="O622" t="n">
        <v/>
      </c>
      <c r="P622" t="n">
        <v/>
      </c>
      <c r="Q622" t="n">
        <v>32.944827762</v>
      </c>
      <c r="R622" t="n">
        <v>61.114568685</v>
      </c>
      <c r="S622" t="n">
        <v>45.190245817</v>
      </c>
      <c r="T622" t="n">
        <v>60.27591086</v>
      </c>
      <c r="U622" t="n">
        <v/>
      </c>
      <c r="V622" t="n">
        <v>59.972278574</v>
      </c>
      <c r="W622" t="n">
        <v/>
      </c>
      <c r="X622" t="n">
        <v/>
      </c>
      <c r="Y622" t="n">
        <v/>
      </c>
      <c r="Z622" t="n">
        <v/>
      </c>
      <c r="AA622" t="n">
        <v/>
      </c>
      <c r="AB622" t="n">
        <v/>
      </c>
      <c r="AC622" t="n">
        <v>69.273234524</v>
      </c>
      <c r="AD622" t="n">
        <v>48.121770278</v>
      </c>
      <c r="AE622" t="n">
        <v/>
      </c>
      <c r="AF622" t="n">
        <v>49.004124689</v>
      </c>
      <c r="AG622" t="n">
        <v/>
      </c>
      <c r="AH622" t="n">
        <v/>
      </c>
      <c r="AI622" t="n">
        <v>50.095086828</v>
      </c>
      <c r="AJ622" t="n">
        <v>36.480837162</v>
      </c>
      <c r="AK622" t="n">
        <v/>
      </c>
      <c r="AL622" t="n">
        <v/>
      </c>
      <c r="AM622" t="n">
        <v/>
      </c>
      <c r="AN622" t="n">
        <v>37.576161422</v>
      </c>
      <c r="AO622" t="n">
        <v/>
      </c>
      <c r="AP622" t="n">
        <v/>
      </c>
      <c r="AQ622" t="n">
        <v/>
      </c>
      <c r="AR622" t="n">
        <v>51.846378359</v>
      </c>
      <c r="AS622" t="n">
        <v/>
      </c>
      <c r="AT622" t="n">
        <v>37.133057926</v>
      </c>
      <c r="AU622" t="n">
        <v/>
      </c>
    </row>
    <row r="623">
      <c r="A623" s="106" t="n">
        <v>25842</v>
      </c>
      <c r="B623" t="n">
        <v>26.392638169</v>
      </c>
      <c r="C623" t="n">
        <v>42.701497461</v>
      </c>
      <c r="D623" t="n">
        <v/>
      </c>
      <c r="E623" t="n">
        <v>39.071070188</v>
      </c>
      <c r="F623" t="n">
        <v/>
      </c>
      <c r="G623" t="n">
        <v/>
      </c>
      <c r="H623" t="n">
        <v/>
      </c>
      <c r="I623" t="n">
        <v>26.392638169</v>
      </c>
      <c r="J623" t="n">
        <v/>
      </c>
      <c r="K623" t="n">
        <v>50.061270261</v>
      </c>
      <c r="L623" t="n">
        <v/>
      </c>
      <c r="M623" t="n">
        <v/>
      </c>
      <c r="N623" t="n">
        <v>51.943772599</v>
      </c>
      <c r="O623" t="n">
        <v/>
      </c>
      <c r="P623" t="n">
        <v/>
      </c>
      <c r="Q623" t="n">
        <v>32.237423485</v>
      </c>
      <c r="R623" t="n">
        <v>61.662954646</v>
      </c>
      <c r="S623" t="n">
        <v>44.878933715</v>
      </c>
      <c r="T623" t="n">
        <v>60.488149982</v>
      </c>
      <c r="U623" t="n">
        <v/>
      </c>
      <c r="V623" t="n">
        <v>60.786673972</v>
      </c>
      <c r="W623" t="n">
        <v/>
      </c>
      <c r="X623" t="n">
        <v/>
      </c>
      <c r="Y623" t="n">
        <v/>
      </c>
      <c r="Z623" t="n">
        <v/>
      </c>
      <c r="AA623" t="n">
        <v/>
      </c>
      <c r="AB623" t="n">
        <v/>
      </c>
      <c r="AC623" t="n">
        <v>67.703496203</v>
      </c>
      <c r="AD623" t="n">
        <v>48.290028216</v>
      </c>
      <c r="AE623" t="n">
        <v/>
      </c>
      <c r="AF623" t="n">
        <v>46.728700589</v>
      </c>
      <c r="AG623" t="n">
        <v/>
      </c>
      <c r="AH623" t="n">
        <v/>
      </c>
      <c r="AI623" t="n">
        <v>51.096988564</v>
      </c>
      <c r="AJ623" t="n">
        <v>36.824590634</v>
      </c>
      <c r="AK623" t="n">
        <v/>
      </c>
      <c r="AL623" t="n">
        <v/>
      </c>
      <c r="AM623" t="n">
        <v/>
      </c>
      <c r="AN623" t="n">
        <v>37.471258551</v>
      </c>
      <c r="AO623" t="n">
        <v/>
      </c>
      <c r="AP623" t="n">
        <v/>
      </c>
      <c r="AQ623" t="n">
        <v/>
      </c>
      <c r="AR623" t="n">
        <v>52.755963945</v>
      </c>
      <c r="AS623" t="n">
        <v/>
      </c>
      <c r="AT623" t="n">
        <v>36.390261912</v>
      </c>
      <c r="AU623" t="n">
        <v/>
      </c>
    </row>
    <row r="624">
      <c r="A624" s="106" t="n">
        <v>25873</v>
      </c>
      <c r="B624" t="n">
        <v>26.630614144</v>
      </c>
      <c r="C624" t="n">
        <v>42.449965889</v>
      </c>
      <c r="D624" t="n">
        <v/>
      </c>
      <c r="E624" t="n">
        <v>39.52688211</v>
      </c>
      <c r="F624" t="n">
        <v/>
      </c>
      <c r="G624" t="n">
        <v/>
      </c>
      <c r="H624" t="n">
        <v/>
      </c>
      <c r="I624" t="n">
        <v>26.630614144</v>
      </c>
      <c r="J624" t="n">
        <v/>
      </c>
      <c r="K624" t="n">
        <v>49.62917545</v>
      </c>
      <c r="L624" t="n">
        <v/>
      </c>
      <c r="M624" t="n">
        <v/>
      </c>
      <c r="N624" t="n">
        <v>52.852246884</v>
      </c>
      <c r="O624" t="n">
        <v/>
      </c>
      <c r="P624" t="n">
        <v/>
      </c>
      <c r="Q624" t="n">
        <v>32.879629211</v>
      </c>
      <c r="R624" t="n">
        <v>61.297364005</v>
      </c>
      <c r="S624" t="n">
        <v>44.676122038</v>
      </c>
      <c r="T624" t="n">
        <v>60.594269544</v>
      </c>
      <c r="U624" t="n">
        <v/>
      </c>
      <c r="V624" t="n">
        <v>61.544583867</v>
      </c>
      <c r="W624" t="n">
        <v/>
      </c>
      <c r="X624" t="n">
        <v/>
      </c>
      <c r="Y624" t="n">
        <v/>
      </c>
      <c r="Z624" t="n">
        <v/>
      </c>
      <c r="AA624" t="n">
        <v/>
      </c>
      <c r="AB624" t="n">
        <v/>
      </c>
      <c r="AC624" t="n">
        <v>68.590739607</v>
      </c>
      <c r="AD624" t="n">
        <v>47.785254402</v>
      </c>
      <c r="AE624" t="n">
        <v/>
      </c>
      <c r="AF624" t="n">
        <v>48.238086428</v>
      </c>
      <c r="AG624" t="n">
        <v/>
      </c>
      <c r="AH624" t="n">
        <v/>
      </c>
      <c r="AI624" t="n">
        <v>51.096988564</v>
      </c>
      <c r="AJ624" t="n">
        <v>36.910529002</v>
      </c>
      <c r="AK624" t="n">
        <v/>
      </c>
      <c r="AL624" t="n">
        <v/>
      </c>
      <c r="AM624" t="n">
        <v/>
      </c>
      <c r="AN624" t="n">
        <v>37.107750171</v>
      </c>
      <c r="AO624" t="n">
        <v/>
      </c>
      <c r="AP624" t="n">
        <v/>
      </c>
      <c r="AQ624" t="n">
        <v/>
      </c>
      <c r="AR624" t="n">
        <v>53.210756737</v>
      </c>
      <c r="AS624" t="n">
        <v/>
      </c>
      <c r="AT624" t="n">
        <v>36.169832659</v>
      </c>
      <c r="AU624" t="n">
        <v/>
      </c>
    </row>
    <row r="625">
      <c r="A625" s="106" t="n">
        <v>25903</v>
      </c>
      <c r="B625" t="n">
        <v>25.211648364</v>
      </c>
      <c r="C625" t="n">
        <v>43.474730495</v>
      </c>
      <c r="D625" t="n">
        <v/>
      </c>
      <c r="E625" t="n">
        <v>39.790501171</v>
      </c>
      <c r="F625" t="n">
        <v/>
      </c>
      <c r="G625" t="n">
        <v/>
      </c>
      <c r="H625" t="n">
        <v/>
      </c>
      <c r="I625" t="n">
        <v>25.211648364</v>
      </c>
      <c r="J625" t="n">
        <v/>
      </c>
      <c r="K625" t="n">
        <v>50.493365072</v>
      </c>
      <c r="L625" t="n">
        <v/>
      </c>
      <c r="M625" t="n">
        <v/>
      </c>
      <c r="N625" t="n">
        <v>51.791700061</v>
      </c>
      <c r="O625" t="n">
        <v/>
      </c>
      <c r="P625" t="n">
        <v/>
      </c>
      <c r="Q625" t="n">
        <v>33.218661676</v>
      </c>
      <c r="R625" t="n">
        <v>61.906681736</v>
      </c>
      <c r="S625" t="n">
        <v>45.397892337</v>
      </c>
      <c r="T625" t="n">
        <v>60.27591086</v>
      </c>
      <c r="U625" t="n">
        <v/>
      </c>
      <c r="V625" t="n">
        <v>61.430906834</v>
      </c>
      <c r="W625" t="n">
        <v/>
      </c>
      <c r="X625" t="n">
        <v/>
      </c>
      <c r="Y625" t="n">
        <v/>
      </c>
      <c r="Z625" t="n">
        <v/>
      </c>
      <c r="AA625" t="n">
        <v/>
      </c>
      <c r="AB625" t="n">
        <v/>
      </c>
      <c r="AC625" t="n">
        <v>68.795488084</v>
      </c>
      <c r="AD625" t="n">
        <v>48.794802031</v>
      </c>
      <c r="AE625" t="n">
        <v/>
      </c>
      <c r="AF625" t="n">
        <v>49.664618639</v>
      </c>
      <c r="AG625" t="n">
        <v/>
      </c>
      <c r="AH625" t="n">
        <v/>
      </c>
      <c r="AI625" t="n">
        <v>51.597939432</v>
      </c>
      <c r="AJ625" t="n">
        <v>37.76991268</v>
      </c>
      <c r="AK625" t="n">
        <v/>
      </c>
      <c r="AL625" t="n">
        <v/>
      </c>
      <c r="AM625" t="n">
        <v/>
      </c>
      <c r="AN625" t="n">
        <v>38.052655683</v>
      </c>
      <c r="AO625" t="n">
        <v/>
      </c>
      <c r="AP625" t="n">
        <v/>
      </c>
      <c r="AQ625" t="n">
        <v/>
      </c>
      <c r="AR625" t="n">
        <v>53.66554953</v>
      </c>
      <c r="AS625" t="n">
        <v/>
      </c>
      <c r="AT625" t="n">
        <v>37.000483067</v>
      </c>
      <c r="AU625" t="n">
        <v/>
      </c>
    </row>
    <row r="626">
      <c r="A626" s="106" t="n">
        <v>25934</v>
      </c>
      <c r="B626" t="n">
        <v>27.567116395</v>
      </c>
      <c r="C626" t="n">
        <v>43.302152313</v>
      </c>
      <c r="D626" t="n">
        <v/>
      </c>
      <c r="E626" t="n">
        <v>40.165018802</v>
      </c>
      <c r="F626" t="n">
        <v/>
      </c>
      <c r="G626" t="n">
        <v/>
      </c>
      <c r="H626" t="n">
        <v/>
      </c>
      <c r="I626" t="n">
        <v>27.567116395</v>
      </c>
      <c r="J626" t="n">
        <v/>
      </c>
      <c r="K626" t="n">
        <v>51.419282525</v>
      </c>
      <c r="L626" t="n">
        <v/>
      </c>
      <c r="M626" t="n">
        <v/>
      </c>
      <c r="N626" t="n">
        <v>51.25086243</v>
      </c>
      <c r="O626" t="n">
        <v/>
      </c>
      <c r="P626" t="n">
        <v/>
      </c>
      <c r="Q626" t="n">
        <v>34.196639939</v>
      </c>
      <c r="R626" t="n">
        <v>61.723886416</v>
      </c>
      <c r="S626" t="n">
        <v>45.694039331</v>
      </c>
      <c r="T626" t="n">
        <v>59.957552175</v>
      </c>
      <c r="U626" t="n">
        <v/>
      </c>
      <c r="V626" t="n">
        <v>62.278238691</v>
      </c>
      <c r="W626" t="n">
        <v/>
      </c>
      <c r="X626" t="n">
        <v/>
      </c>
      <c r="Y626" t="n">
        <v/>
      </c>
      <c r="Z626" t="n">
        <v/>
      </c>
      <c r="AA626" t="n">
        <v/>
      </c>
      <c r="AB626" t="n">
        <v/>
      </c>
      <c r="AC626" t="n">
        <v>70.015447753</v>
      </c>
      <c r="AD626" t="n">
        <v>48.710673062</v>
      </c>
      <c r="AE626" t="n">
        <v/>
      </c>
      <c r="AF626" t="n">
        <v>48.13469327</v>
      </c>
      <c r="AG626" t="n">
        <v/>
      </c>
      <c r="AH626" t="n">
        <v/>
      </c>
      <c r="AI626" t="n">
        <v>53.100792037</v>
      </c>
      <c r="AJ626" t="n">
        <v>36.523806346</v>
      </c>
      <c r="AK626" t="n">
        <v/>
      </c>
      <c r="AL626" t="n">
        <v/>
      </c>
      <c r="AM626" t="n">
        <v/>
      </c>
      <c r="AN626" t="n">
        <v>36.550763338</v>
      </c>
      <c r="AO626" t="n">
        <v/>
      </c>
      <c r="AP626" t="n">
        <v/>
      </c>
      <c r="AQ626" t="n">
        <v/>
      </c>
      <c r="AR626" t="n">
        <v>54.120342322</v>
      </c>
      <c r="AS626" t="n">
        <v/>
      </c>
      <c r="AT626" t="n">
        <v>37.285067843</v>
      </c>
      <c r="AU626" t="n">
        <v/>
      </c>
    </row>
    <row r="627">
      <c r="A627" s="106" t="n">
        <v>25965</v>
      </c>
      <c r="B627" t="n">
        <v>27.101132271</v>
      </c>
      <c r="C627" t="n">
        <v>43.538372112</v>
      </c>
      <c r="D627" t="n">
        <v/>
      </c>
      <c r="E627" t="n">
        <v>40.422059133</v>
      </c>
      <c r="F627" t="n">
        <v/>
      </c>
      <c r="G627" t="n">
        <v/>
      </c>
      <c r="H627" t="n">
        <v/>
      </c>
      <c r="I627" t="n">
        <v>27.101132271</v>
      </c>
      <c r="J627" t="n">
        <v/>
      </c>
      <c r="K627" t="n">
        <v>50.863732053</v>
      </c>
      <c r="L627" t="n">
        <v/>
      </c>
      <c r="M627" t="n">
        <v/>
      </c>
      <c r="N627" t="n">
        <v>51.807698541</v>
      </c>
      <c r="O627" t="n">
        <v/>
      </c>
      <c r="P627" t="n">
        <v/>
      </c>
      <c r="Q627" t="n">
        <v>27.546387749</v>
      </c>
      <c r="R627" t="n">
        <v>62.759726567</v>
      </c>
      <c r="S627" t="n">
        <v>45.385655362</v>
      </c>
      <c r="T627" t="n">
        <v>59.745313053</v>
      </c>
      <c r="U627" t="n">
        <v/>
      </c>
      <c r="V627" t="n">
        <v>62.946066704</v>
      </c>
      <c r="W627" t="n">
        <v/>
      </c>
      <c r="X627" t="n">
        <v/>
      </c>
      <c r="Y627" t="n">
        <v/>
      </c>
      <c r="Z627" t="n">
        <v/>
      </c>
      <c r="AA627" t="n">
        <v/>
      </c>
      <c r="AB627" t="n">
        <v/>
      </c>
      <c r="AC627" t="n">
        <v>65.86280740399999</v>
      </c>
      <c r="AD627" t="n">
        <v>48.458286154</v>
      </c>
      <c r="AE627" t="n">
        <v/>
      </c>
      <c r="AF627" t="n">
        <v>49.148139478</v>
      </c>
      <c r="AG627" t="n">
        <v/>
      </c>
      <c r="AH627" t="n">
        <v/>
      </c>
      <c r="AI627" t="n">
        <v>52.599841169</v>
      </c>
      <c r="AJ627" t="n">
        <v>36.738652266</v>
      </c>
      <c r="AK627" t="n">
        <v/>
      </c>
      <c r="AL627" t="n">
        <v/>
      </c>
      <c r="AM627" t="n">
        <v/>
      </c>
      <c r="AN627" t="n">
        <v>36.404242436</v>
      </c>
      <c r="AO627" t="n">
        <v/>
      </c>
      <c r="AP627" t="n">
        <v/>
      </c>
      <c r="AQ627" t="n">
        <v/>
      </c>
      <c r="AR627" t="n">
        <v>53.210756737</v>
      </c>
      <c r="AS627" t="n">
        <v/>
      </c>
      <c r="AT627" t="n">
        <v>37.214070387</v>
      </c>
      <c r="AU627" t="n">
        <v/>
      </c>
    </row>
    <row r="628">
      <c r="A628" s="106" t="n">
        <v>25993</v>
      </c>
      <c r="B628" t="n">
        <v>26.713233708</v>
      </c>
      <c r="C628" t="n">
        <v>42.721347861</v>
      </c>
      <c r="D628" t="n">
        <v/>
      </c>
      <c r="E628" t="n">
        <v>40.575719441</v>
      </c>
      <c r="F628" t="n">
        <v/>
      </c>
      <c r="G628" t="n">
        <v/>
      </c>
      <c r="H628" t="n">
        <v/>
      </c>
      <c r="I628" t="n">
        <v>26.713233708</v>
      </c>
      <c r="J628" t="n">
        <v/>
      </c>
      <c r="K628" t="n">
        <v>50.616820732</v>
      </c>
      <c r="L628" t="n">
        <v/>
      </c>
      <c r="M628" t="n">
        <v/>
      </c>
      <c r="N628" t="n">
        <v>52.632808748</v>
      </c>
      <c r="O628" t="n">
        <v/>
      </c>
      <c r="P628" t="n">
        <v/>
      </c>
      <c r="Q628" t="n">
        <v>25.544792237</v>
      </c>
      <c r="R628" t="n">
        <v>63.186248978</v>
      </c>
      <c r="S628" t="n">
        <v>45.440647414</v>
      </c>
      <c r="T628" t="n">
        <v>59.745313053</v>
      </c>
      <c r="U628" t="n">
        <v/>
      </c>
      <c r="V628" t="n">
        <v>62.166966241</v>
      </c>
      <c r="W628" t="n">
        <v/>
      </c>
      <c r="X628" t="n">
        <v/>
      </c>
      <c r="Y628" t="n">
        <v/>
      </c>
      <c r="Z628" t="n">
        <v/>
      </c>
      <c r="AA628" t="n">
        <v/>
      </c>
      <c r="AB628" t="n">
        <v/>
      </c>
      <c r="AC628" t="n">
        <v>65.86280740399999</v>
      </c>
      <c r="AD628" t="n">
        <v>48.963059969</v>
      </c>
      <c r="AE628" t="n">
        <v/>
      </c>
      <c r="AF628" t="n">
        <v>49.094517708</v>
      </c>
      <c r="AG628" t="n">
        <v/>
      </c>
      <c r="AH628" t="n">
        <v/>
      </c>
      <c r="AI628" t="n">
        <v>52.098890301</v>
      </c>
      <c r="AJ628" t="n">
        <v>36.867559818</v>
      </c>
      <c r="AK628" t="n">
        <v/>
      </c>
      <c r="AL628" t="n">
        <v/>
      </c>
      <c r="AM628" t="n">
        <v/>
      </c>
      <c r="AN628" t="n">
        <v>36.499898631</v>
      </c>
      <c r="AO628" t="n">
        <v/>
      </c>
      <c r="AP628" t="n">
        <v/>
      </c>
      <c r="AQ628" t="n">
        <v/>
      </c>
      <c r="AR628" t="n">
        <v>52.301171152</v>
      </c>
      <c r="AS628" t="n">
        <v/>
      </c>
      <c r="AT628" t="n">
        <v>37.173712894</v>
      </c>
      <c r="AU628" t="n">
        <v/>
      </c>
    </row>
    <row r="629">
      <c r="A629" s="106" t="n">
        <v>26024</v>
      </c>
      <c r="B629" t="n">
        <v>27.024562887</v>
      </c>
      <c r="C629" t="n">
        <v>43.101097581</v>
      </c>
      <c r="D629" t="n">
        <v/>
      </c>
      <c r="E629" t="n">
        <v>40.641976638</v>
      </c>
      <c r="F629" t="n">
        <v/>
      </c>
      <c r="G629" t="n">
        <v/>
      </c>
      <c r="H629" t="n">
        <v/>
      </c>
      <c r="I629" t="n">
        <v>27.024562887</v>
      </c>
      <c r="J629" t="n">
        <v/>
      </c>
      <c r="K629" t="n">
        <v>50.987187713</v>
      </c>
      <c r="L629" t="n">
        <v/>
      </c>
      <c r="M629" t="n">
        <v/>
      </c>
      <c r="N629" t="n">
        <v>53.311179236</v>
      </c>
      <c r="O629" t="n">
        <v/>
      </c>
      <c r="P629" t="n">
        <v/>
      </c>
      <c r="Q629" t="n">
        <v>33.978224794</v>
      </c>
      <c r="R629" t="n">
        <v>63.003453657</v>
      </c>
      <c r="S629" t="n">
        <v>45.525843991</v>
      </c>
      <c r="T629" t="n">
        <v>59.957552175</v>
      </c>
      <c r="U629" t="n">
        <v/>
      </c>
      <c r="V629" t="n">
        <v>61.051191264</v>
      </c>
      <c r="W629" t="n">
        <v/>
      </c>
      <c r="X629" t="n">
        <v/>
      </c>
      <c r="Y629" t="n">
        <v/>
      </c>
      <c r="Z629" t="n">
        <v/>
      </c>
      <c r="AA629" t="n">
        <v/>
      </c>
      <c r="AB629" t="n">
        <v/>
      </c>
      <c r="AC629" t="n">
        <v>65.090223153</v>
      </c>
      <c r="AD629" t="n">
        <v>48.710673062</v>
      </c>
      <c r="AE629" t="n">
        <v/>
      </c>
      <c r="AF629" t="n">
        <v>50.611351047</v>
      </c>
      <c r="AG629" t="n">
        <v/>
      </c>
      <c r="AH629" t="n">
        <v/>
      </c>
      <c r="AI629" t="n">
        <v>52.098890301</v>
      </c>
      <c r="AJ629" t="n">
        <v>37.469128393</v>
      </c>
      <c r="AK629" t="n">
        <v/>
      </c>
      <c r="AL629" t="n">
        <v/>
      </c>
      <c r="AM629" t="n">
        <v/>
      </c>
      <c r="AN629" t="n">
        <v>41.367948194</v>
      </c>
      <c r="AO629" t="n">
        <v/>
      </c>
      <c r="AP629" t="n">
        <v/>
      </c>
      <c r="AQ629" t="n">
        <v/>
      </c>
      <c r="AR629" t="n">
        <v>52.755963945</v>
      </c>
      <c r="AS629" t="n">
        <v/>
      </c>
      <c r="AT629" t="n">
        <v>37.382540608</v>
      </c>
      <c r="AU629" t="n">
        <v/>
      </c>
    </row>
    <row r="630">
      <c r="A630" s="106" t="n">
        <v>26054</v>
      </c>
      <c r="B630" t="n">
        <v>27.454114831</v>
      </c>
      <c r="C630" t="n">
        <v>39.715543784</v>
      </c>
      <c r="D630" t="n">
        <v/>
      </c>
      <c r="E630" t="n">
        <v>41.216205678</v>
      </c>
      <c r="F630" t="n">
        <v/>
      </c>
      <c r="G630" t="n">
        <v/>
      </c>
      <c r="H630" t="n">
        <v/>
      </c>
      <c r="I630" t="n">
        <v>27.454114831</v>
      </c>
      <c r="J630" t="n">
        <v/>
      </c>
      <c r="K630" t="n">
        <v>50.246453752</v>
      </c>
      <c r="L630" t="n">
        <v/>
      </c>
      <c r="M630" t="n">
        <v/>
      </c>
      <c r="N630" t="n">
        <v>53.115110859</v>
      </c>
      <c r="O630" t="n">
        <v/>
      </c>
      <c r="P630" t="n">
        <v/>
      </c>
      <c r="Q630" t="n">
        <v>34.356376389</v>
      </c>
      <c r="R630" t="n">
        <v>61.906681736</v>
      </c>
      <c r="S630" t="n">
        <v>45.415854658</v>
      </c>
      <c r="T630" t="n">
        <v>60.063671737</v>
      </c>
      <c r="U630" t="n">
        <v/>
      </c>
      <c r="V630" t="n">
        <v>63.476634613</v>
      </c>
      <c r="W630" t="n">
        <v/>
      </c>
      <c r="X630" t="n">
        <v/>
      </c>
      <c r="Y630" t="n">
        <v/>
      </c>
      <c r="Z630" t="n">
        <v/>
      </c>
      <c r="AA630" t="n">
        <v/>
      </c>
      <c r="AB630" t="n">
        <v/>
      </c>
      <c r="AC630" t="n">
        <v>67.697695001</v>
      </c>
      <c r="AD630" t="n">
        <v>47.448738526</v>
      </c>
      <c r="AE630" t="n">
        <v/>
      </c>
      <c r="AF630" t="n">
        <v>51.21665749</v>
      </c>
      <c r="AG630" t="n">
        <v/>
      </c>
      <c r="AH630" t="n">
        <v/>
      </c>
      <c r="AI630" t="n">
        <v>52.599841169</v>
      </c>
      <c r="AJ630" t="n">
        <v>37.598035945</v>
      </c>
      <c r="AK630" t="n">
        <v/>
      </c>
      <c r="AL630" t="n">
        <v/>
      </c>
      <c r="AM630" t="n">
        <v/>
      </c>
      <c r="AN630" t="n">
        <v>40.346326009</v>
      </c>
      <c r="AO630" t="n">
        <v/>
      </c>
      <c r="AP630" t="n">
        <v/>
      </c>
      <c r="AQ630" t="n">
        <v/>
      </c>
      <c r="AR630" t="n">
        <v>52.755963945</v>
      </c>
      <c r="AS630" t="n">
        <v/>
      </c>
      <c r="AT630" t="n">
        <v>37.57223074</v>
      </c>
      <c r="AU630" t="n">
        <v/>
      </c>
    </row>
    <row r="631">
      <c r="A631" s="106" t="n">
        <v>26085</v>
      </c>
      <c r="B631" t="n">
        <v>26.969959588</v>
      </c>
      <c r="C631" t="n">
        <v>42.972492481</v>
      </c>
      <c r="D631" t="n">
        <v/>
      </c>
      <c r="E631" t="n">
        <v>41.487813194</v>
      </c>
      <c r="F631" t="n">
        <v/>
      </c>
      <c r="G631" t="n">
        <v/>
      </c>
      <c r="H631" t="n">
        <v/>
      </c>
      <c r="I631" t="n">
        <v>26.969959588</v>
      </c>
      <c r="J631" t="n">
        <v/>
      </c>
      <c r="K631" t="n">
        <v>50.802004223</v>
      </c>
      <c r="L631" t="n">
        <v/>
      </c>
      <c r="M631" t="n">
        <v/>
      </c>
      <c r="N631" t="n">
        <v>54.030347787</v>
      </c>
      <c r="O631" t="n">
        <v/>
      </c>
      <c r="P631" t="n">
        <v/>
      </c>
      <c r="Q631" t="n">
        <v>35.044221101</v>
      </c>
      <c r="R631" t="n">
        <v>63.125317207</v>
      </c>
      <c r="S631" t="n">
        <v>45.816414919</v>
      </c>
      <c r="T631" t="n">
        <v>59.851432614</v>
      </c>
      <c r="U631" t="n">
        <v/>
      </c>
      <c r="V631" t="n">
        <v>64.405949742</v>
      </c>
      <c r="W631" t="n">
        <v/>
      </c>
      <c r="X631" t="n">
        <v/>
      </c>
      <c r="Y631" t="n">
        <v/>
      </c>
      <c r="Z631" t="n">
        <v/>
      </c>
      <c r="AA631" t="n">
        <v/>
      </c>
      <c r="AB631" t="n">
        <v/>
      </c>
      <c r="AC631" t="n">
        <v>68.27713319199999</v>
      </c>
      <c r="AD631" t="n">
        <v>48.458286154</v>
      </c>
      <c r="AE631" t="n">
        <v/>
      </c>
      <c r="AF631" t="n">
        <v>50.890495905</v>
      </c>
      <c r="AG631" t="n">
        <v/>
      </c>
      <c r="AH631" t="n">
        <v/>
      </c>
      <c r="AI631" t="n">
        <v>53.100792037</v>
      </c>
      <c r="AJ631" t="n">
        <v>38.070696968</v>
      </c>
      <c r="AK631" t="n">
        <v/>
      </c>
      <c r="AL631" t="n">
        <v/>
      </c>
      <c r="AM631" t="n">
        <v/>
      </c>
      <c r="AN631" t="n">
        <v>39.62218367</v>
      </c>
      <c r="AO631" t="n">
        <v/>
      </c>
      <c r="AP631" t="n">
        <v/>
      </c>
      <c r="AQ631" t="n">
        <v/>
      </c>
      <c r="AR631" t="n">
        <v>53.210756737</v>
      </c>
      <c r="AS631" t="n">
        <v/>
      </c>
      <c r="AT631" t="n">
        <v>37.729793531</v>
      </c>
      <c r="AU631" t="n">
        <v/>
      </c>
    </row>
    <row r="632">
      <c r="A632" s="106" t="n">
        <v>26115</v>
      </c>
      <c r="B632" t="n">
        <v>27.18452037</v>
      </c>
      <c r="C632" t="n">
        <v>43.785134909</v>
      </c>
      <c r="D632" t="n">
        <v/>
      </c>
      <c r="E632" t="n">
        <v>41.61938777</v>
      </c>
      <c r="F632" t="n">
        <v/>
      </c>
      <c r="G632" t="n">
        <v/>
      </c>
      <c r="H632" t="n">
        <v/>
      </c>
      <c r="I632" t="n">
        <v>27.18452037</v>
      </c>
      <c r="J632" t="n">
        <v/>
      </c>
      <c r="K632" t="n">
        <v>51.604466015</v>
      </c>
      <c r="L632" t="n">
        <v/>
      </c>
      <c r="M632" t="n">
        <v/>
      </c>
      <c r="N632" t="n">
        <v>56.315145738</v>
      </c>
      <c r="O632" t="n">
        <v/>
      </c>
      <c r="P632" t="n">
        <v/>
      </c>
      <c r="Q632" t="n">
        <v>35.19091784</v>
      </c>
      <c r="R632" t="n">
        <v>63.490907848</v>
      </c>
      <c r="S632" t="n">
        <v>45.871656984</v>
      </c>
      <c r="T632" t="n">
        <v>59.53307393</v>
      </c>
      <c r="U632" t="n">
        <v/>
      </c>
      <c r="V632" t="n">
        <v>68.025696473</v>
      </c>
      <c r="W632" t="n">
        <v/>
      </c>
      <c r="X632" t="n">
        <v/>
      </c>
      <c r="Y632" t="n">
        <v/>
      </c>
      <c r="Z632" t="n">
        <v/>
      </c>
      <c r="AA632" t="n">
        <v/>
      </c>
      <c r="AB632" t="n">
        <v/>
      </c>
      <c r="AC632" t="n">
        <v>67.697695001</v>
      </c>
      <c r="AD632" t="n">
        <v>48.626544093</v>
      </c>
      <c r="AE632" t="n">
        <v/>
      </c>
      <c r="AF632" t="n">
        <v>50.811170942</v>
      </c>
      <c r="AG632" t="n">
        <v/>
      </c>
      <c r="AH632" t="n">
        <v/>
      </c>
      <c r="AI632" t="n">
        <v>53.100792037</v>
      </c>
      <c r="AJ632" t="n">
        <v>39.18789575</v>
      </c>
      <c r="AK632" t="n">
        <v/>
      </c>
      <c r="AL632" t="n">
        <v/>
      </c>
      <c r="AM632" t="n">
        <v/>
      </c>
      <c r="AN632" t="n">
        <v>40.989873985</v>
      </c>
      <c r="AO632" t="n">
        <v/>
      </c>
      <c r="AP632" t="n">
        <v/>
      </c>
      <c r="AQ632" t="n">
        <v/>
      </c>
      <c r="AR632" t="n">
        <v>52.755963945</v>
      </c>
      <c r="AS632" t="n">
        <v/>
      </c>
      <c r="AT632" t="n">
        <v>37.620223434</v>
      </c>
      <c r="AU632" t="n">
        <v/>
      </c>
    </row>
    <row r="633">
      <c r="A633" s="106" t="n">
        <v>26146</v>
      </c>
      <c r="B633" t="n">
        <v>27.28642373</v>
      </c>
      <c r="C633" t="n">
        <v>43.272834527</v>
      </c>
      <c r="D633" t="n">
        <v/>
      </c>
      <c r="E633" t="n">
        <v>42.771135214</v>
      </c>
      <c r="F633" t="n">
        <v/>
      </c>
      <c r="G633" t="n">
        <v/>
      </c>
      <c r="H633" t="n">
        <v/>
      </c>
      <c r="I633" t="n">
        <v>27.28642373</v>
      </c>
      <c r="J633" t="n">
        <v/>
      </c>
      <c r="K633" t="n">
        <v>49.443991959</v>
      </c>
      <c r="L633" t="n">
        <v/>
      </c>
      <c r="M633" t="n">
        <v/>
      </c>
      <c r="N633" t="n">
        <v>55.99767824</v>
      </c>
      <c r="O633" t="n">
        <v/>
      </c>
      <c r="P633" t="n">
        <v/>
      </c>
      <c r="Q633" t="n">
        <v>34.639990085</v>
      </c>
      <c r="R633" t="n">
        <v>63.490907848</v>
      </c>
      <c r="S633" t="n">
        <v>45.587016657</v>
      </c>
      <c r="T633" t="n">
        <v>59.53307393</v>
      </c>
      <c r="U633" t="n">
        <v/>
      </c>
      <c r="V633" t="n">
        <v>68.25449314399999</v>
      </c>
      <c r="W633" t="n">
        <v/>
      </c>
      <c r="X633" t="n">
        <v/>
      </c>
      <c r="Y633" t="n">
        <v/>
      </c>
      <c r="Z633" t="n">
        <v/>
      </c>
      <c r="AA633" t="n">
        <v/>
      </c>
      <c r="AB633" t="n">
        <v/>
      </c>
      <c r="AC633" t="n">
        <v>68.663425312</v>
      </c>
      <c r="AD633" t="n">
        <v>48.794802031</v>
      </c>
      <c r="AE633" t="n">
        <v/>
      </c>
      <c r="AF633" t="n">
        <v>51.334819537</v>
      </c>
      <c r="AG633" t="n">
        <v/>
      </c>
      <c r="AH633" t="n">
        <v/>
      </c>
      <c r="AI633" t="n">
        <v>53.601742906</v>
      </c>
      <c r="AJ633" t="n">
        <v>37.812881864</v>
      </c>
      <c r="AK633" t="n">
        <v/>
      </c>
      <c r="AL633" t="n">
        <v/>
      </c>
      <c r="AM633" t="n">
        <v/>
      </c>
      <c r="AN633" t="n">
        <v>41.285328392</v>
      </c>
      <c r="AO633" t="n">
        <v/>
      </c>
      <c r="AP633" t="n">
        <v/>
      </c>
      <c r="AQ633" t="n">
        <v/>
      </c>
      <c r="AR633" t="n">
        <v>51.846378359</v>
      </c>
      <c r="AS633" t="n">
        <v/>
      </c>
      <c r="AT633" t="n">
        <v>37.401876508</v>
      </c>
      <c r="AU633" t="n">
        <v/>
      </c>
    </row>
    <row r="634">
      <c r="A634" s="106" t="n">
        <v>26177</v>
      </c>
      <c r="B634" t="n">
        <v>27.338382856</v>
      </c>
      <c r="C634" t="n">
        <v>43.783670386</v>
      </c>
      <c r="D634" t="n">
        <v/>
      </c>
      <c r="E634" t="n">
        <v>43.038983457</v>
      </c>
      <c r="F634" t="n">
        <v/>
      </c>
      <c r="G634" t="n">
        <v/>
      </c>
      <c r="H634" t="n">
        <v/>
      </c>
      <c r="I634" t="n">
        <v>27.338382856</v>
      </c>
      <c r="J634" t="n">
        <v/>
      </c>
      <c r="K634" t="n">
        <v>50.616820732</v>
      </c>
      <c r="L634" t="n">
        <v/>
      </c>
      <c r="M634" t="n">
        <v/>
      </c>
      <c r="N634" t="n">
        <v>55.150483172</v>
      </c>
      <c r="O634" t="n">
        <v/>
      </c>
      <c r="P634" t="n">
        <v/>
      </c>
      <c r="Q634" t="n">
        <v>34.861665158</v>
      </c>
      <c r="R634" t="n">
        <v>65.31886105</v>
      </c>
      <c r="S634" t="n">
        <v>46.303665117</v>
      </c>
      <c r="T634" t="n">
        <v>60.063671737</v>
      </c>
      <c r="U634" t="n">
        <v/>
      </c>
      <c r="V634" t="n">
        <v>66.137119704</v>
      </c>
      <c r="W634" t="n">
        <v/>
      </c>
      <c r="X634" t="n">
        <v/>
      </c>
      <c r="Y634" t="n">
        <v/>
      </c>
      <c r="Z634" t="n">
        <v/>
      </c>
      <c r="AA634" t="n">
        <v/>
      </c>
      <c r="AB634" t="n">
        <v/>
      </c>
      <c r="AC634" t="n">
        <v>68.856571371</v>
      </c>
      <c r="AD634" t="n">
        <v>49.467833783</v>
      </c>
      <c r="AE634" t="n">
        <v/>
      </c>
      <c r="AF634" t="n">
        <v>51.835797461</v>
      </c>
      <c r="AG634" t="n">
        <v/>
      </c>
      <c r="AH634" t="n">
        <v/>
      </c>
      <c r="AI634" t="n">
        <v>53.601742906</v>
      </c>
      <c r="AJ634" t="n">
        <v>37.855851048</v>
      </c>
      <c r="AK634" t="n">
        <v/>
      </c>
      <c r="AL634" t="n">
        <v/>
      </c>
      <c r="AM634" t="n">
        <v/>
      </c>
      <c r="AN634" t="n">
        <v>38.454695733</v>
      </c>
      <c r="AO634" t="n">
        <v/>
      </c>
      <c r="AP634" t="n">
        <v/>
      </c>
      <c r="AQ634" t="n">
        <v/>
      </c>
      <c r="AR634" t="n">
        <v>51.846378359</v>
      </c>
      <c r="AS634" t="n">
        <v/>
      </c>
      <c r="AT634" t="n">
        <v>38.009817018</v>
      </c>
      <c r="AU634" t="n">
        <v/>
      </c>
    </row>
    <row r="635">
      <c r="A635" s="106" t="n">
        <v>26207</v>
      </c>
      <c r="B635" t="n">
        <v>27.676431197</v>
      </c>
      <c r="C635" t="n">
        <v>43.937726326</v>
      </c>
      <c r="D635" t="n">
        <v/>
      </c>
      <c r="E635" t="n">
        <v>43.228826773</v>
      </c>
      <c r="F635" t="n">
        <v/>
      </c>
      <c r="G635" t="n">
        <v/>
      </c>
      <c r="H635" t="n">
        <v/>
      </c>
      <c r="I635" t="n">
        <v>27.676431197</v>
      </c>
      <c r="J635" t="n">
        <v/>
      </c>
      <c r="K635" t="n">
        <v>50.740276393</v>
      </c>
      <c r="L635" t="n">
        <v/>
      </c>
      <c r="M635" t="n">
        <v/>
      </c>
      <c r="N635" t="n">
        <v>55.08682737</v>
      </c>
      <c r="O635" t="n">
        <v/>
      </c>
      <c r="P635" t="n">
        <v/>
      </c>
      <c r="Q635" t="n">
        <v>34.675849288</v>
      </c>
      <c r="R635" t="n">
        <v>65.19699749999999</v>
      </c>
      <c r="S635" t="n">
        <v>46.441074478</v>
      </c>
      <c r="T635" t="n">
        <v>60.382030421</v>
      </c>
      <c r="U635" t="n">
        <v/>
      </c>
      <c r="V635" t="n">
        <v>66.726836077</v>
      </c>
      <c r="W635" t="n">
        <v/>
      </c>
      <c r="X635" t="n">
        <v/>
      </c>
      <c r="Y635" t="n">
        <v/>
      </c>
      <c r="Z635" t="n">
        <v/>
      </c>
      <c r="AA635" t="n">
        <v/>
      </c>
      <c r="AB635" t="n">
        <v/>
      </c>
      <c r="AC635" t="n">
        <v>70.20859381299999</v>
      </c>
      <c r="AD635" t="n">
        <v>48.794802031</v>
      </c>
      <c r="AE635" t="n">
        <v/>
      </c>
      <c r="AF635" t="n">
        <v>51.011453754</v>
      </c>
      <c r="AG635" t="n">
        <v/>
      </c>
      <c r="AH635" t="n">
        <v/>
      </c>
      <c r="AI635" t="n">
        <v>54.102693774</v>
      </c>
      <c r="AJ635" t="n">
        <v>37.812881864</v>
      </c>
      <c r="AK635" t="n">
        <v/>
      </c>
      <c r="AL635" t="n">
        <v/>
      </c>
      <c r="AM635" t="n">
        <v/>
      </c>
      <c r="AN635" t="n">
        <v>42.666982558</v>
      </c>
      <c r="AO635" t="n">
        <v/>
      </c>
      <c r="AP635" t="n">
        <v/>
      </c>
      <c r="AQ635" t="n">
        <v/>
      </c>
      <c r="AR635" t="n">
        <v>53.210756737</v>
      </c>
      <c r="AS635" t="n">
        <v/>
      </c>
      <c r="AT635" t="n">
        <v>38.294302636</v>
      </c>
      <c r="AU635" t="n">
        <v/>
      </c>
    </row>
    <row r="636">
      <c r="A636" s="106" t="n">
        <v>26238</v>
      </c>
      <c r="B636" t="n">
        <v>27.288940567</v>
      </c>
      <c r="C636" t="n">
        <v>44.118211562</v>
      </c>
      <c r="D636" t="n">
        <v/>
      </c>
      <c r="E636" t="n">
        <v>42.944061799</v>
      </c>
      <c r="F636" t="n">
        <v/>
      </c>
      <c r="G636" t="n">
        <v/>
      </c>
      <c r="H636" t="n">
        <v/>
      </c>
      <c r="I636" t="n">
        <v>27.288940567</v>
      </c>
      <c r="J636" t="n">
        <v/>
      </c>
      <c r="K636" t="n">
        <v>49.999542431</v>
      </c>
      <c r="L636" t="n">
        <v/>
      </c>
      <c r="M636" t="n">
        <v/>
      </c>
      <c r="N636" t="n">
        <v>56.197900814</v>
      </c>
      <c r="O636" t="n">
        <v/>
      </c>
      <c r="P636" t="n">
        <v/>
      </c>
      <c r="Q636" t="n">
        <v>34.10210204</v>
      </c>
      <c r="R636" t="n">
        <v>65.92817878</v>
      </c>
      <c r="S636" t="n">
        <v>46.476479701</v>
      </c>
      <c r="T636" t="n">
        <v>59.957552175</v>
      </c>
      <c r="U636" t="n">
        <v/>
      </c>
      <c r="V636" t="n">
        <v>68.26479986299999</v>
      </c>
      <c r="W636" t="n">
        <v/>
      </c>
      <c r="X636" t="n">
        <v/>
      </c>
      <c r="Y636" t="n">
        <v/>
      </c>
      <c r="Z636" t="n">
        <v/>
      </c>
      <c r="AA636" t="n">
        <v/>
      </c>
      <c r="AB636" t="n">
        <v/>
      </c>
      <c r="AC636" t="n">
        <v>69.532582598</v>
      </c>
      <c r="AD636" t="n">
        <v>49.383704814</v>
      </c>
      <c r="AE636" t="n">
        <v/>
      </c>
      <c r="AF636" t="n">
        <v>49.982924529</v>
      </c>
      <c r="AG636" t="n">
        <v/>
      </c>
      <c r="AH636" t="n">
        <v/>
      </c>
      <c r="AI636" t="n">
        <v>53.601742906</v>
      </c>
      <c r="AJ636" t="n">
        <v>37.598035945</v>
      </c>
      <c r="AK636" t="n">
        <v/>
      </c>
      <c r="AL636" t="n">
        <v/>
      </c>
      <c r="AM636" t="n">
        <v/>
      </c>
      <c r="AN636" t="n">
        <v>47.618641009</v>
      </c>
      <c r="AO636" t="n">
        <v/>
      </c>
      <c r="AP636" t="n">
        <v/>
      </c>
      <c r="AQ636" t="n">
        <v/>
      </c>
      <c r="AR636" t="n">
        <v>52.301171152</v>
      </c>
      <c r="AS636" t="n">
        <v/>
      </c>
      <c r="AT636" t="n">
        <v>38.45682335</v>
      </c>
      <c r="AU636" t="n">
        <v/>
      </c>
    </row>
    <row r="637">
      <c r="A637" s="106" t="n">
        <v>26268</v>
      </c>
      <c r="B637" t="n">
        <v>27.942629793</v>
      </c>
      <c r="C637" t="n">
        <v>42.732308882</v>
      </c>
      <c r="D637" t="n">
        <v/>
      </c>
      <c r="E637" t="n">
        <v>43.548834937</v>
      </c>
      <c r="F637" t="n">
        <v/>
      </c>
      <c r="G637" t="n">
        <v/>
      </c>
      <c r="H637" t="n">
        <v/>
      </c>
      <c r="I637" t="n">
        <v>27.942629793</v>
      </c>
      <c r="J637" t="n">
        <v/>
      </c>
      <c r="K637" t="n">
        <v>49.135352809</v>
      </c>
      <c r="L637" t="n">
        <v/>
      </c>
      <c r="M637" t="n">
        <v/>
      </c>
      <c r="N637" t="n">
        <v>57.538633643</v>
      </c>
      <c r="O637" t="n">
        <v/>
      </c>
      <c r="P637" t="n">
        <v/>
      </c>
      <c r="Q637" t="n">
        <v>33.91628617</v>
      </c>
      <c r="R637" t="n">
        <v>65.86724701</v>
      </c>
      <c r="S637" t="n">
        <v>46.470283373</v>
      </c>
      <c r="T637" t="n">
        <v>58.471878316</v>
      </c>
      <c r="U637" t="n">
        <v/>
      </c>
      <c r="V637" t="n">
        <v>68.718701905</v>
      </c>
      <c r="W637" t="n">
        <v/>
      </c>
      <c r="X637" t="n">
        <v/>
      </c>
      <c r="Y637" t="n">
        <v/>
      </c>
      <c r="Z637" t="n">
        <v/>
      </c>
      <c r="AA637" t="n">
        <v/>
      </c>
      <c r="AB637" t="n">
        <v/>
      </c>
      <c r="AC637" t="n">
        <v>70.20859381299999</v>
      </c>
      <c r="AD637" t="n">
        <v>49.047188938</v>
      </c>
      <c r="AE637" t="n">
        <v/>
      </c>
      <c r="AF637" t="n">
        <v>49.415397842</v>
      </c>
      <c r="AG637" t="n">
        <v/>
      </c>
      <c r="AH637" t="n">
        <v/>
      </c>
      <c r="AI637" t="n">
        <v>52.599841169</v>
      </c>
      <c r="AJ637" t="n">
        <v>38.586327175</v>
      </c>
      <c r="AK637" t="n">
        <v/>
      </c>
      <c r="AL637" t="n">
        <v/>
      </c>
      <c r="AM637" t="n">
        <v/>
      </c>
      <c r="AN637" t="n">
        <v>41.16221471</v>
      </c>
      <c r="AO637" t="n">
        <v/>
      </c>
      <c r="AP637" t="n">
        <v/>
      </c>
      <c r="AQ637" t="n">
        <v/>
      </c>
      <c r="AR637" t="n">
        <v>52.301171152</v>
      </c>
      <c r="AS637" t="n">
        <v/>
      </c>
      <c r="AT637" t="n">
        <v>38.900755769</v>
      </c>
      <c r="AU637" t="n">
        <v/>
      </c>
    </row>
    <row r="638">
      <c r="A638" s="106" t="n">
        <v>26299</v>
      </c>
      <c r="B638" t="n">
        <v>28.513828693</v>
      </c>
      <c r="C638" t="n">
        <v>44.548283769</v>
      </c>
      <c r="D638" t="n">
        <v/>
      </c>
      <c r="E638" t="n">
        <v>43.811984088</v>
      </c>
      <c r="F638" t="n">
        <v/>
      </c>
      <c r="G638" t="n">
        <v/>
      </c>
      <c r="H638" t="n">
        <v/>
      </c>
      <c r="I638" t="n">
        <v>28.513828693</v>
      </c>
      <c r="J638" t="n">
        <v/>
      </c>
      <c r="K638" t="n">
        <v>51.048915544</v>
      </c>
      <c r="L638" t="n">
        <v/>
      </c>
      <c r="M638" t="n">
        <v/>
      </c>
      <c r="N638" t="n">
        <v>58.747601191</v>
      </c>
      <c r="O638" t="n">
        <v/>
      </c>
      <c r="P638" t="n">
        <v/>
      </c>
      <c r="Q638" t="n">
        <v>35.829863639</v>
      </c>
      <c r="R638" t="n">
        <v>66.476564741</v>
      </c>
      <c r="S638" t="n">
        <v>47.157452985</v>
      </c>
      <c r="T638" t="n">
        <v>56.773965334</v>
      </c>
      <c r="U638" t="n">
        <v/>
      </c>
      <c r="V638" t="n">
        <v>69.251405457</v>
      </c>
      <c r="W638" t="n">
        <v/>
      </c>
      <c r="X638" t="n">
        <v/>
      </c>
      <c r="Y638" t="n">
        <v/>
      </c>
      <c r="Z638" t="n">
        <v/>
      </c>
      <c r="AA638" t="n">
        <v/>
      </c>
      <c r="AB638" t="n">
        <v/>
      </c>
      <c r="AC638" t="n">
        <v>70.015447753</v>
      </c>
      <c r="AD638" t="n">
        <v>49.383704814</v>
      </c>
      <c r="AE638" t="n">
        <v/>
      </c>
      <c r="AF638" t="n">
        <v>50.250532238</v>
      </c>
      <c r="AG638" t="n">
        <v/>
      </c>
      <c r="AH638" t="n">
        <v/>
      </c>
      <c r="AI638" t="n">
        <v>53.601742906</v>
      </c>
      <c r="AJ638" t="n">
        <v>36.824590634</v>
      </c>
      <c r="AK638" t="n">
        <v/>
      </c>
      <c r="AL638" t="n">
        <v/>
      </c>
      <c r="AM638" t="n">
        <v/>
      </c>
      <c r="AN638" t="n">
        <v>41.707230485</v>
      </c>
      <c r="AO638" t="n">
        <v/>
      </c>
      <c r="AP638" t="n">
        <v/>
      </c>
      <c r="AQ638" t="n">
        <v/>
      </c>
      <c r="AR638" t="n">
        <v>51.846378359</v>
      </c>
      <c r="AS638" t="n">
        <v/>
      </c>
      <c r="AT638" t="n">
        <v>39.830762953</v>
      </c>
      <c r="AU638" t="n">
        <v/>
      </c>
    </row>
    <row r="639">
      <c r="A639" s="106" t="n">
        <v>26330</v>
      </c>
      <c r="B639" t="n">
        <v>27.614517333</v>
      </c>
      <c r="C639" t="n">
        <v>44.066625556</v>
      </c>
      <c r="D639" t="n">
        <v/>
      </c>
      <c r="E639" t="n">
        <v>43.27158851</v>
      </c>
      <c r="F639" t="n">
        <v/>
      </c>
      <c r="G639" t="n">
        <v/>
      </c>
      <c r="H639" t="n">
        <v/>
      </c>
      <c r="I639" t="n">
        <v>27.614517333</v>
      </c>
      <c r="J639" t="n">
        <v/>
      </c>
      <c r="K639" t="n">
        <v>51.419282525</v>
      </c>
      <c r="L639" t="n">
        <v/>
      </c>
      <c r="M639" t="n">
        <v/>
      </c>
      <c r="N639" t="n">
        <v>60.024291782</v>
      </c>
      <c r="O639" t="n">
        <v/>
      </c>
      <c r="P639" t="n">
        <v/>
      </c>
      <c r="Q639" t="n">
        <v>35.542990015</v>
      </c>
      <c r="R639" t="n">
        <v>65.806315231</v>
      </c>
      <c r="S639" t="n">
        <v>47.24625252</v>
      </c>
      <c r="T639" t="n">
        <v>56.137247966</v>
      </c>
      <c r="U639" t="n">
        <v/>
      </c>
      <c r="V639" t="n">
        <v>68.94224364199999</v>
      </c>
      <c r="W639" t="n">
        <v/>
      </c>
      <c r="X639" t="n">
        <v/>
      </c>
      <c r="Y639" t="n">
        <v/>
      </c>
      <c r="Z639" t="n">
        <v/>
      </c>
      <c r="AA639" t="n">
        <v/>
      </c>
      <c r="AB639" t="n">
        <v/>
      </c>
      <c r="AC639" t="n">
        <v>67.11825681000001</v>
      </c>
      <c r="AD639" t="n">
        <v>49.888478628</v>
      </c>
      <c r="AE639" t="n">
        <v/>
      </c>
      <c r="AF639" t="n">
        <v>48.289950796</v>
      </c>
      <c r="AG639" t="n">
        <v/>
      </c>
      <c r="AH639" t="n">
        <v/>
      </c>
      <c r="AI639" t="n">
        <v>53.601742906</v>
      </c>
      <c r="AJ639" t="n">
        <v>36.351929611</v>
      </c>
      <c r="AK639" t="n">
        <v/>
      </c>
      <c r="AL639" t="n">
        <v/>
      </c>
      <c r="AM639" t="n">
        <v/>
      </c>
      <c r="AN639" t="n">
        <v>42.816445672</v>
      </c>
      <c r="AO639" t="n">
        <v/>
      </c>
      <c r="AP639" t="n">
        <v/>
      </c>
      <c r="AQ639" t="n">
        <v/>
      </c>
      <c r="AR639" t="n">
        <v>52.755963945</v>
      </c>
      <c r="AS639" t="n">
        <v/>
      </c>
      <c r="AT639" t="n">
        <v>40.242171398</v>
      </c>
      <c r="AU639" t="n">
        <v/>
      </c>
    </row>
    <row r="640">
      <c r="A640" s="106" t="n">
        <v>26359</v>
      </c>
      <c r="B640" t="n">
        <v>28.331791037</v>
      </c>
      <c r="C640" t="n">
        <v>44.91972678</v>
      </c>
      <c r="D640" t="n">
        <v/>
      </c>
      <c r="E640" t="n">
        <v>43.773451534</v>
      </c>
      <c r="F640" t="n">
        <v/>
      </c>
      <c r="G640" t="n">
        <v/>
      </c>
      <c r="H640" t="n">
        <v/>
      </c>
      <c r="I640" t="n">
        <v>28.331791037</v>
      </c>
      <c r="J640" t="n">
        <v/>
      </c>
      <c r="K640" t="n">
        <v>51.974832996</v>
      </c>
      <c r="L640" t="n">
        <v/>
      </c>
      <c r="M640" t="n">
        <v/>
      </c>
      <c r="N640" t="n">
        <v>60.894054759</v>
      </c>
      <c r="O640" t="n">
        <v/>
      </c>
      <c r="P640" t="n">
        <v/>
      </c>
      <c r="Q640" t="n">
        <v>36.289513422</v>
      </c>
      <c r="R640" t="n">
        <v>66.964018931</v>
      </c>
      <c r="S640" t="n">
        <v>47.771918887</v>
      </c>
      <c r="T640" t="n">
        <v>57.410682703</v>
      </c>
      <c r="U640" t="n">
        <v/>
      </c>
      <c r="V640" t="n">
        <v>70.431895963</v>
      </c>
      <c r="W640" t="n">
        <v/>
      </c>
      <c r="X640" t="n">
        <v/>
      </c>
      <c r="Y640" t="n">
        <v/>
      </c>
      <c r="Z640" t="n">
        <v/>
      </c>
      <c r="AA640" t="n">
        <v/>
      </c>
      <c r="AB640" t="n">
        <v/>
      </c>
      <c r="AC640" t="n">
        <v>66.538818619</v>
      </c>
      <c r="AD640" t="n">
        <v>50.898026256</v>
      </c>
      <c r="AE640" t="n">
        <v/>
      </c>
      <c r="AF640" t="n">
        <v>50.529246905</v>
      </c>
      <c r="AG640" t="n">
        <v/>
      </c>
      <c r="AH640" t="n">
        <v/>
      </c>
      <c r="AI640" t="n">
        <v>54.603644642</v>
      </c>
      <c r="AJ640" t="n">
        <v>33.430025103</v>
      </c>
      <c r="AK640" t="n">
        <v/>
      </c>
      <c r="AL640" t="n">
        <v/>
      </c>
      <c r="AM640" t="n">
        <v/>
      </c>
      <c r="AN640" t="n">
        <v>44.238278874</v>
      </c>
      <c r="AO640" t="n">
        <v/>
      </c>
      <c r="AP640" t="n">
        <v/>
      </c>
      <c r="AQ640" t="n">
        <v/>
      </c>
      <c r="AR640" t="n">
        <v>53.210756737</v>
      </c>
      <c r="AS640" t="n">
        <v/>
      </c>
      <c r="AT640" t="n">
        <v>40.521599935</v>
      </c>
      <c r="AU640" t="n">
        <v/>
      </c>
    </row>
    <row r="641">
      <c r="A641" s="106" t="n">
        <v>26390</v>
      </c>
      <c r="B641" t="n">
        <v>28.826419687</v>
      </c>
      <c r="C641" t="n">
        <v>45.615453123</v>
      </c>
      <c r="D641" t="n">
        <v/>
      </c>
      <c r="E641" t="n">
        <v>44.910631794</v>
      </c>
      <c r="F641" t="n">
        <v/>
      </c>
      <c r="G641" t="n">
        <v/>
      </c>
      <c r="H641" t="n">
        <v/>
      </c>
      <c r="I641" t="n">
        <v>28.826419687</v>
      </c>
      <c r="J641" t="n">
        <v/>
      </c>
      <c r="K641" t="n">
        <v>51.974832996</v>
      </c>
      <c r="L641" t="n">
        <v/>
      </c>
      <c r="M641" t="n">
        <v/>
      </c>
      <c r="N641" t="n">
        <v>61.180655617</v>
      </c>
      <c r="O641" t="n">
        <v/>
      </c>
      <c r="P641" t="n">
        <v/>
      </c>
      <c r="Q641" t="n">
        <v>36.27973364</v>
      </c>
      <c r="R641" t="n">
        <v>67.39054134200001</v>
      </c>
      <c r="S641" t="n">
        <v>48.398795041</v>
      </c>
      <c r="T641" t="n">
        <v>59.639193491</v>
      </c>
      <c r="U641" t="n">
        <v/>
      </c>
      <c r="V641" t="n">
        <v>71.37929013599999</v>
      </c>
      <c r="W641" t="n">
        <v/>
      </c>
      <c r="X641" t="n">
        <v/>
      </c>
      <c r="Y641" t="n">
        <v/>
      </c>
      <c r="Z641" t="n">
        <v/>
      </c>
      <c r="AA641" t="n">
        <v/>
      </c>
      <c r="AB641" t="n">
        <v/>
      </c>
      <c r="AC641" t="n">
        <v>71.753762314</v>
      </c>
      <c r="AD641" t="n">
        <v>50.56151038</v>
      </c>
      <c r="AE641" t="n">
        <v/>
      </c>
      <c r="AF641" t="n">
        <v>51.968658464</v>
      </c>
      <c r="AG641" t="n">
        <v/>
      </c>
      <c r="AH641" t="n">
        <v/>
      </c>
      <c r="AI641" t="n">
        <v>56.106497247</v>
      </c>
      <c r="AJ641" t="n">
        <v>40.562909636</v>
      </c>
      <c r="AK641" t="n">
        <v/>
      </c>
      <c r="AL641" t="n">
        <v/>
      </c>
      <c r="AM641" t="n">
        <v/>
      </c>
      <c r="AN641" t="n">
        <v>44.101068224</v>
      </c>
      <c r="AO641" t="n">
        <v/>
      </c>
      <c r="AP641" t="n">
        <v/>
      </c>
      <c r="AQ641" t="n">
        <v/>
      </c>
      <c r="AR641" t="n">
        <v>53.210756737</v>
      </c>
      <c r="AS641" t="n">
        <v/>
      </c>
      <c r="AT641" t="n">
        <v>40.918332928</v>
      </c>
      <c r="AU641" t="n">
        <v/>
      </c>
    </row>
    <row r="642">
      <c r="A642" s="106" t="n">
        <v>26420</v>
      </c>
      <c r="B642" t="n">
        <v>28.466424166</v>
      </c>
      <c r="C642" t="n">
        <v>45.927572239</v>
      </c>
      <c r="D642" t="n">
        <v/>
      </c>
      <c r="E642" t="n">
        <v>44.591093539</v>
      </c>
      <c r="F642" t="n">
        <v/>
      </c>
      <c r="G642" t="n">
        <v/>
      </c>
      <c r="H642" t="n">
        <v/>
      </c>
      <c r="I642" t="n">
        <v>28.466424166</v>
      </c>
      <c r="J642" t="n">
        <v/>
      </c>
      <c r="K642" t="n">
        <v>51.666193845</v>
      </c>
      <c r="L642" t="n">
        <v/>
      </c>
      <c r="M642" t="n">
        <v/>
      </c>
      <c r="N642" t="n">
        <v>62.033299441</v>
      </c>
      <c r="O642" t="n">
        <v/>
      </c>
      <c r="P642" t="n">
        <v/>
      </c>
      <c r="Q642" t="n">
        <v>37.172953787</v>
      </c>
      <c r="R642" t="n">
        <v>68.060790852</v>
      </c>
      <c r="S642" t="n">
        <v>48.596589775</v>
      </c>
      <c r="T642" t="n">
        <v>61.549345596</v>
      </c>
      <c r="U642" t="n">
        <v/>
      </c>
      <c r="V642" t="n">
        <v>72.700842846</v>
      </c>
      <c r="W642" t="n">
        <v/>
      </c>
      <c r="X642" t="n">
        <v/>
      </c>
      <c r="Y642" t="n">
        <v/>
      </c>
      <c r="Z642" t="n">
        <v/>
      </c>
      <c r="AA642" t="n">
        <v/>
      </c>
      <c r="AB642" t="n">
        <v/>
      </c>
      <c r="AC642" t="n">
        <v>70.594885944</v>
      </c>
      <c r="AD642" t="n">
        <v>51.318671101</v>
      </c>
      <c r="AE642" t="n">
        <v/>
      </c>
      <c r="AF642" t="n">
        <v>51.647938466</v>
      </c>
      <c r="AG642" t="n">
        <v/>
      </c>
      <c r="AH642" t="n">
        <v/>
      </c>
      <c r="AI642" t="n">
        <v>55.10459551</v>
      </c>
      <c r="AJ642" t="n">
        <v>36.523806346</v>
      </c>
      <c r="AK642" t="n">
        <v/>
      </c>
      <c r="AL642" t="n">
        <v/>
      </c>
      <c r="AM642" t="n">
        <v/>
      </c>
      <c r="AN642" t="n">
        <v>44.04924356</v>
      </c>
      <c r="AO642" t="n">
        <v/>
      </c>
      <c r="AP642" t="n">
        <v/>
      </c>
      <c r="AQ642" t="n">
        <v/>
      </c>
      <c r="AR642" t="n">
        <v>52.755963945</v>
      </c>
      <c r="AS642" t="n">
        <v/>
      </c>
      <c r="AT642" t="n">
        <v>40.923290851</v>
      </c>
      <c r="AU642" t="n">
        <v/>
      </c>
    </row>
    <row r="643">
      <c r="A643" s="106" t="n">
        <v>26451</v>
      </c>
      <c r="B643" t="n">
        <v>28.788689858</v>
      </c>
      <c r="C643" t="n">
        <v>46.121307962</v>
      </c>
      <c r="D643" t="n">
        <v/>
      </c>
      <c r="E643" t="n">
        <v>45.044086006</v>
      </c>
      <c r="F643" t="n">
        <v/>
      </c>
      <c r="G643" t="n">
        <v/>
      </c>
      <c r="H643" t="n">
        <v/>
      </c>
      <c r="I643" t="n">
        <v>28.788689858</v>
      </c>
      <c r="J643" t="n">
        <v/>
      </c>
      <c r="K643" t="n">
        <v>51.974832996</v>
      </c>
      <c r="L643" t="n">
        <v/>
      </c>
      <c r="M643" t="n">
        <v/>
      </c>
      <c r="N643" t="n">
        <v>63.70281271</v>
      </c>
      <c r="O643" t="n">
        <v/>
      </c>
      <c r="P643" t="n">
        <v/>
      </c>
      <c r="Q643" t="n">
        <v>37.140354512</v>
      </c>
      <c r="R643" t="n">
        <v>67.51240489200001</v>
      </c>
      <c r="S643" t="n">
        <v>48.814253976</v>
      </c>
      <c r="T643" t="n">
        <v>62.079943403</v>
      </c>
      <c r="U643" t="n">
        <v/>
      </c>
      <c r="V643" t="n">
        <v>72.819670355</v>
      </c>
      <c r="W643" t="n">
        <v/>
      </c>
      <c r="X643" t="n">
        <v/>
      </c>
      <c r="Y643" t="n">
        <v/>
      </c>
      <c r="Z643" t="n">
        <v/>
      </c>
      <c r="AA643" t="n">
        <v/>
      </c>
      <c r="AB643" t="n">
        <v/>
      </c>
      <c r="AC643" t="n">
        <v>71.560616254</v>
      </c>
      <c r="AD643" t="n">
        <v>51.571058008</v>
      </c>
      <c r="AE643" t="n">
        <v/>
      </c>
      <c r="AF643" t="n">
        <v>52.024175565</v>
      </c>
      <c r="AG643" t="n">
        <v/>
      </c>
      <c r="AH643" t="n">
        <v/>
      </c>
      <c r="AI643" t="n">
        <v>55.605546379</v>
      </c>
      <c r="AJ643" t="n">
        <v>37.598035945</v>
      </c>
      <c r="AK643" t="n">
        <v/>
      </c>
      <c r="AL643" t="n">
        <v/>
      </c>
      <c r="AM643" t="n">
        <v/>
      </c>
      <c r="AN643" t="n">
        <v>44.07655063</v>
      </c>
      <c r="AO643" t="n">
        <v/>
      </c>
      <c r="AP643" t="n">
        <v/>
      </c>
      <c r="AQ643" t="n">
        <v/>
      </c>
      <c r="AR643" t="n">
        <v>53.210756737</v>
      </c>
      <c r="AS643" t="n">
        <v/>
      </c>
      <c r="AT643" t="n">
        <v>41.030381986</v>
      </c>
      <c r="AU643" t="n">
        <v/>
      </c>
    </row>
    <row r="644">
      <c r="A644" s="106" t="n">
        <v>26481</v>
      </c>
      <c r="B644" t="n">
        <v>29.133102965</v>
      </c>
      <c r="C644" t="n">
        <v>45.549171098</v>
      </c>
      <c r="D644" t="n">
        <v/>
      </c>
      <c r="E644" t="n">
        <v>45.244267324</v>
      </c>
      <c r="F644" t="n">
        <v/>
      </c>
      <c r="G644" t="n">
        <v/>
      </c>
      <c r="H644" t="n">
        <v/>
      </c>
      <c r="I644" t="n">
        <v>29.133102965</v>
      </c>
      <c r="J644" t="n">
        <v/>
      </c>
      <c r="K644" t="n">
        <v>52.221744317</v>
      </c>
      <c r="L644" t="n">
        <v/>
      </c>
      <c r="M644" t="n">
        <v/>
      </c>
      <c r="N644" t="n">
        <v>63.106637331</v>
      </c>
      <c r="O644" t="n">
        <v/>
      </c>
      <c r="P644" t="n">
        <v/>
      </c>
      <c r="Q644" t="n">
        <v>37.091455598</v>
      </c>
      <c r="R644" t="n">
        <v>68.42638149299999</v>
      </c>
      <c r="S644" t="n">
        <v>48.786988312</v>
      </c>
      <c r="T644" t="n">
        <v>61.761584719</v>
      </c>
      <c r="U644" t="n">
        <v/>
      </c>
      <c r="V644" t="n">
        <v>73.37583825</v>
      </c>
      <c r="W644" t="n">
        <v/>
      </c>
      <c r="X644" t="n">
        <v/>
      </c>
      <c r="Y644" t="n">
        <v/>
      </c>
      <c r="Z644" t="n">
        <v/>
      </c>
      <c r="AA644" t="n">
        <v/>
      </c>
      <c r="AB644" t="n">
        <v/>
      </c>
      <c r="AC644" t="n">
        <v>70.498312908</v>
      </c>
      <c r="AD644" t="n">
        <v>51.486929039</v>
      </c>
      <c r="AE644" t="n">
        <v/>
      </c>
      <c r="AF644" t="n">
        <v>52.37197868</v>
      </c>
      <c r="AG644" t="n">
        <v/>
      </c>
      <c r="AH644" t="n">
        <v/>
      </c>
      <c r="AI644" t="n">
        <v>55.10459551</v>
      </c>
      <c r="AJ644" t="n">
        <v>37.340220841</v>
      </c>
      <c r="AK644" t="n">
        <v/>
      </c>
      <c r="AL644" t="n">
        <v/>
      </c>
      <c r="AM644" t="n">
        <v/>
      </c>
      <c r="AN644" t="n">
        <v>46.049684217</v>
      </c>
      <c r="AO644" t="n">
        <v/>
      </c>
      <c r="AP644" t="n">
        <v/>
      </c>
      <c r="AQ644" t="n">
        <v/>
      </c>
      <c r="AR644" t="n">
        <v>52.301171152</v>
      </c>
      <c r="AS644" t="n">
        <v/>
      </c>
      <c r="AT644" t="n">
        <v>40.986851423</v>
      </c>
      <c r="AU644" t="n">
        <v/>
      </c>
    </row>
    <row r="645">
      <c r="A645" s="106" t="n">
        <v>26512</v>
      </c>
      <c r="B645" t="n">
        <v>29.252246404</v>
      </c>
      <c r="C645" t="n">
        <v>46.14285638</v>
      </c>
      <c r="D645" t="n">
        <v/>
      </c>
      <c r="E645" t="n">
        <v>45.327441252</v>
      </c>
      <c r="F645" t="n">
        <v/>
      </c>
      <c r="G645" t="n">
        <v/>
      </c>
      <c r="H645" t="n">
        <v/>
      </c>
      <c r="I645" t="n">
        <v>29.252246404</v>
      </c>
      <c r="J645" t="n">
        <v/>
      </c>
      <c r="K645" t="n">
        <v>51.974832996</v>
      </c>
      <c r="L645" t="n">
        <v/>
      </c>
      <c r="M645" t="n">
        <v/>
      </c>
      <c r="N645" t="n">
        <v>64.194273403</v>
      </c>
      <c r="O645" t="n">
        <v/>
      </c>
      <c r="P645" t="n">
        <v/>
      </c>
      <c r="Q645" t="n">
        <v>36.29277335</v>
      </c>
      <c r="R645" t="n">
        <v>68.42638149299999</v>
      </c>
      <c r="S645" t="n">
        <v>49.284494081</v>
      </c>
      <c r="T645" t="n">
        <v>61.549345596</v>
      </c>
      <c r="U645" t="n">
        <v/>
      </c>
      <c r="V645" t="n">
        <v>71.38515032799999</v>
      </c>
      <c r="W645" t="n">
        <v/>
      </c>
      <c r="X645" t="n">
        <v/>
      </c>
      <c r="Y645" t="n">
        <v/>
      </c>
      <c r="Z645" t="n">
        <v/>
      </c>
      <c r="AA645" t="n">
        <v/>
      </c>
      <c r="AB645" t="n">
        <v/>
      </c>
      <c r="AC645" t="n">
        <v>71.464043219</v>
      </c>
      <c r="AD645" t="n">
        <v>52.832992543</v>
      </c>
      <c r="AE645" t="n">
        <v/>
      </c>
      <c r="AF645" t="n">
        <v>54.257698414</v>
      </c>
      <c r="AG645" t="n">
        <v/>
      </c>
      <c r="AH645" t="n">
        <v/>
      </c>
      <c r="AI645" t="n">
        <v>56.106497247</v>
      </c>
      <c r="AJ645" t="n">
        <v>36.351929611</v>
      </c>
      <c r="AK645" t="n">
        <v/>
      </c>
      <c r="AL645" t="n">
        <v/>
      </c>
      <c r="AM645" t="n">
        <v/>
      </c>
      <c r="AN645" t="n">
        <v>50.217484681</v>
      </c>
      <c r="AO645" t="n">
        <v/>
      </c>
      <c r="AP645" t="n">
        <v/>
      </c>
      <c r="AQ645" t="n">
        <v/>
      </c>
      <c r="AR645" t="n">
        <v>55.939513493</v>
      </c>
      <c r="AS645" t="n">
        <v/>
      </c>
      <c r="AT645" t="n">
        <v>41.551955479</v>
      </c>
      <c r="AU645" t="n">
        <v/>
      </c>
    </row>
    <row r="646">
      <c r="A646" s="106" t="n">
        <v>26543</v>
      </c>
      <c r="B646" t="n">
        <v>29.576763256</v>
      </c>
      <c r="C646" t="n">
        <v>46.784982437</v>
      </c>
      <c r="D646" t="n">
        <v/>
      </c>
      <c r="E646" t="n">
        <v>46.446295053</v>
      </c>
      <c r="F646" t="n">
        <v/>
      </c>
      <c r="G646" t="n">
        <v/>
      </c>
      <c r="H646" t="n">
        <v/>
      </c>
      <c r="I646" t="n">
        <v>29.576763256</v>
      </c>
      <c r="J646" t="n">
        <v/>
      </c>
      <c r="K646" t="n">
        <v>52.036560826</v>
      </c>
      <c r="L646" t="n">
        <v/>
      </c>
      <c r="M646" t="n">
        <v/>
      </c>
      <c r="N646" t="n">
        <v>65.186469187</v>
      </c>
      <c r="O646" t="n">
        <v/>
      </c>
      <c r="P646" t="n">
        <v/>
      </c>
      <c r="Q646" t="n">
        <v>37.300090961</v>
      </c>
      <c r="R646" t="n">
        <v>69.584085184</v>
      </c>
      <c r="S646" t="n">
        <v>49.568312859</v>
      </c>
      <c r="T646" t="n">
        <v>61.86770428</v>
      </c>
      <c r="U646" t="n">
        <v/>
      </c>
      <c r="V646" t="n">
        <v>75.821757183</v>
      </c>
      <c r="W646" t="n">
        <v/>
      </c>
      <c r="X646" t="n">
        <v/>
      </c>
      <c r="Y646" t="n">
        <v/>
      </c>
      <c r="Z646" t="n">
        <v/>
      </c>
      <c r="AA646" t="n">
        <v/>
      </c>
      <c r="AB646" t="n">
        <v/>
      </c>
      <c r="AC646" t="n">
        <v>69.436009562</v>
      </c>
      <c r="AD646" t="n">
        <v>53.421895327</v>
      </c>
      <c r="AE646" t="n">
        <v/>
      </c>
      <c r="AF646" t="n">
        <v>53.604822064</v>
      </c>
      <c r="AG646" t="n">
        <v/>
      </c>
      <c r="AH646" t="n">
        <v/>
      </c>
      <c r="AI646" t="n">
        <v>56.106497247</v>
      </c>
      <c r="AJ646" t="n">
        <v>36.824590634</v>
      </c>
      <c r="AK646" t="n">
        <v/>
      </c>
      <c r="AL646" t="n">
        <v/>
      </c>
      <c r="AM646" t="n">
        <v/>
      </c>
      <c r="AN646" t="n">
        <v>49.232205505</v>
      </c>
      <c r="AO646" t="n">
        <v/>
      </c>
      <c r="AP646" t="n">
        <v/>
      </c>
      <c r="AQ646" t="n">
        <v/>
      </c>
      <c r="AR646" t="n">
        <v>56.394306286</v>
      </c>
      <c r="AS646" t="n">
        <v/>
      </c>
      <c r="AT646" t="n">
        <v>41.873030568</v>
      </c>
      <c r="AU646" t="n">
        <v/>
      </c>
    </row>
    <row r="647">
      <c r="A647" s="106" t="n">
        <v>26573</v>
      </c>
      <c r="B647" t="n">
        <v>30.418377951</v>
      </c>
      <c r="C647" t="n">
        <v>47.750110649</v>
      </c>
      <c r="D647" t="n">
        <v/>
      </c>
      <c r="E647" t="n">
        <v>47.322205798</v>
      </c>
      <c r="F647" t="n">
        <v/>
      </c>
      <c r="G647" t="n">
        <v/>
      </c>
      <c r="H647" t="n">
        <v/>
      </c>
      <c r="I647" t="n">
        <v>30.418377951</v>
      </c>
      <c r="J647" t="n">
        <v/>
      </c>
      <c r="K647" t="n">
        <v>52.715566958</v>
      </c>
      <c r="L647" t="n">
        <v/>
      </c>
      <c r="M647" t="n">
        <v/>
      </c>
      <c r="N647" t="n">
        <v>64.765871394</v>
      </c>
      <c r="O647" t="n">
        <v/>
      </c>
      <c r="P647" t="n">
        <v/>
      </c>
      <c r="Q647" t="n">
        <v>38.454105312</v>
      </c>
      <c r="R647" t="n">
        <v>70.19340291499999</v>
      </c>
      <c r="S647" t="n">
        <v>50.359055946</v>
      </c>
      <c r="T647" t="n">
        <v>62.716660771</v>
      </c>
      <c r="U647" t="n">
        <v/>
      </c>
      <c r="V647" t="n">
        <v>76.874966986</v>
      </c>
      <c r="W647" t="n">
        <v/>
      </c>
      <c r="X647" t="n">
        <v/>
      </c>
      <c r="Y647" t="n">
        <v/>
      </c>
      <c r="Z647" t="n">
        <v/>
      </c>
      <c r="AA647" t="n">
        <v/>
      </c>
      <c r="AB647" t="n">
        <v/>
      </c>
      <c r="AC647" t="n">
        <v>73.685222947</v>
      </c>
      <c r="AD647" t="n">
        <v>54.01079811</v>
      </c>
      <c r="AE647" t="n">
        <v/>
      </c>
      <c r="AF647" t="n">
        <v>54.856129038</v>
      </c>
      <c r="AG647" t="n">
        <v/>
      </c>
      <c r="AH647" t="n">
        <v/>
      </c>
      <c r="AI647" t="n">
        <v>56.106497247</v>
      </c>
      <c r="AJ647" t="n">
        <v>36.738652266</v>
      </c>
      <c r="AK647" t="n">
        <v/>
      </c>
      <c r="AL647" t="n">
        <v/>
      </c>
      <c r="AM647" t="n">
        <v/>
      </c>
      <c r="AN647" t="n">
        <v>46.029233317</v>
      </c>
      <c r="AO647" t="n">
        <v/>
      </c>
      <c r="AP647" t="n">
        <v/>
      </c>
      <c r="AQ647" t="n">
        <v/>
      </c>
      <c r="AR647" t="n">
        <v>55.029927908</v>
      </c>
      <c r="AS647" t="n">
        <v/>
      </c>
      <c r="AT647" t="n">
        <v>42.414534911</v>
      </c>
      <c r="AU647" t="n">
        <v/>
      </c>
    </row>
    <row r="648">
      <c r="A648" s="106" t="n">
        <v>26604</v>
      </c>
      <c r="B648" t="n">
        <v>30.300172903</v>
      </c>
      <c r="C648" t="n">
        <v>47.451478683</v>
      </c>
      <c r="D648" t="n">
        <v/>
      </c>
      <c r="E648" t="n">
        <v>47.900194112</v>
      </c>
      <c r="F648" t="n">
        <v/>
      </c>
      <c r="G648" t="n">
        <v/>
      </c>
      <c r="H648" t="n">
        <v/>
      </c>
      <c r="I648" t="n">
        <v>30.300172903</v>
      </c>
      <c r="J648" t="n">
        <v/>
      </c>
      <c r="K648" t="n">
        <v>53.64148441</v>
      </c>
      <c r="L648" t="n">
        <v/>
      </c>
      <c r="M648" t="n">
        <v/>
      </c>
      <c r="N648" t="n">
        <v>66.54992453</v>
      </c>
      <c r="O648" t="n">
        <v/>
      </c>
      <c r="P648" t="n">
        <v/>
      </c>
      <c r="Q648" t="n">
        <v>38.251989804</v>
      </c>
      <c r="R648" t="n">
        <v>70.558993555</v>
      </c>
      <c r="S648" t="n">
        <v>50.885405347</v>
      </c>
      <c r="T648" t="n">
        <v>63.883975946</v>
      </c>
      <c r="U648" t="n">
        <v/>
      </c>
      <c r="V648" t="n">
        <v>77.68986383399999</v>
      </c>
      <c r="W648" t="n">
        <v/>
      </c>
      <c r="X648" t="n">
        <v/>
      </c>
      <c r="Y648" t="n">
        <v/>
      </c>
      <c r="Z648" t="n">
        <v/>
      </c>
      <c r="AA648" t="n">
        <v/>
      </c>
      <c r="AB648" t="n">
        <v/>
      </c>
      <c r="AC648" t="n">
        <v>70.788032004</v>
      </c>
      <c r="AD648" t="n">
        <v>55.020345738</v>
      </c>
      <c r="AE648" t="n">
        <v/>
      </c>
      <c r="AF648" t="n">
        <v>53.096517419</v>
      </c>
      <c r="AG648" t="n">
        <v/>
      </c>
      <c r="AH648" t="n">
        <v/>
      </c>
      <c r="AI648" t="n">
        <v>56.607448115</v>
      </c>
      <c r="AJ648" t="n">
        <v>37.168344105</v>
      </c>
      <c r="AK648" t="n">
        <v/>
      </c>
      <c r="AL648" t="n">
        <v/>
      </c>
      <c r="AM648" t="n">
        <v/>
      </c>
      <c r="AN648" t="n">
        <v>46.968467361</v>
      </c>
      <c r="AO648" t="n">
        <v/>
      </c>
      <c r="AP648" t="n">
        <v/>
      </c>
      <c r="AQ648" t="n">
        <v/>
      </c>
      <c r="AR648" t="n">
        <v>55.029927908</v>
      </c>
      <c r="AS648" t="n">
        <v/>
      </c>
      <c r="AT648" t="n">
        <v>42.915285128</v>
      </c>
      <c r="AU648" t="n">
        <v/>
      </c>
    </row>
    <row r="649">
      <c r="A649" s="106" t="n">
        <v>26634</v>
      </c>
      <c r="B649" t="n">
        <v>33.8461624</v>
      </c>
      <c r="C649" t="n">
        <v>49.326269911</v>
      </c>
      <c r="D649" t="n">
        <v/>
      </c>
      <c r="E649" t="n">
        <v>48.152535351</v>
      </c>
      <c r="F649" t="n">
        <v/>
      </c>
      <c r="G649" t="n">
        <v/>
      </c>
      <c r="H649" t="n">
        <v/>
      </c>
      <c r="I649" t="n">
        <v>33.8461624</v>
      </c>
      <c r="J649" t="n">
        <v/>
      </c>
      <c r="K649" t="n">
        <v>54.320490542</v>
      </c>
      <c r="L649" t="n">
        <v/>
      </c>
      <c r="M649" t="n">
        <v/>
      </c>
      <c r="N649" t="n">
        <v>67.398964823</v>
      </c>
      <c r="O649" t="n">
        <v/>
      </c>
      <c r="P649" t="n">
        <v/>
      </c>
      <c r="Q649" t="n">
        <v>39.409264082</v>
      </c>
      <c r="R649" t="n">
        <v>71.960424347</v>
      </c>
      <c r="S649" t="n">
        <v>52.060663886</v>
      </c>
      <c r="T649" t="n">
        <v>64.83905199900001</v>
      </c>
      <c r="U649" t="n">
        <v/>
      </c>
      <c r="V649" t="n">
        <v>82.454374242</v>
      </c>
      <c r="W649" t="n">
        <v/>
      </c>
      <c r="X649" t="n">
        <v/>
      </c>
      <c r="Y649" t="n">
        <v/>
      </c>
      <c r="Z649" t="n">
        <v/>
      </c>
      <c r="AA649" t="n">
        <v/>
      </c>
      <c r="AB649" t="n">
        <v/>
      </c>
      <c r="AC649" t="n">
        <v>80.348762108</v>
      </c>
      <c r="AD649" t="n">
        <v>56.366409242</v>
      </c>
      <c r="AE649" t="n">
        <v/>
      </c>
      <c r="AF649" t="n">
        <v>56.285843423</v>
      </c>
      <c r="AG649" t="n">
        <v/>
      </c>
      <c r="AH649" t="n">
        <v/>
      </c>
      <c r="AI649" t="n">
        <v>58.611251588</v>
      </c>
      <c r="AJ649" t="n">
        <v>38.715234727</v>
      </c>
      <c r="AK649" t="n">
        <v/>
      </c>
      <c r="AL649" t="n">
        <v/>
      </c>
      <c r="AM649" t="n">
        <v/>
      </c>
      <c r="AN649" t="n">
        <v>46.352963134</v>
      </c>
      <c r="AO649" t="n">
        <v/>
      </c>
      <c r="AP649" t="n">
        <v/>
      </c>
      <c r="AQ649" t="n">
        <v/>
      </c>
      <c r="AR649" t="n">
        <v>56.394306286</v>
      </c>
      <c r="AS649" t="n">
        <v/>
      </c>
      <c r="AT649" t="n">
        <v>43.401161575</v>
      </c>
      <c r="AU649" t="n">
        <v/>
      </c>
    </row>
    <row r="650">
      <c r="A650" s="106" t="n">
        <v>26665</v>
      </c>
      <c r="B650" t="n">
        <v>29.593285317</v>
      </c>
      <c r="C650" t="n">
        <v>47.889830788</v>
      </c>
      <c r="D650" t="n">
        <v/>
      </c>
      <c r="E650" t="n">
        <v>48.573573993</v>
      </c>
      <c r="F650" t="n">
        <v/>
      </c>
      <c r="G650" t="n">
        <v/>
      </c>
      <c r="H650" t="n">
        <v/>
      </c>
      <c r="I650" t="n">
        <v>29.593285317</v>
      </c>
      <c r="J650" t="n">
        <v/>
      </c>
      <c r="K650" t="n">
        <v>54.814313183</v>
      </c>
      <c r="L650" t="n">
        <v/>
      </c>
      <c r="M650" t="n">
        <v/>
      </c>
      <c r="N650" t="n">
        <v>69.008406459</v>
      </c>
      <c r="O650" t="n">
        <v/>
      </c>
      <c r="P650" t="n">
        <v/>
      </c>
      <c r="Q650" t="n">
        <v>38.245469949</v>
      </c>
      <c r="R650" t="n">
        <v>71.472970156</v>
      </c>
      <c r="S650" t="n">
        <v>51.994650067</v>
      </c>
      <c r="T650" t="n">
        <v>65.68800849</v>
      </c>
      <c r="U650" t="n">
        <v/>
      </c>
      <c r="V650" t="n">
        <v>79.494440275</v>
      </c>
      <c r="W650" t="n">
        <v/>
      </c>
      <c r="X650" t="n">
        <v/>
      </c>
      <c r="Y650" t="n">
        <v/>
      </c>
      <c r="Z650" t="n">
        <v/>
      </c>
      <c r="AA650" t="n">
        <v/>
      </c>
      <c r="AB650" t="n">
        <v/>
      </c>
      <c r="AC650" t="n">
        <v>68.470279252</v>
      </c>
      <c r="AD650" t="n">
        <v>57.796601716</v>
      </c>
      <c r="AE650" t="n">
        <v/>
      </c>
      <c r="AF650" t="n">
        <v>55.395578441</v>
      </c>
      <c r="AG650" t="n">
        <v/>
      </c>
      <c r="AH650" t="n">
        <v/>
      </c>
      <c r="AI650" t="n">
        <v>58.611251588</v>
      </c>
      <c r="AJ650" t="n">
        <v>37.383190025</v>
      </c>
      <c r="AK650" t="n">
        <v/>
      </c>
      <c r="AL650" t="n">
        <v/>
      </c>
      <c r="AM650" t="n">
        <v/>
      </c>
      <c r="AN650" t="n">
        <v>48.659876931</v>
      </c>
      <c r="AO650" t="n">
        <v/>
      </c>
      <c r="AP650" t="n">
        <v/>
      </c>
      <c r="AQ650" t="n">
        <v/>
      </c>
      <c r="AR650" t="n">
        <v>56.657621168</v>
      </c>
      <c r="AS650" t="n">
        <v/>
      </c>
      <c r="AT650" t="n">
        <v>43.713709037</v>
      </c>
      <c r="AU650" t="n">
        <v/>
      </c>
    </row>
    <row r="651">
      <c r="A651" s="106" t="n">
        <v>26696</v>
      </c>
      <c r="B651" t="n">
        <v>30.059788674</v>
      </c>
      <c r="C651" t="n">
        <v>48.406272042</v>
      </c>
      <c r="D651" t="n">
        <v/>
      </c>
      <c r="E651" t="n">
        <v>50.015255413</v>
      </c>
      <c r="F651" t="n">
        <v/>
      </c>
      <c r="G651" t="n">
        <v/>
      </c>
      <c r="H651" t="n">
        <v/>
      </c>
      <c r="I651" t="n">
        <v>30.059788674</v>
      </c>
      <c r="J651" t="n">
        <v/>
      </c>
      <c r="K651" t="n">
        <v>55.308135825</v>
      </c>
      <c r="L651" t="n">
        <v/>
      </c>
      <c r="M651" t="n">
        <v/>
      </c>
      <c r="N651" t="n">
        <v>67.10394926799999</v>
      </c>
      <c r="O651" t="n">
        <v/>
      </c>
      <c r="P651" t="n">
        <v/>
      </c>
      <c r="Q651" t="n">
        <v>39.23974785</v>
      </c>
      <c r="R651" t="n">
        <v>72.20415143699999</v>
      </c>
      <c r="S651" t="n">
        <v>52.635113539</v>
      </c>
      <c r="T651" t="n">
        <v>66.218606296</v>
      </c>
      <c r="U651" t="n">
        <v/>
      </c>
      <c r="V651" t="n">
        <v>81.50747597599999</v>
      </c>
      <c r="W651" t="n">
        <v/>
      </c>
      <c r="X651" t="n">
        <v/>
      </c>
      <c r="Y651" t="n">
        <v/>
      </c>
      <c r="Z651" t="n">
        <v/>
      </c>
      <c r="AA651" t="n">
        <v/>
      </c>
      <c r="AB651" t="n">
        <v/>
      </c>
      <c r="AC651" t="n">
        <v>69.436009562</v>
      </c>
      <c r="AD651" t="n">
        <v>58.30137553</v>
      </c>
      <c r="AE651" t="n">
        <v/>
      </c>
      <c r="AF651" t="n">
        <v>57.498929039</v>
      </c>
      <c r="AG651" t="n">
        <v/>
      </c>
      <c r="AH651" t="n">
        <v/>
      </c>
      <c r="AI651" t="n">
        <v>59.112202457</v>
      </c>
      <c r="AJ651" t="n">
        <v>37.641005129</v>
      </c>
      <c r="AK651" t="n">
        <v/>
      </c>
      <c r="AL651" t="n">
        <v/>
      </c>
      <c r="AM651" t="n">
        <v/>
      </c>
      <c r="AN651" t="n">
        <v>49.241743592</v>
      </c>
      <c r="AO651" t="n">
        <v/>
      </c>
      <c r="AP651" t="n">
        <v/>
      </c>
      <c r="AQ651" t="n">
        <v/>
      </c>
      <c r="AR651" t="n">
        <v>57.00239371</v>
      </c>
      <c r="AS651" t="n">
        <v/>
      </c>
      <c r="AT651" t="n">
        <v>44.34782738</v>
      </c>
      <c r="AU651" t="n">
        <v/>
      </c>
    </row>
    <row r="652">
      <c r="A652" s="106" t="n">
        <v>26724</v>
      </c>
      <c r="B652" t="n">
        <v>30.197701106</v>
      </c>
      <c r="C652" t="n">
        <v>48.433810862</v>
      </c>
      <c r="D652" t="n">
        <v/>
      </c>
      <c r="E652" t="n">
        <v>50.620028551</v>
      </c>
      <c r="F652" t="n">
        <v/>
      </c>
      <c r="G652" t="n">
        <v/>
      </c>
      <c r="H652" t="n">
        <v/>
      </c>
      <c r="I652" t="n">
        <v>30.197701106</v>
      </c>
      <c r="J652" t="n">
        <v/>
      </c>
      <c r="K652" t="n">
        <v>55.678502806</v>
      </c>
      <c r="L652" t="n">
        <v/>
      </c>
      <c r="M652" t="n">
        <v/>
      </c>
      <c r="N652" t="n">
        <v>68.09023261900001</v>
      </c>
      <c r="O652" t="n">
        <v/>
      </c>
      <c r="P652" t="n">
        <v/>
      </c>
      <c r="Q652" t="n">
        <v>39.109350748</v>
      </c>
      <c r="R652" t="n">
        <v>72.630673848</v>
      </c>
      <c r="S652" t="n">
        <v>53.037168128</v>
      </c>
      <c r="T652" t="n">
        <v>66.43084541899999</v>
      </c>
      <c r="U652" t="n">
        <v/>
      </c>
      <c r="V652" t="n">
        <v>82.54044911699999</v>
      </c>
      <c r="W652" t="n">
        <v/>
      </c>
      <c r="X652" t="n">
        <v/>
      </c>
      <c r="Y652" t="n">
        <v/>
      </c>
      <c r="Z652" t="n">
        <v/>
      </c>
      <c r="AA652" t="n">
        <v/>
      </c>
      <c r="AB652" t="n">
        <v/>
      </c>
      <c r="AC652" t="n">
        <v>71.85033534999999</v>
      </c>
      <c r="AD652" t="n">
        <v>59.226794189</v>
      </c>
      <c r="AE652" t="n">
        <v/>
      </c>
      <c r="AF652" t="n">
        <v>60.255728934</v>
      </c>
      <c r="AG652" t="n">
        <v/>
      </c>
      <c r="AH652" t="n">
        <v/>
      </c>
      <c r="AI652" t="n">
        <v>57.609349852</v>
      </c>
      <c r="AJ652" t="n">
        <v>38.19960452</v>
      </c>
      <c r="AK652" t="n">
        <v/>
      </c>
      <c r="AL652" t="n">
        <v/>
      </c>
      <c r="AM652" t="n">
        <v/>
      </c>
      <c r="AN652" t="n">
        <v>47.928339997</v>
      </c>
      <c r="AO652" t="n">
        <v/>
      </c>
      <c r="AP652" t="n">
        <v/>
      </c>
      <c r="AQ652" t="n">
        <v/>
      </c>
      <c r="AR652" t="n">
        <v>57.174779982</v>
      </c>
      <c r="AS652" t="n">
        <v/>
      </c>
      <c r="AT652" t="n">
        <v>44.366964963</v>
      </c>
      <c r="AU652" t="n">
        <v/>
      </c>
    </row>
    <row r="653">
      <c r="A653" s="106" t="n">
        <v>26755</v>
      </c>
      <c r="B653" t="n">
        <v>30.621490419</v>
      </c>
      <c r="C653" t="n">
        <v>48.497679422</v>
      </c>
      <c r="D653" t="n">
        <v/>
      </c>
      <c r="E653" t="n">
        <v>50.226244643</v>
      </c>
      <c r="F653" t="n">
        <v/>
      </c>
      <c r="G653" t="n">
        <v/>
      </c>
      <c r="H653" t="n">
        <v/>
      </c>
      <c r="I653" t="n">
        <v>30.621490419</v>
      </c>
      <c r="J653" t="n">
        <v/>
      </c>
      <c r="K653" t="n">
        <v>55.369863655</v>
      </c>
      <c r="L653" t="n">
        <v/>
      </c>
      <c r="M653" t="n">
        <v/>
      </c>
      <c r="N653" t="n">
        <v>67.358398591</v>
      </c>
      <c r="O653" t="n">
        <v/>
      </c>
      <c r="P653" t="n">
        <v/>
      </c>
      <c r="Q653" t="n">
        <v>38.503004225</v>
      </c>
      <c r="R653" t="n">
        <v>71.10737951599999</v>
      </c>
      <c r="S653" t="n">
        <v>53.085278563</v>
      </c>
      <c r="T653" t="n">
        <v>66.43084541899999</v>
      </c>
      <c r="U653" t="n">
        <v/>
      </c>
      <c r="V653" t="n">
        <v>83.89406406099999</v>
      </c>
      <c r="W653" t="n">
        <v/>
      </c>
      <c r="X653" t="n">
        <v/>
      </c>
      <c r="Y653" t="n">
        <v/>
      </c>
      <c r="Z653" t="n">
        <v/>
      </c>
      <c r="AA653" t="n">
        <v/>
      </c>
      <c r="AB653" t="n">
        <v/>
      </c>
      <c r="AC653" t="n">
        <v>76.19612175899999</v>
      </c>
      <c r="AD653" t="n">
        <v>59.058536251</v>
      </c>
      <c r="AE653" t="n">
        <v/>
      </c>
      <c r="AF653" t="n">
        <v>57.037228292</v>
      </c>
      <c r="AG653" t="n">
        <v/>
      </c>
      <c r="AH653" t="n">
        <v/>
      </c>
      <c r="AI653" t="n">
        <v>59.613153325</v>
      </c>
      <c r="AJ653" t="n">
        <v>38.242573704</v>
      </c>
      <c r="AK653" t="n">
        <v/>
      </c>
      <c r="AL653" t="n">
        <v/>
      </c>
      <c r="AM653" t="n">
        <v/>
      </c>
      <c r="AN653" t="n">
        <v>47.759991263</v>
      </c>
      <c r="AO653" t="n">
        <v/>
      </c>
      <c r="AP653" t="n">
        <v/>
      </c>
      <c r="AQ653" t="n">
        <v/>
      </c>
      <c r="AR653" t="n">
        <v>57.289704162</v>
      </c>
      <c r="AS653" t="n">
        <v/>
      </c>
      <c r="AT653" t="n">
        <v>44.302214489</v>
      </c>
      <c r="AU653" t="n">
        <v/>
      </c>
    </row>
    <row r="654">
      <c r="A654" s="106" t="n">
        <v>26785</v>
      </c>
      <c r="B654" t="n">
        <v>30.63671914</v>
      </c>
      <c r="C654" t="n">
        <v>48.561140851</v>
      </c>
      <c r="D654" t="n">
        <v/>
      </c>
      <c r="E654" t="n">
        <v>50.347951125</v>
      </c>
      <c r="F654" t="n">
        <v/>
      </c>
      <c r="G654" t="n">
        <v/>
      </c>
      <c r="H654" t="n">
        <v/>
      </c>
      <c r="I654" t="n">
        <v>30.63671914</v>
      </c>
      <c r="J654" t="n">
        <v/>
      </c>
      <c r="K654" t="n">
        <v>55.740230636</v>
      </c>
      <c r="L654" t="n">
        <v/>
      </c>
      <c r="M654" t="n">
        <v/>
      </c>
      <c r="N654" t="n">
        <v>70.062190685</v>
      </c>
      <c r="O654" t="n">
        <v/>
      </c>
      <c r="P654" t="n">
        <v/>
      </c>
      <c r="Q654" t="n">
        <v>38.170491616</v>
      </c>
      <c r="R654" t="n">
        <v>75.12887655999999</v>
      </c>
      <c r="S654" t="n">
        <v>53.656227166</v>
      </c>
      <c r="T654" t="n">
        <v>66.218606296</v>
      </c>
      <c r="U654" t="n">
        <v/>
      </c>
      <c r="V654" t="n">
        <v>84.029614317</v>
      </c>
      <c r="W654" t="n">
        <v/>
      </c>
      <c r="X654" t="n">
        <v/>
      </c>
      <c r="Y654" t="n">
        <v/>
      </c>
      <c r="Z654" t="n">
        <v/>
      </c>
      <c r="AA654" t="n">
        <v/>
      </c>
      <c r="AB654" t="n">
        <v/>
      </c>
      <c r="AC654" t="n">
        <v>78.031009356</v>
      </c>
      <c r="AD654" t="n">
        <v>59.647439034</v>
      </c>
      <c r="AE654" t="n">
        <v/>
      </c>
      <c r="AF654" t="n">
        <v>57.897979941</v>
      </c>
      <c r="AG654" t="n">
        <v/>
      </c>
      <c r="AH654" t="n">
        <v/>
      </c>
      <c r="AI654" t="n">
        <v>58.611251588</v>
      </c>
      <c r="AJ654" t="n">
        <v>39.101957383</v>
      </c>
      <c r="AK654" t="n">
        <v/>
      </c>
      <c r="AL654" t="n">
        <v/>
      </c>
      <c r="AM654" t="n">
        <v/>
      </c>
      <c r="AN654" t="n">
        <v>49.678876697</v>
      </c>
      <c r="AO654" t="n">
        <v/>
      </c>
      <c r="AP654" t="n">
        <v/>
      </c>
      <c r="AQ654" t="n">
        <v/>
      </c>
      <c r="AR654" t="n">
        <v>58.496408062</v>
      </c>
      <c r="AS654" t="n">
        <v/>
      </c>
      <c r="AT654" t="n">
        <v>44.595624369</v>
      </c>
      <c r="AU654" t="n">
        <v/>
      </c>
    </row>
    <row r="655">
      <c r="A655" s="106" t="n">
        <v>26816</v>
      </c>
      <c r="B655" t="n">
        <v>31.083971314</v>
      </c>
      <c r="C655" t="n">
        <v>48.24020785</v>
      </c>
      <c r="D655" t="n">
        <v/>
      </c>
      <c r="E655" t="n">
        <v>50.721998847</v>
      </c>
      <c r="F655" t="n">
        <v/>
      </c>
      <c r="G655" t="n">
        <v/>
      </c>
      <c r="H655" t="n">
        <v/>
      </c>
      <c r="I655" t="n">
        <v>31.083971314</v>
      </c>
      <c r="J655" t="n">
        <v/>
      </c>
      <c r="K655" t="n">
        <v>55.369863655</v>
      </c>
      <c r="L655" t="n">
        <v/>
      </c>
      <c r="M655" t="n">
        <v/>
      </c>
      <c r="N655" t="n">
        <v>70.713104793</v>
      </c>
      <c r="O655" t="n">
        <v/>
      </c>
      <c r="P655" t="n">
        <v/>
      </c>
      <c r="Q655" t="n">
        <v>38.988733429</v>
      </c>
      <c r="R655" t="n">
        <v>73.727445769</v>
      </c>
      <c r="S655" t="n">
        <v>53.828585782</v>
      </c>
      <c r="T655" t="n">
        <v>66.112486735</v>
      </c>
      <c r="U655" t="n">
        <v/>
      </c>
      <c r="V655" t="n">
        <v>85.438963856</v>
      </c>
      <c r="W655" t="n">
        <v/>
      </c>
      <c r="X655" t="n">
        <v/>
      </c>
      <c r="Y655" t="n">
        <v/>
      </c>
      <c r="Z655" t="n">
        <v/>
      </c>
      <c r="AA655" t="n">
        <v/>
      </c>
      <c r="AB655" t="n">
        <v/>
      </c>
      <c r="AC655" t="n">
        <v>81.024773334</v>
      </c>
      <c r="AD655" t="n">
        <v>60.236341817</v>
      </c>
      <c r="AE655" t="n">
        <v/>
      </c>
      <c r="AF655" t="n">
        <v>56.557983278</v>
      </c>
      <c r="AG655" t="n">
        <v/>
      </c>
      <c r="AH655" t="n">
        <v/>
      </c>
      <c r="AI655" t="n">
        <v>59.112202457</v>
      </c>
      <c r="AJ655" t="n">
        <v>38.500388807</v>
      </c>
      <c r="AK655" t="n">
        <v/>
      </c>
      <c r="AL655" t="n">
        <v/>
      </c>
      <c r="AM655" t="n">
        <v/>
      </c>
      <c r="AN655" t="n">
        <v>50.176812992</v>
      </c>
      <c r="AO655" t="n">
        <v/>
      </c>
      <c r="AP655" t="n">
        <v/>
      </c>
      <c r="AQ655" t="n">
        <v/>
      </c>
      <c r="AR655" t="n">
        <v>57.806862976</v>
      </c>
      <c r="AS655" t="n">
        <v/>
      </c>
      <c r="AT655" t="n">
        <v>44.646790133</v>
      </c>
      <c r="AU655" t="n">
        <v/>
      </c>
    </row>
    <row r="656">
      <c r="A656" s="106" t="n">
        <v>26846</v>
      </c>
      <c r="B656" t="n">
        <v>30.880011513</v>
      </c>
      <c r="C656" t="n">
        <v>48.773576883</v>
      </c>
      <c r="D656" t="n">
        <v/>
      </c>
      <c r="E656" t="n">
        <v>51.660407516</v>
      </c>
      <c r="F656" t="n">
        <v/>
      </c>
      <c r="G656" t="n">
        <v/>
      </c>
      <c r="H656" t="n">
        <v/>
      </c>
      <c r="I656" t="n">
        <v>30.880011513</v>
      </c>
      <c r="J656" t="n">
        <v/>
      </c>
      <c r="K656" t="n">
        <v>53.39457309</v>
      </c>
      <c r="L656" t="n">
        <v/>
      </c>
      <c r="M656" t="n">
        <v/>
      </c>
      <c r="N656" t="n">
        <v>69.92889897800001</v>
      </c>
      <c r="O656" t="n">
        <v/>
      </c>
      <c r="P656" t="n">
        <v/>
      </c>
      <c r="Q656" t="n">
        <v>40.661076259</v>
      </c>
      <c r="R656" t="n">
        <v>74.82421769</v>
      </c>
      <c r="S656" t="n">
        <v>53.583845072</v>
      </c>
      <c r="T656" t="n">
        <v>66.112486735</v>
      </c>
      <c r="U656" t="n">
        <v/>
      </c>
      <c r="V656" t="n">
        <v>86.11985080300001</v>
      </c>
      <c r="W656" t="n">
        <v/>
      </c>
      <c r="X656" t="n">
        <v/>
      </c>
      <c r="Y656" t="n">
        <v/>
      </c>
      <c r="Z656" t="n">
        <v/>
      </c>
      <c r="AA656" t="n">
        <v/>
      </c>
      <c r="AB656" t="n">
        <v/>
      </c>
      <c r="AC656" t="n">
        <v>80.44533514299999</v>
      </c>
      <c r="AD656" t="n">
        <v>59.563310065</v>
      </c>
      <c r="AE656" t="n">
        <v/>
      </c>
      <c r="AF656" t="n">
        <v>59.04537763</v>
      </c>
      <c r="AG656" t="n">
        <v/>
      </c>
      <c r="AH656" t="n">
        <v/>
      </c>
      <c r="AI656" t="n">
        <v>59.613153325</v>
      </c>
      <c r="AJ656" t="n">
        <v>39.660556774</v>
      </c>
      <c r="AK656" t="n">
        <v/>
      </c>
      <c r="AL656" t="n">
        <v/>
      </c>
      <c r="AM656" t="n">
        <v/>
      </c>
      <c r="AN656" t="n">
        <v>49.932250616</v>
      </c>
      <c r="AO656" t="n">
        <v/>
      </c>
      <c r="AP656" t="n">
        <v/>
      </c>
      <c r="AQ656" t="n">
        <v/>
      </c>
      <c r="AR656" t="n">
        <v>57.577014615</v>
      </c>
      <c r="AS656" t="n">
        <v/>
      </c>
      <c r="AT656" t="n">
        <v>44.814863721</v>
      </c>
      <c r="AU656" t="n">
        <v/>
      </c>
    </row>
    <row r="657">
      <c r="A657" s="106" t="n">
        <v>26877</v>
      </c>
      <c r="B657" t="n">
        <v>31.210606578</v>
      </c>
      <c r="C657" t="n">
        <v>50.305413927</v>
      </c>
      <c r="D657" t="n">
        <v/>
      </c>
      <c r="E657" t="n">
        <v>50.242221556</v>
      </c>
      <c r="F657" t="n">
        <v/>
      </c>
      <c r="G657" t="n">
        <v/>
      </c>
      <c r="H657" t="n">
        <v/>
      </c>
      <c r="I657" t="n">
        <v>31.210606578</v>
      </c>
      <c r="J657" t="n">
        <v/>
      </c>
      <c r="K657" t="n">
        <v>56.357508938</v>
      </c>
      <c r="L657" t="n">
        <v/>
      </c>
      <c r="M657" t="n">
        <v/>
      </c>
      <c r="N657" t="n">
        <v>72.072975942</v>
      </c>
      <c r="O657" t="n">
        <v/>
      </c>
      <c r="P657" t="n">
        <v/>
      </c>
      <c r="Q657" t="n">
        <v>39.780895822</v>
      </c>
      <c r="R657" t="n">
        <v>74.82421769</v>
      </c>
      <c r="S657" t="n">
        <v>54.215532221</v>
      </c>
      <c r="T657" t="n">
        <v>66.536964981</v>
      </c>
      <c r="U657" t="n">
        <v/>
      </c>
      <c r="V657" t="n">
        <v>86.462071235</v>
      </c>
      <c r="W657" t="n">
        <v/>
      </c>
      <c r="X657" t="n">
        <v/>
      </c>
      <c r="Y657" t="n">
        <v/>
      </c>
      <c r="Z657" t="n">
        <v/>
      </c>
      <c r="AA657" t="n">
        <v/>
      </c>
      <c r="AB657" t="n">
        <v/>
      </c>
      <c r="AC657" t="n">
        <v>80.252189083</v>
      </c>
      <c r="AD657" t="n">
        <v>61.330018414</v>
      </c>
      <c r="AE657" t="n">
        <v/>
      </c>
      <c r="AF657" t="n">
        <v>59.980759871</v>
      </c>
      <c r="AG657" t="n">
        <v/>
      </c>
      <c r="AH657" t="n">
        <v/>
      </c>
      <c r="AI657" t="n">
        <v>59.613153325</v>
      </c>
      <c r="AJ657" t="n">
        <v>39.660556774</v>
      </c>
      <c r="AK657" t="n">
        <v/>
      </c>
      <c r="AL657" t="n">
        <v/>
      </c>
      <c r="AM657" t="n">
        <v/>
      </c>
      <c r="AN657" t="n">
        <v>53.40279628</v>
      </c>
      <c r="AO657" t="n">
        <v/>
      </c>
      <c r="AP657" t="n">
        <v/>
      </c>
      <c r="AQ657" t="n">
        <v/>
      </c>
      <c r="AR657" t="n">
        <v>58.209097609</v>
      </c>
      <c r="AS657" t="n">
        <v/>
      </c>
      <c r="AT657" t="n">
        <v>44.751005673</v>
      </c>
      <c r="AU657" t="n">
        <v/>
      </c>
    </row>
    <row r="658">
      <c r="A658" s="106" t="n">
        <v>26908</v>
      </c>
      <c r="B658" t="n">
        <v>31.635832322</v>
      </c>
      <c r="C658" t="n">
        <v>49.684711697</v>
      </c>
      <c r="D658" t="n">
        <v/>
      </c>
      <c r="E658" t="n">
        <v>50.739855396</v>
      </c>
      <c r="F658" t="n">
        <v/>
      </c>
      <c r="G658" t="n">
        <v/>
      </c>
      <c r="H658" t="n">
        <v/>
      </c>
      <c r="I658" t="n">
        <v>31.635832322</v>
      </c>
      <c r="J658" t="n">
        <v/>
      </c>
      <c r="K658" t="n">
        <v>56.110597617</v>
      </c>
      <c r="L658" t="n">
        <v/>
      </c>
      <c r="M658" t="n">
        <v/>
      </c>
      <c r="N658" t="n">
        <v>69.886023818</v>
      </c>
      <c r="O658" t="n">
        <v/>
      </c>
      <c r="P658" t="n">
        <v/>
      </c>
      <c r="Q658" t="n">
        <v>40.478520317</v>
      </c>
      <c r="R658" t="n">
        <v>73.666513999</v>
      </c>
      <c r="S658" t="n">
        <v>54.413721293</v>
      </c>
      <c r="T658" t="n">
        <v>67.27980191</v>
      </c>
      <c r="U658" t="n">
        <v/>
      </c>
      <c r="V658" t="n">
        <v>88.79163859800001</v>
      </c>
      <c r="W658" t="n">
        <v/>
      </c>
      <c r="X658" t="n">
        <v/>
      </c>
      <c r="Y658" t="n">
        <v/>
      </c>
      <c r="Z658" t="n">
        <v/>
      </c>
      <c r="AA658" t="n">
        <v/>
      </c>
      <c r="AB658" t="n">
        <v/>
      </c>
      <c r="AC658" t="n">
        <v>83.535672146</v>
      </c>
      <c r="AD658" t="n">
        <v>60.488728724</v>
      </c>
      <c r="AE658" t="n">
        <v/>
      </c>
      <c r="AF658" t="n">
        <v>58.718423716</v>
      </c>
      <c r="AG658" t="n">
        <v/>
      </c>
      <c r="AH658" t="n">
        <v/>
      </c>
      <c r="AI658" t="n">
        <v>61.11600593</v>
      </c>
      <c r="AJ658" t="n">
        <v>40.734786372</v>
      </c>
      <c r="AK658" t="n">
        <v/>
      </c>
      <c r="AL658" t="n">
        <v/>
      </c>
      <c r="AM658" t="n">
        <v/>
      </c>
      <c r="AN658" t="n">
        <v>52.473041528</v>
      </c>
      <c r="AO658" t="n">
        <v/>
      </c>
      <c r="AP658" t="n">
        <v/>
      </c>
      <c r="AQ658" t="n">
        <v/>
      </c>
      <c r="AR658" t="n">
        <v>59.58818778</v>
      </c>
      <c r="AS658" t="n">
        <v/>
      </c>
      <c r="AT658" t="n">
        <v>45.103414836</v>
      </c>
      <c r="AU658" t="n">
        <v/>
      </c>
    </row>
    <row r="659">
      <c r="A659" s="106" t="n">
        <v>26938</v>
      </c>
      <c r="B659" t="n">
        <v>31.425550361</v>
      </c>
      <c r="C659" t="n">
        <v>50.162590943</v>
      </c>
      <c r="D659" t="n">
        <v/>
      </c>
      <c r="E659" t="n">
        <v>51.290119067</v>
      </c>
      <c r="F659" t="n">
        <v/>
      </c>
      <c r="G659" t="n">
        <v/>
      </c>
      <c r="H659" t="n">
        <v/>
      </c>
      <c r="I659" t="n">
        <v>31.425550361</v>
      </c>
      <c r="J659" t="n">
        <v/>
      </c>
      <c r="K659" t="n">
        <v>55.740230636</v>
      </c>
      <c r="L659" t="n">
        <v/>
      </c>
      <c r="M659" t="n">
        <v/>
      </c>
      <c r="N659" t="n">
        <v>71.35666702899999</v>
      </c>
      <c r="O659" t="n">
        <v/>
      </c>
      <c r="P659" t="n">
        <v/>
      </c>
      <c r="Q659" t="n">
        <v>40.696935462</v>
      </c>
      <c r="R659" t="n">
        <v>74.82421769</v>
      </c>
      <c r="S659" t="n">
        <v>54.663599314</v>
      </c>
      <c r="T659" t="n">
        <v>67.59816059400001</v>
      </c>
      <c r="U659" t="n">
        <v/>
      </c>
      <c r="V659" t="n">
        <v>88.876396085</v>
      </c>
      <c r="W659" t="n">
        <v/>
      </c>
      <c r="X659" t="n">
        <v/>
      </c>
      <c r="Y659" t="n">
        <v/>
      </c>
      <c r="Z659" t="n">
        <v/>
      </c>
      <c r="AA659" t="n">
        <v/>
      </c>
      <c r="AB659" t="n">
        <v/>
      </c>
      <c r="AC659" t="n">
        <v>81.507638489</v>
      </c>
      <c r="AD659" t="n">
        <v>61.330018414</v>
      </c>
      <c r="AE659" t="n">
        <v/>
      </c>
      <c r="AF659" t="n">
        <v>59.974463187</v>
      </c>
      <c r="AG659" t="n">
        <v/>
      </c>
      <c r="AH659" t="n">
        <v/>
      </c>
      <c r="AI659" t="n">
        <v>61.11600593</v>
      </c>
      <c r="AJ659" t="n">
        <v>40.133217797</v>
      </c>
      <c r="AK659" t="n">
        <v/>
      </c>
      <c r="AL659" t="n">
        <v/>
      </c>
      <c r="AM659" t="n">
        <v/>
      </c>
      <c r="AN659" t="n">
        <v>52.885792323</v>
      </c>
      <c r="AO659" t="n">
        <v/>
      </c>
      <c r="AP659" t="n">
        <v/>
      </c>
      <c r="AQ659" t="n">
        <v/>
      </c>
      <c r="AR659" t="n">
        <v>59.128491056</v>
      </c>
      <c r="AS659" t="n">
        <v/>
      </c>
      <c r="AT659" t="n">
        <v>45.46722722</v>
      </c>
      <c r="AU659" t="n">
        <v/>
      </c>
    </row>
    <row r="660">
      <c r="A660" s="106" t="n">
        <v>26969</v>
      </c>
      <c r="B660" t="n">
        <v>31.026894127</v>
      </c>
      <c r="C660" t="n">
        <v>50.170170039</v>
      </c>
      <c r="D660" t="n">
        <v/>
      </c>
      <c r="E660" t="n">
        <v>51.914158483</v>
      </c>
      <c r="F660" t="n">
        <v/>
      </c>
      <c r="G660" t="n">
        <v/>
      </c>
      <c r="H660" t="n">
        <v/>
      </c>
      <c r="I660" t="n">
        <v>31.026894127</v>
      </c>
      <c r="J660" t="n">
        <v/>
      </c>
      <c r="K660" t="n">
        <v>56.048869787</v>
      </c>
      <c r="L660" t="n">
        <v/>
      </c>
      <c r="M660" t="n">
        <v/>
      </c>
      <c r="N660" t="n">
        <v>72.809147725</v>
      </c>
      <c r="O660" t="n">
        <v/>
      </c>
      <c r="P660" t="n">
        <v/>
      </c>
      <c r="Q660" t="n">
        <v>40.89905097</v>
      </c>
      <c r="R660" t="n">
        <v>75.18980833000001</v>
      </c>
      <c r="S660" t="n">
        <v>54.907691719</v>
      </c>
      <c r="T660" t="n">
        <v>66.855323665</v>
      </c>
      <c r="U660" t="n">
        <v/>
      </c>
      <c r="V660" t="n">
        <v>86.851429009</v>
      </c>
      <c r="W660" t="n">
        <v/>
      </c>
      <c r="X660" t="n">
        <v/>
      </c>
      <c r="Y660" t="n">
        <v/>
      </c>
      <c r="Z660" t="n">
        <v/>
      </c>
      <c r="AA660" t="n">
        <v/>
      </c>
      <c r="AB660" t="n">
        <v/>
      </c>
      <c r="AC660" t="n">
        <v>81.797357585</v>
      </c>
      <c r="AD660" t="n">
        <v>61.918921197</v>
      </c>
      <c r="AE660" t="n">
        <v/>
      </c>
      <c r="AF660" t="n">
        <v>61.734263513</v>
      </c>
      <c r="AG660" t="n">
        <v/>
      </c>
      <c r="AH660" t="n">
        <v/>
      </c>
      <c r="AI660" t="n">
        <v>61.11600593</v>
      </c>
      <c r="AJ660" t="n">
        <v>39.832433509</v>
      </c>
      <c r="AK660" t="n">
        <v/>
      </c>
      <c r="AL660" t="n">
        <v/>
      </c>
      <c r="AM660" t="n">
        <v/>
      </c>
      <c r="AN660" t="n">
        <v>53.869186885</v>
      </c>
      <c r="AO660" t="n">
        <v/>
      </c>
      <c r="AP660" t="n">
        <v/>
      </c>
      <c r="AQ660" t="n">
        <v/>
      </c>
      <c r="AR660" t="n">
        <v>58.783718514</v>
      </c>
      <c r="AS660" t="n">
        <v/>
      </c>
      <c r="AT660" t="n">
        <v>45.677740628</v>
      </c>
      <c r="AU660" t="n">
        <v/>
      </c>
    </row>
    <row r="661">
      <c r="A661" s="106" t="n">
        <v>26999</v>
      </c>
      <c r="B661" t="n">
        <v>32.746455447</v>
      </c>
      <c r="C661" t="n">
        <v>50.307778171</v>
      </c>
      <c r="D661" t="n">
        <v/>
      </c>
      <c r="E661" t="n">
        <v>51.748280536</v>
      </c>
      <c r="F661" t="n">
        <v/>
      </c>
      <c r="G661" t="n">
        <v/>
      </c>
      <c r="H661" t="n">
        <v/>
      </c>
      <c r="I661" t="n">
        <v>32.746455447</v>
      </c>
      <c r="J661" t="n">
        <v/>
      </c>
      <c r="K661" t="n">
        <v>55.493319315</v>
      </c>
      <c r="L661" t="n">
        <v/>
      </c>
      <c r="M661" t="n">
        <v/>
      </c>
      <c r="N661" t="n">
        <v>72.18596037899999</v>
      </c>
      <c r="O661" t="n">
        <v/>
      </c>
      <c r="P661" t="n">
        <v/>
      </c>
      <c r="Q661" t="n">
        <v>41.909628509</v>
      </c>
      <c r="R661" t="n">
        <v>73.17905980800001</v>
      </c>
      <c r="S661" t="n">
        <v>54.63291119</v>
      </c>
      <c r="T661" t="n">
        <v>64.520693314</v>
      </c>
      <c r="U661" t="n">
        <v/>
      </c>
      <c r="V661" t="n">
        <v>87.06008896900001</v>
      </c>
      <c r="W661" t="n">
        <v/>
      </c>
      <c r="X661" t="n">
        <v/>
      </c>
      <c r="Y661" t="n">
        <v/>
      </c>
      <c r="Z661" t="n">
        <v/>
      </c>
      <c r="AA661" t="n">
        <v/>
      </c>
      <c r="AB661" t="n">
        <v/>
      </c>
      <c r="AC661" t="n">
        <v>84.30825639699999</v>
      </c>
      <c r="AD661" t="n">
        <v>61.918921197</v>
      </c>
      <c r="AE661" t="n">
        <v/>
      </c>
      <c r="AF661" t="n">
        <v>59.943443747</v>
      </c>
      <c r="AG661" t="n">
        <v/>
      </c>
      <c r="AH661" t="n">
        <v/>
      </c>
      <c r="AI661" t="n">
        <v>61.616956798</v>
      </c>
      <c r="AJ661" t="n">
        <v>39.101957383</v>
      </c>
      <c r="AK661" t="n">
        <v/>
      </c>
      <c r="AL661" t="n">
        <v/>
      </c>
      <c r="AM661" t="n">
        <v/>
      </c>
      <c r="AN661" t="n">
        <v>54.448712938</v>
      </c>
      <c r="AO661" t="n">
        <v/>
      </c>
      <c r="AP661" t="n">
        <v/>
      </c>
      <c r="AQ661" t="n">
        <v/>
      </c>
      <c r="AR661" t="n">
        <v>60.392657046</v>
      </c>
      <c r="AS661" t="n">
        <v/>
      </c>
      <c r="AT661" t="n">
        <v>45.547843047</v>
      </c>
      <c r="AU661" t="n">
        <v/>
      </c>
    </row>
    <row r="662">
      <c r="A662" s="106" t="n">
        <v>27030</v>
      </c>
      <c r="B662" t="n">
        <v>32.259341655</v>
      </c>
      <c r="C662" t="n">
        <v>51.34414643</v>
      </c>
      <c r="D662" t="n">
        <v/>
      </c>
      <c r="E662" t="n">
        <v>52.468181427</v>
      </c>
      <c r="F662" t="n">
        <v/>
      </c>
      <c r="G662" t="n">
        <v/>
      </c>
      <c r="H662" t="n">
        <v/>
      </c>
      <c r="I662" t="n">
        <v>32.259341655</v>
      </c>
      <c r="J662" t="n">
        <v/>
      </c>
      <c r="K662" t="n">
        <v>55.678502806</v>
      </c>
      <c r="L662" t="n">
        <v>59.40728641</v>
      </c>
      <c r="M662" t="n">
        <v/>
      </c>
      <c r="N662" t="n">
        <v>79.406387186</v>
      </c>
      <c r="O662" t="n">
        <v/>
      </c>
      <c r="P662" t="n">
        <v/>
      </c>
      <c r="Q662" t="n">
        <v>41.342401116</v>
      </c>
      <c r="R662" t="n">
        <v>76.347512022</v>
      </c>
      <c r="S662" t="n">
        <v>54.524454253</v>
      </c>
      <c r="T662" t="n">
        <v>61.973823842</v>
      </c>
      <c r="U662" t="n">
        <v/>
      </c>
      <c r="V662" t="n">
        <v>86.82737541500001</v>
      </c>
      <c r="W662" t="n">
        <v/>
      </c>
      <c r="X662" t="n">
        <v/>
      </c>
      <c r="Y662" t="n">
        <v/>
      </c>
      <c r="Z662" t="n">
        <v/>
      </c>
      <c r="AA662" t="n">
        <v/>
      </c>
      <c r="AB662" t="n">
        <v/>
      </c>
      <c r="AC662" t="n">
        <v>83.63224518200001</v>
      </c>
      <c r="AD662" t="n">
        <v>62.255437073</v>
      </c>
      <c r="AE662" t="n">
        <v/>
      </c>
      <c r="AF662" t="n">
        <v>63.016868679</v>
      </c>
      <c r="AG662" t="n">
        <v/>
      </c>
      <c r="AH662" t="n">
        <v/>
      </c>
      <c r="AI662" t="n">
        <v>62.117907666</v>
      </c>
      <c r="AJ662" t="n">
        <v>39.703525958</v>
      </c>
      <c r="AK662" t="n">
        <v/>
      </c>
      <c r="AL662" t="n">
        <v/>
      </c>
      <c r="AM662" t="n">
        <v/>
      </c>
      <c r="AN662" t="n">
        <v>55.325772023</v>
      </c>
      <c r="AO662" t="n">
        <v/>
      </c>
      <c r="AP662" t="n">
        <v/>
      </c>
      <c r="AQ662" t="n">
        <v/>
      </c>
      <c r="AR662" t="n">
        <v>60.220270775</v>
      </c>
      <c r="AS662" t="n">
        <v/>
      </c>
      <c r="AT662" t="n">
        <v>45.245806382</v>
      </c>
      <c r="AU662" t="n">
        <v/>
      </c>
    </row>
    <row r="663">
      <c r="A663" s="106" t="n">
        <v>27061</v>
      </c>
      <c r="B663" t="n">
        <v>32.718615574</v>
      </c>
      <c r="C663" t="n">
        <v>51.601486792</v>
      </c>
      <c r="D663" t="n">
        <v/>
      </c>
      <c r="E663" t="n">
        <v>52.469591155</v>
      </c>
      <c r="F663" t="n">
        <v/>
      </c>
      <c r="G663" t="n">
        <v/>
      </c>
      <c r="H663" t="n">
        <v/>
      </c>
      <c r="I663" t="n">
        <v>32.718615574</v>
      </c>
      <c r="J663" t="n">
        <v/>
      </c>
      <c r="K663" t="n">
        <v>55.493319315</v>
      </c>
      <c r="L663" t="n">
        <v>59.40728641</v>
      </c>
      <c r="M663" t="n">
        <v/>
      </c>
      <c r="N663" t="n">
        <v>75.560442521</v>
      </c>
      <c r="O663" t="n">
        <v/>
      </c>
      <c r="P663" t="n">
        <v/>
      </c>
      <c r="Q663" t="n">
        <v>41.23156358</v>
      </c>
      <c r="R663" t="n">
        <v>76.652170892</v>
      </c>
      <c r="S663" t="n">
        <v>54.160951466</v>
      </c>
      <c r="T663" t="n">
        <v>60.912628228</v>
      </c>
      <c r="U663" t="n">
        <v/>
      </c>
      <c r="V663" t="n">
        <v>89.87618296399999</v>
      </c>
      <c r="W663" t="n">
        <v/>
      </c>
      <c r="X663" t="n">
        <v/>
      </c>
      <c r="Y663" t="n">
        <v/>
      </c>
      <c r="Z663" t="n">
        <v/>
      </c>
      <c r="AA663" t="n">
        <v/>
      </c>
      <c r="AB663" t="n">
        <v/>
      </c>
      <c r="AC663" t="n">
        <v>80.059043012</v>
      </c>
      <c r="AD663" t="n">
        <v>62.087179135</v>
      </c>
      <c r="AE663" t="n">
        <v/>
      </c>
      <c r="AF663" t="n">
        <v>63.192251744</v>
      </c>
      <c r="AG663" t="n">
        <v/>
      </c>
      <c r="AH663" t="n">
        <v/>
      </c>
      <c r="AI663" t="n">
        <v>63.119809403</v>
      </c>
      <c r="AJ663" t="n">
        <v>40.004310245</v>
      </c>
      <c r="AK663" t="n">
        <v/>
      </c>
      <c r="AL663" t="n">
        <v/>
      </c>
      <c r="AM663" t="n">
        <v/>
      </c>
      <c r="AN663" t="n">
        <v>53.449943467</v>
      </c>
      <c r="AO663" t="n">
        <v/>
      </c>
      <c r="AP663" t="n">
        <v/>
      </c>
      <c r="AQ663" t="n">
        <v/>
      </c>
      <c r="AR663" t="n">
        <v>60.450119136</v>
      </c>
      <c r="AS663" t="n">
        <v/>
      </c>
      <c r="AT663" t="n">
        <v>45.112239938</v>
      </c>
      <c r="AU663" t="n">
        <v/>
      </c>
    </row>
    <row r="664">
      <c r="A664" s="106" t="n">
        <v>27089</v>
      </c>
      <c r="B664" t="n">
        <v>33.004097504</v>
      </c>
      <c r="C664" t="n">
        <v>51.009635379</v>
      </c>
      <c r="D664" t="n">
        <v/>
      </c>
      <c r="E664" t="n">
        <v>52.705015663</v>
      </c>
      <c r="F664" t="n">
        <v/>
      </c>
      <c r="G664" t="n">
        <v/>
      </c>
      <c r="H664" t="n">
        <v/>
      </c>
      <c r="I664" t="n">
        <v>33.004097504</v>
      </c>
      <c r="J664" t="n">
        <v/>
      </c>
      <c r="K664" t="n">
        <v>55.184680164</v>
      </c>
      <c r="L664" t="n">
        <v>60.032626267</v>
      </c>
      <c r="M664" t="n">
        <v/>
      </c>
      <c r="N664" t="n">
        <v>74.313594494</v>
      </c>
      <c r="O664" t="n">
        <v/>
      </c>
      <c r="P664" t="n">
        <v/>
      </c>
      <c r="Q664" t="n">
        <v>41.322841551</v>
      </c>
      <c r="R664" t="n">
        <v>75.06794479</v>
      </c>
      <c r="S664" t="n">
        <v>54.127917148</v>
      </c>
      <c r="T664" t="n">
        <v>62.186062964</v>
      </c>
      <c r="U664" t="n">
        <v/>
      </c>
      <c r="V664" t="n">
        <v>85.039723227</v>
      </c>
      <c r="W664" t="n">
        <v/>
      </c>
      <c r="X664" t="n">
        <v/>
      </c>
      <c r="Y664" t="n">
        <v/>
      </c>
      <c r="Z664" t="n">
        <v/>
      </c>
      <c r="AA664" t="n">
        <v/>
      </c>
      <c r="AB664" t="n">
        <v/>
      </c>
      <c r="AC664" t="n">
        <v>84.211683361</v>
      </c>
      <c r="AD664" t="n">
        <v>60.656986662</v>
      </c>
      <c r="AE664" t="n">
        <v/>
      </c>
      <c r="AF664" t="n">
        <v>61.862999843</v>
      </c>
      <c r="AG664" t="n">
        <v/>
      </c>
      <c r="AH664" t="n">
        <v/>
      </c>
      <c r="AI664" t="n">
        <v>62.618858535</v>
      </c>
      <c r="AJ664" t="n">
        <v>40.305094533</v>
      </c>
      <c r="AK664" t="n">
        <v/>
      </c>
      <c r="AL664" t="n">
        <v/>
      </c>
      <c r="AM664" t="n">
        <v/>
      </c>
      <c r="AN664" t="n">
        <v>55.382093294</v>
      </c>
      <c r="AO664" t="n">
        <v/>
      </c>
      <c r="AP664" t="n">
        <v/>
      </c>
      <c r="AQ664" t="n">
        <v/>
      </c>
      <c r="AR664" t="n">
        <v>59.990422413</v>
      </c>
      <c r="AS664" t="n">
        <v/>
      </c>
      <c r="AT664" t="n">
        <v>45.112339097</v>
      </c>
      <c r="AU664" t="n">
        <v/>
      </c>
    </row>
    <row r="665">
      <c r="A665" s="106" t="n">
        <v>27120</v>
      </c>
      <c r="B665" t="n">
        <v>32.669336644</v>
      </c>
      <c r="C665" t="n">
        <v>51.283318562</v>
      </c>
      <c r="D665" t="n">
        <v/>
      </c>
      <c r="E665" t="n">
        <v>51.772715814</v>
      </c>
      <c r="F665" t="n">
        <v/>
      </c>
      <c r="G665" t="n">
        <v/>
      </c>
      <c r="H665" t="n">
        <v/>
      </c>
      <c r="I665" t="n">
        <v>32.669336644</v>
      </c>
      <c r="J665" t="n">
        <v/>
      </c>
      <c r="K665" t="n">
        <v>55.308135825</v>
      </c>
      <c r="L665" t="n">
        <v>57.531266839</v>
      </c>
      <c r="M665" t="n">
        <v/>
      </c>
      <c r="N665" t="n">
        <v>74.415594492</v>
      </c>
      <c r="O665" t="n">
        <v/>
      </c>
      <c r="P665" t="n">
        <v/>
      </c>
      <c r="Q665" t="n">
        <v>41.185924594</v>
      </c>
      <c r="R665" t="n">
        <v>76.28658025199999</v>
      </c>
      <c r="S665" t="n">
        <v>54.15065772</v>
      </c>
      <c r="T665" t="n">
        <v>65.05129112100001</v>
      </c>
      <c r="U665" t="n">
        <v/>
      </c>
      <c r="V665" t="n">
        <v>83.481298455</v>
      </c>
      <c r="W665" t="n">
        <v/>
      </c>
      <c r="X665" t="n">
        <v/>
      </c>
      <c r="Y665" t="n">
        <v/>
      </c>
      <c r="Z665" t="n">
        <v/>
      </c>
      <c r="AA665" t="n">
        <v/>
      </c>
      <c r="AB665" t="n">
        <v/>
      </c>
      <c r="AC665" t="n">
        <v>84.694548528</v>
      </c>
      <c r="AD665" t="n">
        <v>59.395052127</v>
      </c>
      <c r="AE665" t="n">
        <v/>
      </c>
      <c r="AF665" t="n">
        <v>60.794133763</v>
      </c>
      <c r="AG665" t="n">
        <v/>
      </c>
      <c r="AH665" t="n">
        <v/>
      </c>
      <c r="AI665" t="n">
        <v>62.117907666</v>
      </c>
      <c r="AJ665" t="n">
        <v>40.519940452</v>
      </c>
      <c r="AK665" t="n">
        <v/>
      </c>
      <c r="AL665" t="n">
        <v/>
      </c>
      <c r="AM665" t="n">
        <v/>
      </c>
      <c r="AN665" t="n">
        <v>54.159402023</v>
      </c>
      <c r="AO665" t="n">
        <v/>
      </c>
      <c r="AP665" t="n">
        <v/>
      </c>
      <c r="AQ665" t="n">
        <v/>
      </c>
      <c r="AR665" t="n">
        <v>61.426974674</v>
      </c>
      <c r="AS665" t="n">
        <v/>
      </c>
      <c r="AT665" t="n">
        <v>44.980755822</v>
      </c>
      <c r="AU665" t="n">
        <v/>
      </c>
    </row>
    <row r="666">
      <c r="A666" s="106" t="n">
        <v>27150</v>
      </c>
      <c r="B666" t="n">
        <v>32.381794975</v>
      </c>
      <c r="C666" t="n">
        <v>50.736905933</v>
      </c>
      <c r="D666" t="n">
        <v/>
      </c>
      <c r="E666" t="n">
        <v>52.399574684</v>
      </c>
      <c r="F666" t="n">
        <v/>
      </c>
      <c r="G666" t="n">
        <v/>
      </c>
      <c r="H666" t="n">
        <v/>
      </c>
      <c r="I666" t="n">
        <v>32.381794975</v>
      </c>
      <c r="J666" t="n">
        <v/>
      </c>
      <c r="K666" t="n">
        <v>55.925414126</v>
      </c>
      <c r="L666" t="n">
        <v>56.280587125</v>
      </c>
      <c r="M666" t="n">
        <v/>
      </c>
      <c r="N666" t="n">
        <v>74.98500910600001</v>
      </c>
      <c r="O666" t="n">
        <v/>
      </c>
      <c r="P666" t="n">
        <v/>
      </c>
      <c r="Q666" t="n">
        <v>41.088126768</v>
      </c>
      <c r="R666" t="n">
        <v>77.32242040200001</v>
      </c>
      <c r="S666" t="n">
        <v>54.6596399</v>
      </c>
      <c r="T666" t="n">
        <v>67.49204103300001</v>
      </c>
      <c r="U666" t="n">
        <v/>
      </c>
      <c r="V666" t="n">
        <v>85.031819482</v>
      </c>
      <c r="W666" t="n">
        <v/>
      </c>
      <c r="X666" t="n">
        <v/>
      </c>
      <c r="Y666" t="n">
        <v/>
      </c>
      <c r="Z666" t="n">
        <v/>
      </c>
      <c r="AA666" t="n">
        <v/>
      </c>
      <c r="AB666" t="n">
        <v/>
      </c>
      <c r="AC666" t="n">
        <v>83.728818206</v>
      </c>
      <c r="AD666" t="n">
        <v>59.563310065</v>
      </c>
      <c r="AE666" t="n">
        <v/>
      </c>
      <c r="AF666" t="n">
        <v>60.137426698</v>
      </c>
      <c r="AG666" t="n">
        <v/>
      </c>
      <c r="AH666" t="n">
        <v/>
      </c>
      <c r="AI666" t="n">
        <v>62.618858535</v>
      </c>
      <c r="AJ666" t="n">
        <v>41.894954338</v>
      </c>
      <c r="AK666" t="n">
        <v/>
      </c>
      <c r="AL666" t="n">
        <v/>
      </c>
      <c r="AM666" t="n">
        <v/>
      </c>
      <c r="AN666" t="n">
        <v>51.370779428</v>
      </c>
      <c r="AO666" t="n">
        <v/>
      </c>
      <c r="AP666" t="n">
        <v/>
      </c>
      <c r="AQ666" t="n">
        <v/>
      </c>
      <c r="AR666" t="n">
        <v>61.197126312</v>
      </c>
      <c r="AS666" t="n">
        <v/>
      </c>
      <c r="AT666" t="n">
        <v>45.339312809</v>
      </c>
      <c r="AU666" t="n">
        <v/>
      </c>
    </row>
    <row r="667">
      <c r="A667" s="106" t="n">
        <v>27181</v>
      </c>
      <c r="B667" t="n">
        <v>33.57581744</v>
      </c>
      <c r="C667" t="n">
        <v>52.623647404</v>
      </c>
      <c r="D667" t="n">
        <v/>
      </c>
      <c r="E667" t="n">
        <v>51.682023339</v>
      </c>
      <c r="F667" t="n">
        <v/>
      </c>
      <c r="G667" t="n">
        <v/>
      </c>
      <c r="H667" t="n">
        <v/>
      </c>
      <c r="I667" t="n">
        <v>33.57581744</v>
      </c>
      <c r="J667" t="n">
        <v/>
      </c>
      <c r="K667" t="n">
        <v>55.246407995</v>
      </c>
      <c r="L667" t="n">
        <v>55.029907411</v>
      </c>
      <c r="M667" t="n">
        <v/>
      </c>
      <c r="N667" t="n">
        <v>75.222532496</v>
      </c>
      <c r="O667" t="n">
        <v/>
      </c>
      <c r="P667" t="n">
        <v/>
      </c>
      <c r="Q667" t="n">
        <v>42.281260249</v>
      </c>
      <c r="R667" t="n">
        <v>75.981921382</v>
      </c>
      <c r="S667" t="n">
        <v>54.379042071</v>
      </c>
      <c r="T667" t="n">
        <v>68.447117085</v>
      </c>
      <c r="U667" t="n">
        <v/>
      </c>
      <c r="V667" t="n">
        <v>82.941454511</v>
      </c>
      <c r="W667" t="n">
        <v/>
      </c>
      <c r="X667" t="n">
        <v/>
      </c>
      <c r="Y667" t="n">
        <v/>
      </c>
      <c r="Z667" t="n">
        <v/>
      </c>
      <c r="AA667" t="n">
        <v/>
      </c>
      <c r="AB667" t="n">
        <v/>
      </c>
      <c r="AC667" t="n">
        <v>86.336290054</v>
      </c>
      <c r="AD667" t="n">
        <v>57.964859654</v>
      </c>
      <c r="AE667" t="n">
        <v/>
      </c>
      <c r="AF667" t="n">
        <v>60.537261879</v>
      </c>
      <c r="AG667" t="n">
        <v/>
      </c>
      <c r="AH667" t="n">
        <v/>
      </c>
      <c r="AI667" t="n">
        <v>63.620760271</v>
      </c>
      <c r="AJ667" t="n">
        <v>41.121509028</v>
      </c>
      <c r="AK667" t="n">
        <v/>
      </c>
      <c r="AL667" t="n">
        <v/>
      </c>
      <c r="AM667" t="n">
        <v/>
      </c>
      <c r="AN667" t="n">
        <v>51.154700811</v>
      </c>
      <c r="AO667" t="n">
        <v/>
      </c>
      <c r="AP667" t="n">
        <v/>
      </c>
      <c r="AQ667" t="n">
        <v/>
      </c>
      <c r="AR667" t="n">
        <v>62.920989025</v>
      </c>
      <c r="AS667" t="n">
        <v/>
      </c>
      <c r="AT667" t="n">
        <v>45.25492896</v>
      </c>
      <c r="AU667" t="n">
        <v/>
      </c>
    </row>
    <row r="668">
      <c r="A668" s="106" t="n">
        <v>27211</v>
      </c>
      <c r="B668" t="n">
        <v>32.937673718</v>
      </c>
      <c r="C668" t="n">
        <v>51.123083269</v>
      </c>
      <c r="D668" t="n">
        <v/>
      </c>
      <c r="E668" t="n">
        <v>51.430152008</v>
      </c>
      <c r="F668" t="n">
        <v/>
      </c>
      <c r="G668" t="n">
        <v/>
      </c>
      <c r="H668" t="n">
        <v/>
      </c>
      <c r="I668" t="n">
        <v>32.937673718</v>
      </c>
      <c r="J668" t="n">
        <v/>
      </c>
      <c r="K668" t="n">
        <v>55.184680164</v>
      </c>
      <c r="L668" t="n">
        <v>55.029907411</v>
      </c>
      <c r="M668" t="n">
        <v/>
      </c>
      <c r="N668" t="n">
        <v>74.88973309799999</v>
      </c>
      <c r="O668" t="n">
        <v/>
      </c>
      <c r="P668" t="n">
        <v/>
      </c>
      <c r="Q668" t="n">
        <v>43.901444238</v>
      </c>
      <c r="R668" t="n">
        <v>78.11453345300001</v>
      </c>
      <c r="S668" t="n">
        <v>54.133209935</v>
      </c>
      <c r="T668" t="n">
        <v>68.02263884</v>
      </c>
      <c r="U668" t="n">
        <v/>
      </c>
      <c r="V668" t="n">
        <v>76.346783797</v>
      </c>
      <c r="W668" t="n">
        <v/>
      </c>
      <c r="X668" t="n">
        <v/>
      </c>
      <c r="Y668" t="n">
        <v/>
      </c>
      <c r="Z668" t="n">
        <v/>
      </c>
      <c r="AA668" t="n">
        <v/>
      </c>
      <c r="AB668" t="n">
        <v/>
      </c>
      <c r="AC668" t="n">
        <v>81.507638489</v>
      </c>
      <c r="AD668" t="n">
        <v>57.37595687</v>
      </c>
      <c r="AE668" t="n">
        <v/>
      </c>
      <c r="AF668" t="n">
        <v>62.673129314</v>
      </c>
      <c r="AG668" t="n">
        <v/>
      </c>
      <c r="AH668" t="n">
        <v/>
      </c>
      <c r="AI668" t="n">
        <v>63.620760271</v>
      </c>
      <c r="AJ668" t="n">
        <v>41.207447395</v>
      </c>
      <c r="AK668" t="n">
        <v/>
      </c>
      <c r="AL668" t="n">
        <v/>
      </c>
      <c r="AM668" t="n">
        <v/>
      </c>
      <c r="AN668" t="n">
        <v>51.701061484</v>
      </c>
      <c r="AO668" t="n">
        <v/>
      </c>
      <c r="AP668" t="n">
        <v/>
      </c>
      <c r="AQ668" t="n">
        <v/>
      </c>
      <c r="AR668" t="n">
        <v>60.737429589</v>
      </c>
      <c r="AS668" t="n">
        <v/>
      </c>
      <c r="AT668" t="n">
        <v>45.334553203</v>
      </c>
      <c r="AU668" t="n">
        <v/>
      </c>
    </row>
    <row r="669">
      <c r="A669" s="106" t="n">
        <v>27242</v>
      </c>
      <c r="B669" t="n">
        <v>32.694562433</v>
      </c>
      <c r="C669" t="n">
        <v>51.699891695</v>
      </c>
      <c r="D669" t="n">
        <v/>
      </c>
      <c r="E669" t="n">
        <v>51.371883268</v>
      </c>
      <c r="F669" t="n">
        <v/>
      </c>
      <c r="G669" t="n">
        <v/>
      </c>
      <c r="H669" t="n">
        <v/>
      </c>
      <c r="I669" t="n">
        <v>32.694562433</v>
      </c>
      <c r="J669" t="n">
        <v/>
      </c>
      <c r="K669" t="n">
        <v>53.826667901</v>
      </c>
      <c r="L669" t="n">
        <v>53.779227697</v>
      </c>
      <c r="M669" t="n">
        <v/>
      </c>
      <c r="N669" t="n">
        <v>84.473018106</v>
      </c>
      <c r="O669" t="n">
        <v/>
      </c>
      <c r="P669" t="n">
        <v/>
      </c>
      <c r="Q669" t="n">
        <v>42.38557793</v>
      </c>
      <c r="R669" t="n">
        <v>78.11453345300001</v>
      </c>
      <c r="S669" t="n">
        <v>53.48568763</v>
      </c>
      <c r="T669" t="n">
        <v>66.961443226</v>
      </c>
      <c r="U669" t="n">
        <v/>
      </c>
      <c r="V669" t="n">
        <v>83.210116583</v>
      </c>
      <c r="W669" t="n">
        <v/>
      </c>
      <c r="X669" t="n">
        <v/>
      </c>
      <c r="Y669" t="n">
        <v/>
      </c>
      <c r="Z669" t="n">
        <v/>
      </c>
      <c r="AA669" t="n">
        <v/>
      </c>
      <c r="AB669" t="n">
        <v/>
      </c>
      <c r="AC669" t="n">
        <v>81.507638489</v>
      </c>
      <c r="AD669" t="n">
        <v>56.53466718</v>
      </c>
      <c r="AE669" t="n">
        <v/>
      </c>
      <c r="AF669" t="n">
        <v>63.232519393</v>
      </c>
      <c r="AG669" t="n">
        <v/>
      </c>
      <c r="AH669" t="n">
        <v/>
      </c>
      <c r="AI669" t="n">
        <v>64.121711139</v>
      </c>
      <c r="AJ669" t="n">
        <v>42.109800258</v>
      </c>
      <c r="AK669" t="n">
        <v/>
      </c>
      <c r="AL669" t="n">
        <v/>
      </c>
      <c r="AM669" t="n">
        <v/>
      </c>
      <c r="AN669" t="n">
        <v>52.467850767</v>
      </c>
      <c r="AO669" t="n">
        <v/>
      </c>
      <c r="AP669" t="n">
        <v/>
      </c>
      <c r="AQ669" t="n">
        <v/>
      </c>
      <c r="AR669" t="n">
        <v>60.90981586</v>
      </c>
      <c r="AS669" t="n">
        <v/>
      </c>
      <c r="AT669" t="n">
        <v>44.855022897</v>
      </c>
      <c r="AU669" t="n">
        <v/>
      </c>
    </row>
    <row r="670">
      <c r="A670" s="106" t="n">
        <v>27273</v>
      </c>
      <c r="B670" t="n">
        <v>32.663655814</v>
      </c>
      <c r="C670" t="n">
        <v>51.762378326</v>
      </c>
      <c r="D670" t="n">
        <v/>
      </c>
      <c r="E670" t="n">
        <v>50.712130754</v>
      </c>
      <c r="F670" t="n">
        <v/>
      </c>
      <c r="G670" t="n">
        <v/>
      </c>
      <c r="H670" t="n">
        <v/>
      </c>
      <c r="I670" t="n">
        <v>32.663655814</v>
      </c>
      <c r="J670" t="n">
        <v/>
      </c>
      <c r="K670" t="n">
        <v>53.950123561</v>
      </c>
      <c r="L670" t="n">
        <v>53.779227697</v>
      </c>
      <c r="M670" t="n">
        <v/>
      </c>
      <c r="N670" t="n">
        <v>73.836886044</v>
      </c>
      <c r="O670" t="n">
        <v/>
      </c>
      <c r="P670" t="n">
        <v/>
      </c>
      <c r="Q670" t="n">
        <v>40.993588869</v>
      </c>
      <c r="R670" t="n">
        <v>74.45862705</v>
      </c>
      <c r="S670" t="n">
        <v>53.178742885</v>
      </c>
      <c r="T670" t="n">
        <v>65.900247612</v>
      </c>
      <c r="U670" t="n">
        <v/>
      </c>
      <c r="V670" t="n">
        <v>83.061056343</v>
      </c>
      <c r="W670" t="n">
        <v/>
      </c>
      <c r="X670" t="n">
        <v/>
      </c>
      <c r="Y670" t="n">
        <v/>
      </c>
      <c r="Z670" t="n">
        <v/>
      </c>
      <c r="AA670" t="n">
        <v/>
      </c>
      <c r="AB670" t="n">
        <v/>
      </c>
      <c r="AC670" t="n">
        <v>82.4733688</v>
      </c>
      <c r="AD670" t="n">
        <v>55.945764397</v>
      </c>
      <c r="AE670" t="n">
        <v/>
      </c>
      <c r="AF670" t="n">
        <v>61.576404154</v>
      </c>
      <c r="AG670" t="n">
        <v/>
      </c>
      <c r="AH670" t="n">
        <v/>
      </c>
      <c r="AI670" t="n">
        <v>63.620760271</v>
      </c>
      <c r="AJ670" t="n">
        <v>40.906663108</v>
      </c>
      <c r="AK670" t="n">
        <v/>
      </c>
      <c r="AL670" t="n">
        <v/>
      </c>
      <c r="AM670" t="n">
        <v/>
      </c>
      <c r="AN670" t="n">
        <v>47.97516769</v>
      </c>
      <c r="AO670" t="n">
        <v/>
      </c>
      <c r="AP670" t="n">
        <v/>
      </c>
      <c r="AQ670" t="n">
        <v/>
      </c>
      <c r="AR670" t="n">
        <v>60.565043317</v>
      </c>
      <c r="AS670" t="n">
        <v/>
      </c>
      <c r="AT670" t="n">
        <v>44.861369038</v>
      </c>
      <c r="AU670" t="n">
        <v/>
      </c>
    </row>
    <row r="671">
      <c r="A671" s="106" t="n">
        <v>27303</v>
      </c>
      <c r="B671" t="n">
        <v>31.953633166</v>
      </c>
      <c r="C671" t="n">
        <v>50.756523578</v>
      </c>
      <c r="D671" t="n">
        <v/>
      </c>
      <c r="E671" t="n">
        <v>50.640234646</v>
      </c>
      <c r="F671" t="n">
        <v/>
      </c>
      <c r="G671" t="n">
        <v/>
      </c>
      <c r="H671" t="n">
        <v/>
      </c>
      <c r="I671" t="n">
        <v>31.953633166</v>
      </c>
      <c r="J671" t="n">
        <v/>
      </c>
      <c r="K671" t="n">
        <v>53.764940071</v>
      </c>
      <c r="L671" t="n">
        <v>51.903208127</v>
      </c>
      <c r="M671" t="n">
        <v/>
      </c>
      <c r="N671" t="n">
        <v>75.451022905</v>
      </c>
      <c r="O671" t="n">
        <v/>
      </c>
      <c r="P671" t="n">
        <v/>
      </c>
      <c r="Q671" t="n">
        <v>41.498877638</v>
      </c>
      <c r="R671" t="n">
        <v>74.5804906</v>
      </c>
      <c r="S671" t="n">
        <v>52.599706754</v>
      </c>
      <c r="T671" t="n">
        <v>64.94517156000001</v>
      </c>
      <c r="U671" t="n">
        <v/>
      </c>
      <c r="V671" t="n">
        <v>83.108370107</v>
      </c>
      <c r="W671" t="n">
        <v/>
      </c>
      <c r="X671" t="n">
        <v/>
      </c>
      <c r="Y671" t="n">
        <v/>
      </c>
      <c r="Z671" t="n">
        <v/>
      </c>
      <c r="AA671" t="n">
        <v/>
      </c>
      <c r="AB671" t="n">
        <v/>
      </c>
      <c r="AC671" t="n">
        <v>77.934436331</v>
      </c>
      <c r="AD671" t="n">
        <v>54.767958831</v>
      </c>
      <c r="AE671" t="n">
        <v/>
      </c>
      <c r="AF671" t="n">
        <v>61.619860579</v>
      </c>
      <c r="AG671" t="n">
        <v/>
      </c>
      <c r="AH671" t="n">
        <v/>
      </c>
      <c r="AI671" t="n">
        <v>62.618858535</v>
      </c>
      <c r="AJ671" t="n">
        <v>41.894954338</v>
      </c>
      <c r="AK671" t="n">
        <v/>
      </c>
      <c r="AL671" t="n">
        <v/>
      </c>
      <c r="AM671" t="n">
        <v/>
      </c>
      <c r="AN671" t="n">
        <v>52.024461583</v>
      </c>
      <c r="AO671" t="n">
        <v/>
      </c>
      <c r="AP671" t="n">
        <v/>
      </c>
      <c r="AQ671" t="n">
        <v/>
      </c>
      <c r="AR671" t="n">
        <v>61.024740041</v>
      </c>
      <c r="AS671" t="n">
        <v/>
      </c>
      <c r="AT671" t="n">
        <v>44.721555611</v>
      </c>
      <c r="AU671" t="n">
        <v/>
      </c>
    </row>
    <row r="672">
      <c r="A672" s="106" t="n">
        <v>27334</v>
      </c>
      <c r="B672" t="n">
        <v>31.892526617</v>
      </c>
      <c r="C672" t="n">
        <v>50.792300281</v>
      </c>
      <c r="D672" t="n">
        <v/>
      </c>
      <c r="E672" t="n">
        <v>49.728610802</v>
      </c>
      <c r="F672" t="n">
        <v/>
      </c>
      <c r="G672" t="n">
        <v/>
      </c>
      <c r="H672" t="n">
        <v/>
      </c>
      <c r="I672" t="n">
        <v>31.892526617</v>
      </c>
      <c r="J672" t="n">
        <v/>
      </c>
      <c r="K672" t="n">
        <v>53.39457309</v>
      </c>
      <c r="L672" t="n">
        <v>52.528547984</v>
      </c>
      <c r="M672" t="n">
        <v/>
      </c>
      <c r="N672" t="n">
        <v>71.686307258</v>
      </c>
      <c r="O672" t="n">
        <v/>
      </c>
      <c r="P672" t="n">
        <v/>
      </c>
      <c r="Q672" t="n">
        <v>41.375000392</v>
      </c>
      <c r="R672" t="n">
        <v>71.655765477</v>
      </c>
      <c r="S672" t="n">
        <v>51.464727479</v>
      </c>
      <c r="T672" t="n">
        <v>64.308454192</v>
      </c>
      <c r="U672" t="n">
        <v/>
      </c>
      <c r="V672" t="n">
        <v>83.359840924</v>
      </c>
      <c r="W672" t="n">
        <v/>
      </c>
      <c r="X672" t="n">
        <v/>
      </c>
      <c r="Y672" t="n">
        <v/>
      </c>
      <c r="Z672" t="n">
        <v/>
      </c>
      <c r="AA672" t="n">
        <v/>
      </c>
      <c r="AB672" t="n">
        <v/>
      </c>
      <c r="AC672" t="n">
        <v>78.031009356</v>
      </c>
      <c r="AD672" t="n">
        <v>53.842540172</v>
      </c>
      <c r="AE672" t="n">
        <v/>
      </c>
      <c r="AF672" t="n">
        <v>55.809628064</v>
      </c>
      <c r="AG672" t="n">
        <v/>
      </c>
      <c r="AH672" t="n">
        <v/>
      </c>
      <c r="AI672" t="n">
        <v>62.618858535</v>
      </c>
      <c r="AJ672" t="n">
        <v>42.281676994</v>
      </c>
      <c r="AK672" t="n">
        <v/>
      </c>
      <c r="AL672" t="n">
        <v/>
      </c>
      <c r="AM672" t="n">
        <v/>
      </c>
      <c r="AN672" t="n">
        <v>49.812153852</v>
      </c>
      <c r="AO672" t="n">
        <v/>
      </c>
      <c r="AP672" t="n">
        <v/>
      </c>
      <c r="AQ672" t="n">
        <v/>
      </c>
      <c r="AR672" t="n">
        <v>61.139664222</v>
      </c>
      <c r="AS672" t="n">
        <v/>
      </c>
      <c r="AT672" t="n">
        <v>43.248755024</v>
      </c>
      <c r="AU672" t="n">
        <v/>
      </c>
    </row>
    <row r="673">
      <c r="A673" s="106" t="n">
        <v>27364</v>
      </c>
      <c r="B673" t="n">
        <v>31.131171606</v>
      </c>
      <c r="C673" t="n">
        <v>48.203141473</v>
      </c>
      <c r="D673" t="n">
        <v/>
      </c>
      <c r="E673" t="n">
        <v>49.61254323</v>
      </c>
      <c r="F673" t="n">
        <v/>
      </c>
      <c r="G673" t="n">
        <v/>
      </c>
      <c r="H673" t="n">
        <v/>
      </c>
      <c r="I673" t="n">
        <v>31.131171606</v>
      </c>
      <c r="J673" t="n">
        <v/>
      </c>
      <c r="K673" t="n">
        <v>50.740276393</v>
      </c>
      <c r="L673" t="n">
        <v>50.027188556</v>
      </c>
      <c r="M673" t="n">
        <v/>
      </c>
      <c r="N673" t="n">
        <v>70.361273455</v>
      </c>
      <c r="O673" t="n">
        <v/>
      </c>
      <c r="P673" t="n">
        <v/>
      </c>
      <c r="Q673" t="n">
        <v>41.195704377</v>
      </c>
      <c r="R673" t="n">
        <v>70.437130006</v>
      </c>
      <c r="S673" t="n">
        <v>49.931375565</v>
      </c>
      <c r="T673" t="n">
        <v>64.096215069</v>
      </c>
      <c r="U673" t="n">
        <v/>
      </c>
      <c r="V673" t="n">
        <v>84.26671404299999</v>
      </c>
      <c r="W673" t="n">
        <v/>
      </c>
      <c r="X673" t="n">
        <v/>
      </c>
      <c r="Y673" t="n">
        <v/>
      </c>
      <c r="Z673" t="n">
        <v/>
      </c>
      <c r="AA673" t="n">
        <v/>
      </c>
      <c r="AB673" t="n">
        <v/>
      </c>
      <c r="AC673" t="n">
        <v>74.650953257</v>
      </c>
      <c r="AD673" t="n">
        <v>52.832992543</v>
      </c>
      <c r="AE673" t="n">
        <v/>
      </c>
      <c r="AF673" t="n">
        <v>54.179470244</v>
      </c>
      <c r="AG673" t="n">
        <v/>
      </c>
      <c r="AH673" t="n">
        <v/>
      </c>
      <c r="AI673" t="n">
        <v>59.613153325</v>
      </c>
      <c r="AJ673" t="n">
        <v>40.476971268</v>
      </c>
      <c r="AK673" t="n">
        <v/>
      </c>
      <c r="AL673" t="n">
        <v/>
      </c>
      <c r="AM673" t="n">
        <v/>
      </c>
      <c r="AN673" t="n">
        <v>52.229347013</v>
      </c>
      <c r="AO673" t="n">
        <v/>
      </c>
      <c r="AP673" t="n">
        <v/>
      </c>
      <c r="AQ673" t="n">
        <v/>
      </c>
      <c r="AR673" t="n">
        <v>59.013566876</v>
      </c>
      <c r="AS673" t="n">
        <v/>
      </c>
      <c r="AT673" t="n">
        <v>41.701387276</v>
      </c>
      <c r="AU673" t="n">
        <v/>
      </c>
    </row>
    <row r="674">
      <c r="A674" s="106" t="n">
        <v>27395</v>
      </c>
      <c r="B674" t="n">
        <v>30.954496065</v>
      </c>
      <c r="C674" t="n">
        <v>47.655059178</v>
      </c>
      <c r="D674" t="n">
        <v>47.669585125</v>
      </c>
      <c r="E674" t="n">
        <v>47.930268301</v>
      </c>
      <c r="F674" t="n">
        <v/>
      </c>
      <c r="G674" t="n">
        <v/>
      </c>
      <c r="H674" t="n">
        <v/>
      </c>
      <c r="I674" t="n">
        <v>30.954496065</v>
      </c>
      <c r="J674" t="n">
        <v/>
      </c>
      <c r="K674" t="n">
        <v>51.048915544</v>
      </c>
      <c r="L674" t="n">
        <v>51.903208127</v>
      </c>
      <c r="M674" t="n">
        <v/>
      </c>
      <c r="N674" t="n">
        <v>71.134335316</v>
      </c>
      <c r="O674" t="n">
        <v/>
      </c>
      <c r="P674" t="n">
        <v/>
      </c>
      <c r="Q674" t="n">
        <v>41.427767056</v>
      </c>
      <c r="R674" t="n">
        <v>69.645016954</v>
      </c>
      <c r="S674" t="n">
        <v>49.230778288</v>
      </c>
      <c r="T674" t="n">
        <v>63.990095508</v>
      </c>
      <c r="U674" t="n">
        <v/>
      </c>
      <c r="V674" t="n">
        <v>84.27432813999999</v>
      </c>
      <c r="W674" t="n">
        <v/>
      </c>
      <c r="X674" t="n">
        <v/>
      </c>
      <c r="Y674" t="n">
        <v/>
      </c>
      <c r="Z674" t="n">
        <v/>
      </c>
      <c r="AA674" t="n">
        <v/>
      </c>
      <c r="AB674" t="n">
        <v/>
      </c>
      <c r="AC674" t="n">
        <v>74.07151506700001</v>
      </c>
      <c r="AD674" t="n">
        <v>50.813897287</v>
      </c>
      <c r="AE674" t="n">
        <v/>
      </c>
      <c r="AF674" t="n">
        <v>51.017055475</v>
      </c>
      <c r="AG674" t="n">
        <v/>
      </c>
      <c r="AH674" t="n">
        <v/>
      </c>
      <c r="AI674" t="n">
        <v>59.529661514</v>
      </c>
      <c r="AJ674" t="n">
        <v>38.121029635</v>
      </c>
      <c r="AK674" t="n">
        <v/>
      </c>
      <c r="AL674" t="n">
        <v>43.254934957</v>
      </c>
      <c r="AM674" t="n">
        <v/>
      </c>
      <c r="AN674" t="n">
        <v>50.850136321</v>
      </c>
      <c r="AO674" t="n">
        <v/>
      </c>
      <c r="AP674" t="n">
        <v/>
      </c>
      <c r="AQ674" t="n">
        <v/>
      </c>
      <c r="AR674" t="n">
        <v>62.346368121</v>
      </c>
      <c r="AS674" t="n">
        <v/>
      </c>
      <c r="AT674" t="n">
        <v>41.125970741</v>
      </c>
      <c r="AU674" t="n">
        <v/>
      </c>
    </row>
    <row r="675">
      <c r="A675" s="106" t="n">
        <v>27426</v>
      </c>
      <c r="B675" t="n">
        <v>31.536633931</v>
      </c>
      <c r="C675" t="n">
        <v>46.842940572</v>
      </c>
      <c r="D675" t="n">
        <v>47.569643181</v>
      </c>
      <c r="E675" t="n">
        <v>47.962692035</v>
      </c>
      <c r="F675" t="n">
        <v/>
      </c>
      <c r="G675" t="n">
        <v/>
      </c>
      <c r="H675" t="n">
        <v/>
      </c>
      <c r="I675" t="n">
        <v>31.536633931</v>
      </c>
      <c r="J675" t="n">
        <v/>
      </c>
      <c r="K675" t="n">
        <v>50.802004223</v>
      </c>
      <c r="L675" t="n">
        <v>51.903208127</v>
      </c>
      <c r="M675" t="n">
        <v/>
      </c>
      <c r="N675" t="n">
        <v>71.457316732</v>
      </c>
      <c r="O675" t="n">
        <v/>
      </c>
      <c r="P675" t="n">
        <v/>
      </c>
      <c r="Q675" t="n">
        <v>41.529181419</v>
      </c>
      <c r="R675" t="n">
        <v>69.40128986400001</v>
      </c>
      <c r="S675" t="n">
        <v>48.629573664</v>
      </c>
      <c r="T675" t="n">
        <v>63.671736823</v>
      </c>
      <c r="U675" t="n">
        <v/>
      </c>
      <c r="V675" t="n">
        <v>85.584576196</v>
      </c>
      <c r="W675" t="n">
        <v/>
      </c>
      <c r="X675" t="n">
        <v/>
      </c>
      <c r="Y675" t="n">
        <v/>
      </c>
      <c r="Z675" t="n">
        <v/>
      </c>
      <c r="AA675" t="n">
        <v/>
      </c>
      <c r="AB675" t="n">
        <v/>
      </c>
      <c r="AC675" t="n">
        <v>74.07151506700001</v>
      </c>
      <c r="AD675" t="n">
        <v>50.309123473</v>
      </c>
      <c r="AE675" t="n">
        <v/>
      </c>
      <c r="AF675" t="n">
        <v>53.000123739</v>
      </c>
      <c r="AG675" t="n">
        <v/>
      </c>
      <c r="AH675" t="n">
        <v/>
      </c>
      <c r="AI675" t="n">
        <v>59.529661514</v>
      </c>
      <c r="AJ675" t="n">
        <v>40.92404652</v>
      </c>
      <c r="AK675" t="n">
        <v/>
      </c>
      <c r="AL675" t="n">
        <v>42.809770227</v>
      </c>
      <c r="AM675" t="n">
        <v/>
      </c>
      <c r="AN675" t="n">
        <v>51.529634482</v>
      </c>
      <c r="AO675" t="n">
        <v/>
      </c>
      <c r="AP675" t="n">
        <v/>
      </c>
      <c r="AQ675" t="n">
        <v/>
      </c>
      <c r="AR675" t="n">
        <v>61.082202131</v>
      </c>
      <c r="AS675" t="n">
        <v/>
      </c>
      <c r="AT675" t="n">
        <v>40.187931721</v>
      </c>
      <c r="AU675" t="n">
        <v/>
      </c>
    </row>
    <row r="676">
      <c r="A676" s="106" t="n">
        <v>27454</v>
      </c>
      <c r="B676" t="n">
        <v>30.761625169</v>
      </c>
      <c r="C676" t="n">
        <v>47.518357183</v>
      </c>
      <c r="D676" t="n">
        <v>46.69166827</v>
      </c>
      <c r="E676" t="n">
        <v>47.13941112</v>
      </c>
      <c r="F676" t="n">
        <v/>
      </c>
      <c r="G676" t="n">
        <v/>
      </c>
      <c r="H676" t="n">
        <v/>
      </c>
      <c r="I676" t="n">
        <v>30.761625169</v>
      </c>
      <c r="J676" t="n">
        <v/>
      </c>
      <c r="K676" t="n">
        <v>51.357554694</v>
      </c>
      <c r="L676" t="n">
        <v>48.151168985</v>
      </c>
      <c r="M676" t="n">
        <v/>
      </c>
      <c r="N676" t="n">
        <v>78.03579136099999</v>
      </c>
      <c r="O676" t="n">
        <v/>
      </c>
      <c r="P676" t="n">
        <v/>
      </c>
      <c r="Q676" t="n">
        <v>41.022109607</v>
      </c>
      <c r="R676" t="n">
        <v>68.365449713</v>
      </c>
      <c r="S676" t="n">
        <v>48.248884349</v>
      </c>
      <c r="T676" t="n">
        <v>62.928899894</v>
      </c>
      <c r="U676" t="n">
        <v/>
      </c>
      <c r="V676" t="n">
        <v>86.632792916</v>
      </c>
      <c r="W676" t="n">
        <v/>
      </c>
      <c r="X676" t="n">
        <v/>
      </c>
      <c r="Y676" t="n">
        <v/>
      </c>
      <c r="Z676" t="n">
        <v/>
      </c>
      <c r="AA676" t="n">
        <v/>
      </c>
      <c r="AB676" t="n">
        <v/>
      </c>
      <c r="AC676" t="n">
        <v>74.07151506700001</v>
      </c>
      <c r="AD676" t="n">
        <v>49.636091721</v>
      </c>
      <c r="AE676" t="n">
        <v/>
      </c>
      <c r="AF676" t="n">
        <v>52.463063714</v>
      </c>
      <c r="AG676" t="n">
        <v/>
      </c>
      <c r="AH676" t="n">
        <v/>
      </c>
      <c r="AI676" t="n">
        <v>60.124958129</v>
      </c>
      <c r="AJ676" t="n">
        <v>42.045253274</v>
      </c>
      <c r="AK676" t="n">
        <v/>
      </c>
      <c r="AL676" t="n">
        <v>42.672976894</v>
      </c>
      <c r="AM676" t="n">
        <v/>
      </c>
      <c r="AN676" t="n">
        <v>49.447278358</v>
      </c>
      <c r="AO676" t="n">
        <v/>
      </c>
      <c r="AP676" t="n">
        <v/>
      </c>
      <c r="AQ676" t="n">
        <v/>
      </c>
      <c r="AR676" t="n">
        <v>62.059057669</v>
      </c>
      <c r="AS676" t="n">
        <v/>
      </c>
      <c r="AT676" t="n">
        <v>39.742313608</v>
      </c>
      <c r="AU676" t="n">
        <v/>
      </c>
    </row>
    <row r="677">
      <c r="A677" s="106" t="n">
        <v>27485</v>
      </c>
      <c r="B677" t="n">
        <v>30.395365276</v>
      </c>
      <c r="C677" t="n">
        <v>43.360890895</v>
      </c>
      <c r="D677" t="n">
        <v>49.654108483</v>
      </c>
      <c r="E677" t="n">
        <v>47.570317855</v>
      </c>
      <c r="F677" t="n">
        <v/>
      </c>
      <c r="G677" t="n">
        <v/>
      </c>
      <c r="H677" t="n">
        <v/>
      </c>
      <c r="I677" t="n">
        <v>30.395365276</v>
      </c>
      <c r="J677" t="n">
        <v/>
      </c>
      <c r="K677" t="n">
        <v>50.678548563</v>
      </c>
      <c r="L677" t="n">
        <v>52.528547984</v>
      </c>
      <c r="M677" t="n">
        <v/>
      </c>
      <c r="N677" t="n">
        <v>68.638158639</v>
      </c>
      <c r="O677" t="n">
        <v/>
      </c>
      <c r="P677" t="n">
        <v/>
      </c>
      <c r="Q677" t="n">
        <v>41.17423115</v>
      </c>
      <c r="R677" t="n">
        <v>68.548245033</v>
      </c>
      <c r="S677" t="n">
        <v>48.260278333</v>
      </c>
      <c r="T677" t="n">
        <v>61.973823842</v>
      </c>
      <c r="U677" t="n">
        <v/>
      </c>
      <c r="V677" t="n">
        <v>87.439372711</v>
      </c>
      <c r="W677" t="n">
        <v/>
      </c>
      <c r="X677" t="n">
        <v/>
      </c>
      <c r="Y677" t="n">
        <v/>
      </c>
      <c r="Z677" t="n">
        <v/>
      </c>
      <c r="AA677" t="n">
        <v/>
      </c>
      <c r="AB677" t="n">
        <v/>
      </c>
      <c r="AC677" t="n">
        <v>72.526346565</v>
      </c>
      <c r="AD677" t="n">
        <v>50.813897287</v>
      </c>
      <c r="AE677" t="n">
        <v/>
      </c>
      <c r="AF677" t="n">
        <v>45.673829619</v>
      </c>
      <c r="AG677" t="n">
        <v/>
      </c>
      <c r="AH677" t="n">
        <v/>
      </c>
      <c r="AI677" t="n">
        <v>58.934364898</v>
      </c>
      <c r="AJ677" t="n">
        <v>44.287666781</v>
      </c>
      <c r="AK677" t="n">
        <v/>
      </c>
      <c r="AL677" t="n">
        <v>42.37696278</v>
      </c>
      <c r="AM677" t="n">
        <v/>
      </c>
      <c r="AN677" t="n">
        <v>47.983988994</v>
      </c>
      <c r="AO677" t="n">
        <v/>
      </c>
      <c r="AP677" t="n">
        <v/>
      </c>
      <c r="AQ677" t="n">
        <v/>
      </c>
      <c r="AR677" t="n">
        <v>59.58818778</v>
      </c>
      <c r="AS677" t="n">
        <v/>
      </c>
      <c r="AT677" t="n">
        <v>39.814798441</v>
      </c>
      <c r="AU677" t="n">
        <v/>
      </c>
    </row>
    <row r="678">
      <c r="A678" s="106" t="n">
        <v>27515</v>
      </c>
      <c r="B678" t="n">
        <v>29.985856902</v>
      </c>
      <c r="C678" t="n">
        <v>45.238461194</v>
      </c>
      <c r="D678" t="n">
        <v>47.249785066</v>
      </c>
      <c r="E678" t="n">
        <v>46.457572874</v>
      </c>
      <c r="F678" t="n">
        <v/>
      </c>
      <c r="G678" t="n">
        <v/>
      </c>
      <c r="H678" t="n">
        <v/>
      </c>
      <c r="I678" t="n">
        <v>29.985856902</v>
      </c>
      <c r="J678" t="n">
        <v/>
      </c>
      <c r="K678" t="n">
        <v>50.493365072</v>
      </c>
      <c r="L678" t="n">
        <v>51.27786827</v>
      </c>
      <c r="M678" t="n">
        <v/>
      </c>
      <c r="N678" t="n">
        <v>72.091713114</v>
      </c>
      <c r="O678" t="n">
        <v/>
      </c>
      <c r="P678" t="n">
        <v/>
      </c>
      <c r="Q678" t="n">
        <v>39.09523672</v>
      </c>
      <c r="R678" t="n">
        <v>66.598428291</v>
      </c>
      <c r="S678" t="n">
        <v>48.037857434</v>
      </c>
      <c r="T678" t="n">
        <v>61.018747789</v>
      </c>
      <c r="U678" t="n">
        <v/>
      </c>
      <c r="V678" t="n">
        <v>86.241651843</v>
      </c>
      <c r="W678" t="n">
        <v/>
      </c>
      <c r="X678" t="n">
        <v/>
      </c>
      <c r="Y678" t="n">
        <v/>
      </c>
      <c r="Z678" t="n">
        <v/>
      </c>
      <c r="AA678" t="n">
        <v/>
      </c>
      <c r="AB678" t="n">
        <v/>
      </c>
      <c r="AC678" t="n">
        <v>73.588649911</v>
      </c>
      <c r="AD678" t="n">
        <v>50.813897287</v>
      </c>
      <c r="AE678" t="n">
        <v/>
      </c>
      <c r="AF678" t="n">
        <v>45.610077835</v>
      </c>
      <c r="AG678" t="n">
        <v/>
      </c>
      <c r="AH678" t="n">
        <v/>
      </c>
      <c r="AI678" t="n">
        <v>59.529661514</v>
      </c>
      <c r="AJ678" t="n">
        <v>44.287666781</v>
      </c>
      <c r="AK678" t="n">
        <v/>
      </c>
      <c r="AL678" t="n">
        <v>42.30474773</v>
      </c>
      <c r="AM678" t="n">
        <v/>
      </c>
      <c r="AN678" t="n">
        <v>49.572191662</v>
      </c>
      <c r="AO678" t="n">
        <v/>
      </c>
      <c r="AP678" t="n">
        <v/>
      </c>
      <c r="AQ678" t="n">
        <v/>
      </c>
      <c r="AR678" t="n">
        <v>59.415801509</v>
      </c>
      <c r="AS678" t="n">
        <v/>
      </c>
      <c r="AT678" t="n">
        <v>39.7029477</v>
      </c>
      <c r="AU678" t="n">
        <v/>
      </c>
    </row>
    <row r="679">
      <c r="A679" s="106" t="n">
        <v>27546</v>
      </c>
      <c r="B679" t="n">
        <v>29.915894212</v>
      </c>
      <c r="C679" t="n">
        <v>45.184686707</v>
      </c>
      <c r="D679" t="n">
        <v>48.91761455</v>
      </c>
      <c r="E679" t="n">
        <v>47.10416793</v>
      </c>
      <c r="F679" t="n">
        <v/>
      </c>
      <c r="G679" t="n">
        <v/>
      </c>
      <c r="H679" t="n">
        <v/>
      </c>
      <c r="I679" t="n">
        <v>29.915894212</v>
      </c>
      <c r="J679" t="n">
        <v/>
      </c>
      <c r="K679" t="n">
        <v>50.369909412</v>
      </c>
      <c r="L679" t="n">
        <v>51.27786827</v>
      </c>
      <c r="M679" t="n">
        <v/>
      </c>
      <c r="N679" t="n">
        <v>72.002895655</v>
      </c>
      <c r="O679" t="n">
        <v/>
      </c>
      <c r="P679" t="n">
        <v/>
      </c>
      <c r="Q679" t="n">
        <v>38.537457727</v>
      </c>
      <c r="R679" t="n">
        <v>68.24358617199999</v>
      </c>
      <c r="S679" t="n">
        <v>48.318789197</v>
      </c>
      <c r="T679" t="n">
        <v>60.27591086</v>
      </c>
      <c r="U679" t="n">
        <v/>
      </c>
      <c r="V679" t="n">
        <v>86.241093456</v>
      </c>
      <c r="W679" t="n">
        <v/>
      </c>
      <c r="X679" t="n">
        <v/>
      </c>
      <c r="Y679" t="n">
        <v/>
      </c>
      <c r="Z679" t="n">
        <v/>
      </c>
      <c r="AA679" t="n">
        <v/>
      </c>
      <c r="AB679" t="n">
        <v/>
      </c>
      <c r="AC679" t="n">
        <v>74.264661137</v>
      </c>
      <c r="AD679" t="n">
        <v>51.318671101</v>
      </c>
      <c r="AE679" t="n">
        <v/>
      </c>
      <c r="AF679" t="n">
        <v>47.349654567</v>
      </c>
      <c r="AG679" t="n">
        <v/>
      </c>
      <c r="AH679" t="n">
        <v/>
      </c>
      <c r="AI679" t="n">
        <v>59.529661514</v>
      </c>
      <c r="AJ679" t="n">
        <v>44.848270158</v>
      </c>
      <c r="AK679" t="n">
        <v/>
      </c>
      <c r="AL679" t="n">
        <v>42.506883863</v>
      </c>
      <c r="AM679" t="n">
        <v/>
      </c>
      <c r="AN679" t="n">
        <v>50.253284625</v>
      </c>
      <c r="AO679" t="n">
        <v/>
      </c>
      <c r="AP679" t="n">
        <v/>
      </c>
      <c r="AQ679" t="n">
        <v/>
      </c>
      <c r="AR679" t="n">
        <v>58.2665597</v>
      </c>
      <c r="AS679" t="n">
        <v/>
      </c>
      <c r="AT679" t="n">
        <v>39.959569791</v>
      </c>
      <c r="AU679" t="n">
        <v/>
      </c>
    </row>
    <row r="680">
      <c r="A680" s="106" t="n">
        <v>27576</v>
      </c>
      <c r="B680" t="n">
        <v>29.859904629</v>
      </c>
      <c r="C680" t="n">
        <v>45.692961089</v>
      </c>
      <c r="D680" t="n">
        <v>48.395643953</v>
      </c>
      <c r="E680" t="n">
        <v>47.755931988</v>
      </c>
      <c r="F680" t="n">
        <v/>
      </c>
      <c r="G680" t="n">
        <v/>
      </c>
      <c r="H680" t="n">
        <v/>
      </c>
      <c r="I680" t="n">
        <v>29.859904629</v>
      </c>
      <c r="J680" t="n">
        <v/>
      </c>
      <c r="K680" t="n">
        <v>49.135352809</v>
      </c>
      <c r="L680" t="n">
        <v>53.15388784</v>
      </c>
      <c r="M680" t="n">
        <v>56.701955426</v>
      </c>
      <c r="N680" t="n">
        <v>71.516365971</v>
      </c>
      <c r="O680" t="n">
        <v/>
      </c>
      <c r="P680" t="n">
        <v/>
      </c>
      <c r="Q680" t="n">
        <v>41.884131687</v>
      </c>
      <c r="R680" t="n">
        <v>67.451473112</v>
      </c>
      <c r="S680" t="n">
        <v>48.33762986</v>
      </c>
      <c r="T680" t="n">
        <v>59.957552175</v>
      </c>
      <c r="U680" t="n">
        <v/>
      </c>
      <c r="V680" t="n">
        <v>86.87887433100001</v>
      </c>
      <c r="W680" t="n">
        <v/>
      </c>
      <c r="X680" t="n">
        <v/>
      </c>
      <c r="Y680" t="n">
        <v/>
      </c>
      <c r="Z680" t="n">
        <v>5.672827578</v>
      </c>
      <c r="AA680" t="n">
        <v/>
      </c>
      <c r="AB680" t="n">
        <v/>
      </c>
      <c r="AC680" t="n">
        <v>73.298930816</v>
      </c>
      <c r="AD680" t="n">
        <v>51.823444915</v>
      </c>
      <c r="AE680" t="n">
        <v/>
      </c>
      <c r="AF680" t="n">
        <v>46.003533104</v>
      </c>
      <c r="AG680" t="n">
        <v/>
      </c>
      <c r="AH680" t="n">
        <v/>
      </c>
      <c r="AI680" t="n">
        <v>58.339068283</v>
      </c>
      <c r="AJ680" t="n">
        <v>45.969476912</v>
      </c>
      <c r="AK680" t="n">
        <v/>
      </c>
      <c r="AL680" t="n">
        <v>42.555191178</v>
      </c>
      <c r="AM680" t="n">
        <v/>
      </c>
      <c r="AN680" t="n">
        <v>51.089075135</v>
      </c>
      <c r="AO680" t="n">
        <v/>
      </c>
      <c r="AP680" t="n">
        <v/>
      </c>
      <c r="AQ680" t="n">
        <v/>
      </c>
      <c r="AR680" t="n">
        <v>59.58818778</v>
      </c>
      <c r="AS680" t="n">
        <v/>
      </c>
      <c r="AT680" t="n">
        <v>40.366813581</v>
      </c>
      <c r="AU680" t="n">
        <v/>
      </c>
    </row>
    <row r="681">
      <c r="A681" s="106" t="n">
        <v>27607</v>
      </c>
      <c r="B681" t="n">
        <v>30.287125034</v>
      </c>
      <c r="C681" t="n">
        <v>45.056615474</v>
      </c>
      <c r="D681" t="n">
        <v>48.629883826</v>
      </c>
      <c r="E681" t="n">
        <v>47.393162087</v>
      </c>
      <c r="F681" t="n">
        <v/>
      </c>
      <c r="G681" t="n">
        <v/>
      </c>
      <c r="H681" t="n">
        <v/>
      </c>
      <c r="I681" t="n">
        <v>30.287125034</v>
      </c>
      <c r="J681" t="n">
        <v/>
      </c>
      <c r="K681" t="n">
        <v>51.048915544</v>
      </c>
      <c r="L681" t="n">
        <v>51.27786827</v>
      </c>
      <c r="M681" t="n">
        <v>57.473475398</v>
      </c>
      <c r="N681" t="n">
        <v>76.724642417</v>
      </c>
      <c r="O681" t="n">
        <v/>
      </c>
      <c r="P681" t="n">
        <v/>
      </c>
      <c r="Q681" t="n">
        <v>39.348772626</v>
      </c>
      <c r="R681" t="n">
        <v>67.451473112</v>
      </c>
      <c r="S681" t="n">
        <v>48.819014351</v>
      </c>
      <c r="T681" t="n">
        <v>60.063671737</v>
      </c>
      <c r="U681" t="n">
        <v/>
      </c>
      <c r="V681" t="n">
        <v>89.197237526</v>
      </c>
      <c r="W681" t="n">
        <v/>
      </c>
      <c r="X681" t="n">
        <v/>
      </c>
      <c r="Y681" t="n">
        <v/>
      </c>
      <c r="Z681" t="n">
        <v>5.765067846</v>
      </c>
      <c r="AA681" t="n">
        <v/>
      </c>
      <c r="AB681" t="n">
        <v/>
      </c>
      <c r="AC681" t="n">
        <v>73.78179597099999</v>
      </c>
      <c r="AD681" t="n">
        <v>51.823444915</v>
      </c>
      <c r="AE681" t="n">
        <v/>
      </c>
      <c r="AF681" t="n">
        <v>36.733988697</v>
      </c>
      <c r="AG681" t="n">
        <v/>
      </c>
      <c r="AH681" t="n">
        <v/>
      </c>
      <c r="AI681" t="n">
        <v>58.339068283</v>
      </c>
      <c r="AJ681" t="n">
        <v>43.727063404</v>
      </c>
      <c r="AK681" t="n">
        <v/>
      </c>
      <c r="AL681" t="n">
        <v>42.984356328</v>
      </c>
      <c r="AM681" t="n">
        <v/>
      </c>
      <c r="AN681" t="n">
        <v>45.984480511</v>
      </c>
      <c r="AO681" t="n">
        <v/>
      </c>
      <c r="AP681" t="n">
        <v/>
      </c>
      <c r="AQ681" t="n">
        <v/>
      </c>
      <c r="AR681" t="n">
        <v>59.358339418</v>
      </c>
      <c r="AS681" t="n">
        <v/>
      </c>
      <c r="AT681" t="n">
        <v>40.76384405</v>
      </c>
      <c r="AU681" t="n">
        <v/>
      </c>
    </row>
    <row r="682">
      <c r="A682" s="106" t="n">
        <v>27638</v>
      </c>
      <c r="B682" t="n">
        <v>29.867998451</v>
      </c>
      <c r="C682" t="n">
        <v>45.99883523</v>
      </c>
      <c r="D682" t="n">
        <v>49.953323657</v>
      </c>
      <c r="E682" t="n">
        <v>47.625297231</v>
      </c>
      <c r="F682" t="n">
        <v/>
      </c>
      <c r="G682" t="n">
        <v/>
      </c>
      <c r="H682" t="n">
        <v/>
      </c>
      <c r="I682" t="n">
        <v>29.867998451</v>
      </c>
      <c r="J682" t="n">
        <v/>
      </c>
      <c r="K682" t="n">
        <v>50.987187713</v>
      </c>
      <c r="L682" t="n">
        <v>52.528547984</v>
      </c>
      <c r="M682" t="n">
        <v>57.378226019</v>
      </c>
      <c r="N682" t="n">
        <v>72.652529516</v>
      </c>
      <c r="O682" t="n">
        <v/>
      </c>
      <c r="P682" t="n">
        <v/>
      </c>
      <c r="Q682" t="n">
        <v>37.82755719</v>
      </c>
      <c r="R682" t="n">
        <v>67.938927302</v>
      </c>
      <c r="S682" t="n">
        <v>49.126639769</v>
      </c>
      <c r="T682" t="n">
        <v>60.382030421</v>
      </c>
      <c r="U682" t="n">
        <v/>
      </c>
      <c r="V682" t="n">
        <v>88.24883919</v>
      </c>
      <c r="W682" t="n">
        <v/>
      </c>
      <c r="X682" t="n">
        <v/>
      </c>
      <c r="Y682" t="n">
        <v/>
      </c>
      <c r="Z682" t="n">
        <v>5.534465756</v>
      </c>
      <c r="AA682" t="n">
        <v/>
      </c>
      <c r="AB682" t="n">
        <v/>
      </c>
      <c r="AC682" t="n">
        <v>72.719492636</v>
      </c>
      <c r="AD682" t="n">
        <v>52.24408976</v>
      </c>
      <c r="AE682" t="n">
        <v/>
      </c>
      <c r="AF682" t="n">
        <v>47.491973429</v>
      </c>
      <c r="AG682" t="n">
        <v/>
      </c>
      <c r="AH682" t="n">
        <v/>
      </c>
      <c r="AI682" t="n">
        <v>58.934364898</v>
      </c>
      <c r="AJ682" t="n">
        <v>44.287666781</v>
      </c>
      <c r="AK682" t="n">
        <v/>
      </c>
      <c r="AL682" t="n">
        <v>43.147318495</v>
      </c>
      <c r="AM682" t="n">
        <v/>
      </c>
      <c r="AN682" t="n">
        <v>48.797927366</v>
      </c>
      <c r="AO682" t="n">
        <v/>
      </c>
      <c r="AP682" t="n">
        <v/>
      </c>
      <c r="AQ682" t="n">
        <v/>
      </c>
      <c r="AR682" t="n">
        <v>58.668794333</v>
      </c>
      <c r="AS682" t="n">
        <v/>
      </c>
      <c r="AT682" t="n">
        <v>41.287599028</v>
      </c>
      <c r="AU682" t="n">
        <v/>
      </c>
    </row>
    <row r="683">
      <c r="A683" s="106" t="n">
        <v>27668</v>
      </c>
      <c r="B683" t="n">
        <v>29.715707056</v>
      </c>
      <c r="C683" t="n">
        <v>45.870237573</v>
      </c>
      <c r="D683" t="n">
        <v>49.406087233</v>
      </c>
      <c r="E683" t="n">
        <v>47.169955218</v>
      </c>
      <c r="F683" t="n">
        <v/>
      </c>
      <c r="G683" t="n">
        <v/>
      </c>
      <c r="H683" t="n">
        <v/>
      </c>
      <c r="I683" t="n">
        <v>29.715707056</v>
      </c>
      <c r="J683" t="n">
        <v/>
      </c>
      <c r="K683" t="n">
        <v>51.974832996</v>
      </c>
      <c r="L683" t="n">
        <v>54.404567554</v>
      </c>
      <c r="M683" t="n">
        <v>58.340244748</v>
      </c>
      <c r="N683" t="n">
        <v>72.798871463</v>
      </c>
      <c r="O683" t="n">
        <v/>
      </c>
      <c r="P683" t="n">
        <v/>
      </c>
      <c r="Q683" t="n">
        <v>38.334629002</v>
      </c>
      <c r="R683" t="n">
        <v>70.010607595</v>
      </c>
      <c r="S683" t="n">
        <v>49.575472324</v>
      </c>
      <c r="T683" t="n">
        <v>60.912628228</v>
      </c>
      <c r="U683" t="n">
        <v/>
      </c>
      <c r="V683" t="n">
        <v>86.771745254</v>
      </c>
      <c r="W683" t="n">
        <v/>
      </c>
      <c r="X683" t="n">
        <v/>
      </c>
      <c r="Y683" t="n">
        <v/>
      </c>
      <c r="Z683" t="n">
        <v>5.472971771</v>
      </c>
      <c r="AA683" t="n">
        <v/>
      </c>
      <c r="AB683" t="n">
        <v/>
      </c>
      <c r="AC683" t="n">
        <v>74.168088102</v>
      </c>
      <c r="AD683" t="n">
        <v>52.412347698</v>
      </c>
      <c r="AE683" t="n">
        <v/>
      </c>
      <c r="AF683" t="n">
        <v>46.589023075</v>
      </c>
      <c r="AG683" t="n">
        <v/>
      </c>
      <c r="AH683" t="n">
        <v/>
      </c>
      <c r="AI683" t="n">
        <v>59.529661514</v>
      </c>
      <c r="AJ683" t="n">
        <v>43.727063404</v>
      </c>
      <c r="AK683" t="n">
        <v/>
      </c>
      <c r="AL683" t="n">
        <v>43.497528924</v>
      </c>
      <c r="AM683" t="n">
        <v/>
      </c>
      <c r="AN683" t="n">
        <v>50.95342899</v>
      </c>
      <c r="AO683" t="n">
        <v/>
      </c>
      <c r="AP683" t="n">
        <v/>
      </c>
      <c r="AQ683" t="n">
        <v/>
      </c>
      <c r="AR683" t="n">
        <v>58.553870152</v>
      </c>
      <c r="AS683" t="n">
        <v/>
      </c>
      <c r="AT683" t="n">
        <v>41.465191828</v>
      </c>
      <c r="AU683" t="n">
        <v/>
      </c>
    </row>
    <row r="684">
      <c r="A684" s="106" t="n">
        <v>27699</v>
      </c>
      <c r="B684" t="n">
        <v>30.71792578</v>
      </c>
      <c r="C684" t="n">
        <v>47.22997819</v>
      </c>
      <c r="D684" t="n">
        <v>50.996034142</v>
      </c>
      <c r="E684" t="n">
        <v>48.238528735</v>
      </c>
      <c r="F684" t="n">
        <v/>
      </c>
      <c r="G684" t="n">
        <v/>
      </c>
      <c r="H684" t="n">
        <v/>
      </c>
      <c r="I684" t="n">
        <v>30.71792578</v>
      </c>
      <c r="J684" t="n">
        <v/>
      </c>
      <c r="K684" t="n">
        <v>52.715566958</v>
      </c>
      <c r="L684" t="n">
        <v>55.029907411</v>
      </c>
      <c r="M684" t="n">
        <v>58.816491644</v>
      </c>
      <c r="N684" t="n">
        <v>72.117918569</v>
      </c>
      <c r="O684" t="n">
        <v/>
      </c>
      <c r="P684" t="n">
        <v/>
      </c>
      <c r="Q684" t="n">
        <v>39.602308532</v>
      </c>
      <c r="R684" t="n">
        <v>68.791972133</v>
      </c>
      <c r="S684" t="n">
        <v>49.701877032</v>
      </c>
      <c r="T684" t="n">
        <v>61.337106473</v>
      </c>
      <c r="U684" t="n">
        <v/>
      </c>
      <c r="V684" t="n">
        <v>90.582975202</v>
      </c>
      <c r="W684" t="n">
        <v/>
      </c>
      <c r="X684" t="n">
        <v/>
      </c>
      <c r="Y684" t="n">
        <v/>
      </c>
      <c r="Z684" t="n">
        <v>6.041791489</v>
      </c>
      <c r="AA684" t="n">
        <v/>
      </c>
      <c r="AB684" t="n">
        <v/>
      </c>
      <c r="AC684" t="n">
        <v>76.292694794</v>
      </c>
      <c r="AD684" t="n">
        <v>51.571058008</v>
      </c>
      <c r="AE684" t="n">
        <v/>
      </c>
      <c r="AF684" t="n">
        <v>47.396504619</v>
      </c>
      <c r="AG684" t="n">
        <v/>
      </c>
      <c r="AH684" t="n">
        <v/>
      </c>
      <c r="AI684" t="n">
        <v>61.910847974</v>
      </c>
      <c r="AJ684" t="n">
        <v>44.287666781</v>
      </c>
      <c r="AK684" t="n">
        <v/>
      </c>
      <c r="AL684" t="n">
        <v>43.673313938</v>
      </c>
      <c r="AM684" t="n">
        <v/>
      </c>
      <c r="AN684" t="n">
        <v>50.168397561</v>
      </c>
      <c r="AO684" t="n">
        <v/>
      </c>
      <c r="AP684" t="n">
        <v/>
      </c>
      <c r="AQ684" t="n">
        <v/>
      </c>
      <c r="AR684" t="n">
        <v>59.358339418</v>
      </c>
      <c r="AS684" t="n">
        <v/>
      </c>
      <c r="AT684" t="n">
        <v>41.523992794</v>
      </c>
      <c r="AU684" t="n">
        <v/>
      </c>
    </row>
    <row r="685">
      <c r="A685" s="106" t="n">
        <v>27729</v>
      </c>
      <c r="B685" t="n">
        <v>31.522114302</v>
      </c>
      <c r="C685" t="n">
        <v>46.954762042</v>
      </c>
      <c r="D685" t="n">
        <v>49.940489547</v>
      </c>
      <c r="E685" t="n">
        <v>49.133705757</v>
      </c>
      <c r="F685" t="n">
        <v/>
      </c>
      <c r="G685" t="n">
        <v/>
      </c>
      <c r="H685" t="n">
        <v/>
      </c>
      <c r="I685" t="n">
        <v>31.522114302</v>
      </c>
      <c r="J685" t="n">
        <v/>
      </c>
      <c r="K685" t="n">
        <v>52.653839128</v>
      </c>
      <c r="L685" t="n">
        <v>55.655247268</v>
      </c>
      <c r="M685" t="n">
        <v>59.197489161</v>
      </c>
      <c r="N685" t="n">
        <v>73.06384119099999</v>
      </c>
      <c r="O685" t="n">
        <v/>
      </c>
      <c r="P685" t="n">
        <v/>
      </c>
      <c r="Q685" t="n">
        <v>38.588164908</v>
      </c>
      <c r="R685" t="n">
        <v>72.32601498699999</v>
      </c>
      <c r="S685" t="n">
        <v>50.354456562</v>
      </c>
      <c r="T685" t="n">
        <v>61.549345596</v>
      </c>
      <c r="U685" t="n">
        <v/>
      </c>
      <c r="V685" t="n">
        <v>90.290580569</v>
      </c>
      <c r="W685" t="n">
        <v/>
      </c>
      <c r="X685" t="n">
        <v/>
      </c>
      <c r="Y685" t="n">
        <v/>
      </c>
      <c r="Z685" t="n">
        <v>5.903429668</v>
      </c>
      <c r="AA685" t="n">
        <v/>
      </c>
      <c r="AB685" t="n">
        <v/>
      </c>
      <c r="AC685" t="n">
        <v>76.099548734</v>
      </c>
      <c r="AD685" t="n">
        <v>52.664734605</v>
      </c>
      <c r="AE685" t="n">
        <v/>
      </c>
      <c r="AF685" t="n">
        <v>48.148885897</v>
      </c>
      <c r="AG685" t="n">
        <v/>
      </c>
      <c r="AH685" t="n">
        <v/>
      </c>
      <c r="AI685" t="n">
        <v>60.124958129</v>
      </c>
      <c r="AJ685" t="n">
        <v>40.363443143</v>
      </c>
      <c r="AK685" t="n">
        <v/>
      </c>
      <c r="AL685" t="n">
        <v>44.139539587</v>
      </c>
      <c r="AM685" t="n">
        <v/>
      </c>
      <c r="AN685" t="n">
        <v>48.73384521</v>
      </c>
      <c r="AO685" t="n">
        <v/>
      </c>
      <c r="AP685" t="n">
        <v/>
      </c>
      <c r="AQ685" t="n">
        <v/>
      </c>
      <c r="AR685" t="n">
        <v>58.611332242</v>
      </c>
      <c r="AS685" t="n">
        <v/>
      </c>
      <c r="AT685" t="n">
        <v>42.091179178</v>
      </c>
      <c r="AU685" t="n">
        <v/>
      </c>
    </row>
    <row r="686">
      <c r="A686" s="106" t="n">
        <v>27760</v>
      </c>
      <c r="B686" t="n">
        <v>31.077087677</v>
      </c>
      <c r="C686" t="n">
        <v>47.660484222</v>
      </c>
      <c r="D686" t="n">
        <v>51.723695833</v>
      </c>
      <c r="E686" t="n">
        <v>49.068858288</v>
      </c>
      <c r="F686" t="n">
        <v/>
      </c>
      <c r="G686" t="n">
        <v/>
      </c>
      <c r="H686" t="n">
        <v/>
      </c>
      <c r="I686" t="n">
        <v>31.077087677</v>
      </c>
      <c r="J686" t="n">
        <v/>
      </c>
      <c r="K686" t="n">
        <v>53.33284526</v>
      </c>
      <c r="L686" t="n">
        <v>54.404567554</v>
      </c>
      <c r="M686" t="n">
        <v>59.873759753</v>
      </c>
      <c r="N686" t="n">
        <v>71.57711940199999</v>
      </c>
      <c r="O686" t="n">
        <v/>
      </c>
      <c r="P686" t="n">
        <v/>
      </c>
      <c r="Q686" t="n">
        <v>39.653015714</v>
      </c>
      <c r="R686" t="n">
        <v>72.508810307</v>
      </c>
      <c r="S686" t="n">
        <v>51.029207782</v>
      </c>
      <c r="T686" t="n">
        <v>61.655465157</v>
      </c>
      <c r="U686" t="n">
        <v/>
      </c>
      <c r="V686" t="n">
        <v>92.84192845699999</v>
      </c>
      <c r="W686" t="n">
        <v/>
      </c>
      <c r="X686" t="n">
        <v/>
      </c>
      <c r="Y686" t="n">
        <v/>
      </c>
      <c r="Z686" t="n">
        <v>6.141720101</v>
      </c>
      <c r="AA686" t="n">
        <v/>
      </c>
      <c r="AB686" t="n">
        <v/>
      </c>
      <c r="AC686" t="n">
        <v>78.610447546</v>
      </c>
      <c r="AD686" t="n">
        <v>53.590153265</v>
      </c>
      <c r="AE686" t="n">
        <v/>
      </c>
      <c r="AF686" t="n">
        <v>48.781667737</v>
      </c>
      <c r="AG686" t="n">
        <v/>
      </c>
      <c r="AH686" t="n">
        <v/>
      </c>
      <c r="AI686" t="n">
        <v>63.101441204</v>
      </c>
      <c r="AJ686" t="n">
        <v>42.045253274</v>
      </c>
      <c r="AK686" t="n">
        <v/>
      </c>
      <c r="AL686" t="n">
        <v>44.664461368</v>
      </c>
      <c r="AM686" t="n">
        <v/>
      </c>
      <c r="AN686" t="n">
        <v>49.024579786</v>
      </c>
      <c r="AO686" t="n">
        <v/>
      </c>
      <c r="AP686" t="n">
        <v/>
      </c>
      <c r="AQ686" t="n">
        <v/>
      </c>
      <c r="AR686" t="n">
        <v>57.00239371</v>
      </c>
      <c r="AS686" t="n">
        <v/>
      </c>
      <c r="AT686" t="n">
        <v>42.652911846</v>
      </c>
      <c r="AU686" t="n">
        <v/>
      </c>
    </row>
    <row r="687">
      <c r="A687" s="106" t="n">
        <v>27791</v>
      </c>
      <c r="B687" t="n">
        <v>31.307949776</v>
      </c>
      <c r="C687" t="n">
        <v>48.723263922</v>
      </c>
      <c r="D687" t="n">
        <v>54.933256166</v>
      </c>
      <c r="E687" t="n">
        <v>49.389336361</v>
      </c>
      <c r="F687" t="n">
        <v/>
      </c>
      <c r="G687" t="n">
        <v/>
      </c>
      <c r="H687" t="n">
        <v/>
      </c>
      <c r="I687" t="n">
        <v>31.307949776</v>
      </c>
      <c r="J687" t="n">
        <v/>
      </c>
      <c r="K687" t="n">
        <v>54.382218372</v>
      </c>
      <c r="L687" t="n">
        <v>56.905926982</v>
      </c>
      <c r="M687" t="n">
        <v>60.25475727</v>
      </c>
      <c r="N687" t="n">
        <v>70.98338703899999</v>
      </c>
      <c r="O687" t="n">
        <v/>
      </c>
      <c r="P687" t="n">
        <v/>
      </c>
      <c r="Q687" t="n">
        <v>39.399479808</v>
      </c>
      <c r="R687" t="n">
        <v>72.630673848</v>
      </c>
      <c r="S687" t="n">
        <v>51.614372428</v>
      </c>
      <c r="T687" t="n">
        <v>61.973823842</v>
      </c>
      <c r="U687" t="n">
        <v/>
      </c>
      <c r="V687" t="n">
        <v>88.494115763</v>
      </c>
      <c r="W687" t="n">
        <v/>
      </c>
      <c r="X687" t="n">
        <v/>
      </c>
      <c r="Y687" t="n">
        <v/>
      </c>
      <c r="Z687" t="n">
        <v>5.849622608</v>
      </c>
      <c r="AA687" t="n">
        <v/>
      </c>
      <c r="AB687" t="n">
        <v/>
      </c>
      <c r="AC687" t="n">
        <v>78.031009356</v>
      </c>
      <c r="AD687" t="n">
        <v>54.936216769</v>
      </c>
      <c r="AE687" t="n">
        <v/>
      </c>
      <c r="AF687" t="n">
        <v>48.475350409</v>
      </c>
      <c r="AG687" t="n">
        <v/>
      </c>
      <c r="AH687" t="n">
        <v/>
      </c>
      <c r="AI687" t="n">
        <v>63.101441204</v>
      </c>
      <c r="AJ687" t="n">
        <v>44.848270158</v>
      </c>
      <c r="AK687" t="n">
        <v/>
      </c>
      <c r="AL687" t="n">
        <v>45.119294993</v>
      </c>
      <c r="AM687" t="n">
        <v/>
      </c>
      <c r="AN687" t="n">
        <v>50.140716919</v>
      </c>
      <c r="AO687" t="n">
        <v/>
      </c>
      <c r="AP687" t="n">
        <v/>
      </c>
      <c r="AQ687" t="n">
        <v/>
      </c>
      <c r="AR687" t="n">
        <v>57.749400886</v>
      </c>
      <c r="AS687" t="n">
        <v/>
      </c>
      <c r="AT687" t="n">
        <v>43.085837677</v>
      </c>
      <c r="AU687" t="n">
        <v/>
      </c>
    </row>
    <row r="688">
      <c r="A688" s="106" t="n">
        <v>27820</v>
      </c>
      <c r="B688" t="n">
        <v>31.256046817</v>
      </c>
      <c r="C688" t="n">
        <v>48.251469063</v>
      </c>
      <c r="D688" t="n">
        <v>52.829916986</v>
      </c>
      <c r="E688" t="n">
        <v>50.158107809</v>
      </c>
      <c r="F688" t="n">
        <v/>
      </c>
      <c r="G688" t="n">
        <v/>
      </c>
      <c r="H688" t="n">
        <v/>
      </c>
      <c r="I688" t="n">
        <v>31.256046817</v>
      </c>
      <c r="J688" t="n">
        <v/>
      </c>
      <c r="K688" t="n">
        <v>54.320490542</v>
      </c>
      <c r="L688" t="n">
        <v>56.280587125</v>
      </c>
      <c r="M688" t="n">
        <v>60.550030345</v>
      </c>
      <c r="N688" t="n">
        <v>73.79107191200001</v>
      </c>
      <c r="O688" t="n">
        <v/>
      </c>
      <c r="P688" t="n">
        <v/>
      </c>
      <c r="Q688" t="n">
        <v>39.551601351</v>
      </c>
      <c r="R688" t="n">
        <v>73.42278690800001</v>
      </c>
      <c r="S688" t="n">
        <v>51.870172501</v>
      </c>
      <c r="T688" t="n">
        <v>62.504421648</v>
      </c>
      <c r="U688" t="n">
        <v/>
      </c>
      <c r="V688" t="n">
        <v>93.857503639</v>
      </c>
      <c r="W688" t="n">
        <v/>
      </c>
      <c r="X688" t="n">
        <v/>
      </c>
      <c r="Y688" t="n">
        <v/>
      </c>
      <c r="Z688" t="n">
        <v>5.872683384</v>
      </c>
      <c r="AA688" t="n">
        <v/>
      </c>
      <c r="AB688" t="n">
        <v/>
      </c>
      <c r="AC688" t="n">
        <v>77.64471723600001</v>
      </c>
      <c r="AD688" t="n">
        <v>55.777506459</v>
      </c>
      <c r="AE688" t="n">
        <v/>
      </c>
      <c r="AF688" t="n">
        <v>47.939509055</v>
      </c>
      <c r="AG688" t="n">
        <v/>
      </c>
      <c r="AH688" t="n">
        <v/>
      </c>
      <c r="AI688" t="n">
        <v>62.506144589</v>
      </c>
      <c r="AJ688" t="n">
        <v>45.408873535</v>
      </c>
      <c r="AK688" t="n">
        <v/>
      </c>
      <c r="AL688" t="n">
        <v>45.381103607</v>
      </c>
      <c r="AM688" t="n">
        <v/>
      </c>
      <c r="AN688" t="n">
        <v>50.459776605</v>
      </c>
      <c r="AO688" t="n">
        <v/>
      </c>
      <c r="AP688" t="n">
        <v/>
      </c>
      <c r="AQ688" t="n">
        <v/>
      </c>
      <c r="AR688" t="n">
        <v>57.347166253</v>
      </c>
      <c r="AS688" t="n">
        <v/>
      </c>
      <c r="AT688" t="n">
        <v>43.169527416</v>
      </c>
      <c r="AU688" t="n">
        <v/>
      </c>
    </row>
    <row r="689">
      <c r="A689" s="106" t="n">
        <v>27851</v>
      </c>
      <c r="B689" t="n">
        <v>30.914961156</v>
      </c>
      <c r="C689" t="n">
        <v>49.889463963</v>
      </c>
      <c r="D689" t="n">
        <v>53.880059263</v>
      </c>
      <c r="E689" t="n">
        <v>50.777448132</v>
      </c>
      <c r="F689" t="n">
        <v/>
      </c>
      <c r="G689" t="n">
        <v/>
      </c>
      <c r="H689" t="n">
        <v/>
      </c>
      <c r="I689" t="n">
        <v>30.914961156</v>
      </c>
      <c r="J689" t="n">
        <v/>
      </c>
      <c r="K689" t="n">
        <v>54.629129693</v>
      </c>
      <c r="L689" t="n">
        <v>57.531266839</v>
      </c>
      <c r="M689" t="n">
        <v>61.312025379</v>
      </c>
      <c r="N689" t="n">
        <v>75.288869944</v>
      </c>
      <c r="O689" t="n">
        <v/>
      </c>
      <c r="P689" t="n">
        <v/>
      </c>
      <c r="Q689" t="n">
        <v>39.450186989</v>
      </c>
      <c r="R689" t="n">
        <v>74.33676350899999</v>
      </c>
      <c r="S689" t="n">
        <v>52.358945497</v>
      </c>
      <c r="T689" t="n">
        <v>63.035019455</v>
      </c>
      <c r="U689" t="n">
        <v/>
      </c>
      <c r="V689" t="n">
        <v>94.974518864</v>
      </c>
      <c r="W689" t="n">
        <v/>
      </c>
      <c r="X689" t="n">
        <v/>
      </c>
      <c r="Y689" t="n">
        <v/>
      </c>
      <c r="Z689" t="n">
        <v>5.918803518</v>
      </c>
      <c r="AA689" t="n">
        <v/>
      </c>
      <c r="AB689" t="n">
        <v/>
      </c>
      <c r="AC689" t="n">
        <v>79.672750892</v>
      </c>
      <c r="AD689" t="n">
        <v>56.53466718</v>
      </c>
      <c r="AE689" t="n">
        <v/>
      </c>
      <c r="AF689" t="n">
        <v>48.641904048</v>
      </c>
      <c r="AG689" t="n">
        <v/>
      </c>
      <c r="AH689" t="n">
        <v/>
      </c>
      <c r="AI689" t="n">
        <v>63.101441204</v>
      </c>
      <c r="AJ689" t="n">
        <v>44.848270158</v>
      </c>
      <c r="AK689" t="n">
        <v/>
      </c>
      <c r="AL689" t="n">
        <v>45.827039431</v>
      </c>
      <c r="AM689" t="n">
        <v/>
      </c>
      <c r="AN689" t="n">
        <v>50.36466549</v>
      </c>
      <c r="AO689" t="n">
        <v/>
      </c>
      <c r="AP689" t="n">
        <v/>
      </c>
      <c r="AQ689" t="n">
        <v/>
      </c>
      <c r="AR689" t="n">
        <v>58.668794333</v>
      </c>
      <c r="AS689" t="n">
        <v/>
      </c>
      <c r="AT689" t="n">
        <v>43.391047412</v>
      </c>
      <c r="AU689" t="n">
        <v/>
      </c>
    </row>
    <row r="690">
      <c r="A690" s="106" t="n">
        <v>27881</v>
      </c>
      <c r="B690" t="n">
        <v>32.224651858</v>
      </c>
      <c r="C690" t="n">
        <v>48.968712758</v>
      </c>
      <c r="D690" t="n">
        <v>54.923590265</v>
      </c>
      <c r="E690" t="n">
        <v>51.443779375</v>
      </c>
      <c r="F690" t="n">
        <v/>
      </c>
      <c r="G690" t="n">
        <v/>
      </c>
      <c r="H690" t="n">
        <v/>
      </c>
      <c r="I690" t="n">
        <v>32.224651858</v>
      </c>
      <c r="J690" t="n">
        <v/>
      </c>
      <c r="K690" t="n">
        <v>54.937768844</v>
      </c>
      <c r="L690" t="n">
        <v>60.032626267</v>
      </c>
      <c r="M690" t="n">
        <v>62.464542867</v>
      </c>
      <c r="N690" t="n">
        <v>76.31261698500001</v>
      </c>
      <c r="O690" t="n">
        <v/>
      </c>
      <c r="P690" t="n">
        <v/>
      </c>
      <c r="Q690" t="n">
        <v>40.616452157</v>
      </c>
      <c r="R690" t="n">
        <v>74.33676350899999</v>
      </c>
      <c r="S690" t="n">
        <v>52.798829227</v>
      </c>
      <c r="T690" t="n">
        <v>63.353378139</v>
      </c>
      <c r="U690" t="n">
        <v/>
      </c>
      <c r="V690" t="n">
        <v>95.65672089100001</v>
      </c>
      <c r="W690" t="n">
        <v/>
      </c>
      <c r="X690" t="n">
        <v/>
      </c>
      <c r="Y690" t="n">
        <v/>
      </c>
      <c r="Z690" t="n">
        <v>6.23396037</v>
      </c>
      <c r="AA690" t="n">
        <v/>
      </c>
      <c r="AB690" t="n">
        <v/>
      </c>
      <c r="AC690" t="n">
        <v>85.08084064800001</v>
      </c>
      <c r="AD690" t="n">
        <v>56.366409242</v>
      </c>
      <c r="AE690" t="n">
        <v/>
      </c>
      <c r="AF690" t="n">
        <v>52.742697814</v>
      </c>
      <c r="AG690" t="n">
        <v/>
      </c>
      <c r="AH690" t="n">
        <v/>
      </c>
      <c r="AI690" t="n">
        <v>63.696737819</v>
      </c>
      <c r="AJ690" t="n">
        <v>45.408873535</v>
      </c>
      <c r="AK690" t="n">
        <v/>
      </c>
      <c r="AL690" t="n">
        <v>46.229578422</v>
      </c>
      <c r="AM690" t="n">
        <v/>
      </c>
      <c r="AN690" t="n">
        <v>51.939785608</v>
      </c>
      <c r="AO690" t="n">
        <v/>
      </c>
      <c r="AP690" t="n">
        <v/>
      </c>
      <c r="AQ690" t="n">
        <v/>
      </c>
      <c r="AR690" t="n">
        <v>58.783718514</v>
      </c>
      <c r="AS690" t="n">
        <v/>
      </c>
      <c r="AT690" t="n">
        <v>43.56616125</v>
      </c>
      <c r="AU690" t="n">
        <v/>
      </c>
    </row>
    <row r="691">
      <c r="A691" s="106" t="n">
        <v>27912</v>
      </c>
      <c r="B691" t="n">
        <v>32.102274808</v>
      </c>
      <c r="C691" t="n">
        <v>50.177591376</v>
      </c>
      <c r="D691" t="n">
        <v>54.23802274</v>
      </c>
      <c r="E691" t="n">
        <v>50.7144803</v>
      </c>
      <c r="F691" t="n">
        <v/>
      </c>
      <c r="G691" t="n">
        <v/>
      </c>
      <c r="H691" t="n">
        <v/>
      </c>
      <c r="I691" t="n">
        <v>32.102274808</v>
      </c>
      <c r="J691" t="n">
        <v/>
      </c>
      <c r="K691" t="n">
        <v>55.555047145</v>
      </c>
      <c r="L691" t="n">
        <v>58.156606696</v>
      </c>
      <c r="M691" t="n">
        <v>62.464542867</v>
      </c>
      <c r="N691" t="n">
        <v>76.75372595100001</v>
      </c>
      <c r="O691" t="n">
        <v/>
      </c>
      <c r="P691" t="n">
        <v/>
      </c>
      <c r="Q691" t="n">
        <v>40.109380345</v>
      </c>
      <c r="R691" t="n">
        <v>74.519558829</v>
      </c>
      <c r="S691" t="n">
        <v>53.010873726</v>
      </c>
      <c r="T691" t="n">
        <v>63.141139017</v>
      </c>
      <c r="U691" t="n">
        <v/>
      </c>
      <c r="V691" t="n">
        <v>97.524188228</v>
      </c>
      <c r="W691" t="n">
        <v/>
      </c>
      <c r="X691" t="n">
        <v/>
      </c>
      <c r="Y691" t="n">
        <v/>
      </c>
      <c r="Z691" t="n">
        <v>6.018730712</v>
      </c>
      <c r="AA691" t="n">
        <v/>
      </c>
      <c r="AB691" t="n">
        <v/>
      </c>
      <c r="AC691" t="n">
        <v>84.597975492</v>
      </c>
      <c r="AD691" t="n">
        <v>57.37595687</v>
      </c>
      <c r="AE691" t="n">
        <v/>
      </c>
      <c r="AF691" t="n">
        <v>49.691047363</v>
      </c>
      <c r="AG691" t="n">
        <v/>
      </c>
      <c r="AH691" t="n">
        <v/>
      </c>
      <c r="AI691" t="n">
        <v>64.88733105</v>
      </c>
      <c r="AJ691" t="n">
        <v>45.969476912</v>
      </c>
      <c r="AK691" t="n">
        <v/>
      </c>
      <c r="AL691" t="n">
        <v>46.423899574</v>
      </c>
      <c r="AM691" t="n">
        <v/>
      </c>
      <c r="AN691" t="n">
        <v>50.928403323</v>
      </c>
      <c r="AO691" t="n">
        <v/>
      </c>
      <c r="AP691" t="n">
        <v/>
      </c>
      <c r="AQ691" t="n">
        <v/>
      </c>
      <c r="AR691" t="n">
        <v>59.58818778</v>
      </c>
      <c r="AS691" t="n">
        <v/>
      </c>
      <c r="AT691" t="n">
        <v>43.621590829</v>
      </c>
      <c r="AU691" t="n">
        <v/>
      </c>
    </row>
    <row r="692">
      <c r="A692" s="106" t="n">
        <v>27942</v>
      </c>
      <c r="B692" t="n">
        <v>32.212250412</v>
      </c>
      <c r="C692" t="n">
        <v>49.940407121</v>
      </c>
      <c r="D692" t="n">
        <v>54.786890238</v>
      </c>
      <c r="E692" t="n">
        <v>50.747843853</v>
      </c>
      <c r="F692" t="n">
        <v/>
      </c>
      <c r="G692" t="n">
        <v/>
      </c>
      <c r="H692" t="n">
        <v/>
      </c>
      <c r="I692" t="n">
        <v>32.212250412</v>
      </c>
      <c r="J692" t="n">
        <v/>
      </c>
      <c r="K692" t="n">
        <v>53.51802875</v>
      </c>
      <c r="L692" t="n">
        <v>58.156606696</v>
      </c>
      <c r="M692" t="n">
        <v>62.178794729</v>
      </c>
      <c r="N692" t="n">
        <v>77.347843262</v>
      </c>
      <c r="O692" t="n">
        <v/>
      </c>
      <c r="P692" t="n">
        <v/>
      </c>
      <c r="Q692" t="n">
        <v>38.943115177</v>
      </c>
      <c r="R692" t="n">
        <v>75.616330741</v>
      </c>
      <c r="S692" t="n">
        <v>53.015056629</v>
      </c>
      <c r="T692" t="n">
        <v>62.822780333</v>
      </c>
      <c r="U692" t="n">
        <v/>
      </c>
      <c r="V692" t="n">
        <v>96.916802097</v>
      </c>
      <c r="W692" t="n">
        <v/>
      </c>
      <c r="X692" t="n">
        <v/>
      </c>
      <c r="Y692" t="n">
        <v/>
      </c>
      <c r="Z692" t="n">
        <v>6.23396037</v>
      </c>
      <c r="AA692" t="n">
        <v/>
      </c>
      <c r="AB692" t="n">
        <v/>
      </c>
      <c r="AC692" t="n">
        <v>85.75685186299999</v>
      </c>
      <c r="AD692" t="n">
        <v>57.880730685</v>
      </c>
      <c r="AE692" t="n">
        <v/>
      </c>
      <c r="AF692" t="n">
        <v>47.936808453</v>
      </c>
      <c r="AG692" t="n">
        <v/>
      </c>
      <c r="AH692" t="n">
        <v/>
      </c>
      <c r="AI692" t="n">
        <v>64.29203443500001</v>
      </c>
      <c r="AJ692" t="n">
        <v>47.090683666</v>
      </c>
      <c r="AK692" t="n">
        <v/>
      </c>
      <c r="AL692" t="n">
        <v>46.435742488</v>
      </c>
      <c r="AM692" t="n">
        <v/>
      </c>
      <c r="AN692" t="n">
        <v>50.711995395</v>
      </c>
      <c r="AO692" t="n">
        <v/>
      </c>
      <c r="AP692" t="n">
        <v/>
      </c>
      <c r="AQ692" t="n">
        <v/>
      </c>
      <c r="AR692" t="n">
        <v>59.760574051</v>
      </c>
      <c r="AS692" t="n">
        <v/>
      </c>
      <c r="AT692" t="n">
        <v>43.853224988</v>
      </c>
      <c r="AU692" t="n">
        <v/>
      </c>
    </row>
    <row r="693">
      <c r="A693" s="106" t="n">
        <v>27973</v>
      </c>
      <c r="B693" t="n">
        <v>32.354154599</v>
      </c>
      <c r="C693" t="n">
        <v>49.621280106</v>
      </c>
      <c r="D693" t="n">
        <v>54.86104922</v>
      </c>
      <c r="E693" t="n">
        <v>51.268033335</v>
      </c>
      <c r="F693" t="n">
        <v/>
      </c>
      <c r="G693" t="n">
        <v/>
      </c>
      <c r="H693" t="n">
        <v/>
      </c>
      <c r="I693" t="n">
        <v>32.354154599</v>
      </c>
      <c r="J693" t="n">
        <v/>
      </c>
      <c r="K693" t="n">
        <v>55.246407995</v>
      </c>
      <c r="L693" t="n">
        <v>58.156606696</v>
      </c>
      <c r="M693" t="n">
        <v>62.178794729</v>
      </c>
      <c r="N693" t="n">
        <v>78.169317787</v>
      </c>
      <c r="O693" t="n">
        <v/>
      </c>
      <c r="P693" t="n">
        <v/>
      </c>
      <c r="Q693" t="n">
        <v>40.210794707</v>
      </c>
      <c r="R693" t="n">
        <v>75.616330741</v>
      </c>
      <c r="S693" t="n">
        <v>53.2538774</v>
      </c>
      <c r="T693" t="n">
        <v>62.822780333</v>
      </c>
      <c r="U693" t="n">
        <v/>
      </c>
      <c r="V693" t="n">
        <v>96.846158785</v>
      </c>
      <c r="W693" t="n">
        <v/>
      </c>
      <c r="X693" t="n">
        <v/>
      </c>
      <c r="Y693" t="n">
        <v/>
      </c>
      <c r="Z693" t="n">
        <v>6.618298132</v>
      </c>
      <c r="AA693" t="n">
        <v/>
      </c>
      <c r="AB693" t="n">
        <v/>
      </c>
      <c r="AC693" t="n">
        <v>81.990503645</v>
      </c>
      <c r="AD693" t="n">
        <v>58.048988623</v>
      </c>
      <c r="AE693" t="n">
        <v/>
      </c>
      <c r="AF693" t="n">
        <v>46.110048252</v>
      </c>
      <c r="AG693" t="n">
        <v/>
      </c>
      <c r="AH693" t="n">
        <v/>
      </c>
      <c r="AI693" t="n">
        <v>64.29203443500001</v>
      </c>
      <c r="AJ693" t="n">
        <v>47.651287043</v>
      </c>
      <c r="AK693" t="n">
        <v/>
      </c>
      <c r="AL693" t="n">
        <v>46.622258625</v>
      </c>
      <c r="AM693" t="n">
        <v/>
      </c>
      <c r="AN693" t="n">
        <v>46.740638785</v>
      </c>
      <c r="AO693" t="n">
        <v/>
      </c>
      <c r="AP693" t="n">
        <v/>
      </c>
      <c r="AQ693" t="n">
        <v/>
      </c>
      <c r="AR693" t="n">
        <v>58.611332242</v>
      </c>
      <c r="AS693" t="n">
        <v/>
      </c>
      <c r="AT693" t="n">
        <v>44.161706953</v>
      </c>
      <c r="AU693" t="n">
        <v/>
      </c>
    </row>
    <row r="694">
      <c r="A694" s="106" t="n">
        <v>28004</v>
      </c>
      <c r="B694" t="n">
        <v>33.113714291</v>
      </c>
      <c r="C694" t="n">
        <v>50.728071655</v>
      </c>
      <c r="D694" t="n">
        <v>55.064913913</v>
      </c>
      <c r="E694" t="n">
        <v>51.396318546</v>
      </c>
      <c r="F694" t="n">
        <v/>
      </c>
      <c r="G694" t="n">
        <v/>
      </c>
      <c r="H694" t="n">
        <v/>
      </c>
      <c r="I694" t="n">
        <v>33.113714291</v>
      </c>
      <c r="J694" t="n">
        <v/>
      </c>
      <c r="K694" t="n">
        <v>55.801958466</v>
      </c>
      <c r="L694" t="n">
        <v>58.156606696</v>
      </c>
      <c r="M694" t="n">
        <v>63.426561597</v>
      </c>
      <c r="N694" t="n">
        <v>77.020471046</v>
      </c>
      <c r="O694" t="n">
        <v/>
      </c>
      <c r="P694" t="n">
        <v/>
      </c>
      <c r="Q694" t="n">
        <v>41.022109607</v>
      </c>
      <c r="R694" t="n">
        <v>78.29732877399999</v>
      </c>
      <c r="S694" t="n">
        <v>53.736877007</v>
      </c>
      <c r="T694" t="n">
        <v>63.565617262</v>
      </c>
      <c r="U694" t="n">
        <v/>
      </c>
      <c r="V694" t="n">
        <v>97.82419469600001</v>
      </c>
      <c r="W694" t="n">
        <v/>
      </c>
      <c r="X694" t="n">
        <v/>
      </c>
      <c r="Y694" t="n">
        <v/>
      </c>
      <c r="Z694" t="n">
        <v>6.426129251</v>
      </c>
      <c r="AA694" t="n">
        <v/>
      </c>
      <c r="AB694" t="n">
        <v/>
      </c>
      <c r="AC694" t="n">
        <v>85.08084064800001</v>
      </c>
      <c r="AD694" t="n">
        <v>57.964859654</v>
      </c>
      <c r="AE694" t="n">
        <v/>
      </c>
      <c r="AF694" t="n">
        <v>52.68698012</v>
      </c>
      <c r="AG694" t="n">
        <v/>
      </c>
      <c r="AH694" t="n">
        <v/>
      </c>
      <c r="AI694" t="n">
        <v>66.673220895</v>
      </c>
      <c r="AJ694" t="n">
        <v>47.090683666</v>
      </c>
      <c r="AK694" t="n">
        <v/>
      </c>
      <c r="AL694" t="n">
        <v>47.022891194</v>
      </c>
      <c r="AM694" t="n">
        <v/>
      </c>
      <c r="AN694" t="n">
        <v>52.246040198</v>
      </c>
      <c r="AO694" t="n">
        <v/>
      </c>
      <c r="AP694" t="n">
        <v/>
      </c>
      <c r="AQ694" t="n">
        <v/>
      </c>
      <c r="AR694" t="n">
        <v>57.462090434</v>
      </c>
      <c r="AS694" t="n">
        <v/>
      </c>
      <c r="AT694" t="n">
        <v>44.30152038</v>
      </c>
      <c r="AU694" t="n">
        <v/>
      </c>
    </row>
    <row r="695">
      <c r="A695" s="106" t="n">
        <v>28034</v>
      </c>
      <c r="B695" t="n">
        <v>33.297298606</v>
      </c>
      <c r="C695" t="n">
        <v>51.078888482</v>
      </c>
      <c r="D695" t="n">
        <v>55.534235298</v>
      </c>
      <c r="E695" t="n">
        <v>50.525106893</v>
      </c>
      <c r="F695" t="n">
        <v/>
      </c>
      <c r="G695" t="n">
        <v/>
      </c>
      <c r="H695" t="n">
        <v/>
      </c>
      <c r="I695" t="n">
        <v>33.297298606</v>
      </c>
      <c r="J695" t="n">
        <v/>
      </c>
      <c r="K695" t="n">
        <v>55.801958466</v>
      </c>
      <c r="L695" t="n">
        <v>58.156606696</v>
      </c>
      <c r="M695" t="n">
        <v>63.617060355</v>
      </c>
      <c r="N695" t="n">
        <v>77.578537685</v>
      </c>
      <c r="O695" t="n">
        <v/>
      </c>
      <c r="P695" t="n">
        <v/>
      </c>
      <c r="Q695" t="n">
        <v>41.072816788</v>
      </c>
      <c r="R695" t="n">
        <v>75.79912607</v>
      </c>
      <c r="S695" t="n">
        <v>53.778175123</v>
      </c>
      <c r="T695" t="n">
        <v>64.626812876</v>
      </c>
      <c r="U695" t="n">
        <v/>
      </c>
      <c r="V695" t="n">
        <v>99.528954704</v>
      </c>
      <c r="W695" t="n">
        <v/>
      </c>
      <c r="X695" t="n">
        <v/>
      </c>
      <c r="Y695" t="n">
        <v/>
      </c>
      <c r="Z695" t="n">
        <v>6.426129251</v>
      </c>
      <c r="AA695" t="n">
        <v/>
      </c>
      <c r="AB695" t="n">
        <v/>
      </c>
      <c r="AC695" t="n">
        <v>87.3985934</v>
      </c>
      <c r="AD695" t="n">
        <v>57.964859654</v>
      </c>
      <c r="AE695" t="n">
        <v/>
      </c>
      <c r="AF695" t="n">
        <v>53.103298854</v>
      </c>
      <c r="AG695" t="n">
        <v/>
      </c>
      <c r="AH695" t="n">
        <v/>
      </c>
      <c r="AI695" t="n">
        <v>64.29203443500001</v>
      </c>
      <c r="AJ695" t="n">
        <v>46.530080289</v>
      </c>
      <c r="AK695" t="n">
        <v/>
      </c>
      <c r="AL695" t="n">
        <v>47.06390524</v>
      </c>
      <c r="AM695" t="n">
        <v/>
      </c>
      <c r="AN695" t="n">
        <v>52.570912362</v>
      </c>
      <c r="AO695" t="n">
        <v/>
      </c>
      <c r="AP695" t="n">
        <v/>
      </c>
      <c r="AQ695" t="n">
        <v/>
      </c>
      <c r="AR695" t="n">
        <v>58.611332242</v>
      </c>
      <c r="AS695" t="n">
        <v/>
      </c>
      <c r="AT695" t="n">
        <v>44.293587703</v>
      </c>
      <c r="AU695" t="n">
        <v/>
      </c>
    </row>
    <row r="696">
      <c r="A696" s="106" t="n">
        <v>28065</v>
      </c>
      <c r="B696" t="n">
        <v>32.922476035</v>
      </c>
      <c r="C696" t="n">
        <v>50.856121079</v>
      </c>
      <c r="D696" t="n">
        <v>54.626264622</v>
      </c>
      <c r="E696" t="n">
        <v>51.536351487</v>
      </c>
      <c r="F696" t="n">
        <v/>
      </c>
      <c r="G696" t="n">
        <v/>
      </c>
      <c r="H696" t="n">
        <v/>
      </c>
      <c r="I696" t="n">
        <v>32.922476035</v>
      </c>
      <c r="J696" t="n">
        <v/>
      </c>
      <c r="K696" t="n">
        <v>55.863686296</v>
      </c>
      <c r="L696" t="n">
        <v>58.156606696</v>
      </c>
      <c r="M696" t="n">
        <v>64.00758281</v>
      </c>
      <c r="N696" t="n">
        <v>78.353138919</v>
      </c>
      <c r="O696" t="n">
        <v/>
      </c>
      <c r="P696" t="n">
        <v/>
      </c>
      <c r="Q696" t="n">
        <v>40.058673163</v>
      </c>
      <c r="R696" t="n">
        <v>77.748942813</v>
      </c>
      <c r="S696" t="n">
        <v>54.479053254</v>
      </c>
      <c r="T696" t="n">
        <v>65.794128051</v>
      </c>
      <c r="U696" t="n">
        <v/>
      </c>
      <c r="V696" t="n">
        <v>100.820483551</v>
      </c>
      <c r="W696" t="n">
        <v/>
      </c>
      <c r="X696" t="n">
        <v/>
      </c>
      <c r="Y696" t="n">
        <v/>
      </c>
      <c r="Z696" t="n">
        <v>6.418442325</v>
      </c>
      <c r="AA696" t="n">
        <v/>
      </c>
      <c r="AB696" t="n">
        <v/>
      </c>
      <c r="AC696" t="n">
        <v>87.495166435</v>
      </c>
      <c r="AD696" t="n">
        <v>58.806149344</v>
      </c>
      <c r="AE696" t="n">
        <v/>
      </c>
      <c r="AF696" t="n">
        <v>49.339383092</v>
      </c>
      <c r="AG696" t="n">
        <v/>
      </c>
      <c r="AH696" t="n">
        <v/>
      </c>
      <c r="AI696" t="n">
        <v>64.29203443500001</v>
      </c>
      <c r="AJ696" t="n">
        <v>44.848270158</v>
      </c>
      <c r="AK696" t="n">
        <v/>
      </c>
      <c r="AL696" t="n">
        <v>47.593740451</v>
      </c>
      <c r="AM696" t="n">
        <v/>
      </c>
      <c r="AN696" t="n">
        <v>54.90368761</v>
      </c>
      <c r="AO696" t="n">
        <v/>
      </c>
      <c r="AP696" t="n">
        <v/>
      </c>
      <c r="AQ696" t="n">
        <v/>
      </c>
      <c r="AR696" t="n">
        <v>57.979249248</v>
      </c>
      <c r="AS696" t="n">
        <v/>
      </c>
      <c r="AT696" t="n">
        <v>44.972327353</v>
      </c>
      <c r="AU696" t="n">
        <v/>
      </c>
    </row>
    <row r="697">
      <c r="A697" s="106" t="n">
        <v>28095</v>
      </c>
      <c r="B697" t="n">
        <v>33.322468432</v>
      </c>
      <c r="C697" t="n">
        <v>49.1707701</v>
      </c>
      <c r="D697" t="n">
        <v>55.251240462</v>
      </c>
      <c r="E697" t="n">
        <v>51.689071977</v>
      </c>
      <c r="F697" t="n">
        <v/>
      </c>
      <c r="G697" t="n">
        <v/>
      </c>
      <c r="H697" t="n">
        <v/>
      </c>
      <c r="I697" t="n">
        <v>33.322468432</v>
      </c>
      <c r="J697" t="n">
        <v/>
      </c>
      <c r="K697" t="n">
        <v>55.925414126</v>
      </c>
      <c r="L697" t="n">
        <v>58.156606696</v>
      </c>
      <c r="M697" t="n">
        <v>64.00758281</v>
      </c>
      <c r="N697" t="n">
        <v>76.141638441</v>
      </c>
      <c r="O697" t="n">
        <v/>
      </c>
      <c r="P697" t="n">
        <v/>
      </c>
      <c r="Q697" t="n">
        <v>41.5798886</v>
      </c>
      <c r="R697" t="n">
        <v>77.50521572300001</v>
      </c>
      <c r="S697" t="n">
        <v>54.838773143</v>
      </c>
      <c r="T697" t="n">
        <v>66.643084542</v>
      </c>
      <c r="U697" t="n">
        <v/>
      </c>
      <c r="V697" t="n">
        <v>99.95769737000001</v>
      </c>
      <c r="W697" t="n">
        <v/>
      </c>
      <c r="X697" t="n">
        <v/>
      </c>
      <c r="Y697" t="n">
        <v/>
      </c>
      <c r="Z697" t="n">
        <v>6.241647295</v>
      </c>
      <c r="AA697" t="n">
        <v/>
      </c>
      <c r="AB697" t="n">
        <v/>
      </c>
      <c r="AC697" t="n">
        <v>87.88145855499999</v>
      </c>
      <c r="AD697" t="n">
        <v>59.058536251</v>
      </c>
      <c r="AE697" t="n">
        <v/>
      </c>
      <c r="AF697" t="n">
        <v>43.990814188</v>
      </c>
      <c r="AG697" t="n">
        <v/>
      </c>
      <c r="AH697" t="n">
        <v/>
      </c>
      <c r="AI697" t="n">
        <v>64.88733105</v>
      </c>
      <c r="AJ697" t="n">
        <v>45.969476912</v>
      </c>
      <c r="AK697" t="n">
        <v/>
      </c>
      <c r="AL697" t="n">
        <v>47.815744977</v>
      </c>
      <c r="AM697" t="n">
        <v/>
      </c>
      <c r="AN697" t="n">
        <v>55.037105822</v>
      </c>
      <c r="AO697" t="n">
        <v/>
      </c>
      <c r="AP697" t="n">
        <v/>
      </c>
      <c r="AQ697" t="n">
        <v/>
      </c>
      <c r="AR697" t="n">
        <v>58.553870152</v>
      </c>
      <c r="AS697" t="n">
        <v/>
      </c>
      <c r="AT697" t="n">
        <v>45.449973649</v>
      </c>
      <c r="AU697" t="n">
        <v/>
      </c>
    </row>
    <row r="698">
      <c r="A698" s="106" t="n">
        <v>28126</v>
      </c>
      <c r="B698" t="n">
        <v>33.095246194</v>
      </c>
      <c r="C698" t="n">
        <v>50.165346598</v>
      </c>
      <c r="D698" t="n">
        <v>54.326936845</v>
      </c>
      <c r="E698" t="n">
        <v>52.658024743</v>
      </c>
      <c r="F698" t="n">
        <v/>
      </c>
      <c r="G698" t="n">
        <v/>
      </c>
      <c r="H698" t="n">
        <v/>
      </c>
      <c r="I698" t="n">
        <v>33.095246194</v>
      </c>
      <c r="J698" t="n">
        <v/>
      </c>
      <c r="K698" t="n">
        <v>56.234053277</v>
      </c>
      <c r="L698" t="n">
        <v>60.032626267</v>
      </c>
      <c r="M698" t="n">
        <v>64.969601539</v>
      </c>
      <c r="N698" t="n">
        <v>79.199613937</v>
      </c>
      <c r="O698" t="n">
        <v/>
      </c>
      <c r="P698" t="n">
        <v/>
      </c>
      <c r="Q698" t="n">
        <v>41.5798886</v>
      </c>
      <c r="R698" t="n">
        <v>78.29732877399999</v>
      </c>
      <c r="S698" t="n">
        <v>55.058874241</v>
      </c>
      <c r="T698" t="n">
        <v>67.173682349</v>
      </c>
      <c r="U698" t="n">
        <v/>
      </c>
      <c r="V698" t="n">
        <v>98.68679242499999</v>
      </c>
      <c r="W698" t="n">
        <v/>
      </c>
      <c r="X698" t="n">
        <v/>
      </c>
      <c r="Y698" t="n">
        <v/>
      </c>
      <c r="Z698" t="n">
        <v>6.30314128</v>
      </c>
      <c r="AA698" t="n">
        <v/>
      </c>
      <c r="AB698" t="n">
        <v/>
      </c>
      <c r="AC698" t="n">
        <v>90.29578434299999</v>
      </c>
      <c r="AD698" t="n">
        <v>59.563310065</v>
      </c>
      <c r="AE698" t="n">
        <v/>
      </c>
      <c r="AF698" t="n">
        <v>50.109508509</v>
      </c>
      <c r="AG698" t="n">
        <v/>
      </c>
      <c r="AH698" t="n">
        <v/>
      </c>
      <c r="AI698" t="n">
        <v>64.88733105</v>
      </c>
      <c r="AJ698" t="n">
        <v>45.969476912</v>
      </c>
      <c r="AK698" t="n">
        <v/>
      </c>
      <c r="AL698" t="n">
        <v>48.049710018</v>
      </c>
      <c r="AM698" t="n">
        <v/>
      </c>
      <c r="AN698" t="n">
        <v>55.71213838</v>
      </c>
      <c r="AO698" t="n">
        <v/>
      </c>
      <c r="AP698" t="n">
        <v/>
      </c>
      <c r="AQ698" t="n">
        <v/>
      </c>
      <c r="AR698" t="n">
        <v>56.657621168</v>
      </c>
      <c r="AS698" t="n">
        <v/>
      </c>
      <c r="AT698" t="n">
        <v>45.144466437</v>
      </c>
      <c r="AU698" t="n">
        <v/>
      </c>
    </row>
    <row r="699">
      <c r="A699" s="106" t="n">
        <v>28157</v>
      </c>
      <c r="B699" t="n">
        <v>33.10643259</v>
      </c>
      <c r="C699" t="n">
        <v>50.002452113</v>
      </c>
      <c r="D699" t="n">
        <v>54.581006287</v>
      </c>
      <c r="E699" t="n">
        <v>51.97430686</v>
      </c>
      <c r="F699" t="n">
        <v/>
      </c>
      <c r="G699" t="n">
        <v/>
      </c>
      <c r="H699" t="n">
        <v/>
      </c>
      <c r="I699" t="n">
        <v>33.10643259</v>
      </c>
      <c r="J699" t="n">
        <v/>
      </c>
      <c r="K699" t="n">
        <v>56.048869787</v>
      </c>
      <c r="L699" t="n">
        <v>59.40728641</v>
      </c>
      <c r="M699" t="n">
        <v>64.388580326</v>
      </c>
      <c r="N699" t="n">
        <v>80.63281608699999</v>
      </c>
      <c r="O699" t="n">
        <v/>
      </c>
      <c r="P699" t="n">
        <v/>
      </c>
      <c r="Q699" t="n">
        <v>42.137667593</v>
      </c>
      <c r="R699" t="n">
        <v>77.444283943</v>
      </c>
      <c r="S699" t="n">
        <v>55.063923035</v>
      </c>
      <c r="T699" t="n">
        <v>67.38592147200001</v>
      </c>
      <c r="U699" t="n">
        <v/>
      </c>
      <c r="V699" t="n">
        <v>97.257283755</v>
      </c>
      <c r="W699" t="n">
        <v/>
      </c>
      <c r="X699" t="n">
        <v/>
      </c>
      <c r="Y699" t="n">
        <v/>
      </c>
      <c r="Z699" t="n">
        <v>6.549117221</v>
      </c>
      <c r="AA699" t="n">
        <v/>
      </c>
      <c r="AB699" t="n">
        <v/>
      </c>
      <c r="AC699" t="n">
        <v>87.495166435</v>
      </c>
      <c r="AD699" t="n">
        <v>58.722020375</v>
      </c>
      <c r="AE699" t="n">
        <v/>
      </c>
      <c r="AF699" t="n">
        <v>48.074950039</v>
      </c>
      <c r="AG699" t="n">
        <v/>
      </c>
      <c r="AH699" t="n">
        <v/>
      </c>
      <c r="AI699" t="n">
        <v>64.29203443500001</v>
      </c>
      <c r="AJ699" t="n">
        <v>45.408873535</v>
      </c>
      <c r="AK699" t="n">
        <v/>
      </c>
      <c r="AL699" t="n">
        <v>48.086733206</v>
      </c>
      <c r="AM699" t="n">
        <v/>
      </c>
      <c r="AN699" t="n">
        <v>55.800038464</v>
      </c>
      <c r="AO699" t="n">
        <v/>
      </c>
      <c r="AP699" t="n">
        <v/>
      </c>
      <c r="AQ699" t="n">
        <v/>
      </c>
      <c r="AR699" t="n">
        <v>56.94493162</v>
      </c>
      <c r="AS699" t="n">
        <v/>
      </c>
      <c r="AT699" t="n">
        <v>45.86743076</v>
      </c>
      <c r="AU699" t="n">
        <v/>
      </c>
    </row>
    <row r="700">
      <c r="A700" s="106" t="n">
        <v>28185</v>
      </c>
      <c r="B700" t="n">
        <v>33.674413576</v>
      </c>
      <c r="C700" t="n">
        <v>50.156339428</v>
      </c>
      <c r="D700" t="n">
        <v>55.926557541</v>
      </c>
      <c r="E700" t="n">
        <v>52.061240062</v>
      </c>
      <c r="F700" t="n">
        <v/>
      </c>
      <c r="G700" t="n">
        <v/>
      </c>
      <c r="H700" t="n">
        <v/>
      </c>
      <c r="I700" t="n">
        <v>33.674413576</v>
      </c>
      <c r="J700" t="n">
        <v/>
      </c>
      <c r="K700" t="n">
        <v>56.666148088</v>
      </c>
      <c r="L700" t="n">
        <v>58.156606696</v>
      </c>
      <c r="M700" t="n">
        <v>64.102832189</v>
      </c>
      <c r="N700" t="n">
        <v>80.55765221199999</v>
      </c>
      <c r="O700" t="n">
        <v/>
      </c>
      <c r="P700" t="n">
        <v/>
      </c>
      <c r="Q700" t="n">
        <v>37.066949471</v>
      </c>
      <c r="R700" t="n">
        <v>77.931738133</v>
      </c>
      <c r="S700" t="n">
        <v>55.391698421</v>
      </c>
      <c r="T700" t="n">
        <v>67.27980191</v>
      </c>
      <c r="U700" t="n">
        <v/>
      </c>
      <c r="V700" t="n">
        <v>94.377130503</v>
      </c>
      <c r="W700" t="n">
        <v/>
      </c>
      <c r="X700" t="n">
        <v/>
      </c>
      <c r="Y700" t="n">
        <v/>
      </c>
      <c r="Z700" t="n">
        <v>6.441503101</v>
      </c>
      <c r="AA700" t="n">
        <v/>
      </c>
      <c r="AB700" t="n">
        <v/>
      </c>
      <c r="AC700" t="n">
        <v>83.82539124100001</v>
      </c>
      <c r="AD700" t="n">
        <v>59.563310065</v>
      </c>
      <c r="AE700" t="n">
        <v/>
      </c>
      <c r="AF700" t="n">
        <v>49.26391513</v>
      </c>
      <c r="AG700" t="n">
        <v/>
      </c>
      <c r="AH700" t="n">
        <v/>
      </c>
      <c r="AI700" t="n">
        <v>63.696737819</v>
      </c>
      <c r="AJ700" t="n">
        <v>45.969476912</v>
      </c>
      <c r="AK700" t="n">
        <v/>
      </c>
      <c r="AL700" t="n">
        <v>48.286262769</v>
      </c>
      <c r="AM700" t="n">
        <v/>
      </c>
      <c r="AN700" t="n">
        <v>55.561639958</v>
      </c>
      <c r="AO700" t="n">
        <v/>
      </c>
      <c r="AP700" t="n">
        <v/>
      </c>
      <c r="AQ700" t="n">
        <v/>
      </c>
      <c r="AR700" t="n">
        <v>56.312848625</v>
      </c>
      <c r="AS700" t="n">
        <v/>
      </c>
      <c r="AT700" t="n">
        <v>46.441459077</v>
      </c>
      <c r="AU700" t="n">
        <v/>
      </c>
    </row>
    <row r="701">
      <c r="A701" s="106" t="n">
        <v>28216</v>
      </c>
      <c r="B701" t="n">
        <v>33.724444717</v>
      </c>
      <c r="C701" t="n">
        <v>49.542448738</v>
      </c>
      <c r="D701" t="n">
        <v>55.327366858</v>
      </c>
      <c r="E701" t="n">
        <v>51.69283125</v>
      </c>
      <c r="F701" t="n">
        <v/>
      </c>
      <c r="G701" t="n">
        <v/>
      </c>
      <c r="H701" t="n">
        <v/>
      </c>
      <c r="I701" t="n">
        <v>33.724444717</v>
      </c>
      <c r="J701" t="n">
        <v/>
      </c>
      <c r="K701" t="n">
        <v>56.048869787</v>
      </c>
      <c r="L701" t="n">
        <v>55.029907411</v>
      </c>
      <c r="M701" t="n">
        <v>64.102832189</v>
      </c>
      <c r="N701" t="n">
        <v>80.821850041</v>
      </c>
      <c r="O701" t="n">
        <v/>
      </c>
      <c r="P701" t="n">
        <v/>
      </c>
      <c r="Q701" t="n">
        <v>37.675435646</v>
      </c>
      <c r="R701" t="n">
        <v>75.920989611</v>
      </c>
      <c r="S701" t="n">
        <v>55.585161307</v>
      </c>
      <c r="T701" t="n">
        <v>67.173682349</v>
      </c>
      <c r="U701" t="n">
        <v/>
      </c>
      <c r="V701" t="n">
        <v>94.511318442</v>
      </c>
      <c r="W701" t="n">
        <v/>
      </c>
      <c r="X701" t="n">
        <v/>
      </c>
      <c r="Y701" t="n">
        <v/>
      </c>
      <c r="Z701" t="n">
        <v>6.495310161</v>
      </c>
      <c r="AA701" t="n">
        <v/>
      </c>
      <c r="AB701" t="n">
        <v/>
      </c>
      <c r="AC701" t="n">
        <v>87.97803159</v>
      </c>
      <c r="AD701" t="n">
        <v>59.226794189</v>
      </c>
      <c r="AE701" t="n">
        <v/>
      </c>
      <c r="AF701" t="n">
        <v>49.3414604</v>
      </c>
      <c r="AG701" t="n">
        <v/>
      </c>
      <c r="AH701" t="n">
        <v/>
      </c>
      <c r="AI701" t="n">
        <v>64.88733105</v>
      </c>
      <c r="AJ701" t="n">
        <v>43.727063404</v>
      </c>
      <c r="AK701" t="n">
        <v/>
      </c>
      <c r="AL701" t="n">
        <v>48.436461151</v>
      </c>
      <c r="AM701" t="n">
        <v/>
      </c>
      <c r="AN701" t="n">
        <v>56.745973844</v>
      </c>
      <c r="AO701" t="n">
        <v/>
      </c>
      <c r="AP701" t="n">
        <v/>
      </c>
      <c r="AQ701" t="n">
        <v/>
      </c>
      <c r="AR701" t="n">
        <v>55.910613992</v>
      </c>
      <c r="AS701" t="n">
        <v/>
      </c>
      <c r="AT701" t="n">
        <v>46.891836796</v>
      </c>
      <c r="AU701" t="n">
        <v/>
      </c>
    </row>
    <row r="702">
      <c r="A702" s="106" t="n">
        <v>28246</v>
      </c>
      <c r="B702" t="n">
        <v>33.515737258</v>
      </c>
      <c r="C702" t="n">
        <v>49.557405781</v>
      </c>
      <c r="D702" t="n">
        <v>57.254532321</v>
      </c>
      <c r="E702" t="n">
        <v>52.310291937</v>
      </c>
      <c r="F702" t="n">
        <v/>
      </c>
      <c r="G702" t="n">
        <v/>
      </c>
      <c r="H702" t="n">
        <v/>
      </c>
      <c r="I702" t="n">
        <v>33.515737258</v>
      </c>
      <c r="J702" t="n">
        <v/>
      </c>
      <c r="K702" t="n">
        <v>55.555047145</v>
      </c>
      <c r="L702" t="n">
        <v>56.280587125</v>
      </c>
      <c r="M702" t="n">
        <v>63.617060355</v>
      </c>
      <c r="N702" t="n">
        <v>79.572783797</v>
      </c>
      <c r="O702" t="n">
        <v/>
      </c>
      <c r="P702" t="n">
        <v/>
      </c>
      <c r="Q702" t="n">
        <v>39.805137257</v>
      </c>
      <c r="R702" t="n">
        <v>75.25074011</v>
      </c>
      <c r="S702" t="n">
        <v>55.447774453</v>
      </c>
      <c r="T702" t="n">
        <v>66.855323665</v>
      </c>
      <c r="U702" t="n">
        <v/>
      </c>
      <c r="V702" t="n">
        <v>95.74425761099999</v>
      </c>
      <c r="W702" t="n">
        <v/>
      </c>
      <c r="X702" t="n">
        <v/>
      </c>
      <c r="Y702" t="n">
        <v/>
      </c>
      <c r="Z702" t="n">
        <v>6.595238773</v>
      </c>
      <c r="AA702" t="n">
        <v/>
      </c>
      <c r="AB702" t="n">
        <v/>
      </c>
      <c r="AC702" t="n">
        <v>84.501402457</v>
      </c>
      <c r="AD702" t="n">
        <v>58.974407282</v>
      </c>
      <c r="AE702" t="n">
        <v/>
      </c>
      <c r="AF702" t="n">
        <v>51.370013269</v>
      </c>
      <c r="AG702" t="n">
        <v/>
      </c>
      <c r="AH702" t="n">
        <v/>
      </c>
      <c r="AI702" t="n">
        <v>63.696737819</v>
      </c>
      <c r="AJ702" t="n">
        <v>41.484649897</v>
      </c>
      <c r="AK702" t="n">
        <v/>
      </c>
      <c r="AL702" t="n">
        <v>48.305950478</v>
      </c>
      <c r="AM702" t="n">
        <v/>
      </c>
      <c r="AN702" t="n">
        <v>57.001940939</v>
      </c>
      <c r="AO702" t="n">
        <v/>
      </c>
      <c r="AP702" t="n">
        <v/>
      </c>
      <c r="AQ702" t="n">
        <v/>
      </c>
      <c r="AR702" t="n">
        <v>55.68076563</v>
      </c>
      <c r="AS702" t="n">
        <v/>
      </c>
      <c r="AT702" t="n">
        <v>47.25961552</v>
      </c>
      <c r="AU702" t="n">
        <v/>
      </c>
    </row>
    <row r="703">
      <c r="A703" s="106" t="n">
        <v>28277</v>
      </c>
      <c r="B703" t="n">
        <v>33.245861278</v>
      </c>
      <c r="C703" t="n">
        <v>49.365410573</v>
      </c>
      <c r="D703" t="n">
        <v>55.83911006</v>
      </c>
      <c r="E703" t="n">
        <v>52.843638876</v>
      </c>
      <c r="F703" t="n">
        <v/>
      </c>
      <c r="G703" t="n">
        <v/>
      </c>
      <c r="H703" t="n">
        <v/>
      </c>
      <c r="I703" t="n">
        <v>33.245861278</v>
      </c>
      <c r="J703" t="n">
        <v/>
      </c>
      <c r="K703" t="n">
        <v>56.542692428</v>
      </c>
      <c r="L703" t="n">
        <v>58.156606696</v>
      </c>
      <c r="M703" t="n">
        <v>63.331312217</v>
      </c>
      <c r="N703" t="n">
        <v>78.5341742</v>
      </c>
      <c r="O703" t="n">
        <v/>
      </c>
      <c r="P703" t="n">
        <v/>
      </c>
      <c r="Q703" t="n">
        <v>41.326352694</v>
      </c>
      <c r="R703" t="n">
        <v>78.053601683</v>
      </c>
      <c r="S703" t="n">
        <v>55.768046432</v>
      </c>
      <c r="T703" t="n">
        <v>66.643084542</v>
      </c>
      <c r="U703" t="n">
        <v/>
      </c>
      <c r="V703" t="n">
        <v>98.44076001099999</v>
      </c>
      <c r="W703" t="n">
        <v/>
      </c>
      <c r="X703" t="n">
        <v/>
      </c>
      <c r="Y703" t="n">
        <v/>
      </c>
      <c r="Z703" t="n">
        <v>6.741286102</v>
      </c>
      <c r="AA703" t="n">
        <v/>
      </c>
      <c r="AB703" t="n">
        <v/>
      </c>
      <c r="AC703" t="n">
        <v>80.541908179</v>
      </c>
      <c r="AD703" t="n">
        <v>59.479181096</v>
      </c>
      <c r="AE703" t="n">
        <v/>
      </c>
      <c r="AF703" t="n">
        <v>50.116410717</v>
      </c>
      <c r="AG703" t="n">
        <v/>
      </c>
      <c r="AH703" t="n">
        <v/>
      </c>
      <c r="AI703" t="n">
        <v>64.88733105</v>
      </c>
      <c r="AJ703" t="n">
        <v>45.408873535</v>
      </c>
      <c r="AK703" t="n">
        <v/>
      </c>
      <c r="AL703" t="n">
        <v>48.578266638</v>
      </c>
      <c r="AM703" t="n">
        <v/>
      </c>
      <c r="AN703" t="n">
        <v>58.233251761</v>
      </c>
      <c r="AO703" t="n">
        <v/>
      </c>
      <c r="AP703" t="n">
        <v/>
      </c>
      <c r="AQ703" t="n">
        <v/>
      </c>
      <c r="AR703" t="n">
        <v>55.221068907</v>
      </c>
      <c r="AS703" t="n">
        <v/>
      </c>
      <c r="AT703" t="n">
        <v>47.615495228</v>
      </c>
      <c r="AU703" t="n">
        <v/>
      </c>
    </row>
    <row r="704">
      <c r="A704" s="106" t="n">
        <v>28307</v>
      </c>
      <c r="B704" t="n">
        <v>33.878043232</v>
      </c>
      <c r="C704" t="n">
        <v>50.150003991</v>
      </c>
      <c r="D704" t="n">
        <v>55.996291892</v>
      </c>
      <c r="E704" t="n">
        <v>52.541957171</v>
      </c>
      <c r="F704" t="n">
        <v/>
      </c>
      <c r="G704" t="n">
        <v/>
      </c>
      <c r="H704" t="n">
        <v/>
      </c>
      <c r="I704" t="n">
        <v>33.878043232</v>
      </c>
      <c r="J704" t="n">
        <v/>
      </c>
      <c r="K704" t="n">
        <v>54.135307052</v>
      </c>
      <c r="L704" t="n">
        <v>57.531266839</v>
      </c>
      <c r="M704" t="n">
        <v>62.759815942</v>
      </c>
      <c r="N704" t="n">
        <v>79.65220915499999</v>
      </c>
      <c r="O704" t="n">
        <v/>
      </c>
      <c r="P704" t="n">
        <v/>
      </c>
      <c r="Q704" t="n">
        <v>38.638872089</v>
      </c>
      <c r="R704" t="n">
        <v>75.860057841</v>
      </c>
      <c r="S704" t="n">
        <v>55.304973876</v>
      </c>
      <c r="T704" t="n">
        <v>66.43084541899999</v>
      </c>
      <c r="U704" t="n">
        <v/>
      </c>
      <c r="V704" t="n">
        <v>100.272415246</v>
      </c>
      <c r="W704" t="n">
        <v/>
      </c>
      <c r="X704" t="n">
        <v/>
      </c>
      <c r="Y704" t="n">
        <v/>
      </c>
      <c r="Z704" t="n">
        <v>6.641358908</v>
      </c>
      <c r="AA704" t="n">
        <v/>
      </c>
      <c r="AB704" t="n">
        <v/>
      </c>
      <c r="AC704" t="n">
        <v>83.439099111</v>
      </c>
      <c r="AD704" t="n">
        <v>58.30137553</v>
      </c>
      <c r="AE704" t="n">
        <v/>
      </c>
      <c r="AF704" t="n">
        <v>49.4751195</v>
      </c>
      <c r="AG704" t="n">
        <v/>
      </c>
      <c r="AH704" t="n">
        <v/>
      </c>
      <c r="AI704" t="n">
        <v>64.88733105</v>
      </c>
      <c r="AJ704" t="n">
        <v>42.605856651</v>
      </c>
      <c r="AK704" t="n">
        <v/>
      </c>
      <c r="AL704" t="n">
        <v>48.257632134</v>
      </c>
      <c r="AM704" t="n">
        <v/>
      </c>
      <c r="AN704" t="n">
        <v>57.585637023</v>
      </c>
      <c r="AO704" t="n">
        <v/>
      </c>
      <c r="AP704" t="n">
        <v/>
      </c>
      <c r="AQ704" t="n">
        <v/>
      </c>
      <c r="AR704" t="n">
        <v>55.450917269</v>
      </c>
      <c r="AS704" t="n">
        <v/>
      </c>
      <c r="AT704" t="n">
        <v>47.677270948</v>
      </c>
      <c r="AU704" t="n">
        <v/>
      </c>
    </row>
    <row r="705">
      <c r="A705" s="106" t="n">
        <v>28338</v>
      </c>
      <c r="B705" t="n">
        <v>33.351851972</v>
      </c>
      <c r="C705" t="n">
        <v>50.715229271</v>
      </c>
      <c r="D705" t="n">
        <v>55.547624193</v>
      </c>
      <c r="E705" t="n">
        <v>52.688098932</v>
      </c>
      <c r="F705" t="n">
        <v/>
      </c>
      <c r="G705" t="n">
        <v/>
      </c>
      <c r="H705" t="n">
        <v/>
      </c>
      <c r="I705" t="n">
        <v>33.351851972</v>
      </c>
      <c r="J705" t="n">
        <v/>
      </c>
      <c r="K705" t="n">
        <v>56.480964598</v>
      </c>
      <c r="L705" t="n">
        <v>61.283305981</v>
      </c>
      <c r="M705" t="n">
        <v>63.617060355</v>
      </c>
      <c r="N705" t="n">
        <v>80.34532697</v>
      </c>
      <c r="O705" t="n">
        <v/>
      </c>
      <c r="P705" t="n">
        <v/>
      </c>
      <c r="Q705" t="n">
        <v>40.667159338</v>
      </c>
      <c r="R705" t="n">
        <v>75.860057841</v>
      </c>
      <c r="S705" t="n">
        <v>55.813736781</v>
      </c>
      <c r="T705" t="n">
        <v>66.43084541899999</v>
      </c>
      <c r="U705" t="n">
        <v/>
      </c>
      <c r="V705" t="n">
        <v>99.175379389</v>
      </c>
      <c r="W705" t="n">
        <v/>
      </c>
      <c r="X705" t="n">
        <v/>
      </c>
      <c r="Y705" t="n">
        <v/>
      </c>
      <c r="Z705" t="n">
        <v>6.748973027</v>
      </c>
      <c r="AA705" t="n">
        <v/>
      </c>
      <c r="AB705" t="n">
        <v/>
      </c>
      <c r="AC705" t="n">
        <v>82.56994183499999</v>
      </c>
      <c r="AD705" t="n">
        <v>59.563310065</v>
      </c>
      <c r="AE705" t="n">
        <v/>
      </c>
      <c r="AF705" t="n">
        <v>45.620880761</v>
      </c>
      <c r="AG705" t="n">
        <v/>
      </c>
      <c r="AH705" t="n">
        <v/>
      </c>
      <c r="AI705" t="n">
        <v>63.696737819</v>
      </c>
      <c r="AJ705" t="n">
        <v>44.848270158</v>
      </c>
      <c r="AK705" t="n">
        <v/>
      </c>
      <c r="AL705" t="n">
        <v>48.659154839</v>
      </c>
      <c r="AM705" t="n">
        <v/>
      </c>
      <c r="AN705" t="n">
        <v>58.15232795</v>
      </c>
      <c r="AO705" t="n">
        <v/>
      </c>
      <c r="AP705" t="n">
        <v/>
      </c>
      <c r="AQ705" t="n">
        <v/>
      </c>
      <c r="AR705" t="n">
        <v>54.531523822</v>
      </c>
      <c r="AS705" t="n">
        <v/>
      </c>
      <c r="AT705" t="n">
        <v>47.726453543</v>
      </c>
      <c r="AU705" t="n">
        <v/>
      </c>
    </row>
    <row r="706">
      <c r="A706" s="106" t="n">
        <v>28369</v>
      </c>
      <c r="B706" t="n">
        <v>33.019138108</v>
      </c>
      <c r="C706" t="n">
        <v>48.971719239</v>
      </c>
      <c r="D706" t="n">
        <v>55.389838912</v>
      </c>
      <c r="E706" t="n">
        <v>52.460192971</v>
      </c>
      <c r="F706" t="n">
        <v/>
      </c>
      <c r="G706" t="n">
        <v/>
      </c>
      <c r="H706" t="n">
        <v/>
      </c>
      <c r="I706" t="n">
        <v>33.019138108</v>
      </c>
      <c r="J706" t="n">
        <v/>
      </c>
      <c r="K706" t="n">
        <v>56.604420258</v>
      </c>
      <c r="L706" t="n">
        <v>60.032626267</v>
      </c>
      <c r="M706" t="n">
        <v>63.721834672</v>
      </c>
      <c r="N706" t="n">
        <v>80.06006332600001</v>
      </c>
      <c r="O706" t="n">
        <v/>
      </c>
      <c r="P706" t="n">
        <v/>
      </c>
      <c r="Q706" t="n">
        <v>41.98554605</v>
      </c>
      <c r="R706" t="n">
        <v>76.28658025199999</v>
      </c>
      <c r="S706" t="n">
        <v>55.937809335</v>
      </c>
      <c r="T706" t="n">
        <v>66.536964981</v>
      </c>
      <c r="U706" t="n">
        <v/>
      </c>
      <c r="V706" t="n">
        <v>101.429607908</v>
      </c>
      <c r="W706" t="n">
        <v/>
      </c>
      <c r="X706" t="n">
        <v/>
      </c>
      <c r="Y706" t="n">
        <v/>
      </c>
      <c r="Z706" t="n">
        <v>6.787407654</v>
      </c>
      <c r="AA706" t="n">
        <v/>
      </c>
      <c r="AB706" t="n">
        <v/>
      </c>
      <c r="AC706" t="n">
        <v>82.376795765</v>
      </c>
      <c r="AD706" t="n">
        <v>59.563310065</v>
      </c>
      <c r="AE706" t="n">
        <v/>
      </c>
      <c r="AF706" t="n">
        <v>48.919479116</v>
      </c>
      <c r="AG706" t="n">
        <v/>
      </c>
      <c r="AH706" t="n">
        <v/>
      </c>
      <c r="AI706" t="n">
        <v>64.29203443500001</v>
      </c>
      <c r="AJ706" t="n">
        <v>45.408873535</v>
      </c>
      <c r="AK706" t="n">
        <v/>
      </c>
      <c r="AL706" t="n">
        <v>48.760939877</v>
      </c>
      <c r="AM706" t="n">
        <v/>
      </c>
      <c r="AN706" t="n">
        <v>61.357306974</v>
      </c>
      <c r="AO706" t="n">
        <v/>
      </c>
      <c r="AP706" t="n">
        <v/>
      </c>
      <c r="AQ706" t="n">
        <v/>
      </c>
      <c r="AR706" t="n">
        <v>54.876296364</v>
      </c>
      <c r="AS706" t="n">
        <v/>
      </c>
      <c r="AT706" t="n">
        <v>47.924076351</v>
      </c>
      <c r="AU706" t="n">
        <v/>
      </c>
    </row>
    <row r="707">
      <c r="A707" s="106" t="n">
        <v>28399</v>
      </c>
      <c r="B707" t="n">
        <v>34.500600719</v>
      </c>
      <c r="C707" t="n">
        <v>49.423382045</v>
      </c>
      <c r="D707" t="n">
        <v>55.682548587</v>
      </c>
      <c r="E707" t="n">
        <v>52.81826378</v>
      </c>
      <c r="F707" t="n">
        <v/>
      </c>
      <c r="G707" t="n">
        <v/>
      </c>
      <c r="H707" t="n">
        <v/>
      </c>
      <c r="I707" t="n">
        <v>34.500600719</v>
      </c>
      <c r="J707" t="n">
        <v/>
      </c>
      <c r="K707" t="n">
        <v>56.357508938</v>
      </c>
      <c r="L707" t="n">
        <v>58.156606696</v>
      </c>
      <c r="M707" t="n">
        <v>63.617060355</v>
      </c>
      <c r="N707" t="n">
        <v>80.314896121</v>
      </c>
      <c r="O707" t="n">
        <v/>
      </c>
      <c r="P707" t="n">
        <v/>
      </c>
      <c r="Q707" t="n">
        <v>41.782717325</v>
      </c>
      <c r="R707" t="n">
        <v>75.37260365100001</v>
      </c>
      <c r="S707" t="n">
        <v>55.896663843</v>
      </c>
      <c r="T707" t="n">
        <v>66.643084542</v>
      </c>
      <c r="U707" t="n">
        <v/>
      </c>
      <c r="V707" t="n">
        <v>101.948951752</v>
      </c>
      <c r="W707" t="n">
        <v/>
      </c>
      <c r="X707" t="n">
        <v/>
      </c>
      <c r="Y707" t="n">
        <v/>
      </c>
      <c r="Z707" t="n">
        <v>6.964202685</v>
      </c>
      <c r="AA707" t="n">
        <v/>
      </c>
      <c r="AB707" t="n">
        <v/>
      </c>
      <c r="AC707" t="n">
        <v>83.439099111</v>
      </c>
      <c r="AD707" t="n">
        <v>59.058536251</v>
      </c>
      <c r="AE707" t="n">
        <v/>
      </c>
      <c r="AF707" t="n">
        <v>50.35505878</v>
      </c>
      <c r="AG707" t="n">
        <v/>
      </c>
      <c r="AH707" t="n">
        <v/>
      </c>
      <c r="AI707" t="n">
        <v>63.696737819</v>
      </c>
      <c r="AJ707" t="n">
        <v>47.090683666</v>
      </c>
      <c r="AK707" t="n">
        <v/>
      </c>
      <c r="AL707" t="n">
        <v>48.749454538</v>
      </c>
      <c r="AM707" t="n">
        <v/>
      </c>
      <c r="AN707" t="n">
        <v>59.969965728</v>
      </c>
      <c r="AO707" t="n">
        <v/>
      </c>
      <c r="AP707" t="n">
        <v/>
      </c>
      <c r="AQ707" t="n">
        <v/>
      </c>
      <c r="AR707" t="n">
        <v>54.014365008</v>
      </c>
      <c r="AS707" t="n">
        <v/>
      </c>
      <c r="AT707" t="n">
        <v>47.994082223</v>
      </c>
      <c r="AU707" t="n">
        <v/>
      </c>
    </row>
    <row r="708">
      <c r="A708" s="106" t="n">
        <v>28430</v>
      </c>
      <c r="B708" t="n">
        <v>33.653644995</v>
      </c>
      <c r="C708" t="n">
        <v>50.160892491</v>
      </c>
      <c r="D708" t="n">
        <v>56.347617042</v>
      </c>
      <c r="E708" t="n">
        <v>52.97662318</v>
      </c>
      <c r="F708" t="n">
        <v/>
      </c>
      <c r="G708" t="n">
        <v/>
      </c>
      <c r="H708" t="n">
        <v/>
      </c>
      <c r="I708" t="n">
        <v>33.653644995</v>
      </c>
      <c r="J708" t="n">
        <v/>
      </c>
      <c r="K708" t="n">
        <v>56.419236768</v>
      </c>
      <c r="L708" t="n">
        <v>57.531266839</v>
      </c>
      <c r="M708" t="n">
        <v>63.140813459</v>
      </c>
      <c r="N708" t="n">
        <v>78.212251388</v>
      </c>
      <c r="O708" t="n">
        <v/>
      </c>
      <c r="P708" t="n">
        <v/>
      </c>
      <c r="Q708" t="n">
        <v>41.377059875</v>
      </c>
      <c r="R708" t="n">
        <v>76.713102662</v>
      </c>
      <c r="S708" t="n">
        <v>56.059332637</v>
      </c>
      <c r="T708" t="n">
        <v>66.749204103</v>
      </c>
      <c r="U708" t="n">
        <v/>
      </c>
      <c r="V708" t="n">
        <v>99.660381472</v>
      </c>
      <c r="W708" t="n">
        <v/>
      </c>
      <c r="X708" t="n">
        <v/>
      </c>
      <c r="Y708" t="n">
        <v/>
      </c>
      <c r="Z708" t="n">
        <v>6.933454983</v>
      </c>
      <c r="AA708" t="n">
        <v/>
      </c>
      <c r="AB708" t="n">
        <v/>
      </c>
      <c r="AC708" t="n">
        <v>80.638481203</v>
      </c>
      <c r="AD708" t="n">
        <v>60.236341817</v>
      </c>
      <c r="AE708" t="n">
        <v/>
      </c>
      <c r="AF708" t="n">
        <v>49.980297002</v>
      </c>
      <c r="AG708" t="n">
        <v/>
      </c>
      <c r="AH708" t="n">
        <v/>
      </c>
      <c r="AI708" t="n">
        <v>63.101441204</v>
      </c>
      <c r="AJ708" t="n">
        <v>47.651287043</v>
      </c>
      <c r="AK708" t="n">
        <v/>
      </c>
      <c r="AL708" t="n">
        <v>48.791612968</v>
      </c>
      <c r="AM708" t="n">
        <v/>
      </c>
      <c r="AN708" t="n">
        <v>60.330528286</v>
      </c>
      <c r="AO708" t="n">
        <v/>
      </c>
      <c r="AP708" t="n">
        <v/>
      </c>
      <c r="AQ708" t="n">
        <v/>
      </c>
      <c r="AR708" t="n">
        <v>53.094971561</v>
      </c>
      <c r="AS708" t="n">
        <v/>
      </c>
      <c r="AT708" t="n">
        <v>48.084316421</v>
      </c>
      <c r="AU708" t="n">
        <v/>
      </c>
    </row>
    <row r="709">
      <c r="A709" s="106" t="n">
        <v>28460</v>
      </c>
      <c r="B709" t="n">
        <v>32.728700761</v>
      </c>
      <c r="C709" t="n">
        <v>49.457842385</v>
      </c>
      <c r="D709" t="n">
        <v>56.743180491</v>
      </c>
      <c r="E709" t="n">
        <v>53.111487119</v>
      </c>
      <c r="F709" t="n">
        <v/>
      </c>
      <c r="G709" t="n">
        <v/>
      </c>
      <c r="H709" t="n">
        <v/>
      </c>
      <c r="I709" t="n">
        <v>32.728700761</v>
      </c>
      <c r="J709" t="n">
        <v/>
      </c>
      <c r="K709" t="n">
        <v>57.530337711</v>
      </c>
      <c r="L709" t="n">
        <v>59.40728641</v>
      </c>
      <c r="M709" t="n">
        <v>64.00758281</v>
      </c>
      <c r="N709" t="n">
        <v>81.01503320099999</v>
      </c>
      <c r="O709" t="n">
        <v/>
      </c>
      <c r="P709" t="n">
        <v/>
      </c>
      <c r="Q709" t="n">
        <v>40.464330613</v>
      </c>
      <c r="R709" t="n">
        <v>74.64142237</v>
      </c>
      <c r="S709" t="n">
        <v>56.334518222</v>
      </c>
      <c r="T709" t="n">
        <v>66.536964981</v>
      </c>
      <c r="U709" t="n">
        <v/>
      </c>
      <c r="V709" t="n">
        <v>102.231993818</v>
      </c>
      <c r="W709" t="n">
        <v/>
      </c>
      <c r="X709" t="n">
        <v/>
      </c>
      <c r="Y709" t="n">
        <v/>
      </c>
      <c r="Z709" t="n">
        <v>7.179432342</v>
      </c>
      <c r="AA709" t="n">
        <v/>
      </c>
      <c r="AB709" t="n">
        <v/>
      </c>
      <c r="AC709" t="n">
        <v>82.956233955</v>
      </c>
      <c r="AD709" t="n">
        <v>60.656986662</v>
      </c>
      <c r="AE709" t="n">
        <v/>
      </c>
      <c r="AF709" t="n">
        <v>49.633640883</v>
      </c>
      <c r="AG709" t="n">
        <v/>
      </c>
      <c r="AH709" t="n">
        <v/>
      </c>
      <c r="AI709" t="n">
        <v>64.88733105</v>
      </c>
      <c r="AJ709" t="n">
        <v>48.772493797</v>
      </c>
      <c r="AK709" t="n">
        <v/>
      </c>
      <c r="AL709" t="n">
        <v>49.084236305</v>
      </c>
      <c r="AM709" t="n">
        <v/>
      </c>
      <c r="AN709" t="n">
        <v>60.559690827</v>
      </c>
      <c r="AO709" t="n">
        <v/>
      </c>
      <c r="AP709" t="n">
        <v/>
      </c>
      <c r="AQ709" t="n">
        <v/>
      </c>
      <c r="AR709" t="n">
        <v>53.152433651</v>
      </c>
      <c r="AS709" t="n">
        <v/>
      </c>
      <c r="AT709" t="n">
        <v>48.155313877</v>
      </c>
      <c r="AU709" t="n">
        <v/>
      </c>
    </row>
    <row r="710">
      <c r="A710" s="106" t="n">
        <v>28491</v>
      </c>
      <c r="B710" t="n">
        <v>33.941388152</v>
      </c>
      <c r="C710" t="n">
        <v>49.209356552</v>
      </c>
      <c r="D710" t="n">
        <v>57.21065045</v>
      </c>
      <c r="E710" t="n">
        <v>53.211577779</v>
      </c>
      <c r="F710" t="n">
        <v/>
      </c>
      <c r="G710" t="n">
        <v/>
      </c>
      <c r="H710" t="n">
        <v/>
      </c>
      <c r="I710" t="n">
        <v>33.941388152</v>
      </c>
      <c r="J710" t="n">
        <v/>
      </c>
      <c r="K710" t="n">
        <v>57.715521201</v>
      </c>
      <c r="L710" t="n">
        <v>61.283305981</v>
      </c>
      <c r="M710" t="n">
        <v>64.293330947</v>
      </c>
      <c r="N710" t="n">
        <v>81.842822258</v>
      </c>
      <c r="O710" t="n">
        <v/>
      </c>
      <c r="P710" t="n">
        <v/>
      </c>
      <c r="Q710" t="n">
        <v>41.377059875</v>
      </c>
      <c r="R710" t="n">
        <v>76.408443801</v>
      </c>
      <c r="S710" t="n">
        <v>56.142924653</v>
      </c>
      <c r="T710" t="n">
        <v>66.43084541899999</v>
      </c>
      <c r="U710" t="n">
        <v/>
      </c>
      <c r="V710" t="n">
        <v>97.953503083</v>
      </c>
      <c r="W710" t="n">
        <v/>
      </c>
      <c r="X710" t="n">
        <v/>
      </c>
      <c r="Y710" t="n">
        <v/>
      </c>
      <c r="Z710" t="n">
        <v>7.14868464</v>
      </c>
      <c r="AA710" t="n">
        <v/>
      </c>
      <c r="AB710" t="n">
        <v/>
      </c>
      <c r="AC710" t="n">
        <v>82.18364970499999</v>
      </c>
      <c r="AD710" t="n">
        <v>61.245889445</v>
      </c>
      <c r="AE710" t="n">
        <v/>
      </c>
      <c r="AF710" t="n">
        <v>52.411454085</v>
      </c>
      <c r="AG710" t="n">
        <v/>
      </c>
      <c r="AH710" t="n">
        <v/>
      </c>
      <c r="AI710" t="n">
        <v>64.88733105</v>
      </c>
      <c r="AJ710" t="n">
        <v>48.772493797</v>
      </c>
      <c r="AK710" t="n">
        <v/>
      </c>
      <c r="AL710" t="n">
        <v>48.985403371</v>
      </c>
      <c r="AM710" t="n">
        <v/>
      </c>
      <c r="AN710" t="n">
        <v>61.976396254</v>
      </c>
      <c r="AO710" t="n">
        <v/>
      </c>
      <c r="AP710" t="n">
        <v/>
      </c>
      <c r="AQ710" t="n">
        <v/>
      </c>
      <c r="AR710" t="n">
        <v>54.818834274</v>
      </c>
      <c r="AS710" t="n">
        <v/>
      </c>
      <c r="AT710" t="n">
        <v>47.466460065</v>
      </c>
      <c r="AU710" t="n">
        <v/>
      </c>
    </row>
    <row r="711">
      <c r="A711" s="106" t="n">
        <v>28522</v>
      </c>
      <c r="B711" t="n">
        <v>33.698553551</v>
      </c>
      <c r="C711" t="n">
        <v>49.194843264</v>
      </c>
      <c r="D711" t="n">
        <v>57.191566551</v>
      </c>
      <c r="E711" t="n">
        <v>53.606771414</v>
      </c>
      <c r="F711" t="n">
        <v/>
      </c>
      <c r="G711" t="n">
        <v/>
      </c>
      <c r="H711" t="n">
        <v/>
      </c>
      <c r="I711" t="n">
        <v>33.698553551</v>
      </c>
      <c r="J711" t="n">
        <v/>
      </c>
      <c r="K711" t="n">
        <v>56.048869787</v>
      </c>
      <c r="L711" t="n">
        <v>57.531266839</v>
      </c>
      <c r="M711" t="n">
        <v>63.721834672</v>
      </c>
      <c r="N711" t="n">
        <v>81.55265254699999</v>
      </c>
      <c r="O711" t="n">
        <v/>
      </c>
      <c r="P711" t="n">
        <v/>
      </c>
      <c r="Q711" t="n">
        <v>42.289789137</v>
      </c>
      <c r="R711" t="n">
        <v>76.22564848099999</v>
      </c>
      <c r="S711" t="n">
        <v>56.015685554</v>
      </c>
      <c r="T711" t="n">
        <v>66.749204103</v>
      </c>
      <c r="U711" t="n">
        <v/>
      </c>
      <c r="V711" t="n">
        <v>105.393054295</v>
      </c>
      <c r="W711" t="n">
        <v/>
      </c>
      <c r="X711" t="n">
        <v/>
      </c>
      <c r="Y711" t="n">
        <v/>
      </c>
      <c r="Z711" t="n">
        <v>6.941141908</v>
      </c>
      <c r="AA711" t="n">
        <v/>
      </c>
      <c r="AB711" t="n">
        <v/>
      </c>
      <c r="AC711" t="n">
        <v>82.28022274</v>
      </c>
      <c r="AD711" t="n">
        <v>60.8252446</v>
      </c>
      <c r="AE711" t="n">
        <v/>
      </c>
      <c r="AF711" t="n">
        <v>50.225441338</v>
      </c>
      <c r="AG711" t="n">
        <v/>
      </c>
      <c r="AH711" t="n">
        <v/>
      </c>
      <c r="AI711" t="n">
        <v>64.88733105</v>
      </c>
      <c r="AJ711" t="n">
        <v>48.772493797</v>
      </c>
      <c r="AK711" t="n">
        <v/>
      </c>
      <c r="AL711" t="n">
        <v>48.887241394</v>
      </c>
      <c r="AM711" t="n">
        <v/>
      </c>
      <c r="AN711" t="n">
        <v>60.540630099</v>
      </c>
      <c r="AO711" t="n">
        <v/>
      </c>
      <c r="AP711" t="n">
        <v/>
      </c>
      <c r="AQ711" t="n">
        <v/>
      </c>
      <c r="AR711" t="n">
        <v>53.956902917</v>
      </c>
      <c r="AS711" t="n">
        <v/>
      </c>
      <c r="AT711" t="n">
        <v>47.723280473</v>
      </c>
      <c r="AU711" t="n">
        <v/>
      </c>
    </row>
    <row r="712">
      <c r="A712" s="106" t="n">
        <v>28550</v>
      </c>
      <c r="B712" t="n">
        <v>33.415317409</v>
      </c>
      <c r="C712" t="n">
        <v>50.37812397</v>
      </c>
      <c r="D712" t="n">
        <v>57.986714107</v>
      </c>
      <c r="E712" t="n">
        <v>53.412229006</v>
      </c>
      <c r="F712" t="n">
        <v/>
      </c>
      <c r="G712" t="n">
        <v/>
      </c>
      <c r="H712" t="n">
        <v/>
      </c>
      <c r="I712" t="n">
        <v>33.415317409</v>
      </c>
      <c r="J712" t="n">
        <v/>
      </c>
      <c r="K712" t="n">
        <v>54.876041014</v>
      </c>
      <c r="L712" t="n">
        <v>53.15388784</v>
      </c>
      <c r="M712" t="n">
        <v>63.236062838</v>
      </c>
      <c r="N712" t="n">
        <v>82.03880329899999</v>
      </c>
      <c r="O712" t="n">
        <v/>
      </c>
      <c r="P712" t="n">
        <v/>
      </c>
      <c r="Q712" t="n">
        <v>41.884131687</v>
      </c>
      <c r="R712" t="n">
        <v>77.38335217300001</v>
      </c>
      <c r="S712" t="n">
        <v>56.536968746</v>
      </c>
      <c r="T712" t="n">
        <v>67.38592147200001</v>
      </c>
      <c r="U712" t="n">
        <v/>
      </c>
      <c r="V712" t="n">
        <v>105.994590765</v>
      </c>
      <c r="W712" t="n">
        <v/>
      </c>
      <c r="X712" t="n">
        <v/>
      </c>
      <c r="Y712" t="n">
        <v/>
      </c>
      <c r="Z712" t="n">
        <v>7.117938356</v>
      </c>
      <c r="AA712" t="n">
        <v/>
      </c>
      <c r="AB712" t="n">
        <v/>
      </c>
      <c r="AC712" t="n">
        <v>81.024773334</v>
      </c>
      <c r="AD712" t="n">
        <v>62.171308104</v>
      </c>
      <c r="AE712" t="n">
        <v/>
      </c>
      <c r="AF712" t="n">
        <v>49.666812719</v>
      </c>
      <c r="AG712" t="n">
        <v/>
      </c>
      <c r="AH712" t="n">
        <v/>
      </c>
      <c r="AI712" t="n">
        <v>64.29203443500001</v>
      </c>
      <c r="AJ712" t="n">
        <v>49.333097174</v>
      </c>
      <c r="AK712" t="n">
        <v/>
      </c>
      <c r="AL712" t="n">
        <v>49.291730995</v>
      </c>
      <c r="AM712" t="n">
        <v/>
      </c>
      <c r="AN712" t="n">
        <v>60.79604659</v>
      </c>
      <c r="AO712" t="n">
        <v/>
      </c>
      <c r="AP712" t="n">
        <v/>
      </c>
      <c r="AQ712" t="n">
        <v/>
      </c>
      <c r="AR712" t="n">
        <v>54.014365008</v>
      </c>
      <c r="AS712" t="n">
        <v/>
      </c>
      <c r="AT712" t="n">
        <v>48.642479385</v>
      </c>
      <c r="AU712" t="n">
        <v/>
      </c>
    </row>
    <row r="713">
      <c r="A713" s="106" t="n">
        <v>28581</v>
      </c>
      <c r="B713" t="n">
        <v>34.839318646</v>
      </c>
      <c r="C713" t="n">
        <v>49.729293038</v>
      </c>
      <c r="D713" t="n">
        <v>60.250826518</v>
      </c>
      <c r="E713" t="n">
        <v>54.411725871</v>
      </c>
      <c r="F713" t="n">
        <v/>
      </c>
      <c r="G713" t="n">
        <v/>
      </c>
      <c r="H713" t="n">
        <v/>
      </c>
      <c r="I713" t="n">
        <v>34.839318646</v>
      </c>
      <c r="J713" t="n">
        <v/>
      </c>
      <c r="K713" t="n">
        <v>55.987141957</v>
      </c>
      <c r="L713" t="n">
        <v>63.784665409</v>
      </c>
      <c r="M713" t="n">
        <v>65.160100298</v>
      </c>
      <c r="N713" t="n">
        <v>79.578646217</v>
      </c>
      <c r="O713" t="n">
        <v/>
      </c>
      <c r="P713" t="n">
        <v/>
      </c>
      <c r="Q713" t="n">
        <v>41.884131687</v>
      </c>
      <c r="R713" t="n">
        <v>80.003418426</v>
      </c>
      <c r="S713" t="n">
        <v>57.659821859</v>
      </c>
      <c r="T713" t="n">
        <v>68.340997524</v>
      </c>
      <c r="U713" t="n">
        <v/>
      </c>
      <c r="V713" t="n">
        <v>106.478927053</v>
      </c>
      <c r="W713" t="n">
        <v/>
      </c>
      <c r="X713" t="n">
        <v/>
      </c>
      <c r="Y713" t="n">
        <v/>
      </c>
      <c r="Z713" t="n">
        <v>7.133310789</v>
      </c>
      <c r="AA713" t="n">
        <v/>
      </c>
      <c r="AB713" t="n">
        <v/>
      </c>
      <c r="AC713" t="n">
        <v>85.46713277800001</v>
      </c>
      <c r="AD713" t="n">
        <v>62.171308104</v>
      </c>
      <c r="AE713" t="n">
        <v/>
      </c>
      <c r="AF713" t="n">
        <v>50.516750883</v>
      </c>
      <c r="AG713" t="n">
        <v/>
      </c>
      <c r="AH713" t="n">
        <v/>
      </c>
      <c r="AI713" t="n">
        <v>63.696737819</v>
      </c>
      <c r="AJ713" t="n">
        <v>49.893700551</v>
      </c>
      <c r="AK713" t="n">
        <v/>
      </c>
      <c r="AL713" t="n">
        <v>50.134496901</v>
      </c>
      <c r="AM713" t="n">
        <v/>
      </c>
      <c r="AN713" t="n">
        <v>61.427786293</v>
      </c>
      <c r="AO713" t="n">
        <v/>
      </c>
      <c r="AP713" t="n">
        <v/>
      </c>
      <c r="AQ713" t="n">
        <v/>
      </c>
      <c r="AR713" t="n">
        <v>54.014365008</v>
      </c>
      <c r="AS713" t="n">
        <v/>
      </c>
      <c r="AT713" t="n">
        <v>49.605010543</v>
      </c>
      <c r="AU713" t="n">
        <v/>
      </c>
    </row>
    <row r="714">
      <c r="A714" s="106" t="n">
        <v>28611</v>
      </c>
      <c r="B714" t="n">
        <v>33.797662806</v>
      </c>
      <c r="C714" t="n">
        <v>50.937960487</v>
      </c>
      <c r="D714" t="n">
        <v>58.059229682</v>
      </c>
      <c r="E714" t="n">
        <v>53.758082176</v>
      </c>
      <c r="F714" t="n">
        <v/>
      </c>
      <c r="G714" t="n">
        <v/>
      </c>
      <c r="H714" t="n">
        <v/>
      </c>
      <c r="I714" t="n">
        <v>33.797662806</v>
      </c>
      <c r="J714" t="n">
        <v/>
      </c>
      <c r="K714" t="n">
        <v>55.925414126</v>
      </c>
      <c r="L714" t="n">
        <v>60.657966124</v>
      </c>
      <c r="M714" t="n">
        <v>64.19808156800001</v>
      </c>
      <c r="N714" t="n">
        <v>80.644088814</v>
      </c>
      <c r="O714" t="n">
        <v/>
      </c>
      <c r="P714" t="n">
        <v/>
      </c>
      <c r="Q714" t="n">
        <v>42.086960412</v>
      </c>
      <c r="R714" t="n">
        <v>78.601987644</v>
      </c>
      <c r="S714" t="n">
        <v>57.629309766</v>
      </c>
      <c r="T714" t="n">
        <v>69.08383445299999</v>
      </c>
      <c r="U714" t="n">
        <v/>
      </c>
      <c r="V714" t="n">
        <v>104.115846784</v>
      </c>
      <c r="W714" t="n">
        <v/>
      </c>
      <c r="X714" t="n">
        <v/>
      </c>
      <c r="Y714" t="n">
        <v/>
      </c>
      <c r="Z714" t="n">
        <v>6.979576535</v>
      </c>
      <c r="AA714" t="n">
        <v/>
      </c>
      <c r="AB714" t="n">
        <v/>
      </c>
      <c r="AC714" t="n">
        <v>83.245953051</v>
      </c>
      <c r="AD714" t="n">
        <v>62.339566042</v>
      </c>
      <c r="AE714" t="n">
        <v/>
      </c>
      <c r="AF714" t="n">
        <v>49.799055244</v>
      </c>
      <c r="AG714" t="n">
        <v/>
      </c>
      <c r="AH714" t="n">
        <v/>
      </c>
      <c r="AI714" t="n">
        <v>63.101441204</v>
      </c>
      <c r="AJ714" t="n">
        <v>47.090683666</v>
      </c>
      <c r="AK714" t="n">
        <v/>
      </c>
      <c r="AL714" t="n">
        <v>50.09413002</v>
      </c>
      <c r="AM714" t="n">
        <v/>
      </c>
      <c r="AN714" t="n">
        <v>61.584532378</v>
      </c>
      <c r="AO714" t="n">
        <v/>
      </c>
      <c r="AP714" t="n">
        <v/>
      </c>
      <c r="AQ714" t="n">
        <v/>
      </c>
      <c r="AR714" t="n">
        <v>53.209895742</v>
      </c>
      <c r="AS714" t="n">
        <v/>
      </c>
      <c r="AT714" t="n">
        <v>49.848642876</v>
      </c>
      <c r="AU714" t="n">
        <v/>
      </c>
    </row>
    <row r="715">
      <c r="A715" s="106" t="n">
        <v>28642</v>
      </c>
      <c r="B715" t="n">
        <v>33.740530014</v>
      </c>
      <c r="C715" t="n">
        <v>49.308673021</v>
      </c>
      <c r="D715" t="n">
        <v>57.866537313</v>
      </c>
      <c r="E715" t="n">
        <v>54.838873332</v>
      </c>
      <c r="F715" t="n">
        <v/>
      </c>
      <c r="G715" t="n">
        <v/>
      </c>
      <c r="H715" t="n">
        <v/>
      </c>
      <c r="I715" t="n">
        <v>33.740530014</v>
      </c>
      <c r="J715" t="n">
        <v/>
      </c>
      <c r="K715" t="n">
        <v>55.616774976</v>
      </c>
      <c r="L715" t="n">
        <v>60.032626267</v>
      </c>
      <c r="M715" t="n">
        <v>64.102832189</v>
      </c>
      <c r="N715" t="n">
        <v>81.462347429</v>
      </c>
      <c r="O715" t="n">
        <v/>
      </c>
      <c r="P715" t="n">
        <v/>
      </c>
      <c r="Q715" t="n">
        <v>41.478474238</v>
      </c>
      <c r="R715" t="n">
        <v>77.13962508199999</v>
      </c>
      <c r="S715" t="n">
        <v>57.855937766</v>
      </c>
      <c r="T715" t="n">
        <v>69.402193138</v>
      </c>
      <c r="U715" t="n">
        <v/>
      </c>
      <c r="V715" t="n">
        <v>104.402138508</v>
      </c>
      <c r="W715" t="n">
        <v/>
      </c>
      <c r="X715" t="n">
        <v/>
      </c>
      <c r="Y715" t="n">
        <v/>
      </c>
      <c r="Z715" t="n">
        <v>7.371601223</v>
      </c>
      <c r="AA715" t="n">
        <v/>
      </c>
      <c r="AB715" t="n">
        <v/>
      </c>
      <c r="AC715" t="n">
        <v>84.30825639699999</v>
      </c>
      <c r="AD715" t="n">
        <v>62.676081919</v>
      </c>
      <c r="AE715" t="n">
        <v/>
      </c>
      <c r="AF715" t="n">
        <v>49.576538104</v>
      </c>
      <c r="AG715" t="n">
        <v/>
      </c>
      <c r="AH715" t="n">
        <v/>
      </c>
      <c r="AI715" t="n">
        <v>64.29203443500001</v>
      </c>
      <c r="AJ715" t="n">
        <v>49.333097174</v>
      </c>
      <c r="AK715" t="n">
        <v/>
      </c>
      <c r="AL715" t="n">
        <v>50.289614147</v>
      </c>
      <c r="AM715" t="n">
        <v/>
      </c>
      <c r="AN715" t="n">
        <v>62.033436884</v>
      </c>
      <c r="AO715" t="n">
        <v/>
      </c>
      <c r="AP715" t="n">
        <v/>
      </c>
      <c r="AQ715" t="n">
        <v/>
      </c>
      <c r="AR715" t="n">
        <v>52.98004738</v>
      </c>
      <c r="AS715" t="n">
        <v/>
      </c>
      <c r="AT715" t="n">
        <v>50.16813143</v>
      </c>
      <c r="AU715" t="n">
        <v/>
      </c>
    </row>
    <row r="716">
      <c r="A716" s="106" t="n">
        <v>28672</v>
      </c>
      <c r="B716" t="n">
        <v>34.370151409</v>
      </c>
      <c r="C716" t="n">
        <v>51.047861925</v>
      </c>
      <c r="D716" t="n">
        <v>59.056939806</v>
      </c>
      <c r="E716" t="n">
        <v>54.027340147</v>
      </c>
      <c r="F716" t="n">
        <v/>
      </c>
      <c r="G716" t="n">
        <v/>
      </c>
      <c r="H716" t="n">
        <v/>
      </c>
      <c r="I716" t="n">
        <v>34.370151409</v>
      </c>
      <c r="J716" t="n">
        <v/>
      </c>
      <c r="K716" t="n">
        <v>57.098242899</v>
      </c>
      <c r="L716" t="n">
        <v>59.40728641</v>
      </c>
      <c r="M716" t="n">
        <v>64.969601539</v>
      </c>
      <c r="N716" t="n">
        <v>81.031505717</v>
      </c>
      <c r="O716" t="n">
        <v/>
      </c>
      <c r="P716" t="n">
        <v/>
      </c>
      <c r="Q716" t="n">
        <v>38.68957927</v>
      </c>
      <c r="R716" t="n">
        <v>77.07869330299999</v>
      </c>
      <c r="S716" t="n">
        <v>58.193311995</v>
      </c>
      <c r="T716" t="n">
        <v>69.508312699</v>
      </c>
      <c r="U716" t="n">
        <v/>
      </c>
      <c r="V716" t="n">
        <v>106.011707217</v>
      </c>
      <c r="W716" t="n">
        <v/>
      </c>
      <c r="X716" t="n">
        <v/>
      </c>
      <c r="Y716" t="n">
        <v/>
      </c>
      <c r="Z716" t="n">
        <v>7.479215342</v>
      </c>
      <c r="AA716" t="n">
        <v/>
      </c>
      <c r="AB716" t="n">
        <v/>
      </c>
      <c r="AC716" t="n">
        <v>86.43286308899999</v>
      </c>
      <c r="AD716" t="n">
        <v>63.096726764</v>
      </c>
      <c r="AE716" t="n">
        <v/>
      </c>
      <c r="AF716" t="n">
        <v>52.545804721</v>
      </c>
      <c r="AG716" t="n">
        <v/>
      </c>
      <c r="AH716" t="n">
        <v/>
      </c>
      <c r="AI716" t="n">
        <v>65.482627665</v>
      </c>
      <c r="AJ716" t="n">
        <v>49.333097174</v>
      </c>
      <c r="AK716" t="n">
        <v/>
      </c>
      <c r="AL716" t="n">
        <v>50.572489603</v>
      </c>
      <c r="AM716" t="n">
        <v/>
      </c>
      <c r="AN716" t="n">
        <v>61.984829464</v>
      </c>
      <c r="AO716" t="n">
        <v/>
      </c>
      <c r="AP716" t="n">
        <v/>
      </c>
      <c r="AQ716" t="n">
        <v/>
      </c>
      <c r="AR716" t="n">
        <v>53.324819923</v>
      </c>
      <c r="AS716" t="n">
        <v/>
      </c>
      <c r="AT716" t="n">
        <v>50.124501708</v>
      </c>
      <c r="AU716" t="n">
        <v/>
      </c>
    </row>
    <row r="717">
      <c r="A717" s="106" t="n">
        <v>28703</v>
      </c>
      <c r="B717" t="n">
        <v>34.286282634</v>
      </c>
      <c r="C717" t="n">
        <v>51.091502292</v>
      </c>
      <c r="D717" t="n">
        <v>59.752410962</v>
      </c>
      <c r="E717" t="n">
        <v>54.286730024</v>
      </c>
      <c r="F717" t="n">
        <v/>
      </c>
      <c r="G717" t="n">
        <v/>
      </c>
      <c r="H717" t="n">
        <v/>
      </c>
      <c r="I717" t="n">
        <v>34.286282634</v>
      </c>
      <c r="J717" t="n">
        <v/>
      </c>
      <c r="K717" t="n">
        <v>57.653793371</v>
      </c>
      <c r="L717" t="n">
        <v>60.657966124</v>
      </c>
      <c r="M717" t="n">
        <v>65.35059905599999</v>
      </c>
      <c r="N717" t="n">
        <v>81.660253205</v>
      </c>
      <c r="O717" t="n">
        <v/>
      </c>
      <c r="P717" t="n">
        <v/>
      </c>
      <c r="Q717" t="n">
        <v>42.594032224</v>
      </c>
      <c r="R717" t="n">
        <v>77.07869330299999</v>
      </c>
      <c r="S717" t="n">
        <v>58.500648577</v>
      </c>
      <c r="T717" t="n">
        <v>69.508312699</v>
      </c>
      <c r="U717" t="n">
        <v/>
      </c>
      <c r="V717" t="n">
        <v>105.806881057</v>
      </c>
      <c r="W717" t="n">
        <v/>
      </c>
      <c r="X717" t="n">
        <v/>
      </c>
      <c r="Y717" t="n">
        <v/>
      </c>
      <c r="Z717" t="n">
        <v>6.787407654</v>
      </c>
      <c r="AA717" t="n">
        <v/>
      </c>
      <c r="AB717" t="n">
        <v/>
      </c>
      <c r="AC717" t="n">
        <v>86.239717029</v>
      </c>
      <c r="AD717" t="n">
        <v>63.938016454</v>
      </c>
      <c r="AE717" t="n">
        <v/>
      </c>
      <c r="AF717" t="n">
        <v>51.952544416</v>
      </c>
      <c r="AG717" t="n">
        <v/>
      </c>
      <c r="AH717" t="n">
        <v/>
      </c>
      <c r="AI717" t="n">
        <v>64.29203443500001</v>
      </c>
      <c r="AJ717" t="n">
        <v>51.014907305</v>
      </c>
      <c r="AK717" t="n">
        <v/>
      </c>
      <c r="AL717" t="n">
        <v>50.832425663</v>
      </c>
      <c r="AM717" t="n">
        <v/>
      </c>
      <c r="AN717" t="n">
        <v>61.531562813</v>
      </c>
      <c r="AO717" t="n">
        <v/>
      </c>
      <c r="AP717" t="n">
        <v/>
      </c>
      <c r="AQ717" t="n">
        <v/>
      </c>
      <c r="AR717" t="n">
        <v>54.531523822</v>
      </c>
      <c r="AS717" t="n">
        <v/>
      </c>
      <c r="AT717" t="n">
        <v>50.335015116</v>
      </c>
      <c r="AU717" t="n">
        <v/>
      </c>
    </row>
    <row r="718">
      <c r="A718" s="106" t="n">
        <v>28734</v>
      </c>
      <c r="B718" t="n">
        <v>35.027966845</v>
      </c>
      <c r="C718" t="n">
        <v>51.905841545</v>
      </c>
      <c r="D718" t="n">
        <v>60.045056091</v>
      </c>
      <c r="E718" t="n">
        <v>55.650406517</v>
      </c>
      <c r="F718" t="n">
        <v/>
      </c>
      <c r="G718" t="n">
        <v/>
      </c>
      <c r="H718" t="n">
        <v/>
      </c>
      <c r="I718" t="n">
        <v>35.027966845</v>
      </c>
      <c r="J718" t="n">
        <v/>
      </c>
      <c r="K718" t="n">
        <v>58.579710823</v>
      </c>
      <c r="L718" t="n">
        <v>60.657966124</v>
      </c>
      <c r="M718" t="n">
        <v>66.217368407</v>
      </c>
      <c r="N718" t="n">
        <v>83.62784074699999</v>
      </c>
      <c r="O718" t="n">
        <v/>
      </c>
      <c r="P718" t="n">
        <v/>
      </c>
      <c r="Q718" t="n">
        <v>43.456054305</v>
      </c>
      <c r="R718" t="n">
        <v>78.419192323</v>
      </c>
      <c r="S718" t="n">
        <v>58.951944165</v>
      </c>
      <c r="T718" t="n">
        <v>69.508312699</v>
      </c>
      <c r="U718" t="n">
        <v/>
      </c>
      <c r="V718" t="n">
        <v>106.552519196</v>
      </c>
      <c r="W718" t="n">
        <v/>
      </c>
      <c r="X718" t="n">
        <v/>
      </c>
      <c r="Y718" t="n">
        <v/>
      </c>
      <c r="Z718" t="n">
        <v>7.402347506</v>
      </c>
      <c r="AA718" t="n">
        <v/>
      </c>
      <c r="AB718" t="n">
        <v/>
      </c>
      <c r="AC718" t="n">
        <v>87.3985934</v>
      </c>
      <c r="AD718" t="n">
        <v>64.442790268</v>
      </c>
      <c r="AE718" t="n">
        <v/>
      </c>
      <c r="AF718" t="n">
        <v>51.608375293</v>
      </c>
      <c r="AG718" t="n">
        <v/>
      </c>
      <c r="AH718" t="n">
        <v/>
      </c>
      <c r="AI718" t="n">
        <v>64.29203443500001</v>
      </c>
      <c r="AJ718" t="n">
        <v>51.575510682</v>
      </c>
      <c r="AK718" t="n">
        <v/>
      </c>
      <c r="AL718" t="n">
        <v>51.259825824</v>
      </c>
      <c r="AM718" t="n">
        <v/>
      </c>
      <c r="AN718" t="n">
        <v>61.952615436</v>
      </c>
      <c r="AO718" t="n">
        <v/>
      </c>
      <c r="AP718" t="n">
        <v/>
      </c>
      <c r="AQ718" t="n">
        <v/>
      </c>
      <c r="AR718" t="n">
        <v>55.221068907</v>
      </c>
      <c r="AS718" t="n">
        <v/>
      </c>
      <c r="AT718" t="n">
        <v>50.457376654</v>
      </c>
      <c r="AU718" t="n">
        <v/>
      </c>
    </row>
    <row r="719">
      <c r="A719" s="106" t="n">
        <v>28764</v>
      </c>
      <c r="B719" t="n">
        <v>34.850867338</v>
      </c>
      <c r="C719" t="n">
        <v>53.046637675</v>
      </c>
      <c r="D719" t="n">
        <v>60.620822192</v>
      </c>
      <c r="E719" t="n">
        <v>55.836490559</v>
      </c>
      <c r="F719" t="n">
        <v/>
      </c>
      <c r="G719" t="n">
        <v/>
      </c>
      <c r="H719" t="n">
        <v/>
      </c>
      <c r="I719" t="n">
        <v>34.850867338</v>
      </c>
      <c r="J719" t="n">
        <v/>
      </c>
      <c r="K719" t="n">
        <v>57.592065541</v>
      </c>
      <c r="L719" t="n">
        <v>60.657966124</v>
      </c>
      <c r="M719" t="n">
        <v>66.026869648</v>
      </c>
      <c r="N719" t="n">
        <v>83.372498699</v>
      </c>
      <c r="O719" t="n">
        <v/>
      </c>
      <c r="P719" t="n">
        <v/>
      </c>
      <c r="Q719" t="n">
        <v>43.811004574</v>
      </c>
      <c r="R719" t="n">
        <v>79.576896015</v>
      </c>
      <c r="S719" t="n">
        <v>59.157409279</v>
      </c>
      <c r="T719" t="n">
        <v>69.61443226</v>
      </c>
      <c r="U719" t="n">
        <v/>
      </c>
      <c r="V719" t="n">
        <v>107.547537064</v>
      </c>
      <c r="W719" t="n">
        <v/>
      </c>
      <c r="X719" t="n">
        <v/>
      </c>
      <c r="Y719" t="n">
        <v/>
      </c>
      <c r="Z719" t="n">
        <v>7.348540446</v>
      </c>
      <c r="AA719" t="n">
        <v/>
      </c>
      <c r="AB719" t="n">
        <v/>
      </c>
      <c r="AC719" t="n">
        <v>88.460896746</v>
      </c>
      <c r="AD719" t="n">
        <v>64.526919237</v>
      </c>
      <c r="AE719" t="n">
        <v/>
      </c>
      <c r="AF719" t="n">
        <v>51.609031156</v>
      </c>
      <c r="AG719" t="n">
        <v/>
      </c>
      <c r="AH719" t="n">
        <v/>
      </c>
      <c r="AI719" t="n">
        <v>64.88733105</v>
      </c>
      <c r="AJ719" t="n">
        <v>51.575510682</v>
      </c>
      <c r="AK719" t="n">
        <v/>
      </c>
      <c r="AL719" t="n">
        <v>51.441000649</v>
      </c>
      <c r="AM719" t="n">
        <v/>
      </c>
      <c r="AN719" t="n">
        <v>61.276472841</v>
      </c>
      <c r="AO719" t="n">
        <v/>
      </c>
      <c r="AP719" t="n">
        <v/>
      </c>
      <c r="AQ719" t="n">
        <v/>
      </c>
      <c r="AR719" t="n">
        <v>55.62330354</v>
      </c>
      <c r="AS719" t="n">
        <v/>
      </c>
      <c r="AT719" t="n">
        <v>50.850539943</v>
      </c>
      <c r="AU719" t="n">
        <v/>
      </c>
    </row>
    <row r="720">
      <c r="A720" s="106" t="n">
        <v>28795</v>
      </c>
      <c r="B720" t="n">
        <v>34.847520637</v>
      </c>
      <c r="C720" t="n">
        <v>52.342484587</v>
      </c>
      <c r="D720" t="n">
        <v>60.353135026</v>
      </c>
      <c r="E720" t="n">
        <v>56.368427772</v>
      </c>
      <c r="F720" t="n">
        <v/>
      </c>
      <c r="G720" t="n">
        <v/>
      </c>
      <c r="H720" t="n">
        <v/>
      </c>
      <c r="I720" t="n">
        <v>34.847520637</v>
      </c>
      <c r="J720" t="n">
        <v/>
      </c>
      <c r="K720" t="n">
        <v>58.024160352</v>
      </c>
      <c r="L720" t="n">
        <v>60.657966124</v>
      </c>
      <c r="M720" t="n">
        <v>66.312617786</v>
      </c>
      <c r="N720" t="n">
        <v>83.454926441</v>
      </c>
      <c r="O720" t="n">
        <v/>
      </c>
      <c r="P720" t="n">
        <v/>
      </c>
      <c r="Q720" t="n">
        <v>44.06454048</v>
      </c>
      <c r="R720" t="n">
        <v>80.064350205</v>
      </c>
      <c r="S720" t="n">
        <v>59.493098563</v>
      </c>
      <c r="T720" t="n">
        <v>69.508312699</v>
      </c>
      <c r="U720" t="n">
        <v/>
      </c>
      <c r="V720" t="n">
        <v>110.25851337</v>
      </c>
      <c r="W720" t="n">
        <v/>
      </c>
      <c r="X720" t="n">
        <v/>
      </c>
      <c r="Y720" t="n">
        <v/>
      </c>
      <c r="Z720" t="n">
        <v>7.602203313</v>
      </c>
      <c r="AA720" t="n">
        <v/>
      </c>
      <c r="AB720" t="n">
        <v/>
      </c>
      <c r="AC720" t="n">
        <v>88.36432370999999</v>
      </c>
      <c r="AD720" t="n">
        <v>64.86343511299999</v>
      </c>
      <c r="AE720" t="n">
        <v/>
      </c>
      <c r="AF720" t="n">
        <v>51.11403309</v>
      </c>
      <c r="AG720" t="n">
        <v/>
      </c>
      <c r="AH720" t="n">
        <v/>
      </c>
      <c r="AI720" t="n">
        <v>66.07792428</v>
      </c>
      <c r="AJ720" t="n">
        <v>52.136114059</v>
      </c>
      <c r="AK720" t="n">
        <v/>
      </c>
      <c r="AL720" t="n">
        <v>51.734173246</v>
      </c>
      <c r="AM720" t="n">
        <v/>
      </c>
      <c r="AN720" t="n">
        <v>64.157537809</v>
      </c>
      <c r="AO720" t="n">
        <v/>
      </c>
      <c r="AP720" t="n">
        <v/>
      </c>
      <c r="AQ720" t="n">
        <v/>
      </c>
      <c r="AR720" t="n">
        <v>55.910613992</v>
      </c>
      <c r="AS720" t="n">
        <v/>
      </c>
      <c r="AT720" t="n">
        <v>51.238844467</v>
      </c>
      <c r="AU720" t="n">
        <v/>
      </c>
    </row>
    <row r="721">
      <c r="A721" s="106" t="n">
        <v>28825</v>
      </c>
      <c r="B721" t="n">
        <v>35.605683958</v>
      </c>
      <c r="C721" t="n">
        <v>54.472892855</v>
      </c>
      <c r="D721" t="n">
        <v>61.965791088</v>
      </c>
      <c r="E721" t="n">
        <v>57.248097791</v>
      </c>
      <c r="F721" t="n">
        <v/>
      </c>
      <c r="G721" t="n">
        <v/>
      </c>
      <c r="H721" t="n">
        <v/>
      </c>
      <c r="I721" t="n">
        <v>35.605683958</v>
      </c>
      <c r="J721" t="n">
        <v/>
      </c>
      <c r="K721" t="n">
        <v>59.875995257</v>
      </c>
      <c r="L721" t="n">
        <v>61.908645838</v>
      </c>
      <c r="M721" t="n">
        <v>68.331904624</v>
      </c>
      <c r="N721" t="n">
        <v>83.701748533</v>
      </c>
      <c r="O721" t="n">
        <v/>
      </c>
      <c r="P721" t="n">
        <v/>
      </c>
      <c r="Q721" t="n">
        <v>44.774441017</v>
      </c>
      <c r="R721" t="n">
        <v>80.24714552499999</v>
      </c>
      <c r="S721" t="n">
        <v>60.298556633</v>
      </c>
      <c r="T721" t="n">
        <v>69.08383445299999</v>
      </c>
      <c r="U721" t="n">
        <v/>
      </c>
      <c r="V721" t="n">
        <v>111.073578676</v>
      </c>
      <c r="W721" t="n">
        <v/>
      </c>
      <c r="X721" t="n">
        <v/>
      </c>
      <c r="Y721" t="n">
        <v/>
      </c>
      <c r="Z721" t="n">
        <v>7.571457029</v>
      </c>
      <c r="AA721" t="n">
        <v/>
      </c>
      <c r="AB721" t="n">
        <v/>
      </c>
      <c r="AC721" t="n">
        <v>93.86898650099999</v>
      </c>
      <c r="AD721" t="n">
        <v>65.452337896</v>
      </c>
      <c r="AE721" t="n">
        <v/>
      </c>
      <c r="AF721" t="n">
        <v>51.448722048</v>
      </c>
      <c r="AG721" t="n">
        <v/>
      </c>
      <c r="AH721" t="n">
        <v/>
      </c>
      <c r="AI721" t="n">
        <v>68.459110741</v>
      </c>
      <c r="AJ721" t="n">
        <v>51.014907305</v>
      </c>
      <c r="AK721" t="n">
        <v/>
      </c>
      <c r="AL721" t="n">
        <v>52.418184178</v>
      </c>
      <c r="AM721" t="n">
        <v/>
      </c>
      <c r="AN721" t="n">
        <v>65.372724584</v>
      </c>
      <c r="AO721" t="n">
        <v/>
      </c>
      <c r="AP721" t="n">
        <v/>
      </c>
      <c r="AQ721" t="n">
        <v/>
      </c>
      <c r="AR721" t="n">
        <v>55.795689811</v>
      </c>
      <c r="AS721" t="n">
        <v/>
      </c>
      <c r="AT721" t="n">
        <v>51.503300076</v>
      </c>
      <c r="AU721" t="n">
        <v/>
      </c>
    </row>
    <row r="722">
      <c r="A722" s="106" t="n">
        <v>28856</v>
      </c>
      <c r="B722" t="n">
        <v>35.586710803</v>
      </c>
      <c r="C722" t="n">
        <v>49.27786999</v>
      </c>
      <c r="D722" t="n">
        <v>62.498635732</v>
      </c>
      <c r="E722" t="n">
        <v>57.159754861</v>
      </c>
      <c r="F722" t="n">
        <v/>
      </c>
      <c r="G722" t="n">
        <v/>
      </c>
      <c r="H722" t="n">
        <v/>
      </c>
      <c r="I722" t="n">
        <v>35.586710803</v>
      </c>
      <c r="J722" t="n">
        <v/>
      </c>
      <c r="K722" t="n">
        <v>58.271071673</v>
      </c>
      <c r="L722" t="n">
        <v>57.531266839</v>
      </c>
      <c r="M722" t="n">
        <v>65.731596573</v>
      </c>
      <c r="N722" t="n">
        <v>83.435644014</v>
      </c>
      <c r="O722" t="n">
        <v/>
      </c>
      <c r="P722" t="n">
        <v/>
      </c>
      <c r="Q722" t="n">
        <v>45.585755916</v>
      </c>
      <c r="R722" t="n">
        <v>79.39410069500001</v>
      </c>
      <c r="S722" t="n">
        <v>59.513429189</v>
      </c>
      <c r="T722" t="n">
        <v>68.87159533099999</v>
      </c>
      <c r="U722" t="n">
        <v/>
      </c>
      <c r="V722" t="n">
        <v>111.734445202</v>
      </c>
      <c r="W722" t="n">
        <v/>
      </c>
      <c r="X722" t="n">
        <v/>
      </c>
      <c r="Y722" t="n">
        <v/>
      </c>
      <c r="Z722" t="n">
        <v>7.463841491</v>
      </c>
      <c r="AA722" t="n">
        <v/>
      </c>
      <c r="AB722" t="n">
        <v/>
      </c>
      <c r="AC722" t="n">
        <v>87.784885531</v>
      </c>
      <c r="AD722" t="n">
        <v>65.368208927</v>
      </c>
      <c r="AE722" t="n">
        <v/>
      </c>
      <c r="AF722" t="n">
        <v>50.222294342</v>
      </c>
      <c r="AG722" t="n">
        <v/>
      </c>
      <c r="AH722" t="n">
        <v/>
      </c>
      <c r="AI722" t="n">
        <v>66.30116051100001</v>
      </c>
      <c r="AJ722" t="n">
        <v>50.454303928</v>
      </c>
      <c r="AK722" t="n">
        <v/>
      </c>
      <c r="AL722" t="n">
        <v>51.710772352</v>
      </c>
      <c r="AM722" t="n">
        <v/>
      </c>
      <c r="AN722" t="n">
        <v>62.839697443</v>
      </c>
      <c r="AO722" t="n">
        <v/>
      </c>
      <c r="AP722" t="n">
        <v/>
      </c>
      <c r="AQ722" t="n">
        <v/>
      </c>
      <c r="AR722" t="n">
        <v>55.335993088</v>
      </c>
      <c r="AS722" t="n">
        <v/>
      </c>
      <c r="AT722" t="n">
        <v>51.216038021</v>
      </c>
      <c r="AU722" t="n">
        <v/>
      </c>
    </row>
    <row r="723">
      <c r="A723" s="106" t="n">
        <v>28887</v>
      </c>
      <c r="B723" t="n">
        <v>35.502661707</v>
      </c>
      <c r="C723" t="n">
        <v>51.621735058</v>
      </c>
      <c r="D723" t="n">
        <v>62.241361641</v>
      </c>
      <c r="E723" t="n">
        <v>57.250447337</v>
      </c>
      <c r="F723" t="n">
        <v/>
      </c>
      <c r="G723" t="n">
        <v/>
      </c>
      <c r="H723" t="n">
        <v/>
      </c>
      <c r="I723" t="n">
        <v>35.502661707</v>
      </c>
      <c r="J723" t="n">
        <v/>
      </c>
      <c r="K723" t="n">
        <v>58.085888182</v>
      </c>
      <c r="L723" t="n">
        <v>58.781946553</v>
      </c>
      <c r="M723" t="n">
        <v>66.598365923</v>
      </c>
      <c r="N723" t="n">
        <v>78.71543202700001</v>
      </c>
      <c r="O723" t="n">
        <v/>
      </c>
      <c r="P723" t="n">
        <v/>
      </c>
      <c r="Q723" t="n">
        <v>46.244949272</v>
      </c>
      <c r="R723" t="n">
        <v>79.576896015</v>
      </c>
      <c r="S723" t="n">
        <v>59.79464121</v>
      </c>
      <c r="T723" t="n">
        <v>69.296073576</v>
      </c>
      <c r="U723" t="n">
        <v/>
      </c>
      <c r="V723" t="n">
        <v>110.906337848</v>
      </c>
      <c r="W723" t="n">
        <v/>
      </c>
      <c r="X723" t="n">
        <v/>
      </c>
      <c r="Y723" t="n">
        <v/>
      </c>
      <c r="Z723" t="n">
        <v>7.563770104</v>
      </c>
      <c r="AA723" t="n">
        <v/>
      </c>
      <c r="AB723" t="n">
        <v/>
      </c>
      <c r="AC723" t="n">
        <v>90.488930403</v>
      </c>
      <c r="AD723" t="n">
        <v>65.28407995800001</v>
      </c>
      <c r="AE723" t="n">
        <v/>
      </c>
      <c r="AF723" t="n">
        <v>53.666624802</v>
      </c>
      <c r="AG723" t="n">
        <v/>
      </c>
      <c r="AH723" t="n">
        <v/>
      </c>
      <c r="AI723" t="n">
        <v>65.63145181900001</v>
      </c>
      <c r="AJ723" t="n">
        <v>50.454303928</v>
      </c>
      <c r="AK723" t="n">
        <v/>
      </c>
      <c r="AL723" t="n">
        <v>51.846733963</v>
      </c>
      <c r="AM723" t="n">
        <v/>
      </c>
      <c r="AN723" t="n">
        <v>60.590924342</v>
      </c>
      <c r="AO723" t="n">
        <v/>
      </c>
      <c r="AP723" t="n">
        <v/>
      </c>
      <c r="AQ723" t="n">
        <v/>
      </c>
      <c r="AR723" t="n">
        <v>55.910613992</v>
      </c>
      <c r="AS723" t="n">
        <v/>
      </c>
      <c r="AT723" t="n">
        <v>51.472858429</v>
      </c>
      <c r="AU723" t="n">
        <v/>
      </c>
    </row>
    <row r="724">
      <c r="A724" s="106" t="n">
        <v>28915</v>
      </c>
      <c r="B724" t="n">
        <v>35.927908757</v>
      </c>
      <c r="C724" t="n">
        <v>51.561763374</v>
      </c>
      <c r="D724" t="n">
        <v>61.549491624</v>
      </c>
      <c r="E724" t="n">
        <v>57.125921399</v>
      </c>
      <c r="F724" t="n">
        <v/>
      </c>
      <c r="G724" t="n">
        <v/>
      </c>
      <c r="H724" t="n">
        <v/>
      </c>
      <c r="I724" t="n">
        <v>35.927908757</v>
      </c>
      <c r="J724" t="n">
        <v/>
      </c>
      <c r="K724" t="n">
        <v>58.332799503</v>
      </c>
      <c r="L724" t="n">
        <v>60.657966124</v>
      </c>
      <c r="M724" t="n">
        <v>67.274636515</v>
      </c>
      <c r="N724" t="n">
        <v>81.460379589</v>
      </c>
      <c r="O724" t="n">
        <v/>
      </c>
      <c r="P724" t="n">
        <v/>
      </c>
      <c r="Q724" t="n">
        <v>46.904142628</v>
      </c>
      <c r="R724" t="n">
        <v>80.673667936</v>
      </c>
      <c r="S724" t="n">
        <v>60.09675966</v>
      </c>
      <c r="T724" t="n">
        <v>70.675627874</v>
      </c>
      <c r="U724" t="n">
        <v/>
      </c>
      <c r="V724" t="n">
        <v>113.458558568</v>
      </c>
      <c r="W724" t="n">
        <v/>
      </c>
      <c r="X724" t="n">
        <v/>
      </c>
      <c r="Y724" t="n">
        <v/>
      </c>
      <c r="Z724" t="n">
        <v>7.802059119</v>
      </c>
      <c r="AA724" t="n">
        <v/>
      </c>
      <c r="AB724" t="n">
        <v/>
      </c>
      <c r="AC724" t="n">
        <v>89.619773127</v>
      </c>
      <c r="AD724" t="n">
        <v>65.872982741</v>
      </c>
      <c r="AE724" t="n">
        <v/>
      </c>
      <c r="AF724" t="n">
        <v>53.707881534</v>
      </c>
      <c r="AG724" t="n">
        <v/>
      </c>
      <c r="AH724" t="n">
        <v/>
      </c>
      <c r="AI724" t="n">
        <v>66.30116051100001</v>
      </c>
      <c r="AJ724" t="n">
        <v>51.014907305</v>
      </c>
      <c r="AK724" t="n">
        <v/>
      </c>
      <c r="AL724" t="n">
        <v>52.20249095</v>
      </c>
      <c r="AM724" t="n">
        <v/>
      </c>
      <c r="AN724" t="n">
        <v>67.731154863</v>
      </c>
      <c r="AO724" t="n">
        <v/>
      </c>
      <c r="AP724" t="n">
        <v/>
      </c>
      <c r="AQ724" t="n">
        <v/>
      </c>
      <c r="AR724" t="n">
        <v>55.968076083</v>
      </c>
      <c r="AS724" t="n">
        <v/>
      </c>
      <c r="AT724" t="n">
        <v>51.628537209</v>
      </c>
      <c r="AU724" t="n">
        <v/>
      </c>
    </row>
    <row r="725">
      <c r="A725" s="106" t="n">
        <v>28946</v>
      </c>
      <c r="B725" t="n">
        <v>36.047580192</v>
      </c>
      <c r="C725" t="n">
        <v>53.609448061</v>
      </c>
      <c r="D725" t="n">
        <v>63.545348173</v>
      </c>
      <c r="E725" t="n">
        <v>56.759862134</v>
      </c>
      <c r="F725" t="n">
        <v/>
      </c>
      <c r="G725" t="n">
        <v/>
      </c>
      <c r="H725" t="n">
        <v/>
      </c>
      <c r="I725" t="n">
        <v>36.047580192</v>
      </c>
      <c r="J725" t="n">
        <v/>
      </c>
      <c r="K725" t="n">
        <v>59.690811766</v>
      </c>
      <c r="L725" t="n">
        <v>60.657966124</v>
      </c>
      <c r="M725" t="n">
        <v>67.65563403199999</v>
      </c>
      <c r="N725" t="n">
        <v>81.424213634</v>
      </c>
      <c r="O725" t="n">
        <v/>
      </c>
      <c r="P725" t="n">
        <v/>
      </c>
      <c r="Q725" t="n">
        <v>47.106971353</v>
      </c>
      <c r="R725" t="n">
        <v>79.27223714500001</v>
      </c>
      <c r="S725" t="n">
        <v>60.091024663</v>
      </c>
      <c r="T725" t="n">
        <v>72.37354085600001</v>
      </c>
      <c r="U725" t="n">
        <v/>
      </c>
      <c r="V725" t="n">
        <v>113.919566885</v>
      </c>
      <c r="W725" t="n">
        <v/>
      </c>
      <c r="X725" t="n">
        <v/>
      </c>
      <c r="Y725" t="n">
        <v/>
      </c>
      <c r="Z725" t="n">
        <v>7.83280682</v>
      </c>
      <c r="AA725" t="n">
        <v/>
      </c>
      <c r="AB725" t="n">
        <v/>
      </c>
      <c r="AC725" t="n">
        <v>90.006065247</v>
      </c>
      <c r="AD725" t="n">
        <v>66.125369648</v>
      </c>
      <c r="AE725" t="n">
        <v/>
      </c>
      <c r="AF725" t="n">
        <v>52.899885309</v>
      </c>
      <c r="AG725" t="n">
        <v/>
      </c>
      <c r="AH725" t="n">
        <v/>
      </c>
      <c r="AI725" t="n">
        <v>68.31028658699999</v>
      </c>
      <c r="AJ725" t="n">
        <v>51.575510682</v>
      </c>
      <c r="AK725" t="n">
        <v/>
      </c>
      <c r="AL725" t="n">
        <v>52.251588107</v>
      </c>
      <c r="AM725" t="n">
        <v/>
      </c>
      <c r="AN725" t="n">
        <v>66.253259628</v>
      </c>
      <c r="AO725" t="n">
        <v/>
      </c>
      <c r="AP725" t="n">
        <v/>
      </c>
      <c r="AQ725" t="n">
        <v/>
      </c>
      <c r="AR725" t="n">
        <v>57.232242072</v>
      </c>
      <c r="AS725" t="n">
        <v/>
      </c>
      <c r="AT725" t="n">
        <v>51.021786601</v>
      </c>
      <c r="AU725" t="n">
        <v/>
      </c>
    </row>
    <row r="726">
      <c r="A726" s="106" t="n">
        <v>28976</v>
      </c>
      <c r="B726" t="n">
        <v>36.055359951</v>
      </c>
      <c r="C726" t="n">
        <v>53.00600035</v>
      </c>
      <c r="D726" t="n">
        <v>62.649149073</v>
      </c>
      <c r="E726" t="n">
        <v>57.727405173</v>
      </c>
      <c r="F726" t="n">
        <v/>
      </c>
      <c r="G726" t="n">
        <v/>
      </c>
      <c r="H726" t="n">
        <v/>
      </c>
      <c r="I726" t="n">
        <v>36.055359951</v>
      </c>
      <c r="J726" t="n">
        <v/>
      </c>
      <c r="K726" t="n">
        <v>59.567356106</v>
      </c>
      <c r="L726" t="n">
        <v>62.533985695</v>
      </c>
      <c r="M726" t="n">
        <v>67.94138217</v>
      </c>
      <c r="N726" t="n">
        <v>83.18501956999999</v>
      </c>
      <c r="O726" t="n">
        <v/>
      </c>
      <c r="P726" t="n">
        <v/>
      </c>
      <c r="Q726" t="n">
        <v>46.752021084</v>
      </c>
      <c r="R726" t="n">
        <v>81.587644537</v>
      </c>
      <c r="S726" t="n">
        <v>60.623547178</v>
      </c>
      <c r="T726" t="n">
        <v>73.43473647</v>
      </c>
      <c r="U726" t="n">
        <v/>
      </c>
      <c r="V726" t="n">
        <v>115.103346736</v>
      </c>
      <c r="W726" t="n">
        <v/>
      </c>
      <c r="X726" t="n">
        <v/>
      </c>
      <c r="Y726" t="n">
        <v/>
      </c>
      <c r="Z726" t="n">
        <v>7.679071149</v>
      </c>
      <c r="AA726" t="n">
        <v/>
      </c>
      <c r="AB726" t="n">
        <v/>
      </c>
      <c r="AC726" t="n">
        <v>87.88145855499999</v>
      </c>
      <c r="AD726" t="n">
        <v>67.555562122</v>
      </c>
      <c r="AE726" t="n">
        <v/>
      </c>
      <c r="AF726" t="n">
        <v>51.554155887</v>
      </c>
      <c r="AG726" t="n">
        <v/>
      </c>
      <c r="AH726" t="n">
        <v/>
      </c>
      <c r="AI726" t="n">
        <v>67.64057789500001</v>
      </c>
      <c r="AJ726" t="n">
        <v>52.696717436</v>
      </c>
      <c r="AK726" t="n">
        <v/>
      </c>
      <c r="AL726" t="n">
        <v>52.690939048</v>
      </c>
      <c r="AM726" t="n">
        <v/>
      </c>
      <c r="AN726" t="n">
        <v>66.30720208699999</v>
      </c>
      <c r="AO726" t="n">
        <v/>
      </c>
      <c r="AP726" t="n">
        <v/>
      </c>
      <c r="AQ726" t="n">
        <v/>
      </c>
      <c r="AR726" t="n">
        <v>57.806862976</v>
      </c>
      <c r="AS726" t="n">
        <v/>
      </c>
      <c r="AT726" t="n">
        <v>51.469288725</v>
      </c>
      <c r="AU726" t="n">
        <v/>
      </c>
    </row>
    <row r="727">
      <c r="A727" s="106" t="n">
        <v>29007</v>
      </c>
      <c r="B727" t="n">
        <v>37.105835584</v>
      </c>
      <c r="C727" t="n">
        <v>54.988917191</v>
      </c>
      <c r="D727" t="n">
        <v>63.061820231</v>
      </c>
      <c r="E727" t="n">
        <v>57.341139812</v>
      </c>
      <c r="F727" t="n">
        <v/>
      </c>
      <c r="G727" t="n">
        <v/>
      </c>
      <c r="H727" t="n">
        <v/>
      </c>
      <c r="I727" t="n">
        <v>37.105835584</v>
      </c>
      <c r="J727" t="n">
        <v/>
      </c>
      <c r="K727" t="n">
        <v>60.740184879</v>
      </c>
      <c r="L727" t="n">
        <v>61.908645838</v>
      </c>
      <c r="M727" t="n">
        <v>68.712902141</v>
      </c>
      <c r="N727" t="n">
        <v>84.212737378</v>
      </c>
      <c r="O727" t="n">
        <v/>
      </c>
      <c r="P727" t="n">
        <v/>
      </c>
      <c r="Q727" t="n">
        <v>46.802728266</v>
      </c>
      <c r="R727" t="n">
        <v>82.19696226799999</v>
      </c>
      <c r="S727" t="n">
        <v>60.790516072</v>
      </c>
      <c r="T727" t="n">
        <v>73.116377786</v>
      </c>
      <c r="U727" t="n">
        <v/>
      </c>
      <c r="V727" t="n">
        <v>113.895493314</v>
      </c>
      <c r="W727" t="n">
        <v/>
      </c>
      <c r="X727" t="n">
        <v/>
      </c>
      <c r="Y727" t="n">
        <v/>
      </c>
      <c r="Z727" t="n">
        <v>7.640637939</v>
      </c>
      <c r="AA727" t="n">
        <v/>
      </c>
      <c r="AB727" t="n">
        <v/>
      </c>
      <c r="AC727" t="n">
        <v>87.3985934</v>
      </c>
      <c r="AD727" t="n">
        <v>67.807949029</v>
      </c>
      <c r="AE727" t="n">
        <v/>
      </c>
      <c r="AF727" t="n">
        <v>53.194730598</v>
      </c>
      <c r="AG727" t="n">
        <v/>
      </c>
      <c r="AH727" t="n">
        <v/>
      </c>
      <c r="AI727" t="n">
        <v>66.97086920300001</v>
      </c>
      <c r="AJ727" t="n">
        <v>52.136114059</v>
      </c>
      <c r="AK727" t="n">
        <v/>
      </c>
      <c r="AL727" t="n">
        <v>52.870189433</v>
      </c>
      <c r="AM727" t="n">
        <v/>
      </c>
      <c r="AN727" t="n">
        <v>65.75937958599999</v>
      </c>
      <c r="AO727" t="n">
        <v/>
      </c>
      <c r="AP727" t="n">
        <v/>
      </c>
      <c r="AQ727" t="n">
        <v/>
      </c>
      <c r="AR727" t="n">
        <v>59.128491056</v>
      </c>
      <c r="AS727" t="n">
        <v/>
      </c>
      <c r="AT727" t="n">
        <v>51.469883676</v>
      </c>
      <c r="AU727" t="n">
        <v/>
      </c>
    </row>
    <row r="728">
      <c r="A728" s="106" t="n">
        <v>29037</v>
      </c>
      <c r="B728" t="n">
        <v>37.474400458</v>
      </c>
      <c r="C728" t="n">
        <v>54.086657123</v>
      </c>
      <c r="D728" t="n">
        <v>62.448256401</v>
      </c>
      <c r="E728" t="n">
        <v>57.97504732</v>
      </c>
      <c r="F728" t="n">
        <v/>
      </c>
      <c r="G728" t="n">
        <v/>
      </c>
      <c r="H728" t="n">
        <v/>
      </c>
      <c r="I728" t="n">
        <v>37.474400458</v>
      </c>
      <c r="J728" t="n">
        <v/>
      </c>
      <c r="K728" t="n">
        <v>61.04882403</v>
      </c>
      <c r="L728" t="n">
        <v>64.410005265</v>
      </c>
      <c r="M728" t="n">
        <v>68.712902141</v>
      </c>
      <c r="N728" t="n">
        <v>83.740154999</v>
      </c>
      <c r="O728" t="n">
        <v/>
      </c>
      <c r="P728" t="n">
        <v/>
      </c>
      <c r="Q728" t="n">
        <v>47.766164709</v>
      </c>
      <c r="R728" t="n">
        <v>84.02491547</v>
      </c>
      <c r="S728" t="n">
        <v>60.870064281</v>
      </c>
      <c r="T728" t="n">
        <v>72.055182172</v>
      </c>
      <c r="U728" t="n">
        <v/>
      </c>
      <c r="V728" t="n">
        <v>111.641898901</v>
      </c>
      <c r="W728" t="n">
        <v/>
      </c>
      <c r="X728" t="n">
        <v/>
      </c>
      <c r="Y728" t="n">
        <v/>
      </c>
      <c r="Z728" t="n">
        <v>7.76362591</v>
      </c>
      <c r="AA728" t="n">
        <v/>
      </c>
      <c r="AB728" t="n">
        <v/>
      </c>
      <c r="AC728" t="n">
        <v>86.722582184</v>
      </c>
      <c r="AD728" t="n">
        <v>68.312722843</v>
      </c>
      <c r="AE728" t="n">
        <v/>
      </c>
      <c r="AF728" t="n">
        <v>51.144034765</v>
      </c>
      <c r="AG728" t="n">
        <v/>
      </c>
      <c r="AH728" t="n">
        <v/>
      </c>
      <c r="AI728" t="n">
        <v>68.31028658699999</v>
      </c>
      <c r="AJ728" t="n">
        <v>53.257320813</v>
      </c>
      <c r="AK728" t="n">
        <v/>
      </c>
      <c r="AL728" t="n">
        <v>52.917497615</v>
      </c>
      <c r="AM728" t="n">
        <v/>
      </c>
      <c r="AN728" t="n">
        <v>62.376810826</v>
      </c>
      <c r="AO728" t="n">
        <v/>
      </c>
      <c r="AP728" t="n">
        <v/>
      </c>
      <c r="AQ728" t="n">
        <v/>
      </c>
      <c r="AR728" t="n">
        <v>58.036711338</v>
      </c>
      <c r="AS728" t="n">
        <v/>
      </c>
      <c r="AT728" t="n">
        <v>51.389664482</v>
      </c>
      <c r="AU728" t="n">
        <v/>
      </c>
    </row>
    <row r="729">
      <c r="A729" s="106" t="n">
        <v>29068</v>
      </c>
      <c r="B729" t="n">
        <v>37.53764152</v>
      </c>
      <c r="C729" t="n">
        <v>54.339740965</v>
      </c>
      <c r="D729" t="n">
        <v>63.865070455</v>
      </c>
      <c r="E729" t="n">
        <v>57.947792587</v>
      </c>
      <c r="F729" t="n">
        <v/>
      </c>
      <c r="G729" t="n">
        <v/>
      </c>
      <c r="H729" t="n">
        <v/>
      </c>
      <c r="I729" t="n">
        <v>37.53764152</v>
      </c>
      <c r="J729" t="n">
        <v/>
      </c>
      <c r="K729" t="n">
        <v>60.184634408</v>
      </c>
      <c r="L729" t="n">
        <v>62.533985695</v>
      </c>
      <c r="M729" t="n">
        <v>69.103424596</v>
      </c>
      <c r="N729" t="n">
        <v>84.59586773700001</v>
      </c>
      <c r="O729" t="n">
        <v/>
      </c>
      <c r="P729" t="n">
        <v/>
      </c>
      <c r="Q729" t="n">
        <v>47.208385715</v>
      </c>
      <c r="R729" t="n">
        <v>84.02491547</v>
      </c>
      <c r="S729" t="n">
        <v>61.059160914</v>
      </c>
      <c r="T729" t="n">
        <v>71.10010612000001</v>
      </c>
      <c r="U729" t="n">
        <v/>
      </c>
      <c r="V729" t="n">
        <v>113.456018775</v>
      </c>
      <c r="W729" t="n">
        <v/>
      </c>
      <c r="X729" t="n">
        <v/>
      </c>
      <c r="Y729" t="n">
        <v/>
      </c>
      <c r="Z729" t="n">
        <v>7.809746044</v>
      </c>
      <c r="AA729" t="n">
        <v/>
      </c>
      <c r="AB729" t="n">
        <v/>
      </c>
      <c r="AC729" t="n">
        <v>93.86898650099999</v>
      </c>
      <c r="AD729" t="n">
        <v>69.322270471</v>
      </c>
      <c r="AE729" t="n">
        <v/>
      </c>
      <c r="AF729" t="n">
        <v>52.039700911</v>
      </c>
      <c r="AG729" t="n">
        <v/>
      </c>
      <c r="AH729" t="n">
        <v/>
      </c>
      <c r="AI729" t="n">
        <v>67.64057789500001</v>
      </c>
      <c r="AJ729" t="n">
        <v>55.499734321</v>
      </c>
      <c r="AK729" t="n">
        <v/>
      </c>
      <c r="AL729" t="n">
        <v>53.115523534</v>
      </c>
      <c r="AM729" t="n">
        <v/>
      </c>
      <c r="AN729" t="n">
        <v>70.53513176</v>
      </c>
      <c r="AO729" t="n">
        <v/>
      </c>
      <c r="AP729" t="n">
        <v/>
      </c>
      <c r="AQ729" t="n">
        <v/>
      </c>
      <c r="AR729" t="n">
        <v>59.530725689</v>
      </c>
      <c r="AS729" t="n">
        <v/>
      </c>
      <c r="AT729" t="n">
        <v>51.056690378</v>
      </c>
      <c r="AU729" t="n">
        <v/>
      </c>
    </row>
    <row r="730">
      <c r="A730" s="106" t="n">
        <v>29099</v>
      </c>
      <c r="B730" t="n">
        <v>37.901181255</v>
      </c>
      <c r="C730" t="n">
        <v>55.076727749</v>
      </c>
      <c r="D730" t="n">
        <v>62.656915229</v>
      </c>
      <c r="E730" t="n">
        <v>57.82843565</v>
      </c>
      <c r="F730" t="n">
        <v/>
      </c>
      <c r="G730" t="n">
        <v/>
      </c>
      <c r="H730" t="n">
        <v/>
      </c>
      <c r="I730" t="n">
        <v>37.901181255</v>
      </c>
      <c r="J730" t="n">
        <v/>
      </c>
      <c r="K730" t="n">
        <v>60.308090068</v>
      </c>
      <c r="L730" t="n">
        <v>62.533985695</v>
      </c>
      <c r="M730" t="n">
        <v>69.19867397500001</v>
      </c>
      <c r="N730" t="n">
        <v>83.344230169</v>
      </c>
      <c r="O730" t="n">
        <v/>
      </c>
      <c r="P730" t="n">
        <v/>
      </c>
      <c r="Q730" t="n">
        <v>46.954849809</v>
      </c>
      <c r="R730" t="n">
        <v>82.806279999</v>
      </c>
      <c r="S730" t="n">
        <v>60.900200156</v>
      </c>
      <c r="T730" t="n">
        <v>70.887866997</v>
      </c>
      <c r="U730" t="n">
        <v/>
      </c>
      <c r="V730" t="n">
        <v>111.855323428</v>
      </c>
      <c r="W730" t="n">
        <v/>
      </c>
      <c r="X730" t="n">
        <v/>
      </c>
      <c r="Y730" t="n">
        <v/>
      </c>
      <c r="Z730" t="n">
        <v>8.109529044</v>
      </c>
      <c r="AA730" t="n">
        <v/>
      </c>
      <c r="AB730" t="n">
        <v/>
      </c>
      <c r="AC730" t="n">
        <v>95.607301073</v>
      </c>
      <c r="AD730" t="n">
        <v>68.060335936</v>
      </c>
      <c r="AE730" t="n">
        <v/>
      </c>
      <c r="AF730" t="n">
        <v>54.244634741</v>
      </c>
      <c r="AG730" t="n">
        <v/>
      </c>
      <c r="AH730" t="n">
        <v/>
      </c>
      <c r="AI730" t="n">
        <v>68.97999527899999</v>
      </c>
      <c r="AJ730" t="n">
        <v>57.742147829</v>
      </c>
      <c r="AK730" t="n">
        <v/>
      </c>
      <c r="AL730" t="n">
        <v>53.00697154</v>
      </c>
      <c r="AM730" t="n">
        <v/>
      </c>
      <c r="AN730" t="n">
        <v>68.298033116</v>
      </c>
      <c r="AO730" t="n">
        <v/>
      </c>
      <c r="AP730" t="n">
        <v/>
      </c>
      <c r="AQ730" t="n">
        <v/>
      </c>
      <c r="AR730" t="n">
        <v>60.047884503</v>
      </c>
      <c r="AS730" t="n">
        <v/>
      </c>
      <c r="AT730" t="n">
        <v>51.05143498</v>
      </c>
      <c r="AU730" t="n">
        <v/>
      </c>
    </row>
    <row r="731">
      <c r="A731" s="106" t="n">
        <v>29129</v>
      </c>
      <c r="B731" t="n">
        <v>37.192541838</v>
      </c>
      <c r="C731" t="n">
        <v>53.939385012</v>
      </c>
      <c r="D731" t="n">
        <v>64.894754773</v>
      </c>
      <c r="E731" t="n">
        <v>57.741502449</v>
      </c>
      <c r="F731" t="n">
        <v/>
      </c>
      <c r="G731" t="n">
        <v/>
      </c>
      <c r="H731" t="n">
        <v/>
      </c>
      <c r="I731" t="n">
        <v>37.192541838</v>
      </c>
      <c r="J731" t="n">
        <v/>
      </c>
      <c r="K731" t="n">
        <v>59.629083936</v>
      </c>
      <c r="L731" t="n">
        <v>65.660684979</v>
      </c>
      <c r="M731" t="n">
        <v>68.61765276200001</v>
      </c>
      <c r="N731" t="n">
        <v>82.531333743</v>
      </c>
      <c r="O731" t="n">
        <v/>
      </c>
      <c r="P731" t="n">
        <v/>
      </c>
      <c r="Q731" t="n">
        <v>47.41121444</v>
      </c>
      <c r="R731" t="n">
        <v>82.075098727</v>
      </c>
      <c r="S731" t="n">
        <v>61.136228547</v>
      </c>
      <c r="T731" t="n">
        <v>71.20622568100001</v>
      </c>
      <c r="U731" t="n">
        <v/>
      </c>
      <c r="V731" t="n">
        <v>114.354547209</v>
      </c>
      <c r="W731" t="n">
        <v/>
      </c>
      <c r="X731" t="n">
        <v/>
      </c>
      <c r="Y731" t="n">
        <v/>
      </c>
      <c r="Z731" t="n">
        <v>8.001914924999999</v>
      </c>
      <c r="AA731" t="n">
        <v/>
      </c>
      <c r="AB731" t="n">
        <v/>
      </c>
      <c r="AC731" t="n">
        <v>94.834716822</v>
      </c>
      <c r="AD731" t="n">
        <v>69.49052840900001</v>
      </c>
      <c r="AE731" t="n">
        <v/>
      </c>
      <c r="AF731" t="n">
        <v>50.9508957</v>
      </c>
      <c r="AG731" t="n">
        <v/>
      </c>
      <c r="AH731" t="n">
        <v/>
      </c>
      <c r="AI731" t="n">
        <v>68.31028658699999</v>
      </c>
      <c r="AJ731" t="n">
        <v>54.939130944</v>
      </c>
      <c r="AK731" t="n">
        <v/>
      </c>
      <c r="AL731" t="n">
        <v>53.131681624</v>
      </c>
      <c r="AM731" t="n">
        <v/>
      </c>
      <c r="AN731" t="n">
        <v>69.04288052299999</v>
      </c>
      <c r="AO731" t="n">
        <v/>
      </c>
      <c r="AP731" t="n">
        <v/>
      </c>
      <c r="AQ731" t="n">
        <v/>
      </c>
      <c r="AR731" t="n">
        <v>58.611332242</v>
      </c>
      <c r="AS731" t="n">
        <v/>
      </c>
      <c r="AT731" t="n">
        <v>51.405827311</v>
      </c>
      <c r="AU731" t="n">
        <v/>
      </c>
    </row>
    <row r="732">
      <c r="A732" s="106" t="n">
        <v>29160</v>
      </c>
      <c r="B732" t="n">
        <v>37.020479347</v>
      </c>
      <c r="C732" t="n">
        <v>53.827864588</v>
      </c>
      <c r="D732" t="n">
        <v>64.19626286499999</v>
      </c>
      <c r="E732" t="n">
        <v>57.255146429</v>
      </c>
      <c r="F732" t="n">
        <v/>
      </c>
      <c r="G732" t="n">
        <v/>
      </c>
      <c r="H732" t="n">
        <v/>
      </c>
      <c r="I732" t="n">
        <v>37.020479347</v>
      </c>
      <c r="J732" t="n">
        <v/>
      </c>
      <c r="K732" t="n">
        <v>61.17227969</v>
      </c>
      <c r="L732" t="n">
        <v>65.660684979</v>
      </c>
      <c r="M732" t="n">
        <v>69.389172733</v>
      </c>
      <c r="N732" t="n">
        <v>82.24425162599999</v>
      </c>
      <c r="O732" t="n">
        <v/>
      </c>
      <c r="P732" t="n">
        <v/>
      </c>
      <c r="Q732" t="n">
        <v>48.577479608</v>
      </c>
      <c r="R732" t="n">
        <v>82.440689358</v>
      </c>
      <c r="S732" t="n">
        <v>61.493095686</v>
      </c>
      <c r="T732" t="n">
        <v>71.524584365</v>
      </c>
      <c r="U732" t="n">
        <v/>
      </c>
      <c r="V732" t="n">
        <v>108.097513627</v>
      </c>
      <c r="W732" t="n">
        <v/>
      </c>
      <c r="X732" t="n">
        <v/>
      </c>
      <c r="Y732" t="n">
        <v/>
      </c>
      <c r="Z732" t="n">
        <v>8.040348134</v>
      </c>
      <c r="AA732" t="n">
        <v/>
      </c>
      <c r="AB732" t="n">
        <v/>
      </c>
      <c r="AC732" t="n">
        <v>95.414155002</v>
      </c>
      <c r="AD732" t="n">
        <v>70.331818099</v>
      </c>
      <c r="AE732" t="n">
        <v/>
      </c>
      <c r="AF732" t="n">
        <v>52.926763816</v>
      </c>
      <c r="AG732" t="n">
        <v/>
      </c>
      <c r="AH732" t="n">
        <v/>
      </c>
      <c r="AI732" t="n">
        <v>69.64970397099999</v>
      </c>
      <c r="AJ732" t="n">
        <v>57.181544452</v>
      </c>
      <c r="AK732" t="n">
        <v/>
      </c>
      <c r="AL732" t="n">
        <v>53.402408136</v>
      </c>
      <c r="AM732" t="n">
        <v/>
      </c>
      <c r="AN732" t="n">
        <v>69.741097751</v>
      </c>
      <c r="AO732" t="n">
        <v/>
      </c>
      <c r="AP732" t="n">
        <v/>
      </c>
      <c r="AQ732" t="n">
        <v/>
      </c>
      <c r="AR732" t="n">
        <v>59.071028966</v>
      </c>
      <c r="AS732" t="n">
        <v/>
      </c>
      <c r="AT732" t="n">
        <v>51.323525791</v>
      </c>
      <c r="AU732" t="n">
        <v/>
      </c>
    </row>
    <row r="733">
      <c r="A733" s="106" t="n">
        <v>29190</v>
      </c>
      <c r="B733" t="n">
        <v>40.054639732</v>
      </c>
      <c r="C733" t="n">
        <v>55.835073108</v>
      </c>
      <c r="D733" t="n">
        <v>65.438918579</v>
      </c>
      <c r="E733" t="n">
        <v>56.511280168</v>
      </c>
      <c r="F733" t="n">
        <v/>
      </c>
      <c r="G733" t="n">
        <v/>
      </c>
      <c r="H733" t="n">
        <v/>
      </c>
      <c r="I733" t="n">
        <v>40.054639732</v>
      </c>
      <c r="J733" t="n">
        <v/>
      </c>
      <c r="K733" t="n">
        <v>62.098197143</v>
      </c>
      <c r="L733" t="n">
        <v>65.035345122</v>
      </c>
      <c r="M733" t="n">
        <v>70.160692705</v>
      </c>
      <c r="N733" t="n">
        <v>80.700316112</v>
      </c>
      <c r="O733" t="n">
        <v/>
      </c>
      <c r="P733" t="n">
        <v/>
      </c>
      <c r="Q733" t="n">
        <v>48.22252934</v>
      </c>
      <c r="R733" t="n">
        <v>82.31882581799999</v>
      </c>
      <c r="S733" t="n">
        <v>61.719550246</v>
      </c>
      <c r="T733" t="n">
        <v>71.418464804</v>
      </c>
      <c r="U733" t="n">
        <v/>
      </c>
      <c r="V733" t="n">
        <v>112.700097376</v>
      </c>
      <c r="W733" t="n">
        <v/>
      </c>
      <c r="X733" t="n">
        <v/>
      </c>
      <c r="Y733" t="n">
        <v/>
      </c>
      <c r="Z733" t="n">
        <v>7.732878208</v>
      </c>
      <c r="AA733" t="n">
        <v/>
      </c>
      <c r="AB733" t="n">
        <v/>
      </c>
      <c r="AC733" t="n">
        <v>98.311345945</v>
      </c>
      <c r="AD733" t="n">
        <v>70.079431192</v>
      </c>
      <c r="AE733" t="n">
        <v/>
      </c>
      <c r="AF733" t="n">
        <v>55.3264468</v>
      </c>
      <c r="AG733" t="n">
        <v/>
      </c>
      <c r="AH733" t="n">
        <v/>
      </c>
      <c r="AI733" t="n">
        <v>66.30116051100001</v>
      </c>
      <c r="AJ733" t="n">
        <v>56.060337698</v>
      </c>
      <c r="AK733" t="n">
        <v/>
      </c>
      <c r="AL733" t="n">
        <v>53.581649874</v>
      </c>
      <c r="AM733" t="n">
        <v/>
      </c>
      <c r="AN733" t="n">
        <v>69.61237362</v>
      </c>
      <c r="AO733" t="n">
        <v/>
      </c>
      <c r="AP733" t="n">
        <v/>
      </c>
      <c r="AQ733" t="n">
        <v/>
      </c>
      <c r="AR733" t="n">
        <v>60.737429589</v>
      </c>
      <c r="AS733" t="n">
        <v/>
      </c>
      <c r="AT733" t="n">
        <v>51.36150348</v>
      </c>
      <c r="AU733" t="n">
        <v/>
      </c>
    </row>
    <row r="734">
      <c r="A734" s="106" t="n">
        <v>29221</v>
      </c>
      <c r="B734" t="n">
        <v>37.966228289</v>
      </c>
      <c r="C734" t="n">
        <v>55.372013703</v>
      </c>
      <c r="D734" t="n">
        <v>66.442025497</v>
      </c>
      <c r="E734" t="n">
        <v>57.271593251</v>
      </c>
      <c r="F734" t="n">
        <v/>
      </c>
      <c r="G734" t="n">
        <v/>
      </c>
      <c r="H734" t="n">
        <v/>
      </c>
      <c r="I734" t="n">
        <v>37.966228289</v>
      </c>
      <c r="J734" t="n">
        <v/>
      </c>
      <c r="K734" t="n">
        <v>61.727830162</v>
      </c>
      <c r="L734" t="n">
        <v>64.410005265</v>
      </c>
      <c r="M734" t="n">
        <v>68.158801423</v>
      </c>
      <c r="N734" t="n">
        <v>83.394409592</v>
      </c>
      <c r="O734" t="n">
        <v/>
      </c>
      <c r="P734" t="n">
        <v/>
      </c>
      <c r="Q734" t="n">
        <v>49.591623233</v>
      </c>
      <c r="R734" t="n">
        <v>81.831513802</v>
      </c>
      <c r="S734" t="n">
        <v>61.80920782</v>
      </c>
      <c r="T734" t="n">
        <v>71.10010612000001</v>
      </c>
      <c r="U734" t="n">
        <v/>
      </c>
      <c r="V734" t="n">
        <v>112.96015648</v>
      </c>
      <c r="W734" t="n">
        <v/>
      </c>
      <c r="X734" t="n">
        <v/>
      </c>
      <c r="Y734" t="n">
        <v/>
      </c>
      <c r="Z734" t="n">
        <v>7.87151083</v>
      </c>
      <c r="AA734" t="n">
        <v/>
      </c>
      <c r="AB734" t="n">
        <v/>
      </c>
      <c r="AC734" t="n">
        <v>97.38665917100001</v>
      </c>
      <c r="AD734" t="n">
        <v>70.584205006</v>
      </c>
      <c r="AE734" t="n">
        <v/>
      </c>
      <c r="AF734" t="n">
        <v>54.513305259</v>
      </c>
      <c r="AG734" t="n">
        <v/>
      </c>
      <c r="AH734" t="n">
        <v>54.656029921</v>
      </c>
      <c r="AI734" t="n">
        <v>68.97999527899999</v>
      </c>
      <c r="AJ734" t="n">
        <v>57.742147829</v>
      </c>
      <c r="AK734" t="n">
        <v/>
      </c>
      <c r="AL734" t="n">
        <v>53.732325307</v>
      </c>
      <c r="AM734" t="n">
        <v/>
      </c>
      <c r="AN734" t="n">
        <v>71.702825623</v>
      </c>
      <c r="AO734" t="n">
        <v/>
      </c>
      <c r="AP734" t="n">
        <v/>
      </c>
      <c r="AQ734" t="n">
        <v/>
      </c>
      <c r="AR734" t="n">
        <v>60.047884503</v>
      </c>
      <c r="AS734" t="n">
        <v/>
      </c>
      <c r="AT734" t="n">
        <v>51.629528794</v>
      </c>
      <c r="AU734" t="n">
        <v/>
      </c>
    </row>
    <row r="735">
      <c r="A735" s="106" t="n">
        <v>29252</v>
      </c>
      <c r="B735" t="n">
        <v>37.754863798</v>
      </c>
      <c r="C735" t="n">
        <v>54.117760215</v>
      </c>
      <c r="D735" t="n">
        <v>67.273285304</v>
      </c>
      <c r="E735" t="n">
        <v>56.250480563</v>
      </c>
      <c r="F735" t="n">
        <v/>
      </c>
      <c r="G735" t="n">
        <v/>
      </c>
      <c r="H735" t="n">
        <v/>
      </c>
      <c r="I735" t="n">
        <v>37.754863798</v>
      </c>
      <c r="J735" t="n">
        <v/>
      </c>
      <c r="K735" t="n">
        <v>61.666102331</v>
      </c>
      <c r="L735" t="n">
        <v>63.784665409</v>
      </c>
      <c r="M735" t="n">
        <v>67.576247565</v>
      </c>
      <c r="N735" t="n">
        <v>82.82369584600001</v>
      </c>
      <c r="O735" t="n">
        <v/>
      </c>
      <c r="P735" t="n">
        <v/>
      </c>
      <c r="Q735" t="n">
        <v>49.135258602</v>
      </c>
      <c r="R735" t="n">
        <v>81.58772577400001</v>
      </c>
      <c r="S735" t="n">
        <v>62.162406508</v>
      </c>
      <c r="T735" t="n">
        <v>70.35726919</v>
      </c>
      <c r="U735" t="n">
        <v/>
      </c>
      <c r="V735" t="n">
        <v>112.845632766</v>
      </c>
      <c r="W735" t="n">
        <v/>
      </c>
      <c r="X735" t="n">
        <v/>
      </c>
      <c r="Y735" t="n">
        <v/>
      </c>
      <c r="Z735" t="n">
        <v>7.579140427</v>
      </c>
      <c r="AA735" t="n">
        <v/>
      </c>
      <c r="AB735" t="n">
        <v/>
      </c>
      <c r="AC735" t="n">
        <v>98.970939757</v>
      </c>
      <c r="AD735" t="n">
        <v>73.192203046</v>
      </c>
      <c r="AE735" t="n">
        <v/>
      </c>
      <c r="AF735" t="n">
        <v>52.406036326</v>
      </c>
      <c r="AG735" t="n">
        <v/>
      </c>
      <c r="AH735" t="n">
        <v>54.222251906</v>
      </c>
      <c r="AI735" t="n">
        <v>66.30116051100001</v>
      </c>
      <c r="AJ735" t="n">
        <v>58.863354583</v>
      </c>
      <c r="AK735" t="n">
        <v/>
      </c>
      <c r="AL735" t="n">
        <v>53.886791991</v>
      </c>
      <c r="AM735" t="n">
        <v/>
      </c>
      <c r="AN735" t="n">
        <v>69.95048515800001</v>
      </c>
      <c r="AO735" t="n">
        <v/>
      </c>
      <c r="AP735" t="n">
        <v/>
      </c>
      <c r="AQ735" t="n">
        <v/>
      </c>
      <c r="AR735" t="n">
        <v>59.58818778</v>
      </c>
      <c r="AS735" t="n">
        <v/>
      </c>
      <c r="AT735" t="n">
        <v>51.651541972</v>
      </c>
      <c r="AU735" t="n">
        <v/>
      </c>
    </row>
    <row r="736">
      <c r="A736" s="106" t="n">
        <v>29281</v>
      </c>
      <c r="B736" t="n">
        <v>39.213605135</v>
      </c>
      <c r="C736" t="n">
        <v>54.94920267</v>
      </c>
      <c r="D736" t="n">
        <v>69.75443191700001</v>
      </c>
      <c r="E736" t="n">
        <v>56.903654348</v>
      </c>
      <c r="F736" t="n">
        <v/>
      </c>
      <c r="G736" t="n">
        <v/>
      </c>
      <c r="H736" t="n">
        <v/>
      </c>
      <c r="I736" t="n">
        <v>39.213605135</v>
      </c>
      <c r="J736" t="n">
        <v/>
      </c>
      <c r="K736" t="n">
        <v>61.11055186</v>
      </c>
      <c r="L736" t="n">
        <v>64.410005265</v>
      </c>
      <c r="M736" t="n">
        <v>67.609067501</v>
      </c>
      <c r="N736" t="n">
        <v>85.810075242</v>
      </c>
      <c r="O736" t="n">
        <v/>
      </c>
      <c r="P736" t="n">
        <v/>
      </c>
      <c r="Q736" t="n">
        <v>50.200109407</v>
      </c>
      <c r="R736" t="n">
        <v>82.156564499</v>
      </c>
      <c r="S736" t="n">
        <v>61.81903674</v>
      </c>
      <c r="T736" t="n">
        <v>69.508312699</v>
      </c>
      <c r="U736" t="n">
        <v/>
      </c>
      <c r="V736" t="n">
        <v>113.706482486</v>
      </c>
      <c r="W736" t="n">
        <v/>
      </c>
      <c r="X736" t="n">
        <v/>
      </c>
      <c r="Y736" t="n">
        <v/>
      </c>
      <c r="Z736" t="n">
        <v>7.714080613</v>
      </c>
      <c r="AA736" t="n">
        <v/>
      </c>
      <c r="AB736" t="n">
        <v/>
      </c>
      <c r="AC736" t="n">
        <v>101.393957115</v>
      </c>
      <c r="AD736" t="n">
        <v>71.257236758</v>
      </c>
      <c r="AE736" t="n">
        <v/>
      </c>
      <c r="AF736" t="n">
        <v>53.575729232</v>
      </c>
      <c r="AG736" t="n">
        <v/>
      </c>
      <c r="AH736" t="n">
        <v>55.234400608</v>
      </c>
      <c r="AI736" t="n">
        <v>69.64970397099999</v>
      </c>
      <c r="AJ736" t="n">
        <v>56.620941075</v>
      </c>
      <c r="AK736" t="n">
        <v/>
      </c>
      <c r="AL736" t="n">
        <v>53.854214484</v>
      </c>
      <c r="AM736" t="n">
        <v/>
      </c>
      <c r="AN736" t="n">
        <v>70.828536305</v>
      </c>
      <c r="AO736" t="n">
        <v/>
      </c>
      <c r="AP736" t="n">
        <v/>
      </c>
      <c r="AQ736" t="n">
        <v/>
      </c>
      <c r="AR736" t="n">
        <v>60.392657046</v>
      </c>
      <c r="AS736" t="n">
        <v/>
      </c>
      <c r="AT736" t="n">
        <v>51.432203461</v>
      </c>
      <c r="AU736" t="n">
        <v/>
      </c>
    </row>
    <row r="737">
      <c r="A737" s="106" t="n">
        <v>29312</v>
      </c>
      <c r="B737" t="n">
        <v>37.95375145</v>
      </c>
      <c r="C737" t="n">
        <v>53.214657699</v>
      </c>
      <c r="D737" t="n">
        <v>66.719627526</v>
      </c>
      <c r="E737" t="n">
        <v>55.639598605</v>
      </c>
      <c r="F737" t="n">
        <v/>
      </c>
      <c r="G737" t="n">
        <v/>
      </c>
      <c r="H737" t="n">
        <v/>
      </c>
      <c r="I737" t="n">
        <v>37.95375145</v>
      </c>
      <c r="J737" t="n">
        <v/>
      </c>
      <c r="K737" t="n">
        <v>60.493273558</v>
      </c>
      <c r="L737" t="n">
        <v>63.784665409</v>
      </c>
      <c r="M737" t="n">
        <v>67.453172806</v>
      </c>
      <c r="N737" t="n">
        <v>82.654654065</v>
      </c>
      <c r="O737" t="n">
        <v/>
      </c>
      <c r="P737" t="n">
        <v/>
      </c>
      <c r="Q737" t="n">
        <v>50.453645313</v>
      </c>
      <c r="R737" t="n">
        <v>82.156564499</v>
      </c>
      <c r="S737" t="n">
        <v>61.188638977</v>
      </c>
      <c r="T737" t="n">
        <v>68.55323664700001</v>
      </c>
      <c r="U737" t="n">
        <v/>
      </c>
      <c r="V737" t="n">
        <v>115.651730644</v>
      </c>
      <c r="W737" t="n">
        <v/>
      </c>
      <c r="X737" t="n">
        <v/>
      </c>
      <c r="Y737" t="n">
        <v/>
      </c>
      <c r="Z737" t="n">
        <v>7.669100551</v>
      </c>
      <c r="AA737" t="n">
        <v/>
      </c>
      <c r="AB737" t="n">
        <v/>
      </c>
      <c r="AC737" t="n">
        <v>99.71648355799999</v>
      </c>
      <c r="AD737" t="n">
        <v>72.519171294</v>
      </c>
      <c r="AE737" t="n">
        <v/>
      </c>
      <c r="AF737" t="n">
        <v>54.445929689</v>
      </c>
      <c r="AG737" t="n">
        <v/>
      </c>
      <c r="AH737" t="n">
        <v>54.945215265</v>
      </c>
      <c r="AI737" t="n">
        <v>66.97086920300001</v>
      </c>
      <c r="AJ737" t="n">
        <v>57.181544452</v>
      </c>
      <c r="AK737" t="n">
        <v/>
      </c>
      <c r="AL737" t="n">
        <v>53.270823576</v>
      </c>
      <c r="AM737" t="n">
        <v/>
      </c>
      <c r="AN737" t="n">
        <v>69.713745112</v>
      </c>
      <c r="AO737" t="n">
        <v/>
      </c>
      <c r="AP737" t="n">
        <v/>
      </c>
      <c r="AQ737" t="n">
        <v/>
      </c>
      <c r="AR737" t="n">
        <v>59.530725689</v>
      </c>
      <c r="AS737" t="n">
        <v/>
      </c>
      <c r="AT737" t="n">
        <v>50.417514954</v>
      </c>
      <c r="AU737" t="n">
        <v/>
      </c>
    </row>
    <row r="738">
      <c r="A738" s="106" t="n">
        <v>29342</v>
      </c>
      <c r="B738" t="n">
        <v>37.854740698</v>
      </c>
      <c r="C738" t="n">
        <v>53.296954618</v>
      </c>
      <c r="D738" t="n">
        <v>68.98966307000001</v>
      </c>
      <c r="E738" t="n">
        <v>54.267933656</v>
      </c>
      <c r="F738" t="n">
        <v/>
      </c>
      <c r="G738" t="n">
        <v/>
      </c>
      <c r="H738" t="n">
        <v/>
      </c>
      <c r="I738" t="n">
        <v>37.854740698</v>
      </c>
      <c r="J738" t="n">
        <v/>
      </c>
      <c r="K738" t="n">
        <v>60.431545728</v>
      </c>
      <c r="L738" t="n">
        <v>62.533985695</v>
      </c>
      <c r="M738" t="n">
        <v>66.68190431799999</v>
      </c>
      <c r="N738" t="n">
        <v>82.150904025</v>
      </c>
      <c r="O738" t="n">
        <v/>
      </c>
      <c r="P738" t="n">
        <v/>
      </c>
      <c r="Q738" t="n">
        <v>49.185965783</v>
      </c>
      <c r="R738" t="n">
        <v>80.124997627</v>
      </c>
      <c r="S738" t="n">
        <v>60.125786511</v>
      </c>
      <c r="T738" t="n">
        <v>67.59816059400001</v>
      </c>
      <c r="U738" t="n">
        <v/>
      </c>
      <c r="V738" t="n">
        <v>115.248792394</v>
      </c>
      <c r="W738" t="n">
        <v/>
      </c>
      <c r="X738" t="n">
        <v/>
      </c>
      <c r="Y738" t="n">
        <v/>
      </c>
      <c r="Z738" t="n">
        <v>7.826530768</v>
      </c>
      <c r="AA738" t="n">
        <v/>
      </c>
      <c r="AB738" t="n">
        <v/>
      </c>
      <c r="AC738" t="n">
        <v>97.38665917100001</v>
      </c>
      <c r="AD738" t="n">
        <v>72.01439748</v>
      </c>
      <c r="AE738" t="n">
        <v/>
      </c>
      <c r="AF738" t="n">
        <v>52.745903254</v>
      </c>
      <c r="AG738" t="n">
        <v/>
      </c>
      <c r="AH738" t="n">
        <v>55.017511601</v>
      </c>
      <c r="AI738" t="n">
        <v>67.64057789500001</v>
      </c>
      <c r="AJ738" t="n">
        <v>57.181544452</v>
      </c>
      <c r="AK738" t="n">
        <v/>
      </c>
      <c r="AL738" t="n">
        <v>52.38433683</v>
      </c>
      <c r="AM738" t="n">
        <v/>
      </c>
      <c r="AN738" t="n">
        <v>69.195480714</v>
      </c>
      <c r="AO738" t="n">
        <v/>
      </c>
      <c r="AP738" t="n">
        <v/>
      </c>
      <c r="AQ738" t="n">
        <v/>
      </c>
      <c r="AR738" t="n">
        <v>45.969672347</v>
      </c>
      <c r="AS738" t="n">
        <v/>
      </c>
      <c r="AT738" t="n">
        <v>49.177340111</v>
      </c>
      <c r="AU738" t="n">
        <v/>
      </c>
    </row>
    <row r="739">
      <c r="A739" s="106" t="n">
        <v>29373</v>
      </c>
      <c r="B739" t="n">
        <v>38.310436794</v>
      </c>
      <c r="C739" t="n">
        <v>52.662653521</v>
      </c>
      <c r="D739" t="n">
        <v>69.721132932</v>
      </c>
      <c r="E739" t="n">
        <v>53.925369851</v>
      </c>
      <c r="F739" t="n">
        <v/>
      </c>
      <c r="G739" t="n">
        <v/>
      </c>
      <c r="H739" t="n">
        <v/>
      </c>
      <c r="I739" t="n">
        <v>38.310436794</v>
      </c>
      <c r="J739" t="n">
        <v/>
      </c>
      <c r="K739" t="n">
        <v>59.875995257</v>
      </c>
      <c r="L739" t="n">
        <v>62.533985695</v>
      </c>
      <c r="M739" t="n">
        <v>67.067538562</v>
      </c>
      <c r="N739" t="n">
        <v>83.283544906</v>
      </c>
      <c r="O739" t="n">
        <v/>
      </c>
      <c r="P739" t="n">
        <v/>
      </c>
      <c r="Q739" t="n">
        <v>51.873446388</v>
      </c>
      <c r="R739" t="n">
        <v>80.531311003</v>
      </c>
      <c r="S739" t="n">
        <v>59.511690627</v>
      </c>
      <c r="T739" t="n">
        <v>66.643084542</v>
      </c>
      <c r="U739" t="n">
        <v/>
      </c>
      <c r="V739" t="n">
        <v>115.198317081</v>
      </c>
      <c r="W739" t="n">
        <v/>
      </c>
      <c r="X739" t="n">
        <v/>
      </c>
      <c r="Y739" t="n">
        <v/>
      </c>
      <c r="Z739" t="n">
        <v>7.714080613</v>
      </c>
      <c r="AA739" t="n">
        <v/>
      </c>
      <c r="AB739" t="n">
        <v/>
      </c>
      <c r="AC739" t="n">
        <v>96.547922399</v>
      </c>
      <c r="AD739" t="n">
        <v>71.257236758</v>
      </c>
      <c r="AE739" t="n">
        <v/>
      </c>
      <c r="AF739" t="n">
        <v>51.999098332</v>
      </c>
      <c r="AG739" t="n">
        <v/>
      </c>
      <c r="AH739" t="n">
        <v>55.595882288</v>
      </c>
      <c r="AI739" t="n">
        <v>66.97086920300001</v>
      </c>
      <c r="AJ739" t="n">
        <v>58.302751206</v>
      </c>
      <c r="AK739" t="n">
        <v/>
      </c>
      <c r="AL739" t="n">
        <v>52.11601416</v>
      </c>
      <c r="AM739" t="n">
        <v/>
      </c>
      <c r="AN739" t="n">
        <v>70.698952078</v>
      </c>
      <c r="AO739" t="n">
        <v/>
      </c>
      <c r="AP739" t="n">
        <v/>
      </c>
      <c r="AQ739" t="n">
        <v/>
      </c>
      <c r="AR739" t="n">
        <v>59.243415237</v>
      </c>
      <c r="AS739" t="n">
        <v/>
      </c>
      <c r="AT739" t="n">
        <v>48.550063701</v>
      </c>
      <c r="AU739" t="n">
        <v/>
      </c>
    </row>
    <row r="740">
      <c r="A740" s="106" t="n">
        <v>29403</v>
      </c>
      <c r="B740" t="n">
        <v>37.091631071</v>
      </c>
      <c r="C740" t="n">
        <v>52.300417838</v>
      </c>
      <c r="D740" t="n">
        <v>68.93070485299999</v>
      </c>
      <c r="E740" t="n">
        <v>54.409376325</v>
      </c>
      <c r="F740" t="n">
        <v/>
      </c>
      <c r="G740" t="n">
        <v/>
      </c>
      <c r="H740" t="n">
        <v/>
      </c>
      <c r="I740" t="n">
        <v>37.091631071</v>
      </c>
      <c r="J740" t="n">
        <v/>
      </c>
      <c r="K740" t="n">
        <v>60.184634408</v>
      </c>
      <c r="L740" t="n">
        <v>64.410005265</v>
      </c>
      <c r="M740" t="n">
        <v>66.484984704</v>
      </c>
      <c r="N740" t="n">
        <v>82.147219964</v>
      </c>
      <c r="O740" t="n">
        <v/>
      </c>
      <c r="P740" t="n">
        <v/>
      </c>
      <c r="Q740" t="n">
        <v>55.828606523</v>
      </c>
      <c r="R740" t="n">
        <v>81.262675077</v>
      </c>
      <c r="S740" t="n">
        <v>59.218105607</v>
      </c>
      <c r="T740" t="n">
        <v>65.900247612</v>
      </c>
      <c r="U740" t="n">
        <v/>
      </c>
      <c r="V740" t="n">
        <v>114.396767369</v>
      </c>
      <c r="W740" t="n">
        <v/>
      </c>
      <c r="X740" t="n">
        <v/>
      </c>
      <c r="Y740" t="n">
        <v/>
      </c>
      <c r="Z740" t="n">
        <v>7.444200242</v>
      </c>
      <c r="AA740" t="n">
        <v/>
      </c>
      <c r="AB740" t="n">
        <v/>
      </c>
      <c r="AC740" t="n">
        <v>93.752133134</v>
      </c>
      <c r="AD740" t="n">
        <v>71.173107789</v>
      </c>
      <c r="AE740" t="n">
        <v/>
      </c>
      <c r="AF740" t="n">
        <v>52.359828135</v>
      </c>
      <c r="AG740" t="n">
        <v/>
      </c>
      <c r="AH740" t="n">
        <v>54.656029921</v>
      </c>
      <c r="AI740" t="n">
        <v>66.30116051100001</v>
      </c>
      <c r="AJ740" t="n">
        <v>49.333097174</v>
      </c>
      <c r="AK740" t="n">
        <v/>
      </c>
      <c r="AL740" t="n">
        <v>51.781565362</v>
      </c>
      <c r="AM740" t="n">
        <v/>
      </c>
      <c r="AN740" t="n">
        <v>70.17189598</v>
      </c>
      <c r="AO740" t="n">
        <v/>
      </c>
      <c r="AP740" t="n">
        <v/>
      </c>
      <c r="AQ740" t="n">
        <v/>
      </c>
      <c r="AR740" t="n">
        <v>60.105346594</v>
      </c>
      <c r="AS740" t="n">
        <v/>
      </c>
      <c r="AT740" t="n">
        <v>48.199935183</v>
      </c>
      <c r="AU740" t="n">
        <v/>
      </c>
    </row>
    <row r="741">
      <c r="A741" s="106" t="n">
        <v>29434</v>
      </c>
      <c r="B741" t="n">
        <v>38.121849029</v>
      </c>
      <c r="C741" t="n">
        <v>53.021177159</v>
      </c>
      <c r="D741" t="n">
        <v>68.621218869</v>
      </c>
      <c r="E741" t="n">
        <v>54.156565176</v>
      </c>
      <c r="F741" t="n">
        <v/>
      </c>
      <c r="G741" t="n">
        <v/>
      </c>
      <c r="H741" t="n">
        <v/>
      </c>
      <c r="I741" t="n">
        <v>38.121849029</v>
      </c>
      <c r="J741" t="n">
        <v/>
      </c>
      <c r="K741" t="n">
        <v>60.308090068</v>
      </c>
      <c r="L741" t="n">
        <v>60.657966124</v>
      </c>
      <c r="M741" t="n">
        <v>67.764962195</v>
      </c>
      <c r="N741" t="n">
        <v>81.866926545</v>
      </c>
      <c r="O741" t="n">
        <v/>
      </c>
      <c r="P741" t="n">
        <v/>
      </c>
      <c r="Q741" t="n">
        <v>50.960717126</v>
      </c>
      <c r="R741" t="n">
        <v>81.262675077</v>
      </c>
      <c r="S741" t="n">
        <v>59.129093422</v>
      </c>
      <c r="T741" t="n">
        <v>65.15741068299999</v>
      </c>
      <c r="U741" t="n">
        <v/>
      </c>
      <c r="V741" t="n">
        <v>111.544667659</v>
      </c>
      <c r="W741" t="n">
        <v/>
      </c>
      <c r="X741" t="n">
        <v/>
      </c>
      <c r="Y741" t="n">
        <v/>
      </c>
      <c r="Z741" t="n">
        <v>7.624120489</v>
      </c>
      <c r="AA741" t="n">
        <v/>
      </c>
      <c r="AB741" t="n">
        <v/>
      </c>
      <c r="AC741" t="n">
        <v>97.2934662</v>
      </c>
      <c r="AD741" t="n">
        <v>69.06988356399999</v>
      </c>
      <c r="AE741" t="n">
        <v/>
      </c>
      <c r="AF741" t="n">
        <v>46.961379508</v>
      </c>
      <c r="AG741" t="n">
        <v/>
      </c>
      <c r="AH741" t="n">
        <v>56.318845646</v>
      </c>
      <c r="AI741" t="n">
        <v>65.63145181900001</v>
      </c>
      <c r="AJ741" t="n">
        <v>56.060337698</v>
      </c>
      <c r="AK741" t="n">
        <v/>
      </c>
      <c r="AL741" t="n">
        <v>51.76493833</v>
      </c>
      <c r="AM741" t="n">
        <v/>
      </c>
      <c r="AN741" t="n">
        <v>67.61493309399999</v>
      </c>
      <c r="AO741" t="n">
        <v/>
      </c>
      <c r="AP741" t="n">
        <v/>
      </c>
      <c r="AQ741" t="n">
        <v/>
      </c>
      <c r="AR741" t="n">
        <v>58.32402179</v>
      </c>
      <c r="AS741" t="n">
        <v/>
      </c>
      <c r="AT741" t="n">
        <v>48.354225745</v>
      </c>
      <c r="AU741" t="n">
        <v/>
      </c>
    </row>
    <row r="742">
      <c r="A742" s="106" t="n">
        <v>29465</v>
      </c>
      <c r="B742" t="n">
        <v>36.953591198</v>
      </c>
      <c r="C742" t="n">
        <v>51.291917377</v>
      </c>
      <c r="D742" t="n">
        <v>71.16412209800001</v>
      </c>
      <c r="E742" t="n">
        <v>55.403234279</v>
      </c>
      <c r="F742" t="n">
        <v/>
      </c>
      <c r="G742" t="n">
        <v/>
      </c>
      <c r="H742" t="n">
        <v/>
      </c>
      <c r="I742" t="n">
        <v>36.953591198</v>
      </c>
      <c r="J742" t="n">
        <v/>
      </c>
      <c r="K742" t="n">
        <v>58.209343842</v>
      </c>
      <c r="L742" t="n">
        <v>61.283305981</v>
      </c>
      <c r="M742" t="n">
        <v>65.68089628</v>
      </c>
      <c r="N742" t="n">
        <v>82.43850541899999</v>
      </c>
      <c r="O742" t="n">
        <v/>
      </c>
      <c r="P742" t="n">
        <v/>
      </c>
      <c r="Q742" t="n">
        <v>50.808595582</v>
      </c>
      <c r="R742" t="n">
        <v>79.718684251</v>
      </c>
      <c r="S742" t="n">
        <v>59.026137841</v>
      </c>
      <c r="T742" t="n">
        <v>64.520693314</v>
      </c>
      <c r="U742" t="n">
        <v/>
      </c>
      <c r="V742" t="n">
        <v>112.886887518</v>
      </c>
      <c r="W742" t="n">
        <v/>
      </c>
      <c r="X742" t="n">
        <v/>
      </c>
      <c r="Y742" t="n">
        <v/>
      </c>
      <c r="Z742" t="n">
        <v>7.421710211</v>
      </c>
      <c r="AA742" t="n">
        <v/>
      </c>
      <c r="AB742" t="n">
        <v/>
      </c>
      <c r="AC742" t="n">
        <v>91.422308758</v>
      </c>
      <c r="AD742" t="n">
        <v>70.16356016100001</v>
      </c>
      <c r="AE742" t="n">
        <v/>
      </c>
      <c r="AF742" t="n">
        <v>47.950400793</v>
      </c>
      <c r="AG742" t="n">
        <v/>
      </c>
      <c r="AH742" t="n">
        <v>56.463438318</v>
      </c>
      <c r="AI742" t="n">
        <v>63.622325743</v>
      </c>
      <c r="AJ742" t="n">
        <v>54.939130944</v>
      </c>
      <c r="AK742" t="n">
        <v/>
      </c>
      <c r="AL742" t="n">
        <v>51.644938486</v>
      </c>
      <c r="AM742" t="n">
        <v/>
      </c>
      <c r="AN742" t="n">
        <v>67.308168862</v>
      </c>
      <c r="AO742" t="n">
        <v/>
      </c>
      <c r="AP742" t="n">
        <v/>
      </c>
      <c r="AQ742" t="n">
        <v/>
      </c>
      <c r="AR742" t="n">
        <v>57.519552524</v>
      </c>
      <c r="AS742" t="n">
        <v/>
      </c>
      <c r="AT742" t="n">
        <v>49.159194113</v>
      </c>
      <c r="AU742" t="n">
        <v/>
      </c>
    </row>
    <row r="743">
      <c r="A743" s="106" t="n">
        <v>29495</v>
      </c>
      <c r="B743" t="n">
        <v>37.598699868</v>
      </c>
      <c r="C743" t="n">
        <v>50.957891923</v>
      </c>
      <c r="D743" t="n">
        <v>69.442584849</v>
      </c>
      <c r="E743" t="n">
        <v>56.044190425</v>
      </c>
      <c r="F743" t="n">
        <v/>
      </c>
      <c r="G743" t="n">
        <v/>
      </c>
      <c r="H743" t="n">
        <v/>
      </c>
      <c r="I743" t="n">
        <v>37.598699868</v>
      </c>
      <c r="J743" t="n">
        <v/>
      </c>
      <c r="K743" t="n">
        <v>58.517982993</v>
      </c>
      <c r="L743" t="n">
        <v>61.283305981</v>
      </c>
      <c r="M743" t="n">
        <v>65.77115110299999</v>
      </c>
      <c r="N743" t="n">
        <v>82.993233847</v>
      </c>
      <c r="O743" t="n">
        <v/>
      </c>
      <c r="P743" t="n">
        <v/>
      </c>
      <c r="Q743" t="n">
        <v>51.011424307</v>
      </c>
      <c r="R743" t="n">
        <v>79.393633554</v>
      </c>
      <c r="S743" t="n">
        <v>59.467988895</v>
      </c>
      <c r="T743" t="n">
        <v>63.990095508</v>
      </c>
      <c r="U743" t="n">
        <v/>
      </c>
      <c r="V743" t="n">
        <v>109.306647602</v>
      </c>
      <c r="W743" t="n">
        <v/>
      </c>
      <c r="X743" t="n">
        <v/>
      </c>
      <c r="Y743" t="n">
        <v/>
      </c>
      <c r="Z743" t="n">
        <v>7.534160366</v>
      </c>
      <c r="AA743" t="n">
        <v/>
      </c>
      <c r="AB743" t="n">
        <v/>
      </c>
      <c r="AC743" t="n">
        <v>92.354238502</v>
      </c>
      <c r="AD743" t="n">
        <v>70.584205006</v>
      </c>
      <c r="AE743" t="n">
        <v/>
      </c>
      <c r="AF743" t="n">
        <v>46.846504514</v>
      </c>
      <c r="AG743" t="n">
        <v/>
      </c>
      <c r="AH743" t="n">
        <v>57.403290685</v>
      </c>
      <c r="AI743" t="n">
        <v>66.30116051100001</v>
      </c>
      <c r="AJ743" t="n">
        <v>56.620941075</v>
      </c>
      <c r="AK743" t="n">
        <v/>
      </c>
      <c r="AL743" t="n">
        <v>52.084094611</v>
      </c>
      <c r="AM743" t="n">
        <v/>
      </c>
      <c r="AN743" t="n">
        <v>71.331329509</v>
      </c>
      <c r="AO743" t="n">
        <v/>
      </c>
      <c r="AP743" t="n">
        <v/>
      </c>
      <c r="AQ743" t="n">
        <v/>
      </c>
      <c r="AR743" t="n">
        <v>58.151635519</v>
      </c>
      <c r="AS743" t="n">
        <v/>
      </c>
      <c r="AT743" t="n">
        <v>49.783297452</v>
      </c>
      <c r="AU743" t="n">
        <v/>
      </c>
    </row>
    <row r="744">
      <c r="A744" s="106" t="n">
        <v>29526</v>
      </c>
      <c r="B744" t="n">
        <v>37.972500682</v>
      </c>
      <c r="C744" t="n">
        <v>51.057105918</v>
      </c>
      <c r="D744" t="n">
        <v>70.655480193</v>
      </c>
      <c r="E744" t="n">
        <v>56.153209359</v>
      </c>
      <c r="F744" t="n">
        <v/>
      </c>
      <c r="G744" t="n">
        <v/>
      </c>
      <c r="H744" t="n">
        <v/>
      </c>
      <c r="I744" t="n">
        <v>37.972500682</v>
      </c>
      <c r="J744" t="n">
        <v/>
      </c>
      <c r="K744" t="n">
        <v>59.505628276</v>
      </c>
      <c r="L744" t="n">
        <v>60.657966124</v>
      </c>
      <c r="M744" t="n">
        <v>66.36190994499999</v>
      </c>
      <c r="N744" t="n">
        <v>83.09321476300001</v>
      </c>
      <c r="O744" t="n">
        <v/>
      </c>
      <c r="P744" t="n">
        <v/>
      </c>
      <c r="Q744" t="n">
        <v>51.214253032</v>
      </c>
      <c r="R744" t="n">
        <v>78.906057498</v>
      </c>
      <c r="S744" t="n">
        <v>60.087973203</v>
      </c>
      <c r="T744" t="n">
        <v>63.671736823</v>
      </c>
      <c r="U744" t="n">
        <v/>
      </c>
      <c r="V744" t="n">
        <v>110.141284874</v>
      </c>
      <c r="W744" t="n">
        <v/>
      </c>
      <c r="X744" t="n">
        <v/>
      </c>
      <c r="Y744" t="n">
        <v/>
      </c>
      <c r="Z744" t="n">
        <v>7.511670335</v>
      </c>
      <c r="AA744" t="n">
        <v/>
      </c>
      <c r="AB744" t="n">
        <v/>
      </c>
      <c r="AC744" t="n">
        <v>96.920694294</v>
      </c>
      <c r="AD744" t="n">
        <v>69.658786347</v>
      </c>
      <c r="AE744" t="n">
        <v/>
      </c>
      <c r="AF744" t="n">
        <v>48.708581725</v>
      </c>
      <c r="AG744" t="n">
        <v/>
      </c>
      <c r="AH744" t="n">
        <v>58.270846715</v>
      </c>
      <c r="AI744" t="n">
        <v>68.31028658699999</v>
      </c>
      <c r="AJ744" t="n">
        <v>55.499734321</v>
      </c>
      <c r="AK744" t="n">
        <v/>
      </c>
      <c r="AL744" t="n">
        <v>52.616375669</v>
      </c>
      <c r="AM744" t="n">
        <v/>
      </c>
      <c r="AN744" t="n">
        <v>70.277469372</v>
      </c>
      <c r="AO744" t="n">
        <v/>
      </c>
      <c r="AP744" t="n">
        <v/>
      </c>
      <c r="AQ744" t="n">
        <v/>
      </c>
      <c r="AR744" t="n">
        <v>58.381483881</v>
      </c>
      <c r="AS744" t="n">
        <v/>
      </c>
      <c r="AT744" t="n">
        <v>50.612262166</v>
      </c>
      <c r="AU744" t="n">
        <v/>
      </c>
    </row>
    <row r="745">
      <c r="A745" s="106" t="n">
        <v>29556</v>
      </c>
      <c r="B745" t="n">
        <v>38.636094813</v>
      </c>
      <c r="C745" t="n">
        <v>49.533598477</v>
      </c>
      <c r="D745" t="n">
        <v>67.878416624</v>
      </c>
      <c r="E745" t="n">
        <v>56.601502734</v>
      </c>
      <c r="F745" t="n">
        <v/>
      </c>
      <c r="G745" t="n">
        <v/>
      </c>
      <c r="H745" t="n">
        <v/>
      </c>
      <c r="I745" t="n">
        <v>38.636094813</v>
      </c>
      <c r="J745" t="n">
        <v/>
      </c>
      <c r="K745" t="n">
        <v>58.641438653</v>
      </c>
      <c r="L745" t="n">
        <v>61.283305981</v>
      </c>
      <c r="M745" t="n">
        <v>66.370114929</v>
      </c>
      <c r="N745" t="n">
        <v>81.71610056900001</v>
      </c>
      <c r="O745" t="n">
        <v/>
      </c>
      <c r="P745" t="n">
        <v/>
      </c>
      <c r="Q745" t="n">
        <v>52.025567931</v>
      </c>
      <c r="R745" t="n">
        <v>80.206260297</v>
      </c>
      <c r="S745" t="n">
        <v>60.282924642</v>
      </c>
      <c r="T745" t="n">
        <v>63.459497701</v>
      </c>
      <c r="U745" t="n">
        <v/>
      </c>
      <c r="V745" t="n">
        <v>114.977612825</v>
      </c>
      <c r="W745" t="n">
        <v/>
      </c>
      <c r="X745" t="n">
        <v/>
      </c>
      <c r="Y745" t="n">
        <v/>
      </c>
      <c r="Z745" t="n">
        <v>7.219299932</v>
      </c>
      <c r="AA745" t="n">
        <v/>
      </c>
      <c r="AB745" t="n">
        <v/>
      </c>
      <c r="AC745" t="n">
        <v>95.522799662</v>
      </c>
      <c r="AD745" t="n">
        <v>70.668333975</v>
      </c>
      <c r="AE745" t="n">
        <v/>
      </c>
      <c r="AF745" t="n">
        <v>47.397176776</v>
      </c>
      <c r="AG745" t="n">
        <v/>
      </c>
      <c r="AH745" t="n">
        <v>58.776921066</v>
      </c>
      <c r="AI745" t="n">
        <v>66.97086920300001</v>
      </c>
      <c r="AJ745" t="n">
        <v>54.939130944</v>
      </c>
      <c r="AK745" t="n">
        <v/>
      </c>
      <c r="AL745" t="n">
        <v>52.733502076</v>
      </c>
      <c r="AM745" t="n">
        <v/>
      </c>
      <c r="AN745" t="n">
        <v>71.201753583</v>
      </c>
      <c r="AO745" t="n">
        <v/>
      </c>
      <c r="AP745" t="n">
        <v/>
      </c>
      <c r="AQ745" t="n">
        <v/>
      </c>
      <c r="AR745" t="n">
        <v>57.059855801</v>
      </c>
      <c r="AS745" t="n">
        <v/>
      </c>
      <c r="AT745" t="n">
        <v>50.95812687</v>
      </c>
      <c r="AU745" t="n">
        <v/>
      </c>
    </row>
    <row r="746">
      <c r="A746" s="106" t="n">
        <v>29587</v>
      </c>
      <c r="B746" t="n">
        <v>36.898978279</v>
      </c>
      <c r="C746" t="n">
        <v>49.974178672</v>
      </c>
      <c r="D746" t="n">
        <v>68.093692047</v>
      </c>
      <c r="E746" t="n">
        <v>55.981222592</v>
      </c>
      <c r="F746" t="n">
        <v/>
      </c>
      <c r="G746" t="n">
        <v/>
      </c>
      <c r="H746" t="n">
        <v/>
      </c>
      <c r="I746" t="n">
        <v>36.898978279</v>
      </c>
      <c r="J746" t="n">
        <v/>
      </c>
      <c r="K746" t="n">
        <v>58.394527333</v>
      </c>
      <c r="L746" t="n">
        <v>61.908645838</v>
      </c>
      <c r="M746" t="n">
        <v>65.22141718</v>
      </c>
      <c r="N746" t="n">
        <v>81.33384836899999</v>
      </c>
      <c r="O746" t="n">
        <v/>
      </c>
      <c r="P746" t="n">
        <v/>
      </c>
      <c r="Q746" t="n">
        <v>50.808595582</v>
      </c>
      <c r="R746" t="n">
        <v>79.88120960000001</v>
      </c>
      <c r="S746" t="n">
        <v>60.023211832</v>
      </c>
      <c r="T746" t="n">
        <v>63.565617262</v>
      </c>
      <c r="U746" t="n">
        <v/>
      </c>
      <c r="V746" t="n">
        <v>110.697735535</v>
      </c>
      <c r="W746" t="n">
        <v/>
      </c>
      <c r="X746" t="n">
        <v/>
      </c>
      <c r="Y746" t="n">
        <v/>
      </c>
      <c r="Z746" t="n">
        <v>7.826530768</v>
      </c>
      <c r="AA746" t="n">
        <v/>
      </c>
      <c r="AB746" t="n">
        <v/>
      </c>
      <c r="AC746" t="n">
        <v>94.78555083000001</v>
      </c>
      <c r="AD746" t="n">
        <v>70.752462944</v>
      </c>
      <c r="AE746" t="n">
        <v/>
      </c>
      <c r="AF746" t="n">
        <v>46.673338685</v>
      </c>
      <c r="AG746" t="n">
        <v/>
      </c>
      <c r="AH746" t="n">
        <v>58.993810074</v>
      </c>
      <c r="AI746" t="n">
        <v>66.30116051100001</v>
      </c>
      <c r="AJ746" t="n">
        <v>54.939130944</v>
      </c>
      <c r="AK746" t="n">
        <v/>
      </c>
      <c r="AL746" t="n">
        <v>52.496195419</v>
      </c>
      <c r="AM746" t="n">
        <v/>
      </c>
      <c r="AN746" t="n">
        <v>69.62309270999999</v>
      </c>
      <c r="AO746" t="n">
        <v/>
      </c>
      <c r="AP746" t="n">
        <v/>
      </c>
      <c r="AQ746" t="n">
        <v/>
      </c>
      <c r="AR746" t="n">
        <v>57.749400886</v>
      </c>
      <c r="AS746" t="n">
        <v/>
      </c>
      <c r="AT746" t="n">
        <v>50.63586188</v>
      </c>
      <c r="AU746" t="n">
        <v/>
      </c>
    </row>
    <row r="747">
      <c r="A747" s="106" t="n">
        <v>29618</v>
      </c>
      <c r="B747" t="n">
        <v>37.727369125</v>
      </c>
      <c r="C747" t="n">
        <v>51.077270158</v>
      </c>
      <c r="D747" t="n">
        <v>70.902081065</v>
      </c>
      <c r="E747" t="n">
        <v>56.320027124</v>
      </c>
      <c r="F747" t="n">
        <v/>
      </c>
      <c r="G747" t="n">
        <v/>
      </c>
      <c r="H747" t="n">
        <v/>
      </c>
      <c r="I747" t="n">
        <v>37.727369125</v>
      </c>
      <c r="J747" t="n">
        <v/>
      </c>
      <c r="K747" t="n">
        <v>59.505628276</v>
      </c>
      <c r="L747" t="n">
        <v>63.159325552</v>
      </c>
      <c r="M747" t="n">
        <v>66.28806509</v>
      </c>
      <c r="N747" t="n">
        <v>83.002636975</v>
      </c>
      <c r="O747" t="n">
        <v/>
      </c>
      <c r="P747" t="n">
        <v/>
      </c>
      <c r="Q747" t="n">
        <v>51.772032025</v>
      </c>
      <c r="R747" t="n">
        <v>80.612573673</v>
      </c>
      <c r="S747" t="n">
        <v>60.113530625</v>
      </c>
      <c r="T747" t="n">
        <v>63.565617262</v>
      </c>
      <c r="U747" t="n">
        <v/>
      </c>
      <c r="V747" t="n">
        <v>111.594639856</v>
      </c>
      <c r="W747" t="n">
        <v/>
      </c>
      <c r="X747" t="n">
        <v/>
      </c>
      <c r="Y747" t="n">
        <v/>
      </c>
      <c r="Z747" t="n">
        <v>7.849020799</v>
      </c>
      <c r="AA747" t="n">
        <v/>
      </c>
      <c r="AB747" t="n">
        <v/>
      </c>
      <c r="AC747" t="n">
        <v>95.257707995</v>
      </c>
      <c r="AD747" t="n">
        <v>70.500076037</v>
      </c>
      <c r="AE747" t="n">
        <v/>
      </c>
      <c r="AF747" t="n">
        <v>47.175860732</v>
      </c>
      <c r="AG747" t="n">
        <v/>
      </c>
      <c r="AH747" t="n">
        <v>59.644477097</v>
      </c>
      <c r="AI747" t="n">
        <v>68.31028658699999</v>
      </c>
      <c r="AJ747" t="n">
        <v>55.499734321</v>
      </c>
      <c r="AK747" t="n">
        <v/>
      </c>
      <c r="AL747" t="n">
        <v>52.717135561</v>
      </c>
      <c r="AM747" t="n">
        <v/>
      </c>
      <c r="AN747" t="n">
        <v>72.910430819</v>
      </c>
      <c r="AO747" t="n">
        <v/>
      </c>
      <c r="AP747" t="n">
        <v/>
      </c>
      <c r="AQ747" t="n">
        <v/>
      </c>
      <c r="AR747" t="n">
        <v>57.921787157</v>
      </c>
      <c r="AS747" t="n">
        <v/>
      </c>
      <c r="AT747" t="n">
        <v>50.427430799</v>
      </c>
      <c r="AU747" t="n">
        <v/>
      </c>
    </row>
    <row r="748">
      <c r="A748" s="106" t="n">
        <v>29646</v>
      </c>
      <c r="B748" t="n">
        <v>37.764140472</v>
      </c>
      <c r="C748" t="n">
        <v>51.253633507</v>
      </c>
      <c r="D748" t="n">
        <v>64.077159717</v>
      </c>
      <c r="E748" t="n">
        <v>56.198790551</v>
      </c>
      <c r="F748" t="n">
        <v/>
      </c>
      <c r="G748" t="n">
        <v/>
      </c>
      <c r="H748" t="n">
        <v/>
      </c>
      <c r="I748" t="n">
        <v>37.764140472</v>
      </c>
      <c r="J748" t="n">
        <v/>
      </c>
      <c r="K748" t="n">
        <v>59.258716955</v>
      </c>
      <c r="L748" t="n">
        <v>61.908645838</v>
      </c>
      <c r="M748" t="n">
        <v>65.434746762</v>
      </c>
      <c r="N748" t="n">
        <v>82.18025421599999</v>
      </c>
      <c r="O748" t="n">
        <v/>
      </c>
      <c r="P748" t="n">
        <v/>
      </c>
      <c r="Q748" t="n">
        <v>51.264960213</v>
      </c>
      <c r="R748" t="n">
        <v>79.068582847</v>
      </c>
      <c r="S748" t="n">
        <v>60.163539713</v>
      </c>
      <c r="T748" t="n">
        <v>63.671736823</v>
      </c>
      <c r="U748" t="n">
        <v/>
      </c>
      <c r="V748" t="n">
        <v>112.101942856</v>
      </c>
      <c r="W748" t="n">
        <v/>
      </c>
      <c r="X748" t="n">
        <v/>
      </c>
      <c r="Y748" t="n">
        <v/>
      </c>
      <c r="Z748" t="n">
        <v>7.64661052</v>
      </c>
      <c r="AA748" t="n">
        <v/>
      </c>
      <c r="AB748" t="n">
        <v/>
      </c>
      <c r="AC748" t="n">
        <v>95.139668704</v>
      </c>
      <c r="AD748" t="n">
        <v>70.752462944</v>
      </c>
      <c r="AE748" t="n">
        <v/>
      </c>
      <c r="AF748" t="n">
        <v>47.48119454</v>
      </c>
      <c r="AG748" t="n">
        <v/>
      </c>
      <c r="AH748" t="n">
        <v>60.150551448</v>
      </c>
      <c r="AI748" t="n">
        <v>65.63145181900001</v>
      </c>
      <c r="AJ748" t="n">
        <v>56.060337698</v>
      </c>
      <c r="AK748" t="n">
        <v/>
      </c>
      <c r="AL748" t="n">
        <v>52.7108095</v>
      </c>
      <c r="AM748" t="n">
        <v/>
      </c>
      <c r="AN748" t="n">
        <v>71.039518401</v>
      </c>
      <c r="AO748" t="n">
        <v/>
      </c>
      <c r="AP748" t="n">
        <v/>
      </c>
      <c r="AQ748" t="n">
        <v/>
      </c>
      <c r="AR748" t="n">
        <v>57.519552524</v>
      </c>
      <c r="AS748" t="n">
        <v/>
      </c>
      <c r="AT748" t="n">
        <v>50.680582344</v>
      </c>
      <c r="AU748" t="n">
        <v/>
      </c>
    </row>
    <row r="749">
      <c r="A749" s="106" t="n">
        <v>29677</v>
      </c>
      <c r="B749" t="n">
        <v>37.539942026</v>
      </c>
      <c r="C749" t="n">
        <v>50.678260552</v>
      </c>
      <c r="D749" t="n">
        <v>62.957846362</v>
      </c>
      <c r="E749" t="n">
        <v>57.372153819</v>
      </c>
      <c r="F749" t="n">
        <v/>
      </c>
      <c r="G749" t="n">
        <v/>
      </c>
      <c r="H749" t="n">
        <v/>
      </c>
      <c r="I749" t="n">
        <v>37.539942026</v>
      </c>
      <c r="J749" t="n">
        <v/>
      </c>
      <c r="K749" t="n">
        <v>58.703166484</v>
      </c>
      <c r="L749" t="n">
        <v>61.283305981</v>
      </c>
      <c r="M749" t="n">
        <v>65.492181649</v>
      </c>
      <c r="N749" t="n">
        <v>82.869053409</v>
      </c>
      <c r="O749" t="n">
        <v/>
      </c>
      <c r="P749" t="n">
        <v/>
      </c>
      <c r="Q749" t="n">
        <v>51.924153569</v>
      </c>
      <c r="R749" t="n">
        <v>78.987320177</v>
      </c>
      <c r="S749" t="n">
        <v>60.058401178</v>
      </c>
      <c r="T749" t="n">
        <v>63.883975946</v>
      </c>
      <c r="U749" t="n">
        <v/>
      </c>
      <c r="V749" t="n">
        <v>110.115019048</v>
      </c>
      <c r="W749" t="n">
        <v/>
      </c>
      <c r="X749" t="n">
        <v/>
      </c>
      <c r="Y749" t="n">
        <v/>
      </c>
      <c r="Z749" t="n">
        <v>7.983960984</v>
      </c>
      <c r="AA749" t="n">
        <v/>
      </c>
      <c r="AB749" t="n">
        <v/>
      </c>
      <c r="AC749" t="n">
        <v>95.37574728600001</v>
      </c>
      <c r="AD749" t="n">
        <v>70.752462944</v>
      </c>
      <c r="AE749" t="n">
        <v/>
      </c>
      <c r="AF749" t="n">
        <v>44.719616244</v>
      </c>
      <c r="AG749" t="n">
        <v/>
      </c>
      <c r="AH749" t="n">
        <v>60.728922135</v>
      </c>
      <c r="AI749" t="n">
        <v>66.30116051100001</v>
      </c>
      <c r="AJ749" t="n">
        <v>55.499734321</v>
      </c>
      <c r="AK749" t="n">
        <v/>
      </c>
      <c r="AL749" t="n">
        <v>52.642338508</v>
      </c>
      <c r="AM749" t="n">
        <v/>
      </c>
      <c r="AN749" t="n">
        <v>72.313660814</v>
      </c>
      <c r="AO749" t="n">
        <v/>
      </c>
      <c r="AP749" t="n">
        <v/>
      </c>
      <c r="AQ749" t="n">
        <v/>
      </c>
      <c r="AR749" t="n">
        <v>56.94493162</v>
      </c>
      <c r="AS749" t="n">
        <v/>
      </c>
      <c r="AT749" t="n">
        <v>50.458169922</v>
      </c>
      <c r="AU749" t="n">
        <v/>
      </c>
    </row>
    <row r="750">
      <c r="A750" s="106" t="n">
        <v>29707</v>
      </c>
      <c r="B750" t="n">
        <v>37.392345706</v>
      </c>
      <c r="C750" t="n">
        <v>50.863775274</v>
      </c>
      <c r="D750" t="n">
        <v>62.134944517</v>
      </c>
      <c r="E750" t="n">
        <v>56.480266161</v>
      </c>
      <c r="F750" t="n">
        <v/>
      </c>
      <c r="G750" t="n">
        <v/>
      </c>
      <c r="H750" t="n">
        <v/>
      </c>
      <c r="I750" t="n">
        <v>37.392345706</v>
      </c>
      <c r="J750" t="n">
        <v/>
      </c>
      <c r="K750" t="n">
        <v>59.073533465</v>
      </c>
      <c r="L750" t="n">
        <v>61.908645838</v>
      </c>
      <c r="M750" t="n">
        <v>66.378319913</v>
      </c>
      <c r="N750" t="n">
        <v>82.815489662</v>
      </c>
      <c r="O750" t="n">
        <v/>
      </c>
      <c r="P750" t="n">
        <v/>
      </c>
      <c r="Q750" t="n">
        <v>53.343954643</v>
      </c>
      <c r="R750" t="n">
        <v>79.96247227800001</v>
      </c>
      <c r="S750" t="n">
        <v>60.163854071</v>
      </c>
      <c r="T750" t="n">
        <v>63.990095508</v>
      </c>
      <c r="U750" t="n">
        <v/>
      </c>
      <c r="V750" t="n">
        <v>111.797274964</v>
      </c>
      <c r="W750" t="n">
        <v/>
      </c>
      <c r="X750" t="n">
        <v/>
      </c>
      <c r="Y750" t="n">
        <v/>
      </c>
      <c r="Z750" t="n">
        <v>7.916490892</v>
      </c>
      <c r="AA750" t="n">
        <v/>
      </c>
      <c r="AB750" t="n">
        <v/>
      </c>
      <c r="AC750" t="n">
        <v>96.43810090700001</v>
      </c>
      <c r="AD750" t="n">
        <v>69.658786347</v>
      </c>
      <c r="AE750" t="n">
        <v/>
      </c>
      <c r="AF750" t="n">
        <v>48.99619395</v>
      </c>
      <c r="AG750" t="n">
        <v/>
      </c>
      <c r="AH750" t="n">
        <v>60.945811142</v>
      </c>
      <c r="AI750" t="n">
        <v>65.63145181900001</v>
      </c>
      <c r="AJ750" t="n">
        <v>57.742147829</v>
      </c>
      <c r="AK750" t="n">
        <v/>
      </c>
      <c r="AL750" t="n">
        <v>52.751141885</v>
      </c>
      <c r="AM750" t="n">
        <v/>
      </c>
      <c r="AN750" t="n">
        <v>72.27834890600001</v>
      </c>
      <c r="AO750" t="n">
        <v/>
      </c>
      <c r="AP750" t="n">
        <v/>
      </c>
      <c r="AQ750" t="n">
        <v/>
      </c>
      <c r="AR750" t="n">
        <v>56.083000263</v>
      </c>
      <c r="AS750" t="n">
        <v/>
      </c>
      <c r="AT750" t="n">
        <v>50.748109255</v>
      </c>
      <c r="AU750" t="n">
        <v/>
      </c>
    </row>
    <row r="751">
      <c r="A751" s="106" t="n">
        <v>29738</v>
      </c>
      <c r="B751" t="n">
        <v>36.925660189</v>
      </c>
      <c r="C751" t="n">
        <v>51.761169574</v>
      </c>
      <c r="D751" t="n">
        <v>61.488454289</v>
      </c>
      <c r="E751" t="n">
        <v>56.821420239</v>
      </c>
      <c r="F751" t="n">
        <v/>
      </c>
      <c r="G751" t="n">
        <v/>
      </c>
      <c r="H751" t="n">
        <v/>
      </c>
      <c r="I751" t="n">
        <v>36.925660189</v>
      </c>
      <c r="J751" t="n">
        <v/>
      </c>
      <c r="K751" t="n">
        <v>58.394527333</v>
      </c>
      <c r="L751" t="n">
        <v>61.283305981</v>
      </c>
      <c r="M751" t="n">
        <v>65.697306247</v>
      </c>
      <c r="N751" t="n">
        <v>83.471053107</v>
      </c>
      <c r="O751" t="n">
        <v/>
      </c>
      <c r="P751" t="n">
        <v/>
      </c>
      <c r="Q751" t="n">
        <v>50.098695045</v>
      </c>
      <c r="R751" t="n">
        <v>80.368785655</v>
      </c>
      <c r="S751" t="n">
        <v>60.506448218</v>
      </c>
      <c r="T751" t="n">
        <v>64.20233463</v>
      </c>
      <c r="U751" t="n">
        <v/>
      </c>
      <c r="V751" t="n">
        <v>114.161118692</v>
      </c>
      <c r="W751" t="n">
        <v/>
      </c>
      <c r="X751" t="n">
        <v/>
      </c>
      <c r="Y751" t="n">
        <v/>
      </c>
      <c r="Z751" t="n">
        <v>8.006451015</v>
      </c>
      <c r="AA751" t="n">
        <v/>
      </c>
      <c r="AB751" t="n">
        <v/>
      </c>
      <c r="AC751" t="n">
        <v>96.320061616</v>
      </c>
      <c r="AD751" t="n">
        <v>71.425494696</v>
      </c>
      <c r="AE751" t="n">
        <v/>
      </c>
      <c r="AF751" t="n">
        <v>48.931971816</v>
      </c>
      <c r="AG751" t="n">
        <v/>
      </c>
      <c r="AH751" t="n">
        <v>60.945811142</v>
      </c>
      <c r="AI751" t="n">
        <v>64.96174312700001</v>
      </c>
      <c r="AJ751" t="n">
        <v>56.620941075</v>
      </c>
      <c r="AK751" t="n">
        <v/>
      </c>
      <c r="AL751" t="n">
        <v>52.981662103</v>
      </c>
      <c r="AM751" t="n">
        <v/>
      </c>
      <c r="AN751" t="n">
        <v>69.645975014</v>
      </c>
      <c r="AO751" t="n">
        <v/>
      </c>
      <c r="AP751" t="n">
        <v/>
      </c>
      <c r="AQ751" t="n">
        <v/>
      </c>
      <c r="AR751" t="n">
        <v>56.083000263</v>
      </c>
      <c r="AS751" t="n">
        <v/>
      </c>
      <c r="AT751" t="n">
        <v>51.016630361</v>
      </c>
      <c r="AU751" t="n">
        <v/>
      </c>
    </row>
    <row r="752">
      <c r="A752" s="106" t="n">
        <v>29768</v>
      </c>
      <c r="B752" t="n">
        <v>36.977573984</v>
      </c>
      <c r="C752" t="n">
        <v>50.400752291</v>
      </c>
      <c r="D752" t="n">
        <v>61.875530383</v>
      </c>
      <c r="E752" t="n">
        <v>56.877339433</v>
      </c>
      <c r="F752" t="n">
        <v/>
      </c>
      <c r="G752" t="n">
        <v/>
      </c>
      <c r="H752" t="n">
        <v/>
      </c>
      <c r="I752" t="n">
        <v>36.977573984</v>
      </c>
      <c r="J752" t="n">
        <v/>
      </c>
      <c r="K752" t="n">
        <v>58.888349974</v>
      </c>
      <c r="L752" t="n">
        <v>66.286024836</v>
      </c>
      <c r="M752" t="n">
        <v>66.173195315</v>
      </c>
      <c r="N752" t="n">
        <v>84.41064916800001</v>
      </c>
      <c r="O752" t="n">
        <v/>
      </c>
      <c r="P752" t="n">
        <v/>
      </c>
      <c r="Q752" t="n">
        <v>53.496076187</v>
      </c>
      <c r="R752" t="n">
        <v>79.393633554</v>
      </c>
      <c r="S752" t="n">
        <v>60.717633156</v>
      </c>
      <c r="T752" t="n">
        <v>64.520693314</v>
      </c>
      <c r="U752" t="n">
        <v/>
      </c>
      <c r="V752" t="n">
        <v>114.697144822</v>
      </c>
      <c r="W752" t="n">
        <v/>
      </c>
      <c r="X752" t="n">
        <v/>
      </c>
      <c r="Y752" t="n">
        <v/>
      </c>
      <c r="Z752" t="n">
        <v>8.208861294</v>
      </c>
      <c r="AA752" t="n">
        <v/>
      </c>
      <c r="AB752" t="n">
        <v/>
      </c>
      <c r="AC752" t="n">
        <v>94.78555083000001</v>
      </c>
      <c r="AD752" t="n">
        <v>72.01439748</v>
      </c>
      <c r="AE752" t="n">
        <v/>
      </c>
      <c r="AF752" t="n">
        <v>47.980938776</v>
      </c>
      <c r="AG752" t="n">
        <v/>
      </c>
      <c r="AH752" t="n">
        <v>61.451885494</v>
      </c>
      <c r="AI752" t="n">
        <v>66.30116051100001</v>
      </c>
      <c r="AJ752" t="n">
        <v>58.302751206</v>
      </c>
      <c r="AK752" t="n">
        <v/>
      </c>
      <c r="AL752" t="n">
        <v>53.293627364</v>
      </c>
      <c r="AM752" t="n">
        <v/>
      </c>
      <c r="AN752" t="n">
        <v>70.616418006</v>
      </c>
      <c r="AO752" t="n">
        <v/>
      </c>
      <c r="AP752" t="n">
        <v/>
      </c>
      <c r="AQ752" t="n">
        <v/>
      </c>
      <c r="AR752" t="n">
        <v>56.657621168</v>
      </c>
      <c r="AS752" t="n">
        <v/>
      </c>
      <c r="AT752" t="n">
        <v>51.340680204</v>
      </c>
      <c r="AU752" t="n">
        <v/>
      </c>
    </row>
    <row r="753">
      <c r="A753" s="106" t="n">
        <v>29799</v>
      </c>
      <c r="B753" t="n">
        <v>37.094171281</v>
      </c>
      <c r="C753" t="n">
        <v>50.883232316</v>
      </c>
      <c r="D753" t="n">
        <v>60.107539296</v>
      </c>
      <c r="E753" t="n">
        <v>54.735963217</v>
      </c>
      <c r="F753" t="n">
        <v/>
      </c>
      <c r="G753" t="n">
        <v/>
      </c>
      <c r="H753" t="n">
        <v/>
      </c>
      <c r="I753" t="n">
        <v>37.094171281</v>
      </c>
      <c r="J753" t="n">
        <v/>
      </c>
      <c r="K753" t="n">
        <v>58.950077804</v>
      </c>
      <c r="L753" t="n">
        <v>64.410005265</v>
      </c>
      <c r="M753" t="n">
        <v>65.040907534</v>
      </c>
      <c r="N753" t="n">
        <v>78.722078375</v>
      </c>
      <c r="O753" t="n">
        <v/>
      </c>
      <c r="P753" t="n">
        <v/>
      </c>
      <c r="Q753" t="n">
        <v>53.343954643</v>
      </c>
      <c r="R753" t="n">
        <v>79.393633554</v>
      </c>
      <c r="S753" t="n">
        <v>60.539463582</v>
      </c>
      <c r="T753" t="n">
        <v>64.94517156000001</v>
      </c>
      <c r="U753" t="n">
        <v/>
      </c>
      <c r="V753" t="n">
        <v>119.993214747</v>
      </c>
      <c r="W753" t="n">
        <v/>
      </c>
      <c r="X753" t="n">
        <v/>
      </c>
      <c r="Y753" t="n">
        <v/>
      </c>
      <c r="Z753" t="n">
        <v>8.231351325</v>
      </c>
      <c r="AA753" t="n">
        <v/>
      </c>
      <c r="AB753" t="n">
        <v/>
      </c>
      <c r="AC753" t="n">
        <v>93.841236501</v>
      </c>
      <c r="AD753" t="n">
        <v>71.762010573</v>
      </c>
      <c r="AE753" t="n">
        <v/>
      </c>
      <c r="AF753" t="n">
        <v>48.65128914</v>
      </c>
      <c r="AG753" t="n">
        <v/>
      </c>
      <c r="AH753" t="n">
        <v>62.102552516</v>
      </c>
      <c r="AI753" t="n">
        <v>64.29203443500001</v>
      </c>
      <c r="AJ753" t="n">
        <v>48.772493797</v>
      </c>
      <c r="AK753" t="n">
        <v/>
      </c>
      <c r="AL753" t="n">
        <v>53.023940727</v>
      </c>
      <c r="AM753" t="n">
        <v/>
      </c>
      <c r="AN753" t="n">
        <v>67.768281676</v>
      </c>
      <c r="AO753" t="n">
        <v/>
      </c>
      <c r="AP753" t="n">
        <v/>
      </c>
      <c r="AQ753" t="n">
        <v/>
      </c>
      <c r="AR753" t="n">
        <v>57.059855801</v>
      </c>
      <c r="AS753" t="n">
        <v/>
      </c>
      <c r="AT753" t="n">
        <v>51.277714583</v>
      </c>
      <c r="AU753" t="n">
        <v/>
      </c>
    </row>
    <row r="754">
      <c r="A754" s="106" t="n">
        <v>29830</v>
      </c>
      <c r="B754" t="n">
        <v>37.203027135</v>
      </c>
      <c r="C754" t="n">
        <v>51.531302424</v>
      </c>
      <c r="D754" t="n">
        <v>58.827014459</v>
      </c>
      <c r="E754" t="n">
        <v>56.087422071</v>
      </c>
      <c r="F754" t="n">
        <v/>
      </c>
      <c r="G754" t="n">
        <v/>
      </c>
      <c r="H754" t="n">
        <v/>
      </c>
      <c r="I754" t="n">
        <v>37.203027135</v>
      </c>
      <c r="J754" t="n">
        <v/>
      </c>
      <c r="K754" t="n">
        <v>59.135261295</v>
      </c>
      <c r="L754" t="n">
        <v>63.784665409</v>
      </c>
      <c r="M754" t="n">
        <v>66.09114547599999</v>
      </c>
      <c r="N754" t="n">
        <v>80.854233693</v>
      </c>
      <c r="O754" t="n">
        <v/>
      </c>
      <c r="P754" t="n">
        <v/>
      </c>
      <c r="Q754" t="n">
        <v>52.887590012</v>
      </c>
      <c r="R754" t="n">
        <v>80.45004832399999</v>
      </c>
      <c r="S754" t="n">
        <v>60.832368105</v>
      </c>
      <c r="T754" t="n">
        <v>65.36964980499999</v>
      </c>
      <c r="U754" t="n">
        <v/>
      </c>
      <c r="V754" t="n">
        <v>117.369655003</v>
      </c>
      <c r="W754" t="n">
        <v/>
      </c>
      <c r="X754" t="n">
        <v/>
      </c>
      <c r="Y754" t="n">
        <v/>
      </c>
      <c r="Z754" t="n">
        <v>8.298821417999999</v>
      </c>
      <c r="AA754" t="n">
        <v/>
      </c>
      <c r="AB754" t="n">
        <v/>
      </c>
      <c r="AC754" t="n">
        <v>95.139668704</v>
      </c>
      <c r="AD754" t="n">
        <v>72.939816139</v>
      </c>
      <c r="AE754" t="n">
        <v/>
      </c>
      <c r="AF754" t="n">
        <v>49.212826401</v>
      </c>
      <c r="AG754" t="n">
        <v/>
      </c>
      <c r="AH754" t="n">
        <v>62.39173786</v>
      </c>
      <c r="AI754" t="n">
        <v>62.952617051</v>
      </c>
      <c r="AJ754" t="n">
        <v>57.181544452</v>
      </c>
      <c r="AK754" t="n">
        <v/>
      </c>
      <c r="AL754" t="n">
        <v>53.3447098</v>
      </c>
      <c r="AM754" t="n">
        <v/>
      </c>
      <c r="AN754" t="n">
        <v>75.068233014</v>
      </c>
      <c r="AO754" t="n">
        <v/>
      </c>
      <c r="AP754" t="n">
        <v/>
      </c>
      <c r="AQ754" t="n">
        <v/>
      </c>
      <c r="AR754" t="n">
        <v>56.140462354</v>
      </c>
      <c r="AS754" t="n">
        <v/>
      </c>
      <c r="AT754" t="n">
        <v>51.027438633</v>
      </c>
      <c r="AU754" t="n">
        <v/>
      </c>
    </row>
    <row r="755">
      <c r="A755" s="106" t="n">
        <v>29860</v>
      </c>
      <c r="B755" t="n">
        <v>37.425280193</v>
      </c>
      <c r="C755" t="n">
        <v>51.609853366</v>
      </c>
      <c r="D755" t="n">
        <v>58.58404284</v>
      </c>
      <c r="E755" t="n">
        <v>55.269310157</v>
      </c>
      <c r="F755" t="n">
        <v/>
      </c>
      <c r="G755" t="n">
        <v/>
      </c>
      <c r="H755" t="n">
        <v/>
      </c>
      <c r="I755" t="n">
        <v>37.425280193</v>
      </c>
      <c r="J755" t="n">
        <v/>
      </c>
      <c r="K755" t="n">
        <v>59.443900446</v>
      </c>
      <c r="L755" t="n">
        <v>63.159325552</v>
      </c>
      <c r="M755" t="n">
        <v>66.394729881</v>
      </c>
      <c r="N755" t="n">
        <v>82.38965125599999</v>
      </c>
      <c r="O755" t="n">
        <v/>
      </c>
      <c r="P755" t="n">
        <v/>
      </c>
      <c r="Q755" t="n">
        <v>53.445369005</v>
      </c>
      <c r="R755" t="n">
        <v>79.88120960000001</v>
      </c>
      <c r="S755" t="n">
        <v>60.709688247</v>
      </c>
      <c r="T755" t="n">
        <v>65.794128051</v>
      </c>
      <c r="U755" t="n">
        <v/>
      </c>
      <c r="V755" t="n">
        <v>114.79430621</v>
      </c>
      <c r="W755" t="n">
        <v/>
      </c>
      <c r="X755" t="n">
        <v/>
      </c>
      <c r="Y755" t="n">
        <v/>
      </c>
      <c r="Z755" t="n">
        <v>7.961470954</v>
      </c>
      <c r="AA755" t="n">
        <v/>
      </c>
      <c r="AB755" t="n">
        <v/>
      </c>
      <c r="AC755" t="n">
        <v>95.139668704</v>
      </c>
      <c r="AD755" t="n">
        <v>73.360460984</v>
      </c>
      <c r="AE755" t="n">
        <v/>
      </c>
      <c r="AF755" t="n">
        <v>50.122385368</v>
      </c>
      <c r="AG755" t="n">
        <v/>
      </c>
      <c r="AH755" t="n">
        <v>62.102552516</v>
      </c>
      <c r="AI755" t="n">
        <v>66.30116051100001</v>
      </c>
      <c r="AJ755" t="n">
        <v>54.378527567</v>
      </c>
      <c r="AK755" t="n">
        <v/>
      </c>
      <c r="AL755" t="n">
        <v>53.227717048</v>
      </c>
      <c r="AM755" t="n">
        <v/>
      </c>
      <c r="AN755" t="n">
        <v>74.21450588</v>
      </c>
      <c r="AO755" t="n">
        <v/>
      </c>
      <c r="AP755" t="n">
        <v/>
      </c>
      <c r="AQ755" t="n">
        <v/>
      </c>
      <c r="AR755" t="n">
        <v>56.542696987</v>
      </c>
      <c r="AS755" t="n">
        <v/>
      </c>
      <c r="AT755" t="n">
        <v>50.632787967</v>
      </c>
      <c r="AU755" t="n">
        <v/>
      </c>
    </row>
    <row r="756">
      <c r="A756" s="106" t="n">
        <v>29891</v>
      </c>
      <c r="B756" t="n">
        <v>37.320755437</v>
      </c>
      <c r="C756" t="n">
        <v>51.856188137</v>
      </c>
      <c r="D756" t="n">
        <v>59.522102355</v>
      </c>
      <c r="E756" t="n">
        <v>54.234100194</v>
      </c>
      <c r="F756" t="n">
        <v/>
      </c>
      <c r="G756" t="n">
        <v/>
      </c>
      <c r="H756" t="n">
        <v/>
      </c>
      <c r="I756" t="n">
        <v>37.320755437</v>
      </c>
      <c r="J756" t="n">
        <v/>
      </c>
      <c r="K756" t="n">
        <v>58.950077804</v>
      </c>
      <c r="L756" t="n">
        <v>62.533985695</v>
      </c>
      <c r="M756" t="n">
        <v>65.836790974</v>
      </c>
      <c r="N756" t="n">
        <v>81.97327913399999</v>
      </c>
      <c r="O756" t="n">
        <v/>
      </c>
      <c r="P756" t="n">
        <v/>
      </c>
      <c r="Q756" t="n">
        <v>51.873446388</v>
      </c>
      <c r="R756" t="n">
        <v>79.88120960000001</v>
      </c>
      <c r="S756" t="n">
        <v>60.343380673</v>
      </c>
      <c r="T756" t="n">
        <v>65.794128051</v>
      </c>
      <c r="U756" t="n">
        <v/>
      </c>
      <c r="V756" t="n">
        <v>117.503684672</v>
      </c>
      <c r="W756" t="n">
        <v/>
      </c>
      <c r="X756" t="n">
        <v/>
      </c>
      <c r="Y756" t="n">
        <v/>
      </c>
      <c r="Z756" t="n">
        <v>8.163881232</v>
      </c>
      <c r="AA756" t="n">
        <v/>
      </c>
      <c r="AB756" t="n">
        <v/>
      </c>
      <c r="AC756" t="n">
        <v>95.84790445100001</v>
      </c>
      <c r="AD756" t="n">
        <v>73.360460984</v>
      </c>
      <c r="AE756" t="n">
        <v/>
      </c>
      <c r="AF756" t="n">
        <v>50.547970349</v>
      </c>
      <c r="AG756" t="n">
        <v/>
      </c>
      <c r="AH756" t="n">
        <v>62.102552516</v>
      </c>
      <c r="AI756" t="n">
        <v>64.96174312700001</v>
      </c>
      <c r="AJ756" t="n">
        <v>56.060337698</v>
      </c>
      <c r="AK756" t="n">
        <v/>
      </c>
      <c r="AL756" t="n">
        <v>52.960946892</v>
      </c>
      <c r="AM756" t="n">
        <v/>
      </c>
      <c r="AN756" t="n">
        <v>73.780280378</v>
      </c>
      <c r="AO756" t="n">
        <v/>
      </c>
      <c r="AP756" t="n">
        <v/>
      </c>
      <c r="AQ756" t="n">
        <v/>
      </c>
      <c r="AR756" t="n">
        <v>56.657621168</v>
      </c>
      <c r="AS756" t="n">
        <v/>
      </c>
      <c r="AT756" t="n">
        <v>50.048248853</v>
      </c>
      <c r="AU756" t="n">
        <v/>
      </c>
    </row>
    <row r="757">
      <c r="A757" s="106" t="n">
        <v>29921</v>
      </c>
      <c r="B757" t="n">
        <v>37.429423313</v>
      </c>
      <c r="C757" t="n">
        <v>52.176392747</v>
      </c>
      <c r="D757" t="n">
        <v>57.725031739</v>
      </c>
      <c r="E757" t="n">
        <v>54.556457904</v>
      </c>
      <c r="F757" t="n">
        <v/>
      </c>
      <c r="G757" t="n">
        <v/>
      </c>
      <c r="H757" t="n">
        <v/>
      </c>
      <c r="I757" t="n">
        <v>37.429423313</v>
      </c>
      <c r="J757" t="n">
        <v/>
      </c>
      <c r="K757" t="n">
        <v>58.456255163</v>
      </c>
      <c r="L757" t="n">
        <v>60.032626267</v>
      </c>
      <c r="M757" t="n">
        <v>65.205007212</v>
      </c>
      <c r="N757" t="n">
        <v>82.047125769</v>
      </c>
      <c r="O757" t="n">
        <v/>
      </c>
      <c r="P757" t="n">
        <v/>
      </c>
      <c r="Q757" t="n">
        <v>52.583346925</v>
      </c>
      <c r="R757" t="n">
        <v>81.425200425</v>
      </c>
      <c r="S757" t="n">
        <v>59.861254962</v>
      </c>
      <c r="T757" t="n">
        <v>65.581888928</v>
      </c>
      <c r="U757" t="n">
        <v/>
      </c>
      <c r="V757" t="n">
        <v>117.944680841</v>
      </c>
      <c r="W757" t="n">
        <v/>
      </c>
      <c r="X757" t="n">
        <v/>
      </c>
      <c r="Y757" t="n">
        <v/>
      </c>
      <c r="Z757" t="n">
        <v>8.006451015</v>
      </c>
      <c r="AA757" t="n">
        <v/>
      </c>
      <c r="AB757" t="n">
        <v/>
      </c>
      <c r="AC757" t="n">
        <v>92.424765006</v>
      </c>
      <c r="AD757" t="n">
        <v>73.108074077</v>
      </c>
      <c r="AE757" t="n">
        <v/>
      </c>
      <c r="AF757" t="n">
        <v>46.229274541</v>
      </c>
      <c r="AG757" t="n">
        <v/>
      </c>
      <c r="AH757" t="n">
        <v>61.596478165</v>
      </c>
      <c r="AI757" t="n">
        <v>66.97086920300001</v>
      </c>
      <c r="AJ757" t="n">
        <v>56.060337698</v>
      </c>
      <c r="AK757" t="n">
        <v/>
      </c>
      <c r="AL757" t="n">
        <v>52.600803221</v>
      </c>
      <c r="AM757" t="n">
        <v/>
      </c>
      <c r="AN757" t="n">
        <v>69.168583742</v>
      </c>
      <c r="AO757" t="n">
        <v/>
      </c>
      <c r="AP757" t="n">
        <v/>
      </c>
      <c r="AQ757" t="n">
        <v/>
      </c>
      <c r="AR757" t="n">
        <v>56.542696987</v>
      </c>
      <c r="AS757" t="n">
        <v/>
      </c>
      <c r="AT757" t="n">
        <v>49.516164564</v>
      </c>
      <c r="AU757" t="n">
        <v/>
      </c>
    </row>
    <row r="758">
      <c r="A758" s="106" t="n">
        <v>29952</v>
      </c>
      <c r="B758" t="n">
        <v>38.681328457</v>
      </c>
      <c r="C758" t="n">
        <v>52.498288714</v>
      </c>
      <c r="D758" t="n">
        <v>59.423383946</v>
      </c>
      <c r="E758" t="n">
        <v>53.776878544</v>
      </c>
      <c r="F758" t="n">
        <v/>
      </c>
      <c r="G758" t="n">
        <v/>
      </c>
      <c r="H758" t="n">
        <v/>
      </c>
      <c r="I758" t="n">
        <v>38.681328457</v>
      </c>
      <c r="J758" t="n">
        <v/>
      </c>
      <c r="K758" t="n">
        <v>58.703166484</v>
      </c>
      <c r="L758" t="n">
        <v>62.533985695</v>
      </c>
      <c r="M758" t="n">
        <v>65.803971038</v>
      </c>
      <c r="N758" t="n">
        <v>80.561400431</v>
      </c>
      <c r="O758" t="n">
        <v/>
      </c>
      <c r="P758" t="n">
        <v/>
      </c>
      <c r="Q758" t="n">
        <v>53.445369005</v>
      </c>
      <c r="R758" t="n">
        <v>80.04373494799999</v>
      </c>
      <c r="S758" t="n">
        <v>59.428577995</v>
      </c>
      <c r="T758" t="n">
        <v>65.15741068299999</v>
      </c>
      <c r="U758" t="n">
        <v/>
      </c>
      <c r="V758" t="n">
        <v>116.915585068</v>
      </c>
      <c r="W758" t="n">
        <v/>
      </c>
      <c r="X758" t="n">
        <v/>
      </c>
      <c r="Y758" t="n">
        <v/>
      </c>
      <c r="Z758" t="n">
        <v>7.714080613</v>
      </c>
      <c r="AA758" t="n">
        <v/>
      </c>
      <c r="AB758" t="n">
        <v/>
      </c>
      <c r="AC758" t="n">
        <v>96.674179489</v>
      </c>
      <c r="AD758" t="n">
        <v>72.687429232</v>
      </c>
      <c r="AE758" t="n">
        <v/>
      </c>
      <c r="AF758" t="n">
        <v>48.79490215</v>
      </c>
      <c r="AG758" t="n">
        <v/>
      </c>
      <c r="AH758" t="n">
        <v>62.030256181</v>
      </c>
      <c r="AI758" t="n">
        <v>65.63145181900001</v>
      </c>
      <c r="AJ758" t="n">
        <v>57.181544452</v>
      </c>
      <c r="AK758" t="n">
        <v/>
      </c>
      <c r="AL758" t="n">
        <v>52.335812786</v>
      </c>
      <c r="AM758" t="n">
        <v/>
      </c>
      <c r="AN758" t="n">
        <v>76.902947058</v>
      </c>
      <c r="AO758" t="n">
        <v/>
      </c>
      <c r="AP758" t="n">
        <v/>
      </c>
      <c r="AQ758" t="n">
        <v/>
      </c>
      <c r="AR758" t="n">
        <v>55.565841449</v>
      </c>
      <c r="AS758" t="n">
        <v/>
      </c>
      <c r="AT758" t="n">
        <v>48.499790362</v>
      </c>
      <c r="AU758" t="n">
        <v/>
      </c>
    </row>
    <row r="759">
      <c r="A759" s="106" t="n">
        <v>29983</v>
      </c>
      <c r="B759" t="n">
        <v>37.879220999</v>
      </c>
      <c r="C759" t="n">
        <v>51.20219126</v>
      </c>
      <c r="D759" t="n">
        <v>60.007225082</v>
      </c>
      <c r="E759" t="n">
        <v>53.84971447</v>
      </c>
      <c r="F759" t="n">
        <v/>
      </c>
      <c r="G759" t="n">
        <v/>
      </c>
      <c r="H759" t="n">
        <v/>
      </c>
      <c r="I759" t="n">
        <v>37.879220999</v>
      </c>
      <c r="J759" t="n">
        <v/>
      </c>
      <c r="K759" t="n">
        <v>58.271071673</v>
      </c>
      <c r="L759" t="n">
        <v>63.784665409</v>
      </c>
      <c r="M759" t="n">
        <v>65.12295737300001</v>
      </c>
      <c r="N759" t="n">
        <v>80.73354083300001</v>
      </c>
      <c r="O759" t="n">
        <v/>
      </c>
      <c r="P759" t="n">
        <v/>
      </c>
      <c r="Q759" t="n">
        <v>52.989004374</v>
      </c>
      <c r="R759" t="n">
        <v>79.393633554</v>
      </c>
      <c r="S759" t="n">
        <v>59.656585685</v>
      </c>
      <c r="T759" t="n">
        <v>64.94517156000001</v>
      </c>
      <c r="U759" t="n">
        <v/>
      </c>
      <c r="V759" t="n">
        <v>117.71354423</v>
      </c>
      <c r="W759" t="n">
        <v/>
      </c>
      <c r="X759" t="n">
        <v/>
      </c>
      <c r="Y759" t="n">
        <v/>
      </c>
      <c r="Z759" t="n">
        <v>7.894000861</v>
      </c>
      <c r="AA759" t="n">
        <v/>
      </c>
      <c r="AB759" t="n">
        <v/>
      </c>
      <c r="AC759" t="n">
        <v>94.195354374</v>
      </c>
      <c r="AD759" t="n">
        <v>72.182655418</v>
      </c>
      <c r="AE759" t="n">
        <v/>
      </c>
      <c r="AF759" t="n">
        <v>53.286614922</v>
      </c>
      <c r="AG759" t="n">
        <v/>
      </c>
      <c r="AH759" t="n">
        <v>62.174848852</v>
      </c>
      <c r="AI759" t="n">
        <v>63.622325743</v>
      </c>
      <c r="AJ759" t="n">
        <v>56.620941075</v>
      </c>
      <c r="AK759" t="n">
        <v/>
      </c>
      <c r="AL759" t="n">
        <v>52.464599224</v>
      </c>
      <c r="AM759" t="n">
        <v/>
      </c>
      <c r="AN759" t="n">
        <v>74.40954025000001</v>
      </c>
      <c r="AO759" t="n">
        <v/>
      </c>
      <c r="AP759" t="n">
        <v/>
      </c>
      <c r="AQ759" t="n">
        <v/>
      </c>
      <c r="AR759" t="n">
        <v>55.910613992</v>
      </c>
      <c r="AS759" t="n">
        <v/>
      </c>
      <c r="AT759" t="n">
        <v>49.490185048</v>
      </c>
      <c r="AU759" t="n">
        <v/>
      </c>
    </row>
    <row r="760">
      <c r="A760" s="106" t="n">
        <v>30011</v>
      </c>
      <c r="B760" t="n">
        <v>37.350331049</v>
      </c>
      <c r="C760" t="n">
        <v>49.758407023</v>
      </c>
      <c r="D760" t="n">
        <v>62.708124922</v>
      </c>
      <c r="E760" t="n">
        <v>53.196540684</v>
      </c>
      <c r="F760" t="n">
        <v/>
      </c>
      <c r="G760" t="n">
        <v/>
      </c>
      <c r="H760" t="n">
        <v/>
      </c>
      <c r="I760" t="n">
        <v>37.350331049</v>
      </c>
      <c r="J760" t="n">
        <v/>
      </c>
      <c r="K760" t="n">
        <v>58.826622144</v>
      </c>
      <c r="L760" t="n">
        <v>63.784665409</v>
      </c>
      <c r="M760" t="n">
        <v>65.01629258200001</v>
      </c>
      <c r="N760" t="n">
        <v>84.19503784299999</v>
      </c>
      <c r="O760" t="n">
        <v/>
      </c>
      <c r="P760" t="n">
        <v/>
      </c>
      <c r="Q760" t="n">
        <v>52.989004374</v>
      </c>
      <c r="R760" t="n">
        <v>80.45004832399999</v>
      </c>
      <c r="S760" t="n">
        <v>59.609120758</v>
      </c>
      <c r="T760" t="n">
        <v>65.15741068299999</v>
      </c>
      <c r="U760" t="n">
        <v/>
      </c>
      <c r="V760" t="n">
        <v>116.261915715</v>
      </c>
      <c r="W760" t="n">
        <v/>
      </c>
      <c r="X760" t="n">
        <v/>
      </c>
      <c r="Y760" t="n">
        <v/>
      </c>
      <c r="Z760" t="n">
        <v>7.961470954</v>
      </c>
      <c r="AA760" t="n">
        <v/>
      </c>
      <c r="AB760" t="n">
        <v/>
      </c>
      <c r="AC760" t="n">
        <v>92.54280429799999</v>
      </c>
      <c r="AD760" t="n">
        <v>72.939816139</v>
      </c>
      <c r="AE760" t="n">
        <v/>
      </c>
      <c r="AF760" t="n">
        <v>50.072455275</v>
      </c>
      <c r="AG760" t="n">
        <v/>
      </c>
      <c r="AH760" t="n">
        <v>61.451885494</v>
      </c>
      <c r="AI760" t="n">
        <v>64.29203443500001</v>
      </c>
      <c r="AJ760" t="n">
        <v>57.181544452</v>
      </c>
      <c r="AK760" t="n">
        <v/>
      </c>
      <c r="AL760" t="n">
        <v>52.478268684</v>
      </c>
      <c r="AM760" t="n">
        <v/>
      </c>
      <c r="AN760" t="n">
        <v>79.503784017</v>
      </c>
      <c r="AO760" t="n">
        <v/>
      </c>
      <c r="AP760" t="n">
        <v/>
      </c>
      <c r="AQ760" t="n">
        <v/>
      </c>
      <c r="AR760" t="n">
        <v>55.853151902</v>
      </c>
      <c r="AS760" t="n">
        <v/>
      </c>
      <c r="AT760" t="n">
        <v>49.151955545</v>
      </c>
      <c r="AU760" t="n">
        <v/>
      </c>
    </row>
    <row r="761">
      <c r="A761" s="106" t="n">
        <v>30042</v>
      </c>
      <c r="B761" t="n">
        <v>37.168574595</v>
      </c>
      <c r="C761" t="n">
        <v>52.05414704</v>
      </c>
      <c r="D761" t="n">
        <v>63.254980918</v>
      </c>
      <c r="E761" t="n">
        <v>51.715856801</v>
      </c>
      <c r="F761" t="n">
        <v/>
      </c>
      <c r="G761" t="n">
        <v/>
      </c>
      <c r="H761" t="n">
        <v/>
      </c>
      <c r="I761" t="n">
        <v>37.168574595</v>
      </c>
      <c r="J761" t="n">
        <v/>
      </c>
      <c r="K761" t="n">
        <v>58.703166484</v>
      </c>
      <c r="L761" t="n">
        <v>65.660684979</v>
      </c>
      <c r="M761" t="n">
        <v>65.672691296</v>
      </c>
      <c r="N761" t="n">
        <v>81.328178423</v>
      </c>
      <c r="O761" t="n">
        <v/>
      </c>
      <c r="P761" t="n">
        <v/>
      </c>
      <c r="Q761" t="n">
        <v>52.228396656</v>
      </c>
      <c r="R761" t="n">
        <v>80.368785655</v>
      </c>
      <c r="S761" t="n">
        <v>59.346641891</v>
      </c>
      <c r="T761" t="n">
        <v>65.794128051</v>
      </c>
      <c r="U761" t="n">
        <v/>
      </c>
      <c r="V761" t="n">
        <v>115.332203179</v>
      </c>
      <c r="W761" t="n">
        <v/>
      </c>
      <c r="X761" t="n">
        <v/>
      </c>
      <c r="Y761" t="n">
        <v/>
      </c>
      <c r="Z761" t="n">
        <v>7.938980923</v>
      </c>
      <c r="AA761" t="n">
        <v/>
      </c>
      <c r="AB761" t="n">
        <v/>
      </c>
      <c r="AC761" t="n">
        <v>95.72986516</v>
      </c>
      <c r="AD761" t="n">
        <v>71.93026851099999</v>
      </c>
      <c r="AE761" t="n">
        <v/>
      </c>
      <c r="AF761" t="n">
        <v>47.830105153</v>
      </c>
      <c r="AG761" t="n">
        <v/>
      </c>
      <c r="AH761" t="n">
        <v>61.090403814</v>
      </c>
      <c r="AI761" t="n">
        <v>64.96174312700001</v>
      </c>
      <c r="AJ761" t="n">
        <v>57.742147829</v>
      </c>
      <c r="AK761" t="n">
        <v/>
      </c>
      <c r="AL761" t="n">
        <v>52.249288236</v>
      </c>
      <c r="AM761" t="n">
        <v/>
      </c>
      <c r="AN761" t="n">
        <v>76.68837622300001</v>
      </c>
      <c r="AO761" t="n">
        <v/>
      </c>
      <c r="AP761" t="n">
        <v/>
      </c>
      <c r="AQ761" t="n">
        <v/>
      </c>
      <c r="AR761" t="n">
        <v>55.738227721</v>
      </c>
      <c r="AS761" t="n">
        <v/>
      </c>
      <c r="AT761" t="n">
        <v>48.701280351</v>
      </c>
      <c r="AU761" t="n">
        <v/>
      </c>
    </row>
    <row r="762">
      <c r="A762" s="106" t="n">
        <v>30072</v>
      </c>
      <c r="B762" t="n">
        <v>37.71344709</v>
      </c>
      <c r="C762" t="n">
        <v>52.062030073</v>
      </c>
      <c r="D762" t="n">
        <v>63.808296075</v>
      </c>
      <c r="E762" t="n">
        <v>52.119508802</v>
      </c>
      <c r="F762" t="n">
        <v/>
      </c>
      <c r="G762" t="n">
        <v/>
      </c>
      <c r="H762" t="n">
        <v/>
      </c>
      <c r="I762" t="n">
        <v>37.71344709</v>
      </c>
      <c r="J762" t="n">
        <v/>
      </c>
      <c r="K762" t="n">
        <v>58.703166484</v>
      </c>
      <c r="L762" t="n">
        <v>63.159325552</v>
      </c>
      <c r="M762" t="n">
        <v>64.934242743</v>
      </c>
      <c r="N762" t="n">
        <v>81.731000216</v>
      </c>
      <c r="O762" t="n">
        <v/>
      </c>
      <c r="P762" t="n">
        <v/>
      </c>
      <c r="Q762" t="n">
        <v>52.228396656</v>
      </c>
      <c r="R762" t="n">
        <v>80.124997627</v>
      </c>
      <c r="S762" t="n">
        <v>58.931442958</v>
      </c>
      <c r="T762" t="n">
        <v>66.32472585799999</v>
      </c>
      <c r="U762" t="n">
        <v/>
      </c>
      <c r="V762" t="n">
        <v>117.829336372</v>
      </c>
      <c r="W762" t="n">
        <v/>
      </c>
      <c r="X762" t="n">
        <v/>
      </c>
      <c r="Y762" t="n">
        <v/>
      </c>
      <c r="Z762" t="n">
        <v>7.961470954</v>
      </c>
      <c r="AA762" t="n">
        <v/>
      </c>
      <c r="AB762" t="n">
        <v/>
      </c>
      <c r="AC762" t="n">
        <v>91.95260784200001</v>
      </c>
      <c r="AD762" t="n">
        <v>71.257236758</v>
      </c>
      <c r="AE762" t="n">
        <v/>
      </c>
      <c r="AF762" t="n">
        <v>49.575956994</v>
      </c>
      <c r="AG762" t="n">
        <v/>
      </c>
      <c r="AH762" t="n">
        <v>60.945811142</v>
      </c>
      <c r="AI762" t="n">
        <v>63.622325743</v>
      </c>
      <c r="AJ762" t="n">
        <v>54.378527567</v>
      </c>
      <c r="AK762" t="n">
        <v/>
      </c>
      <c r="AL762" t="n">
        <v>51.919649962</v>
      </c>
      <c r="AM762" t="n">
        <v/>
      </c>
      <c r="AN762" t="n">
        <v>72.012304614</v>
      </c>
      <c r="AO762" t="n">
        <v/>
      </c>
      <c r="AP762" t="n">
        <v/>
      </c>
      <c r="AQ762" t="n">
        <v/>
      </c>
      <c r="AR762" t="n">
        <v>55.910613992</v>
      </c>
      <c r="AS762" t="n">
        <v/>
      </c>
      <c r="AT762" t="n">
        <v>48.36999194</v>
      </c>
      <c r="AU762" t="n">
        <v/>
      </c>
    </row>
    <row r="763">
      <c r="A763" s="106" t="n">
        <v>30103</v>
      </c>
      <c r="B763" t="n">
        <v>37.177447167</v>
      </c>
      <c r="C763" t="n">
        <v>50.784664056</v>
      </c>
      <c r="D763" t="n">
        <v>63.420391881</v>
      </c>
      <c r="E763" t="n">
        <v>51.216813233</v>
      </c>
      <c r="F763" t="n">
        <v/>
      </c>
      <c r="G763" t="n">
        <v/>
      </c>
      <c r="H763" t="n">
        <v/>
      </c>
      <c r="I763" t="n">
        <v>37.177447167</v>
      </c>
      <c r="J763" t="n">
        <v/>
      </c>
      <c r="K763" t="n">
        <v>57.28342639</v>
      </c>
      <c r="L763" t="n">
        <v>66.286024836</v>
      </c>
      <c r="M763" t="n">
        <v>63.736315091</v>
      </c>
      <c r="N763" t="n">
        <v>79.86232797</v>
      </c>
      <c r="O763" t="n">
        <v/>
      </c>
      <c r="P763" t="n">
        <v/>
      </c>
      <c r="Q763" t="n">
        <v>53.24254028</v>
      </c>
      <c r="R763" t="n">
        <v>80.28752297600001</v>
      </c>
      <c r="S763" t="n">
        <v>58.662166729</v>
      </c>
      <c r="T763" t="n">
        <v>66.643084542</v>
      </c>
      <c r="U763" t="n">
        <v/>
      </c>
      <c r="V763" t="n">
        <v>113.496128946</v>
      </c>
      <c r="W763" t="n">
        <v/>
      </c>
      <c r="X763" t="n">
        <v/>
      </c>
      <c r="Y763" t="n">
        <v/>
      </c>
      <c r="Z763" t="n">
        <v>7.87151083</v>
      </c>
      <c r="AA763" t="n">
        <v/>
      </c>
      <c r="AB763" t="n">
        <v/>
      </c>
      <c r="AC763" t="n">
        <v>89.119664853</v>
      </c>
      <c r="AD763" t="n">
        <v>72.182655418</v>
      </c>
      <c r="AE763" t="n">
        <v/>
      </c>
      <c r="AF763" t="n">
        <v>49.980778935</v>
      </c>
      <c r="AG763" t="n">
        <v/>
      </c>
      <c r="AH763" t="n">
        <v>60.439736791</v>
      </c>
      <c r="AI763" t="n">
        <v>62.952617051</v>
      </c>
      <c r="AJ763" t="n">
        <v>54.939130944</v>
      </c>
      <c r="AK763" t="n">
        <v/>
      </c>
      <c r="AL763" t="n">
        <v>51.663012305</v>
      </c>
      <c r="AM763" t="n">
        <v/>
      </c>
      <c r="AN763" t="n">
        <v>78.550337344</v>
      </c>
      <c r="AO763" t="n">
        <v/>
      </c>
      <c r="AP763" t="n">
        <v/>
      </c>
      <c r="AQ763" t="n">
        <v/>
      </c>
      <c r="AR763" t="n">
        <v>56.197924444</v>
      </c>
      <c r="AS763" t="n">
        <v/>
      </c>
      <c r="AT763" t="n">
        <v>48.251100948</v>
      </c>
      <c r="AU763" t="n">
        <v/>
      </c>
    </row>
    <row r="764">
      <c r="A764" s="106" t="n">
        <v>30133</v>
      </c>
      <c r="B764" t="n">
        <v>37.384725598</v>
      </c>
      <c r="C764" t="n">
        <v>51.514282766</v>
      </c>
      <c r="D764" t="n">
        <v>63.967355111</v>
      </c>
      <c r="E764" t="n">
        <v>50.193820908</v>
      </c>
      <c r="F764" t="n">
        <v/>
      </c>
      <c r="G764" t="n">
        <v/>
      </c>
      <c r="H764" t="n">
        <v/>
      </c>
      <c r="I764" t="n">
        <v>37.384725598</v>
      </c>
      <c r="J764" t="n">
        <v/>
      </c>
      <c r="K764" t="n">
        <v>55.369863655</v>
      </c>
      <c r="L764" t="n">
        <v>63.159325552</v>
      </c>
      <c r="M764" t="n">
        <v>64.10553936700001</v>
      </c>
      <c r="N764" t="n">
        <v>81.591523154</v>
      </c>
      <c r="O764" t="n">
        <v/>
      </c>
      <c r="P764" t="n">
        <v/>
      </c>
      <c r="Q764" t="n">
        <v>51.721324844</v>
      </c>
      <c r="R764" t="n">
        <v>77.930905397</v>
      </c>
      <c r="S764" t="n">
        <v>58.301211283</v>
      </c>
      <c r="T764" t="n">
        <v>66.536964981</v>
      </c>
      <c r="U764" t="n">
        <v/>
      </c>
      <c r="V764" t="n">
        <v>113.767586685</v>
      </c>
      <c r="W764" t="n">
        <v/>
      </c>
      <c r="X764" t="n">
        <v/>
      </c>
      <c r="Y764" t="n">
        <v/>
      </c>
      <c r="Z764" t="n">
        <v>8.073921108</v>
      </c>
      <c r="AA764" t="n">
        <v/>
      </c>
      <c r="AB764" t="n">
        <v/>
      </c>
      <c r="AC764" t="n">
        <v>92.424765006</v>
      </c>
      <c r="AD764" t="n">
        <v>72.01439748</v>
      </c>
      <c r="AE764" t="n">
        <v/>
      </c>
      <c r="AF764" t="n">
        <v>48.586029101</v>
      </c>
      <c r="AG764" t="n">
        <v/>
      </c>
      <c r="AH764" t="n">
        <v>59.499884425</v>
      </c>
      <c r="AI764" t="n">
        <v>62.952617051</v>
      </c>
      <c r="AJ764" t="n">
        <v>55.499734321</v>
      </c>
      <c r="AK764" t="n">
        <v/>
      </c>
      <c r="AL764" t="n">
        <v>51.413453154</v>
      </c>
      <c r="AM764" t="n">
        <v/>
      </c>
      <c r="AN764" t="n">
        <v>78.70588151600001</v>
      </c>
      <c r="AO764" t="n">
        <v/>
      </c>
      <c r="AP764" t="n">
        <v/>
      </c>
      <c r="AQ764" t="n">
        <v/>
      </c>
      <c r="AR764" t="n">
        <v>56.715083258</v>
      </c>
      <c r="AS764" t="n">
        <v/>
      </c>
      <c r="AT764" t="n">
        <v>48.078267755</v>
      </c>
      <c r="AU764" t="n">
        <v/>
      </c>
    </row>
    <row r="765">
      <c r="A765" s="106" t="n">
        <v>30164</v>
      </c>
      <c r="B765" t="n">
        <v>36.635989173</v>
      </c>
      <c r="C765" t="n">
        <v>50.092681969</v>
      </c>
      <c r="D765" t="n">
        <v>63.95663096</v>
      </c>
      <c r="E765" t="n">
        <v>51.141157852</v>
      </c>
      <c r="F765" t="n">
        <v/>
      </c>
      <c r="G765" t="n">
        <v/>
      </c>
      <c r="H765" t="n">
        <v/>
      </c>
      <c r="I765" t="n">
        <v>36.635989173</v>
      </c>
      <c r="J765" t="n">
        <v/>
      </c>
      <c r="K765" t="n">
        <v>56.542692428</v>
      </c>
      <c r="L765" t="n">
        <v>63.159325552</v>
      </c>
      <c r="M765" t="n">
        <v>63.424525702</v>
      </c>
      <c r="N765" t="n">
        <v>76.774326621</v>
      </c>
      <c r="O765" t="n">
        <v/>
      </c>
      <c r="P765" t="n">
        <v/>
      </c>
      <c r="Q765" t="n">
        <v>52.684761287</v>
      </c>
      <c r="R765" t="n">
        <v>77.930905397</v>
      </c>
      <c r="S765" t="n">
        <v>58.179783372</v>
      </c>
      <c r="T765" t="n">
        <v>66.32472585799999</v>
      </c>
      <c r="U765" t="n">
        <v/>
      </c>
      <c r="V765" t="n">
        <v>111.695014535</v>
      </c>
      <c r="W765" t="n">
        <v/>
      </c>
      <c r="X765" t="n">
        <v/>
      </c>
      <c r="Y765" t="n">
        <v/>
      </c>
      <c r="Z765" t="n">
        <v>7.894000861</v>
      </c>
      <c r="AA765" t="n">
        <v/>
      </c>
      <c r="AB765" t="n">
        <v/>
      </c>
      <c r="AC765" t="n">
        <v>90.654175638</v>
      </c>
      <c r="AD765" t="n">
        <v>72.098526449</v>
      </c>
      <c r="AE765" t="n">
        <v/>
      </c>
      <c r="AF765" t="n">
        <v>49.458624842</v>
      </c>
      <c r="AG765" t="n">
        <v/>
      </c>
      <c r="AH765" t="n">
        <v>59.138402746</v>
      </c>
      <c r="AI765" t="n">
        <v>60.943490974</v>
      </c>
      <c r="AJ765" t="n">
        <v>54.939130944</v>
      </c>
      <c r="AK765" t="n">
        <v/>
      </c>
      <c r="AL765" t="n">
        <v>51.147205328</v>
      </c>
      <c r="AM765" t="n">
        <v/>
      </c>
      <c r="AN765" t="n">
        <v>75.450846574</v>
      </c>
      <c r="AO765" t="n">
        <v/>
      </c>
      <c r="AP765" t="n">
        <v/>
      </c>
      <c r="AQ765" t="n">
        <v/>
      </c>
      <c r="AR765" t="n">
        <v>55.450917269</v>
      </c>
      <c r="AS765" t="n">
        <v/>
      </c>
      <c r="AT765" t="n">
        <v>47.652481333</v>
      </c>
      <c r="AU765" t="n">
        <v/>
      </c>
    </row>
    <row r="766">
      <c r="A766" s="106" t="n">
        <v>30195</v>
      </c>
      <c r="B766" t="n">
        <v>36.611675929</v>
      </c>
      <c r="C766" t="n">
        <v>51.427639426</v>
      </c>
      <c r="D766" t="n">
        <v>63.211325057</v>
      </c>
      <c r="E766" t="n">
        <v>50.536384714</v>
      </c>
      <c r="F766" t="n">
        <v/>
      </c>
      <c r="G766" t="n">
        <v/>
      </c>
      <c r="H766" t="n">
        <v/>
      </c>
      <c r="I766" t="n">
        <v>36.611675929</v>
      </c>
      <c r="J766" t="n">
        <v/>
      </c>
      <c r="K766" t="n">
        <v>56.295781107</v>
      </c>
      <c r="L766" t="n">
        <v>63.159325552</v>
      </c>
      <c r="M766" t="n">
        <v>63.933234705</v>
      </c>
      <c r="N766" t="n">
        <v>83.91385323199999</v>
      </c>
      <c r="O766" t="n">
        <v/>
      </c>
      <c r="P766" t="n">
        <v/>
      </c>
      <c r="Q766" t="n">
        <v>52.786175649</v>
      </c>
      <c r="R766" t="n">
        <v>78.499744122</v>
      </c>
      <c r="S766" t="n">
        <v>58.114372052</v>
      </c>
      <c r="T766" t="n">
        <v>65.900247612</v>
      </c>
      <c r="U766" t="n">
        <v/>
      </c>
      <c r="V766" t="n">
        <v>120.174415976</v>
      </c>
      <c r="W766" t="n">
        <v/>
      </c>
      <c r="X766" t="n">
        <v/>
      </c>
      <c r="Y766" t="n">
        <v/>
      </c>
      <c r="Z766" t="n">
        <v>7.961470954</v>
      </c>
      <c r="AA766" t="n">
        <v/>
      </c>
      <c r="AB766" t="n">
        <v/>
      </c>
      <c r="AC766" t="n">
        <v>91.00829351199999</v>
      </c>
      <c r="AD766" t="n">
        <v>72.435042325</v>
      </c>
      <c r="AE766" t="n">
        <v/>
      </c>
      <c r="AF766" t="n">
        <v>49.894860936</v>
      </c>
      <c r="AG766" t="n">
        <v/>
      </c>
      <c r="AH766" t="n">
        <v>58.198550379</v>
      </c>
      <c r="AI766" t="n">
        <v>62.282908359</v>
      </c>
      <c r="AJ766" t="n">
        <v>53.81792419</v>
      </c>
      <c r="AK766" t="n">
        <v/>
      </c>
      <c r="AL766" t="n">
        <v>51.28731191</v>
      </c>
      <c r="AM766" t="n">
        <v/>
      </c>
      <c r="AN766" t="n">
        <v>76.98871822300001</v>
      </c>
      <c r="AO766" t="n">
        <v/>
      </c>
      <c r="AP766" t="n">
        <v/>
      </c>
      <c r="AQ766" t="n">
        <v/>
      </c>
      <c r="AR766" t="n">
        <v>55.910613992</v>
      </c>
      <c r="AS766" t="n">
        <v/>
      </c>
      <c r="AT766" t="n">
        <v>47.526946724</v>
      </c>
      <c r="AU766" t="n">
        <v/>
      </c>
    </row>
    <row r="767">
      <c r="A767" s="106" t="n">
        <v>30225</v>
      </c>
      <c r="B767" t="n">
        <v>36.622739522</v>
      </c>
      <c r="C767" t="n">
        <v>51.799119642</v>
      </c>
      <c r="D767" t="n">
        <v>61.20690209</v>
      </c>
      <c r="E767" t="n">
        <v>49.589517679</v>
      </c>
      <c r="F767" t="n">
        <v/>
      </c>
      <c r="G767" t="n">
        <v/>
      </c>
      <c r="H767" t="n">
        <v/>
      </c>
      <c r="I767" t="n">
        <v>36.622739522</v>
      </c>
      <c r="J767" t="n">
        <v/>
      </c>
      <c r="K767" t="n">
        <v>55.678502806</v>
      </c>
      <c r="L767" t="n">
        <v>63.784665409</v>
      </c>
      <c r="M767" t="n">
        <v>63.317860911</v>
      </c>
      <c r="N767" t="n">
        <v>80.65970322</v>
      </c>
      <c r="O767" t="n">
        <v/>
      </c>
      <c r="P767" t="n">
        <v/>
      </c>
      <c r="Q767" t="n">
        <v>51.97486075</v>
      </c>
      <c r="R767" t="n">
        <v>79.068582847</v>
      </c>
      <c r="S767" t="n">
        <v>57.398708952</v>
      </c>
      <c r="T767" t="n">
        <v>65.475769367</v>
      </c>
      <c r="U767" t="n">
        <v/>
      </c>
      <c r="V767" t="n">
        <v>115.558765089</v>
      </c>
      <c r="W767" t="n">
        <v/>
      </c>
      <c r="X767" t="n">
        <v/>
      </c>
      <c r="Y767" t="n">
        <v/>
      </c>
      <c r="Z767" t="n">
        <v>8.231351325</v>
      </c>
      <c r="AA767" t="n">
        <v/>
      </c>
      <c r="AB767" t="n">
        <v/>
      </c>
      <c r="AC767" t="n">
        <v>90.063979182</v>
      </c>
      <c r="AD767" t="n">
        <v>70.331818099</v>
      </c>
      <c r="AE767" t="n">
        <v/>
      </c>
      <c r="AF767" t="n">
        <v>49.401872324</v>
      </c>
      <c r="AG767" t="n">
        <v/>
      </c>
      <c r="AH767" t="n">
        <v>56.463438318</v>
      </c>
      <c r="AI767" t="n">
        <v>61.613199667</v>
      </c>
      <c r="AJ767" t="n">
        <v>52.136114059</v>
      </c>
      <c r="AK767" t="n">
        <v/>
      </c>
      <c r="AL767" t="n">
        <v>50.615083034</v>
      </c>
      <c r="AM767" t="n">
        <v/>
      </c>
      <c r="AN767" t="n">
        <v>78.354103295</v>
      </c>
      <c r="AO767" t="n">
        <v/>
      </c>
      <c r="AP767" t="n">
        <v/>
      </c>
      <c r="AQ767" t="n">
        <v/>
      </c>
      <c r="AR767" t="n">
        <v>55.68076563</v>
      </c>
      <c r="AS767" t="n">
        <v/>
      </c>
      <c r="AT767" t="n">
        <v>47.07428836</v>
      </c>
      <c r="AU767" t="n">
        <v/>
      </c>
    </row>
    <row r="768">
      <c r="A768" s="106" t="n">
        <v>30256</v>
      </c>
      <c r="B768" t="n">
        <v>36.401943569</v>
      </c>
      <c r="C768" t="n">
        <v>50.85031904</v>
      </c>
      <c r="D768" t="n">
        <v>59.776149736</v>
      </c>
      <c r="E768" t="n">
        <v>50.409979139</v>
      </c>
      <c r="F768" t="n">
        <v/>
      </c>
      <c r="G768" t="n">
        <v/>
      </c>
      <c r="H768" t="n">
        <v/>
      </c>
      <c r="I768" t="n">
        <v>36.401943569</v>
      </c>
      <c r="J768" t="n">
        <v/>
      </c>
      <c r="K768" t="n">
        <v>54.999496674</v>
      </c>
      <c r="L768" t="n">
        <v>65.035345122</v>
      </c>
      <c r="M768" t="n">
        <v>62.718897084</v>
      </c>
      <c r="N768" t="n">
        <v>82.21287445</v>
      </c>
      <c r="O768" t="n">
        <v/>
      </c>
      <c r="P768" t="n">
        <v/>
      </c>
      <c r="Q768" t="n">
        <v>52.3805182</v>
      </c>
      <c r="R768" t="n">
        <v>78.581006801</v>
      </c>
      <c r="S768" t="n">
        <v>57.419477988</v>
      </c>
      <c r="T768" t="n">
        <v>65.475769367</v>
      </c>
      <c r="U768" t="n">
        <v/>
      </c>
      <c r="V768" t="n">
        <v>114.497493963</v>
      </c>
      <c r="W768" t="n">
        <v/>
      </c>
      <c r="X768" t="n">
        <v/>
      </c>
      <c r="Y768" t="n">
        <v/>
      </c>
      <c r="Z768" t="n">
        <v>8.073921108</v>
      </c>
      <c r="AA768" t="n">
        <v/>
      </c>
      <c r="AB768" t="n">
        <v/>
      </c>
      <c r="AC768" t="n">
        <v>88.529468397</v>
      </c>
      <c r="AD768" t="n">
        <v>72.098526449</v>
      </c>
      <c r="AE768" t="n">
        <v/>
      </c>
      <c r="AF768" t="n">
        <v>47.709439162</v>
      </c>
      <c r="AG768" t="n">
        <v/>
      </c>
      <c r="AH768" t="n">
        <v>56.824919998</v>
      </c>
      <c r="AI768" t="n">
        <v>60.943490974</v>
      </c>
      <c r="AJ768" t="n">
        <v>56.060337698</v>
      </c>
      <c r="AK768" t="n">
        <v/>
      </c>
      <c r="AL768" t="n">
        <v>50.680837922</v>
      </c>
      <c r="AM768" t="n">
        <v/>
      </c>
      <c r="AN768" t="n">
        <v>78.110048861</v>
      </c>
      <c r="AO768" t="n">
        <v/>
      </c>
      <c r="AP768" t="n">
        <v/>
      </c>
      <c r="AQ768" t="n">
        <v/>
      </c>
      <c r="AR768" t="n">
        <v>55.221068907</v>
      </c>
      <c r="AS768" t="n">
        <v/>
      </c>
      <c r="AT768" t="n">
        <v>46.921782651</v>
      </c>
      <c r="AU768" t="n">
        <v/>
      </c>
    </row>
    <row r="769">
      <c r="A769" s="106" t="n">
        <v>30286</v>
      </c>
      <c r="B769" t="n">
        <v>35.633758721</v>
      </c>
      <c r="C769" t="n">
        <v>49.953184383</v>
      </c>
      <c r="D769" t="n">
        <v>59.156825533</v>
      </c>
      <c r="E769" t="n">
        <v>50.052848149</v>
      </c>
      <c r="F769" t="n">
        <v/>
      </c>
      <c r="G769" t="n">
        <v/>
      </c>
      <c r="H769" t="n">
        <v/>
      </c>
      <c r="I769" t="n">
        <v>35.633758721</v>
      </c>
      <c r="J769" t="n">
        <v/>
      </c>
      <c r="K769" t="n">
        <v>55.246407995</v>
      </c>
      <c r="L769" t="n">
        <v>64.410005265</v>
      </c>
      <c r="M769" t="n">
        <v>62.292237921</v>
      </c>
      <c r="N769" t="n">
        <v>80.30871993</v>
      </c>
      <c r="O769" t="n">
        <v/>
      </c>
      <c r="P769" t="n">
        <v/>
      </c>
      <c r="Q769" t="n">
        <v>52.989004374</v>
      </c>
      <c r="R769" t="n">
        <v>78.906057498</v>
      </c>
      <c r="S769" t="n">
        <v>57.243466124</v>
      </c>
      <c r="T769" t="n">
        <v>65.900247612</v>
      </c>
      <c r="U769" t="n">
        <v/>
      </c>
      <c r="V769" t="n">
        <v>111.923206285</v>
      </c>
      <c r="W769" t="n">
        <v/>
      </c>
      <c r="X769" t="n">
        <v/>
      </c>
      <c r="Y769" t="n">
        <v/>
      </c>
      <c r="Z769" t="n">
        <v>7.759060675</v>
      </c>
      <c r="AA769" t="n">
        <v/>
      </c>
      <c r="AB769" t="n">
        <v/>
      </c>
      <c r="AC769" t="n">
        <v>89.473782726</v>
      </c>
      <c r="AD769" t="n">
        <v>71.341365727</v>
      </c>
      <c r="AE769" t="n">
        <v/>
      </c>
      <c r="AF769" t="n">
        <v>45.167613052</v>
      </c>
      <c r="AG769" t="n">
        <v/>
      </c>
      <c r="AH769" t="n">
        <v>56.101956639</v>
      </c>
      <c r="AI769" t="n">
        <v>62.952617051</v>
      </c>
      <c r="AJ769" t="n">
        <v>57.181544452</v>
      </c>
      <c r="AK769" t="n">
        <v/>
      </c>
      <c r="AL769" t="n">
        <v>50.50404976</v>
      </c>
      <c r="AM769" t="n">
        <v/>
      </c>
      <c r="AN769" t="n">
        <v>80.051274494</v>
      </c>
      <c r="AO769" t="n">
        <v/>
      </c>
      <c r="AP769" t="n">
        <v/>
      </c>
      <c r="AQ769" t="n">
        <v/>
      </c>
      <c r="AR769" t="n">
        <v>56.312848625</v>
      </c>
      <c r="AS769" t="n">
        <v/>
      </c>
      <c r="AT769" t="n">
        <v>46.585932951</v>
      </c>
      <c r="AU769" t="n">
        <v/>
      </c>
    </row>
    <row r="770">
      <c r="A770" s="106" t="n">
        <v>30317</v>
      </c>
      <c r="B770" t="n">
        <v>36.092234205</v>
      </c>
      <c r="C770" t="n">
        <v>51.422216218</v>
      </c>
      <c r="D770" t="n">
        <v>58.067256382</v>
      </c>
      <c r="E770" t="n">
        <v>50.977159541</v>
      </c>
      <c r="F770" t="n">
        <v/>
      </c>
      <c r="G770" t="n">
        <v/>
      </c>
      <c r="H770" t="n">
        <v/>
      </c>
      <c r="I770" t="n">
        <v>36.092234205</v>
      </c>
      <c r="J770" t="n">
        <v/>
      </c>
      <c r="K770" t="n">
        <v>56.110597617</v>
      </c>
      <c r="L770" t="n">
        <v>65.035345122</v>
      </c>
      <c r="M770" t="n">
        <v>63.145556248</v>
      </c>
      <c r="N770" t="n">
        <v>83.818964842</v>
      </c>
      <c r="O770" t="n">
        <v/>
      </c>
      <c r="P770" t="n">
        <v/>
      </c>
      <c r="Q770" t="n">
        <v>52.431225381</v>
      </c>
      <c r="R770" t="n">
        <v>79.068582847</v>
      </c>
      <c r="S770" t="n">
        <v>58.004844876</v>
      </c>
      <c r="T770" t="n">
        <v>66.536964981</v>
      </c>
      <c r="U770" t="n">
        <v/>
      </c>
      <c r="V770" t="n">
        <v>114.028983829</v>
      </c>
      <c r="W770" t="n">
        <v/>
      </c>
      <c r="X770" t="n">
        <v/>
      </c>
      <c r="Y770" t="n">
        <v/>
      </c>
      <c r="Z770" t="n">
        <v>8.883562222</v>
      </c>
      <c r="AA770" t="n">
        <v/>
      </c>
      <c r="AB770" t="n">
        <v/>
      </c>
      <c r="AC770" t="n">
        <v>89.709861309</v>
      </c>
      <c r="AD770" t="n">
        <v>71.93026851099999</v>
      </c>
      <c r="AE770" t="n">
        <v/>
      </c>
      <c r="AF770" t="n">
        <v>47.5058354</v>
      </c>
      <c r="AG770" t="n">
        <v/>
      </c>
      <c r="AH770" t="n">
        <v>55.451289616</v>
      </c>
      <c r="AI770" t="n">
        <v>62.282908359</v>
      </c>
      <c r="AJ770" t="n">
        <v>56.620941075</v>
      </c>
      <c r="AK770" t="n">
        <v/>
      </c>
      <c r="AL770" t="n">
        <v>51.121900362</v>
      </c>
      <c r="AM770" t="n">
        <v/>
      </c>
      <c r="AN770" t="n">
        <v>79.310647828</v>
      </c>
      <c r="AO770" t="n">
        <v/>
      </c>
      <c r="AP770" t="n">
        <v/>
      </c>
      <c r="AQ770" t="n">
        <v/>
      </c>
      <c r="AR770" t="n">
        <v>56.312848625</v>
      </c>
      <c r="AS770" t="n">
        <v/>
      </c>
      <c r="AT770" t="n">
        <v>47.449603127</v>
      </c>
      <c r="AU770" t="n">
        <v/>
      </c>
    </row>
    <row r="771">
      <c r="A771" s="106" t="n">
        <v>30348</v>
      </c>
      <c r="B771" t="n">
        <v>36.636122459</v>
      </c>
      <c r="C771" t="n">
        <v>51.549605967</v>
      </c>
      <c r="D771" t="n">
        <v>56.842006544</v>
      </c>
      <c r="E771" t="n">
        <v>51.021800915</v>
      </c>
      <c r="F771" t="n">
        <v/>
      </c>
      <c r="G771" t="n">
        <v/>
      </c>
      <c r="H771" t="n">
        <v/>
      </c>
      <c r="I771" t="n">
        <v>36.636122459</v>
      </c>
      <c r="J771" t="n">
        <v/>
      </c>
      <c r="K771" t="n">
        <v>55.616774976</v>
      </c>
      <c r="L771" t="n">
        <v>64.410005265</v>
      </c>
      <c r="M771" t="n">
        <v>63.416320718</v>
      </c>
      <c r="N771" t="n">
        <v>83.054934608</v>
      </c>
      <c r="O771" t="n">
        <v/>
      </c>
      <c r="P771" t="n">
        <v/>
      </c>
      <c r="Q771" t="n">
        <v>53.24254028</v>
      </c>
      <c r="R771" t="n">
        <v>78.74353214999999</v>
      </c>
      <c r="S771" t="n">
        <v>57.769279096</v>
      </c>
      <c r="T771" t="n">
        <v>67.173682349</v>
      </c>
      <c r="U771" t="n">
        <v/>
      </c>
      <c r="V771" t="n">
        <v>114.968759965</v>
      </c>
      <c r="W771" t="n">
        <v/>
      </c>
      <c r="X771" t="n">
        <v/>
      </c>
      <c r="Y771" t="n">
        <v/>
      </c>
      <c r="Z771" t="n">
        <v>8.478741664999999</v>
      </c>
      <c r="AA771" t="n">
        <v/>
      </c>
      <c r="AB771" t="n">
        <v/>
      </c>
      <c r="AC771" t="n">
        <v>89.35574343499999</v>
      </c>
      <c r="AD771" t="n">
        <v>71.67788160400001</v>
      </c>
      <c r="AE771" t="n">
        <v/>
      </c>
      <c r="AF771" t="n">
        <v>50.081981589</v>
      </c>
      <c r="AG771" t="n">
        <v/>
      </c>
      <c r="AH771" t="n">
        <v>54.583733585</v>
      </c>
      <c r="AI771" t="n">
        <v>63.622325743</v>
      </c>
      <c r="AJ771" t="n">
        <v>58.863354583</v>
      </c>
      <c r="AK771" t="n">
        <v/>
      </c>
      <c r="AL771" t="n">
        <v>50.961022752</v>
      </c>
      <c r="AM771" t="n">
        <v/>
      </c>
      <c r="AN771" t="n">
        <v>81.044598444</v>
      </c>
      <c r="AO771" t="n">
        <v/>
      </c>
      <c r="AP771" t="n">
        <v/>
      </c>
      <c r="AQ771" t="n">
        <v/>
      </c>
      <c r="AR771" t="n">
        <v>56.657621168</v>
      </c>
      <c r="AS771" t="n">
        <v/>
      </c>
      <c r="AT771" t="n">
        <v>47.166406569</v>
      </c>
      <c r="AU771" t="n">
        <v/>
      </c>
    </row>
    <row r="772">
      <c r="A772" s="106" t="n">
        <v>30376</v>
      </c>
      <c r="B772" t="n">
        <v>36.196348004</v>
      </c>
      <c r="C772" t="n">
        <v>51.641311303</v>
      </c>
      <c r="D772" t="n">
        <v>58.949207315</v>
      </c>
      <c r="E772" t="n">
        <v>51.368123994</v>
      </c>
      <c r="F772" t="n">
        <v/>
      </c>
      <c r="G772" t="n">
        <v/>
      </c>
      <c r="H772" t="n">
        <v/>
      </c>
      <c r="I772" t="n">
        <v>36.196348004</v>
      </c>
      <c r="J772" t="n">
        <v/>
      </c>
      <c r="K772" t="n">
        <v>56.604420258</v>
      </c>
      <c r="L772" t="n">
        <v>63.159325552</v>
      </c>
      <c r="M772" t="n">
        <v>64.00707955999999</v>
      </c>
      <c r="N772" t="n">
        <v>84.77407506199999</v>
      </c>
      <c r="O772" t="n">
        <v/>
      </c>
      <c r="P772" t="n">
        <v/>
      </c>
      <c r="Q772" t="n">
        <v>53.191833099</v>
      </c>
      <c r="R772" t="n">
        <v>79.55615890200001</v>
      </c>
      <c r="S772" t="n">
        <v>58.303143955</v>
      </c>
      <c r="T772" t="n">
        <v>67.49204103300001</v>
      </c>
      <c r="U772" t="n">
        <v/>
      </c>
      <c r="V772" t="n">
        <v>113.71023519</v>
      </c>
      <c r="W772" t="n">
        <v/>
      </c>
      <c r="X772" t="n">
        <v/>
      </c>
      <c r="Y772" t="n">
        <v/>
      </c>
      <c r="Z772" t="n">
        <v>8.253841356000001</v>
      </c>
      <c r="AA772" t="n">
        <v/>
      </c>
      <c r="AB772" t="n">
        <v/>
      </c>
      <c r="AC772" t="n">
        <v>88.883586271</v>
      </c>
      <c r="AD772" t="n">
        <v>72.687429232</v>
      </c>
      <c r="AE772" t="n">
        <v/>
      </c>
      <c r="AF772" t="n">
        <v>48.384494114</v>
      </c>
      <c r="AG772" t="n">
        <v/>
      </c>
      <c r="AH772" t="n">
        <v>53.716177555</v>
      </c>
      <c r="AI772" t="n">
        <v>64.29203443500001</v>
      </c>
      <c r="AJ772" t="n">
        <v>56.620941075</v>
      </c>
      <c r="AK772" t="n">
        <v/>
      </c>
      <c r="AL772" t="n">
        <v>51.317593342</v>
      </c>
      <c r="AM772" t="n">
        <v/>
      </c>
      <c r="AN772" t="n">
        <v>81.079609643</v>
      </c>
      <c r="AO772" t="n">
        <v/>
      </c>
      <c r="AP772" t="n">
        <v/>
      </c>
      <c r="AQ772" t="n">
        <v/>
      </c>
      <c r="AR772" t="n">
        <v>56.312848625</v>
      </c>
      <c r="AS772" t="n">
        <v/>
      </c>
      <c r="AT772" t="n">
        <v>47.556297628</v>
      </c>
      <c r="AU772" t="n">
        <v/>
      </c>
    </row>
    <row r="773">
      <c r="A773" s="106" t="n">
        <v>30407</v>
      </c>
      <c r="B773" t="n">
        <v>37.576921499</v>
      </c>
      <c r="C773" t="n">
        <v>51.647001982</v>
      </c>
      <c r="D773" t="n">
        <v>58.395807875</v>
      </c>
      <c r="E773" t="n">
        <v>52.20879155</v>
      </c>
      <c r="F773" t="n">
        <v/>
      </c>
      <c r="G773" t="n">
        <v/>
      </c>
      <c r="H773" t="n">
        <v/>
      </c>
      <c r="I773" t="n">
        <v>37.576921499</v>
      </c>
      <c r="J773" t="n">
        <v/>
      </c>
      <c r="K773" t="n">
        <v>57.15997073</v>
      </c>
      <c r="L773" t="n">
        <v>65.660684979</v>
      </c>
      <c r="M773" t="n">
        <v>63.77734001</v>
      </c>
      <c r="N773" t="n">
        <v>82.843428381</v>
      </c>
      <c r="O773" t="n">
        <v/>
      </c>
      <c r="P773" t="n">
        <v/>
      </c>
      <c r="Q773" t="n">
        <v>54.155269542</v>
      </c>
      <c r="R773" t="n">
        <v>79.068582847</v>
      </c>
      <c r="S773" t="n">
        <v>58.678773111</v>
      </c>
      <c r="T773" t="n">
        <v>67.59816059400001</v>
      </c>
      <c r="U773" t="n">
        <v/>
      </c>
      <c r="V773" t="n">
        <v>117.917672426</v>
      </c>
      <c r="W773" t="n">
        <v/>
      </c>
      <c r="X773" t="n">
        <v/>
      </c>
      <c r="Y773" t="n">
        <v/>
      </c>
      <c r="Z773" t="n">
        <v>8.096411139000001</v>
      </c>
      <c r="AA773" t="n">
        <v/>
      </c>
      <c r="AB773" t="n">
        <v/>
      </c>
      <c r="AC773" t="n">
        <v>88.411429106</v>
      </c>
      <c r="AD773" t="n">
        <v>72.687429232</v>
      </c>
      <c r="AE773" t="n">
        <v/>
      </c>
      <c r="AF773" t="n">
        <v>51.375818263</v>
      </c>
      <c r="AG773" t="n">
        <v/>
      </c>
      <c r="AH773" t="n">
        <v>53.571584883</v>
      </c>
      <c r="AI773" t="n">
        <v>64.29203443500001</v>
      </c>
      <c r="AJ773" t="n">
        <v>62.226974845</v>
      </c>
      <c r="AK773" t="n">
        <v/>
      </c>
      <c r="AL773" t="n">
        <v>51.646678875</v>
      </c>
      <c r="AM773" t="n">
        <v/>
      </c>
      <c r="AN773" t="n">
        <v>79.875262842</v>
      </c>
      <c r="AO773" t="n">
        <v/>
      </c>
      <c r="AP773" t="n">
        <v/>
      </c>
      <c r="AQ773" t="n">
        <v/>
      </c>
      <c r="AR773" t="n">
        <v>57.806862976</v>
      </c>
      <c r="AS773" t="n">
        <v/>
      </c>
      <c r="AT773" t="n">
        <v>48.147777834</v>
      </c>
      <c r="AU773" t="n">
        <v/>
      </c>
    </row>
    <row r="774">
      <c r="A774" s="106" t="n">
        <v>30437</v>
      </c>
      <c r="B774" t="n">
        <v>37.424781535</v>
      </c>
      <c r="C774" t="n">
        <v>51.32643458</v>
      </c>
      <c r="D774" t="n">
        <v>60.05533064</v>
      </c>
      <c r="E774" t="n">
        <v>52.539137716</v>
      </c>
      <c r="F774" t="n">
        <v/>
      </c>
      <c r="G774" t="n">
        <v/>
      </c>
      <c r="H774" t="n">
        <v/>
      </c>
      <c r="I774" t="n">
        <v>37.424781535</v>
      </c>
      <c r="J774" t="n">
        <v/>
      </c>
      <c r="K774" t="n">
        <v>56.789603749</v>
      </c>
      <c r="L774" t="n">
        <v>66.286024836</v>
      </c>
      <c r="M774" t="n">
        <v>63.908619753</v>
      </c>
      <c r="N774" t="n">
        <v>83.477927014</v>
      </c>
      <c r="O774" t="n">
        <v/>
      </c>
      <c r="P774" t="n">
        <v/>
      </c>
      <c r="Q774" t="n">
        <v>54.814462898</v>
      </c>
      <c r="R774" t="n">
        <v>79.718684251</v>
      </c>
      <c r="S774" t="n">
        <v>58.817753214</v>
      </c>
      <c r="T774" t="n">
        <v>67.704280156</v>
      </c>
      <c r="U774" t="n">
        <v/>
      </c>
      <c r="V774" t="n">
        <v>107.990005504</v>
      </c>
      <c r="W774" t="n">
        <v/>
      </c>
      <c r="X774" t="n">
        <v/>
      </c>
      <c r="Y774" t="n">
        <v/>
      </c>
      <c r="Z774" t="n">
        <v>8.208861294</v>
      </c>
      <c r="AA774" t="n">
        <v/>
      </c>
      <c r="AB774" t="n">
        <v/>
      </c>
      <c r="AC774" t="n">
        <v>87.112996903</v>
      </c>
      <c r="AD774" t="n">
        <v>73.02394510800001</v>
      </c>
      <c r="AE774" t="n">
        <v/>
      </c>
      <c r="AF774" t="n">
        <v>51.705985535</v>
      </c>
      <c r="AG774" t="n">
        <v/>
      </c>
      <c r="AH774" t="n">
        <v>52.993214196</v>
      </c>
      <c r="AI774" t="n">
        <v>66.30116051100001</v>
      </c>
      <c r="AJ774" t="n">
        <v>59.42395796</v>
      </c>
      <c r="AK774" t="n">
        <v/>
      </c>
      <c r="AL774" t="n">
        <v>51.718567142</v>
      </c>
      <c r="AM774" t="n">
        <v/>
      </c>
      <c r="AN774" t="n">
        <v>79.188897919</v>
      </c>
      <c r="AO774" t="n">
        <v/>
      </c>
      <c r="AP774" t="n">
        <v/>
      </c>
      <c r="AQ774" t="n">
        <v/>
      </c>
      <c r="AR774" t="n">
        <v>57.462090434</v>
      </c>
      <c r="AS774" t="n">
        <v/>
      </c>
      <c r="AT774" t="n">
        <v>48.453483362</v>
      </c>
      <c r="AU774" t="n">
        <v/>
      </c>
    </row>
    <row r="775">
      <c r="A775" s="106" t="n">
        <v>30468</v>
      </c>
      <c r="B775" t="n">
        <v>37.424781535</v>
      </c>
      <c r="C775" t="n">
        <v>51.947368637</v>
      </c>
      <c r="D775" t="n">
        <v>58.000844861</v>
      </c>
      <c r="E775" t="n">
        <v>54.154685539</v>
      </c>
      <c r="F775" t="n">
        <v/>
      </c>
      <c r="G775" t="n">
        <v/>
      </c>
      <c r="H775" t="n">
        <v/>
      </c>
      <c r="I775" t="n">
        <v>37.424781535</v>
      </c>
      <c r="J775" t="n">
        <v/>
      </c>
      <c r="K775" t="n">
        <v>58.703166484</v>
      </c>
      <c r="L775" t="n">
        <v>66.911364693</v>
      </c>
      <c r="M775" t="n">
        <v>64.392713804</v>
      </c>
      <c r="N775" t="n">
        <v>83.214582283</v>
      </c>
      <c r="O775" t="n">
        <v/>
      </c>
      <c r="P775" t="n">
        <v/>
      </c>
      <c r="Q775" t="n">
        <v>55.575070617</v>
      </c>
      <c r="R775" t="n">
        <v>79.718684251</v>
      </c>
      <c r="S775" t="n">
        <v>59.443939516</v>
      </c>
      <c r="T775" t="n">
        <v>67.916519278</v>
      </c>
      <c r="U775" t="n">
        <v/>
      </c>
      <c r="V775" t="n">
        <v>115.623082334</v>
      </c>
      <c r="W775" t="n">
        <v/>
      </c>
      <c r="X775" t="n">
        <v/>
      </c>
      <c r="Y775" t="n">
        <v/>
      </c>
      <c r="Z775" t="n">
        <v>8.433761603000001</v>
      </c>
      <c r="AA775" t="n">
        <v/>
      </c>
      <c r="AB775" t="n">
        <v/>
      </c>
      <c r="AC775" t="n">
        <v>87.467114776</v>
      </c>
      <c r="AD775" t="n">
        <v>73.781105829</v>
      </c>
      <c r="AE775" t="n">
        <v/>
      </c>
      <c r="AF775" t="n">
        <v>50.339380123</v>
      </c>
      <c r="AG775" t="n">
        <v/>
      </c>
      <c r="AH775" t="n">
        <v>52.993214196</v>
      </c>
      <c r="AI775" t="n">
        <v>63.622325743</v>
      </c>
      <c r="AJ775" t="n">
        <v>60.545164714</v>
      </c>
      <c r="AK775" t="n">
        <v/>
      </c>
      <c r="AL775" t="n">
        <v>52.197505021</v>
      </c>
      <c r="AM775" t="n">
        <v/>
      </c>
      <c r="AN775" t="n">
        <v>81.22830444900001</v>
      </c>
      <c r="AO775" t="n">
        <v/>
      </c>
      <c r="AP775" t="n">
        <v/>
      </c>
      <c r="AQ775" t="n">
        <v/>
      </c>
      <c r="AR775" t="n">
        <v>57.806862976</v>
      </c>
      <c r="AS775" t="n">
        <v/>
      </c>
      <c r="AT775" t="n">
        <v>48.742133636</v>
      </c>
      <c r="AU775" t="n">
        <v/>
      </c>
    </row>
    <row r="776">
      <c r="A776" s="106" t="n">
        <v>30498</v>
      </c>
      <c r="B776" t="n">
        <v>39.114105231</v>
      </c>
      <c r="C776" t="n">
        <v>52.332463155</v>
      </c>
      <c r="D776" t="n">
        <v>57.855398625</v>
      </c>
      <c r="E776" t="n">
        <v>54.152805902</v>
      </c>
      <c r="F776" t="n">
        <v/>
      </c>
      <c r="G776" t="n">
        <v/>
      </c>
      <c r="H776" t="n">
        <v/>
      </c>
      <c r="I776" t="n">
        <v>39.114105231</v>
      </c>
      <c r="J776" t="n">
        <v/>
      </c>
      <c r="K776" t="n">
        <v>56.048869787</v>
      </c>
      <c r="L776" t="n">
        <v>65.660684979</v>
      </c>
      <c r="M776" t="n">
        <v>64.039899496</v>
      </c>
      <c r="N776" t="n">
        <v>82.01077435800001</v>
      </c>
      <c r="O776" t="n">
        <v/>
      </c>
      <c r="P776" t="n">
        <v/>
      </c>
      <c r="Q776" t="n">
        <v>53.090418737</v>
      </c>
      <c r="R776" t="n">
        <v>78.499744122</v>
      </c>
      <c r="S776" t="n">
        <v>59.50849647</v>
      </c>
      <c r="T776" t="n">
        <v>68.234877963</v>
      </c>
      <c r="U776" t="n">
        <v/>
      </c>
      <c r="V776" t="n">
        <v>116.443228793</v>
      </c>
      <c r="W776" t="n">
        <v/>
      </c>
      <c r="X776" t="n">
        <v/>
      </c>
      <c r="Y776" t="n">
        <v/>
      </c>
      <c r="Z776" t="n">
        <v>8.973522345999999</v>
      </c>
      <c r="AA776" t="n">
        <v/>
      </c>
      <c r="AB776" t="n">
        <v/>
      </c>
      <c r="AC776" t="n">
        <v>89.82790060000001</v>
      </c>
      <c r="AD776" t="n">
        <v>73.528718922</v>
      </c>
      <c r="AE776" t="n">
        <v/>
      </c>
      <c r="AF776" t="n">
        <v>51.878542783</v>
      </c>
      <c r="AG776" t="n">
        <v/>
      </c>
      <c r="AH776" t="n">
        <v>53.065510532</v>
      </c>
      <c r="AI776" t="n">
        <v>64.29203443500001</v>
      </c>
      <c r="AJ776" t="n">
        <v>61.666371468</v>
      </c>
      <c r="AK776" t="n">
        <v/>
      </c>
      <c r="AL776" t="n">
        <v>52.274607317</v>
      </c>
      <c r="AM776" t="n">
        <v/>
      </c>
      <c r="AN776" t="n">
        <v>78.874677078</v>
      </c>
      <c r="AO776" t="n">
        <v/>
      </c>
      <c r="AP776" t="n">
        <v/>
      </c>
      <c r="AQ776" t="n">
        <v/>
      </c>
      <c r="AR776" t="n">
        <v>59.243415237</v>
      </c>
      <c r="AS776" t="n">
        <v/>
      </c>
      <c r="AT776" t="n">
        <v>49.467477761</v>
      </c>
      <c r="AU776" t="n">
        <v/>
      </c>
    </row>
    <row r="777">
      <c r="A777" s="106" t="n">
        <v>30529</v>
      </c>
      <c r="B777" t="n">
        <v>37.470119252</v>
      </c>
      <c r="C777" t="n">
        <v>53.221420693</v>
      </c>
      <c r="D777" t="n">
        <v>59.19070271</v>
      </c>
      <c r="E777" t="n">
        <v>55.524470852</v>
      </c>
      <c r="F777" t="n">
        <v/>
      </c>
      <c r="G777" t="n">
        <v/>
      </c>
      <c r="H777" t="n">
        <v/>
      </c>
      <c r="I777" t="n">
        <v>37.470119252</v>
      </c>
      <c r="J777" t="n">
        <v/>
      </c>
      <c r="K777" t="n">
        <v>56.604420258</v>
      </c>
      <c r="L777" t="n">
        <v>66.286024836</v>
      </c>
      <c r="M777" t="n">
        <v>64.37630383600001</v>
      </c>
      <c r="N777" t="n">
        <v>82.33126464599999</v>
      </c>
      <c r="O777" t="n">
        <v/>
      </c>
      <c r="P777" t="n">
        <v/>
      </c>
      <c r="Q777" t="n">
        <v>55.422949073</v>
      </c>
      <c r="R777" t="n">
        <v>78.499744122</v>
      </c>
      <c r="S777" t="n">
        <v>60.295301209</v>
      </c>
      <c r="T777" t="n">
        <v>68.55323664700001</v>
      </c>
      <c r="U777" t="n">
        <v/>
      </c>
      <c r="V777" t="n">
        <v>118.855136288</v>
      </c>
      <c r="W777" t="n">
        <v/>
      </c>
      <c r="X777" t="n">
        <v/>
      </c>
      <c r="Y777" t="n">
        <v/>
      </c>
      <c r="Z777" t="n">
        <v>8.613681851000001</v>
      </c>
      <c r="AA777" t="n">
        <v/>
      </c>
      <c r="AB777" t="n">
        <v/>
      </c>
      <c r="AC777" t="n">
        <v>91.244372094</v>
      </c>
      <c r="AD777" t="n">
        <v>75.211298302</v>
      </c>
      <c r="AE777" t="n">
        <v/>
      </c>
      <c r="AF777" t="n">
        <v>51.951651195</v>
      </c>
      <c r="AG777" t="n">
        <v/>
      </c>
      <c r="AH777" t="n">
        <v>52.92091786</v>
      </c>
      <c r="AI777" t="n">
        <v>63.622325743</v>
      </c>
      <c r="AJ777" t="n">
        <v>60.545164714</v>
      </c>
      <c r="AK777" t="n">
        <v/>
      </c>
      <c r="AL777" t="n">
        <v>52.828592973</v>
      </c>
      <c r="AM777" t="n">
        <v/>
      </c>
      <c r="AN777" t="n">
        <v>77.645840572</v>
      </c>
      <c r="AO777" t="n">
        <v/>
      </c>
      <c r="AP777" t="n">
        <v/>
      </c>
      <c r="AQ777" t="n">
        <v/>
      </c>
      <c r="AR777" t="n">
        <v>57.864325067</v>
      </c>
      <c r="AS777" t="n">
        <v/>
      </c>
      <c r="AT777" t="n">
        <v>50.059453759</v>
      </c>
      <c r="AU777" t="n">
        <v/>
      </c>
    </row>
    <row r="778">
      <c r="A778" s="106" t="n">
        <v>30560</v>
      </c>
      <c r="B778" t="n">
        <v>37.795003286</v>
      </c>
      <c r="C778" t="n">
        <v>51.489231364</v>
      </c>
      <c r="D778" t="n">
        <v>58.937185391</v>
      </c>
      <c r="E778" t="n">
        <v>56.648963563</v>
      </c>
      <c r="F778" t="n">
        <v/>
      </c>
      <c r="G778" t="n">
        <v/>
      </c>
      <c r="H778" t="n">
        <v/>
      </c>
      <c r="I778" t="n">
        <v>37.795003286</v>
      </c>
      <c r="J778" t="n">
        <v/>
      </c>
      <c r="K778" t="n">
        <v>58.085888182</v>
      </c>
      <c r="L778" t="n">
        <v>68.162044407</v>
      </c>
      <c r="M778" t="n">
        <v>65.040907534</v>
      </c>
      <c r="N778" t="n">
        <v>83.777934923</v>
      </c>
      <c r="O778" t="n">
        <v/>
      </c>
      <c r="P778" t="n">
        <v/>
      </c>
      <c r="Q778" t="n">
        <v>55.473656254</v>
      </c>
      <c r="R778" t="n">
        <v>79.312370875</v>
      </c>
      <c r="S778" t="n">
        <v>61.027383378</v>
      </c>
      <c r="T778" t="n">
        <v>68.87159533099999</v>
      </c>
      <c r="U778" t="n">
        <v/>
      </c>
      <c r="V778" t="n">
        <v>114.593933606</v>
      </c>
      <c r="W778" t="n">
        <v/>
      </c>
      <c r="X778" t="n">
        <v/>
      </c>
      <c r="Y778" t="n">
        <v/>
      </c>
      <c r="Z778" t="n">
        <v>8.523721727</v>
      </c>
      <c r="AA778" t="n">
        <v/>
      </c>
      <c r="AB778" t="n">
        <v/>
      </c>
      <c r="AC778" t="n">
        <v>89.35574343499999</v>
      </c>
      <c r="AD778" t="n">
        <v>76.22084593</v>
      </c>
      <c r="AE778" t="n">
        <v/>
      </c>
      <c r="AF778" t="n">
        <v>53.202714751</v>
      </c>
      <c r="AG778" t="n">
        <v/>
      </c>
      <c r="AH778" t="n">
        <v>53.210103204</v>
      </c>
      <c r="AI778" t="n">
        <v>63.622325743</v>
      </c>
      <c r="AJ778" t="n">
        <v>61.105768091</v>
      </c>
      <c r="AK778" t="n">
        <v/>
      </c>
      <c r="AL778" t="n">
        <v>53.404379794</v>
      </c>
      <c r="AM778" t="n">
        <v/>
      </c>
      <c r="AN778" t="n">
        <v>80.45668846700001</v>
      </c>
      <c r="AO778" t="n">
        <v/>
      </c>
      <c r="AP778" t="n">
        <v/>
      </c>
      <c r="AQ778" t="n">
        <v/>
      </c>
      <c r="AR778" t="n">
        <v>58.611332242</v>
      </c>
      <c r="AS778" t="n">
        <v/>
      </c>
      <c r="AT778" t="n">
        <v>50.784996201</v>
      </c>
      <c r="AU778" t="n">
        <v/>
      </c>
    </row>
    <row r="779">
      <c r="A779" s="106" t="n">
        <v>30590</v>
      </c>
      <c r="B779" t="n">
        <v>38.37567661</v>
      </c>
      <c r="C779" t="n">
        <v>52.710385161</v>
      </c>
      <c r="D779" t="n">
        <v>59.497930185</v>
      </c>
      <c r="E779" t="n">
        <v>56.144281084</v>
      </c>
      <c r="F779" t="n">
        <v/>
      </c>
      <c r="G779" t="n">
        <v/>
      </c>
      <c r="H779" t="n">
        <v/>
      </c>
      <c r="I779" t="n">
        <v>38.37567661</v>
      </c>
      <c r="J779" t="n">
        <v/>
      </c>
      <c r="K779" t="n">
        <v>57.900704692</v>
      </c>
      <c r="L779" t="n">
        <v>66.911364693</v>
      </c>
      <c r="M779" t="n">
        <v>64.85219290400001</v>
      </c>
      <c r="N779" t="n">
        <v>82.814498223</v>
      </c>
      <c r="O779" t="n">
        <v/>
      </c>
      <c r="P779" t="n">
        <v/>
      </c>
      <c r="Q779" t="n">
        <v>54.966584442</v>
      </c>
      <c r="R779" t="n">
        <v>78.581006801</v>
      </c>
      <c r="S779" t="n">
        <v>61.138326887</v>
      </c>
      <c r="T779" t="n">
        <v>69.08383445299999</v>
      </c>
      <c r="U779" t="n">
        <v/>
      </c>
      <c r="V779" t="n">
        <v>114.65576498</v>
      </c>
      <c r="W779" t="n">
        <v/>
      </c>
      <c r="X779" t="n">
        <v/>
      </c>
      <c r="Y779" t="n">
        <v/>
      </c>
      <c r="Z779" t="n">
        <v>8.703641975</v>
      </c>
      <c r="AA779" t="n">
        <v/>
      </c>
      <c r="AB779" t="n">
        <v/>
      </c>
      <c r="AC779" t="n">
        <v>89.82790060000001</v>
      </c>
      <c r="AD779" t="n">
        <v>75.884330054</v>
      </c>
      <c r="AE779" t="n">
        <v/>
      </c>
      <c r="AF779" t="n">
        <v>54.228684046</v>
      </c>
      <c r="AG779" t="n">
        <v/>
      </c>
      <c r="AH779" t="n">
        <v>53.571584883</v>
      </c>
      <c r="AI779" t="n">
        <v>63.622325743</v>
      </c>
      <c r="AJ779" t="n">
        <v>62.226974845</v>
      </c>
      <c r="AK779" t="n">
        <v/>
      </c>
      <c r="AL779" t="n">
        <v>53.527414896</v>
      </c>
      <c r="AM779" t="n">
        <v/>
      </c>
      <c r="AN779" t="n">
        <v>80.169208114</v>
      </c>
      <c r="AO779" t="n">
        <v/>
      </c>
      <c r="AP779" t="n">
        <v/>
      </c>
      <c r="AQ779" t="n">
        <v/>
      </c>
      <c r="AR779" t="n">
        <v>59.703111961</v>
      </c>
      <c r="AS779" t="n">
        <v/>
      </c>
      <c r="AT779" t="n">
        <v>51.179547709</v>
      </c>
      <c r="AU779" t="n">
        <v/>
      </c>
    </row>
    <row r="780">
      <c r="A780" s="106" t="n">
        <v>30621</v>
      </c>
      <c r="B780" t="n">
        <v>37.991608906</v>
      </c>
      <c r="C780" t="n">
        <v>53.996764583</v>
      </c>
      <c r="D780" t="n">
        <v>59.83804901</v>
      </c>
      <c r="E780" t="n">
        <v>56.901304802</v>
      </c>
      <c r="F780" t="n">
        <v/>
      </c>
      <c r="G780" t="n">
        <v/>
      </c>
      <c r="H780" t="n">
        <v/>
      </c>
      <c r="I780" t="n">
        <v>37.991608906</v>
      </c>
      <c r="J780" t="n">
        <v/>
      </c>
      <c r="K780" t="n">
        <v>58.641438653</v>
      </c>
      <c r="L780" t="n">
        <v>67.53670455</v>
      </c>
      <c r="M780" t="n">
        <v>65.483976666</v>
      </c>
      <c r="N780" t="n">
        <v>83.120845725</v>
      </c>
      <c r="O780" t="n">
        <v/>
      </c>
      <c r="P780" t="n">
        <v/>
      </c>
      <c r="Q780" t="n">
        <v>55.879313704</v>
      </c>
      <c r="R780" t="n">
        <v>80.531311003</v>
      </c>
      <c r="S780" t="n">
        <v>61.708679367</v>
      </c>
      <c r="T780" t="n">
        <v>69.508312699</v>
      </c>
      <c r="U780" t="n">
        <v/>
      </c>
      <c r="V780" t="n">
        <v>116.242118094</v>
      </c>
      <c r="W780" t="n">
        <v/>
      </c>
      <c r="X780" t="n">
        <v/>
      </c>
      <c r="Y780" t="n">
        <v/>
      </c>
      <c r="Z780" t="n">
        <v>8.568701789</v>
      </c>
      <c r="AA780" t="n">
        <v/>
      </c>
      <c r="AB780" t="n">
        <v/>
      </c>
      <c r="AC780" t="n">
        <v>91.48045067699999</v>
      </c>
      <c r="AD780" t="n">
        <v>76.641490776</v>
      </c>
      <c r="AE780" t="n">
        <v/>
      </c>
      <c r="AF780" t="n">
        <v>55.682394838</v>
      </c>
      <c r="AG780" t="n">
        <v/>
      </c>
      <c r="AH780" t="n">
        <v>53.426992211</v>
      </c>
      <c r="AI780" t="n">
        <v>64.96174312700001</v>
      </c>
      <c r="AJ780" t="n">
        <v>61.666371468</v>
      </c>
      <c r="AK780" t="n">
        <v/>
      </c>
      <c r="AL780" t="n">
        <v>53.980817384</v>
      </c>
      <c r="AM780" t="n">
        <v/>
      </c>
      <c r="AN780" t="n">
        <v>78.838627702</v>
      </c>
      <c r="AO780" t="n">
        <v/>
      </c>
      <c r="AP780" t="n">
        <v/>
      </c>
      <c r="AQ780" t="n">
        <v/>
      </c>
      <c r="AR780" t="n">
        <v>59.760574051</v>
      </c>
      <c r="AS780" t="n">
        <v/>
      </c>
      <c r="AT780" t="n">
        <v>51.405728153</v>
      </c>
      <c r="AU780" t="n">
        <v/>
      </c>
    </row>
    <row r="781">
      <c r="A781" s="106" t="n">
        <v>30651</v>
      </c>
      <c r="B781" t="n">
        <v>36.807259215</v>
      </c>
      <c r="C781" t="n">
        <v>52.293833321</v>
      </c>
      <c r="D781" t="n">
        <v>60.59727248</v>
      </c>
      <c r="E781" t="n">
        <v>58.626341469</v>
      </c>
      <c r="F781" t="n">
        <v/>
      </c>
      <c r="G781" t="n">
        <v/>
      </c>
      <c r="H781" t="n">
        <v/>
      </c>
      <c r="I781" t="n">
        <v>36.807259215</v>
      </c>
      <c r="J781" t="n">
        <v/>
      </c>
      <c r="K781" t="n">
        <v>59.814267427</v>
      </c>
      <c r="L781" t="n">
        <v>70.038063978</v>
      </c>
      <c r="M781" t="n">
        <v>66.20601524999999</v>
      </c>
      <c r="N781" t="n">
        <v>85.092207551</v>
      </c>
      <c r="O781" t="n">
        <v/>
      </c>
      <c r="P781" t="n">
        <v/>
      </c>
      <c r="Q781" t="n">
        <v>53.851026455</v>
      </c>
      <c r="R781" t="n">
        <v>80.93762438</v>
      </c>
      <c r="S781" t="n">
        <v>62.290802044</v>
      </c>
      <c r="T781" t="n">
        <v>69.932790944</v>
      </c>
      <c r="U781" t="n">
        <v/>
      </c>
      <c r="V781" t="n">
        <v>116.991158924</v>
      </c>
      <c r="W781" t="n">
        <v/>
      </c>
      <c r="X781" t="n">
        <v/>
      </c>
      <c r="Y781" t="n">
        <v/>
      </c>
      <c r="Z781" t="n">
        <v>9.220912686</v>
      </c>
      <c r="AA781" t="n">
        <v/>
      </c>
      <c r="AB781" t="n">
        <v/>
      </c>
      <c r="AC781" t="n">
        <v>91.83456855</v>
      </c>
      <c r="AD781" t="n">
        <v>77.651038404</v>
      </c>
      <c r="AE781" t="n">
        <v/>
      </c>
      <c r="AF781" t="n">
        <v>55.816665495</v>
      </c>
      <c r="AG781" t="n">
        <v/>
      </c>
      <c r="AH781" t="n">
        <v>54.439140914</v>
      </c>
      <c r="AI781" t="n">
        <v>66.30116051100001</v>
      </c>
      <c r="AJ781" t="n">
        <v>62.787578222</v>
      </c>
      <c r="AK781" t="n">
        <v/>
      </c>
      <c r="AL781" t="n">
        <v>54.494291047</v>
      </c>
      <c r="AM781" t="n">
        <v/>
      </c>
      <c r="AN781" t="n">
        <v>80.26550410199999</v>
      </c>
      <c r="AO781" t="n">
        <v/>
      </c>
      <c r="AP781" t="n">
        <v/>
      </c>
      <c r="AQ781" t="n">
        <v/>
      </c>
      <c r="AR781" t="n">
        <v>59.473263599</v>
      </c>
      <c r="AS781" t="n">
        <v/>
      </c>
      <c r="AT781" t="n">
        <v>51.656400736</v>
      </c>
      <c r="AU781" t="n">
        <v/>
      </c>
    </row>
    <row r="782">
      <c r="A782" s="106" t="n">
        <v>30682</v>
      </c>
      <c r="B782" t="n">
        <v>38.720930605</v>
      </c>
      <c r="C782" t="n">
        <v>53.20592471</v>
      </c>
      <c r="D782" t="n">
        <v>59.385673419</v>
      </c>
      <c r="E782" t="n">
        <v>58.254173384</v>
      </c>
      <c r="F782" t="n">
        <v/>
      </c>
      <c r="G782" t="n">
        <v/>
      </c>
      <c r="H782" t="n">
        <v/>
      </c>
      <c r="I782" t="n">
        <v>38.720930605</v>
      </c>
      <c r="J782" t="n">
        <v/>
      </c>
      <c r="K782" t="n">
        <v>59.073533465</v>
      </c>
      <c r="L782" t="n">
        <v>70.663403835</v>
      </c>
      <c r="M782" t="n">
        <v>65.779356087</v>
      </c>
      <c r="N782" t="n">
        <v>85.01203836400001</v>
      </c>
      <c r="O782" t="n">
        <v/>
      </c>
      <c r="P782" t="n">
        <v/>
      </c>
      <c r="Q782" t="n">
        <v>55.828606523</v>
      </c>
      <c r="R782" t="n">
        <v>81.262675077</v>
      </c>
      <c r="S782" t="n">
        <v>62.850943323</v>
      </c>
      <c r="T782" t="n">
        <v>70.251149629</v>
      </c>
      <c r="U782" t="n">
        <v/>
      </c>
      <c r="V782" t="n">
        <v>117.912779184</v>
      </c>
      <c r="W782" t="n">
        <v/>
      </c>
      <c r="X782" t="n">
        <v/>
      </c>
      <c r="Y782" t="n">
        <v/>
      </c>
      <c r="Z782" t="n">
        <v>8.816092128999999</v>
      </c>
      <c r="AA782" t="n">
        <v/>
      </c>
      <c r="AB782" t="n">
        <v/>
      </c>
      <c r="AC782" t="n">
        <v>92.306725715</v>
      </c>
      <c r="AD782" t="n">
        <v>78.239941187</v>
      </c>
      <c r="AE782" t="n">
        <v/>
      </c>
      <c r="AF782" t="n">
        <v>55.074565859</v>
      </c>
      <c r="AG782" t="n">
        <v/>
      </c>
      <c r="AH782" t="n">
        <v>54.366844578</v>
      </c>
      <c r="AI782" t="n">
        <v>67.64057789500001</v>
      </c>
      <c r="AJ782" t="n">
        <v>64.469388353</v>
      </c>
      <c r="AK782" t="n">
        <v/>
      </c>
      <c r="AL782" t="n">
        <v>55.008315869</v>
      </c>
      <c r="AM782" t="n">
        <v/>
      </c>
      <c r="AN782" t="n">
        <v>80.582451513</v>
      </c>
      <c r="AO782" t="n">
        <v/>
      </c>
      <c r="AP782" t="n">
        <v/>
      </c>
      <c r="AQ782" t="n">
        <v/>
      </c>
      <c r="AR782" t="n">
        <v>60.794891679</v>
      </c>
      <c r="AS782" t="n">
        <v/>
      </c>
      <c r="AT782" t="n">
        <v>52.687648707</v>
      </c>
      <c r="AU782" t="n">
        <v/>
      </c>
    </row>
    <row r="783">
      <c r="A783" s="106" t="n">
        <v>30713</v>
      </c>
      <c r="B783" t="n">
        <v>38.411964199</v>
      </c>
      <c r="C783" t="n">
        <v>52.988358949</v>
      </c>
      <c r="D783" t="n">
        <v>61.712161208</v>
      </c>
      <c r="E783" t="n">
        <v>58.05728143</v>
      </c>
      <c r="F783" t="n">
        <v/>
      </c>
      <c r="G783" t="n">
        <v/>
      </c>
      <c r="H783" t="n">
        <v/>
      </c>
      <c r="I783" t="n">
        <v>38.411964199</v>
      </c>
      <c r="J783" t="n">
        <v/>
      </c>
      <c r="K783" t="n">
        <v>59.629083936</v>
      </c>
      <c r="L783" t="n">
        <v>70.038063978</v>
      </c>
      <c r="M783" t="n">
        <v>65.590641456</v>
      </c>
      <c r="N783" t="n">
        <v>84.23593142599999</v>
      </c>
      <c r="O783" t="n">
        <v/>
      </c>
      <c r="P783" t="n">
        <v/>
      </c>
      <c r="Q783" t="n">
        <v>55.169413167</v>
      </c>
      <c r="R783" t="n">
        <v>81.018887049</v>
      </c>
      <c r="S783" t="n">
        <v>63.134570104</v>
      </c>
      <c r="T783" t="n">
        <v>70.251149629</v>
      </c>
      <c r="U783" t="n">
        <v/>
      </c>
      <c r="V783" t="n">
        <v>112.305554944</v>
      </c>
      <c r="W783" t="n">
        <v/>
      </c>
      <c r="X783" t="n">
        <v/>
      </c>
      <c r="Y783" t="n">
        <v/>
      </c>
      <c r="Z783" t="n">
        <v>8.928542284000001</v>
      </c>
      <c r="AA783" t="n">
        <v/>
      </c>
      <c r="AB783" t="n">
        <v/>
      </c>
      <c r="AC783" t="n">
        <v>88.883586271</v>
      </c>
      <c r="AD783" t="n">
        <v>80.17490747399999</v>
      </c>
      <c r="AE783" t="n">
        <v/>
      </c>
      <c r="AF783" t="n">
        <v>55.963849309</v>
      </c>
      <c r="AG783" t="n">
        <v/>
      </c>
      <c r="AH783" t="n">
        <v>54.222251906</v>
      </c>
      <c r="AI783" t="n">
        <v>66.97086920300001</v>
      </c>
      <c r="AJ783" t="n">
        <v>62.226974845</v>
      </c>
      <c r="AK783" t="n">
        <v/>
      </c>
      <c r="AL783" t="n">
        <v>55.141757152</v>
      </c>
      <c r="AM783" t="n">
        <v/>
      </c>
      <c r="AN783" t="n">
        <v>82.497023486</v>
      </c>
      <c r="AO783" t="n">
        <v/>
      </c>
      <c r="AP783" t="n">
        <v/>
      </c>
      <c r="AQ783" t="n">
        <v/>
      </c>
      <c r="AR783" t="n">
        <v>60.622505408</v>
      </c>
      <c r="AS783" t="n">
        <v/>
      </c>
      <c r="AT783" t="n">
        <v>52.927116384</v>
      </c>
      <c r="AU783" t="n">
        <v/>
      </c>
    </row>
    <row r="784">
      <c r="A784" s="106" t="n">
        <v>30742</v>
      </c>
      <c r="B784" t="n">
        <v>38.432807517</v>
      </c>
      <c r="C784" t="n">
        <v>53.113422486</v>
      </c>
      <c r="D784" t="n">
        <v>58.885130205</v>
      </c>
      <c r="E784" t="n">
        <v>58.888550801</v>
      </c>
      <c r="F784" t="n">
        <v/>
      </c>
      <c r="G784" t="n">
        <v/>
      </c>
      <c r="H784" t="n">
        <v/>
      </c>
      <c r="I784" t="n">
        <v>38.432807517</v>
      </c>
      <c r="J784" t="n">
        <v/>
      </c>
      <c r="K784" t="n">
        <v>58.703166484</v>
      </c>
      <c r="L784" t="n">
        <v>71.914083549</v>
      </c>
      <c r="M784" t="n">
        <v>65.418336794</v>
      </c>
      <c r="N784" t="n">
        <v>82.81350377699999</v>
      </c>
      <c r="O784" t="n">
        <v/>
      </c>
      <c r="P784" t="n">
        <v/>
      </c>
      <c r="Q784" t="n">
        <v>55.676484979</v>
      </c>
      <c r="R784" t="n">
        <v>80.856361701</v>
      </c>
      <c r="S784" t="n">
        <v>63.090956984</v>
      </c>
      <c r="T784" t="n">
        <v>69.508312699</v>
      </c>
      <c r="U784" t="n">
        <v/>
      </c>
      <c r="V784" t="n">
        <v>118.431438005</v>
      </c>
      <c r="W784" t="n">
        <v/>
      </c>
      <c r="X784" t="n">
        <v/>
      </c>
      <c r="Y784" t="n">
        <v/>
      </c>
      <c r="Z784" t="n">
        <v>9.130952561999999</v>
      </c>
      <c r="AA784" t="n">
        <v/>
      </c>
      <c r="AB784" t="n">
        <v/>
      </c>
      <c r="AC784" t="n">
        <v>90.536136347</v>
      </c>
      <c r="AD784" t="n">
        <v>79.50187572199999</v>
      </c>
      <c r="AE784" t="n">
        <v/>
      </c>
      <c r="AF784" t="n">
        <v>55.936998557</v>
      </c>
      <c r="AG784" t="n">
        <v/>
      </c>
      <c r="AH784" t="n">
        <v>54.800622593</v>
      </c>
      <c r="AI784" t="n">
        <v>68.31028658699999</v>
      </c>
      <c r="AJ784" t="n">
        <v>62.787578222</v>
      </c>
      <c r="AK784" t="n">
        <v/>
      </c>
      <c r="AL784" t="n">
        <v>55.15025948</v>
      </c>
      <c r="AM784" t="n">
        <v/>
      </c>
      <c r="AN784" t="n">
        <v>78.85169880300001</v>
      </c>
      <c r="AO784" t="n">
        <v/>
      </c>
      <c r="AP784" t="n">
        <v/>
      </c>
      <c r="AQ784" t="n">
        <v/>
      </c>
      <c r="AR784" t="n">
        <v>60.335194955</v>
      </c>
      <c r="AS784" t="n">
        <v/>
      </c>
      <c r="AT784" t="n">
        <v>53.180069613</v>
      </c>
      <c r="AU784" t="n">
        <v/>
      </c>
    </row>
    <row r="785">
      <c r="A785" s="106" t="n">
        <v>30773</v>
      </c>
      <c r="B785" t="n">
        <v>38.609115</v>
      </c>
      <c r="C785" t="n">
        <v>52.777779449</v>
      </c>
      <c r="D785" t="n">
        <v>61.347662939</v>
      </c>
      <c r="E785" t="n">
        <v>60.65305984</v>
      </c>
      <c r="F785" t="n">
        <v/>
      </c>
      <c r="G785" t="n">
        <v/>
      </c>
      <c r="H785" t="n">
        <v/>
      </c>
      <c r="I785" t="n">
        <v>38.609115</v>
      </c>
      <c r="J785" t="n">
        <v/>
      </c>
      <c r="K785" t="n">
        <v>58.271071673</v>
      </c>
      <c r="L785" t="n">
        <v>70.038063978</v>
      </c>
      <c r="M785" t="n">
        <v>65.352696923</v>
      </c>
      <c r="N785" t="n">
        <v>83.670282137</v>
      </c>
      <c r="O785" t="n">
        <v/>
      </c>
      <c r="P785" t="n">
        <v/>
      </c>
      <c r="Q785" t="n">
        <v>56.082142429</v>
      </c>
      <c r="R785" t="n">
        <v>79.55615890200001</v>
      </c>
      <c r="S785" t="n">
        <v>63.035582972</v>
      </c>
      <c r="T785" t="n">
        <v>68.55323664700001</v>
      </c>
      <c r="U785" t="n">
        <v/>
      </c>
      <c r="V785" t="n">
        <v>116.178065117</v>
      </c>
      <c r="W785" t="n">
        <v/>
      </c>
      <c r="X785" t="n">
        <v/>
      </c>
      <c r="Y785" t="n">
        <v/>
      </c>
      <c r="Z785" t="n">
        <v>9.288382779000001</v>
      </c>
      <c r="AA785" t="n">
        <v/>
      </c>
      <c r="AB785" t="n">
        <v/>
      </c>
      <c r="AC785" t="n">
        <v>89.473782726</v>
      </c>
      <c r="AD785" t="n">
        <v>79.24948881500001</v>
      </c>
      <c r="AE785" t="n">
        <v/>
      </c>
      <c r="AF785" t="n">
        <v>56.620091127</v>
      </c>
      <c r="AG785" t="n">
        <v/>
      </c>
      <c r="AH785" t="n">
        <v>55.37899328</v>
      </c>
      <c r="AI785" t="n">
        <v>67.64057789500001</v>
      </c>
      <c r="AJ785" t="n">
        <v>62.787578222</v>
      </c>
      <c r="AK785" t="n">
        <v/>
      </c>
      <c r="AL785" t="n">
        <v>55.160918452</v>
      </c>
      <c r="AM785" t="n">
        <v/>
      </c>
      <c r="AN785" t="n">
        <v>78.84380799500001</v>
      </c>
      <c r="AO785" t="n">
        <v/>
      </c>
      <c r="AP785" t="n">
        <v/>
      </c>
      <c r="AQ785" t="n">
        <v/>
      </c>
      <c r="AR785" t="n">
        <v>60.96727795</v>
      </c>
      <c r="AS785" t="n">
        <v/>
      </c>
      <c r="AT785" t="n">
        <v>53.495096036</v>
      </c>
      <c r="AU785" t="n">
        <v/>
      </c>
    </row>
    <row r="786">
      <c r="A786" s="106" t="n">
        <v>30803</v>
      </c>
      <c r="B786" t="n">
        <v>38.933328873</v>
      </c>
      <c r="C786" t="n">
        <v>53.820563623</v>
      </c>
      <c r="D786" t="n">
        <v>63.278211691</v>
      </c>
      <c r="E786" t="n">
        <v>61.398335829</v>
      </c>
      <c r="F786" t="n">
        <v/>
      </c>
      <c r="G786" t="n">
        <v/>
      </c>
      <c r="H786" t="n">
        <v/>
      </c>
      <c r="I786" t="n">
        <v>38.933328873</v>
      </c>
      <c r="J786" t="n">
        <v/>
      </c>
      <c r="K786" t="n">
        <v>58.703166484</v>
      </c>
      <c r="L786" t="n">
        <v>73.79010312</v>
      </c>
      <c r="M786" t="n">
        <v>66.378319913</v>
      </c>
      <c r="N786" t="n">
        <v>83.384853087</v>
      </c>
      <c r="O786" t="n">
        <v/>
      </c>
      <c r="P786" t="n">
        <v/>
      </c>
      <c r="Q786" t="n">
        <v>56.487799879</v>
      </c>
      <c r="R786" t="n">
        <v>81.668988453</v>
      </c>
      <c r="S786" t="n">
        <v>63.73039454</v>
      </c>
      <c r="T786" t="n">
        <v>67.704280156</v>
      </c>
      <c r="U786" t="n">
        <v/>
      </c>
      <c r="V786" t="n">
        <v>117.329923306</v>
      </c>
      <c r="W786" t="n">
        <v/>
      </c>
      <c r="X786" t="n">
        <v/>
      </c>
      <c r="Y786" t="n">
        <v/>
      </c>
      <c r="Z786" t="n">
        <v>9.310872809999999</v>
      </c>
      <c r="AA786" t="n">
        <v/>
      </c>
      <c r="AB786" t="n">
        <v/>
      </c>
      <c r="AC786" t="n">
        <v>93.251040045</v>
      </c>
      <c r="AD786" t="n">
        <v>80.679681288</v>
      </c>
      <c r="AE786" t="n">
        <v/>
      </c>
      <c r="AF786" t="n">
        <v>57.035995238</v>
      </c>
      <c r="AG786" t="n">
        <v/>
      </c>
      <c r="AH786" t="n">
        <v>54.872918929</v>
      </c>
      <c r="AI786" t="n">
        <v>67.64057789500001</v>
      </c>
      <c r="AJ786" t="n">
        <v>65.590595107</v>
      </c>
      <c r="AK786" t="n">
        <v/>
      </c>
      <c r="AL786" t="n">
        <v>55.706099664</v>
      </c>
      <c r="AM786" t="n">
        <v/>
      </c>
      <c r="AN786" t="n">
        <v>81.394919976</v>
      </c>
      <c r="AO786" t="n">
        <v/>
      </c>
      <c r="AP786" t="n">
        <v/>
      </c>
      <c r="AQ786" t="n">
        <v/>
      </c>
      <c r="AR786" t="n">
        <v>62.748602754</v>
      </c>
      <c r="AS786" t="n">
        <v/>
      </c>
      <c r="AT786" t="n">
        <v>53.783151358</v>
      </c>
      <c r="AU786" t="n">
        <v/>
      </c>
    </row>
    <row r="787">
      <c r="A787" s="106" t="n">
        <v>30834</v>
      </c>
      <c r="B787" t="n">
        <v>38.934551739</v>
      </c>
      <c r="C787" t="n">
        <v>53.50854939</v>
      </c>
      <c r="D787" t="n">
        <v>64.298533756</v>
      </c>
      <c r="E787" t="n">
        <v>61.408203922</v>
      </c>
      <c r="F787" t="n">
        <v/>
      </c>
      <c r="G787" t="n">
        <v/>
      </c>
      <c r="H787" t="n">
        <v/>
      </c>
      <c r="I787" t="n">
        <v>38.934551739</v>
      </c>
      <c r="J787" t="n">
        <v/>
      </c>
      <c r="K787" t="n">
        <v>53.147661769</v>
      </c>
      <c r="L787" t="n">
        <v>70.663403835</v>
      </c>
      <c r="M787" t="n">
        <v>63.038891457</v>
      </c>
      <c r="N787" t="n">
        <v>83.452653852</v>
      </c>
      <c r="O787" t="n">
        <v/>
      </c>
      <c r="P787" t="n">
        <v/>
      </c>
      <c r="Q787" t="n">
        <v>56.690628603</v>
      </c>
      <c r="R787" t="n">
        <v>79.718684251</v>
      </c>
      <c r="S787" t="n">
        <v>63.013824359</v>
      </c>
      <c r="T787" t="n">
        <v>67.173682349</v>
      </c>
      <c r="U787" t="n">
        <v/>
      </c>
      <c r="V787" t="n">
        <v>116.837671292</v>
      </c>
      <c r="W787" t="n">
        <v/>
      </c>
      <c r="X787" t="n">
        <v/>
      </c>
      <c r="Y787" t="n">
        <v/>
      </c>
      <c r="Z787" t="n">
        <v>9.963083706999999</v>
      </c>
      <c r="AA787" t="n">
        <v/>
      </c>
      <c r="AB787" t="n">
        <v/>
      </c>
      <c r="AC787" t="n">
        <v>93.72319721</v>
      </c>
      <c r="AD787" t="n">
        <v>81.184455103</v>
      </c>
      <c r="AE787" t="n">
        <v/>
      </c>
      <c r="AF787" t="n">
        <v>59.119984571</v>
      </c>
      <c r="AG787" t="n">
        <v/>
      </c>
      <c r="AH787" t="n">
        <v>56.174252975</v>
      </c>
      <c r="AI787" t="n">
        <v>68.97999527899999</v>
      </c>
      <c r="AJ787" t="n">
        <v>63.908784976</v>
      </c>
      <c r="AK787" t="n">
        <v/>
      </c>
      <c r="AL787" t="n">
        <v>55.273845519</v>
      </c>
      <c r="AM787" t="n">
        <v/>
      </c>
      <c r="AN787" t="n">
        <v>80.834002071</v>
      </c>
      <c r="AO787" t="n">
        <v/>
      </c>
      <c r="AP787" t="n">
        <v/>
      </c>
      <c r="AQ787" t="n">
        <v/>
      </c>
      <c r="AR787" t="n">
        <v>61.484436764</v>
      </c>
      <c r="AS787" t="n">
        <v/>
      </c>
      <c r="AT787" t="n">
        <v>53.970759162</v>
      </c>
      <c r="AU787" t="n">
        <v/>
      </c>
    </row>
    <row r="788">
      <c r="A788" s="106" t="n">
        <v>30864</v>
      </c>
      <c r="B788" t="n">
        <v>38.995613546</v>
      </c>
      <c r="C788" t="n">
        <v>53.100480193</v>
      </c>
      <c r="D788" t="n">
        <v>63.90733346</v>
      </c>
      <c r="E788" t="n">
        <v>62.308549945</v>
      </c>
      <c r="F788" t="n">
        <v/>
      </c>
      <c r="G788" t="n">
        <v/>
      </c>
      <c r="H788" t="n">
        <v/>
      </c>
      <c r="I788" t="n">
        <v>38.995613546</v>
      </c>
      <c r="J788" t="n">
        <v/>
      </c>
      <c r="K788" t="n">
        <v>59.690811766</v>
      </c>
      <c r="L788" t="n">
        <v>74.415442977</v>
      </c>
      <c r="M788" t="n">
        <v>66.657289366</v>
      </c>
      <c r="N788" t="n">
        <v>83.903891731</v>
      </c>
      <c r="O788" t="n">
        <v/>
      </c>
      <c r="P788" t="n">
        <v/>
      </c>
      <c r="Q788" t="n">
        <v>57.299114778</v>
      </c>
      <c r="R788" t="n">
        <v>81.10014972800001</v>
      </c>
      <c r="S788" t="n">
        <v>63.946971554</v>
      </c>
      <c r="T788" t="n">
        <v>67.067562787</v>
      </c>
      <c r="U788" t="n">
        <v/>
      </c>
      <c r="V788" t="n">
        <v>111.968873793</v>
      </c>
      <c r="W788" t="n">
        <v/>
      </c>
      <c r="X788" t="n">
        <v/>
      </c>
      <c r="Y788" t="n">
        <v/>
      </c>
      <c r="Z788" t="n">
        <v>9.603243212000001</v>
      </c>
      <c r="AA788" t="n">
        <v/>
      </c>
      <c r="AB788" t="n">
        <v/>
      </c>
      <c r="AC788" t="n">
        <v>90.77221493</v>
      </c>
      <c r="AD788" t="n">
        <v>81.184455103</v>
      </c>
      <c r="AE788" t="n">
        <v/>
      </c>
      <c r="AF788" t="n">
        <v>57.226703744</v>
      </c>
      <c r="AG788" t="n">
        <v/>
      </c>
      <c r="AH788" t="n">
        <v>56.897216333</v>
      </c>
      <c r="AI788" t="n">
        <v>66.97086920300001</v>
      </c>
      <c r="AJ788" t="n">
        <v>62.787578222</v>
      </c>
      <c r="AK788" t="n">
        <v/>
      </c>
      <c r="AL788" t="n">
        <v>55.955325066</v>
      </c>
      <c r="AM788" t="n">
        <v/>
      </c>
      <c r="AN788" t="n">
        <v>84.88879805800001</v>
      </c>
      <c r="AO788" t="n">
        <v/>
      </c>
      <c r="AP788" t="n">
        <v/>
      </c>
      <c r="AQ788" t="n">
        <v/>
      </c>
      <c r="AR788" t="n">
        <v>60.679967498</v>
      </c>
      <c r="AS788" t="n">
        <v/>
      </c>
      <c r="AT788" t="n">
        <v>54.127132051</v>
      </c>
      <c r="AU788" t="n">
        <v/>
      </c>
    </row>
    <row r="789">
      <c r="A789" s="106" t="n">
        <v>30895</v>
      </c>
      <c r="B789" t="n">
        <v>39.397622793</v>
      </c>
      <c r="C789" t="n">
        <v>53.572458875</v>
      </c>
      <c r="D789" t="n">
        <v>63.527935355</v>
      </c>
      <c r="E789" t="n">
        <v>62.371517778</v>
      </c>
      <c r="F789" t="n">
        <v/>
      </c>
      <c r="G789" t="n">
        <v/>
      </c>
      <c r="H789" t="n">
        <v/>
      </c>
      <c r="I789" t="n">
        <v>39.397622793</v>
      </c>
      <c r="J789" t="n">
        <v/>
      </c>
      <c r="K789" t="n">
        <v>59.073533465</v>
      </c>
      <c r="L789" t="n">
        <v>75.040782834</v>
      </c>
      <c r="M789" t="n">
        <v>68.12598148799999</v>
      </c>
      <c r="N789" t="n">
        <v>87.628477844</v>
      </c>
      <c r="O789" t="n">
        <v/>
      </c>
      <c r="P789" t="n">
        <v/>
      </c>
      <c r="Q789" t="n">
        <v>56.741335785</v>
      </c>
      <c r="R789" t="n">
        <v>81.10014972800001</v>
      </c>
      <c r="S789" t="n">
        <v>64.380301897</v>
      </c>
      <c r="T789" t="n">
        <v>67.173682349</v>
      </c>
      <c r="U789" t="n">
        <v/>
      </c>
      <c r="V789" t="n">
        <v>126.539951771</v>
      </c>
      <c r="W789" t="n">
        <v/>
      </c>
      <c r="X789" t="n">
        <v/>
      </c>
      <c r="Y789" t="n">
        <v/>
      </c>
      <c r="Z789" t="n">
        <v>8.861072191</v>
      </c>
      <c r="AA789" t="n">
        <v/>
      </c>
      <c r="AB789" t="n">
        <v/>
      </c>
      <c r="AC789" t="n">
        <v>96.320061616</v>
      </c>
      <c r="AD789" t="n">
        <v>82.36226066899999</v>
      </c>
      <c r="AE789" t="n">
        <v/>
      </c>
      <c r="AF789" t="n">
        <v>59.350992551</v>
      </c>
      <c r="AG789" t="n">
        <v/>
      </c>
      <c r="AH789" t="n">
        <v>56.969512669</v>
      </c>
      <c r="AI789" t="n">
        <v>68.97999527899999</v>
      </c>
      <c r="AJ789" t="n">
        <v>63.908784976</v>
      </c>
      <c r="AK789" t="n">
        <v/>
      </c>
      <c r="AL789" t="n">
        <v>56.452633341</v>
      </c>
      <c r="AM789" t="n">
        <v/>
      </c>
      <c r="AN789" t="n">
        <v>83.309105575</v>
      </c>
      <c r="AO789" t="n">
        <v/>
      </c>
      <c r="AP789" t="n">
        <v/>
      </c>
      <c r="AQ789" t="n">
        <v/>
      </c>
      <c r="AR789" t="n">
        <v>62.346368121</v>
      </c>
      <c r="AS789" t="n">
        <v/>
      </c>
      <c r="AT789" t="n">
        <v>54.193072426</v>
      </c>
      <c r="AU789" t="n">
        <v/>
      </c>
    </row>
    <row r="790">
      <c r="A790" s="106" t="n">
        <v>30926</v>
      </c>
      <c r="B790" t="n">
        <v>41.34577669</v>
      </c>
      <c r="C790" t="n">
        <v>54.238340022</v>
      </c>
      <c r="D790" t="n">
        <v>63.15535515</v>
      </c>
      <c r="E790" t="n">
        <v>61.323620266</v>
      </c>
      <c r="F790" t="n">
        <v/>
      </c>
      <c r="G790" t="n">
        <v/>
      </c>
      <c r="H790" t="n">
        <v/>
      </c>
      <c r="I790" t="n">
        <v>41.34577669</v>
      </c>
      <c r="J790" t="n">
        <v/>
      </c>
      <c r="K790" t="n">
        <v>60.308090068</v>
      </c>
      <c r="L790" t="n">
        <v>75.040782834</v>
      </c>
      <c r="M790" t="n">
        <v>67.822397083</v>
      </c>
      <c r="N790" t="n">
        <v>84.36645647</v>
      </c>
      <c r="O790" t="n">
        <v/>
      </c>
      <c r="P790" t="n">
        <v/>
      </c>
      <c r="Q790" t="n">
        <v>56.893457328</v>
      </c>
      <c r="R790" t="n">
        <v>80.93762438</v>
      </c>
      <c r="S790" t="n">
        <v>64.14867807500001</v>
      </c>
      <c r="T790" t="n">
        <v>67.27980191</v>
      </c>
      <c r="U790" t="n">
        <v/>
      </c>
      <c r="V790" t="n">
        <v>120.79472123</v>
      </c>
      <c r="W790" t="n">
        <v/>
      </c>
      <c r="X790" t="n">
        <v/>
      </c>
      <c r="Y790" t="n">
        <v/>
      </c>
      <c r="Z790" t="n">
        <v>9.738183398</v>
      </c>
      <c r="AA790" t="n">
        <v/>
      </c>
      <c r="AB790" t="n">
        <v/>
      </c>
      <c r="AC790" t="n">
        <v>94.431432957</v>
      </c>
      <c r="AD790" t="n">
        <v>81.184455103</v>
      </c>
      <c r="AE790" t="n">
        <v/>
      </c>
      <c r="AF790" t="n">
        <v>60.823345483</v>
      </c>
      <c r="AG790" t="n">
        <v/>
      </c>
      <c r="AH790" t="n">
        <v>58.198550379</v>
      </c>
      <c r="AI790" t="n">
        <v>68.31028658699999</v>
      </c>
      <c r="AJ790" t="n">
        <v>66.15119848400001</v>
      </c>
      <c r="AK790" t="n">
        <v/>
      </c>
      <c r="AL790" t="n">
        <v>56.323188704</v>
      </c>
      <c r="AM790" t="n">
        <v/>
      </c>
      <c r="AN790" t="n">
        <v>84.075623726</v>
      </c>
      <c r="AO790" t="n">
        <v/>
      </c>
      <c r="AP790" t="n">
        <v/>
      </c>
      <c r="AQ790" t="n">
        <v/>
      </c>
      <c r="AR790" t="n">
        <v>63.323223658</v>
      </c>
      <c r="AS790" t="n">
        <v/>
      </c>
      <c r="AT790" t="n">
        <v>54.036302903</v>
      </c>
      <c r="AU790" t="n">
        <v/>
      </c>
    </row>
    <row r="791">
      <c r="A791" s="106" t="n">
        <v>30956</v>
      </c>
      <c r="B791" t="n">
        <v>40.020705479</v>
      </c>
      <c r="C791" t="n">
        <v>53.651978658</v>
      </c>
      <c r="D791" t="n">
        <v>64.054017092</v>
      </c>
      <c r="E791" t="n">
        <v>62.575928279</v>
      </c>
      <c r="F791" t="n">
        <v/>
      </c>
      <c r="G791" t="n">
        <v/>
      </c>
      <c r="H791" t="n">
        <v/>
      </c>
      <c r="I791" t="n">
        <v>40.020705479</v>
      </c>
      <c r="J791" t="n">
        <v/>
      </c>
      <c r="K791" t="n">
        <v>60.061178747</v>
      </c>
      <c r="L791" t="n">
        <v>75.666122691</v>
      </c>
      <c r="M791" t="n">
        <v>67.223433257</v>
      </c>
      <c r="N791" t="n">
        <v>84.57537032099999</v>
      </c>
      <c r="O791" t="n">
        <v/>
      </c>
      <c r="P791" t="n">
        <v/>
      </c>
      <c r="Q791" t="n">
        <v>57.856893771</v>
      </c>
      <c r="R791" t="n">
        <v>81.262675077</v>
      </c>
      <c r="S791" t="n">
        <v>64.53255768699999</v>
      </c>
      <c r="T791" t="n">
        <v>67.59816059400001</v>
      </c>
      <c r="U791" t="n">
        <v/>
      </c>
      <c r="V791" t="n">
        <v>120.170628006</v>
      </c>
      <c r="W791" t="n">
        <v/>
      </c>
      <c r="X791" t="n">
        <v/>
      </c>
      <c r="Y791" t="n">
        <v/>
      </c>
      <c r="Z791" t="n">
        <v>9.535773119</v>
      </c>
      <c r="AA791" t="n">
        <v/>
      </c>
      <c r="AB791" t="n">
        <v/>
      </c>
      <c r="AC791" t="n">
        <v>93.959275792</v>
      </c>
      <c r="AD791" t="n">
        <v>83.540066235</v>
      </c>
      <c r="AE791" t="n">
        <v/>
      </c>
      <c r="AF791" t="n">
        <v>56.159041619</v>
      </c>
      <c r="AG791" t="n">
        <v/>
      </c>
      <c r="AH791" t="n">
        <v>56.174252975</v>
      </c>
      <c r="AI791" t="n">
        <v>66.30116051100001</v>
      </c>
      <c r="AJ791" t="n">
        <v>65.590595107</v>
      </c>
      <c r="AK791" t="n">
        <v/>
      </c>
      <c r="AL791" t="n">
        <v>56.461691289</v>
      </c>
      <c r="AM791" t="n">
        <v/>
      </c>
      <c r="AN791" t="n">
        <v>81.810011205</v>
      </c>
      <c r="AO791" t="n">
        <v/>
      </c>
      <c r="AP791" t="n">
        <v/>
      </c>
      <c r="AQ791" t="n">
        <v/>
      </c>
      <c r="AR791" t="n">
        <v>63.782920382</v>
      </c>
      <c r="AS791" t="n">
        <v/>
      </c>
      <c r="AT791" t="n">
        <v>54.018751856</v>
      </c>
      <c r="AU791" t="n">
        <v/>
      </c>
    </row>
    <row r="792">
      <c r="A792" s="106" t="n">
        <v>30987</v>
      </c>
      <c r="B792" t="n">
        <v>38.731547957</v>
      </c>
      <c r="C792" t="n">
        <v>52.439776577</v>
      </c>
      <c r="D792" t="n">
        <v>64.674037434</v>
      </c>
      <c r="E792" t="n">
        <v>62.377156688</v>
      </c>
      <c r="F792" t="n">
        <v/>
      </c>
      <c r="G792" t="n">
        <v/>
      </c>
      <c r="H792" t="n">
        <v/>
      </c>
      <c r="I792" t="n">
        <v>38.731547957</v>
      </c>
      <c r="J792" t="n">
        <v/>
      </c>
      <c r="K792" t="n">
        <v>60.555001388</v>
      </c>
      <c r="L792" t="n">
        <v>76.29146254699999</v>
      </c>
      <c r="M792" t="n">
        <v>66.960873771</v>
      </c>
      <c r="N792" t="n">
        <v>83.484108218</v>
      </c>
      <c r="O792" t="n">
        <v/>
      </c>
      <c r="P792" t="n">
        <v/>
      </c>
      <c r="Q792" t="n">
        <v>58.668208671</v>
      </c>
      <c r="R792" t="n">
        <v>80.04373494799999</v>
      </c>
      <c r="S792" t="n">
        <v>64.531910279</v>
      </c>
      <c r="T792" t="n">
        <v>67.916519278</v>
      </c>
      <c r="U792" t="n">
        <v/>
      </c>
      <c r="V792" t="n">
        <v>116.886089194</v>
      </c>
      <c r="W792" t="n">
        <v/>
      </c>
      <c r="X792" t="n">
        <v/>
      </c>
      <c r="Y792" t="n">
        <v/>
      </c>
      <c r="Z792" t="n">
        <v>9.783163460000001</v>
      </c>
      <c r="AA792" t="n">
        <v/>
      </c>
      <c r="AB792" t="n">
        <v/>
      </c>
      <c r="AC792" t="n">
        <v>91.83456855</v>
      </c>
      <c r="AD792" t="n">
        <v>83.540066235</v>
      </c>
      <c r="AE792" t="n">
        <v/>
      </c>
      <c r="AF792" t="n">
        <v>60.425581926</v>
      </c>
      <c r="AG792" t="n">
        <v/>
      </c>
      <c r="AH792" t="n">
        <v>57.692476028</v>
      </c>
      <c r="AI792" t="n">
        <v>67.64057789500001</v>
      </c>
      <c r="AJ792" t="n">
        <v>66.15119848400001</v>
      </c>
      <c r="AK792" t="n">
        <v/>
      </c>
      <c r="AL792" t="n">
        <v>56.53735527</v>
      </c>
      <c r="AM792" t="n">
        <v/>
      </c>
      <c r="AN792" t="n">
        <v>85.038007467</v>
      </c>
      <c r="AO792" t="n">
        <v/>
      </c>
      <c r="AP792" t="n">
        <v/>
      </c>
      <c r="AQ792" t="n">
        <v/>
      </c>
      <c r="AR792" t="n">
        <v>63.955306653</v>
      </c>
      <c r="AS792" t="n">
        <v/>
      </c>
      <c r="AT792" t="n">
        <v>54.199418568</v>
      </c>
      <c r="AU792" t="n">
        <v/>
      </c>
    </row>
    <row r="793">
      <c r="A793" s="106" t="n">
        <v>31017</v>
      </c>
      <c r="B793" t="n">
        <v>41.467979719</v>
      </c>
      <c r="C793" t="n">
        <v>55.47437413</v>
      </c>
      <c r="D793" t="n">
        <v>66.168907203</v>
      </c>
      <c r="E793" t="n">
        <v>62.455161615</v>
      </c>
      <c r="F793" t="n">
        <v/>
      </c>
      <c r="G793" t="n">
        <v/>
      </c>
      <c r="H793" t="n">
        <v/>
      </c>
      <c r="I793" t="n">
        <v>41.467979719</v>
      </c>
      <c r="J793" t="n">
        <v/>
      </c>
      <c r="K793" t="n">
        <v>60.925368369</v>
      </c>
      <c r="L793" t="n">
        <v>76.91680240399999</v>
      </c>
      <c r="M793" t="n">
        <v>67.814192099</v>
      </c>
      <c r="N793" t="n">
        <v>84.251708232</v>
      </c>
      <c r="O793" t="n">
        <v/>
      </c>
      <c r="P793" t="n">
        <v/>
      </c>
      <c r="Q793" t="n">
        <v>60.088009745</v>
      </c>
      <c r="R793" t="n">
        <v>80.04373494799999</v>
      </c>
      <c r="S793" t="n">
        <v>64.687166676</v>
      </c>
      <c r="T793" t="n">
        <v>68.55323664700001</v>
      </c>
      <c r="U793" t="n">
        <v/>
      </c>
      <c r="V793" t="n">
        <v>113.137585107</v>
      </c>
      <c r="W793" t="n">
        <v/>
      </c>
      <c r="X793" t="n">
        <v/>
      </c>
      <c r="Y793" t="n">
        <v/>
      </c>
      <c r="Z793" t="n">
        <v>10.008063769</v>
      </c>
      <c r="AA793" t="n">
        <v/>
      </c>
      <c r="AB793" t="n">
        <v/>
      </c>
      <c r="AC793" t="n">
        <v>93.959275792</v>
      </c>
      <c r="AD793" t="n">
        <v>83.03529242099999</v>
      </c>
      <c r="AE793" t="n">
        <v/>
      </c>
      <c r="AF793" t="n">
        <v>62.035531182</v>
      </c>
      <c r="AG793" t="n">
        <v/>
      </c>
      <c r="AH793" t="n">
        <v>58.632328394</v>
      </c>
      <c r="AI793" t="n">
        <v>66.30116051100001</v>
      </c>
      <c r="AJ793" t="n">
        <v>65.02999173000001</v>
      </c>
      <c r="AK793" t="n">
        <v/>
      </c>
      <c r="AL793" t="n">
        <v>56.786766752</v>
      </c>
      <c r="AM793" t="n">
        <v/>
      </c>
      <c r="AN793" t="n">
        <v>81.396166307</v>
      </c>
      <c r="AO793" t="n">
        <v/>
      </c>
      <c r="AP793" t="n">
        <v/>
      </c>
      <c r="AQ793" t="n">
        <v/>
      </c>
      <c r="AR793" t="n">
        <v>65.794093547</v>
      </c>
      <c r="AS793" t="n">
        <v/>
      </c>
      <c r="AT793" t="n">
        <v>54.228967789</v>
      </c>
      <c r="AU793" t="n">
        <v/>
      </c>
    </row>
    <row r="794">
      <c r="A794" s="106" t="n">
        <v>31048</v>
      </c>
      <c r="B794" t="n">
        <v>41.070473405</v>
      </c>
      <c r="C794" t="n">
        <v>52.974536583</v>
      </c>
      <c r="D794" t="n">
        <v>66.549496113</v>
      </c>
      <c r="E794" t="n">
        <v>62.978640462</v>
      </c>
      <c r="F794" t="n">
        <v/>
      </c>
      <c r="G794" t="n">
        <v/>
      </c>
      <c r="H794" t="n">
        <v/>
      </c>
      <c r="I794" t="n">
        <v>41.070473405</v>
      </c>
      <c r="J794" t="n">
        <v/>
      </c>
      <c r="K794" t="n">
        <v>60.925368369</v>
      </c>
      <c r="L794" t="n">
        <v>75.220828508</v>
      </c>
      <c r="M794" t="n">
        <v>68.379529314</v>
      </c>
      <c r="N794" t="n">
        <v>84.49886113700001</v>
      </c>
      <c r="O794" t="n">
        <v/>
      </c>
      <c r="P794" t="n">
        <v/>
      </c>
      <c r="Q794" t="n">
        <v>58.265441442</v>
      </c>
      <c r="R794" t="n">
        <v>80.668157346</v>
      </c>
      <c r="S794" t="n">
        <v>64.727333238</v>
      </c>
      <c r="T794" t="n">
        <v>69.296073576</v>
      </c>
      <c r="U794" t="n">
        <v/>
      </c>
      <c r="V794" t="n">
        <v>118.062462642</v>
      </c>
      <c r="W794" t="n">
        <v>44.217740777</v>
      </c>
      <c r="X794" t="n">
        <v/>
      </c>
      <c r="Y794" t="n">
        <v/>
      </c>
      <c r="Z794" t="n">
        <v>9.828143522</v>
      </c>
      <c r="AA794" t="n">
        <v/>
      </c>
      <c r="AB794" t="n">
        <v/>
      </c>
      <c r="AC794" t="n">
        <v>90.654175638</v>
      </c>
      <c r="AD794" t="n">
        <v>83.876582111</v>
      </c>
      <c r="AE794" t="n">
        <v/>
      </c>
      <c r="AF794" t="n">
        <v>63.318124668</v>
      </c>
      <c r="AG794" t="n">
        <v/>
      </c>
      <c r="AH794" t="n">
        <v>58.560032059</v>
      </c>
      <c r="AI794" t="n">
        <v>76.366882152</v>
      </c>
      <c r="AJ794" t="n">
        <v>66.15119848400001</v>
      </c>
      <c r="AK794" t="n">
        <v/>
      </c>
      <c r="AL794" t="n">
        <v>57.039591609</v>
      </c>
      <c r="AM794" t="n">
        <v>34.999314994</v>
      </c>
      <c r="AN794" t="n">
        <v>82.645121144</v>
      </c>
      <c r="AO794" t="n">
        <v/>
      </c>
      <c r="AP794" t="n">
        <v/>
      </c>
      <c r="AQ794" t="n">
        <v/>
      </c>
      <c r="AR794" t="n">
        <v>63.495609929</v>
      </c>
      <c r="AS794" t="n">
        <v>23.564258366</v>
      </c>
      <c r="AT794" t="n">
        <v>54.190593465</v>
      </c>
      <c r="AU794" t="n">
        <v/>
      </c>
    </row>
    <row r="795">
      <c r="A795" s="106" t="n">
        <v>31079</v>
      </c>
      <c r="B795" t="n">
        <v>40.496304134</v>
      </c>
      <c r="C795" t="n">
        <v>53.917087918</v>
      </c>
      <c r="D795" t="n">
        <v>65.290289571</v>
      </c>
      <c r="E795" t="n">
        <v>63.761979095</v>
      </c>
      <c r="F795" t="n">
        <v/>
      </c>
      <c r="G795" t="n">
        <v/>
      </c>
      <c r="H795" t="n">
        <v/>
      </c>
      <c r="I795" t="n">
        <v>40.496304134</v>
      </c>
      <c r="J795" t="n">
        <v/>
      </c>
      <c r="K795" t="n">
        <v>60.9870962</v>
      </c>
      <c r="L795" t="n">
        <v>75.873976078</v>
      </c>
      <c r="M795" t="n">
        <v>68.12235599</v>
      </c>
      <c r="N795" t="n">
        <v>84.151976929</v>
      </c>
      <c r="O795" t="n">
        <v/>
      </c>
      <c r="P795" t="n">
        <v/>
      </c>
      <c r="Q795" t="n">
        <v>58.737704392</v>
      </c>
      <c r="R795" t="n">
        <v>82.044747062</v>
      </c>
      <c r="S795" t="n">
        <v>65.190363238</v>
      </c>
      <c r="T795" t="n">
        <v>70.35726919</v>
      </c>
      <c r="U795" t="n">
        <v/>
      </c>
      <c r="V795" t="n">
        <v>118.348456598</v>
      </c>
      <c r="W795" t="n">
        <v>44.083476382</v>
      </c>
      <c r="X795" t="n">
        <v/>
      </c>
      <c r="Y795" t="n">
        <v/>
      </c>
      <c r="Z795" t="n">
        <v>9.693203336</v>
      </c>
      <c r="AA795" t="n">
        <v/>
      </c>
      <c r="AB795" t="n">
        <v/>
      </c>
      <c r="AC795" t="n">
        <v>94.78555083000001</v>
      </c>
      <c r="AD795" t="n">
        <v>83.624195204</v>
      </c>
      <c r="AE795" t="n">
        <v/>
      </c>
      <c r="AF795" t="n">
        <v>56.775155924</v>
      </c>
      <c r="AG795" t="n">
        <v/>
      </c>
      <c r="AH795" t="n">
        <v>59.716773433</v>
      </c>
      <c r="AI795" t="n">
        <v>72.124277588</v>
      </c>
      <c r="AJ795" t="n">
        <v>66.711801861</v>
      </c>
      <c r="AK795" t="n">
        <v/>
      </c>
      <c r="AL795" t="n">
        <v>57.301242083</v>
      </c>
      <c r="AM795" t="n">
        <v>34.759482403</v>
      </c>
      <c r="AN795" t="n">
        <v>80.361530832</v>
      </c>
      <c r="AO795" t="n">
        <v/>
      </c>
      <c r="AP795" t="n">
        <v/>
      </c>
      <c r="AQ795" t="n">
        <v/>
      </c>
      <c r="AR795" t="n">
        <v>62.920989025</v>
      </c>
      <c r="AS795" t="n">
        <v>21.978710486</v>
      </c>
      <c r="AT795" t="n">
        <v>54.35559314</v>
      </c>
      <c r="AU795" t="n">
        <v/>
      </c>
    </row>
    <row r="796">
      <c r="A796" s="106" t="n">
        <v>31107</v>
      </c>
      <c r="B796" t="n">
        <v>40.954817133</v>
      </c>
      <c r="C796" t="n">
        <v>54.493317831</v>
      </c>
      <c r="D796" t="n">
        <v>67.109263658</v>
      </c>
      <c r="E796" t="n">
        <v>64.082457168</v>
      </c>
      <c r="F796" t="n">
        <v/>
      </c>
      <c r="G796" t="n">
        <v/>
      </c>
      <c r="H796" t="n">
        <v/>
      </c>
      <c r="I796" t="n">
        <v>40.954817133</v>
      </c>
      <c r="J796" t="n">
        <v/>
      </c>
      <c r="K796" t="n">
        <v>61.542646671</v>
      </c>
      <c r="L796" t="n">
        <v>70.104505874</v>
      </c>
      <c r="M796" t="n">
        <v>68.655752514</v>
      </c>
      <c r="N796" t="n">
        <v>84.581692872</v>
      </c>
      <c r="O796" t="n">
        <v/>
      </c>
      <c r="P796" t="n">
        <v/>
      </c>
      <c r="Q796" t="n">
        <v>60.68578906</v>
      </c>
      <c r="R796" t="n">
        <v>82.41183765300001</v>
      </c>
      <c r="S796" t="n">
        <v>65.262250135</v>
      </c>
      <c r="T796" t="n">
        <v>71.630703926</v>
      </c>
      <c r="U796" t="n">
        <v/>
      </c>
      <c r="V796" t="n">
        <v>118.532428793</v>
      </c>
      <c r="W796" t="n">
        <v>45.068081946</v>
      </c>
      <c r="X796" t="n">
        <v/>
      </c>
      <c r="Y796" t="n">
        <v/>
      </c>
      <c r="Z796" t="n">
        <v>10.322924202</v>
      </c>
      <c r="AA796" t="n">
        <v/>
      </c>
      <c r="AB796" t="n">
        <v/>
      </c>
      <c r="AC796" t="n">
        <v>93.487118627</v>
      </c>
      <c r="AD796" t="n">
        <v>82.951163452</v>
      </c>
      <c r="AE796" t="n">
        <v/>
      </c>
      <c r="AF796" t="n">
        <v>63.695398341</v>
      </c>
      <c r="AG796" t="n">
        <v/>
      </c>
      <c r="AH796" t="n">
        <v>59.572180761</v>
      </c>
      <c r="AI796" t="n">
        <v>71.41717682700001</v>
      </c>
      <c r="AJ796" t="n">
        <v>67.833008615</v>
      </c>
      <c r="AK796" t="n">
        <v/>
      </c>
      <c r="AL796" t="n">
        <v>57.421630736</v>
      </c>
      <c r="AM796" t="n">
        <v>35.811642579</v>
      </c>
      <c r="AN796" t="n">
        <v>83.82946049900001</v>
      </c>
      <c r="AO796" t="n">
        <v/>
      </c>
      <c r="AP796" t="n">
        <v/>
      </c>
      <c r="AQ796" t="n">
        <v/>
      </c>
      <c r="AR796" t="n">
        <v>64.644851738</v>
      </c>
      <c r="AS796" t="n">
        <v>22.614785274</v>
      </c>
      <c r="AT796" t="n">
        <v>54.435812333</v>
      </c>
      <c r="AU796" t="n">
        <v/>
      </c>
    </row>
    <row r="797">
      <c r="A797" s="106" t="n">
        <v>31138</v>
      </c>
      <c r="B797" t="n">
        <v>40.282503636</v>
      </c>
      <c r="C797" t="n">
        <v>54.694071408</v>
      </c>
      <c r="D797" t="n">
        <v>61.865079672</v>
      </c>
      <c r="E797" t="n">
        <v>63.593281693</v>
      </c>
      <c r="F797" t="n">
        <v/>
      </c>
      <c r="G797" t="n">
        <v/>
      </c>
      <c r="H797" t="n">
        <v/>
      </c>
      <c r="I797" t="n">
        <v>40.282503636</v>
      </c>
      <c r="J797" t="n">
        <v/>
      </c>
      <c r="K797" t="n">
        <v>60.863640539</v>
      </c>
      <c r="L797" t="n">
        <v>68.689352805</v>
      </c>
      <c r="M797" t="n">
        <v>67.931857232</v>
      </c>
      <c r="N797" t="n">
        <v>85.03658473900001</v>
      </c>
      <c r="O797" t="n">
        <v/>
      </c>
      <c r="P797" t="n">
        <v/>
      </c>
      <c r="Q797" t="n">
        <v>59.682230292</v>
      </c>
      <c r="R797" t="n">
        <v>81.494111176</v>
      </c>
      <c r="S797" t="n">
        <v>65.271944168</v>
      </c>
      <c r="T797" t="n">
        <v>72.69189953999999</v>
      </c>
      <c r="U797" t="n">
        <v/>
      </c>
      <c r="V797" t="n">
        <v>114.872859414</v>
      </c>
      <c r="W797" t="n">
        <v>43.725437995</v>
      </c>
      <c r="X797" t="n">
        <v/>
      </c>
      <c r="Y797" t="n">
        <v/>
      </c>
      <c r="Z797" t="n">
        <v>9.738183398</v>
      </c>
      <c r="AA797" t="n">
        <v/>
      </c>
      <c r="AB797" t="n">
        <v/>
      </c>
      <c r="AC797" t="n">
        <v>92.54280429799999</v>
      </c>
      <c r="AD797" t="n">
        <v>84.297226956</v>
      </c>
      <c r="AE797" t="n">
        <v/>
      </c>
      <c r="AF797" t="n">
        <v>62.033160676</v>
      </c>
      <c r="AG797" t="n">
        <v/>
      </c>
      <c r="AH797" t="n">
        <v>58.921513738</v>
      </c>
      <c r="AI797" t="n">
        <v>69.295874545</v>
      </c>
      <c r="AJ797" t="n">
        <v>67.272405238</v>
      </c>
      <c r="AK797" t="n">
        <v/>
      </c>
      <c r="AL797" t="n">
        <v>57.342897274</v>
      </c>
      <c r="AM797" t="n">
        <v>35.197086413</v>
      </c>
      <c r="AN797" t="n">
        <v>82.236802981</v>
      </c>
      <c r="AO797" t="n">
        <v/>
      </c>
      <c r="AP797" t="n">
        <v/>
      </c>
      <c r="AQ797" t="n">
        <v/>
      </c>
      <c r="AR797" t="n">
        <v>64.644851738</v>
      </c>
      <c r="AS797" t="n">
        <v>22.820745871</v>
      </c>
      <c r="AT797" t="n">
        <v>54.322275898</v>
      </c>
      <c r="AU797" t="n">
        <v/>
      </c>
    </row>
    <row r="798">
      <c r="A798" s="106" t="n">
        <v>31168</v>
      </c>
      <c r="B798" t="n">
        <v>40.292366137</v>
      </c>
      <c r="C798" t="n">
        <v>54.817974309</v>
      </c>
      <c r="D798" t="n">
        <v>65.842061843</v>
      </c>
      <c r="E798" t="n">
        <v>64.045334342</v>
      </c>
      <c r="F798" t="n">
        <v/>
      </c>
      <c r="G798" t="n">
        <v/>
      </c>
      <c r="H798" t="n">
        <v/>
      </c>
      <c r="I798" t="n">
        <v>40.292366137</v>
      </c>
      <c r="J798" t="n">
        <v/>
      </c>
      <c r="K798" t="n">
        <v>61.604374501</v>
      </c>
      <c r="L798" t="n">
        <v>72.71709615499999</v>
      </c>
      <c r="M798" t="n">
        <v>68.83672633400001</v>
      </c>
      <c r="N798" t="n">
        <v>84.61395622800001</v>
      </c>
      <c r="O798" t="n">
        <v/>
      </c>
      <c r="P798" t="n">
        <v/>
      </c>
      <c r="Q798" t="n">
        <v>60.803854798</v>
      </c>
      <c r="R798" t="n">
        <v>82.320065005</v>
      </c>
      <c r="S798" t="n">
        <v>65.726496337</v>
      </c>
      <c r="T798" t="n">
        <v>73.43473647</v>
      </c>
      <c r="U798" t="n">
        <v/>
      </c>
      <c r="V798" t="n">
        <v>121.106545995</v>
      </c>
      <c r="W798" t="n">
        <v>44.844307954</v>
      </c>
      <c r="X798" t="n">
        <v/>
      </c>
      <c r="Y798" t="n">
        <v/>
      </c>
      <c r="Z798" t="n">
        <v>9.760673429000001</v>
      </c>
      <c r="AA798" t="n">
        <v/>
      </c>
      <c r="AB798" t="n">
        <v/>
      </c>
      <c r="AC798" t="n">
        <v>93.841236501</v>
      </c>
      <c r="AD798" t="n">
        <v>85.138516646</v>
      </c>
      <c r="AE798" t="n">
        <v/>
      </c>
      <c r="AF798" t="n">
        <v>60.718424743</v>
      </c>
      <c r="AG798" t="n">
        <v/>
      </c>
      <c r="AH798" t="n">
        <v>58.560032059</v>
      </c>
      <c r="AI798" t="n">
        <v>70.002975306</v>
      </c>
      <c r="AJ798" t="n">
        <v>67.272405238</v>
      </c>
      <c r="AK798" t="n">
        <v/>
      </c>
      <c r="AL798" t="n">
        <v>57.78468941</v>
      </c>
      <c r="AM798" t="n">
        <v>35.157528572</v>
      </c>
      <c r="AN798" t="n">
        <v>82.74274655000001</v>
      </c>
      <c r="AO798" t="n">
        <v/>
      </c>
      <c r="AP798" t="n">
        <v/>
      </c>
      <c r="AQ798" t="n">
        <v/>
      </c>
      <c r="AR798" t="n">
        <v>64.415003376</v>
      </c>
      <c r="AS798" t="n">
        <v>24.948233786</v>
      </c>
      <c r="AT798" t="n">
        <v>54.408642916</v>
      </c>
      <c r="AU798" t="n">
        <v/>
      </c>
    </row>
    <row r="799">
      <c r="A799" s="106" t="n">
        <v>31199</v>
      </c>
      <c r="B799" t="n">
        <v>42.268412905</v>
      </c>
      <c r="C799" t="n">
        <v>54.78088625</v>
      </c>
      <c r="D799" t="n">
        <v>66.929640812</v>
      </c>
      <c r="E799" t="n">
        <v>63.972028507</v>
      </c>
      <c r="F799" t="n">
        <v/>
      </c>
      <c r="G799" t="n">
        <v/>
      </c>
      <c r="H799" t="n">
        <v/>
      </c>
      <c r="I799" t="n">
        <v>42.268412905</v>
      </c>
      <c r="J799" t="n">
        <v/>
      </c>
      <c r="K799" t="n">
        <v>62.345108463</v>
      </c>
      <c r="L799" t="n">
        <v>76.41826571999999</v>
      </c>
      <c r="M799" t="n">
        <v>68.24618018300001</v>
      </c>
      <c r="N799" t="n">
        <v>83.18051549099999</v>
      </c>
      <c r="O799" t="n">
        <v/>
      </c>
      <c r="P799" t="n">
        <v/>
      </c>
      <c r="Q799" t="n">
        <v>60.036427504</v>
      </c>
      <c r="R799" t="n">
        <v>81.127020585</v>
      </c>
      <c r="S799" t="n">
        <v>65.598484142</v>
      </c>
      <c r="T799" t="n">
        <v>73.43473647</v>
      </c>
      <c r="U799" t="n">
        <v/>
      </c>
      <c r="V799" t="n">
        <v>123.066612411</v>
      </c>
      <c r="W799" t="n">
        <v>44.710043559</v>
      </c>
      <c r="X799" t="n">
        <v/>
      </c>
      <c r="Y799" t="n">
        <v/>
      </c>
      <c r="Z799" t="n">
        <v>9.535773119</v>
      </c>
      <c r="AA799" t="n">
        <v/>
      </c>
      <c r="AB799" t="n">
        <v/>
      </c>
      <c r="AC799" t="n">
        <v>94.667511539</v>
      </c>
      <c r="AD799" t="n">
        <v>83.792453142</v>
      </c>
      <c r="AE799" t="n">
        <v/>
      </c>
      <c r="AF799" t="n">
        <v>59.744468765</v>
      </c>
      <c r="AG799" t="n">
        <v/>
      </c>
      <c r="AH799" t="n">
        <v>59.93366244</v>
      </c>
      <c r="AI799" t="n">
        <v>70.710076067</v>
      </c>
      <c r="AJ799" t="n">
        <v>63.908784976</v>
      </c>
      <c r="AK799" t="n">
        <v/>
      </c>
      <c r="AL799" t="n">
        <v>57.552468409</v>
      </c>
      <c r="AM799" t="n">
        <v>35.661766954</v>
      </c>
      <c r="AN799" t="n">
        <v>82.640403194</v>
      </c>
      <c r="AO799" t="n">
        <v/>
      </c>
      <c r="AP799" t="n">
        <v/>
      </c>
      <c r="AQ799" t="n">
        <v/>
      </c>
      <c r="AR799" t="n">
        <v>65.62170727500001</v>
      </c>
      <c r="AS799" t="n">
        <v>19.873238719</v>
      </c>
      <c r="AT799" t="n">
        <v>54.378597903</v>
      </c>
      <c r="AU799" t="n">
        <v/>
      </c>
    </row>
    <row r="800">
      <c r="A800" s="106" t="n">
        <v>31229</v>
      </c>
      <c r="B800" t="n">
        <v>41.126745096</v>
      </c>
      <c r="C800" t="n">
        <v>53.8786065</v>
      </c>
      <c r="D800" t="n">
        <v>68.787911267</v>
      </c>
      <c r="E800" t="n">
        <v>64.15435327599999</v>
      </c>
      <c r="F800" t="n">
        <v/>
      </c>
      <c r="G800" t="n">
        <v/>
      </c>
      <c r="H800" t="n">
        <v/>
      </c>
      <c r="I800" t="n">
        <v>41.126745096</v>
      </c>
      <c r="J800" t="n">
        <v/>
      </c>
      <c r="K800" t="n">
        <v>62.962386765</v>
      </c>
      <c r="L800" t="n">
        <v>75.220828508</v>
      </c>
      <c r="M800" t="n">
        <v>68.85577621</v>
      </c>
      <c r="N800" t="n">
        <v>85.960752853</v>
      </c>
      <c r="O800" t="n">
        <v/>
      </c>
      <c r="P800" t="n">
        <v/>
      </c>
      <c r="Q800" t="n">
        <v>57.734145624</v>
      </c>
      <c r="R800" t="n">
        <v>81.31056588</v>
      </c>
      <c r="S800" t="n">
        <v>65.626401019</v>
      </c>
      <c r="T800" t="n">
        <v>72.904138663</v>
      </c>
      <c r="U800" t="n">
        <v/>
      </c>
      <c r="V800" t="n">
        <v>122.082332433</v>
      </c>
      <c r="W800" t="n">
        <v>46.992538275</v>
      </c>
      <c r="X800" t="n">
        <v/>
      </c>
      <c r="Y800" t="n">
        <v/>
      </c>
      <c r="Z800" t="n">
        <v>9.648223273999999</v>
      </c>
      <c r="AA800" t="n">
        <v/>
      </c>
      <c r="AB800" t="n">
        <v/>
      </c>
      <c r="AC800" t="n">
        <v>93.251040045</v>
      </c>
      <c r="AD800" t="n">
        <v>85.05438767699999</v>
      </c>
      <c r="AE800" t="n">
        <v/>
      </c>
      <c r="AF800" t="n">
        <v>64.53050752599999</v>
      </c>
      <c r="AG800" t="n">
        <v/>
      </c>
      <c r="AH800" t="n">
        <v>60.150551448</v>
      </c>
      <c r="AI800" t="n">
        <v>68.588773785</v>
      </c>
      <c r="AJ800" t="n">
        <v>68.954215369</v>
      </c>
      <c r="AK800" t="n">
        <v/>
      </c>
      <c r="AL800" t="n">
        <v>57.684814597</v>
      </c>
      <c r="AM800" t="n">
        <v>36.119510019</v>
      </c>
      <c r="AN800" t="n">
        <v>80.93511897800001</v>
      </c>
      <c r="AO800" t="n">
        <v/>
      </c>
      <c r="AP800" t="n">
        <v/>
      </c>
      <c r="AQ800" t="n">
        <v/>
      </c>
      <c r="AR800" t="n">
        <v>62.116519759</v>
      </c>
      <c r="AS800" t="n">
        <v>22.799898045</v>
      </c>
      <c r="AT800" t="n">
        <v>54.099070208</v>
      </c>
      <c r="AU800" t="n">
        <v/>
      </c>
    </row>
    <row r="801">
      <c r="A801" s="106" t="n">
        <v>31260</v>
      </c>
      <c r="B801" t="n">
        <v>41.845431766</v>
      </c>
      <c r="C801" t="n">
        <v>54.492019117</v>
      </c>
      <c r="D801" t="n">
        <v>69.392322128</v>
      </c>
      <c r="E801" t="n">
        <v>64.347016047</v>
      </c>
      <c r="F801" t="n">
        <v/>
      </c>
      <c r="G801" t="n">
        <v/>
      </c>
      <c r="H801" t="n">
        <v/>
      </c>
      <c r="I801" t="n">
        <v>41.845431766</v>
      </c>
      <c r="J801" t="n">
        <v/>
      </c>
      <c r="K801" t="n">
        <v>61.357463181</v>
      </c>
      <c r="L801" t="n">
        <v>74.894254723</v>
      </c>
      <c r="M801" t="n">
        <v>68.960550527</v>
      </c>
      <c r="N801" t="n">
        <v>87.082773612</v>
      </c>
      <c r="O801" t="n">
        <v/>
      </c>
      <c r="P801" t="n">
        <v/>
      </c>
      <c r="Q801" t="n">
        <v>59.032868736</v>
      </c>
      <c r="R801" t="n">
        <v>81.31056588</v>
      </c>
      <c r="S801" t="n">
        <v>65.51334528700001</v>
      </c>
      <c r="T801" t="n">
        <v>72.37354085600001</v>
      </c>
      <c r="U801" t="n">
        <v/>
      </c>
      <c r="V801" t="n">
        <v>124.433059691</v>
      </c>
      <c r="W801" t="n">
        <v>44.710043559</v>
      </c>
      <c r="X801" t="n">
        <v/>
      </c>
      <c r="Y801" t="n">
        <v/>
      </c>
      <c r="Z801" t="n">
        <v>9.265892748000001</v>
      </c>
      <c r="AA801" t="n">
        <v/>
      </c>
      <c r="AB801" t="n">
        <v/>
      </c>
      <c r="AC801" t="n">
        <v>96.083983033</v>
      </c>
      <c r="AD801" t="n">
        <v>84.297226956</v>
      </c>
      <c r="AE801" t="n">
        <v/>
      </c>
      <c r="AF801" t="n">
        <v>62.228811872</v>
      </c>
      <c r="AG801" t="n">
        <v/>
      </c>
      <c r="AH801" t="n">
        <v>59.716773433</v>
      </c>
      <c r="AI801" t="n">
        <v>69.295874545</v>
      </c>
      <c r="AJ801" t="n">
        <v>68.954215369</v>
      </c>
      <c r="AK801" t="n">
        <v/>
      </c>
      <c r="AL801" t="n">
        <v>57.682847017</v>
      </c>
      <c r="AM801" t="n">
        <v>36.53626502</v>
      </c>
      <c r="AN801" t="n">
        <v>82.545850339</v>
      </c>
      <c r="AO801" t="n">
        <v/>
      </c>
      <c r="AP801" t="n">
        <v/>
      </c>
      <c r="AQ801" t="n">
        <v/>
      </c>
      <c r="AR801" t="n">
        <v>65.90901772799999</v>
      </c>
      <c r="AS801" t="n">
        <v>22.995923986</v>
      </c>
      <c r="AT801" t="n">
        <v>54.277456275</v>
      </c>
      <c r="AU801" t="n">
        <v/>
      </c>
    </row>
    <row r="802">
      <c r="A802" s="106" t="n">
        <v>31291</v>
      </c>
      <c r="B802" t="n">
        <v>42.196294081</v>
      </c>
      <c r="C802" t="n">
        <v>55.871029656</v>
      </c>
      <c r="D802" t="n">
        <v>70.20622376599999</v>
      </c>
      <c r="E802" t="n">
        <v>64.587139647</v>
      </c>
      <c r="F802" t="n">
        <v/>
      </c>
      <c r="G802" t="n">
        <v/>
      </c>
      <c r="H802" t="n">
        <v/>
      </c>
      <c r="I802" t="n">
        <v>42.196294081</v>
      </c>
      <c r="J802" t="n">
        <v/>
      </c>
      <c r="K802" t="n">
        <v>62.098197143</v>
      </c>
      <c r="L802" t="n">
        <v>76.962555362</v>
      </c>
      <c r="M802" t="n">
        <v>68.865301148</v>
      </c>
      <c r="N802" t="n">
        <v>86.688494831</v>
      </c>
      <c r="O802" t="n">
        <v/>
      </c>
      <c r="P802" t="n">
        <v/>
      </c>
      <c r="Q802" t="n">
        <v>59.032868736</v>
      </c>
      <c r="R802" t="n">
        <v>81.494111176</v>
      </c>
      <c r="S802" t="n">
        <v>65.475182401</v>
      </c>
      <c r="T802" t="n">
        <v>72.055182172</v>
      </c>
      <c r="U802" t="n">
        <v/>
      </c>
      <c r="V802" t="n">
        <v>124.263375901</v>
      </c>
      <c r="W802" t="n">
        <v>45.336610736</v>
      </c>
      <c r="X802" t="n">
        <v/>
      </c>
      <c r="Y802" t="n">
        <v/>
      </c>
      <c r="Z802" t="n">
        <v>9.693203336</v>
      </c>
      <c r="AA802" t="n">
        <v/>
      </c>
      <c r="AB802" t="n">
        <v/>
      </c>
      <c r="AC802" t="n">
        <v>93.605157918</v>
      </c>
      <c r="AD802" t="n">
        <v>83.624195204</v>
      </c>
      <c r="AE802" t="n">
        <v/>
      </c>
      <c r="AF802" t="n">
        <v>59.560179623</v>
      </c>
      <c r="AG802" t="n">
        <v/>
      </c>
      <c r="AH802" t="n">
        <v>59.93366244</v>
      </c>
      <c r="AI802" t="n">
        <v>67.88167302399999</v>
      </c>
      <c r="AJ802" t="n">
        <v>68.393611992</v>
      </c>
      <c r="AK802" t="n">
        <v/>
      </c>
      <c r="AL802" t="n">
        <v>57.669810853</v>
      </c>
      <c r="AM802" t="n">
        <v>36.754373813</v>
      </c>
      <c r="AN802" t="n">
        <v>80.28955458999999</v>
      </c>
      <c r="AO802" t="n">
        <v/>
      </c>
      <c r="AP802" t="n">
        <v/>
      </c>
      <c r="AQ802" t="n">
        <v/>
      </c>
      <c r="AR802" t="n">
        <v>65.966479818</v>
      </c>
      <c r="AS802" t="n">
        <v>23.191724948</v>
      </c>
      <c r="AT802" t="n">
        <v>54.479243738</v>
      </c>
      <c r="AU802" t="n">
        <v/>
      </c>
    </row>
    <row r="803">
      <c r="A803" s="106" t="n">
        <v>31321</v>
      </c>
      <c r="B803" t="n">
        <v>40.717148312</v>
      </c>
      <c r="C803" t="n">
        <v>55.369122689</v>
      </c>
      <c r="D803" t="n">
        <v>71.62929398199999</v>
      </c>
      <c r="E803" t="n">
        <v>65.174056236</v>
      </c>
      <c r="F803" t="n">
        <v/>
      </c>
      <c r="G803" t="n">
        <v/>
      </c>
      <c r="H803" t="n">
        <v/>
      </c>
      <c r="I803" t="n">
        <v>40.717148312</v>
      </c>
      <c r="J803" t="n">
        <v/>
      </c>
      <c r="K803" t="n">
        <v>62.838931104</v>
      </c>
      <c r="L803" t="n">
        <v>82.732025566</v>
      </c>
      <c r="M803" t="n">
        <v>69.484422112</v>
      </c>
      <c r="N803" t="n">
        <v>87.62084106</v>
      </c>
      <c r="O803" t="n">
        <v/>
      </c>
      <c r="P803" t="n">
        <v/>
      </c>
      <c r="Q803" t="n">
        <v>58.737704392</v>
      </c>
      <c r="R803" t="n">
        <v>82.320065005</v>
      </c>
      <c r="S803" t="n">
        <v>65.631336757</v>
      </c>
      <c r="T803" t="n">
        <v>71.949062611</v>
      </c>
      <c r="U803" t="n">
        <v/>
      </c>
      <c r="V803" t="n">
        <v>124.728256373</v>
      </c>
      <c r="W803" t="n">
        <v>45.068081946</v>
      </c>
      <c r="X803" t="n">
        <v/>
      </c>
      <c r="Y803" t="n">
        <v/>
      </c>
      <c r="Z803" t="n">
        <v>9.603243212000001</v>
      </c>
      <c r="AA803" t="n">
        <v/>
      </c>
      <c r="AB803" t="n">
        <v/>
      </c>
      <c r="AC803" t="n">
        <v>93.014961462</v>
      </c>
      <c r="AD803" t="n">
        <v>84.465484894</v>
      </c>
      <c r="AE803" t="n">
        <v/>
      </c>
      <c r="AF803" t="n">
        <v>65.132732279</v>
      </c>
      <c r="AG803" t="n">
        <v/>
      </c>
      <c r="AH803" t="n">
        <v>59.355291753</v>
      </c>
      <c r="AI803" t="n">
        <v>69.295874545</v>
      </c>
      <c r="AJ803" t="n">
        <v>69.514818746</v>
      </c>
      <c r="AK803" t="n">
        <v/>
      </c>
      <c r="AL803" t="n">
        <v>57.820519041</v>
      </c>
      <c r="AM803" t="n">
        <v>36.863642295</v>
      </c>
      <c r="AN803" t="n">
        <v>85.601969419</v>
      </c>
      <c r="AO803" t="n">
        <v/>
      </c>
      <c r="AP803" t="n">
        <v/>
      </c>
      <c r="AQ803" t="n">
        <v/>
      </c>
      <c r="AR803" t="n">
        <v>63.955306653</v>
      </c>
      <c r="AS803" t="n">
        <v>23.829488517</v>
      </c>
      <c r="AT803" t="n">
        <v>54.293024153</v>
      </c>
      <c r="AU803" t="n">
        <v/>
      </c>
    </row>
    <row r="804">
      <c r="A804" s="106" t="n">
        <v>31352</v>
      </c>
      <c r="B804" t="n">
        <v>42.047483599</v>
      </c>
      <c r="C804" t="n">
        <v>56.928402793</v>
      </c>
      <c r="D804" t="n">
        <v>71.852740779</v>
      </c>
      <c r="E804" t="n">
        <v>65.255350527</v>
      </c>
      <c r="F804" t="n">
        <v/>
      </c>
      <c r="G804" t="n">
        <v/>
      </c>
      <c r="H804" t="n">
        <v/>
      </c>
      <c r="I804" t="n">
        <v>42.047483599</v>
      </c>
      <c r="J804" t="n">
        <v/>
      </c>
      <c r="K804" t="n">
        <v>64.01175987800001</v>
      </c>
      <c r="L804" t="n">
        <v>86.106621346</v>
      </c>
      <c r="M804" t="n">
        <v>70.12259295299999</v>
      </c>
      <c r="N804" t="n">
        <v>87.605555463</v>
      </c>
      <c r="O804" t="n">
        <v/>
      </c>
      <c r="P804" t="n">
        <v/>
      </c>
      <c r="Q804" t="n">
        <v>59.150934473</v>
      </c>
      <c r="R804" t="n">
        <v>83.237791483</v>
      </c>
      <c r="S804" t="n">
        <v>66.01461858499999</v>
      </c>
      <c r="T804" t="n">
        <v>71.842943049</v>
      </c>
      <c r="U804" t="n">
        <v/>
      </c>
      <c r="V804" t="n">
        <v>123.098228552</v>
      </c>
      <c r="W804" t="n">
        <v>44.799553156</v>
      </c>
      <c r="X804" t="n">
        <v/>
      </c>
      <c r="Y804" t="n">
        <v/>
      </c>
      <c r="Z804" t="n">
        <v>9.940593676000001</v>
      </c>
      <c r="AA804" t="n">
        <v/>
      </c>
      <c r="AB804" t="n">
        <v/>
      </c>
      <c r="AC804" t="n">
        <v>95.139668704</v>
      </c>
      <c r="AD804" t="n">
        <v>84.297226956</v>
      </c>
      <c r="AE804" t="n">
        <v/>
      </c>
      <c r="AF804" t="n">
        <v>63.12288849</v>
      </c>
      <c r="AG804" t="n">
        <v/>
      </c>
      <c r="AH804" t="n">
        <v>59.355291753</v>
      </c>
      <c r="AI804" t="n">
        <v>75.659781391</v>
      </c>
      <c r="AJ804" t="n">
        <v>70.075422123</v>
      </c>
      <c r="AK804" t="n">
        <v/>
      </c>
      <c r="AL804" t="n">
        <v>58.27969262</v>
      </c>
      <c r="AM804" t="n">
        <v>36.658042167</v>
      </c>
      <c r="AN804" t="n">
        <v>82.40016138199999</v>
      </c>
      <c r="AO804" t="n">
        <v/>
      </c>
      <c r="AP804" t="n">
        <v/>
      </c>
      <c r="AQ804" t="n">
        <v/>
      </c>
      <c r="AR804" t="n">
        <v>63.782920382</v>
      </c>
      <c r="AS804" t="n">
        <v>25.435991213</v>
      </c>
      <c r="AT804" t="n">
        <v>54.476665618</v>
      </c>
      <c r="AU804" t="n">
        <v/>
      </c>
    </row>
    <row r="805">
      <c r="A805" s="106" t="n">
        <v>31382</v>
      </c>
      <c r="B805" t="n">
        <v>41.145676238</v>
      </c>
      <c r="C805" t="n">
        <v>55.530148219</v>
      </c>
      <c r="D805" t="n">
        <v>73.099389819</v>
      </c>
      <c r="E805" t="n">
        <v>65.332885545</v>
      </c>
      <c r="F805" t="n">
        <v/>
      </c>
      <c r="G805" t="n">
        <v/>
      </c>
      <c r="H805" t="n">
        <v/>
      </c>
      <c r="I805" t="n">
        <v>41.145676238</v>
      </c>
      <c r="J805" t="n">
        <v/>
      </c>
      <c r="K805" t="n">
        <v>61.604374501</v>
      </c>
      <c r="L805" t="n">
        <v>83.058599351</v>
      </c>
      <c r="M805" t="n">
        <v>69.55109667799999</v>
      </c>
      <c r="N805" t="n">
        <v>86.96687554499999</v>
      </c>
      <c r="O805" t="n">
        <v/>
      </c>
      <c r="P805" t="n">
        <v/>
      </c>
      <c r="Q805" t="n">
        <v>59.623197423</v>
      </c>
      <c r="R805" t="n">
        <v>82.41183765300001</v>
      </c>
      <c r="S805" t="n">
        <v>65.885769663</v>
      </c>
      <c r="T805" t="n">
        <v>71.949062611</v>
      </c>
      <c r="U805" t="n">
        <v/>
      </c>
      <c r="V805" t="n">
        <v>126.229967825</v>
      </c>
      <c r="W805" t="n">
        <v>43.725437995</v>
      </c>
      <c r="X805" t="n">
        <v/>
      </c>
      <c r="Y805" t="n">
        <v/>
      </c>
      <c r="Z805" t="n">
        <v>9.760673429000001</v>
      </c>
      <c r="AA805" t="n">
        <v/>
      </c>
      <c r="AB805" t="n">
        <v/>
      </c>
      <c r="AC805" t="n">
        <v>94.195354374</v>
      </c>
      <c r="AD805" t="n">
        <v>84.297226956</v>
      </c>
      <c r="AE805" t="n">
        <v/>
      </c>
      <c r="AF805" t="n">
        <v>62.117771526</v>
      </c>
      <c r="AG805" t="n">
        <v/>
      </c>
      <c r="AH805" t="n">
        <v>58.632328394</v>
      </c>
      <c r="AI805" t="n">
        <v>67.88167302399999</v>
      </c>
      <c r="AJ805" t="n">
        <v>70.6360255</v>
      </c>
      <c r="AK805" t="n">
        <v/>
      </c>
      <c r="AL805" t="n">
        <v>57.970938081</v>
      </c>
      <c r="AM805" t="n">
        <v>37.505615434</v>
      </c>
      <c r="AN805" t="n">
        <v>83.167041047</v>
      </c>
      <c r="AO805" t="n">
        <v/>
      </c>
      <c r="AP805" t="n">
        <v/>
      </c>
      <c r="AQ805" t="n">
        <v/>
      </c>
      <c r="AR805" t="n">
        <v>61.886671397</v>
      </c>
      <c r="AS805" t="n">
        <v>24.600740455</v>
      </c>
      <c r="AT805" t="n">
        <v>55.027490856</v>
      </c>
      <c r="AU805" t="n">
        <v/>
      </c>
    </row>
    <row r="806">
      <c r="A806" s="106" t="n">
        <v>31413</v>
      </c>
      <c r="B806" t="n">
        <v>41.279838605</v>
      </c>
      <c r="C806" t="n">
        <v>55.265240281</v>
      </c>
      <c r="D806" t="n">
        <v>74.359647407</v>
      </c>
      <c r="E806" t="n">
        <v>65.68954662599999</v>
      </c>
      <c r="F806" t="n">
        <v/>
      </c>
      <c r="G806" t="n">
        <v/>
      </c>
      <c r="H806" t="n">
        <v/>
      </c>
      <c r="I806" t="n">
        <v>41.279838605</v>
      </c>
      <c r="J806" t="n">
        <v/>
      </c>
      <c r="K806" t="n">
        <v>62.838931104</v>
      </c>
      <c r="L806" t="n">
        <v>80.228293213</v>
      </c>
      <c r="M806" t="n">
        <v>69.97971888399999</v>
      </c>
      <c r="N806" t="n">
        <v>86.907150644</v>
      </c>
      <c r="O806" t="n">
        <v/>
      </c>
      <c r="P806" t="n">
        <v/>
      </c>
      <c r="Q806" t="n">
        <v>60.390624717</v>
      </c>
      <c r="R806" t="n">
        <v>82.778928244</v>
      </c>
      <c r="S806" t="n">
        <v>66.309843458</v>
      </c>
      <c r="T806" t="n">
        <v>72.055182172</v>
      </c>
      <c r="U806" t="n">
        <v/>
      </c>
      <c r="V806" t="n">
        <v>120.508008266</v>
      </c>
      <c r="W806" t="n">
        <v>44.486269567</v>
      </c>
      <c r="X806" t="n">
        <v/>
      </c>
      <c r="Y806" t="n">
        <v/>
      </c>
      <c r="Z806" t="n">
        <v>9.670713305</v>
      </c>
      <c r="AA806" t="n">
        <v/>
      </c>
      <c r="AB806" t="n">
        <v/>
      </c>
      <c r="AC806" t="n">
        <v>95.96594374199999</v>
      </c>
      <c r="AD806" t="n">
        <v>84.12896901800001</v>
      </c>
      <c r="AE806" t="n">
        <v/>
      </c>
      <c r="AF806" t="n">
        <v>65.12532431</v>
      </c>
      <c r="AG806" t="n">
        <v/>
      </c>
      <c r="AH806" t="n">
        <v>58.560032059</v>
      </c>
      <c r="AI806" t="n">
        <v>68.588773785</v>
      </c>
      <c r="AJ806" t="n">
        <v>70.19056483999999</v>
      </c>
      <c r="AK806" t="n">
        <v/>
      </c>
      <c r="AL806" t="n">
        <v>58.229176247</v>
      </c>
      <c r="AM806" t="n">
        <v>37.159112232</v>
      </c>
      <c r="AN806" t="n">
        <v>83.33642880399999</v>
      </c>
      <c r="AO806" t="n">
        <v/>
      </c>
      <c r="AP806" t="n">
        <v/>
      </c>
      <c r="AQ806" t="n">
        <v/>
      </c>
      <c r="AR806" t="n">
        <v>64.8747001</v>
      </c>
      <c r="AS806" t="n">
        <v>23.49804183</v>
      </c>
      <c r="AT806" t="n">
        <v>55.310786573</v>
      </c>
      <c r="AU806" t="n">
        <v/>
      </c>
    </row>
    <row r="807">
      <c r="A807" s="106" t="n">
        <v>31444</v>
      </c>
      <c r="B807" t="n">
        <v>41.937314129</v>
      </c>
      <c r="C807" t="n">
        <v>55.516337068</v>
      </c>
      <c r="D807" t="n">
        <v>74.270400072</v>
      </c>
      <c r="E807" t="n">
        <v>65.29576271800001</v>
      </c>
      <c r="F807" t="n">
        <v/>
      </c>
      <c r="G807" t="n">
        <v/>
      </c>
      <c r="H807" t="n">
        <v/>
      </c>
      <c r="I807" t="n">
        <v>41.937314129</v>
      </c>
      <c r="J807" t="n">
        <v/>
      </c>
      <c r="K807" t="n">
        <v>63.085842425</v>
      </c>
      <c r="L807" t="n">
        <v>80.11943528499999</v>
      </c>
      <c r="M807" t="n">
        <v>70.20831739400001</v>
      </c>
      <c r="N807" t="n">
        <v>87.65479757999999</v>
      </c>
      <c r="O807" t="n">
        <v/>
      </c>
      <c r="P807" t="n">
        <v/>
      </c>
      <c r="Q807" t="n">
        <v>59.859328898</v>
      </c>
      <c r="R807" t="n">
        <v>81.952974415</v>
      </c>
      <c r="S807" t="n">
        <v>66.149502656</v>
      </c>
      <c r="T807" t="n">
        <v>72.37354085600001</v>
      </c>
      <c r="U807" t="n">
        <v/>
      </c>
      <c r="V807" t="n">
        <v>121.500248584</v>
      </c>
      <c r="W807" t="n">
        <v>44.262495575</v>
      </c>
      <c r="X807" t="n">
        <v/>
      </c>
      <c r="Y807" t="n">
        <v/>
      </c>
      <c r="Z807" t="n">
        <v>9.918103645</v>
      </c>
      <c r="AA807" t="n">
        <v/>
      </c>
      <c r="AB807" t="n">
        <v/>
      </c>
      <c r="AC807" t="n">
        <v>96.43810090700001</v>
      </c>
      <c r="AD807" t="n">
        <v>84.12896901800001</v>
      </c>
      <c r="AE807" t="n">
        <v/>
      </c>
      <c r="AF807" t="n">
        <v>63.869623926</v>
      </c>
      <c r="AG807" t="n">
        <v/>
      </c>
      <c r="AH807" t="n">
        <v>58.993810074</v>
      </c>
      <c r="AI807" t="n">
        <v>74.95268063100001</v>
      </c>
      <c r="AJ807" t="n">
        <v>71.06521362300001</v>
      </c>
      <c r="AK807" t="n">
        <v/>
      </c>
      <c r="AL807" t="n">
        <v>58.213553837</v>
      </c>
      <c r="AM807" t="n">
        <v>37.291909152</v>
      </c>
      <c r="AN807" t="n">
        <v>84.94803303</v>
      </c>
      <c r="AO807" t="n">
        <v/>
      </c>
      <c r="AP807" t="n">
        <v/>
      </c>
      <c r="AQ807" t="n">
        <v/>
      </c>
      <c r="AR807" t="n">
        <v>64.52992755699999</v>
      </c>
      <c r="AS807" t="n">
        <v>22.398133489</v>
      </c>
      <c r="AT807" t="n">
        <v>54.933191162</v>
      </c>
      <c r="AU807" t="n">
        <v/>
      </c>
    </row>
    <row r="808">
      <c r="A808" s="106" t="n">
        <v>31472</v>
      </c>
      <c r="B808" t="n">
        <v>42.343766218</v>
      </c>
      <c r="C808" t="n">
        <v>56.51301137</v>
      </c>
      <c r="D808" t="n">
        <v>70.087333516</v>
      </c>
      <c r="E808" t="n">
        <v>64.15106391099999</v>
      </c>
      <c r="F808" t="n">
        <v/>
      </c>
      <c r="G808" t="n">
        <v/>
      </c>
      <c r="H808" t="n">
        <v/>
      </c>
      <c r="I808" t="n">
        <v>42.343766218</v>
      </c>
      <c r="J808" t="n">
        <v/>
      </c>
      <c r="K808" t="n">
        <v>63.209298085</v>
      </c>
      <c r="L808" t="n">
        <v>80.88144078400001</v>
      </c>
      <c r="M808" t="n">
        <v>69.474897175</v>
      </c>
      <c r="N808" t="n">
        <v>89.35396290200001</v>
      </c>
      <c r="O808" t="n">
        <v/>
      </c>
      <c r="P808" t="n">
        <v/>
      </c>
      <c r="Q808" t="n">
        <v>57.852211361</v>
      </c>
      <c r="R808" t="n">
        <v>81.67765647100001</v>
      </c>
      <c r="S808" t="n">
        <v>65.97524509599999</v>
      </c>
      <c r="T808" t="n">
        <v>72.798019102</v>
      </c>
      <c r="U808" t="n">
        <v/>
      </c>
      <c r="V808" t="n">
        <v>117.662172927</v>
      </c>
      <c r="W808" t="n">
        <v>44.307250374</v>
      </c>
      <c r="X808" t="n">
        <v/>
      </c>
      <c r="Y808" t="n">
        <v/>
      </c>
      <c r="Z808" t="n">
        <v>10.187984017</v>
      </c>
      <c r="AA808" t="n">
        <v/>
      </c>
      <c r="AB808" t="n">
        <v/>
      </c>
      <c r="AC808" t="n">
        <v>97.382415237</v>
      </c>
      <c r="AD808" t="n">
        <v>84.044840049</v>
      </c>
      <c r="AE808" t="n">
        <v/>
      </c>
      <c r="AF808" t="n">
        <v>62.40928748</v>
      </c>
      <c r="AG808" t="n">
        <v/>
      </c>
      <c r="AH808" t="n">
        <v>57.981661372</v>
      </c>
      <c r="AI808" t="n">
        <v>67.174572263</v>
      </c>
      <c r="AJ808" t="n">
        <v>71.283875819</v>
      </c>
      <c r="AK808" t="n">
        <v/>
      </c>
      <c r="AL808" t="n">
        <v>58.031500515</v>
      </c>
      <c r="AM808" t="n">
        <v>37.23184406</v>
      </c>
      <c r="AN808" t="n">
        <v>86.67857757900001</v>
      </c>
      <c r="AO808" t="n">
        <v/>
      </c>
      <c r="AP808" t="n">
        <v/>
      </c>
      <c r="AQ808" t="n">
        <v/>
      </c>
      <c r="AR808" t="n">
        <v>65.90901772799999</v>
      </c>
      <c r="AS808" t="n">
        <v>23.49804183</v>
      </c>
      <c r="AT808" t="n">
        <v>54.537251437</v>
      </c>
      <c r="AU808" t="n">
        <v/>
      </c>
    </row>
    <row r="809">
      <c r="A809" s="106" t="n">
        <v>31503</v>
      </c>
      <c r="B809" t="n">
        <v>41.684648141</v>
      </c>
      <c r="C809" t="n">
        <v>54.582355449</v>
      </c>
      <c r="D809" t="n">
        <v>74.086561522</v>
      </c>
      <c r="E809" t="n">
        <v>64.680181668</v>
      </c>
      <c r="F809" t="n">
        <v/>
      </c>
      <c r="G809" t="n">
        <v/>
      </c>
      <c r="H809" t="n">
        <v/>
      </c>
      <c r="I809" t="n">
        <v>41.684648141</v>
      </c>
      <c r="J809" t="n">
        <v/>
      </c>
      <c r="K809" t="n">
        <v>63.517937236</v>
      </c>
      <c r="L809" t="n">
        <v>82.623167638</v>
      </c>
      <c r="M809" t="n">
        <v>71.189386</v>
      </c>
      <c r="N809" t="n">
        <v>88.87191624499999</v>
      </c>
      <c r="O809" t="n">
        <v/>
      </c>
      <c r="P809" t="n">
        <v/>
      </c>
      <c r="Q809" t="n">
        <v>59.859328898</v>
      </c>
      <c r="R809" t="n">
        <v>83.788427369</v>
      </c>
      <c r="S809" t="n">
        <v>66.23851883</v>
      </c>
      <c r="T809" t="n">
        <v>73.328616908</v>
      </c>
      <c r="U809" t="n">
        <v/>
      </c>
      <c r="V809" t="n">
        <v>127.994868536</v>
      </c>
      <c r="W809" t="n">
        <v>47.440086259</v>
      </c>
      <c r="X809" t="n">
        <v/>
      </c>
      <c r="Y809" t="n">
        <v/>
      </c>
      <c r="Z809" t="n">
        <v>10.053043831</v>
      </c>
      <c r="AA809" t="n">
        <v/>
      </c>
      <c r="AB809" t="n">
        <v/>
      </c>
      <c r="AC809" t="n">
        <v>97.854572401</v>
      </c>
      <c r="AD809" t="n">
        <v>84.044840049</v>
      </c>
      <c r="AE809" t="n">
        <v/>
      </c>
      <c r="AF809" t="n">
        <v>64.246538957</v>
      </c>
      <c r="AG809" t="n">
        <v/>
      </c>
      <c r="AH809" t="n">
        <v>57.547883356</v>
      </c>
      <c r="AI809" t="n">
        <v>74.95268063100001</v>
      </c>
      <c r="AJ809" t="n">
        <v>48.215014166</v>
      </c>
      <c r="AK809" t="n">
        <v/>
      </c>
      <c r="AL809" t="n">
        <v>58.177335732</v>
      </c>
      <c r="AM809" t="n">
        <v>37.726647915</v>
      </c>
      <c r="AN809" t="n">
        <v>88.909808747</v>
      </c>
      <c r="AO809" t="n">
        <v/>
      </c>
      <c r="AP809" t="n">
        <v/>
      </c>
      <c r="AQ809" t="n">
        <v/>
      </c>
      <c r="AR809" t="n">
        <v>63.093375296</v>
      </c>
      <c r="AS809" t="n">
        <v>23.198066828</v>
      </c>
      <c r="AT809" t="n">
        <v>54.60071285</v>
      </c>
      <c r="AU809" t="n">
        <v/>
      </c>
    </row>
    <row r="810">
      <c r="A810" s="106" t="n">
        <v>31533</v>
      </c>
      <c r="B810" t="n">
        <v>41.84588336</v>
      </c>
      <c r="C810" t="n">
        <v>54.289805825</v>
      </c>
      <c r="D810" t="n">
        <v>73.75371891</v>
      </c>
      <c r="E810" t="n">
        <v>63.324023723</v>
      </c>
      <c r="F810" t="n">
        <v/>
      </c>
      <c r="G810" t="n">
        <v/>
      </c>
      <c r="H810" t="n">
        <v/>
      </c>
      <c r="I810" t="n">
        <v>41.84588336</v>
      </c>
      <c r="J810" t="n">
        <v/>
      </c>
      <c r="K810" t="n">
        <v>62.900658935</v>
      </c>
      <c r="L810" t="n">
        <v>81.425730425</v>
      </c>
      <c r="M810" t="n">
        <v>69.24629866399999</v>
      </c>
      <c r="N810" t="n">
        <v>85.792937088</v>
      </c>
      <c r="O810" t="n">
        <v/>
      </c>
      <c r="P810" t="n">
        <v/>
      </c>
      <c r="Q810" t="n">
        <v>58.324474311</v>
      </c>
      <c r="R810" t="n">
        <v>81.218793233</v>
      </c>
      <c r="S810" t="n">
        <v>65.90379505</v>
      </c>
      <c r="T810" t="n">
        <v>73.540856031</v>
      </c>
      <c r="U810" t="n">
        <v/>
      </c>
      <c r="V810" t="n">
        <v>119.966663469</v>
      </c>
      <c r="W810" t="n">
        <v>45.291855938</v>
      </c>
      <c r="X810" t="n">
        <v/>
      </c>
      <c r="Y810" t="n">
        <v/>
      </c>
      <c r="Z810" t="n">
        <v>9.400832934</v>
      </c>
      <c r="AA810" t="n">
        <v/>
      </c>
      <c r="AB810" t="n">
        <v/>
      </c>
      <c r="AC810" t="n">
        <v>95.37574728600001</v>
      </c>
      <c r="AD810" t="n">
        <v>84.044840049</v>
      </c>
      <c r="AE810" t="n">
        <v/>
      </c>
      <c r="AF810" t="n">
        <v>61.669165109</v>
      </c>
      <c r="AG810" t="n">
        <v/>
      </c>
      <c r="AH810" t="n">
        <v>56.824919998</v>
      </c>
      <c r="AI810" t="n">
        <v>67.174572263</v>
      </c>
      <c r="AJ810" t="n">
        <v>67.894611785</v>
      </c>
      <c r="AK810" t="n">
        <v/>
      </c>
      <c r="AL810" t="n">
        <v>57.766023248</v>
      </c>
      <c r="AM810" t="n">
        <v>37.552338826</v>
      </c>
      <c r="AN810" t="n">
        <v>86.232770755</v>
      </c>
      <c r="AO810" t="n">
        <v/>
      </c>
      <c r="AP810" t="n">
        <v/>
      </c>
      <c r="AQ810" t="n">
        <v/>
      </c>
      <c r="AR810" t="n">
        <v>63.208299477</v>
      </c>
      <c r="AS810" t="n">
        <v>23.09807516</v>
      </c>
      <c r="AT810" t="n">
        <v>54.70621745</v>
      </c>
      <c r="AU810" t="n">
        <v/>
      </c>
    </row>
    <row r="811">
      <c r="A811" s="106" t="n">
        <v>31564</v>
      </c>
      <c r="B811" t="n">
        <v>42.163685473</v>
      </c>
      <c r="C811" t="n">
        <v>55.169665606</v>
      </c>
      <c r="D811" t="n">
        <v>75.54605480799999</v>
      </c>
      <c r="E811" t="n">
        <v>63.081080667</v>
      </c>
      <c r="F811" t="n">
        <v/>
      </c>
      <c r="G811" t="n">
        <v/>
      </c>
      <c r="H811" t="n">
        <v/>
      </c>
      <c r="I811" t="n">
        <v>42.163685473</v>
      </c>
      <c r="J811" t="n">
        <v/>
      </c>
      <c r="K811" t="n">
        <v>63.209298085</v>
      </c>
      <c r="L811" t="n">
        <v>81.208014569</v>
      </c>
      <c r="M811" t="n">
        <v>70.389291215</v>
      </c>
      <c r="N811" t="n">
        <v>91.057959107</v>
      </c>
      <c r="O811" t="n">
        <v/>
      </c>
      <c r="P811" t="n">
        <v/>
      </c>
      <c r="Q811" t="n">
        <v>59.564164554</v>
      </c>
      <c r="R811" t="n">
        <v>81.861201767</v>
      </c>
      <c r="S811" t="n">
        <v>66.010600756</v>
      </c>
      <c r="T811" t="n">
        <v>73.64697559299999</v>
      </c>
      <c r="U811" t="n">
        <v/>
      </c>
      <c r="V811" t="n">
        <v>122.601343311</v>
      </c>
      <c r="W811" t="n">
        <v>45.381365534</v>
      </c>
      <c r="X811" t="n">
        <v/>
      </c>
      <c r="Y811" t="n">
        <v/>
      </c>
      <c r="Z811" t="n">
        <v>9.963083706999999</v>
      </c>
      <c r="AA811" t="n">
        <v/>
      </c>
      <c r="AB811" t="n">
        <v/>
      </c>
      <c r="AC811" t="n">
        <v>97.264375945</v>
      </c>
      <c r="AD811" t="n">
        <v>84.297226956</v>
      </c>
      <c r="AE811" t="n">
        <v/>
      </c>
      <c r="AF811" t="n">
        <v>62.69582242</v>
      </c>
      <c r="AG811" t="n">
        <v/>
      </c>
      <c r="AH811" t="n">
        <v>55.451289616</v>
      </c>
      <c r="AI811" t="n">
        <v>70.002975306</v>
      </c>
      <c r="AJ811" t="n">
        <v>73.142504483</v>
      </c>
      <c r="AK811" t="n">
        <v/>
      </c>
      <c r="AL811" t="n">
        <v>58.070717929</v>
      </c>
      <c r="AM811" t="n">
        <v>36.929575278</v>
      </c>
      <c r="AN811" t="n">
        <v>87.54350123499999</v>
      </c>
      <c r="AO811" t="n">
        <v/>
      </c>
      <c r="AP811" t="n">
        <v/>
      </c>
      <c r="AQ811" t="n">
        <v/>
      </c>
      <c r="AR811" t="n">
        <v>63.61053411</v>
      </c>
      <c r="AS811" t="n">
        <v>24.697941838</v>
      </c>
      <c r="AT811" t="n">
        <v>54.496298993</v>
      </c>
      <c r="AU811" t="n">
        <v/>
      </c>
    </row>
    <row r="812">
      <c r="A812" s="106" t="n">
        <v>31594</v>
      </c>
      <c r="B812" t="n">
        <v>41.001956196</v>
      </c>
      <c r="C812" t="n">
        <v>56.628033742</v>
      </c>
      <c r="D812" t="n">
        <v>75.61194782699999</v>
      </c>
      <c r="E812" t="n">
        <v>63.538772226</v>
      </c>
      <c r="F812" t="n">
        <v/>
      </c>
      <c r="G812" t="n">
        <v/>
      </c>
      <c r="H812" t="n">
        <v/>
      </c>
      <c r="I812" t="n">
        <v>41.001956196</v>
      </c>
      <c r="J812" t="n">
        <v/>
      </c>
      <c r="K812" t="n">
        <v>64.135215538</v>
      </c>
      <c r="L812" t="n">
        <v>81.861162139</v>
      </c>
      <c r="M812" t="n">
        <v>70.532165283</v>
      </c>
      <c r="N812" t="n">
        <v>87.747654975</v>
      </c>
      <c r="O812" t="n">
        <v/>
      </c>
      <c r="P812" t="n">
        <v/>
      </c>
      <c r="Q812" t="n">
        <v>61.394183485</v>
      </c>
      <c r="R812" t="n">
        <v>81.952974415</v>
      </c>
      <c r="S812" t="n">
        <v>66.389108626</v>
      </c>
      <c r="T812" t="n">
        <v>73.540856031</v>
      </c>
      <c r="U812" t="n">
        <v/>
      </c>
      <c r="V812" t="n">
        <v>128.061642448</v>
      </c>
      <c r="W812" t="n">
        <v>46.679254687</v>
      </c>
      <c r="X812" t="n">
        <v/>
      </c>
      <c r="Y812" t="n">
        <v/>
      </c>
      <c r="Z812" t="n">
        <v>9.693203336</v>
      </c>
      <c r="AA812" t="n">
        <v/>
      </c>
      <c r="AB812" t="n">
        <v/>
      </c>
      <c r="AC812" t="n">
        <v>98.56280814900001</v>
      </c>
      <c r="AD812" t="n">
        <v>84.297226956</v>
      </c>
      <c r="AE812" t="n">
        <v/>
      </c>
      <c r="AF812" t="n">
        <v>65.068220735</v>
      </c>
      <c r="AG812" t="n">
        <v/>
      </c>
      <c r="AH812" t="n">
        <v>54.728326257</v>
      </c>
      <c r="AI812" t="n">
        <v>70.710076067</v>
      </c>
      <c r="AJ812" t="n">
        <v>75.438457539</v>
      </c>
      <c r="AK812" t="n">
        <v/>
      </c>
      <c r="AL812" t="n">
        <v>58.302836576</v>
      </c>
      <c r="AM812" t="n">
        <v>37.597671916</v>
      </c>
      <c r="AN812" t="n">
        <v>88.653284619</v>
      </c>
      <c r="AO812" t="n">
        <v/>
      </c>
      <c r="AP812" t="n">
        <v/>
      </c>
      <c r="AQ812" t="n">
        <v/>
      </c>
      <c r="AR812" t="n">
        <v>64.24261710499999</v>
      </c>
      <c r="AS812" t="n">
        <v>24.497958503</v>
      </c>
      <c r="AT812" t="n">
        <v>54.829074781</v>
      </c>
      <c r="AU812" t="n">
        <v/>
      </c>
    </row>
    <row r="813">
      <c r="A813" s="106" t="n">
        <v>31625</v>
      </c>
      <c r="B813" t="n">
        <v>42.058636978</v>
      </c>
      <c r="C813" t="n">
        <v>56.014584052</v>
      </c>
      <c r="D813" t="n">
        <v>76.27044977600001</v>
      </c>
      <c r="E813" t="n">
        <v>62.96783255</v>
      </c>
      <c r="F813" t="n">
        <v/>
      </c>
      <c r="G813" t="n">
        <v/>
      </c>
      <c r="H813" t="n">
        <v/>
      </c>
      <c r="I813" t="n">
        <v>42.058636978</v>
      </c>
      <c r="J813" t="n">
        <v/>
      </c>
      <c r="K813" t="n">
        <v>63.024114595</v>
      </c>
      <c r="L813" t="n">
        <v>84.147178635</v>
      </c>
      <c r="M813" t="n">
        <v>70.094018139</v>
      </c>
      <c r="N813" t="n">
        <v>86.679143831</v>
      </c>
      <c r="O813" t="n">
        <v/>
      </c>
      <c r="P813" t="n">
        <v/>
      </c>
      <c r="Q813" t="n">
        <v>60.508690454</v>
      </c>
      <c r="R813" t="n">
        <v>81.952974415</v>
      </c>
      <c r="S813" t="n">
        <v>65.872400246</v>
      </c>
      <c r="T813" t="n">
        <v>73.64697559299999</v>
      </c>
      <c r="U813" t="n">
        <v/>
      </c>
      <c r="V813" t="n">
        <v>118.338235399</v>
      </c>
      <c r="W813" t="n">
        <v>45.78415872</v>
      </c>
      <c r="X813" t="n">
        <v/>
      </c>
      <c r="Y813" t="n">
        <v/>
      </c>
      <c r="Z813" t="n">
        <v>9.963083706999999</v>
      </c>
      <c r="AA813" t="n">
        <v/>
      </c>
      <c r="AB813" t="n">
        <v/>
      </c>
      <c r="AC813" t="n">
        <v>98.798886731</v>
      </c>
      <c r="AD813" t="n">
        <v>82.2781317</v>
      </c>
      <c r="AE813" t="n">
        <v/>
      </c>
      <c r="AF813" t="n">
        <v>60.273422844</v>
      </c>
      <c r="AG813" t="n">
        <v/>
      </c>
      <c r="AH813" t="n">
        <v>54.439140914</v>
      </c>
      <c r="AI813" t="n">
        <v>70.710076067</v>
      </c>
      <c r="AJ813" t="n">
        <v>77.18775510499999</v>
      </c>
      <c r="AK813" t="n">
        <v/>
      </c>
      <c r="AL813" t="n">
        <v>57.962516774</v>
      </c>
      <c r="AM813" t="n">
        <v>36.893075222</v>
      </c>
      <c r="AN813" t="n">
        <v>90.79968944300001</v>
      </c>
      <c r="AO813" t="n">
        <v/>
      </c>
      <c r="AP813" t="n">
        <v/>
      </c>
      <c r="AQ813" t="n">
        <v/>
      </c>
      <c r="AR813" t="n">
        <v>64.644851738</v>
      </c>
      <c r="AS813" t="n">
        <v>26.097825181</v>
      </c>
      <c r="AT813" t="n">
        <v>54.738344791</v>
      </c>
      <c r="AU813" t="n">
        <v/>
      </c>
    </row>
    <row r="814">
      <c r="A814" s="106" t="n">
        <v>31656</v>
      </c>
      <c r="B814" t="n">
        <v>41.477129469</v>
      </c>
      <c r="C814" t="n">
        <v>55.137239673</v>
      </c>
      <c r="D814" t="n">
        <v>78.880142138</v>
      </c>
      <c r="E814" t="n">
        <v>63.251657706</v>
      </c>
      <c r="F814" t="n">
        <v/>
      </c>
      <c r="G814" t="n">
        <v/>
      </c>
      <c r="H814" t="n">
        <v/>
      </c>
      <c r="I814" t="n">
        <v>41.477129469</v>
      </c>
      <c r="J814" t="n">
        <v/>
      </c>
      <c r="K814" t="n">
        <v>62.653747614</v>
      </c>
      <c r="L814" t="n">
        <v>83.494031065</v>
      </c>
      <c r="M814" t="n">
        <v>70.627414663</v>
      </c>
      <c r="N814" t="n">
        <v>88.25667297299999</v>
      </c>
      <c r="O814" t="n">
        <v/>
      </c>
      <c r="P814" t="n">
        <v/>
      </c>
      <c r="Q814" t="n">
        <v>60.803854798</v>
      </c>
      <c r="R814" t="n">
        <v>82.687155596</v>
      </c>
      <c r="S814" t="n">
        <v>66.360140407</v>
      </c>
      <c r="T814" t="n">
        <v>74.177573399</v>
      </c>
      <c r="U814" t="n">
        <v/>
      </c>
      <c r="V814" t="n">
        <v>118.354796938</v>
      </c>
      <c r="W814" t="n">
        <v>46.05268751</v>
      </c>
      <c r="X814" t="n">
        <v/>
      </c>
      <c r="Y814" t="n">
        <v/>
      </c>
      <c r="Z814" t="n">
        <v>10.143003955</v>
      </c>
      <c r="AA814" t="n">
        <v/>
      </c>
      <c r="AB814" t="n">
        <v/>
      </c>
      <c r="AC814" t="n">
        <v>97.854572401</v>
      </c>
      <c r="AD814" t="n">
        <v>85.05438767699999</v>
      </c>
      <c r="AE814" t="n">
        <v/>
      </c>
      <c r="AF814" t="n">
        <v>64.071211879</v>
      </c>
      <c r="AG814" t="n">
        <v/>
      </c>
      <c r="AH814" t="n">
        <v>54.077659234</v>
      </c>
      <c r="AI814" t="n">
        <v>72.831378349</v>
      </c>
      <c r="AJ814" t="n">
        <v>69.315916057</v>
      </c>
      <c r="AK814" t="n">
        <v/>
      </c>
      <c r="AL814" t="n">
        <v>58.22501751</v>
      </c>
      <c r="AM814" t="n">
        <v>38.018843443</v>
      </c>
      <c r="AN814" t="n">
        <v>91.546173803</v>
      </c>
      <c r="AO814" t="n">
        <v/>
      </c>
      <c r="AP814" t="n">
        <v/>
      </c>
      <c r="AQ814" t="n">
        <v/>
      </c>
      <c r="AR814" t="n">
        <v>64.300079195</v>
      </c>
      <c r="AS814" t="n">
        <v>24.297975169</v>
      </c>
      <c r="AT814" t="n">
        <v>54.885297627</v>
      </c>
      <c r="AU814" t="n">
        <v/>
      </c>
    </row>
    <row r="815">
      <c r="A815" s="106" t="n">
        <v>31686</v>
      </c>
      <c r="B815" t="n">
        <v>41.357053119</v>
      </c>
      <c r="C815" t="n">
        <v>54.947638185</v>
      </c>
      <c r="D815" t="n">
        <v>79.767456893</v>
      </c>
      <c r="E815" t="n">
        <v>63.177412053</v>
      </c>
      <c r="F815" t="n">
        <v/>
      </c>
      <c r="G815" t="n">
        <v/>
      </c>
      <c r="H815" t="n">
        <v/>
      </c>
      <c r="I815" t="n">
        <v>41.357053119</v>
      </c>
      <c r="J815" t="n">
        <v/>
      </c>
      <c r="K815" t="n">
        <v>62.838931104</v>
      </c>
      <c r="L815" t="n">
        <v>80.88144078400001</v>
      </c>
      <c r="M815" t="n">
        <v>70.513115408</v>
      </c>
      <c r="N815" t="n">
        <v>89.37417060600001</v>
      </c>
      <c r="O815" t="n">
        <v/>
      </c>
      <c r="P815" t="n">
        <v/>
      </c>
      <c r="Q815" t="n">
        <v>61.63031496</v>
      </c>
      <c r="R815" t="n">
        <v>83.421336778</v>
      </c>
      <c r="S815" t="n">
        <v>66.403198167</v>
      </c>
      <c r="T815" t="n">
        <v>74.81429076800001</v>
      </c>
      <c r="U815" t="n">
        <v/>
      </c>
      <c r="V815" t="n">
        <v>119.739536371</v>
      </c>
      <c r="W815" t="n">
        <v>45.605139526</v>
      </c>
      <c r="X815" t="n">
        <v/>
      </c>
      <c r="Y815" t="n">
        <v/>
      </c>
      <c r="Z815" t="n">
        <v>10.25545411</v>
      </c>
      <c r="AA815" t="n">
        <v/>
      </c>
      <c r="AB815" t="n">
        <v/>
      </c>
      <c r="AC815" t="n">
        <v>97.73653311</v>
      </c>
      <c r="AD815" t="n">
        <v>83.96071108</v>
      </c>
      <c r="AE815" t="n">
        <v/>
      </c>
      <c r="AF815" t="n">
        <v>64.27878213300001</v>
      </c>
      <c r="AG815" t="n">
        <v/>
      </c>
      <c r="AH815" t="n">
        <v>54.294548242</v>
      </c>
      <c r="AI815" t="n">
        <v>70.002975306</v>
      </c>
      <c r="AJ815" t="n">
        <v>71.721200211</v>
      </c>
      <c r="AK815" t="n">
        <v/>
      </c>
      <c r="AL815" t="n">
        <v>58.301649254</v>
      </c>
      <c r="AM815" t="n">
        <v>37.660869748</v>
      </c>
      <c r="AN815" t="n">
        <v>90.676889949</v>
      </c>
      <c r="AO815" t="n">
        <v/>
      </c>
      <c r="AP815" t="n">
        <v/>
      </c>
      <c r="AQ815" t="n">
        <v/>
      </c>
      <c r="AR815" t="n">
        <v>64.300079195</v>
      </c>
      <c r="AS815" t="n">
        <v>25.497875177</v>
      </c>
      <c r="AT815" t="n">
        <v>55.117923371</v>
      </c>
      <c r="AU815" t="n">
        <v/>
      </c>
    </row>
    <row r="816">
      <c r="A816" s="106" t="n">
        <v>31717</v>
      </c>
      <c r="B816" t="n">
        <v>40.858995899</v>
      </c>
      <c r="C816" t="n">
        <v>54.910824441</v>
      </c>
      <c r="D816" t="n">
        <v>78.910456352</v>
      </c>
      <c r="E816" t="n">
        <v>63.041608294</v>
      </c>
      <c r="F816" t="n">
        <v/>
      </c>
      <c r="G816" t="n">
        <v/>
      </c>
      <c r="H816" t="n">
        <v/>
      </c>
      <c r="I816" t="n">
        <v>40.858995899</v>
      </c>
      <c r="J816" t="n">
        <v/>
      </c>
      <c r="K816" t="n">
        <v>63.517937236</v>
      </c>
      <c r="L816" t="n">
        <v>79.030856001</v>
      </c>
      <c r="M816" t="n">
        <v>69.83684481500001</v>
      </c>
      <c r="N816" t="n">
        <v>88.83839880399999</v>
      </c>
      <c r="O816" t="n">
        <v/>
      </c>
      <c r="P816" t="n">
        <v/>
      </c>
      <c r="Q816" t="n">
        <v>61.807413566</v>
      </c>
      <c r="R816" t="n">
        <v>82.228292358</v>
      </c>
      <c r="S816" t="n">
        <v>66.37620239100001</v>
      </c>
      <c r="T816" t="n">
        <v>75.238769013</v>
      </c>
      <c r="U816" t="n">
        <v/>
      </c>
      <c r="V816" t="n">
        <v>122.31877705</v>
      </c>
      <c r="W816" t="n">
        <v>44.799553156</v>
      </c>
      <c r="X816" t="n">
        <v/>
      </c>
      <c r="Y816" t="n">
        <v/>
      </c>
      <c r="Z816" t="n">
        <v>10.098023893</v>
      </c>
      <c r="AA816" t="n">
        <v/>
      </c>
      <c r="AB816" t="n">
        <v/>
      </c>
      <c r="AC816" t="n">
        <v>97.50045452800001</v>
      </c>
      <c r="AD816" t="n">
        <v>82.78290551400001</v>
      </c>
      <c r="AE816" t="n">
        <v/>
      </c>
      <c r="AF816" t="n">
        <v>61.971596186</v>
      </c>
      <c r="AG816" t="n">
        <v/>
      </c>
      <c r="AH816" t="n">
        <v>53.788473891</v>
      </c>
      <c r="AI816" t="n">
        <v>70.002975306</v>
      </c>
      <c r="AJ816" t="n">
        <v>72.814511189</v>
      </c>
      <c r="AK816" t="n">
        <v/>
      </c>
      <c r="AL816" t="n">
        <v>58.2624769</v>
      </c>
      <c r="AM816" t="n">
        <v>38.247253088</v>
      </c>
      <c r="AN816" t="n">
        <v>91.396268471</v>
      </c>
      <c r="AO816" t="n">
        <v/>
      </c>
      <c r="AP816" t="n">
        <v/>
      </c>
      <c r="AQ816" t="n">
        <v/>
      </c>
      <c r="AR816" t="n">
        <v>65.449321004</v>
      </c>
      <c r="AS816" t="n">
        <v>25.597866844</v>
      </c>
      <c r="AT816" t="n">
        <v>55.333394701</v>
      </c>
      <c r="AU816" t="n">
        <v/>
      </c>
    </row>
    <row r="817">
      <c r="A817" s="106" t="n">
        <v>31747</v>
      </c>
      <c r="B817" t="n">
        <v>41.644413634</v>
      </c>
      <c r="C817" t="n">
        <v>55.489767589</v>
      </c>
      <c r="D817" t="n">
        <v>77.175847232</v>
      </c>
      <c r="E817" t="n">
        <v>64.157172731</v>
      </c>
      <c r="F817" t="n">
        <v/>
      </c>
      <c r="G817" t="n">
        <v/>
      </c>
      <c r="H817" t="n">
        <v/>
      </c>
      <c r="I817" t="n">
        <v>41.644413634</v>
      </c>
      <c r="J817" t="n">
        <v/>
      </c>
      <c r="K817" t="n">
        <v>62.715475444</v>
      </c>
      <c r="L817" t="n">
        <v>80.11943528499999</v>
      </c>
      <c r="M817" t="n">
        <v>70.589314911</v>
      </c>
      <c r="N817" t="n">
        <v>90.169199084</v>
      </c>
      <c r="O817" t="n">
        <v/>
      </c>
      <c r="P817" t="n">
        <v/>
      </c>
      <c r="Q817" t="n">
        <v>61.335150616</v>
      </c>
      <c r="R817" t="n">
        <v>82.778928244</v>
      </c>
      <c r="S817" t="n">
        <v>67.066171948</v>
      </c>
      <c r="T817" t="n">
        <v>75.451008136</v>
      </c>
      <c r="U817" t="n">
        <v/>
      </c>
      <c r="V817" t="n">
        <v>119.582872248</v>
      </c>
      <c r="W817" t="n">
        <v>46.365971098</v>
      </c>
      <c r="X817" t="n">
        <v/>
      </c>
      <c r="Y817" t="n">
        <v/>
      </c>
      <c r="Z817" t="n">
        <v>10.0305538</v>
      </c>
      <c r="AA817" t="n">
        <v/>
      </c>
      <c r="AB817" t="n">
        <v/>
      </c>
      <c r="AC817" t="n">
        <v>100.215358225</v>
      </c>
      <c r="AD817" t="n">
        <v>84.717871801</v>
      </c>
      <c r="AE817" t="n">
        <v/>
      </c>
      <c r="AF817" t="n">
        <v>60.115986553</v>
      </c>
      <c r="AG817" t="n">
        <v/>
      </c>
      <c r="AH817" t="n">
        <v>53.716177555</v>
      </c>
      <c r="AI817" t="n">
        <v>71.41717682700001</v>
      </c>
      <c r="AJ817" t="n">
        <v>75.438457539</v>
      </c>
      <c r="AK817" t="n">
        <v/>
      </c>
      <c r="AL817" t="n">
        <v>58.809599289</v>
      </c>
      <c r="AM817" t="n">
        <v>37.757585538</v>
      </c>
      <c r="AN817" t="n">
        <v>91.372856535</v>
      </c>
      <c r="AO817" t="n">
        <v/>
      </c>
      <c r="AP817" t="n">
        <v/>
      </c>
      <c r="AQ817" t="n">
        <v/>
      </c>
      <c r="AR817" t="n">
        <v>64.702313828</v>
      </c>
      <c r="AS817" t="n">
        <v>25.39788351</v>
      </c>
      <c r="AT817" t="n">
        <v>55.869941121</v>
      </c>
      <c r="AU817" t="n">
        <v/>
      </c>
    </row>
    <row r="818">
      <c r="A818" s="106" t="n">
        <v>31778</v>
      </c>
      <c r="B818" t="n">
        <v>40.558691805</v>
      </c>
      <c r="C818" t="n">
        <v>54.556168019</v>
      </c>
      <c r="D818" t="n">
        <v>79.605398295</v>
      </c>
      <c r="E818" t="n">
        <v>64.820684519</v>
      </c>
      <c r="F818" t="n">
        <v/>
      </c>
      <c r="G818" t="n">
        <v/>
      </c>
      <c r="H818" t="n">
        <v/>
      </c>
      <c r="I818" t="n">
        <v>40.558691805</v>
      </c>
      <c r="J818" t="n">
        <v/>
      </c>
      <c r="K818" t="n">
        <v>61.727830162</v>
      </c>
      <c r="L818" t="n">
        <v>74.894254723</v>
      </c>
      <c r="M818" t="n">
        <v>69.960669008</v>
      </c>
      <c r="N818" t="n">
        <v>86.91732266299999</v>
      </c>
      <c r="O818" t="n">
        <v/>
      </c>
      <c r="P818" t="n">
        <v/>
      </c>
      <c r="Q818" t="n">
        <v>60.68578906</v>
      </c>
      <c r="R818" t="n">
        <v>80.576384699</v>
      </c>
      <c r="S818" t="n">
        <v>66.461620072</v>
      </c>
      <c r="T818" t="n">
        <v>75.344888574</v>
      </c>
      <c r="U818" t="n">
        <v/>
      </c>
      <c r="V818" t="n">
        <v>116.729356087</v>
      </c>
      <c r="W818" t="n">
        <v>43.32264481</v>
      </c>
      <c r="X818" t="n">
        <v/>
      </c>
      <c r="Y818" t="n">
        <v/>
      </c>
      <c r="Z818" t="n">
        <v>9.535773119</v>
      </c>
      <c r="AA818" t="n">
        <v/>
      </c>
      <c r="AB818" t="n">
        <v/>
      </c>
      <c r="AC818" t="n">
        <v>95.72986516</v>
      </c>
      <c r="AD818" t="n">
        <v>84.465484894</v>
      </c>
      <c r="AE818" t="n">
        <v/>
      </c>
      <c r="AF818" t="n">
        <v>62.08774135</v>
      </c>
      <c r="AG818" t="n">
        <v/>
      </c>
      <c r="AH818" t="n">
        <v>54.14995557</v>
      </c>
      <c r="AI818" t="n">
        <v>74.95268063100001</v>
      </c>
      <c r="AJ818" t="n">
        <v>77.4064173</v>
      </c>
      <c r="AK818" t="n">
        <v/>
      </c>
      <c r="AL818" t="n">
        <v>58.302264368</v>
      </c>
      <c r="AM818" t="n">
        <v>35.517041623</v>
      </c>
      <c r="AN818" t="n">
        <v>88.370353622</v>
      </c>
      <c r="AO818" t="n">
        <v/>
      </c>
      <c r="AP818" t="n">
        <v/>
      </c>
      <c r="AQ818" t="n">
        <v/>
      </c>
      <c r="AR818" t="n">
        <v>62.346368121</v>
      </c>
      <c r="AS818" t="n">
        <v>25.497875177</v>
      </c>
      <c r="AT818" t="n">
        <v>55.653577365</v>
      </c>
      <c r="AU818" t="n">
        <v/>
      </c>
    </row>
    <row r="819">
      <c r="A819" s="106" t="n">
        <v>31809</v>
      </c>
      <c r="B819" t="n">
        <v>41.516355559</v>
      </c>
      <c r="C819" t="n">
        <v>56.268201407</v>
      </c>
      <c r="D819" t="n">
        <v>83.98126154000001</v>
      </c>
      <c r="E819" t="n">
        <v>64.961187369</v>
      </c>
      <c r="F819" t="n">
        <v/>
      </c>
      <c r="G819" t="n">
        <v/>
      </c>
      <c r="H819" t="n">
        <v/>
      </c>
      <c r="I819" t="n">
        <v>41.516355559</v>
      </c>
      <c r="J819" t="n">
        <v/>
      </c>
      <c r="K819" t="n">
        <v>62.962386765</v>
      </c>
      <c r="L819" t="n">
        <v>78.377708431</v>
      </c>
      <c r="M819" t="n">
        <v>70.894112924</v>
      </c>
      <c r="N819" t="n">
        <v>91.728990598</v>
      </c>
      <c r="O819" t="n">
        <v/>
      </c>
      <c r="P819" t="n">
        <v/>
      </c>
      <c r="Q819" t="n">
        <v>61.571282091</v>
      </c>
      <c r="R819" t="n">
        <v>82.50361030099999</v>
      </c>
      <c r="S819" t="n">
        <v>67.18973158</v>
      </c>
      <c r="T819" t="n">
        <v>75.238769013</v>
      </c>
      <c r="U819" t="n">
        <v/>
      </c>
      <c r="V819" t="n">
        <v>126.413721882</v>
      </c>
      <c r="W819" t="n">
        <v>46.544990292</v>
      </c>
      <c r="X819" t="n">
        <v/>
      </c>
      <c r="Y819" t="n">
        <v/>
      </c>
      <c r="Z819" t="n">
        <v>10.322924202</v>
      </c>
      <c r="AA819" t="n">
        <v/>
      </c>
      <c r="AB819" t="n">
        <v/>
      </c>
      <c r="AC819" t="n">
        <v>98.68084743999999</v>
      </c>
      <c r="AD819" t="n">
        <v>84.044840049</v>
      </c>
      <c r="AE819" t="n">
        <v/>
      </c>
      <c r="AF819" t="n">
        <v>60.516054611</v>
      </c>
      <c r="AG819" t="n">
        <v/>
      </c>
      <c r="AH819" t="n">
        <v>55.017511601</v>
      </c>
      <c r="AI819" t="n">
        <v>71.41717682700001</v>
      </c>
      <c r="AJ819" t="n">
        <v>74.454477658</v>
      </c>
      <c r="AK819" t="n">
        <v/>
      </c>
      <c r="AL819" t="n">
        <v>59.081784712</v>
      </c>
      <c r="AM819" t="n">
        <v>39.894129553</v>
      </c>
      <c r="AN819" t="n">
        <v>92.1083486</v>
      </c>
      <c r="AO819" t="n">
        <v/>
      </c>
      <c r="AP819" t="n">
        <v/>
      </c>
      <c r="AQ819" t="n">
        <v/>
      </c>
      <c r="AR819" t="n">
        <v>64.93216219</v>
      </c>
      <c r="AS819" t="n">
        <v>26.097825181</v>
      </c>
      <c r="AT819" t="n">
        <v>56.399248974</v>
      </c>
      <c r="AU819" t="n">
        <v/>
      </c>
    </row>
    <row r="820">
      <c r="A820" s="106" t="n">
        <v>31837</v>
      </c>
      <c r="B820" t="n">
        <v>41.929413754</v>
      </c>
      <c r="C820" t="n">
        <v>55.373255912</v>
      </c>
      <c r="D820" t="n">
        <v>79.585876953</v>
      </c>
      <c r="E820" t="n">
        <v>65.38833483000001</v>
      </c>
      <c r="F820" t="n">
        <v/>
      </c>
      <c r="G820" t="n">
        <v/>
      </c>
      <c r="H820" t="n">
        <v/>
      </c>
      <c r="I820" t="n">
        <v>41.929413754</v>
      </c>
      <c r="J820" t="n">
        <v/>
      </c>
      <c r="K820" t="n">
        <v>62.592019784</v>
      </c>
      <c r="L820" t="n">
        <v>79.90171942800001</v>
      </c>
      <c r="M820" t="n">
        <v>70.675039352</v>
      </c>
      <c r="N820" t="n">
        <v>91.1023533</v>
      </c>
      <c r="O820" t="n">
        <v/>
      </c>
      <c r="P820" t="n">
        <v/>
      </c>
      <c r="Q820" t="n">
        <v>63.99162971</v>
      </c>
      <c r="R820" t="n">
        <v>83.421336778</v>
      </c>
      <c r="S820" t="n">
        <v>67.510729471</v>
      </c>
      <c r="T820" t="n">
        <v>75.344888574</v>
      </c>
      <c r="U820" t="n">
        <v/>
      </c>
      <c r="V820" t="n">
        <v>118.725494743</v>
      </c>
      <c r="W820" t="n">
        <v>46.947783477</v>
      </c>
      <c r="X820" t="n">
        <v/>
      </c>
      <c r="Y820" t="n">
        <v/>
      </c>
      <c r="Z820" t="n">
        <v>10.232964079</v>
      </c>
      <c r="AA820" t="n">
        <v/>
      </c>
      <c r="AB820" t="n">
        <v/>
      </c>
      <c r="AC820" t="n">
        <v>99.979279643</v>
      </c>
      <c r="AD820" t="n">
        <v>85.306774584</v>
      </c>
      <c r="AE820" t="n">
        <v/>
      </c>
      <c r="AF820" t="n">
        <v>63.589843866</v>
      </c>
      <c r="AG820" t="n">
        <v/>
      </c>
      <c r="AH820" t="n">
        <v>55.740474959</v>
      </c>
      <c r="AI820" t="n">
        <v>73.53847910899999</v>
      </c>
      <c r="AJ820" t="n">
        <v>74.01715326599999</v>
      </c>
      <c r="AK820" t="n">
        <v/>
      </c>
      <c r="AL820" t="n">
        <v>59.288260059</v>
      </c>
      <c r="AM820" t="n">
        <v>38.891252798</v>
      </c>
      <c r="AN820" t="n">
        <v>89.560461312</v>
      </c>
      <c r="AO820" t="n">
        <v/>
      </c>
      <c r="AP820" t="n">
        <v/>
      </c>
      <c r="AQ820" t="n">
        <v/>
      </c>
      <c r="AR820" t="n">
        <v>64.702313828</v>
      </c>
      <c r="AS820" t="n">
        <v>25.197900175</v>
      </c>
      <c r="AT820" t="n">
        <v>56.472328758</v>
      </c>
      <c r="AU820" t="n">
        <v/>
      </c>
    </row>
    <row r="821">
      <c r="A821" s="106" t="n">
        <v>31868</v>
      </c>
      <c r="B821" t="n">
        <v>41.809457698</v>
      </c>
      <c r="C821" t="n">
        <v>56.698059636</v>
      </c>
      <c r="D821" t="n">
        <v>80.67871792699999</v>
      </c>
      <c r="E821" t="n">
        <v>65.078194759</v>
      </c>
      <c r="F821" t="n">
        <v/>
      </c>
      <c r="G821" t="n">
        <v/>
      </c>
      <c r="H821" t="n">
        <v/>
      </c>
      <c r="I821" t="n">
        <v>41.809457698</v>
      </c>
      <c r="J821" t="n">
        <v/>
      </c>
      <c r="K821" t="n">
        <v>63.456209406</v>
      </c>
      <c r="L821" t="n">
        <v>79.90171942800001</v>
      </c>
      <c r="M821" t="n">
        <v>70.789338607</v>
      </c>
      <c r="N821" t="n">
        <v>91.355700441</v>
      </c>
      <c r="O821" t="n">
        <v/>
      </c>
      <c r="P821" t="n">
        <v/>
      </c>
      <c r="Q821" t="n">
        <v>62.279676516</v>
      </c>
      <c r="R821" t="n">
        <v>82.595382949</v>
      </c>
      <c r="S821" t="n">
        <v>67.769848584</v>
      </c>
      <c r="T821" t="n">
        <v>75.557127697</v>
      </c>
      <c r="U821" t="n">
        <v/>
      </c>
      <c r="V821" t="n">
        <v>119.935833648</v>
      </c>
      <c r="W821" t="n">
        <v>47.798124646</v>
      </c>
      <c r="X821" t="n">
        <v/>
      </c>
      <c r="Y821" t="n">
        <v/>
      </c>
      <c r="Z821" t="n">
        <v>10.795214852</v>
      </c>
      <c r="AA821" t="n">
        <v/>
      </c>
      <c r="AB821" t="n">
        <v/>
      </c>
      <c r="AC821" t="n">
        <v>101.867908302</v>
      </c>
      <c r="AD821" t="n">
        <v>84.633742832</v>
      </c>
      <c r="AE821" t="n">
        <v/>
      </c>
      <c r="AF821" t="n">
        <v>61.159327412</v>
      </c>
      <c r="AG821" t="n">
        <v/>
      </c>
      <c r="AH821" t="n">
        <v>57.041809005</v>
      </c>
      <c r="AI821" t="n">
        <v>70.002975306</v>
      </c>
      <c r="AJ821" t="n">
        <v>74.23581546200001</v>
      </c>
      <c r="AK821" t="n">
        <v/>
      </c>
      <c r="AL821" t="n">
        <v>59.580366362</v>
      </c>
      <c r="AM821" t="n">
        <v>38.779285315</v>
      </c>
      <c r="AN821" t="n">
        <v>92.24559829</v>
      </c>
      <c r="AO821" t="n">
        <v/>
      </c>
      <c r="AP821" t="n">
        <v/>
      </c>
      <c r="AQ821" t="n">
        <v/>
      </c>
      <c r="AR821" t="n">
        <v>65.04708637100001</v>
      </c>
      <c r="AS821" t="n">
        <v>26.197816849</v>
      </c>
      <c r="AT821" t="n">
        <v>56.835347875</v>
      </c>
      <c r="AU821" t="n">
        <v/>
      </c>
    </row>
    <row r="822">
      <c r="A822" s="106" t="n">
        <v>31898</v>
      </c>
      <c r="B822" t="n">
        <v>42.922600835</v>
      </c>
      <c r="C822" t="n">
        <v>57.05218983</v>
      </c>
      <c r="D822" t="n">
        <v>79.61960759</v>
      </c>
      <c r="E822" t="n">
        <v>65.12095649600001</v>
      </c>
      <c r="F822" t="n">
        <v/>
      </c>
      <c r="G822" t="n">
        <v/>
      </c>
      <c r="H822" t="n">
        <v/>
      </c>
      <c r="I822" t="n">
        <v>42.922600835</v>
      </c>
      <c r="J822" t="n">
        <v/>
      </c>
      <c r="K822" t="n">
        <v>64.382126859</v>
      </c>
      <c r="L822" t="n">
        <v>80.55486699799999</v>
      </c>
      <c r="M822" t="n">
        <v>71.694207709</v>
      </c>
      <c r="N822" t="n">
        <v>93.153743967</v>
      </c>
      <c r="O822" t="n">
        <v/>
      </c>
      <c r="P822" t="n">
        <v/>
      </c>
      <c r="Q822" t="n">
        <v>63.755498235</v>
      </c>
      <c r="R822" t="n">
        <v>83.32956412999999</v>
      </c>
      <c r="S822" t="n">
        <v>67.960199811</v>
      </c>
      <c r="T822" t="n">
        <v>75.98160594300001</v>
      </c>
      <c r="U822" t="n">
        <v/>
      </c>
      <c r="V822" t="n">
        <v>118.709743388</v>
      </c>
      <c r="W822" t="n">
        <v>46.142197106</v>
      </c>
      <c r="X822" t="n">
        <v/>
      </c>
      <c r="Y822" t="n">
        <v/>
      </c>
      <c r="Z822" t="n">
        <v>11.132565316</v>
      </c>
      <c r="AA822" t="n">
        <v/>
      </c>
      <c r="AB822" t="n">
        <v/>
      </c>
      <c r="AC822" t="n">
        <v>102.340065467</v>
      </c>
      <c r="AD822" t="n">
        <v>83.287679328</v>
      </c>
      <c r="AE822" t="n">
        <v/>
      </c>
      <c r="AF822" t="n">
        <v>62.685557556</v>
      </c>
      <c r="AG822" t="n">
        <v/>
      </c>
      <c r="AH822" t="n">
        <v>57.547883356</v>
      </c>
      <c r="AI822" t="n">
        <v>72.124277588</v>
      </c>
      <c r="AJ822" t="n">
        <v>76.094444126</v>
      </c>
      <c r="AK822" t="n">
        <v/>
      </c>
      <c r="AL822" t="n">
        <v>59.885663466</v>
      </c>
      <c r="AM822" t="n">
        <v>39.050204287</v>
      </c>
      <c r="AN822" t="n">
        <v>92.87901082400001</v>
      </c>
      <c r="AO822" t="n">
        <v/>
      </c>
      <c r="AP822" t="n">
        <v/>
      </c>
      <c r="AQ822" t="n">
        <v/>
      </c>
      <c r="AR822" t="n">
        <v>65.90901772799999</v>
      </c>
      <c r="AS822" t="n">
        <v>26.797766853</v>
      </c>
      <c r="AT822" t="n">
        <v>57.192020851</v>
      </c>
      <c r="AU822" t="n">
        <v/>
      </c>
    </row>
    <row r="823">
      <c r="A823" s="106" t="n">
        <v>31929</v>
      </c>
      <c r="B823" t="n">
        <v>41.884900238</v>
      </c>
      <c r="C823" t="n">
        <v>57.016961831</v>
      </c>
      <c r="D823" t="n">
        <v>74.878039164</v>
      </c>
      <c r="E823" t="n">
        <v>65.884558943</v>
      </c>
      <c r="F823" t="n">
        <v/>
      </c>
      <c r="G823" t="n">
        <v/>
      </c>
      <c r="H823" t="n">
        <v/>
      </c>
      <c r="I823" t="n">
        <v>41.884900238</v>
      </c>
      <c r="J823" t="n">
        <v/>
      </c>
      <c r="K823" t="n">
        <v>63.209298085</v>
      </c>
      <c r="L823" t="n">
        <v>79.030856001</v>
      </c>
      <c r="M823" t="n">
        <v>70.941737614</v>
      </c>
      <c r="N823" t="n">
        <v>92.972937249</v>
      </c>
      <c r="O823" t="n">
        <v/>
      </c>
      <c r="P823" t="n">
        <v/>
      </c>
      <c r="Q823" t="n">
        <v>62.57484086</v>
      </c>
      <c r="R823" t="n">
        <v>83.788427369</v>
      </c>
      <c r="S823" t="n">
        <v>68.434712146</v>
      </c>
      <c r="T823" t="n">
        <v>76.51220375</v>
      </c>
      <c r="U823" t="n">
        <v/>
      </c>
      <c r="V823" t="n">
        <v>116.465318628</v>
      </c>
      <c r="W823" t="n">
        <v>46.410725897</v>
      </c>
      <c r="X823" t="n">
        <v/>
      </c>
      <c r="Y823" t="n">
        <v/>
      </c>
      <c r="Z823" t="n">
        <v>10.795214852</v>
      </c>
      <c r="AA823" t="n">
        <v/>
      </c>
      <c r="AB823" t="n">
        <v/>
      </c>
      <c r="AC823" t="n">
        <v>100.805554681</v>
      </c>
      <c r="AD823" t="n">
        <v>86.400451182</v>
      </c>
      <c r="AE823" t="n">
        <v/>
      </c>
      <c r="AF823" t="n">
        <v>62.84180945</v>
      </c>
      <c r="AG823" t="n">
        <v/>
      </c>
      <c r="AH823" t="n">
        <v>57.547883356</v>
      </c>
      <c r="AI823" t="n">
        <v>70.710076067</v>
      </c>
      <c r="AJ823" t="n">
        <v>71.83053130899999</v>
      </c>
      <c r="AK823" t="n">
        <v/>
      </c>
      <c r="AL823" t="n">
        <v>60.18212237</v>
      </c>
      <c r="AM823" t="n">
        <v>39.068140933</v>
      </c>
      <c r="AN823" t="n">
        <v>92.889254881</v>
      </c>
      <c r="AO823" t="n">
        <v/>
      </c>
      <c r="AP823" t="n">
        <v/>
      </c>
      <c r="AQ823" t="n">
        <v/>
      </c>
      <c r="AR823" t="n">
        <v>65.506783095</v>
      </c>
      <c r="AS823" t="n">
        <v>27.497708524</v>
      </c>
      <c r="AT823" t="n">
        <v>57.499511231</v>
      </c>
      <c r="AU823" t="n">
        <v/>
      </c>
    </row>
    <row r="824">
      <c r="A824" s="106" t="n">
        <v>31959</v>
      </c>
      <c r="B824" t="n">
        <v>41.774533035</v>
      </c>
      <c r="C824" t="n">
        <v>56.374053349</v>
      </c>
      <c r="D824" t="n">
        <v>70.93227451200001</v>
      </c>
      <c r="E824" t="n">
        <v>66.600700561</v>
      </c>
      <c r="F824" t="n">
        <v/>
      </c>
      <c r="G824" t="n">
        <v/>
      </c>
      <c r="H824" t="n">
        <v/>
      </c>
      <c r="I824" t="n">
        <v>41.774533035</v>
      </c>
      <c r="J824" t="n">
        <v/>
      </c>
      <c r="K824" t="n">
        <v>62.468564124</v>
      </c>
      <c r="L824" t="n">
        <v>82.18773592399999</v>
      </c>
      <c r="M824" t="n">
        <v>71.227485751</v>
      </c>
      <c r="N824" t="n">
        <v>96.382462428</v>
      </c>
      <c r="O824" t="n">
        <v/>
      </c>
      <c r="P824" t="n">
        <v/>
      </c>
      <c r="Q824" t="n">
        <v>63.814531103</v>
      </c>
      <c r="R824" t="n">
        <v>82.778928244</v>
      </c>
      <c r="S824" t="n">
        <v>68.605117204</v>
      </c>
      <c r="T824" t="n">
        <v>77.042801556</v>
      </c>
      <c r="U824" t="n">
        <v/>
      </c>
      <c r="V824" t="n">
        <v>117.993303469</v>
      </c>
      <c r="W824" t="n">
        <v>47.12680267</v>
      </c>
      <c r="X824" t="n">
        <v/>
      </c>
      <c r="Y824" t="n">
        <v/>
      </c>
      <c r="Z824" t="n">
        <v>11.132565316</v>
      </c>
      <c r="AA824" t="n">
        <v/>
      </c>
      <c r="AB824" t="n">
        <v/>
      </c>
      <c r="AC824" t="n">
        <v>99.979279643</v>
      </c>
      <c r="AD824" t="n">
        <v>87.157611903</v>
      </c>
      <c r="AE824" t="n">
        <v/>
      </c>
      <c r="AF824" t="n">
        <v>64.60817911300001</v>
      </c>
      <c r="AG824" t="n">
        <v/>
      </c>
      <c r="AH824" t="n">
        <v>57.8370687</v>
      </c>
      <c r="AI824" t="n">
        <v>70.710076067</v>
      </c>
      <c r="AJ824" t="n">
        <v>75.219795343</v>
      </c>
      <c r="AK824" t="n">
        <v/>
      </c>
      <c r="AL824" t="n">
        <v>60.313740358</v>
      </c>
      <c r="AM824" t="n">
        <v>39.141227802</v>
      </c>
      <c r="AN824" t="n">
        <v>95.41959871100001</v>
      </c>
      <c r="AO824" t="n">
        <v/>
      </c>
      <c r="AP824" t="n">
        <v/>
      </c>
      <c r="AQ824" t="n">
        <v/>
      </c>
      <c r="AR824" t="n">
        <v>65.219472642</v>
      </c>
      <c r="AS824" t="n">
        <v>25.297891842</v>
      </c>
      <c r="AT824" t="n">
        <v>57.887716597</v>
      </c>
      <c r="AU824" t="n">
        <v/>
      </c>
    </row>
    <row r="825">
      <c r="A825" s="106" t="n">
        <v>31990</v>
      </c>
      <c r="B825" t="n">
        <v>42.441859182</v>
      </c>
      <c r="C825" t="n">
        <v>56.394106618</v>
      </c>
      <c r="D825" t="n">
        <v>71.974475376</v>
      </c>
      <c r="E825" t="n">
        <v>67.353025187</v>
      </c>
      <c r="F825" t="n">
        <v/>
      </c>
      <c r="G825" t="n">
        <v/>
      </c>
      <c r="H825" t="n">
        <v/>
      </c>
      <c r="I825" t="n">
        <v>42.441859182</v>
      </c>
      <c r="J825" t="n">
        <v/>
      </c>
      <c r="K825" t="n">
        <v>63.826576387</v>
      </c>
      <c r="L825" t="n">
        <v>82.623167638</v>
      </c>
      <c r="M825" t="n">
        <v>71.265585503</v>
      </c>
      <c r="N825" t="n">
        <v>90.51468585400001</v>
      </c>
      <c r="O825" t="n">
        <v/>
      </c>
      <c r="P825" t="n">
        <v/>
      </c>
      <c r="Q825" t="n">
        <v>64.050662578</v>
      </c>
      <c r="R825" t="n">
        <v>82.778928244</v>
      </c>
      <c r="S825" t="n">
        <v>69.063380839</v>
      </c>
      <c r="T825" t="n">
        <v>77.46727980199999</v>
      </c>
      <c r="U825" t="n">
        <v/>
      </c>
      <c r="V825" t="n">
        <v>117.419791709</v>
      </c>
      <c r="W825" t="n">
        <v>44.710043559</v>
      </c>
      <c r="X825" t="n">
        <v/>
      </c>
      <c r="Y825" t="n">
        <v/>
      </c>
      <c r="Z825" t="n">
        <v>11.559875904</v>
      </c>
      <c r="AA825" t="n">
        <v/>
      </c>
      <c r="AB825" t="n">
        <v/>
      </c>
      <c r="AC825" t="n">
        <v>99.74320106099999</v>
      </c>
      <c r="AD825" t="n">
        <v>87.157611903</v>
      </c>
      <c r="AE825" t="n">
        <v/>
      </c>
      <c r="AF825" t="n">
        <v>57.746755844</v>
      </c>
      <c r="AG825" t="n">
        <v/>
      </c>
      <c r="AH825" t="n">
        <v>58.126254043</v>
      </c>
      <c r="AI825" t="n">
        <v>70.710076067</v>
      </c>
      <c r="AJ825" t="n">
        <v>67.894611785</v>
      </c>
      <c r="AK825" t="n">
        <v/>
      </c>
      <c r="AL825" t="n">
        <v>60.661994299</v>
      </c>
      <c r="AM825" t="n">
        <v>39.097206658</v>
      </c>
      <c r="AN825" t="n">
        <v>90.29824951400001</v>
      </c>
      <c r="AO825" t="n">
        <v/>
      </c>
      <c r="AP825" t="n">
        <v/>
      </c>
      <c r="AQ825" t="n">
        <v/>
      </c>
      <c r="AR825" t="n">
        <v>67.747804621</v>
      </c>
      <c r="AS825" t="n">
        <v>27.997666861</v>
      </c>
      <c r="AT825" t="n">
        <v>58.322129805</v>
      </c>
      <c r="AU825" t="n">
        <v/>
      </c>
    </row>
    <row r="826">
      <c r="A826" s="106" t="n">
        <v>32021</v>
      </c>
      <c r="B826" t="n">
        <v>41.603416092</v>
      </c>
      <c r="C826" t="n">
        <v>56.856285988</v>
      </c>
      <c r="D826" t="n">
        <v>73.92422283800001</v>
      </c>
      <c r="E826" t="n">
        <v>67.723313635</v>
      </c>
      <c r="F826" t="n">
        <v/>
      </c>
      <c r="G826" t="n">
        <v/>
      </c>
      <c r="H826" t="n">
        <v/>
      </c>
      <c r="I826" t="n">
        <v>41.603416092</v>
      </c>
      <c r="J826" t="n">
        <v/>
      </c>
      <c r="K826" t="n">
        <v>63.024114595</v>
      </c>
      <c r="L826" t="n">
        <v>80.337151142</v>
      </c>
      <c r="M826" t="n">
        <v>71.332260069</v>
      </c>
      <c r="N826" t="n">
        <v>93.949675666</v>
      </c>
      <c r="O826" t="n">
        <v/>
      </c>
      <c r="P826" t="n">
        <v/>
      </c>
      <c r="Q826" t="n">
        <v>63.283235285</v>
      </c>
      <c r="R826" t="n">
        <v>83.97197266400001</v>
      </c>
      <c r="S826" t="n">
        <v>69.39148096</v>
      </c>
      <c r="T826" t="n">
        <v>77.679518925</v>
      </c>
      <c r="U826" t="n">
        <v/>
      </c>
      <c r="V826" t="n">
        <v>121.454287004</v>
      </c>
      <c r="W826" t="n">
        <v>47.261067065</v>
      </c>
      <c r="X826" t="n">
        <v/>
      </c>
      <c r="Y826" t="n">
        <v/>
      </c>
      <c r="Z826" t="n">
        <v>11.200035409</v>
      </c>
      <c r="AA826" t="n">
        <v/>
      </c>
      <c r="AB826" t="n">
        <v/>
      </c>
      <c r="AC826" t="n">
        <v>100.451436808</v>
      </c>
      <c r="AD826" t="n">
        <v>88.503675407</v>
      </c>
      <c r="AE826" t="n">
        <v/>
      </c>
      <c r="AF826" t="n">
        <v>63.479510209</v>
      </c>
      <c r="AG826" t="n">
        <v/>
      </c>
      <c r="AH826" t="n">
        <v>59.138402746</v>
      </c>
      <c r="AI826" t="n">
        <v>69.295874545</v>
      </c>
      <c r="AJ826" t="n">
        <v>75.985113028</v>
      </c>
      <c r="AK826" t="n">
        <v/>
      </c>
      <c r="AL826" t="n">
        <v>60.982155828</v>
      </c>
      <c r="AM826" t="n">
        <v>38.178282436</v>
      </c>
      <c r="AN826" t="n">
        <v>92.949914675</v>
      </c>
      <c r="AO826" t="n">
        <v/>
      </c>
      <c r="AP826" t="n">
        <v/>
      </c>
      <c r="AQ826" t="n">
        <v/>
      </c>
      <c r="AR826" t="n">
        <v>67.115721627</v>
      </c>
      <c r="AS826" t="n">
        <v>26.997750187</v>
      </c>
      <c r="AT826" t="n">
        <v>58.542261583</v>
      </c>
      <c r="AU826" t="n">
        <v/>
      </c>
    </row>
    <row r="827">
      <c r="A827" s="106" t="n">
        <v>32051</v>
      </c>
      <c r="B827" t="n">
        <v>42.498754643</v>
      </c>
      <c r="C827" t="n">
        <v>57.641723918</v>
      </c>
      <c r="D827" t="n">
        <v>74.427107303</v>
      </c>
      <c r="E827" t="n">
        <v>68.414550066</v>
      </c>
      <c r="F827" t="n">
        <v/>
      </c>
      <c r="G827" t="n">
        <v/>
      </c>
      <c r="H827" t="n">
        <v/>
      </c>
      <c r="I827" t="n">
        <v>42.498754643</v>
      </c>
      <c r="J827" t="n">
        <v/>
      </c>
      <c r="K827" t="n">
        <v>64.01175987800001</v>
      </c>
      <c r="L827" t="n">
        <v>68.036205235</v>
      </c>
      <c r="M827" t="n">
        <v>71.856131654</v>
      </c>
      <c r="N827" t="n">
        <v>93.505629476</v>
      </c>
      <c r="O827" t="n">
        <v/>
      </c>
      <c r="P827" t="n">
        <v/>
      </c>
      <c r="Q827" t="n">
        <v>62.870005204</v>
      </c>
      <c r="R827" t="n">
        <v>84.522608551</v>
      </c>
      <c r="S827" t="n">
        <v>70.353347606</v>
      </c>
      <c r="T827" t="n">
        <v>77.891758047</v>
      </c>
      <c r="U827" t="n">
        <v/>
      </c>
      <c r="V827" t="n">
        <v>120.15390381</v>
      </c>
      <c r="W827" t="n">
        <v>47.753369847</v>
      </c>
      <c r="X827" t="n">
        <v/>
      </c>
      <c r="Y827" t="n">
        <v/>
      </c>
      <c r="Z827" t="n">
        <v>11.200035409</v>
      </c>
      <c r="AA827" t="n">
        <v/>
      </c>
      <c r="AB827" t="n">
        <v/>
      </c>
      <c r="AC827" t="n">
        <v>103.048301214</v>
      </c>
      <c r="AD827" t="n">
        <v>89.93386787999999</v>
      </c>
      <c r="AE827" t="n">
        <v/>
      </c>
      <c r="AF827" t="n">
        <v>65.562139802</v>
      </c>
      <c r="AG827" t="n">
        <v/>
      </c>
      <c r="AH827" t="n">
        <v>58.921513738</v>
      </c>
      <c r="AI827" t="n">
        <v>71.41717682700001</v>
      </c>
      <c r="AJ827" t="n">
        <v>76.313106322</v>
      </c>
      <c r="AK827" t="n">
        <v/>
      </c>
      <c r="AL827" t="n">
        <v>61.700041344</v>
      </c>
      <c r="AM827" t="n">
        <v>38.398295646</v>
      </c>
      <c r="AN827" t="n">
        <v>92.11094797299999</v>
      </c>
      <c r="AO827" t="n">
        <v/>
      </c>
      <c r="AP827" t="n">
        <v/>
      </c>
      <c r="AQ827" t="n">
        <v/>
      </c>
      <c r="AR827" t="n">
        <v>67.28810789800001</v>
      </c>
      <c r="AS827" t="n">
        <v>27.997666861</v>
      </c>
      <c r="AT827" t="n">
        <v>59.330472171</v>
      </c>
      <c r="AU827" t="n">
        <v/>
      </c>
    </row>
    <row r="828">
      <c r="A828" s="106" t="n">
        <v>32082</v>
      </c>
      <c r="B828" t="n">
        <v>42.827710797</v>
      </c>
      <c r="C828" t="n">
        <v>56.924810789</v>
      </c>
      <c r="D828" t="n">
        <v>76.804982094</v>
      </c>
      <c r="E828" t="n">
        <v>68.973272103</v>
      </c>
      <c r="F828" t="n">
        <v/>
      </c>
      <c r="G828" t="n">
        <v/>
      </c>
      <c r="H828" t="n">
        <v/>
      </c>
      <c r="I828" t="n">
        <v>42.827710797</v>
      </c>
      <c r="J828" t="n">
        <v/>
      </c>
      <c r="K828" t="n">
        <v>64.382126859</v>
      </c>
      <c r="L828" t="n">
        <v>69.669074161</v>
      </c>
      <c r="M828" t="n">
        <v>72.141879792</v>
      </c>
      <c r="N828" t="n">
        <v>94.038372829</v>
      </c>
      <c r="O828" t="n">
        <v/>
      </c>
      <c r="P828" t="n">
        <v/>
      </c>
      <c r="Q828" t="n">
        <v>62.456775122</v>
      </c>
      <c r="R828" t="n">
        <v>84.522608551</v>
      </c>
      <c r="S828" t="n">
        <v>70.618459239</v>
      </c>
      <c r="T828" t="n">
        <v>78.10399717</v>
      </c>
      <c r="U828" t="n">
        <v/>
      </c>
      <c r="V828" t="n">
        <v>121.060481035</v>
      </c>
      <c r="W828" t="n">
        <v>47.305821864</v>
      </c>
      <c r="X828" t="n">
        <v/>
      </c>
      <c r="Y828" t="n">
        <v/>
      </c>
      <c r="Z828" t="n">
        <v>11.402445688</v>
      </c>
      <c r="AA828" t="n">
        <v/>
      </c>
      <c r="AB828" t="n">
        <v/>
      </c>
      <c r="AC828" t="n">
        <v>102.576144049</v>
      </c>
      <c r="AD828" t="n">
        <v>90.270383757</v>
      </c>
      <c r="AE828" t="n">
        <v/>
      </c>
      <c r="AF828" t="n">
        <v>60.115994623</v>
      </c>
      <c r="AG828" t="n">
        <v/>
      </c>
      <c r="AH828" t="n">
        <v>59.06610641</v>
      </c>
      <c r="AI828" t="n">
        <v>72.831378349</v>
      </c>
      <c r="AJ828" t="n">
        <v>75.65711973400001</v>
      </c>
      <c r="AK828" t="n">
        <v/>
      </c>
      <c r="AL828" t="n">
        <v>61.998629512</v>
      </c>
      <c r="AM828" t="n">
        <v>38.78121695</v>
      </c>
      <c r="AN828" t="n">
        <v>92.763793221</v>
      </c>
      <c r="AO828" t="n">
        <v/>
      </c>
      <c r="AP828" t="n">
        <v/>
      </c>
      <c r="AQ828" t="n">
        <v/>
      </c>
      <c r="AR828" t="n">
        <v>68.15003925400001</v>
      </c>
      <c r="AS828" t="n">
        <v>29.197566869</v>
      </c>
      <c r="AT828" t="n">
        <v>59.630624826</v>
      </c>
      <c r="AU828" t="n">
        <v/>
      </c>
    </row>
    <row r="829">
      <c r="A829" s="106" t="n">
        <v>32112</v>
      </c>
      <c r="B829" t="n">
        <v>42.63714949</v>
      </c>
      <c r="C829" t="n">
        <v>57.21676478</v>
      </c>
      <c r="D829" t="n">
        <v>74.451047528</v>
      </c>
      <c r="E829" t="n">
        <v>69.662158987</v>
      </c>
      <c r="F829" t="n">
        <v/>
      </c>
      <c r="G829" t="n">
        <v/>
      </c>
      <c r="H829" t="n">
        <v/>
      </c>
      <c r="I829" t="n">
        <v>42.63714949</v>
      </c>
      <c r="J829" t="n">
        <v/>
      </c>
      <c r="K829" t="n">
        <v>64.44385468900001</v>
      </c>
      <c r="L829" t="n">
        <v>72.28166444199999</v>
      </c>
      <c r="M829" t="n">
        <v>71.960905971</v>
      </c>
      <c r="N829" t="n">
        <v>93.259781781</v>
      </c>
      <c r="O829" t="n">
        <v/>
      </c>
      <c r="P829" t="n">
        <v/>
      </c>
      <c r="Q829" t="n">
        <v>63.755498235</v>
      </c>
      <c r="R829" t="n">
        <v>85.715652971</v>
      </c>
      <c r="S829" t="n">
        <v>70.97505764</v>
      </c>
      <c r="T829" t="n">
        <v>78.422355854</v>
      </c>
      <c r="U829" t="n">
        <v/>
      </c>
      <c r="V829" t="n">
        <v>124.029966652</v>
      </c>
      <c r="W829" t="n">
        <v>47.350576662</v>
      </c>
      <c r="X829" t="n">
        <v/>
      </c>
      <c r="Y829" t="n">
        <v/>
      </c>
      <c r="Z829" t="n">
        <v>10.75023479</v>
      </c>
      <c r="AA829" t="n">
        <v/>
      </c>
      <c r="AB829" t="n">
        <v/>
      </c>
      <c r="AC829" t="n">
        <v>101.041633264</v>
      </c>
      <c r="AD829" t="n">
        <v>91.279931385</v>
      </c>
      <c r="AE829" t="n">
        <v/>
      </c>
      <c r="AF829" t="n">
        <v>66.53514574499999</v>
      </c>
      <c r="AG829" t="n">
        <v/>
      </c>
      <c r="AH829" t="n">
        <v>59.06610641</v>
      </c>
      <c r="AI829" t="n">
        <v>70.710076067</v>
      </c>
      <c r="AJ829" t="n">
        <v>75.87578193</v>
      </c>
      <c r="AK829" t="n">
        <v/>
      </c>
      <c r="AL829" t="n">
        <v>62.231136576</v>
      </c>
      <c r="AM829" t="n">
        <v>39.544829797</v>
      </c>
      <c r="AN829" t="n">
        <v>96.00463350699999</v>
      </c>
      <c r="AO829" t="n">
        <v/>
      </c>
      <c r="AP829" t="n">
        <v/>
      </c>
      <c r="AQ829" t="n">
        <v/>
      </c>
      <c r="AR829" t="n">
        <v>68.379887616</v>
      </c>
      <c r="AS829" t="n">
        <v>28.897591867</v>
      </c>
      <c r="AT829" t="n">
        <v>59.964987148</v>
      </c>
      <c r="AU829" t="n">
        <v/>
      </c>
    </row>
    <row r="830">
      <c r="A830" s="106" t="n">
        <v>32143</v>
      </c>
      <c r="B830" t="n">
        <v>43.262992305</v>
      </c>
      <c r="C830" t="n">
        <v>58.939271162</v>
      </c>
      <c r="D830" t="n">
        <v>74.611764677</v>
      </c>
      <c r="E830" t="n">
        <v>70.22276066000001</v>
      </c>
      <c r="F830" t="n">
        <v/>
      </c>
      <c r="G830" t="n">
        <v/>
      </c>
      <c r="H830" t="n">
        <v/>
      </c>
      <c r="I830" t="n">
        <v>43.262992305</v>
      </c>
      <c r="J830" t="n">
        <v/>
      </c>
      <c r="K830" t="n">
        <v>64.135215538</v>
      </c>
      <c r="L830" t="n">
        <v>83.058599351</v>
      </c>
      <c r="M830" t="n">
        <v>71.818031902</v>
      </c>
      <c r="N830" t="n">
        <v>91.68136244999999</v>
      </c>
      <c r="O830" t="n">
        <v/>
      </c>
      <c r="P830" t="n">
        <v/>
      </c>
      <c r="Q830" t="n">
        <v>64.936155609</v>
      </c>
      <c r="R830" t="n">
        <v>85.62388032299999</v>
      </c>
      <c r="S830" t="n">
        <v>71.28827093699999</v>
      </c>
      <c r="T830" t="n">
        <v>78.8468341</v>
      </c>
      <c r="U830" t="n">
        <v/>
      </c>
      <c r="V830" t="n">
        <v>126.142487809</v>
      </c>
      <c r="W830" t="n">
        <v>44.083476382</v>
      </c>
      <c r="X830" t="n">
        <v/>
      </c>
      <c r="Y830" t="n">
        <v/>
      </c>
      <c r="Z830" t="n">
        <v>11.739796152</v>
      </c>
      <c r="AA830" t="n">
        <v/>
      </c>
      <c r="AB830" t="n">
        <v/>
      </c>
      <c r="AC830" t="n">
        <v>105.999283494</v>
      </c>
      <c r="AD830" t="n">
        <v>91.57341271999999</v>
      </c>
      <c r="AE830" t="n">
        <v/>
      </c>
      <c r="AF830" t="n">
        <v>66.097957497</v>
      </c>
      <c r="AG830" t="n">
        <v/>
      </c>
      <c r="AH830" t="n">
        <v>58.415439387</v>
      </c>
      <c r="AI830" t="n">
        <v>68.588773785</v>
      </c>
      <c r="AJ830" t="n">
        <v>76.094444126</v>
      </c>
      <c r="AK830" t="n">
        <v/>
      </c>
      <c r="AL830" t="n">
        <v>62.47268733</v>
      </c>
      <c r="AM830" t="n">
        <v>39.831277914</v>
      </c>
      <c r="AN830" t="n">
        <v>96.317648504</v>
      </c>
      <c r="AO830" t="n">
        <v/>
      </c>
      <c r="AP830" t="n">
        <v/>
      </c>
      <c r="AQ830" t="n">
        <v/>
      </c>
      <c r="AR830" t="n">
        <v>65.564245185</v>
      </c>
      <c r="AS830" t="n">
        <v>29.597533539</v>
      </c>
      <c r="AT830" t="n">
        <v>59.950609172</v>
      </c>
      <c r="AU830" t="n">
        <v/>
      </c>
    </row>
    <row r="831">
      <c r="A831" s="106" t="n">
        <v>32174</v>
      </c>
      <c r="B831" t="n">
        <v>42.572428066</v>
      </c>
      <c r="C831" t="n">
        <v>58.11119868</v>
      </c>
      <c r="D831" t="n">
        <v>74.716353836</v>
      </c>
      <c r="E831" t="n">
        <v>70.432810072</v>
      </c>
      <c r="F831" t="n">
        <v/>
      </c>
      <c r="G831" t="n">
        <v/>
      </c>
      <c r="H831" t="n">
        <v/>
      </c>
      <c r="I831" t="n">
        <v>42.572428066</v>
      </c>
      <c r="J831" t="n">
        <v/>
      </c>
      <c r="K831" t="n">
        <v>64.62903817900001</v>
      </c>
      <c r="L831" t="n">
        <v>80.663724927</v>
      </c>
      <c r="M831" t="n">
        <v>72.532402246</v>
      </c>
      <c r="N831" t="n">
        <v>93.88866460200001</v>
      </c>
      <c r="O831" t="n">
        <v/>
      </c>
      <c r="P831" t="n">
        <v/>
      </c>
      <c r="Q831" t="n">
        <v>64.87712274099999</v>
      </c>
      <c r="R831" t="n">
        <v>86.908697391</v>
      </c>
      <c r="S831" t="n">
        <v>71.984764074</v>
      </c>
      <c r="T831" t="n">
        <v>79.165192784</v>
      </c>
      <c r="U831" t="n">
        <v/>
      </c>
      <c r="V831" t="n">
        <v>125.227677101</v>
      </c>
      <c r="W831" t="n">
        <v>47.082047872</v>
      </c>
      <c r="X831" t="n">
        <v/>
      </c>
      <c r="Y831" t="n">
        <v/>
      </c>
      <c r="Z831" t="n">
        <v>11.44742575</v>
      </c>
      <c r="AA831" t="n">
        <v/>
      </c>
      <c r="AB831" t="n">
        <v/>
      </c>
      <c r="AC831" t="n">
        <v>104.582812</v>
      </c>
      <c r="AD831" t="n">
        <v>94.51430858800001</v>
      </c>
      <c r="AE831" t="n">
        <v/>
      </c>
      <c r="AF831" t="n">
        <v>65.833765568</v>
      </c>
      <c r="AG831" t="n">
        <v/>
      </c>
      <c r="AH831" t="n">
        <v>58.053957707</v>
      </c>
      <c r="AI831" t="n">
        <v>69.295874545</v>
      </c>
      <c r="AJ831" t="n">
        <v>76.641099615</v>
      </c>
      <c r="AK831" t="n">
        <v/>
      </c>
      <c r="AL831" t="n">
        <v>62.954606963</v>
      </c>
      <c r="AM831" t="n">
        <v>40.948345008</v>
      </c>
      <c r="AN831" t="n">
        <v>96.063307657</v>
      </c>
      <c r="AO831" t="n">
        <v/>
      </c>
      <c r="AP831" t="n">
        <v/>
      </c>
      <c r="AQ831" t="n">
        <v/>
      </c>
      <c r="AR831" t="n">
        <v>64.415003376</v>
      </c>
      <c r="AS831" t="n">
        <v>29.397550204</v>
      </c>
      <c r="AT831" t="n">
        <v>60.252943312</v>
      </c>
      <c r="AU831" t="n">
        <v/>
      </c>
    </row>
    <row r="832">
      <c r="A832" s="106" t="n">
        <v>32203</v>
      </c>
      <c r="B832" t="n">
        <v>42.382344761</v>
      </c>
      <c r="C832" t="n">
        <v>58.041141732</v>
      </c>
      <c r="D832" t="n">
        <v>78.61853381</v>
      </c>
      <c r="E832" t="n">
        <v>71.022546116</v>
      </c>
      <c r="F832" t="n">
        <v/>
      </c>
      <c r="G832" t="n">
        <v/>
      </c>
      <c r="H832" t="n">
        <v/>
      </c>
      <c r="I832" t="n">
        <v>42.382344761</v>
      </c>
      <c r="J832" t="n">
        <v/>
      </c>
      <c r="K832" t="n">
        <v>64.320399028</v>
      </c>
      <c r="L832" t="n">
        <v>81.643446282</v>
      </c>
      <c r="M832" t="n">
        <v>73.46584616200001</v>
      </c>
      <c r="N832" t="n">
        <v>97.732297526</v>
      </c>
      <c r="O832" t="n">
        <v/>
      </c>
      <c r="P832" t="n">
        <v/>
      </c>
      <c r="Q832" t="n">
        <v>63.51936676</v>
      </c>
      <c r="R832" t="n">
        <v>87.00047003900001</v>
      </c>
      <c r="S832" t="n">
        <v>71.823378628</v>
      </c>
      <c r="T832" t="n">
        <v>79.165192784</v>
      </c>
      <c r="U832" t="n">
        <v/>
      </c>
      <c r="V832" t="n">
        <v>127.183438065</v>
      </c>
      <c r="W832" t="n">
        <v>46.813519082</v>
      </c>
      <c r="X832" t="n">
        <v/>
      </c>
      <c r="Y832" t="n">
        <v/>
      </c>
      <c r="Z832" t="n">
        <v>11.492405811</v>
      </c>
      <c r="AA832" t="n">
        <v/>
      </c>
      <c r="AB832" t="n">
        <v/>
      </c>
      <c r="AC832" t="n">
        <v>105.999283494</v>
      </c>
      <c r="AD832" t="n">
        <v>92.688924946</v>
      </c>
      <c r="AE832" t="n">
        <v/>
      </c>
      <c r="AF832" t="n">
        <v>65.84823181199999</v>
      </c>
      <c r="AG832" t="n">
        <v/>
      </c>
      <c r="AH832" t="n">
        <v>57.909365036</v>
      </c>
      <c r="AI832" t="n">
        <v>70.002975306</v>
      </c>
      <c r="AJ832" t="n">
        <v>76.094444126</v>
      </c>
      <c r="AK832" t="n">
        <v/>
      </c>
      <c r="AL832" t="n">
        <v>62.850241931</v>
      </c>
      <c r="AM832" t="n">
        <v>40.975458105</v>
      </c>
      <c r="AN832" t="n">
        <v>91.548688942</v>
      </c>
      <c r="AO832" t="n">
        <v/>
      </c>
      <c r="AP832" t="n">
        <v/>
      </c>
      <c r="AQ832" t="n">
        <v/>
      </c>
      <c r="AR832" t="n">
        <v>66.023941908</v>
      </c>
      <c r="AS832" t="n">
        <v>27.997666861</v>
      </c>
      <c r="AT832" t="n">
        <v>60.382345101</v>
      </c>
      <c r="AU832" t="n">
        <v/>
      </c>
    </row>
    <row r="833">
      <c r="A833" s="106" t="n">
        <v>32234</v>
      </c>
      <c r="B833" t="n">
        <v>43.655672262</v>
      </c>
      <c r="C833" t="n">
        <v>59.632709873</v>
      </c>
      <c r="D833" t="n">
        <v>75.31971589299999</v>
      </c>
      <c r="E833" t="n">
        <v>70.894730814</v>
      </c>
      <c r="F833" t="n">
        <v/>
      </c>
      <c r="G833" t="n">
        <v/>
      </c>
      <c r="H833" t="n">
        <v/>
      </c>
      <c r="I833" t="n">
        <v>43.655672262</v>
      </c>
      <c r="J833" t="n">
        <v/>
      </c>
      <c r="K833" t="n">
        <v>64.752493839</v>
      </c>
      <c r="L833" t="n">
        <v>78.921998073</v>
      </c>
      <c r="M833" t="n">
        <v>72.360953364</v>
      </c>
      <c r="N833" t="n">
        <v>93.594426885</v>
      </c>
      <c r="O833" t="n">
        <v/>
      </c>
      <c r="P833" t="n">
        <v/>
      </c>
      <c r="Q833" t="n">
        <v>65.526484297</v>
      </c>
      <c r="R833" t="n">
        <v>85.715652971</v>
      </c>
      <c r="S833" t="n">
        <v>72.29748839299999</v>
      </c>
      <c r="T833" t="n">
        <v>79.165192784</v>
      </c>
      <c r="U833" t="n">
        <v/>
      </c>
      <c r="V833" t="n">
        <v>123.354049244</v>
      </c>
      <c r="W833" t="n">
        <v>45.649894324</v>
      </c>
      <c r="X833" t="n">
        <v/>
      </c>
      <c r="Y833" t="n">
        <v/>
      </c>
      <c r="Z833" t="n">
        <v>11.627345997</v>
      </c>
      <c r="AA833" t="n">
        <v/>
      </c>
      <c r="AB833" t="n">
        <v/>
      </c>
      <c r="AC833" t="n">
        <v>105.291047747</v>
      </c>
      <c r="AD833" t="n">
        <v>94.919949398</v>
      </c>
      <c r="AE833" t="n">
        <v/>
      </c>
      <c r="AF833" t="n">
        <v>65.575259636</v>
      </c>
      <c r="AG833" t="n">
        <v/>
      </c>
      <c r="AH833" t="n">
        <v>57.909365036</v>
      </c>
      <c r="AI833" t="n">
        <v>68.588773785</v>
      </c>
      <c r="AJ833" t="n">
        <v>77.734410594</v>
      </c>
      <c r="AK833" t="n">
        <v/>
      </c>
      <c r="AL833" t="n">
        <v>63.167512793</v>
      </c>
      <c r="AM833" t="n">
        <v>40.083730334</v>
      </c>
      <c r="AN833" t="n">
        <v>95.095904234</v>
      </c>
      <c r="AO833" t="n">
        <v/>
      </c>
      <c r="AP833" t="n">
        <v/>
      </c>
      <c r="AQ833" t="n">
        <v/>
      </c>
      <c r="AR833" t="n">
        <v>67.690342531</v>
      </c>
      <c r="AS833" t="n">
        <v>28.497625198</v>
      </c>
      <c r="AT833" t="n">
        <v>60.732076985</v>
      </c>
      <c r="AU833" t="n">
        <v/>
      </c>
    </row>
    <row r="834">
      <c r="A834" s="106" t="n">
        <v>32264</v>
      </c>
      <c r="B834" t="n">
        <v>43.973324926</v>
      </c>
      <c r="C834" t="n">
        <v>59.587396173</v>
      </c>
      <c r="D834" t="n">
        <v>73.92769708599999</v>
      </c>
      <c r="E834" t="n">
        <v>71.40834156699999</v>
      </c>
      <c r="F834" t="n">
        <v/>
      </c>
      <c r="G834" t="n">
        <v/>
      </c>
      <c r="H834" t="n">
        <v/>
      </c>
      <c r="I834" t="n">
        <v>43.973324926</v>
      </c>
      <c r="J834" t="n">
        <v/>
      </c>
      <c r="K834" t="n">
        <v>64.752493839</v>
      </c>
      <c r="L834" t="n">
        <v>79.90171942800001</v>
      </c>
      <c r="M834" t="n">
        <v>73.484896038</v>
      </c>
      <c r="N834" t="n">
        <v>95.17971511099999</v>
      </c>
      <c r="O834" t="n">
        <v/>
      </c>
      <c r="P834" t="n">
        <v/>
      </c>
      <c r="Q834" t="n">
        <v>64.818089872</v>
      </c>
      <c r="R834" t="n">
        <v>86.816924744</v>
      </c>
      <c r="S834" t="n">
        <v>72.210202225</v>
      </c>
      <c r="T834" t="n">
        <v>79.483551468</v>
      </c>
      <c r="U834" t="n">
        <v/>
      </c>
      <c r="V834" t="n">
        <v>124.887062566</v>
      </c>
      <c r="W834" t="n">
        <v>46.007932711</v>
      </c>
      <c r="X834" t="n">
        <v/>
      </c>
      <c r="Y834" t="n">
        <v/>
      </c>
      <c r="Z834" t="n">
        <v>11.649836028</v>
      </c>
      <c r="AA834" t="n">
        <v/>
      </c>
      <c r="AB834" t="n">
        <v/>
      </c>
      <c r="AC834" t="n">
        <v>105.763204912</v>
      </c>
      <c r="AD834" t="n">
        <v>93.905847374</v>
      </c>
      <c r="AE834" t="n">
        <v/>
      </c>
      <c r="AF834" t="n">
        <v>67.923050194</v>
      </c>
      <c r="AG834" t="n">
        <v/>
      </c>
      <c r="AH834" t="n">
        <v>57.764772364</v>
      </c>
      <c r="AI834" t="n">
        <v>70.710076067</v>
      </c>
      <c r="AJ834" t="n">
        <v>75.001133147</v>
      </c>
      <c r="AK834" t="n">
        <v/>
      </c>
      <c r="AL834" t="n">
        <v>63.154024243</v>
      </c>
      <c r="AM834" t="n">
        <v>42.106075859</v>
      </c>
      <c r="AN834" t="n">
        <v>97.595975909</v>
      </c>
      <c r="AO834" t="n">
        <v/>
      </c>
      <c r="AP834" t="n">
        <v/>
      </c>
      <c r="AQ834" t="n">
        <v/>
      </c>
      <c r="AR834" t="n">
        <v>68.035115074</v>
      </c>
      <c r="AS834" t="n">
        <v>28.197650196</v>
      </c>
      <c r="AT834" t="n">
        <v>60.620821194</v>
      </c>
      <c r="AU834" t="n">
        <v/>
      </c>
    </row>
    <row r="835">
      <c r="A835" s="106" t="n">
        <v>32295</v>
      </c>
      <c r="B835" t="n">
        <v>43.325013428</v>
      </c>
      <c r="C835" t="n">
        <v>59.333596055</v>
      </c>
      <c r="D835" t="n">
        <v>76.08838036100001</v>
      </c>
      <c r="E835" t="n">
        <v>71.021136388</v>
      </c>
      <c r="F835" t="n">
        <v/>
      </c>
      <c r="G835" t="n">
        <v/>
      </c>
      <c r="H835" t="n">
        <v/>
      </c>
      <c r="I835" t="n">
        <v>43.325013428</v>
      </c>
      <c r="J835" t="n">
        <v/>
      </c>
      <c r="K835" t="n">
        <v>65.92532261300001</v>
      </c>
      <c r="L835" t="n">
        <v>80.55486699799999</v>
      </c>
      <c r="M835" t="n">
        <v>73.53252072799999</v>
      </c>
      <c r="N835" t="n">
        <v>94.619180402</v>
      </c>
      <c r="O835" t="n">
        <v/>
      </c>
      <c r="P835" t="n">
        <v/>
      </c>
      <c r="Q835" t="n">
        <v>65.762615772</v>
      </c>
      <c r="R835" t="n">
        <v>87.36756063</v>
      </c>
      <c r="S835" t="n">
        <v>72.621252336</v>
      </c>
      <c r="T835" t="n">
        <v>80.12026883599999</v>
      </c>
      <c r="U835" t="n">
        <v/>
      </c>
      <c r="V835" t="n">
        <v>127.019955424</v>
      </c>
      <c r="W835" t="n">
        <v>46.634499888</v>
      </c>
      <c r="X835" t="n">
        <v/>
      </c>
      <c r="Y835" t="n">
        <v/>
      </c>
      <c r="Z835" t="n">
        <v>12.122126678</v>
      </c>
      <c r="AA835" t="n">
        <v/>
      </c>
      <c r="AB835" t="n">
        <v/>
      </c>
      <c r="AC835" t="n">
        <v>106.825558532</v>
      </c>
      <c r="AD835" t="n">
        <v>94.210077981</v>
      </c>
      <c r="AE835" t="n">
        <v/>
      </c>
      <c r="AF835" t="n">
        <v>68.40678185100001</v>
      </c>
      <c r="AG835" t="n">
        <v/>
      </c>
      <c r="AH835" t="n">
        <v>58.632328394</v>
      </c>
      <c r="AI835" t="n">
        <v>72.124277588</v>
      </c>
      <c r="AJ835" t="n">
        <v>73.579828875</v>
      </c>
      <c r="AK835" t="n">
        <v/>
      </c>
      <c r="AL835" t="n">
        <v>63.428012533</v>
      </c>
      <c r="AM835" t="n">
        <v>41.508252309</v>
      </c>
      <c r="AN835" t="n">
        <v>94.836375148</v>
      </c>
      <c r="AO835" t="n">
        <v/>
      </c>
      <c r="AP835" t="n">
        <v/>
      </c>
      <c r="AQ835" t="n">
        <v/>
      </c>
      <c r="AR835" t="n">
        <v>67.747804621</v>
      </c>
      <c r="AS835" t="n">
        <v>26.89775852</v>
      </c>
      <c r="AT835" t="n">
        <v>60.783639383</v>
      </c>
      <c r="AU835" t="n">
        <v/>
      </c>
    </row>
    <row r="836">
      <c r="A836" s="106" t="n">
        <v>32325</v>
      </c>
      <c r="B836" t="n">
        <v>45.102102347</v>
      </c>
      <c r="C836" t="n">
        <v>60.513337149</v>
      </c>
      <c r="D836" t="n">
        <v>73.576263424</v>
      </c>
      <c r="E836" t="n">
        <v>70.607616294</v>
      </c>
      <c r="F836" t="n">
        <v/>
      </c>
      <c r="G836" t="n">
        <v/>
      </c>
      <c r="H836" t="n">
        <v/>
      </c>
      <c r="I836" t="n">
        <v>45.102102347</v>
      </c>
      <c r="J836" t="n">
        <v/>
      </c>
      <c r="K836" t="n">
        <v>64.382126859</v>
      </c>
      <c r="L836" t="n">
        <v>75.11197058</v>
      </c>
      <c r="M836" t="n">
        <v>72.95149951499999</v>
      </c>
      <c r="N836" t="n">
        <v>96.090431138</v>
      </c>
      <c r="O836" t="n">
        <v/>
      </c>
      <c r="P836" t="n">
        <v/>
      </c>
      <c r="Q836" t="n">
        <v>64.700024134</v>
      </c>
      <c r="R836" t="n">
        <v>86.725152096</v>
      </c>
      <c r="S836" t="n">
        <v>72.454593038</v>
      </c>
      <c r="T836" t="n">
        <v>80.863105766</v>
      </c>
      <c r="U836" t="n">
        <v/>
      </c>
      <c r="V836" t="n">
        <v>125.235615742</v>
      </c>
      <c r="W836" t="n">
        <v>45.381365534</v>
      </c>
      <c r="X836" t="n">
        <v/>
      </c>
      <c r="Y836" t="n">
        <v/>
      </c>
      <c r="Z836" t="n">
        <v>11.987186492</v>
      </c>
      <c r="AA836" t="n">
        <v/>
      </c>
      <c r="AB836" t="n">
        <v/>
      </c>
      <c r="AC836" t="n">
        <v>106.58947995</v>
      </c>
      <c r="AD836" t="n">
        <v>94.61571879100001</v>
      </c>
      <c r="AE836" t="n">
        <v/>
      </c>
      <c r="AF836" t="n">
        <v>65.431690335</v>
      </c>
      <c r="AG836" t="n">
        <v/>
      </c>
      <c r="AH836" t="n">
        <v>56.897216333</v>
      </c>
      <c r="AI836" t="n">
        <v>73.53847910899999</v>
      </c>
      <c r="AJ836" t="n">
        <v>74.01715326599999</v>
      </c>
      <c r="AK836" t="n">
        <v/>
      </c>
      <c r="AL836" t="n">
        <v>63.354232647</v>
      </c>
      <c r="AM836" t="n">
        <v>40.279607026</v>
      </c>
      <c r="AN836" t="n">
        <v>96.350410588</v>
      </c>
      <c r="AO836" t="n">
        <v/>
      </c>
      <c r="AP836" t="n">
        <v/>
      </c>
      <c r="AQ836" t="n">
        <v/>
      </c>
      <c r="AR836" t="n">
        <v>66.71348699399999</v>
      </c>
      <c r="AS836" t="n">
        <v>28.697608533</v>
      </c>
      <c r="AT836" t="n">
        <v>60.795042606</v>
      </c>
      <c r="AU836" t="n">
        <v/>
      </c>
    </row>
    <row r="837">
      <c r="A837" s="106" t="n">
        <v>32356</v>
      </c>
      <c r="B837" t="n">
        <v>43.939989309</v>
      </c>
      <c r="C837" t="n">
        <v>60.628519854</v>
      </c>
      <c r="D837" t="n">
        <v>74.146132888</v>
      </c>
      <c r="E837" t="n">
        <v>70.64238957400001</v>
      </c>
      <c r="F837" t="n">
        <v/>
      </c>
      <c r="G837" t="n">
        <v/>
      </c>
      <c r="H837" t="n">
        <v/>
      </c>
      <c r="I837" t="n">
        <v>43.939989309</v>
      </c>
      <c r="J837" t="n">
        <v/>
      </c>
      <c r="K837" t="n">
        <v>67.036423555</v>
      </c>
      <c r="L837" t="n">
        <v>77.39798707600001</v>
      </c>
      <c r="M837" t="n">
        <v>75.40893349700001</v>
      </c>
      <c r="N837" t="n">
        <v>95.509982448</v>
      </c>
      <c r="O837" t="n">
        <v/>
      </c>
      <c r="P837" t="n">
        <v/>
      </c>
      <c r="Q837" t="n">
        <v>64.640991266</v>
      </c>
      <c r="R837" t="n">
        <v>86.725152096</v>
      </c>
      <c r="S837" t="n">
        <v>73.047326208</v>
      </c>
      <c r="T837" t="n">
        <v>81.499823134</v>
      </c>
      <c r="U837" t="n">
        <v/>
      </c>
      <c r="V837" t="n">
        <v>128.769649453</v>
      </c>
      <c r="W837" t="n">
        <v>46.813519082</v>
      </c>
      <c r="X837" t="n">
        <v/>
      </c>
      <c r="Y837" t="n">
        <v/>
      </c>
      <c r="Z837" t="n">
        <v>11.94220643</v>
      </c>
      <c r="AA837" t="n">
        <v/>
      </c>
      <c r="AB837" t="n">
        <v/>
      </c>
      <c r="AC837" t="n">
        <v>105.173008456</v>
      </c>
      <c r="AD837" t="n">
        <v>95.12276980199999</v>
      </c>
      <c r="AE837" t="n">
        <v/>
      </c>
      <c r="AF837" t="n">
        <v>73.66039075899999</v>
      </c>
      <c r="AG837" t="n">
        <v/>
      </c>
      <c r="AH837" t="n">
        <v>59.210699081</v>
      </c>
      <c r="AI837" t="n">
        <v>72.124277588</v>
      </c>
      <c r="AJ837" t="n">
        <v>74.673139853</v>
      </c>
      <c r="AK837" t="n">
        <v/>
      </c>
      <c r="AL837" t="n">
        <v>63.806898154</v>
      </c>
      <c r="AM837" t="n">
        <v>40.857223525</v>
      </c>
      <c r="AN837" t="n">
        <v>95.887596577</v>
      </c>
      <c r="AO837" t="n">
        <v/>
      </c>
      <c r="AP837" t="n">
        <v/>
      </c>
      <c r="AQ837" t="n">
        <v/>
      </c>
      <c r="AR837" t="n">
        <v>65.10454846099999</v>
      </c>
      <c r="AS837" t="n">
        <v>27.497708524</v>
      </c>
      <c r="AT837" t="n">
        <v>61.104813631</v>
      </c>
      <c r="AU837" t="n">
        <v/>
      </c>
    </row>
    <row r="838">
      <c r="A838" s="106" t="n">
        <v>32387</v>
      </c>
      <c r="B838" t="n">
        <v>44.575469117</v>
      </c>
      <c r="C838" t="n">
        <v>60.755326939</v>
      </c>
      <c r="D838" t="n">
        <v>72.96148981</v>
      </c>
      <c r="E838" t="n">
        <v>71.111358954</v>
      </c>
      <c r="F838" t="n">
        <v/>
      </c>
      <c r="G838" t="n">
        <v/>
      </c>
      <c r="H838" t="n">
        <v/>
      </c>
      <c r="I838" t="n">
        <v>44.575469117</v>
      </c>
      <c r="J838" t="n">
        <v/>
      </c>
      <c r="K838" t="n">
        <v>66.233961763</v>
      </c>
      <c r="L838" t="n">
        <v>78.159992574</v>
      </c>
      <c r="M838" t="n">
        <v>74.66598834</v>
      </c>
      <c r="N838" t="n">
        <v>95.259934421</v>
      </c>
      <c r="O838" t="n">
        <v/>
      </c>
      <c r="P838" t="n">
        <v/>
      </c>
      <c r="Q838" t="n">
        <v>66.352944459</v>
      </c>
      <c r="R838" t="n">
        <v>88.46883240299999</v>
      </c>
      <c r="S838" t="n">
        <v>73.340836705</v>
      </c>
      <c r="T838" t="n">
        <v>81.712062257</v>
      </c>
      <c r="U838" t="n">
        <v/>
      </c>
      <c r="V838" t="n">
        <v>126.093332166</v>
      </c>
      <c r="W838" t="n">
        <v>46.142197106</v>
      </c>
      <c r="X838" t="n">
        <v/>
      </c>
      <c r="Y838" t="n">
        <v/>
      </c>
      <c r="Z838" t="n">
        <v>12.189596771</v>
      </c>
      <c r="AA838" t="n">
        <v/>
      </c>
      <c r="AB838" t="n">
        <v/>
      </c>
      <c r="AC838" t="n">
        <v>108.005951444</v>
      </c>
      <c r="AD838" t="n">
        <v>96.64392283700001</v>
      </c>
      <c r="AE838" t="n">
        <v/>
      </c>
      <c r="AF838" t="n">
        <v>65.532097171</v>
      </c>
      <c r="AG838" t="n">
        <v/>
      </c>
      <c r="AH838" t="n">
        <v>58.849217402</v>
      </c>
      <c r="AI838" t="n">
        <v>74.24557987</v>
      </c>
      <c r="AJ838" t="n">
        <v>79.593039258</v>
      </c>
      <c r="AK838" t="n">
        <v/>
      </c>
      <c r="AL838" t="n">
        <v>64.00652334599999</v>
      </c>
      <c r="AM838" t="n">
        <v>40.014178175</v>
      </c>
      <c r="AN838" t="n">
        <v>94.339516205</v>
      </c>
      <c r="AO838" t="n">
        <v/>
      </c>
      <c r="AP838" t="n">
        <v/>
      </c>
      <c r="AQ838" t="n">
        <v/>
      </c>
      <c r="AR838" t="n">
        <v>66.311252361</v>
      </c>
      <c r="AS838" t="n">
        <v>26.497791851</v>
      </c>
      <c r="AT838" t="n">
        <v>60.908579041</v>
      </c>
      <c r="AU838" t="n">
        <v/>
      </c>
    </row>
    <row r="839">
      <c r="A839" s="106" t="n">
        <v>32417</v>
      </c>
      <c r="B839" t="n">
        <v>45.154268199</v>
      </c>
      <c r="C839" t="n">
        <v>60.294698</v>
      </c>
      <c r="D839" t="n">
        <v>69.929969871</v>
      </c>
      <c r="E839" t="n">
        <v>70.476981537</v>
      </c>
      <c r="F839" t="n">
        <v/>
      </c>
      <c r="G839" t="n">
        <v/>
      </c>
      <c r="H839" t="n">
        <v/>
      </c>
      <c r="I839" t="n">
        <v>45.154268199</v>
      </c>
      <c r="J839" t="n">
        <v/>
      </c>
      <c r="K839" t="n">
        <v>66.480873084</v>
      </c>
      <c r="L839" t="n">
        <v>87.195200629</v>
      </c>
      <c r="M839" t="n">
        <v>74.170691568</v>
      </c>
      <c r="N839" t="n">
        <v>95.958793357</v>
      </c>
      <c r="O839" t="n">
        <v/>
      </c>
      <c r="P839" t="n">
        <v/>
      </c>
      <c r="Q839" t="n">
        <v>66.88424027799999</v>
      </c>
      <c r="R839" t="n">
        <v>86.449834153</v>
      </c>
      <c r="S839" t="n">
        <v>73.14398084699999</v>
      </c>
      <c r="T839" t="n">
        <v>81.712062257</v>
      </c>
      <c r="U839" t="n">
        <v/>
      </c>
      <c r="V839" t="n">
        <v>124.760009781</v>
      </c>
      <c r="W839" t="n">
        <v>46.097442308</v>
      </c>
      <c r="X839" t="n">
        <v/>
      </c>
      <c r="Y839" t="n">
        <v/>
      </c>
      <c r="Z839" t="n">
        <v>12.841807668</v>
      </c>
      <c r="AA839" t="n">
        <v/>
      </c>
      <c r="AB839" t="n">
        <v/>
      </c>
      <c r="AC839" t="n">
        <v>107.415754988</v>
      </c>
      <c r="AD839" t="n">
        <v>95.325590207</v>
      </c>
      <c r="AE839" t="n">
        <v/>
      </c>
      <c r="AF839" t="n">
        <v>68.544266478</v>
      </c>
      <c r="AG839" t="n">
        <v/>
      </c>
      <c r="AH839" t="n">
        <v>59.861366104</v>
      </c>
      <c r="AI839" t="n">
        <v>74.24557987</v>
      </c>
      <c r="AJ839" t="n">
        <v>78.171734986</v>
      </c>
      <c r="AK839" t="n">
        <v/>
      </c>
      <c r="AL839" t="n">
        <v>64.06747823800001</v>
      </c>
      <c r="AM839" t="n">
        <v>39.602952557</v>
      </c>
      <c r="AN839" t="n">
        <v>97.56381896400001</v>
      </c>
      <c r="AO839" t="n">
        <v/>
      </c>
      <c r="AP839" t="n">
        <v/>
      </c>
      <c r="AQ839" t="n">
        <v/>
      </c>
      <c r="AR839" t="n">
        <v>68.609735978</v>
      </c>
      <c r="AS839" t="n">
        <v>27.797683526</v>
      </c>
      <c r="AT839" t="n">
        <v>61.174819503</v>
      </c>
      <c r="AU839" t="n">
        <v/>
      </c>
    </row>
    <row r="840">
      <c r="A840" s="106" t="n">
        <v>32448</v>
      </c>
      <c r="B840" t="n">
        <v>45.236893756</v>
      </c>
      <c r="C840" t="n">
        <v>61.250681012</v>
      </c>
      <c r="D840" t="n">
        <v>69.736803077</v>
      </c>
      <c r="E840" t="n">
        <v>70.016000613</v>
      </c>
      <c r="F840" t="n">
        <v/>
      </c>
      <c r="G840" t="n">
        <v/>
      </c>
      <c r="H840" t="n">
        <v/>
      </c>
      <c r="I840" t="n">
        <v>45.236893756</v>
      </c>
      <c r="J840" t="n">
        <v/>
      </c>
      <c r="K840" t="n">
        <v>66.789512235</v>
      </c>
      <c r="L840" t="n">
        <v>86.542053059</v>
      </c>
      <c r="M840" t="n">
        <v>74.866012036</v>
      </c>
      <c r="N840" t="n">
        <v>97.77807812899999</v>
      </c>
      <c r="O840" t="n">
        <v/>
      </c>
      <c r="P840" t="n">
        <v/>
      </c>
      <c r="Q840" t="n">
        <v>67.297470359</v>
      </c>
      <c r="R840" t="n">
        <v>88.744150346</v>
      </c>
      <c r="S840" t="n">
        <v>73.770735934</v>
      </c>
      <c r="T840" t="n">
        <v>81.712062257</v>
      </c>
      <c r="U840" t="n">
        <v/>
      </c>
      <c r="V840" t="n">
        <v>125.485033979</v>
      </c>
      <c r="W840" t="n">
        <v>46.276461501</v>
      </c>
      <c r="X840" t="n">
        <v/>
      </c>
      <c r="Y840" t="n">
        <v/>
      </c>
      <c r="Z840" t="n">
        <v>12.257066863</v>
      </c>
      <c r="AA840" t="n">
        <v/>
      </c>
      <c r="AB840" t="n">
        <v/>
      </c>
      <c r="AC840" t="n">
        <v>109.304383647</v>
      </c>
      <c r="AD840" t="n">
        <v>97.35379425399999</v>
      </c>
      <c r="AE840" t="n">
        <v/>
      </c>
      <c r="AF840" t="n">
        <v>71.80160045300001</v>
      </c>
      <c r="AG840" t="n">
        <v/>
      </c>
      <c r="AH840" t="n">
        <v>61.451885494</v>
      </c>
      <c r="AI840" t="n">
        <v>73.53847910899999</v>
      </c>
      <c r="AJ840" t="n">
        <v>79.48370816000001</v>
      </c>
      <c r="AK840" t="n">
        <v/>
      </c>
      <c r="AL840" t="n">
        <v>64.578661869</v>
      </c>
      <c r="AM840" t="n">
        <v>40.420075828</v>
      </c>
      <c r="AN840" t="n">
        <v>97.095384654</v>
      </c>
      <c r="AO840" t="n">
        <v/>
      </c>
      <c r="AP840" t="n">
        <v/>
      </c>
      <c r="AQ840" t="n">
        <v/>
      </c>
      <c r="AR840" t="n">
        <v>68.264963435</v>
      </c>
      <c r="AS840" t="n">
        <v>26.597783518</v>
      </c>
      <c r="AT840" t="n">
        <v>61.328911747</v>
      </c>
      <c r="AU840" t="n">
        <v/>
      </c>
    </row>
    <row r="841">
      <c r="A841" s="106" t="n">
        <v>32478</v>
      </c>
      <c r="B841" t="n">
        <v>43.287191577</v>
      </c>
      <c r="C841" t="n">
        <v>60.494321755</v>
      </c>
      <c r="D841" t="n">
        <v>73.898451675</v>
      </c>
      <c r="E841" t="n">
        <v>70.974145468</v>
      </c>
      <c r="F841" t="n">
        <v/>
      </c>
      <c r="G841" t="n">
        <v/>
      </c>
      <c r="H841" t="n">
        <v/>
      </c>
      <c r="I841" t="n">
        <v>43.287191577</v>
      </c>
      <c r="J841" t="n">
        <v/>
      </c>
      <c r="K841" t="n">
        <v>68.270980159</v>
      </c>
      <c r="L841" t="n">
        <v>88.828069555</v>
      </c>
      <c r="M841" t="n">
        <v>75.885180393</v>
      </c>
      <c r="N841" t="n">
        <v>97.352520414</v>
      </c>
      <c r="O841" t="n">
        <v/>
      </c>
      <c r="P841" t="n">
        <v/>
      </c>
      <c r="Q841" t="n">
        <v>66.825207409</v>
      </c>
      <c r="R841" t="n">
        <v>89.84542211900001</v>
      </c>
      <c r="S841" t="n">
        <v>74.441732042</v>
      </c>
      <c r="T841" t="n">
        <v>81.712062257</v>
      </c>
      <c r="U841" t="n">
        <v/>
      </c>
      <c r="V841" t="n">
        <v>125.181249979</v>
      </c>
      <c r="W841" t="n">
        <v>46.768764283</v>
      </c>
      <c r="X841" t="n">
        <v/>
      </c>
      <c r="Y841" t="n">
        <v/>
      </c>
      <c r="Z841" t="n">
        <v>12.66188742</v>
      </c>
      <c r="AA841" t="n">
        <v/>
      </c>
      <c r="AB841" t="n">
        <v/>
      </c>
      <c r="AC841" t="n">
        <v>111.54713018</v>
      </c>
      <c r="AD841" t="n">
        <v>98.06366567000001</v>
      </c>
      <c r="AE841" t="n">
        <v/>
      </c>
      <c r="AF841" t="n">
        <v>74.321920619</v>
      </c>
      <c r="AG841" t="n">
        <v/>
      </c>
      <c r="AH841" t="n">
        <v>61.451885494</v>
      </c>
      <c r="AI841" t="n">
        <v>71.41717682700001</v>
      </c>
      <c r="AJ841" t="n">
        <v>79.811701454</v>
      </c>
      <c r="AK841" t="n">
        <v/>
      </c>
      <c r="AL841" t="n">
        <v>65.073652219</v>
      </c>
      <c r="AM841" t="n">
        <v>39.360303738</v>
      </c>
      <c r="AN841" t="n">
        <v>97.75745101</v>
      </c>
      <c r="AO841" t="n">
        <v/>
      </c>
      <c r="AP841" t="n">
        <v/>
      </c>
      <c r="AQ841" t="n">
        <v/>
      </c>
      <c r="AR841" t="n">
        <v>68.035115074</v>
      </c>
      <c r="AS841" t="n">
        <v>27.997666861</v>
      </c>
      <c r="AT841" t="n">
        <v>61.594358941</v>
      </c>
      <c r="AU841" t="n">
        <v/>
      </c>
    </row>
    <row r="842">
      <c r="A842" s="106" t="n">
        <v>32509</v>
      </c>
      <c r="B842" t="n">
        <v>45.41804202</v>
      </c>
      <c r="C842" t="n">
        <v>61.578294495</v>
      </c>
      <c r="D842" t="n">
        <v>73.183472268</v>
      </c>
      <c r="E842" t="n">
        <v>70.73825105100001</v>
      </c>
      <c r="F842" t="n">
        <v/>
      </c>
      <c r="G842" t="n">
        <v/>
      </c>
      <c r="H842" t="n">
        <v/>
      </c>
      <c r="I842" t="n">
        <v>45.41804202</v>
      </c>
      <c r="J842" t="n">
        <v/>
      </c>
      <c r="K842" t="n">
        <v>67.283334876</v>
      </c>
      <c r="L842" t="n">
        <v>83.929462778</v>
      </c>
      <c r="M842" t="n">
        <v>76.047104338</v>
      </c>
      <c r="N842" t="n">
        <v>98.937603135</v>
      </c>
      <c r="O842" t="n">
        <v/>
      </c>
      <c r="P842" t="n">
        <v/>
      </c>
      <c r="Q842" t="n">
        <v>66.47101019599999</v>
      </c>
      <c r="R842" t="n">
        <v>89.38655888</v>
      </c>
      <c r="S842" t="n">
        <v>74.401589968</v>
      </c>
      <c r="T842" t="n">
        <v>81.712062257</v>
      </c>
      <c r="U842" t="n">
        <v/>
      </c>
      <c r="V842" t="n">
        <v>127.817964187</v>
      </c>
      <c r="W842" t="n">
        <v>45.157591543</v>
      </c>
      <c r="X842" t="n">
        <v/>
      </c>
      <c r="Y842" t="n">
        <v/>
      </c>
      <c r="Z842" t="n">
        <v>13.044217946</v>
      </c>
      <c r="AA842" t="n">
        <v/>
      </c>
      <c r="AB842" t="n">
        <v/>
      </c>
      <c r="AC842" t="n">
        <v>110.012619395</v>
      </c>
      <c r="AD842" t="n">
        <v>98.874947289</v>
      </c>
      <c r="AE842" t="n">
        <v>18.982935645</v>
      </c>
      <c r="AF842" t="n">
        <v>74.053265295</v>
      </c>
      <c r="AG842" t="n">
        <v/>
      </c>
      <c r="AH842" t="n">
        <v>62.174848852</v>
      </c>
      <c r="AI842" t="n">
        <v>72.548538044</v>
      </c>
      <c r="AJ842" t="n">
        <v>80.795681335</v>
      </c>
      <c r="AK842" t="n">
        <v/>
      </c>
      <c r="AL842" t="n">
        <v>65.150700497</v>
      </c>
      <c r="AM842" t="n">
        <v>44.703483633</v>
      </c>
      <c r="AN842" t="n">
        <v>98.310821713</v>
      </c>
      <c r="AO842" t="n">
        <v/>
      </c>
      <c r="AP842" t="n">
        <v>47.265867585</v>
      </c>
      <c r="AQ842" t="n">
        <v/>
      </c>
      <c r="AR842" t="n">
        <v>70.505984962</v>
      </c>
      <c r="AS842" t="n">
        <v>26.997750187</v>
      </c>
      <c r="AT842" t="n">
        <v>61.785933084</v>
      </c>
      <c r="AU842" t="n">
        <v/>
      </c>
    </row>
    <row r="843">
      <c r="A843" s="106" t="n">
        <v>32540</v>
      </c>
      <c r="B843" t="n">
        <v>44.972590531</v>
      </c>
      <c r="C843" t="n">
        <v>61.479399984</v>
      </c>
      <c r="D843" t="n">
        <v>69.95920222399999</v>
      </c>
      <c r="E843" t="n">
        <v>71.46520058</v>
      </c>
      <c r="F843" t="n">
        <v/>
      </c>
      <c r="G843" t="n">
        <v/>
      </c>
      <c r="H843" t="n">
        <v/>
      </c>
      <c r="I843" t="n">
        <v>44.972590531</v>
      </c>
      <c r="J843" t="n">
        <v/>
      </c>
      <c r="K843" t="n">
        <v>67.036423555</v>
      </c>
      <c r="L843" t="n">
        <v>81.208014569</v>
      </c>
      <c r="M843" t="n">
        <v>75.85660557999999</v>
      </c>
      <c r="N843" t="n">
        <v>98.935673388</v>
      </c>
      <c r="O843" t="n">
        <v/>
      </c>
      <c r="P843" t="n">
        <v/>
      </c>
      <c r="Q843" t="n">
        <v>66.057780115</v>
      </c>
      <c r="R843" t="n">
        <v>89.203013584</v>
      </c>
      <c r="S843" t="n">
        <v>74.18206816</v>
      </c>
      <c r="T843" t="n">
        <v>81.818181818</v>
      </c>
      <c r="U843" t="n">
        <v/>
      </c>
      <c r="V843" t="n">
        <v>126.699775832</v>
      </c>
      <c r="W843" t="n">
        <v>44.933817551</v>
      </c>
      <c r="X843" t="n">
        <v/>
      </c>
      <c r="Y843" t="n">
        <v/>
      </c>
      <c r="Z843" t="n">
        <v>12.729357513</v>
      </c>
      <c r="AA843" t="n">
        <v/>
      </c>
      <c r="AB843" t="n">
        <v/>
      </c>
      <c r="AC843" t="n">
        <v>110.248697977</v>
      </c>
      <c r="AD843" t="n">
        <v>98.266486075</v>
      </c>
      <c r="AE843" t="n">
        <v>18.898190397</v>
      </c>
      <c r="AF843" t="n">
        <v>71.998446171</v>
      </c>
      <c r="AG843" t="n">
        <v/>
      </c>
      <c r="AH843" t="n">
        <v>62.174848852</v>
      </c>
      <c r="AI843" t="n">
        <v>72.124277588</v>
      </c>
      <c r="AJ843" t="n">
        <v>80.24902584500001</v>
      </c>
      <c r="AK843" t="n">
        <v/>
      </c>
      <c r="AL843" t="n">
        <v>65.036142551</v>
      </c>
      <c r="AM843" t="n">
        <v>41.323032453</v>
      </c>
      <c r="AN843" t="n">
        <v>97.062506884</v>
      </c>
      <c r="AO843" t="n">
        <v/>
      </c>
      <c r="AP843" t="n">
        <v>48.365018278</v>
      </c>
      <c r="AQ843" t="n">
        <v/>
      </c>
      <c r="AR843" t="n">
        <v>69.988826148</v>
      </c>
      <c r="AS843" t="n">
        <v>28.497625198</v>
      </c>
      <c r="AT843" t="n">
        <v>61.513247322</v>
      </c>
      <c r="AU843" t="n">
        <v/>
      </c>
    </row>
    <row r="844">
      <c r="A844" s="106" t="n">
        <v>32568</v>
      </c>
      <c r="B844" t="n">
        <v>44.894850168</v>
      </c>
      <c r="C844" t="n">
        <v>60.472110114</v>
      </c>
      <c r="D844" t="n">
        <v>72.482738172</v>
      </c>
      <c r="E844" t="n">
        <v>71.06201848800001</v>
      </c>
      <c r="F844" t="n">
        <v/>
      </c>
      <c r="G844" t="n">
        <v/>
      </c>
      <c r="H844" t="n">
        <v/>
      </c>
      <c r="I844" t="n">
        <v>44.894850168</v>
      </c>
      <c r="J844" t="n">
        <v/>
      </c>
      <c r="K844" t="n">
        <v>67.530246197</v>
      </c>
      <c r="L844" t="n">
        <v>80.663724927</v>
      </c>
      <c r="M844" t="n">
        <v>75.828030766</v>
      </c>
      <c r="N844" t="n">
        <v>101.695692019</v>
      </c>
      <c r="O844" t="n">
        <v/>
      </c>
      <c r="P844" t="n">
        <v/>
      </c>
      <c r="Q844" t="n">
        <v>66.41197732800001</v>
      </c>
      <c r="R844" t="n">
        <v>89.29478623200001</v>
      </c>
      <c r="S844" t="n">
        <v>74.778253259</v>
      </c>
      <c r="T844" t="n">
        <v>81.818181818</v>
      </c>
      <c r="U844" t="n">
        <v/>
      </c>
      <c r="V844" t="n">
        <v>127.898774162</v>
      </c>
      <c r="W844" t="n">
        <v>45.112836744</v>
      </c>
      <c r="X844" t="n">
        <v/>
      </c>
      <c r="Y844" t="n">
        <v/>
      </c>
      <c r="Z844" t="n">
        <v>12.999237885</v>
      </c>
      <c r="AA844" t="n">
        <v/>
      </c>
      <c r="AB844" t="n">
        <v/>
      </c>
      <c r="AC844" t="n">
        <v>108.714187191</v>
      </c>
      <c r="AD844" t="n">
        <v>101.815843157</v>
      </c>
      <c r="AE844" t="n">
        <v>19.067680894</v>
      </c>
      <c r="AF844" t="n">
        <v>73.11743359499999</v>
      </c>
      <c r="AG844" t="n">
        <v/>
      </c>
      <c r="AH844" t="n">
        <v>61.813367173</v>
      </c>
      <c r="AI844" t="n">
        <v>71.91214736000001</v>
      </c>
      <c r="AJ844" t="n">
        <v>83.31029658600001</v>
      </c>
      <c r="AK844" t="n">
        <v/>
      </c>
      <c r="AL844" t="n">
        <v>65.50526947900001</v>
      </c>
      <c r="AM844" t="n">
        <v>40.559203467</v>
      </c>
      <c r="AN844" t="n">
        <v>101.31225828</v>
      </c>
      <c r="AO844" t="n">
        <v/>
      </c>
      <c r="AP844" t="n">
        <v>44.57332895</v>
      </c>
      <c r="AQ844" t="n">
        <v/>
      </c>
      <c r="AR844" t="n">
        <v>69.931364058</v>
      </c>
      <c r="AS844" t="n">
        <v>28.197650196</v>
      </c>
      <c r="AT844" t="n">
        <v>61.671603381</v>
      </c>
      <c r="AU844" t="n">
        <v/>
      </c>
    </row>
    <row r="845">
      <c r="A845" s="106" t="n">
        <v>32599</v>
      </c>
      <c r="B845" t="n">
        <v>47.374675067</v>
      </c>
      <c r="C845" t="n">
        <v>61.644695803</v>
      </c>
      <c r="D845" t="n">
        <v>74.604955784</v>
      </c>
      <c r="E845" t="n">
        <v>71.489635859</v>
      </c>
      <c r="F845" t="n">
        <v/>
      </c>
      <c r="G845" t="n">
        <v/>
      </c>
      <c r="H845" t="n">
        <v/>
      </c>
      <c r="I845" t="n">
        <v>47.374675067</v>
      </c>
      <c r="J845" t="n">
        <v/>
      </c>
      <c r="K845" t="n">
        <v>69.567264592</v>
      </c>
      <c r="L845" t="n">
        <v>81.97002006699999</v>
      </c>
      <c r="M845" t="n">
        <v>77.45679515</v>
      </c>
      <c r="N845" t="n">
        <v>99.358988588</v>
      </c>
      <c r="O845" t="n">
        <v/>
      </c>
      <c r="P845" t="n">
        <v/>
      </c>
      <c r="Q845" t="n">
        <v>64.28679405299999</v>
      </c>
      <c r="R845" t="n">
        <v>90.946693891</v>
      </c>
      <c r="S845" t="n">
        <v>74.95707634599999</v>
      </c>
      <c r="T845" t="n">
        <v>81.818181818</v>
      </c>
      <c r="U845" t="n">
        <v/>
      </c>
      <c r="V845" t="n">
        <v>130.680155041</v>
      </c>
      <c r="W845" t="n">
        <v>44.486269567</v>
      </c>
      <c r="X845" t="n">
        <v/>
      </c>
      <c r="Y845" t="n">
        <v/>
      </c>
      <c r="Z845" t="n">
        <v>12.954257823</v>
      </c>
      <c r="AA845" t="n">
        <v/>
      </c>
      <c r="AB845" t="n">
        <v/>
      </c>
      <c r="AC845" t="n">
        <v>109.54046223</v>
      </c>
      <c r="AD845" t="n">
        <v>100.19327992</v>
      </c>
      <c r="AE845" t="n">
        <v>18.071924225</v>
      </c>
      <c r="AF845" t="n">
        <v>76.000027553</v>
      </c>
      <c r="AG845" t="n">
        <v/>
      </c>
      <c r="AH845" t="n">
        <v>62.319441524</v>
      </c>
      <c r="AI845" t="n">
        <v>77.92250382500001</v>
      </c>
      <c r="AJ845" t="n">
        <v>83.856952076</v>
      </c>
      <c r="AK845" t="n">
        <v/>
      </c>
      <c r="AL845" t="n">
        <v>65.55717596</v>
      </c>
      <c r="AM845" t="n">
        <v>42.458374362</v>
      </c>
      <c r="AN845" t="n">
        <v>100.525064801</v>
      </c>
      <c r="AO845" t="n">
        <v/>
      </c>
      <c r="AP845" t="n">
        <v>46.903465633</v>
      </c>
      <c r="AQ845" t="n">
        <v/>
      </c>
      <c r="AR845" t="n">
        <v>69.931364058</v>
      </c>
      <c r="AS845" t="n">
        <v>26.697775185</v>
      </c>
      <c r="AT845" t="n">
        <v>61.652069164</v>
      </c>
      <c r="AU845" t="n">
        <v/>
      </c>
    </row>
    <row r="846">
      <c r="A846" s="106" t="n">
        <v>32629</v>
      </c>
      <c r="B846" t="n">
        <v>45.798778117</v>
      </c>
      <c r="C846" t="n">
        <v>61.345196445</v>
      </c>
      <c r="D846" t="n">
        <v>76.530485244</v>
      </c>
      <c r="E846" t="n">
        <v>70.80356842899999</v>
      </c>
      <c r="F846" t="n">
        <v/>
      </c>
      <c r="G846" t="n">
        <v/>
      </c>
      <c r="H846" t="n">
        <v/>
      </c>
      <c r="I846" t="n">
        <v>45.798778117</v>
      </c>
      <c r="J846" t="n">
        <v/>
      </c>
      <c r="K846" t="n">
        <v>66.233961763</v>
      </c>
      <c r="L846" t="n">
        <v>82.078877996</v>
      </c>
      <c r="M846" t="n">
        <v>75.151760174</v>
      </c>
      <c r="N846" t="n">
        <v>99.663088562</v>
      </c>
      <c r="O846" t="n">
        <v/>
      </c>
      <c r="P846" t="n">
        <v/>
      </c>
      <c r="Q846" t="n">
        <v>65.526484297</v>
      </c>
      <c r="R846" t="n">
        <v>89.937194766</v>
      </c>
      <c r="S846" t="n">
        <v>74.194197336</v>
      </c>
      <c r="T846" t="n">
        <v>81.818181818</v>
      </c>
      <c r="U846" t="n">
        <v/>
      </c>
      <c r="V846" t="n">
        <v>128.210085858</v>
      </c>
      <c r="W846" t="n">
        <v>45.739403921</v>
      </c>
      <c r="X846" t="n">
        <v/>
      </c>
      <c r="Y846" t="n">
        <v/>
      </c>
      <c r="Z846" t="n">
        <v>13.494018565</v>
      </c>
      <c r="AA846" t="n">
        <v/>
      </c>
      <c r="AB846" t="n">
        <v/>
      </c>
      <c r="AC846" t="n">
        <v>108.5961479</v>
      </c>
      <c r="AD846" t="n">
        <v>100.294690122</v>
      </c>
      <c r="AE846" t="n">
        <v>19.300730327</v>
      </c>
      <c r="AF846" t="n">
        <v>74.44964990299999</v>
      </c>
      <c r="AG846" t="n">
        <v/>
      </c>
      <c r="AH846" t="n">
        <v>62.39173786</v>
      </c>
      <c r="AI846" t="n">
        <v>75.023390707</v>
      </c>
      <c r="AJ846" t="n">
        <v>83.31029658600001</v>
      </c>
      <c r="AK846" t="n">
        <v/>
      </c>
      <c r="AL846" t="n">
        <v>65.144872971</v>
      </c>
      <c r="AM846" t="n">
        <v>39.95717441</v>
      </c>
      <c r="AN846" t="n">
        <v>102.225693225</v>
      </c>
      <c r="AO846" t="n">
        <v/>
      </c>
      <c r="AP846" t="n">
        <v>46.997573766</v>
      </c>
      <c r="AQ846" t="n">
        <v/>
      </c>
      <c r="AR846" t="n">
        <v>67.977652983</v>
      </c>
      <c r="AS846" t="n">
        <v>27.997666861</v>
      </c>
      <c r="AT846" t="n">
        <v>61.311757334</v>
      </c>
      <c r="AU846" t="n">
        <v/>
      </c>
    </row>
    <row r="847">
      <c r="A847" s="106" t="n">
        <v>32660</v>
      </c>
      <c r="B847" t="n">
        <v>45.55108106</v>
      </c>
      <c r="C847" t="n">
        <v>60.868358342</v>
      </c>
      <c r="D847" t="n">
        <v>79.261980212</v>
      </c>
      <c r="E847" t="n">
        <v>70.265522397</v>
      </c>
      <c r="F847" t="n">
        <v/>
      </c>
      <c r="G847" t="n">
        <v/>
      </c>
      <c r="H847" t="n">
        <v/>
      </c>
      <c r="I847" t="n">
        <v>45.55108106</v>
      </c>
      <c r="J847" t="n">
        <v/>
      </c>
      <c r="K847" t="n">
        <v>68.88825846</v>
      </c>
      <c r="L847" t="n">
        <v>82.623167638</v>
      </c>
      <c r="M847" t="n">
        <v>77.552044529</v>
      </c>
      <c r="N847" t="n">
        <v>100.518626872</v>
      </c>
      <c r="O847" t="n">
        <v/>
      </c>
      <c r="P847" t="n">
        <v/>
      </c>
      <c r="Q847" t="n">
        <v>66.41197732800001</v>
      </c>
      <c r="R847" t="n">
        <v>91.130239187</v>
      </c>
      <c r="S847" t="n">
        <v>74.932639658</v>
      </c>
      <c r="T847" t="n">
        <v>81.818181818</v>
      </c>
      <c r="U847" t="n">
        <v/>
      </c>
      <c r="V847" t="n">
        <v>126.813403369</v>
      </c>
      <c r="W847" t="n">
        <v>45.157591543</v>
      </c>
      <c r="X847" t="n">
        <v/>
      </c>
      <c r="Y847" t="n">
        <v/>
      </c>
      <c r="Z847" t="n">
        <v>13.35907838</v>
      </c>
      <c r="AA847" t="n">
        <v/>
      </c>
      <c r="AB847" t="n">
        <v/>
      </c>
      <c r="AC847" t="n">
        <v>111.311051598</v>
      </c>
      <c r="AD847" t="n">
        <v>101.51161255</v>
      </c>
      <c r="AE847" t="n">
        <v>19.576152384</v>
      </c>
      <c r="AF847" t="n">
        <v>72.19218798999999</v>
      </c>
      <c r="AG847" t="n">
        <v/>
      </c>
      <c r="AH847" t="n">
        <v>63.548479234</v>
      </c>
      <c r="AI847" t="n">
        <v>74.45771009800001</v>
      </c>
      <c r="AJ847" t="n">
        <v>84.622269761</v>
      </c>
      <c r="AK847" t="n">
        <v/>
      </c>
      <c r="AL847" t="n">
        <v>65.817884654</v>
      </c>
      <c r="AM847" t="n">
        <v>41.092294295</v>
      </c>
      <c r="AN847" t="n">
        <v>102.937909297</v>
      </c>
      <c r="AO847" t="n">
        <v/>
      </c>
      <c r="AP847" t="n">
        <v>52.461718271</v>
      </c>
      <c r="AQ847" t="n">
        <v/>
      </c>
      <c r="AR847" t="n">
        <v>68.95450852099999</v>
      </c>
      <c r="AS847" t="n">
        <v>28.997583535</v>
      </c>
      <c r="AT847" t="n">
        <v>61.30432045</v>
      </c>
      <c r="AU847" t="n">
        <v/>
      </c>
    </row>
    <row r="848">
      <c r="A848" s="106" t="n">
        <v>32690</v>
      </c>
      <c r="B848" t="n">
        <v>47.108420694</v>
      </c>
      <c r="C848" t="n">
        <v>63.920832617</v>
      </c>
      <c r="D848" t="n">
        <v>78.398473201</v>
      </c>
      <c r="E848" t="n">
        <v>69.70351099600001</v>
      </c>
      <c r="F848" t="n">
        <v/>
      </c>
      <c r="G848" t="n">
        <v/>
      </c>
      <c r="H848" t="n">
        <v/>
      </c>
      <c r="I848" t="n">
        <v>47.108420694</v>
      </c>
      <c r="J848" t="n">
        <v/>
      </c>
      <c r="K848" t="n">
        <v>69.25862544100001</v>
      </c>
      <c r="L848" t="n">
        <v>79.030856001</v>
      </c>
      <c r="M848" t="n">
        <v>76.87577393700001</v>
      </c>
      <c r="N848" t="n">
        <v>101.49884585</v>
      </c>
      <c r="O848" t="n">
        <v/>
      </c>
      <c r="P848" t="n">
        <v/>
      </c>
      <c r="Q848" t="n">
        <v>77.333058044</v>
      </c>
      <c r="R848" t="n">
        <v>90.120740062</v>
      </c>
      <c r="S848" t="n">
        <v>74.23500054100001</v>
      </c>
      <c r="T848" t="n">
        <v>81.92430138</v>
      </c>
      <c r="U848" t="n">
        <v/>
      </c>
      <c r="V848" t="n">
        <v>128.436629358</v>
      </c>
      <c r="W848" t="n">
        <v>43.993966785</v>
      </c>
      <c r="X848" t="n">
        <v/>
      </c>
      <c r="Y848" t="n">
        <v/>
      </c>
      <c r="Z848" t="n">
        <v>14.820930391</v>
      </c>
      <c r="AA848" t="n">
        <v/>
      </c>
      <c r="AB848" t="n">
        <v/>
      </c>
      <c r="AC848" t="n">
        <v>110.012619395</v>
      </c>
      <c r="AD848" t="n">
        <v>99.381998301</v>
      </c>
      <c r="AE848" t="n">
        <v>19.703270257</v>
      </c>
      <c r="AF848" t="n">
        <v>71.907754977</v>
      </c>
      <c r="AG848" t="n">
        <v/>
      </c>
      <c r="AH848" t="n">
        <v>63.114701219</v>
      </c>
      <c r="AI848" t="n">
        <v>75.023390707</v>
      </c>
      <c r="AJ848" t="n">
        <v>84.950263054</v>
      </c>
      <c r="AK848" t="n">
        <v/>
      </c>
      <c r="AL848" t="n">
        <v>65.485054322</v>
      </c>
      <c r="AM848" t="n">
        <v>37.90682</v>
      </c>
      <c r="AN848" t="n">
        <v>101.002330263</v>
      </c>
      <c r="AO848" t="n">
        <v/>
      </c>
      <c r="AP848" t="n">
        <v>42.214989905</v>
      </c>
      <c r="AQ848" t="n">
        <v/>
      </c>
      <c r="AR848" t="n">
        <v>67.23064580800001</v>
      </c>
      <c r="AS848" t="n">
        <v>29.697525206</v>
      </c>
      <c r="AT848" t="n">
        <v>60.713236877</v>
      </c>
      <c r="AU848" t="n">
        <v/>
      </c>
    </row>
    <row r="849">
      <c r="A849" s="106" t="n">
        <v>32721</v>
      </c>
      <c r="B849" t="n">
        <v>46.238872471</v>
      </c>
      <c r="C849" t="n">
        <v>62.507710852</v>
      </c>
      <c r="D849" t="n">
        <v>78.29704536200001</v>
      </c>
      <c r="E849" t="n">
        <v>69.823337842</v>
      </c>
      <c r="F849" t="n">
        <v/>
      </c>
      <c r="G849" t="n">
        <v/>
      </c>
      <c r="H849" t="n">
        <v/>
      </c>
      <c r="I849" t="n">
        <v>46.238872471</v>
      </c>
      <c r="J849" t="n">
        <v/>
      </c>
      <c r="K849" t="n">
        <v>69.07344195100001</v>
      </c>
      <c r="L849" t="n">
        <v>77.83341878900001</v>
      </c>
      <c r="M849" t="n">
        <v>79.17128397499999</v>
      </c>
      <c r="N849" t="n">
        <v>99.500462562</v>
      </c>
      <c r="O849" t="n">
        <v/>
      </c>
      <c r="P849" t="n">
        <v/>
      </c>
      <c r="Q849" t="n">
        <v>68.89135781500001</v>
      </c>
      <c r="R849" t="n">
        <v>90.120740062</v>
      </c>
      <c r="S849" t="n">
        <v>74.771557762</v>
      </c>
      <c r="T849" t="n">
        <v>82.24266006400001</v>
      </c>
      <c r="U849" t="n">
        <v/>
      </c>
      <c r="V849" t="n">
        <v>128.204447766</v>
      </c>
      <c r="W849" t="n">
        <v>44.217740777</v>
      </c>
      <c r="X849" t="n">
        <v/>
      </c>
      <c r="Y849" t="n">
        <v/>
      </c>
      <c r="Z849" t="n">
        <v>12.706867482</v>
      </c>
      <c r="AA849" t="n">
        <v/>
      </c>
      <c r="AB849" t="n">
        <v/>
      </c>
      <c r="AC849" t="n">
        <v>109.54046223</v>
      </c>
      <c r="AD849" t="n">
        <v>101.105971741</v>
      </c>
      <c r="AE849" t="n">
        <v>20.423604868</v>
      </c>
      <c r="AF849" t="n">
        <v>77.87281201499999</v>
      </c>
      <c r="AG849" t="n">
        <v/>
      </c>
      <c r="AH849" t="n">
        <v>63.62077557</v>
      </c>
      <c r="AI849" t="n">
        <v>75.447651163</v>
      </c>
      <c r="AJ849" t="n">
        <v>85.387587446</v>
      </c>
      <c r="AK849" t="n">
        <v/>
      </c>
      <c r="AL849" t="n">
        <v>65.795186136</v>
      </c>
      <c r="AM849" t="n">
        <v>36.783915878</v>
      </c>
      <c r="AN849" t="n">
        <v>103.705760568</v>
      </c>
      <c r="AO849" t="n">
        <v/>
      </c>
      <c r="AP849" t="n">
        <v>34.447395357</v>
      </c>
      <c r="AQ849" t="n">
        <v/>
      </c>
      <c r="AR849" t="n">
        <v>68.207501345</v>
      </c>
      <c r="AS849" t="n">
        <v>29.097575202</v>
      </c>
      <c r="AT849" t="n">
        <v>61.313046394</v>
      </c>
      <c r="AU849" t="n">
        <v/>
      </c>
    </row>
    <row r="850">
      <c r="A850" s="106" t="n">
        <v>32752</v>
      </c>
      <c r="B850" t="n">
        <v>46.844455835</v>
      </c>
      <c r="C850" t="n">
        <v>61.69984936</v>
      </c>
      <c r="D850" t="n">
        <v>77.097211622</v>
      </c>
      <c r="E850" t="n">
        <v>70.01177143</v>
      </c>
      <c r="F850" t="n">
        <v/>
      </c>
      <c r="G850" t="n">
        <v/>
      </c>
      <c r="H850" t="n">
        <v/>
      </c>
      <c r="I850" t="n">
        <v>46.844455835</v>
      </c>
      <c r="J850" t="n">
        <v/>
      </c>
      <c r="K850" t="n">
        <v>69.443808932</v>
      </c>
      <c r="L850" t="n">
        <v>80.663724927</v>
      </c>
      <c r="M850" t="n">
        <v>77.571094405</v>
      </c>
      <c r="N850" t="n">
        <v>101.377227714</v>
      </c>
      <c r="O850" t="n">
        <v/>
      </c>
      <c r="P850" t="n">
        <v/>
      </c>
      <c r="Q850" t="n">
        <v>66.707141671</v>
      </c>
      <c r="R850" t="n">
        <v>90.02896741399999</v>
      </c>
      <c r="S850" t="n">
        <v>74.829033819</v>
      </c>
      <c r="T850" t="n">
        <v>82.45489918600001</v>
      </c>
      <c r="U850" t="n">
        <v/>
      </c>
      <c r="V850" t="n">
        <v>127.190104629</v>
      </c>
      <c r="W850" t="n">
        <v>43.5911736</v>
      </c>
      <c r="X850" t="n">
        <v/>
      </c>
      <c r="Y850" t="n">
        <v/>
      </c>
      <c r="Z850" t="n">
        <v>13.089198008</v>
      </c>
      <c r="AA850" t="n">
        <v/>
      </c>
      <c r="AB850" t="n">
        <v/>
      </c>
      <c r="AC850" t="n">
        <v>112.137326636</v>
      </c>
      <c r="AD850" t="n">
        <v>100.801741134</v>
      </c>
      <c r="AE850" t="n">
        <v>19.93631969</v>
      </c>
      <c r="AF850" t="n">
        <v>72.13261446200001</v>
      </c>
      <c r="AG850" t="n">
        <v/>
      </c>
      <c r="AH850" t="n">
        <v>62.680923203</v>
      </c>
      <c r="AI850" t="n">
        <v>76.084041848</v>
      </c>
      <c r="AJ850" t="n">
        <v>85.71558073999999</v>
      </c>
      <c r="AK850" t="n">
        <v/>
      </c>
      <c r="AL850" t="n">
        <v>65.824436979</v>
      </c>
      <c r="AM850" t="n">
        <v>38.482823554</v>
      </c>
      <c r="AN850" t="n">
        <v>105.203894782</v>
      </c>
      <c r="AO850" t="n">
        <v/>
      </c>
      <c r="AP850" t="n">
        <v>43.510588348</v>
      </c>
      <c r="AQ850" t="n">
        <v/>
      </c>
      <c r="AR850" t="n">
        <v>68.83958434</v>
      </c>
      <c r="AS850" t="n">
        <v>29.497541872</v>
      </c>
      <c r="AT850" t="n">
        <v>61.103524571</v>
      </c>
      <c r="AU850" t="n">
        <v/>
      </c>
    </row>
    <row r="851">
      <c r="A851" s="106" t="n">
        <v>32782</v>
      </c>
      <c r="B851" t="n">
        <v>46.855430843</v>
      </c>
      <c r="C851" t="n">
        <v>61.416243721</v>
      </c>
      <c r="D851" t="n">
        <v>77.931287306</v>
      </c>
      <c r="E851" t="n">
        <v>69.165464965</v>
      </c>
      <c r="F851" t="n">
        <v/>
      </c>
      <c r="G851" t="n">
        <v/>
      </c>
      <c r="H851" t="n">
        <v/>
      </c>
      <c r="I851" t="n">
        <v>46.855430843</v>
      </c>
      <c r="J851" t="n">
        <v/>
      </c>
      <c r="K851" t="n">
        <v>69.628992422</v>
      </c>
      <c r="L851" t="n">
        <v>83.276315208</v>
      </c>
      <c r="M851" t="n">
        <v>78.14259068</v>
      </c>
      <c r="N851" t="n">
        <v>100.213203643</v>
      </c>
      <c r="O851" t="n">
        <v/>
      </c>
      <c r="P851" t="n">
        <v/>
      </c>
      <c r="Q851" t="n">
        <v>66.29391158999999</v>
      </c>
      <c r="R851" t="n">
        <v>90.85492124300001</v>
      </c>
      <c r="S851" t="n">
        <v>74.777876815</v>
      </c>
      <c r="T851" t="n">
        <v>82.773257871</v>
      </c>
      <c r="U851" t="n">
        <v/>
      </c>
      <c r="V851" t="n">
        <v>129.063948668</v>
      </c>
      <c r="W851" t="n">
        <v>43.188380415</v>
      </c>
      <c r="X851" t="n">
        <v/>
      </c>
      <c r="Y851" t="n">
        <v/>
      </c>
      <c r="Z851" t="n">
        <v>13.404058441</v>
      </c>
      <c r="AA851" t="n">
        <v/>
      </c>
      <c r="AB851" t="n">
        <v/>
      </c>
      <c r="AC851" t="n">
        <v>112.609483801</v>
      </c>
      <c r="AD851" t="n">
        <v>100.19327992</v>
      </c>
      <c r="AE851" t="n">
        <v>19.766829193</v>
      </c>
      <c r="AF851" t="n">
        <v>71.981420722</v>
      </c>
      <c r="AG851" t="n">
        <v/>
      </c>
      <c r="AH851" t="n">
        <v>62.680923203</v>
      </c>
      <c r="AI851" t="n">
        <v>76.437592228</v>
      </c>
      <c r="AJ851" t="n">
        <v>85.387587446</v>
      </c>
      <c r="AK851" t="n">
        <v/>
      </c>
      <c r="AL851" t="n">
        <v>65.712291932</v>
      </c>
      <c r="AM851" t="n">
        <v>37.149182694</v>
      </c>
      <c r="AN851" t="n">
        <v>105.601802377</v>
      </c>
      <c r="AO851" t="n">
        <v/>
      </c>
      <c r="AP851" t="n">
        <v>43.3735844</v>
      </c>
      <c r="AQ851" t="n">
        <v/>
      </c>
      <c r="AR851" t="n">
        <v>69.931364058</v>
      </c>
      <c r="AS851" t="n">
        <v>28.397633531</v>
      </c>
      <c r="AT851" t="n">
        <v>61.035700185</v>
      </c>
      <c r="AU851" t="n">
        <v/>
      </c>
    </row>
    <row r="852">
      <c r="A852" s="106" t="n">
        <v>32813</v>
      </c>
      <c r="B852" t="n">
        <v>47.700476343</v>
      </c>
      <c r="C852" t="n">
        <v>62.649135719</v>
      </c>
      <c r="D852" t="n">
        <v>77.161935422</v>
      </c>
      <c r="E852" t="n">
        <v>69.875497763</v>
      </c>
      <c r="F852" t="n">
        <v/>
      </c>
      <c r="G852" t="n">
        <v/>
      </c>
      <c r="H852" t="n">
        <v/>
      </c>
      <c r="I852" t="n">
        <v>47.700476343</v>
      </c>
      <c r="J852" t="n">
        <v/>
      </c>
      <c r="K852" t="n">
        <v>69.937631573</v>
      </c>
      <c r="L852" t="n">
        <v>82.94974142300001</v>
      </c>
      <c r="M852" t="n">
        <v>78.075916115</v>
      </c>
      <c r="N852" t="n">
        <v>100.511505355</v>
      </c>
      <c r="O852" t="n">
        <v/>
      </c>
      <c r="P852" t="n">
        <v/>
      </c>
      <c r="Q852" t="n">
        <v>66.352944459</v>
      </c>
      <c r="R852" t="n">
        <v>91.864420368</v>
      </c>
      <c r="S852" t="n">
        <v>75.10981477</v>
      </c>
      <c r="T852" t="n">
        <v>82.66713830899999</v>
      </c>
      <c r="U852" t="n">
        <v/>
      </c>
      <c r="V852" t="n">
        <v>128.368101494</v>
      </c>
      <c r="W852" t="n">
        <v>42.651322835</v>
      </c>
      <c r="X852" t="n">
        <v/>
      </c>
      <c r="Y852" t="n">
        <v/>
      </c>
      <c r="Z852" t="n">
        <v>13.876349091</v>
      </c>
      <c r="AA852" t="n">
        <v/>
      </c>
      <c r="AB852" t="n">
        <v/>
      </c>
      <c r="AC852" t="n">
        <v>112.727523092</v>
      </c>
      <c r="AD852" t="n">
        <v>100.903151336</v>
      </c>
      <c r="AE852" t="n">
        <v>20.063437563</v>
      </c>
      <c r="AF852" t="n">
        <v>73.385955895</v>
      </c>
      <c r="AG852" t="n">
        <v/>
      </c>
      <c r="AH852" t="n">
        <v>62.753219539</v>
      </c>
      <c r="AI852" t="n">
        <v>77.07398291299999</v>
      </c>
      <c r="AJ852" t="n">
        <v>84.731600859</v>
      </c>
      <c r="AK852" t="n">
        <v/>
      </c>
      <c r="AL852" t="n">
        <v>66.052652709</v>
      </c>
      <c r="AM852" t="n">
        <v>35.415685453</v>
      </c>
      <c r="AN852" t="n">
        <v>105.282000027</v>
      </c>
      <c r="AO852" t="n">
        <v/>
      </c>
      <c r="AP852" t="n">
        <v>58.610185903</v>
      </c>
      <c r="AQ852" t="n">
        <v/>
      </c>
      <c r="AR852" t="n">
        <v>69.931364058</v>
      </c>
      <c r="AS852" t="n">
        <v>29.097575202</v>
      </c>
      <c r="AT852" t="n">
        <v>61.237785124</v>
      </c>
      <c r="AU852" t="n">
        <v/>
      </c>
    </row>
    <row r="853">
      <c r="A853" s="106" t="n">
        <v>32843</v>
      </c>
      <c r="B853" t="n">
        <v>48.824585627</v>
      </c>
      <c r="C853" t="n">
        <v>62.935919834</v>
      </c>
      <c r="D853" t="n">
        <v>78.60641033500001</v>
      </c>
      <c r="E853" t="n">
        <v>70.643329393</v>
      </c>
      <c r="F853" t="n">
        <v/>
      </c>
      <c r="G853" t="n">
        <v/>
      </c>
      <c r="H853" t="n">
        <v/>
      </c>
      <c r="I853" t="n">
        <v>48.824585627</v>
      </c>
      <c r="J853" t="n">
        <v/>
      </c>
      <c r="K853" t="n">
        <v>71.110460346</v>
      </c>
      <c r="L853" t="n">
        <v>86.324337202</v>
      </c>
      <c r="M853" t="n">
        <v>78.790286458</v>
      </c>
      <c r="N853" t="n">
        <v>100.610207125</v>
      </c>
      <c r="O853" t="n">
        <v/>
      </c>
      <c r="P853" t="n">
        <v/>
      </c>
      <c r="Q853" t="n">
        <v>65.762615772</v>
      </c>
      <c r="R853" t="n">
        <v>92.13973831200001</v>
      </c>
      <c r="S853" t="n">
        <v>75.606405319</v>
      </c>
      <c r="T853" t="n">
        <v>82.24266006400001</v>
      </c>
      <c r="U853" t="n">
        <v/>
      </c>
      <c r="V853" t="n">
        <v>128.356868837</v>
      </c>
      <c r="W853" t="n">
        <v>39.294712958</v>
      </c>
      <c r="X853" t="n">
        <v/>
      </c>
      <c r="Y853" t="n">
        <v/>
      </c>
      <c r="Z853" t="n">
        <v>14.168719494</v>
      </c>
      <c r="AA853" t="n">
        <v/>
      </c>
      <c r="AB853" t="n">
        <v/>
      </c>
      <c r="AC853" t="n">
        <v>113.55379813</v>
      </c>
      <c r="AD853" t="n">
        <v>101.51161255</v>
      </c>
      <c r="AE853" t="n">
        <v>19.957506002</v>
      </c>
      <c r="AF853" t="n">
        <v>73.40935546199999</v>
      </c>
      <c r="AG853" t="n">
        <v/>
      </c>
      <c r="AH853" t="n">
        <v>62.825515875</v>
      </c>
      <c r="AI853" t="n">
        <v>79.407415423</v>
      </c>
      <c r="AJ853" t="n">
        <v>83.96628317299999</v>
      </c>
      <c r="AK853" t="n">
        <v/>
      </c>
      <c r="AL853" t="n">
        <v>66.481897546</v>
      </c>
      <c r="AM853" t="n">
        <v>38.124988292</v>
      </c>
      <c r="AN853" t="n">
        <v>105.254604569</v>
      </c>
      <c r="AO853" t="n">
        <v/>
      </c>
      <c r="AP853" t="n">
        <v>62.528307733</v>
      </c>
      <c r="AQ853" t="n">
        <v/>
      </c>
      <c r="AR853" t="n">
        <v>70.678371234</v>
      </c>
      <c r="AS853" t="n">
        <v>29.497541872</v>
      </c>
      <c r="AT853" t="n">
        <v>61.588409434</v>
      </c>
      <c r="AU853" t="n">
        <v/>
      </c>
    </row>
    <row r="854">
      <c r="A854" s="106" t="n">
        <v>32874</v>
      </c>
      <c r="B854" t="n">
        <v>48.276576924</v>
      </c>
      <c r="C854" t="n">
        <v>64.09998477800001</v>
      </c>
      <c r="D854" t="n">
        <v>76.81884081600001</v>
      </c>
      <c r="E854" t="n">
        <v>69.05503630299999</v>
      </c>
      <c r="F854" t="n">
        <v/>
      </c>
      <c r="G854" t="n">
        <v/>
      </c>
      <c r="H854" t="n">
        <v/>
      </c>
      <c r="I854" t="n">
        <v>48.276576924</v>
      </c>
      <c r="J854" t="n">
        <v>68.266799972</v>
      </c>
      <c r="K854" t="n">
        <v>70.98700468600001</v>
      </c>
      <c r="L854" t="n">
        <v>83.058599351</v>
      </c>
      <c r="M854" t="n">
        <v>78.8760109</v>
      </c>
      <c r="N854" t="n">
        <v>100.964231896</v>
      </c>
      <c r="O854" t="n">
        <v/>
      </c>
      <c r="P854" t="n">
        <v/>
      </c>
      <c r="Q854" t="n">
        <v>68.904860348</v>
      </c>
      <c r="R854" t="n">
        <v>91.17</v>
      </c>
      <c r="S854" t="n">
        <v>75.00170801199999</v>
      </c>
      <c r="T854" t="n">
        <v>81.712062257</v>
      </c>
      <c r="U854" t="n">
        <v/>
      </c>
      <c r="V854" t="n">
        <v>126.885839697</v>
      </c>
      <c r="W854" t="n">
        <v>42.203774851</v>
      </c>
      <c r="X854" t="n">
        <v/>
      </c>
      <c r="Y854" t="n">
        <v/>
      </c>
      <c r="Z854" t="n">
        <v>13.430665022</v>
      </c>
      <c r="AA854" t="n">
        <v/>
      </c>
      <c r="AB854" t="n">
        <v>39.012998564</v>
      </c>
      <c r="AC854" t="n">
        <v>110.190817432</v>
      </c>
      <c r="AD854" t="n">
        <v>100.903151336</v>
      </c>
      <c r="AE854" t="n">
        <v>19.769</v>
      </c>
      <c r="AF854" t="n">
        <v>71.47940133900001</v>
      </c>
      <c r="AG854" t="n">
        <v/>
      </c>
      <c r="AH854" t="n">
        <v>64.994405951</v>
      </c>
      <c r="AI854" t="n">
        <v>76.629110469</v>
      </c>
      <c r="AJ854" t="n">
        <v>84.07561427100001</v>
      </c>
      <c r="AK854" t="n">
        <v/>
      </c>
      <c r="AL854" t="n">
        <v>66.140584503</v>
      </c>
      <c r="AM854" t="n">
        <v>31.298747555</v>
      </c>
      <c r="AN854" t="n">
        <v>106.924487196</v>
      </c>
      <c r="AO854" t="n">
        <v/>
      </c>
      <c r="AP854" t="n">
        <v>43.167633917</v>
      </c>
      <c r="AQ854" t="n">
        <v/>
      </c>
      <c r="AR854" t="n">
        <v>69.729026717</v>
      </c>
      <c r="AS854" t="n">
        <v>29.897508541</v>
      </c>
      <c r="AT854" t="n">
        <v>61.258211766</v>
      </c>
      <c r="AU854" t="n">
        <v/>
      </c>
    </row>
    <row r="855">
      <c r="A855" s="106" t="n">
        <v>32905</v>
      </c>
      <c r="B855" t="n">
        <v>49.626230778</v>
      </c>
      <c r="C855" t="n">
        <v>63.391017714</v>
      </c>
      <c r="D855" t="n">
        <v>76.106587072</v>
      </c>
      <c r="E855" t="n">
        <v>69.41451684</v>
      </c>
      <c r="F855" t="n">
        <v/>
      </c>
      <c r="G855" t="n">
        <v/>
      </c>
      <c r="H855" t="n">
        <v/>
      </c>
      <c r="I855" t="n">
        <v>49.626230778</v>
      </c>
      <c r="J855" t="n">
        <v>65.450760902</v>
      </c>
      <c r="K855" t="n">
        <v>70.678365535</v>
      </c>
      <c r="L855" t="n">
        <v>82.405451781</v>
      </c>
      <c r="M855" t="n">
        <v>79.799929878</v>
      </c>
      <c r="N855" t="n">
        <v>98.43871405100001</v>
      </c>
      <c r="O855" t="n">
        <v/>
      </c>
      <c r="P855" t="n">
        <v/>
      </c>
      <c r="Q855" t="n">
        <v>68.82655937</v>
      </c>
      <c r="R855" t="n">
        <v>92.63</v>
      </c>
      <c r="S855" t="n">
        <v>75.42594309099999</v>
      </c>
      <c r="T855" t="n">
        <v>81.605942695</v>
      </c>
      <c r="U855" t="n">
        <v/>
      </c>
      <c r="V855" t="n">
        <v>131.780898085</v>
      </c>
      <c r="W855" t="n">
        <v>40.726866505</v>
      </c>
      <c r="X855" t="n">
        <v/>
      </c>
      <c r="Y855" t="n">
        <v/>
      </c>
      <c r="Z855" t="n">
        <v>13.668375908</v>
      </c>
      <c r="AA855" t="n">
        <v/>
      </c>
      <c r="AB855" t="n">
        <v>39.223122434</v>
      </c>
      <c r="AC855" t="n">
        <v>110.790767436</v>
      </c>
      <c r="AD855" t="n">
        <v>101.410202348</v>
      </c>
      <c r="AE855" t="n">
        <v>20.231</v>
      </c>
      <c r="AF855" t="n">
        <v>74.523290397</v>
      </c>
      <c r="AG855" t="n">
        <v/>
      </c>
      <c r="AH855" t="n">
        <v>64.4883316</v>
      </c>
      <c r="AI855" t="n">
        <v>73.005802429</v>
      </c>
      <c r="AJ855" t="n">
        <v>84.84093195600001</v>
      </c>
      <c r="AK855" t="n">
        <v/>
      </c>
      <c r="AL855" t="n">
        <v>66.30349715</v>
      </c>
      <c r="AM855" t="n">
        <v>28.797455271</v>
      </c>
      <c r="AN855" t="n">
        <v>105.685188588</v>
      </c>
      <c r="AO855" t="n">
        <v/>
      </c>
      <c r="AP855" t="n">
        <v>45.454802869</v>
      </c>
      <c r="AQ855" t="n">
        <v/>
      </c>
      <c r="AR855" t="n">
        <v>69.729026717</v>
      </c>
      <c r="AS855" t="n">
        <v>30.997416882</v>
      </c>
      <c r="AT855" t="n">
        <v>61.817961266</v>
      </c>
      <c r="AU855" t="n">
        <v/>
      </c>
    </row>
    <row r="856">
      <c r="A856" s="106" t="n">
        <v>32933</v>
      </c>
      <c r="B856" t="n">
        <v>49.824120799</v>
      </c>
      <c r="C856" t="n">
        <v>65.017121323</v>
      </c>
      <c r="D856" t="n">
        <v>70.20967257700001</v>
      </c>
      <c r="E856" t="n">
        <v>69.753321371</v>
      </c>
      <c r="F856" t="n">
        <v/>
      </c>
      <c r="G856" t="n">
        <v/>
      </c>
      <c r="H856" t="n">
        <v/>
      </c>
      <c r="I856" t="n">
        <v>49.824120799</v>
      </c>
      <c r="J856" t="n">
        <v>79.936901214</v>
      </c>
      <c r="K856" t="n">
        <v>71.357371667</v>
      </c>
      <c r="L856" t="n">
        <v>83.60288899299999</v>
      </c>
      <c r="M856" t="n">
        <v>79.571331368</v>
      </c>
      <c r="N856" t="n">
        <v>99.46479182500001</v>
      </c>
      <c r="O856" t="n">
        <v/>
      </c>
      <c r="P856" t="n">
        <v/>
      </c>
      <c r="Q856" t="n">
        <v>68.42386862799999</v>
      </c>
      <c r="R856" t="n">
        <v>92.22</v>
      </c>
      <c r="S856" t="n">
        <v>76.00456182800001</v>
      </c>
      <c r="T856" t="n">
        <v>82.136540502</v>
      </c>
      <c r="U856" t="n">
        <v/>
      </c>
      <c r="V856" t="n">
        <v>126.392803004</v>
      </c>
      <c r="W856" t="n">
        <v>40.413582917</v>
      </c>
      <c r="X856" t="n">
        <v/>
      </c>
      <c r="Y856" t="n">
        <v/>
      </c>
      <c r="Z856" t="n">
        <v>14.143797678</v>
      </c>
      <c r="AA856" t="n">
        <v/>
      </c>
      <c r="AB856" t="n">
        <v>38.872915984</v>
      </c>
      <c r="AC856" t="n">
        <v>111.190734105</v>
      </c>
      <c r="AD856" t="n">
        <v>103.23558599</v>
      </c>
      <c r="AE856" t="n">
        <v>20.767</v>
      </c>
      <c r="AF856" t="n">
        <v>70.441583905</v>
      </c>
      <c r="AG856" t="n">
        <v/>
      </c>
      <c r="AH856" t="n">
        <v>66.36803633300001</v>
      </c>
      <c r="AI856" t="n">
        <v>74.701818958</v>
      </c>
      <c r="AJ856" t="n">
        <v>83.747620978</v>
      </c>
      <c r="AK856" t="n">
        <v/>
      </c>
      <c r="AL856" t="n">
        <v>67.062707946</v>
      </c>
      <c r="AM856" t="n">
        <v>28.811178995</v>
      </c>
      <c r="AN856" t="n">
        <v>108.609181664</v>
      </c>
      <c r="AO856" t="n">
        <v/>
      </c>
      <c r="AP856" t="n">
        <v>44.78442619</v>
      </c>
      <c r="AQ856" t="n">
        <v/>
      </c>
      <c r="AR856" t="n">
        <v>70.336246108</v>
      </c>
      <c r="AS856" t="n">
        <v>31.997333556</v>
      </c>
      <c r="AT856" t="n">
        <v>62.117419811</v>
      </c>
      <c r="AU856" t="n">
        <v/>
      </c>
    </row>
    <row r="857">
      <c r="A857" s="106" t="n">
        <v>32964</v>
      </c>
      <c r="B857" t="n">
        <v>49.33518867</v>
      </c>
      <c r="C857" t="n">
        <v>62.145929496</v>
      </c>
      <c r="D857" t="n">
        <v>53.535020237</v>
      </c>
      <c r="E857" t="n">
        <v>69.218564704</v>
      </c>
      <c r="F857" t="n">
        <v/>
      </c>
      <c r="G857" t="n">
        <v/>
      </c>
      <c r="H857" t="n">
        <v/>
      </c>
      <c r="I857" t="n">
        <v>49.33518867</v>
      </c>
      <c r="J857" t="n">
        <v>71.758274038</v>
      </c>
      <c r="K857" t="n">
        <v>70.12281506399999</v>
      </c>
      <c r="L857" t="n">
        <v>82.296593852</v>
      </c>
      <c r="M857" t="n">
        <v>79.895179257</v>
      </c>
      <c r="N857" t="n">
        <v>100.81742681</v>
      </c>
      <c r="O857" t="n">
        <v/>
      </c>
      <c r="P857" t="n">
        <v/>
      </c>
      <c r="Q857" t="n">
        <v>67.76390324400001</v>
      </c>
      <c r="R857" t="n">
        <v>92.67</v>
      </c>
      <c r="S857" t="n">
        <v>75.89556186900001</v>
      </c>
      <c r="T857" t="n">
        <v>82.879377432</v>
      </c>
      <c r="U857" t="n">
        <v/>
      </c>
      <c r="V857" t="n">
        <v>124.764903998</v>
      </c>
      <c r="W857" t="n">
        <v>40.413582917</v>
      </c>
      <c r="X857" t="n">
        <v/>
      </c>
      <c r="Y857" t="n">
        <v/>
      </c>
      <c r="Z857" t="n">
        <v>13.371237301</v>
      </c>
      <c r="AA857" t="n">
        <v/>
      </c>
      <c r="AB857" t="n">
        <v>39.293163725</v>
      </c>
      <c r="AC857" t="n">
        <v>112.090659112</v>
      </c>
      <c r="AD857" t="n">
        <v>103.438406395</v>
      </c>
      <c r="AE857" t="n">
        <v>20.702</v>
      </c>
      <c r="AF857" t="n">
        <v>73.709203784</v>
      </c>
      <c r="AG857" t="n">
        <v/>
      </c>
      <c r="AH857" t="n">
        <v>65.789665646</v>
      </c>
      <c r="AI857" t="n">
        <v>76.93747711100001</v>
      </c>
      <c r="AJ857" t="n">
        <v>83.31029658600001</v>
      </c>
      <c r="AK857" t="n">
        <v/>
      </c>
      <c r="AL857" t="n">
        <v>66.898979857</v>
      </c>
      <c r="AM857" t="n">
        <v>28.52760917</v>
      </c>
      <c r="AN857" t="n">
        <v>111.531212921</v>
      </c>
      <c r="AO857" t="n">
        <v/>
      </c>
      <c r="AP857" t="n">
        <v>48.472873203</v>
      </c>
      <c r="AQ857" t="n">
        <v/>
      </c>
      <c r="AR857" t="n">
        <v>70.13383964499999</v>
      </c>
      <c r="AS857" t="n">
        <v>32.19731689</v>
      </c>
      <c r="AT857" t="n">
        <v>61.984349159</v>
      </c>
      <c r="AU857" t="n">
        <v/>
      </c>
    </row>
    <row r="858">
      <c r="A858" s="106" t="n">
        <v>32994</v>
      </c>
      <c r="B858" t="n">
        <v>48.807795983</v>
      </c>
      <c r="C858" t="n">
        <v>63.571595044</v>
      </c>
      <c r="D858" t="n">
        <v>67.003042534</v>
      </c>
      <c r="E858" t="n">
        <v>69.365646283</v>
      </c>
      <c r="F858" t="n">
        <v/>
      </c>
      <c r="G858" t="n">
        <v/>
      </c>
      <c r="H858" t="n">
        <v/>
      </c>
      <c r="I858" t="n">
        <v>48.807795983</v>
      </c>
      <c r="J858" t="n">
        <v>73.778297159</v>
      </c>
      <c r="K858" t="n">
        <v>71.912922138</v>
      </c>
      <c r="L858" t="n">
        <v>80.88144078400001</v>
      </c>
      <c r="M858" t="n">
        <v>79.876129381</v>
      </c>
      <c r="N858" t="n">
        <v>99.753958068</v>
      </c>
      <c r="O858" t="n">
        <v/>
      </c>
      <c r="P858" t="n">
        <v/>
      </c>
      <c r="Q858" t="n">
        <v>68.524541313</v>
      </c>
      <c r="R858" t="n">
        <v>92.91</v>
      </c>
      <c r="S858" t="n">
        <v>76.31984835999999</v>
      </c>
      <c r="T858" t="n">
        <v>83.303855677</v>
      </c>
      <c r="U858" t="n">
        <v/>
      </c>
      <c r="V858" t="n">
        <v>128.454041843</v>
      </c>
      <c r="W858" t="n">
        <v>40.234563723</v>
      </c>
      <c r="X858" t="n">
        <v/>
      </c>
      <c r="Y858" t="n">
        <v/>
      </c>
      <c r="Z858" t="n">
        <v>13.78723135</v>
      </c>
      <c r="AA858" t="n">
        <v/>
      </c>
      <c r="AB858" t="n">
        <v>40.413824366</v>
      </c>
      <c r="AC858" t="n">
        <v>110.790767436</v>
      </c>
      <c r="AD858" t="n">
        <v>104.148277811</v>
      </c>
      <c r="AE858" t="n">
        <v>20.37</v>
      </c>
      <c r="AF858" t="n">
        <v>72.80752639000001</v>
      </c>
      <c r="AG858" t="n">
        <v/>
      </c>
      <c r="AH858" t="n">
        <v>66.729518012</v>
      </c>
      <c r="AI858" t="n">
        <v>76.01237718599999</v>
      </c>
      <c r="AJ858" t="n">
        <v>86.590229523</v>
      </c>
      <c r="AK858" t="n">
        <v/>
      </c>
      <c r="AL858" t="n">
        <v>67.152754511</v>
      </c>
      <c r="AM858" t="n">
        <v>28.864995734</v>
      </c>
      <c r="AN858" t="n">
        <v>110.759239112</v>
      </c>
      <c r="AO858" t="n">
        <v/>
      </c>
      <c r="AP858" t="n">
        <v>48.160336924</v>
      </c>
      <c r="AQ858" t="n">
        <v/>
      </c>
      <c r="AR858" t="n">
        <v>70.336246108</v>
      </c>
      <c r="AS858" t="n">
        <v>30.397466878</v>
      </c>
      <c r="AT858" t="n">
        <v>62.162239434</v>
      </c>
      <c r="AU858" t="n">
        <v/>
      </c>
    </row>
    <row r="859">
      <c r="A859" s="106" t="n">
        <v>33025</v>
      </c>
      <c r="B859" t="n">
        <v>50.672127578</v>
      </c>
      <c r="C859" t="n">
        <v>63.99870057</v>
      </c>
      <c r="D859" t="n">
        <v>66.783859753</v>
      </c>
      <c r="E859" t="n">
        <v>69.468086488</v>
      </c>
      <c r="F859" t="n">
        <v/>
      </c>
      <c r="G859" t="n">
        <v/>
      </c>
      <c r="H859" t="n">
        <v/>
      </c>
      <c r="I859" t="n">
        <v>50.672127578</v>
      </c>
      <c r="J859" t="n">
        <v>77.14590988800001</v>
      </c>
      <c r="K859" t="n">
        <v>71.912922138</v>
      </c>
      <c r="L859" t="n">
        <v>80.010577357</v>
      </c>
      <c r="M859" t="n">
        <v>79.361782733</v>
      </c>
      <c r="N859" t="n">
        <v>102.360749817</v>
      </c>
      <c r="O859" t="n">
        <v/>
      </c>
      <c r="P859" t="n">
        <v/>
      </c>
      <c r="Q859" t="n">
        <v>67.26053981699999</v>
      </c>
      <c r="R859" t="n">
        <v>91.55</v>
      </c>
      <c r="S859" t="n">
        <v>76.32481097599999</v>
      </c>
      <c r="T859" t="n">
        <v>82.985496993</v>
      </c>
      <c r="U859" t="n">
        <v/>
      </c>
      <c r="V859" t="n">
        <v>126.692511265</v>
      </c>
      <c r="W859" t="n">
        <v>39.742260941</v>
      </c>
      <c r="X859" t="n">
        <v/>
      </c>
      <c r="Y859" t="n">
        <v/>
      </c>
      <c r="Z859" t="n">
        <v>14.2032254</v>
      </c>
      <c r="AA859" t="n">
        <v/>
      </c>
      <c r="AB859" t="n">
        <v>39.363205015</v>
      </c>
      <c r="AC859" t="n">
        <v>109.690859095</v>
      </c>
      <c r="AD859" t="n">
        <v>104.452508418</v>
      </c>
      <c r="AE859" t="n">
        <v>20.767</v>
      </c>
      <c r="AF859" t="n">
        <v>78.40600926400001</v>
      </c>
      <c r="AG859" t="n">
        <v/>
      </c>
      <c r="AH859" t="n">
        <v>66.874110684</v>
      </c>
      <c r="AI859" t="n">
        <v>77.245843752</v>
      </c>
      <c r="AJ859" t="n">
        <v>87.90220269700001</v>
      </c>
      <c r="AK859" t="n">
        <v/>
      </c>
      <c r="AL859" t="n">
        <v>67.32024604999999</v>
      </c>
      <c r="AM859" t="n">
        <v>28.520922862</v>
      </c>
      <c r="AN859" t="n">
        <v>110.763502251</v>
      </c>
      <c r="AO859" t="n">
        <v/>
      </c>
      <c r="AP859" t="n">
        <v>45.519558449</v>
      </c>
      <c r="AQ859" t="n">
        <v/>
      </c>
      <c r="AR859" t="n">
        <v>70.43744934</v>
      </c>
      <c r="AS859" t="n">
        <v>31.197400217</v>
      </c>
      <c r="AT859" t="n">
        <v>62.363035313</v>
      </c>
      <c r="AU859" t="n">
        <v/>
      </c>
    </row>
    <row r="860">
      <c r="A860" s="106" t="n">
        <v>33055</v>
      </c>
      <c r="B860" t="n">
        <v>49.40848992</v>
      </c>
      <c r="C860" t="n">
        <v>61.36291522</v>
      </c>
      <c r="D860" t="n">
        <v>70.53187617899999</v>
      </c>
      <c r="E860" t="n">
        <v>69.53152423</v>
      </c>
      <c r="F860" t="n">
        <v/>
      </c>
      <c r="G860" t="n">
        <v/>
      </c>
      <c r="H860" t="n">
        <v/>
      </c>
      <c r="I860" t="n">
        <v>49.40848992</v>
      </c>
      <c r="J860" t="n">
        <v>78.18650401399999</v>
      </c>
      <c r="K860" t="n">
        <v>72.59192827</v>
      </c>
      <c r="L860" t="n">
        <v>82.18773592399999</v>
      </c>
      <c r="M860" t="n">
        <v>79.666580747</v>
      </c>
      <c r="N860" t="n">
        <v>99.310216627</v>
      </c>
      <c r="O860" t="n">
        <v/>
      </c>
      <c r="P860" t="n">
        <v/>
      </c>
      <c r="Q860" t="n">
        <v>66.220255399</v>
      </c>
      <c r="R860" t="n">
        <v>91.58</v>
      </c>
      <c r="S860" t="n">
        <v>76.47938778300001</v>
      </c>
      <c r="T860" t="n">
        <v>82.24266006400001</v>
      </c>
      <c r="U860" t="n">
        <v/>
      </c>
      <c r="V860" t="n">
        <v>128.285733982</v>
      </c>
      <c r="W860" t="n">
        <v>37.86255941</v>
      </c>
      <c r="X860" t="n">
        <v/>
      </c>
      <c r="Y860" t="n">
        <v/>
      </c>
      <c r="Z860" t="n">
        <v>14.262653121</v>
      </c>
      <c r="AA860" t="n">
        <v/>
      </c>
      <c r="AB860" t="n">
        <v>39.713411465</v>
      </c>
      <c r="AC860" t="n">
        <v>109.990834097</v>
      </c>
      <c r="AD860" t="n">
        <v>105.365200239</v>
      </c>
      <c r="AE860" t="n">
        <v>21.433</v>
      </c>
      <c r="AF860" t="n">
        <v>75.10541858400001</v>
      </c>
      <c r="AG860" t="n">
        <v/>
      </c>
      <c r="AH860" t="n">
        <v>67.813963051</v>
      </c>
      <c r="AI860" t="n">
        <v>77.400027073</v>
      </c>
      <c r="AJ860" t="n">
        <v>79.48370816000001</v>
      </c>
      <c r="AK860" t="n">
        <v/>
      </c>
      <c r="AL860" t="n">
        <v>67.424820068</v>
      </c>
      <c r="AM860" t="n">
        <v>29.627329849</v>
      </c>
      <c r="AN860" t="n">
        <v>113.551020754</v>
      </c>
      <c r="AO860" t="n">
        <v/>
      </c>
      <c r="AP860" t="n">
        <v>52.188722339</v>
      </c>
      <c r="AQ860" t="n">
        <v/>
      </c>
      <c r="AR860" t="n">
        <v>68.615791168</v>
      </c>
      <c r="AS860" t="n">
        <v>30.597450212</v>
      </c>
      <c r="AT860" t="n">
        <v>62.264868439</v>
      </c>
      <c r="AU860" t="n">
        <v/>
      </c>
    </row>
    <row r="861">
      <c r="A861" s="106" t="n">
        <v>33086</v>
      </c>
      <c r="B861" t="n">
        <v>49.379481127</v>
      </c>
      <c r="C861" t="n">
        <v>64.21094100000001</v>
      </c>
      <c r="D861" t="n">
        <v>72.19661578500001</v>
      </c>
      <c r="E861" t="n">
        <v>68.47422853400001</v>
      </c>
      <c r="F861" t="n">
        <v/>
      </c>
      <c r="G861" t="n">
        <v/>
      </c>
      <c r="H861" t="n">
        <v/>
      </c>
      <c r="I861" t="n">
        <v>49.379481127</v>
      </c>
      <c r="J861" t="n">
        <v>75.47033777</v>
      </c>
      <c r="K861" t="n">
        <v>73.024023081</v>
      </c>
      <c r="L861" t="n">
        <v>84.038320707</v>
      </c>
      <c r="M861" t="n">
        <v>80.19997727000001</v>
      </c>
      <c r="N861" t="n">
        <v>98.018123553</v>
      </c>
      <c r="O861" t="n">
        <v/>
      </c>
      <c r="P861" t="n">
        <v/>
      </c>
      <c r="Q861" t="n">
        <v>67.49544275</v>
      </c>
      <c r="R861" t="n">
        <v>91.01000000000001</v>
      </c>
      <c r="S861" t="n">
        <v>76.73135966</v>
      </c>
      <c r="T861" t="n">
        <v>81.499823134</v>
      </c>
      <c r="U861" t="n">
        <v/>
      </c>
      <c r="V861" t="n">
        <v>121.958102759</v>
      </c>
      <c r="W861" t="n">
        <v>39.78701574</v>
      </c>
      <c r="X861" t="n">
        <v/>
      </c>
      <c r="Y861" t="n">
        <v/>
      </c>
      <c r="Z861" t="n">
        <v>14.2032254</v>
      </c>
      <c r="AA861" t="n">
        <v/>
      </c>
      <c r="AB861" t="n">
        <v>39.993576625</v>
      </c>
      <c r="AC861" t="n">
        <v>111.190734105</v>
      </c>
      <c r="AD861" t="n">
        <v>106.277892061</v>
      </c>
      <c r="AE861" t="n">
        <v>21.969</v>
      </c>
      <c r="AF861" t="n">
        <v>75.346939288</v>
      </c>
      <c r="AG861" t="n">
        <v/>
      </c>
      <c r="AH861" t="n">
        <v>67.813963051</v>
      </c>
      <c r="AI861" t="n">
        <v>78.170943678</v>
      </c>
      <c r="AJ861" t="n">
        <v>88.77685148</v>
      </c>
      <c r="AK861" t="n">
        <v/>
      </c>
      <c r="AL861" t="n">
        <v>67.66677437</v>
      </c>
      <c r="AM861" t="n">
        <v>29.80333181</v>
      </c>
      <c r="AN861" t="n">
        <v>116.206026264</v>
      </c>
      <c r="AO861" t="n">
        <v/>
      </c>
      <c r="AP861" t="n">
        <v>48.103866864</v>
      </c>
      <c r="AQ861" t="n">
        <v/>
      </c>
      <c r="AR861" t="n">
        <v>70.235042877</v>
      </c>
      <c r="AS861" t="n">
        <v>30.29747521</v>
      </c>
      <c r="AT861" t="n">
        <v>62.493726162</v>
      </c>
      <c r="AU861" t="n">
        <v/>
      </c>
    </row>
    <row r="862">
      <c r="A862" s="106" t="n">
        <v>33117</v>
      </c>
      <c r="B862" t="n">
        <v>50.658942126</v>
      </c>
      <c r="C862" t="n">
        <v>63.445649754</v>
      </c>
      <c r="D862" t="n">
        <v>72.762072179</v>
      </c>
      <c r="E862" t="n">
        <v>67.27830962500001</v>
      </c>
      <c r="F862" t="n">
        <v/>
      </c>
      <c r="G862" t="n">
        <v/>
      </c>
      <c r="H862" t="n">
        <v/>
      </c>
      <c r="I862" t="n">
        <v>50.658942126</v>
      </c>
      <c r="J862" t="n">
        <v>73.72785509800001</v>
      </c>
      <c r="K862" t="n">
        <v>73.70302921299999</v>
      </c>
      <c r="L862" t="n">
        <v>81.75230421099999</v>
      </c>
      <c r="M862" t="n">
        <v>80.600024663</v>
      </c>
      <c r="N862" t="n">
        <v>101.425715977</v>
      </c>
      <c r="O862" t="n">
        <v/>
      </c>
      <c r="P862" t="n">
        <v/>
      </c>
      <c r="Q862" t="n">
        <v>66.83547736600001</v>
      </c>
      <c r="R862" t="n">
        <v>91.84</v>
      </c>
      <c r="S862" t="n">
        <v>76.62921999</v>
      </c>
      <c r="T862" t="n">
        <v>81.07534488899999</v>
      </c>
      <c r="U862" t="n">
        <v/>
      </c>
      <c r="V862" t="n">
        <v>105.860819443</v>
      </c>
      <c r="W862" t="n">
        <v>38.981429369</v>
      </c>
      <c r="X862" t="n">
        <v/>
      </c>
      <c r="Y862" t="n">
        <v/>
      </c>
      <c r="Z862" t="n">
        <v>14.381508564</v>
      </c>
      <c r="AA862" t="n">
        <v/>
      </c>
      <c r="AB862" t="n">
        <v>40.764030816</v>
      </c>
      <c r="AC862" t="n">
        <v>110.890759103</v>
      </c>
      <c r="AD862" t="n">
        <v>105.365200239</v>
      </c>
      <c r="AE862" t="n">
        <v>21.904</v>
      </c>
      <c r="AF862" t="n">
        <v>72.149396221</v>
      </c>
      <c r="AG862" t="n">
        <v/>
      </c>
      <c r="AH862" t="n">
        <v>68.103148394</v>
      </c>
      <c r="AI862" t="n">
        <v>79.404410244</v>
      </c>
      <c r="AJ862" t="n">
        <v>87.355547208</v>
      </c>
      <c r="AK862" t="n">
        <v/>
      </c>
      <c r="AL862" t="n">
        <v>67.71450056800001</v>
      </c>
      <c r="AM862" t="n">
        <v>29.67632948</v>
      </c>
      <c r="AN862" t="n">
        <v>113.229512757</v>
      </c>
      <c r="AO862" t="n">
        <v/>
      </c>
      <c r="AP862" t="n">
        <v>43.160507443</v>
      </c>
      <c r="AQ862" t="n">
        <v/>
      </c>
      <c r="AR862" t="n">
        <v>70.336246108</v>
      </c>
      <c r="AS862" t="n">
        <v>32.997250229</v>
      </c>
      <c r="AT862" t="n">
        <v>62.502352948</v>
      </c>
      <c r="AU862" t="n">
        <v/>
      </c>
    </row>
    <row r="863">
      <c r="A863" s="106" t="n">
        <v>33147</v>
      </c>
      <c r="B863" t="n">
        <v>49.917573087</v>
      </c>
      <c r="C863" t="n">
        <v>65.063529976</v>
      </c>
      <c r="D863" t="n">
        <v>71.472454032</v>
      </c>
      <c r="E863" t="n">
        <v>67.31026344999999</v>
      </c>
      <c r="F863" t="n">
        <v/>
      </c>
      <c r="G863" t="n">
        <v/>
      </c>
      <c r="H863" t="n">
        <v/>
      </c>
      <c r="I863" t="n">
        <v>49.917573087</v>
      </c>
      <c r="J863" t="n">
        <v>73.501656536</v>
      </c>
      <c r="K863" t="n">
        <v>73.826484873</v>
      </c>
      <c r="L863" t="n">
        <v>83.276315208</v>
      </c>
      <c r="M863" t="n">
        <v>80.76194860699999</v>
      </c>
      <c r="N863" t="n">
        <v>97.36973676</v>
      </c>
      <c r="O863" t="n">
        <v/>
      </c>
      <c r="P863" t="n">
        <v/>
      </c>
      <c r="Q863" t="n">
        <v>66.84666322</v>
      </c>
      <c r="R863" t="n">
        <v>91.52</v>
      </c>
      <c r="S863" t="n">
        <v>76.729989902</v>
      </c>
      <c r="T863" t="n">
        <v>80.969225327</v>
      </c>
      <c r="U863" t="n">
        <v/>
      </c>
      <c r="V863" t="n">
        <v>128.844876995</v>
      </c>
      <c r="W863" t="n">
        <v>38.489126587</v>
      </c>
      <c r="X863" t="n">
        <v/>
      </c>
      <c r="Y863" t="n">
        <v/>
      </c>
      <c r="Z863" t="n">
        <v>14.084369957</v>
      </c>
      <c r="AA863" t="n">
        <v/>
      </c>
      <c r="AB863" t="n">
        <v>40.553906946</v>
      </c>
      <c r="AC863" t="n">
        <v>110.290809099</v>
      </c>
      <c r="AD863" t="n">
        <v>107.494814489</v>
      </c>
      <c r="AE863" t="n">
        <v>21.904</v>
      </c>
      <c r="AF863" t="n">
        <v>71.398171627</v>
      </c>
      <c r="AG863" t="n">
        <v/>
      </c>
      <c r="AH863" t="n">
        <v>68.103148394</v>
      </c>
      <c r="AI863" t="n">
        <v>77.322935413</v>
      </c>
      <c r="AJ863" t="n">
        <v>88.66752038200001</v>
      </c>
      <c r="AK863" t="n">
        <v/>
      </c>
      <c r="AL863" t="n">
        <v>67.81254728899999</v>
      </c>
      <c r="AM863" t="n">
        <v>29.970693253</v>
      </c>
      <c r="AN863" t="n">
        <v>113.668448852</v>
      </c>
      <c r="AO863" t="n">
        <v/>
      </c>
      <c r="AP863" t="n">
        <v>55.876052715</v>
      </c>
      <c r="AQ863" t="n">
        <v/>
      </c>
      <c r="AR863" t="n">
        <v>70.336246108</v>
      </c>
      <c r="AS863" t="n">
        <v>32.797266894</v>
      </c>
      <c r="AT863" t="n">
        <v>62.11940298</v>
      </c>
      <c r="AU863" t="n">
        <v/>
      </c>
    </row>
    <row r="864">
      <c r="A864" s="106" t="n">
        <v>33178</v>
      </c>
      <c r="B864" t="n">
        <v>49.300357822</v>
      </c>
      <c r="C864" t="n">
        <v>64.345943914</v>
      </c>
      <c r="D864" t="n">
        <v>69.8627682</v>
      </c>
      <c r="E864" t="n">
        <v>66.544781367</v>
      </c>
      <c r="F864" t="n">
        <v/>
      </c>
      <c r="G864" t="n">
        <v/>
      </c>
      <c r="H864" t="n">
        <v/>
      </c>
      <c r="I864" t="n">
        <v>49.300357822</v>
      </c>
      <c r="J864" t="n">
        <v>72.175268983</v>
      </c>
      <c r="K864" t="n">
        <v>73.826484873</v>
      </c>
      <c r="L864" t="n">
        <v>84.147178635</v>
      </c>
      <c r="M864" t="n">
        <v>79.999953574</v>
      </c>
      <c r="N864" t="n">
        <v>100.526067172</v>
      </c>
      <c r="O864" t="n">
        <v/>
      </c>
      <c r="P864" t="n">
        <v/>
      </c>
      <c r="Q864" t="n">
        <v>66.60057443300001</v>
      </c>
      <c r="R864" t="n">
        <v>90.48</v>
      </c>
      <c r="S864" t="n">
        <v>76.058609147</v>
      </c>
      <c r="T864" t="n">
        <v>80.863105766</v>
      </c>
      <c r="U864" t="n">
        <v/>
      </c>
      <c r="V864" t="n">
        <v>123.77653729</v>
      </c>
      <c r="W864" t="n">
        <v>41.040150094</v>
      </c>
      <c r="X864" t="n">
        <v/>
      </c>
      <c r="Y864" t="n">
        <v/>
      </c>
      <c r="Z864" t="n">
        <v>14.084369957</v>
      </c>
      <c r="AA864" t="n">
        <v/>
      </c>
      <c r="AB864" t="n">
        <v>40.974154686</v>
      </c>
      <c r="AC864" t="n">
        <v>108.690942421</v>
      </c>
      <c r="AD864" t="n">
        <v>106.784943072</v>
      </c>
      <c r="AE864" t="n">
        <v>21.969</v>
      </c>
      <c r="AF864" t="n">
        <v>71.071294722</v>
      </c>
      <c r="AG864" t="n">
        <v/>
      </c>
      <c r="AH864" t="n">
        <v>67.813963051</v>
      </c>
      <c r="AI864" t="n">
        <v>78.093852017</v>
      </c>
      <c r="AJ864" t="n">
        <v>89.104844774</v>
      </c>
      <c r="AK864" t="n">
        <v/>
      </c>
      <c r="AL864" t="n">
        <v>67.352997425</v>
      </c>
      <c r="AM864" t="n">
        <v>29.884805925</v>
      </c>
      <c r="AN864" t="n">
        <v>113.963815489</v>
      </c>
      <c r="AO864" t="n">
        <v/>
      </c>
      <c r="AP864" t="n">
        <v>39.210837535</v>
      </c>
      <c r="AQ864" t="n">
        <v/>
      </c>
      <c r="AR864" t="n">
        <v>70.13383964499999</v>
      </c>
      <c r="AS864" t="n">
        <v>33.197233564</v>
      </c>
      <c r="AT864" t="n">
        <v>61.347454379</v>
      </c>
      <c r="AU864" t="n">
        <v/>
      </c>
    </row>
    <row r="865">
      <c r="A865" s="106" t="n">
        <v>33208</v>
      </c>
      <c r="B865" t="n">
        <v>52.058139084</v>
      </c>
      <c r="C865" t="n">
        <v>63.533185977</v>
      </c>
      <c r="D865" t="n">
        <v>65.58149551</v>
      </c>
      <c r="E865" t="n">
        <v>66.011434427</v>
      </c>
      <c r="F865" t="n">
        <v/>
      </c>
      <c r="G865" t="n">
        <v/>
      </c>
      <c r="H865" t="n">
        <v/>
      </c>
      <c r="I865" t="n">
        <v>52.058139084</v>
      </c>
      <c r="J865" t="n">
        <v>89.358563756</v>
      </c>
      <c r="K865" t="n">
        <v>74.13512402400001</v>
      </c>
      <c r="L865" t="n">
        <v>82.840883494</v>
      </c>
      <c r="M865" t="n">
        <v>80.838148111</v>
      </c>
      <c r="N865" t="n">
        <v>100.035524618</v>
      </c>
      <c r="O865" t="n">
        <v/>
      </c>
      <c r="P865" t="n">
        <v/>
      </c>
      <c r="Q865" t="n">
        <v>65.224714397</v>
      </c>
      <c r="R865" t="n">
        <v>91.59999999999999</v>
      </c>
      <c r="S865" t="n">
        <v>76.01455737400001</v>
      </c>
      <c r="T865" t="n">
        <v>80.650866643</v>
      </c>
      <c r="U865" t="n">
        <v/>
      </c>
      <c r="V865" t="n">
        <v>128.979811424</v>
      </c>
      <c r="W865" t="n">
        <v>37.907314209</v>
      </c>
      <c r="X865" t="n">
        <v/>
      </c>
      <c r="Y865" t="n">
        <v/>
      </c>
      <c r="Z865" t="n">
        <v>14.559791728</v>
      </c>
      <c r="AA865" t="n">
        <v/>
      </c>
      <c r="AB865" t="n">
        <v>41.184278556</v>
      </c>
      <c r="AC865" t="n">
        <v>110.490792434</v>
      </c>
      <c r="AD865" t="n">
        <v>106.886353275</v>
      </c>
      <c r="AE865" t="n">
        <v>22.366</v>
      </c>
      <c r="AF865" t="n">
        <v>71.12430771299999</v>
      </c>
      <c r="AG865" t="n">
        <v/>
      </c>
      <c r="AH865" t="n">
        <v>66.94640702</v>
      </c>
      <c r="AI865" t="n">
        <v>80.175326849</v>
      </c>
      <c r="AJ865" t="n">
        <v>87.24621611000001</v>
      </c>
      <c r="AK865" t="n">
        <v/>
      </c>
      <c r="AL865" t="n">
        <v>67.389622886</v>
      </c>
      <c r="AM865" t="n">
        <v>29.243388638</v>
      </c>
      <c r="AN865" t="n">
        <v>115.325691978</v>
      </c>
      <c r="AO865" t="n">
        <v/>
      </c>
      <c r="AP865" t="n">
        <v>33.948682174</v>
      </c>
      <c r="AQ865" t="n">
        <v/>
      </c>
      <c r="AR865" t="n">
        <v>70.943465499</v>
      </c>
      <c r="AS865" t="n">
        <v>31.797350221</v>
      </c>
      <c r="AT865" t="n">
        <v>60.917503302</v>
      </c>
      <c r="AU865" t="n">
        <v/>
      </c>
    </row>
    <row r="866">
      <c r="A866" s="106" t="n">
        <v>33239</v>
      </c>
      <c r="B866" t="n">
        <v>50.633525022</v>
      </c>
      <c r="C866" t="n">
        <v>63.355646873</v>
      </c>
      <c r="D866" t="n">
        <v>64.297491396</v>
      </c>
      <c r="E866" t="n">
        <v>66.348829231</v>
      </c>
      <c r="F866" t="n">
        <v/>
      </c>
      <c r="G866" t="n">
        <v/>
      </c>
      <c r="H866" t="n">
        <v/>
      </c>
      <c r="I866" t="n">
        <v>50.633525022</v>
      </c>
      <c r="J866" t="n">
        <v>68.891927366</v>
      </c>
      <c r="K866" t="n">
        <v>76.40636719699999</v>
      </c>
      <c r="L866" t="n">
        <v>81.208014569</v>
      </c>
      <c r="M866" t="n">
        <v>82.493125573</v>
      </c>
      <c r="N866" t="n">
        <v>100.138470828</v>
      </c>
      <c r="O866" t="n">
        <v/>
      </c>
      <c r="P866" t="n">
        <v/>
      </c>
      <c r="Q866" t="n">
        <v>65.426059768</v>
      </c>
      <c r="R866" t="n">
        <v>92.79000000000001</v>
      </c>
      <c r="S866" t="n">
        <v>76.410405029</v>
      </c>
      <c r="T866" t="n">
        <v>80.226388398</v>
      </c>
      <c r="U866" t="n">
        <v/>
      </c>
      <c r="V866" t="n">
        <v>123.103672461</v>
      </c>
      <c r="W866" t="n">
        <v>39.160448563</v>
      </c>
      <c r="X866" t="n">
        <v/>
      </c>
      <c r="Y866" t="n">
        <v/>
      </c>
      <c r="Z866" t="n">
        <v>14.381508564</v>
      </c>
      <c r="AA866" t="n">
        <v/>
      </c>
      <c r="AB866" t="n">
        <v>38.522709534</v>
      </c>
      <c r="AC866" t="n">
        <v>111.090742438</v>
      </c>
      <c r="AD866" t="n">
        <v>107.596224691</v>
      </c>
      <c r="AE866" t="n">
        <v>22.301</v>
      </c>
      <c r="AF866" t="n">
        <v>71.409878198</v>
      </c>
      <c r="AG866" t="n">
        <v/>
      </c>
      <c r="AH866" t="n">
        <v>68.681519081</v>
      </c>
      <c r="AI866" t="n">
        <v>78.63349364</v>
      </c>
      <c r="AJ866" t="n">
        <v>88.339527089</v>
      </c>
      <c r="AK866" t="n">
        <v/>
      </c>
      <c r="AL866" t="n">
        <v>67.252476046</v>
      </c>
      <c r="AM866" t="n">
        <v>28.80040745</v>
      </c>
      <c r="AN866" t="n">
        <v>111.506895049</v>
      </c>
      <c r="AO866" t="n">
        <v/>
      </c>
      <c r="AP866" t="n">
        <v>45.414896047</v>
      </c>
      <c r="AQ866" t="n">
        <v/>
      </c>
      <c r="AR866" t="n">
        <v>70.03263641300001</v>
      </c>
      <c r="AS866" t="n">
        <v>27.597700192</v>
      </c>
      <c r="AT866" t="n">
        <v>60.708873905</v>
      </c>
      <c r="AU866" t="n">
        <v/>
      </c>
    </row>
    <row r="867">
      <c r="A867" s="106" t="n">
        <v>33270</v>
      </c>
      <c r="B867" t="n">
        <v>50.677916193</v>
      </c>
      <c r="C867" t="n">
        <v>62.149267071</v>
      </c>
      <c r="D867" t="n">
        <v>63.261850666</v>
      </c>
      <c r="E867" t="n">
        <v>65.19614196800001</v>
      </c>
      <c r="F867" t="n">
        <v/>
      </c>
      <c r="G867" t="n">
        <v/>
      </c>
      <c r="H867" t="n">
        <v/>
      </c>
      <c r="I867" t="n">
        <v>50.677916193</v>
      </c>
      <c r="J867" t="n">
        <v>63.540933723</v>
      </c>
      <c r="K867" t="n">
        <v>75.506292191</v>
      </c>
      <c r="L867" t="n">
        <v>82.18773592399999</v>
      </c>
      <c r="M867" t="n">
        <v>81.493208899</v>
      </c>
      <c r="N867" t="n">
        <v>98.547812393</v>
      </c>
      <c r="O867" t="n">
        <v/>
      </c>
      <c r="P867" t="n">
        <v/>
      </c>
      <c r="Q867" t="n">
        <v>63.345490933</v>
      </c>
      <c r="R867" t="n">
        <v>92.36</v>
      </c>
      <c r="S867" t="n">
        <v>75.92318277699999</v>
      </c>
      <c r="T867" t="n">
        <v>79.908029713</v>
      </c>
      <c r="U867" t="n">
        <v/>
      </c>
      <c r="V867" t="n">
        <v>124.225662523</v>
      </c>
      <c r="W867" t="n">
        <v>36.743689451</v>
      </c>
      <c r="X867" t="n">
        <v/>
      </c>
      <c r="Y867" t="n">
        <v/>
      </c>
      <c r="Z867" t="n">
        <v>14.500364006</v>
      </c>
      <c r="AA867" t="n">
        <v/>
      </c>
      <c r="AB867" t="n">
        <v>39.503287595</v>
      </c>
      <c r="AC867" t="n">
        <v>108.990917424</v>
      </c>
      <c r="AD867" t="n">
        <v>108.0018655</v>
      </c>
      <c r="AE867" t="n">
        <v>22.366</v>
      </c>
      <c r="AF867" t="n">
        <v>72.24687649099999</v>
      </c>
      <c r="AG867" t="n">
        <v/>
      </c>
      <c r="AH867" t="n">
        <v>68.753815417</v>
      </c>
      <c r="AI867" t="n">
        <v>80.468275158</v>
      </c>
      <c r="AJ867" t="n">
        <v>89.979493557</v>
      </c>
      <c r="AK867" t="n">
        <v/>
      </c>
      <c r="AL867" t="n">
        <v>67.04271944</v>
      </c>
      <c r="AM867" t="n">
        <v>27.159966991</v>
      </c>
      <c r="AN867" t="n">
        <v>113.706737501</v>
      </c>
      <c r="AO867" t="n">
        <v/>
      </c>
      <c r="AP867" t="n">
        <v>41.716098039</v>
      </c>
      <c r="AQ867" t="n">
        <v/>
      </c>
      <c r="AR867" t="n">
        <v>70.13383964499999</v>
      </c>
      <c r="AS867" t="n">
        <v>32.19731689</v>
      </c>
      <c r="AT867" t="n">
        <v>60.267519606</v>
      </c>
      <c r="AU867" t="n">
        <v/>
      </c>
    </row>
    <row r="868">
      <c r="A868" s="106" t="n">
        <v>33298</v>
      </c>
      <c r="B868" t="n">
        <v>50.458026117</v>
      </c>
      <c r="C868" t="n">
        <v>61.987356184</v>
      </c>
      <c r="D868" t="n">
        <v>62.50706166</v>
      </c>
      <c r="E868" t="n">
        <v>65.241253251</v>
      </c>
      <c r="F868" t="n">
        <v/>
      </c>
      <c r="G868" t="n">
        <v/>
      </c>
      <c r="H868" t="n">
        <v/>
      </c>
      <c r="I868" t="n">
        <v>50.458026117</v>
      </c>
      <c r="J868" t="n">
        <v>66.60995397000001</v>
      </c>
      <c r="K868" t="n">
        <v>75.006250521</v>
      </c>
      <c r="L868" t="n">
        <v>82.405451781</v>
      </c>
      <c r="M868" t="n">
        <v>80.69327556</v>
      </c>
      <c r="N868" t="n">
        <v>95.1175873</v>
      </c>
      <c r="O868" t="n">
        <v/>
      </c>
      <c r="P868" t="n">
        <v/>
      </c>
      <c r="Q868" t="n">
        <v>63.200074832</v>
      </c>
      <c r="R868" t="n">
        <v>91.29000000000001</v>
      </c>
      <c r="S868" t="n">
        <v>75.425269063</v>
      </c>
      <c r="T868" t="n">
        <v>79.589671029</v>
      </c>
      <c r="U868" t="n">
        <v/>
      </c>
      <c r="V868" t="n">
        <v>124.312363694</v>
      </c>
      <c r="W868" t="n">
        <v>34.59545913</v>
      </c>
      <c r="X868" t="n">
        <v/>
      </c>
      <c r="Y868" t="n">
        <v/>
      </c>
      <c r="Z868" t="n">
        <v>13.846659072</v>
      </c>
      <c r="AA868" t="n">
        <v/>
      </c>
      <c r="AB868" t="n">
        <v>41.674567587</v>
      </c>
      <c r="AC868" t="n">
        <v>108.390967419</v>
      </c>
      <c r="AD868" t="n">
        <v>106.987763477</v>
      </c>
      <c r="AE868" t="n">
        <v>22.431</v>
      </c>
      <c r="AF868" t="n">
        <v>72.896281403</v>
      </c>
      <c r="AG868" t="n">
        <v/>
      </c>
      <c r="AH868" t="n">
        <v>68.17544473</v>
      </c>
      <c r="AI868" t="n">
        <v>75.50357222700001</v>
      </c>
      <c r="AJ868" t="n">
        <v>88.55818928399999</v>
      </c>
      <c r="AK868" t="n">
        <v/>
      </c>
      <c r="AL868" t="n">
        <v>66.640028591</v>
      </c>
      <c r="AM868" t="n">
        <v>26.786806471</v>
      </c>
      <c r="AN868" t="n">
        <v>112.704947199</v>
      </c>
      <c r="AO868" t="n">
        <v/>
      </c>
      <c r="AP868" t="n">
        <v>46.118138208</v>
      </c>
      <c r="AQ868" t="n">
        <v/>
      </c>
      <c r="AR868" t="n">
        <v>69.425417022</v>
      </c>
      <c r="AS868" t="n">
        <v>33.597200233</v>
      </c>
      <c r="AT868" t="n">
        <v>59.929091786</v>
      </c>
      <c r="AU868" t="n">
        <v/>
      </c>
    </row>
    <row r="869">
      <c r="A869" s="106" t="n">
        <v>33329</v>
      </c>
      <c r="B869" t="n">
        <v>51.100158507</v>
      </c>
      <c r="C869" t="n">
        <v>63.464411778</v>
      </c>
      <c r="D869" t="n">
        <v>66.76372059099999</v>
      </c>
      <c r="E869" t="n">
        <v>65.277436259</v>
      </c>
      <c r="F869" t="n">
        <v/>
      </c>
      <c r="G869" t="n">
        <v/>
      </c>
      <c r="H869" t="n">
        <v>49.157261086</v>
      </c>
      <c r="I869" t="n">
        <v>51.100158507</v>
      </c>
      <c r="J869" t="n">
        <v>61.159319427</v>
      </c>
      <c r="K869" t="n">
        <v>74.406200517</v>
      </c>
      <c r="L869" t="n">
        <v>81.643446282</v>
      </c>
      <c r="M869" t="n">
        <v>80.193317224</v>
      </c>
      <c r="N869" t="n">
        <v>102.21338736</v>
      </c>
      <c r="O869" t="n">
        <v/>
      </c>
      <c r="P869" t="n">
        <v/>
      </c>
      <c r="Q869" t="n">
        <v>63.22244654</v>
      </c>
      <c r="R869" t="n">
        <v>91.27</v>
      </c>
      <c r="S869" t="n">
        <v>75.420878364</v>
      </c>
      <c r="T869" t="n">
        <v>79.377431907</v>
      </c>
      <c r="U869" t="n">
        <v/>
      </c>
      <c r="V869" t="n">
        <v>124.773222679</v>
      </c>
      <c r="W869" t="n">
        <v>34.819233122</v>
      </c>
      <c r="X869" t="n">
        <v/>
      </c>
      <c r="Y869" t="n">
        <v/>
      </c>
      <c r="Z869" t="n">
        <v>14.262653121</v>
      </c>
      <c r="AA869" t="n">
        <v/>
      </c>
      <c r="AB869" t="n">
        <v>42.374980487</v>
      </c>
      <c r="AC869" t="n">
        <v>107.391050746</v>
      </c>
      <c r="AD869" t="n">
        <v>107.393404286</v>
      </c>
      <c r="AE869" t="n">
        <v>22.699</v>
      </c>
      <c r="AF869" t="n">
        <v>72.896638573</v>
      </c>
      <c r="AG869" t="n">
        <v/>
      </c>
      <c r="AH869" t="n">
        <v>68.320037402</v>
      </c>
      <c r="AI869" t="n">
        <v>77.16875209200001</v>
      </c>
      <c r="AJ869" t="n">
        <v>87.574209404</v>
      </c>
      <c r="AK869" t="n">
        <v/>
      </c>
      <c r="AL869" t="n">
        <v>66.607122399</v>
      </c>
      <c r="AM869" t="n">
        <v>25.311228568</v>
      </c>
      <c r="AN869" t="n">
        <v>108.131344437</v>
      </c>
      <c r="AO869" t="n">
        <v/>
      </c>
      <c r="AP869" t="n">
        <v>37.34022572</v>
      </c>
      <c r="AQ869" t="n">
        <v/>
      </c>
      <c r="AR869" t="n">
        <v>69.020604095</v>
      </c>
      <c r="AS869" t="n">
        <v>32.19731689</v>
      </c>
      <c r="AT869" t="n">
        <v>60.088241112</v>
      </c>
      <c r="AU869" t="n">
        <v/>
      </c>
    </row>
    <row r="870">
      <c r="A870" s="106" t="n">
        <v>33359</v>
      </c>
      <c r="B870" t="n">
        <v>50.648414481</v>
      </c>
      <c r="C870" t="n">
        <v>63.001939485</v>
      </c>
      <c r="D870" t="n">
        <v>67.913457333</v>
      </c>
      <c r="E870" t="n">
        <v>65.76661173399999</v>
      </c>
      <c r="F870" t="n">
        <v/>
      </c>
      <c r="G870" t="n">
        <v/>
      </c>
      <c r="H870" t="n">
        <v>50.294729396</v>
      </c>
      <c r="I870" t="n">
        <v>50.648414481</v>
      </c>
      <c r="J870" t="n">
        <v>57.694935313</v>
      </c>
      <c r="K870" t="n">
        <v>73.20610050800001</v>
      </c>
      <c r="L870" t="n">
        <v>82.840883494</v>
      </c>
      <c r="M870" t="n">
        <v>80.193317224</v>
      </c>
      <c r="N870" t="n">
        <v>97.18118699599999</v>
      </c>
      <c r="O870" t="n">
        <v/>
      </c>
      <c r="P870" t="n">
        <v/>
      </c>
      <c r="Q870" t="n">
        <v>62.696711404</v>
      </c>
      <c r="R870" t="n">
        <v>91.39</v>
      </c>
      <c r="S870" t="n">
        <v>75.808000671</v>
      </c>
      <c r="T870" t="n">
        <v>79.05907322199999</v>
      </c>
      <c r="U870" t="n">
        <v/>
      </c>
      <c r="V870" t="n">
        <v>123.309540699</v>
      </c>
      <c r="W870" t="n">
        <v>33.700363163</v>
      </c>
      <c r="X870" t="n">
        <v/>
      </c>
      <c r="Y870" t="n">
        <v/>
      </c>
      <c r="Z870" t="n">
        <v>13.965514514</v>
      </c>
      <c r="AA870" t="n">
        <v/>
      </c>
      <c r="AB870" t="n">
        <v>43.075393388</v>
      </c>
      <c r="AC870" t="n">
        <v>108.690942421</v>
      </c>
      <c r="AD870" t="n">
        <v>108.508916512</v>
      </c>
      <c r="AE870" t="n">
        <v>22.569</v>
      </c>
      <c r="AF870" t="n">
        <v>70.64496511599999</v>
      </c>
      <c r="AG870" t="n">
        <v/>
      </c>
      <c r="AH870" t="n">
        <v>68.753815417</v>
      </c>
      <c r="AI870" t="n">
        <v>79.604848562</v>
      </c>
      <c r="AJ870" t="n">
        <v>90.85414234</v>
      </c>
      <c r="AK870" t="n">
        <v/>
      </c>
      <c r="AL870" t="n">
        <v>66.78757538799999</v>
      </c>
      <c r="AM870" t="n">
        <v>23.829851821</v>
      </c>
      <c r="AN870" t="n">
        <v>110.205952468</v>
      </c>
      <c r="AO870" t="n">
        <v/>
      </c>
      <c r="AP870" t="n">
        <v>35.15709071</v>
      </c>
      <c r="AQ870" t="n">
        <v/>
      </c>
      <c r="AR870" t="n">
        <v>68.615791168</v>
      </c>
      <c r="AS870" t="n">
        <v>33.697191901</v>
      </c>
      <c r="AT870" t="n">
        <v>60.689042214</v>
      </c>
      <c r="AU870" t="n">
        <v/>
      </c>
    </row>
    <row r="871">
      <c r="A871" s="106" t="n">
        <v>33390</v>
      </c>
      <c r="B871" t="n">
        <v>51.143852357</v>
      </c>
      <c r="C871" t="n">
        <v>62.377126597</v>
      </c>
      <c r="D871" t="n">
        <v>70.836070578</v>
      </c>
      <c r="E871" t="n">
        <v>66.10588617499999</v>
      </c>
      <c r="F871" t="n">
        <v/>
      </c>
      <c r="G871" t="n">
        <v/>
      </c>
      <c r="H871" t="n">
        <v>50.057251881</v>
      </c>
      <c r="I871" t="n">
        <v>51.143852357</v>
      </c>
      <c r="J871" t="n">
        <v>57.997264921</v>
      </c>
      <c r="K871" t="n">
        <v>76.40636719699999</v>
      </c>
      <c r="L871" t="n">
        <v>82.18773592399999</v>
      </c>
      <c r="M871" t="n">
        <v>81.69319223399999</v>
      </c>
      <c r="N871" t="n">
        <v>100.22746071</v>
      </c>
      <c r="O871" t="n">
        <v/>
      </c>
      <c r="P871" t="n">
        <v/>
      </c>
      <c r="Q871" t="n">
        <v>57.070226866</v>
      </c>
      <c r="R871" t="n">
        <v>91.75</v>
      </c>
      <c r="S871" t="n">
        <v>76.034200055</v>
      </c>
      <c r="T871" t="n">
        <v>78.74071453800001</v>
      </c>
      <c r="U871" t="n">
        <v/>
      </c>
      <c r="V871" t="n">
        <v>122.13330832</v>
      </c>
      <c r="W871" t="n">
        <v>31.910171229</v>
      </c>
      <c r="X871" t="n">
        <v/>
      </c>
      <c r="Y871" t="n">
        <v/>
      </c>
      <c r="Z871" t="n">
        <v>14.500364006</v>
      </c>
      <c r="AA871" t="n">
        <v/>
      </c>
      <c r="AB871" t="n">
        <v>43.285517258</v>
      </c>
      <c r="AC871" t="n">
        <v>109.090909091</v>
      </c>
      <c r="AD871" t="n">
        <v>105.365200239</v>
      </c>
      <c r="AE871" t="n">
        <v>22.495</v>
      </c>
      <c r="AF871" t="n">
        <v>77.657513833</v>
      </c>
      <c r="AG871" t="n">
        <v/>
      </c>
      <c r="AH871" t="n">
        <v>68.03085205799999</v>
      </c>
      <c r="AI871" t="n">
        <v>79.24251775800001</v>
      </c>
      <c r="AJ871" t="n">
        <v>88.230195991</v>
      </c>
      <c r="AK871" t="n">
        <v/>
      </c>
      <c r="AL871" t="n">
        <v>66.828695045</v>
      </c>
      <c r="AM871" t="n">
        <v>24.611595647</v>
      </c>
      <c r="AN871" t="n">
        <v>113.34864505</v>
      </c>
      <c r="AO871" t="n">
        <v/>
      </c>
      <c r="AP871" t="n">
        <v>35.031505565</v>
      </c>
      <c r="AQ871" t="n">
        <v/>
      </c>
      <c r="AR871" t="n">
        <v>68.41338470399999</v>
      </c>
      <c r="AS871" t="n">
        <v>31.497375219</v>
      </c>
      <c r="AT871" t="n">
        <v>61.173133809</v>
      </c>
      <c r="AU871" t="n">
        <v/>
      </c>
    </row>
    <row r="872">
      <c r="A872" s="106" t="n">
        <v>33420</v>
      </c>
      <c r="B872" t="n">
        <v>50.418593394</v>
      </c>
      <c r="C872" t="n">
        <v>61.928899482</v>
      </c>
      <c r="D872" t="n">
        <v>72.222775962</v>
      </c>
      <c r="E872" t="n">
        <v>66.288210944</v>
      </c>
      <c r="F872" t="n">
        <v/>
      </c>
      <c r="G872" t="n">
        <v/>
      </c>
      <c r="H872" t="n">
        <v>48.905118401</v>
      </c>
      <c r="I872" t="n">
        <v>50.418593394</v>
      </c>
      <c r="J872" t="n">
        <v>55.38529888</v>
      </c>
      <c r="K872" t="n">
        <v>74.206183849</v>
      </c>
      <c r="L872" t="n">
        <v>85.12689999</v>
      </c>
      <c r="M872" t="n">
        <v>80.193317224</v>
      </c>
      <c r="N872" t="n">
        <v>97.773908874</v>
      </c>
      <c r="O872" t="n">
        <v/>
      </c>
      <c r="P872" t="n">
        <v/>
      </c>
      <c r="Q872" t="n">
        <v>62.31639237</v>
      </c>
      <c r="R872" t="n">
        <v>90.19</v>
      </c>
      <c r="S872" t="n">
        <v>76.080824595</v>
      </c>
      <c r="T872" t="n">
        <v>78.316236293</v>
      </c>
      <c r="U872" t="n">
        <v/>
      </c>
      <c r="V872" t="n">
        <v>120.601527237</v>
      </c>
      <c r="W872" t="n">
        <v>32.178700019</v>
      </c>
      <c r="X872" t="n">
        <v/>
      </c>
      <c r="Y872" t="n">
        <v/>
      </c>
      <c r="Z872" t="n">
        <v>14.084369957</v>
      </c>
      <c r="AA872" t="n">
        <v/>
      </c>
      <c r="AB872" t="n">
        <v>43.425599838</v>
      </c>
      <c r="AC872" t="n">
        <v>109.090909091</v>
      </c>
      <c r="AD872" t="n">
        <v>107.697634893</v>
      </c>
      <c r="AE872" t="n">
        <v>23.161</v>
      </c>
      <c r="AF872" t="n">
        <v>73.26925541</v>
      </c>
      <c r="AG872" t="n">
        <v/>
      </c>
      <c r="AH872" t="n">
        <v>69.04300076</v>
      </c>
      <c r="AI872" t="n">
        <v>78.209489508</v>
      </c>
      <c r="AJ872" t="n">
        <v>85.934242935</v>
      </c>
      <c r="AK872" t="n">
        <v/>
      </c>
      <c r="AL872" t="n">
        <v>66.904355221</v>
      </c>
      <c r="AM872" t="n">
        <v>24.311648086</v>
      </c>
      <c r="AN872" t="n">
        <v>111.39296883</v>
      </c>
      <c r="AO872" t="n">
        <v/>
      </c>
      <c r="AP872" t="n">
        <v>34.127814032</v>
      </c>
      <c r="AQ872" t="n">
        <v/>
      </c>
      <c r="AR872" t="n">
        <v>68.514587936</v>
      </c>
      <c r="AS872" t="n">
        <v>32.397300225</v>
      </c>
      <c r="AT872" t="n">
        <v>61.336348632</v>
      </c>
      <c r="AU872" t="n">
        <v/>
      </c>
    </row>
    <row r="873">
      <c r="A873" s="106" t="n">
        <v>33451</v>
      </c>
      <c r="B873" t="n">
        <v>51.244698456</v>
      </c>
      <c r="C873" t="n">
        <v>61.236506562</v>
      </c>
      <c r="D873" t="n">
        <v>72.714266478</v>
      </c>
      <c r="E873" t="n">
        <v>66.20127774300001</v>
      </c>
      <c r="F873" t="n">
        <v/>
      </c>
      <c r="G873" t="n">
        <v/>
      </c>
      <c r="H873" t="n">
        <v>50.162272782</v>
      </c>
      <c r="I873" t="n">
        <v>51.244698456</v>
      </c>
      <c r="J873" t="n">
        <v>58.086638237</v>
      </c>
      <c r="K873" t="n">
        <v>73.00608384</v>
      </c>
      <c r="L873" t="n">
        <v>83.38517313600001</v>
      </c>
      <c r="M873" t="n">
        <v>80.093325556</v>
      </c>
      <c r="N873" t="n">
        <v>97.54704988500001</v>
      </c>
      <c r="O873" t="n">
        <v/>
      </c>
      <c r="P873" t="n">
        <v/>
      </c>
      <c r="Q873" t="n">
        <v>61.164249412</v>
      </c>
      <c r="R873" t="n">
        <v>91.09</v>
      </c>
      <c r="S873" t="n">
        <v>75.723967218</v>
      </c>
      <c r="T873" t="n">
        <v>78.210116732</v>
      </c>
      <c r="U873" t="n">
        <v/>
      </c>
      <c r="V873" t="n">
        <v>124.077776548</v>
      </c>
      <c r="W873" t="n">
        <v>30.388508085</v>
      </c>
      <c r="X873" t="n">
        <v/>
      </c>
      <c r="Y873" t="n">
        <v/>
      </c>
      <c r="Z873" t="n">
        <v>14.619219449</v>
      </c>
      <c r="AA873" t="n">
        <v/>
      </c>
      <c r="AB873" t="n">
        <v>44.266095319</v>
      </c>
      <c r="AC873" t="n">
        <v>109.690859095</v>
      </c>
      <c r="AD873" t="n">
        <v>105.973661453</v>
      </c>
      <c r="AE873" t="n">
        <v>24.03</v>
      </c>
      <c r="AF873" t="n">
        <v>74.08688216199999</v>
      </c>
      <c r="AG873" t="n">
        <v/>
      </c>
      <c r="AH873" t="n">
        <v>68.753815417</v>
      </c>
      <c r="AI873" t="n">
        <v>78.340545331</v>
      </c>
      <c r="AJ873" t="n">
        <v>81.123674628</v>
      </c>
      <c r="AK873" t="n">
        <v/>
      </c>
      <c r="AL873" t="n">
        <v>66.691660908</v>
      </c>
      <c r="AM873" t="n">
        <v>23.717332503</v>
      </c>
      <c r="AN873" t="n">
        <v>113.052105136</v>
      </c>
      <c r="AO873" t="n">
        <v/>
      </c>
      <c r="AP873" t="n">
        <v>33.780105611</v>
      </c>
      <c r="AQ873" t="n">
        <v/>
      </c>
      <c r="AR873" t="n">
        <v>66.794132995</v>
      </c>
      <c r="AS873" t="n">
        <v>32.59728356</v>
      </c>
      <c r="AT873" t="n">
        <v>61.347454379</v>
      </c>
      <c r="AU873" t="n">
        <v/>
      </c>
    </row>
    <row r="874">
      <c r="A874" s="106" t="n">
        <v>33482</v>
      </c>
      <c r="B874" t="n">
        <v>50.509211262</v>
      </c>
      <c r="C874" t="n">
        <v>62.698315593</v>
      </c>
      <c r="D874" t="n">
        <v>69.660003987</v>
      </c>
      <c r="E874" t="n">
        <v>66.470535713</v>
      </c>
      <c r="F874" t="n">
        <v/>
      </c>
      <c r="G874" t="n">
        <v/>
      </c>
      <c r="H874" t="n">
        <v>50.106500216</v>
      </c>
      <c r="I874" t="n">
        <v>50.509211262</v>
      </c>
      <c r="J874" t="n">
        <v>51.39095125</v>
      </c>
      <c r="K874" t="n">
        <v>72.806067172</v>
      </c>
      <c r="L874" t="n">
        <v>83.38517313600001</v>
      </c>
      <c r="M874" t="n">
        <v>80.293308891</v>
      </c>
      <c r="N874" t="n">
        <v>99.986988236</v>
      </c>
      <c r="O874" t="n">
        <v/>
      </c>
      <c r="P874" t="n">
        <v/>
      </c>
      <c r="Q874" t="n">
        <v>61.074762581</v>
      </c>
      <c r="R874" t="n">
        <v>91.43000000000001</v>
      </c>
      <c r="S874" t="n">
        <v>76.07818867500001</v>
      </c>
      <c r="T874" t="n">
        <v>78.422355854</v>
      </c>
      <c r="U874" t="n">
        <v/>
      </c>
      <c r="V874" t="n">
        <v>131.491366674</v>
      </c>
      <c r="W874" t="n">
        <v>29.403902521</v>
      </c>
      <c r="X874" t="n">
        <v/>
      </c>
      <c r="Y874" t="n">
        <v/>
      </c>
      <c r="Z874" t="n">
        <v>14.797502613</v>
      </c>
      <c r="AA874" t="n">
        <v/>
      </c>
      <c r="AB874" t="n">
        <v>42.515063067</v>
      </c>
      <c r="AC874" t="n">
        <v>110.890759103</v>
      </c>
      <c r="AD874" t="n">
        <v>106.075071656</v>
      </c>
      <c r="AE874" t="n">
        <v>23.826</v>
      </c>
      <c r="AF874" t="n">
        <v>74.342490387</v>
      </c>
      <c r="AG874" t="n">
        <v/>
      </c>
      <c r="AH874" t="n">
        <v>68.753815417</v>
      </c>
      <c r="AI874" t="n">
        <v>76.34387132499999</v>
      </c>
      <c r="AJ874" t="n">
        <v>91.400797829</v>
      </c>
      <c r="AK874" t="n">
        <v/>
      </c>
      <c r="AL874" t="n">
        <v>66.959407411</v>
      </c>
      <c r="AM874" t="n">
        <v>23.147686254</v>
      </c>
      <c r="AN874" t="n">
        <v>112.361103917</v>
      </c>
      <c r="AO874" t="n">
        <v/>
      </c>
      <c r="AP874" t="n">
        <v>33.209215636</v>
      </c>
      <c r="AQ874" t="n">
        <v/>
      </c>
      <c r="AR874" t="n">
        <v>67.603758849</v>
      </c>
      <c r="AS874" t="n">
        <v>33.497208566</v>
      </c>
      <c r="AT874" t="n">
        <v>61.860500245</v>
      </c>
      <c r="AU874" t="n">
        <v/>
      </c>
    </row>
    <row r="875">
      <c r="A875" s="106" t="n">
        <v>33512</v>
      </c>
      <c r="B875" t="n">
        <v>50.111760857</v>
      </c>
      <c r="C875" t="n">
        <v>62.794957104</v>
      </c>
      <c r="D875" t="n">
        <v>71.388997409</v>
      </c>
      <c r="E875" t="n">
        <v>66.18201146600001</v>
      </c>
      <c r="F875" t="n">
        <v/>
      </c>
      <c r="G875" t="n">
        <v/>
      </c>
      <c r="H875" t="n">
        <v>51.241542838</v>
      </c>
      <c r="I875" t="n">
        <v>50.111760857</v>
      </c>
      <c r="J875" t="n">
        <v>52.023112396</v>
      </c>
      <c r="K875" t="n">
        <v>73.906158847</v>
      </c>
      <c r="L875" t="n">
        <v>81.53458835399999</v>
      </c>
      <c r="M875" t="n">
        <v>80.59328389300001</v>
      </c>
      <c r="N875" t="n">
        <v>100.58707523</v>
      </c>
      <c r="O875" t="n">
        <v/>
      </c>
      <c r="P875" t="n">
        <v/>
      </c>
      <c r="Q875" t="n">
        <v>60.593770861</v>
      </c>
      <c r="R875" t="n">
        <v>91.04000000000001</v>
      </c>
      <c r="S875" t="n">
        <v>76.047447729</v>
      </c>
      <c r="T875" t="n">
        <v>78.8468341</v>
      </c>
      <c r="U875" t="n">
        <v/>
      </c>
      <c r="V875" t="n">
        <v>123.33107811</v>
      </c>
      <c r="W875" t="n">
        <v>29.627676513</v>
      </c>
      <c r="X875" t="n">
        <v/>
      </c>
      <c r="Y875" t="n">
        <v/>
      </c>
      <c r="Z875" t="n">
        <v>14.738074892</v>
      </c>
      <c r="AA875" t="n">
        <v/>
      </c>
      <c r="AB875" t="n">
        <v>44.196054029</v>
      </c>
      <c r="AC875" t="n">
        <v>110.190817432</v>
      </c>
      <c r="AD875" t="n">
        <v>105.365200239</v>
      </c>
      <c r="AE875" t="n">
        <v>24.03</v>
      </c>
      <c r="AF875" t="n">
        <v>71.481910965</v>
      </c>
      <c r="AG875" t="n">
        <v/>
      </c>
      <c r="AH875" t="n">
        <v>71.067298165</v>
      </c>
      <c r="AI875" t="n">
        <v>78.803095293</v>
      </c>
      <c r="AJ875" t="n">
        <v>87.683540501</v>
      </c>
      <c r="AK875" t="n">
        <v/>
      </c>
      <c r="AL875" t="n">
        <v>67.07631217300001</v>
      </c>
      <c r="AM875" t="n">
        <v>23.420760105</v>
      </c>
      <c r="AN875" t="n">
        <v>111.796482396</v>
      </c>
      <c r="AO875" t="n">
        <v/>
      </c>
      <c r="AP875" t="n">
        <v>33.88188441</v>
      </c>
      <c r="AQ875" t="n">
        <v/>
      </c>
      <c r="AR875" t="n">
        <v>67.907368545</v>
      </c>
      <c r="AS875" t="n">
        <v>33.497208566</v>
      </c>
      <c r="AT875" t="n">
        <v>61.798427049</v>
      </c>
      <c r="AU875" t="n">
        <v/>
      </c>
    </row>
    <row r="876">
      <c r="A876" s="106" t="n">
        <v>33543</v>
      </c>
      <c r="B876" t="n">
        <v>50.340250993</v>
      </c>
      <c r="C876" t="n">
        <v>62.085685448</v>
      </c>
      <c r="D876" t="n">
        <v>67.11478524499999</v>
      </c>
      <c r="E876" t="n">
        <v>65.846026389</v>
      </c>
      <c r="F876" t="n">
        <v/>
      </c>
      <c r="G876" t="n">
        <v/>
      </c>
      <c r="H876" t="n">
        <v>52.34571437</v>
      </c>
      <c r="I876" t="n">
        <v>50.340250993</v>
      </c>
      <c r="J876" t="n">
        <v>51.951103054</v>
      </c>
      <c r="K876" t="n">
        <v>74.706225519</v>
      </c>
      <c r="L876" t="n">
        <v>82.840883494</v>
      </c>
      <c r="M876" t="n">
        <v>81.493208899</v>
      </c>
      <c r="N876" t="n">
        <v>100.293391876</v>
      </c>
      <c r="O876" t="n">
        <v/>
      </c>
      <c r="P876" t="n">
        <v/>
      </c>
      <c r="Q876" t="n">
        <v>60.112779141</v>
      </c>
      <c r="R876" t="n">
        <v>92.48</v>
      </c>
      <c r="S876" t="n">
        <v>76.338821151</v>
      </c>
      <c r="T876" t="n">
        <v>79.271312345</v>
      </c>
      <c r="U876" t="n">
        <v/>
      </c>
      <c r="V876" t="n">
        <v>121.432315726</v>
      </c>
      <c r="W876" t="n">
        <v>29.806695706</v>
      </c>
      <c r="X876" t="n">
        <v/>
      </c>
      <c r="Y876" t="n">
        <v/>
      </c>
      <c r="Z876" t="n">
        <v>15.332352105</v>
      </c>
      <c r="AA876" t="n">
        <v/>
      </c>
      <c r="AB876" t="n">
        <v>44.196054029</v>
      </c>
      <c r="AC876" t="n">
        <v>110.790767436</v>
      </c>
      <c r="AD876" t="n">
        <v>106.075071656</v>
      </c>
      <c r="AE876" t="n">
        <v>24.168</v>
      </c>
      <c r="AF876" t="n">
        <v>74.585701386</v>
      </c>
      <c r="AG876" t="n">
        <v/>
      </c>
      <c r="AH876" t="n">
        <v>70.63352015</v>
      </c>
      <c r="AI876" t="n">
        <v>80.02885269399999</v>
      </c>
      <c r="AJ876" t="n">
        <v>88.120864893</v>
      </c>
      <c r="AK876" t="n">
        <v/>
      </c>
      <c r="AL876" t="n">
        <v>67.249856541</v>
      </c>
      <c r="AM876" t="n">
        <v>22.747154395</v>
      </c>
      <c r="AN876" t="n">
        <v>111.411791321</v>
      </c>
      <c r="AO876" t="n">
        <v/>
      </c>
      <c r="AP876" t="n">
        <v>33.680507383</v>
      </c>
      <c r="AQ876" t="n">
        <v/>
      </c>
      <c r="AR876" t="n">
        <v>68.91940086300001</v>
      </c>
      <c r="AS876" t="n">
        <v>33.397216899</v>
      </c>
      <c r="AT876" t="n">
        <v>61.718901966</v>
      </c>
      <c r="AU876" t="n">
        <v/>
      </c>
    </row>
    <row r="877">
      <c r="A877" s="106" t="n">
        <v>33573</v>
      </c>
      <c r="B877" t="n">
        <v>50.783888964</v>
      </c>
      <c r="C877" t="n">
        <v>62.476623946</v>
      </c>
      <c r="D877" t="n">
        <v>63.024882025</v>
      </c>
      <c r="E877" t="n">
        <v>65.14915104799999</v>
      </c>
      <c r="F877" t="n">
        <v/>
      </c>
      <c r="G877" t="n">
        <v/>
      </c>
      <c r="H877" t="n">
        <v>52.164408011</v>
      </c>
      <c r="I877" t="n">
        <v>50.783888964</v>
      </c>
      <c r="J877" t="n">
        <v>58.728846274</v>
      </c>
      <c r="K877" t="n">
        <v>74.80623385299999</v>
      </c>
      <c r="L877" t="n">
        <v>83.494031065</v>
      </c>
      <c r="M877" t="n">
        <v>80.893258895</v>
      </c>
      <c r="N877" t="n">
        <v>101.300687453</v>
      </c>
      <c r="O877" t="n">
        <v/>
      </c>
      <c r="P877" t="n">
        <v/>
      </c>
      <c r="Q877" t="n">
        <v>61.074762581</v>
      </c>
      <c r="R877" t="n">
        <v>91.63</v>
      </c>
      <c r="S877" t="n">
        <v>75.85389583200001</v>
      </c>
      <c r="T877" t="n">
        <v>79.377431907</v>
      </c>
      <c r="U877" t="n">
        <v/>
      </c>
      <c r="V877" t="n">
        <v>121.628706893</v>
      </c>
      <c r="W877" t="n">
        <v>28.956354537</v>
      </c>
      <c r="X877" t="n">
        <v/>
      </c>
      <c r="Y877" t="n">
        <v/>
      </c>
      <c r="Z877" t="n">
        <v>14.797502613</v>
      </c>
      <c r="AA877" t="n">
        <v/>
      </c>
      <c r="AB877" t="n">
        <v>43.705764998</v>
      </c>
      <c r="AC877" t="n">
        <v>109.290892426</v>
      </c>
      <c r="AD877" t="n">
        <v>104.655328823</v>
      </c>
      <c r="AE877" t="n">
        <v>24.168</v>
      </c>
      <c r="AF877" t="n">
        <v>75.177853863</v>
      </c>
      <c r="AG877" t="n">
        <v/>
      </c>
      <c r="AH877" t="n">
        <v>69.621371447</v>
      </c>
      <c r="AI877" t="n">
        <v>78.810804459</v>
      </c>
      <c r="AJ877" t="n">
        <v>89.214175872</v>
      </c>
      <c r="AK877" t="n">
        <v/>
      </c>
      <c r="AL877" t="n">
        <v>66.926999667</v>
      </c>
      <c r="AM877" t="n">
        <v>23.068645331</v>
      </c>
      <c r="AN877" t="n">
        <v>109.709420508</v>
      </c>
      <c r="AO877" t="n">
        <v/>
      </c>
      <c r="AP877" t="n">
        <v>32.726344363</v>
      </c>
      <c r="AQ877" t="n">
        <v/>
      </c>
      <c r="AR877" t="n">
        <v>67.80616531299999</v>
      </c>
      <c r="AS877" t="n">
        <v>33.097241897</v>
      </c>
      <c r="AT877" t="n">
        <v>61.448992641</v>
      </c>
      <c r="AU877" t="n">
        <v/>
      </c>
    </row>
    <row r="878">
      <c r="A878" s="106" t="n">
        <v>33604</v>
      </c>
      <c r="B878" t="n">
        <v>50.422900686</v>
      </c>
      <c r="C878" t="n">
        <v>63.328985047</v>
      </c>
      <c r="D878" t="n">
        <v>63.209190968</v>
      </c>
      <c r="E878" t="n">
        <v>66.06547398399999</v>
      </c>
      <c r="F878" t="n">
        <v/>
      </c>
      <c r="G878" t="n">
        <v/>
      </c>
      <c r="H878" t="n">
        <v>53.521703097</v>
      </c>
      <c r="I878" t="n">
        <v>50.422900686</v>
      </c>
      <c r="J878" t="n">
        <v>53.027305053</v>
      </c>
      <c r="K878" t="n">
        <v>75.706308859</v>
      </c>
      <c r="L878" t="n">
        <v>84.800326205</v>
      </c>
      <c r="M878" t="n">
        <v>81.89317556899999</v>
      </c>
      <c r="N878" t="n">
        <v>99.72508310400001</v>
      </c>
      <c r="O878" t="n">
        <v/>
      </c>
      <c r="P878" t="n">
        <v/>
      </c>
      <c r="Q878" t="n">
        <v>60.81748794</v>
      </c>
      <c r="R878" t="n">
        <v>91.88</v>
      </c>
      <c r="S878" t="n">
        <v>75.80532169200001</v>
      </c>
      <c r="T878" t="n">
        <v>79.377431907</v>
      </c>
      <c r="U878" t="n">
        <v/>
      </c>
      <c r="V878" t="n">
        <v>124.405443942</v>
      </c>
      <c r="W878" t="n">
        <v>28.941784335</v>
      </c>
      <c r="X878" t="n">
        <v/>
      </c>
      <c r="Y878" t="n">
        <v/>
      </c>
      <c r="Z878" t="n">
        <v>15.451207548</v>
      </c>
      <c r="AA878" t="n">
        <v/>
      </c>
      <c r="AB878" t="n">
        <v>44.546260479</v>
      </c>
      <c r="AC878" t="n">
        <v>110.190817432</v>
      </c>
      <c r="AD878" t="n">
        <v>103.945457407</v>
      </c>
      <c r="AE878" t="n">
        <v>24.094</v>
      </c>
      <c r="AF878" t="n">
        <v>72.21271754599999</v>
      </c>
      <c r="AG878" t="n">
        <v/>
      </c>
      <c r="AH878" t="n">
        <v>69.621371447</v>
      </c>
      <c r="AI878" t="n">
        <v>80.283255173</v>
      </c>
      <c r="AJ878" t="n">
        <v>91.07280453600001</v>
      </c>
      <c r="AK878" t="n">
        <v/>
      </c>
      <c r="AL878" t="n">
        <v>66.950674492</v>
      </c>
      <c r="AM878" t="n">
        <v>24.367464962</v>
      </c>
      <c r="AN878" t="n">
        <v>112.791775374</v>
      </c>
      <c r="AO878" t="n">
        <v/>
      </c>
      <c r="AP878" t="n">
        <v>33.310290227</v>
      </c>
      <c r="AQ878" t="n">
        <v>66.965544501</v>
      </c>
      <c r="AR878" t="n">
        <v>69.121807327</v>
      </c>
      <c r="AS878" t="n">
        <v>33.297225231</v>
      </c>
      <c r="AT878" t="n">
        <v>61.128314186</v>
      </c>
      <c r="AU878" t="n">
        <v/>
      </c>
    </row>
    <row r="879">
      <c r="A879" s="106" t="n">
        <v>33635</v>
      </c>
      <c r="B879" t="n">
        <v>50.324216519</v>
      </c>
      <c r="C879" t="n">
        <v>63.270105668</v>
      </c>
      <c r="D879" t="n">
        <v>65.39456844</v>
      </c>
      <c r="E879" t="n">
        <v>66.000156606</v>
      </c>
      <c r="F879" t="n">
        <v/>
      </c>
      <c r="G879" t="n">
        <v/>
      </c>
      <c r="H879" t="n">
        <v>53.325939709</v>
      </c>
      <c r="I879" t="n">
        <v>50.324216519</v>
      </c>
      <c r="J879" t="n">
        <v>53.155529878</v>
      </c>
      <c r="K879" t="n">
        <v>77.006417201</v>
      </c>
      <c r="L879" t="n">
        <v>85.67118963199999</v>
      </c>
      <c r="M879" t="n">
        <v>82.193150571</v>
      </c>
      <c r="N879" t="n">
        <v>100.036083363</v>
      </c>
      <c r="O879" t="n">
        <v/>
      </c>
      <c r="P879" t="n">
        <v/>
      </c>
      <c r="Q879" t="n">
        <v>62.607224572</v>
      </c>
      <c r="R879" t="n">
        <v>91.16</v>
      </c>
      <c r="S879" t="n">
        <v>76.093828653</v>
      </c>
      <c r="T879" t="n">
        <v>79.165192784</v>
      </c>
      <c r="U879" t="n">
        <v/>
      </c>
      <c r="V879" t="n">
        <v>121.179811708</v>
      </c>
      <c r="W879" t="n">
        <v>29.322597287</v>
      </c>
      <c r="X879" t="n">
        <v/>
      </c>
      <c r="Y879" t="n">
        <v/>
      </c>
      <c r="Z879" t="n">
        <v>15.332352105</v>
      </c>
      <c r="AA879" t="n">
        <v/>
      </c>
      <c r="AB879" t="n">
        <v>43.495641128</v>
      </c>
      <c r="AC879" t="n">
        <v>110.190817432</v>
      </c>
      <c r="AD879" t="n">
        <v>103.641226799</v>
      </c>
      <c r="AE879" t="n">
        <v>24.695</v>
      </c>
      <c r="AF879" t="n">
        <v>74.623204281</v>
      </c>
      <c r="AG879" t="n">
        <v/>
      </c>
      <c r="AH879" t="n">
        <v>69.693667783</v>
      </c>
      <c r="AI879" t="n">
        <v>78.702876135</v>
      </c>
      <c r="AJ879" t="n">
        <v>90.088824655</v>
      </c>
      <c r="AK879" t="n">
        <v/>
      </c>
      <c r="AL879" t="n">
        <v>67.16821344100001</v>
      </c>
      <c r="AM879" t="n">
        <v>24.646837886</v>
      </c>
      <c r="AN879" t="n">
        <v>113.567147259</v>
      </c>
      <c r="AO879" t="n">
        <v/>
      </c>
      <c r="AP879" t="n">
        <v>31.897312076</v>
      </c>
      <c r="AQ879" t="n">
        <v>70.716240109</v>
      </c>
      <c r="AR879" t="n">
        <v>68.91940086300001</v>
      </c>
      <c r="AS879" t="n">
        <v>32.997250229</v>
      </c>
      <c r="AT879" t="n">
        <v>61.556976202</v>
      </c>
      <c r="AU879" t="n">
        <v/>
      </c>
    </row>
    <row r="880">
      <c r="A880" s="106" t="n">
        <v>33664</v>
      </c>
      <c r="B880" t="n">
        <v>50.208876673</v>
      </c>
      <c r="C880" t="n">
        <v>62.975422441</v>
      </c>
      <c r="D880" t="n">
        <v>64.402810792</v>
      </c>
      <c r="E880" t="n">
        <v>65.94517723</v>
      </c>
      <c r="F880" t="n">
        <v/>
      </c>
      <c r="G880" t="n">
        <v/>
      </c>
      <c r="H880" t="n">
        <v>54.431627073</v>
      </c>
      <c r="I880" t="n">
        <v>50.208876673</v>
      </c>
      <c r="J880" t="n">
        <v>53.146839401</v>
      </c>
      <c r="K880" t="n">
        <v>74.80623385299999</v>
      </c>
      <c r="L880" t="n">
        <v>86.759768916</v>
      </c>
      <c r="M880" t="n">
        <v>81.393217232</v>
      </c>
      <c r="N880" t="n">
        <v>98.77208231</v>
      </c>
      <c r="O880" t="n">
        <v/>
      </c>
      <c r="P880" t="n">
        <v/>
      </c>
      <c r="Q880" t="n">
        <v>62.159790414</v>
      </c>
      <c r="R880" t="n">
        <v>92.05</v>
      </c>
      <c r="S880" t="n">
        <v>75.79976730200001</v>
      </c>
      <c r="T880" t="n">
        <v>78.952953661</v>
      </c>
      <c r="U880" t="n">
        <v/>
      </c>
      <c r="V880" t="n">
        <v>122.89662707</v>
      </c>
      <c r="W880" t="n">
        <v>29.322597287</v>
      </c>
      <c r="X880" t="n">
        <v/>
      </c>
      <c r="Y880" t="n">
        <v/>
      </c>
      <c r="Z880" t="n">
        <v>15.807773876</v>
      </c>
      <c r="AA880" t="n">
        <v/>
      </c>
      <c r="AB880" t="n">
        <v>45.59687983</v>
      </c>
      <c r="AC880" t="n">
        <v>109.990834097</v>
      </c>
      <c r="AD880" t="n">
        <v>102.120073764</v>
      </c>
      <c r="AE880" t="n">
        <v>24.695</v>
      </c>
      <c r="AF880" t="n">
        <v>74.44866067700001</v>
      </c>
      <c r="AG880" t="n">
        <v/>
      </c>
      <c r="AH880" t="n">
        <v>72.80241022600001</v>
      </c>
      <c r="AI880" t="n">
        <v>77.646720387</v>
      </c>
      <c r="AJ880" t="n">
        <v>92.275446612</v>
      </c>
      <c r="AK880" t="n">
        <v/>
      </c>
      <c r="AL880" t="n">
        <v>67.148270751</v>
      </c>
      <c r="AM880" t="n">
        <v>25.560471958</v>
      </c>
      <c r="AN880" t="n">
        <v>109.808239927</v>
      </c>
      <c r="AO880" t="n">
        <v/>
      </c>
      <c r="AP880" t="n">
        <v>35.883550222</v>
      </c>
      <c r="AQ880" t="n">
        <v>67.043683993</v>
      </c>
      <c r="AR880" t="n">
        <v>68.21097824</v>
      </c>
      <c r="AS880" t="n">
        <v>33.097241897</v>
      </c>
      <c r="AT880" t="n">
        <v>62.068733008</v>
      </c>
      <c r="AU880" t="n">
        <v/>
      </c>
    </row>
    <row r="881">
      <c r="A881" s="106" t="n">
        <v>33695</v>
      </c>
      <c r="B881" t="n">
        <v>50.857547209</v>
      </c>
      <c r="C881" t="n">
        <v>62.686344256</v>
      </c>
      <c r="D881" t="n">
        <v>64.797758528</v>
      </c>
      <c r="E881" t="n">
        <v>66.546661003</v>
      </c>
      <c r="F881" t="n">
        <v/>
      </c>
      <c r="G881" t="n">
        <v/>
      </c>
      <c r="H881" t="n">
        <v>55.184267712</v>
      </c>
      <c r="I881" t="n">
        <v>50.857547209</v>
      </c>
      <c r="J881" t="n">
        <v>55.168561435</v>
      </c>
      <c r="K881" t="n">
        <v>74.706225519</v>
      </c>
      <c r="L881" t="n">
        <v>86.106621346</v>
      </c>
      <c r="M881" t="n">
        <v>81.293225565</v>
      </c>
      <c r="N881" t="n">
        <v>98.719082266</v>
      </c>
      <c r="O881" t="n">
        <v/>
      </c>
      <c r="P881" t="n">
        <v/>
      </c>
      <c r="Q881" t="n">
        <v>62.003188459</v>
      </c>
      <c r="R881" t="n">
        <v>91.37</v>
      </c>
      <c r="S881" t="n">
        <v>75.925265177</v>
      </c>
      <c r="T881" t="n">
        <v>78.74071453800001</v>
      </c>
      <c r="U881" t="n">
        <v/>
      </c>
      <c r="V881" t="n">
        <v>120.490964176</v>
      </c>
      <c r="W881" t="n">
        <v>29.527650415</v>
      </c>
      <c r="X881" t="n">
        <v/>
      </c>
      <c r="Y881" t="n">
        <v/>
      </c>
      <c r="Z881" t="n">
        <v>15.57006299</v>
      </c>
      <c r="AA881" t="n">
        <v/>
      </c>
      <c r="AB881" t="n">
        <v>45.66692112</v>
      </c>
      <c r="AC881" t="n">
        <v>110.290809099</v>
      </c>
      <c r="AD881" t="n">
        <v>101.613022753</v>
      </c>
      <c r="AE881" t="n">
        <v>24.427</v>
      </c>
      <c r="AF881" t="n">
        <v>71.730993204</v>
      </c>
      <c r="AG881" t="n">
        <v/>
      </c>
      <c r="AH881" t="n">
        <v>70.48892747799999</v>
      </c>
      <c r="AI881" t="n">
        <v>79.56630273099999</v>
      </c>
      <c r="AJ881" t="n">
        <v>93.696750885</v>
      </c>
      <c r="AK881" t="n">
        <v/>
      </c>
      <c r="AL881" t="n">
        <v>67.177398786</v>
      </c>
      <c r="AM881" t="n">
        <v>25.771794352</v>
      </c>
      <c r="AN881" t="n">
        <v>110.822426172</v>
      </c>
      <c r="AO881" t="n">
        <v/>
      </c>
      <c r="AP881" t="n">
        <v>33.225823744</v>
      </c>
      <c r="AQ881" t="n">
        <v>67.434381452</v>
      </c>
      <c r="AR881" t="n">
        <v>69.425417022</v>
      </c>
      <c r="AS881" t="n">
        <v>33.097241897</v>
      </c>
      <c r="AT881" t="n">
        <v>62.541818014</v>
      </c>
      <c r="AU881" t="n">
        <v/>
      </c>
    </row>
    <row r="882">
      <c r="A882" s="106" t="n">
        <v>33725</v>
      </c>
      <c r="B882" t="n">
        <v>52.213012507</v>
      </c>
      <c r="C882" t="n">
        <v>62.287512693</v>
      </c>
      <c r="D882" t="n">
        <v>63.314510365</v>
      </c>
      <c r="E882" t="n">
        <v>66.20127774300001</v>
      </c>
      <c r="F882" t="n">
        <v/>
      </c>
      <c r="G882" t="n">
        <v/>
      </c>
      <c r="H882" t="n">
        <v>55.707510391</v>
      </c>
      <c r="I882" t="n">
        <v>52.213012507</v>
      </c>
      <c r="J882" t="n">
        <v>53.860030535</v>
      </c>
      <c r="K882" t="n">
        <v>74.206183849</v>
      </c>
      <c r="L882" t="n">
        <v>85.45347377500001</v>
      </c>
      <c r="M882" t="n">
        <v>80.793267228</v>
      </c>
      <c r="N882" t="n">
        <v>97.741081451</v>
      </c>
      <c r="O882" t="n">
        <v/>
      </c>
      <c r="P882" t="n">
        <v/>
      </c>
      <c r="Q882" t="n">
        <v>61.980816751</v>
      </c>
      <c r="R882" t="n">
        <v>91.40000000000001</v>
      </c>
      <c r="S882" t="n">
        <v>75.53220291300001</v>
      </c>
      <c r="T882" t="n">
        <v>78.63459497700001</v>
      </c>
      <c r="U882" t="n">
        <v/>
      </c>
      <c r="V882" t="n">
        <v>120.339172224</v>
      </c>
      <c r="W882" t="n">
        <v>29.029664247</v>
      </c>
      <c r="X882" t="n">
        <v/>
      </c>
      <c r="Y882" t="n">
        <v/>
      </c>
      <c r="Z882" t="n">
        <v>15.688918433</v>
      </c>
      <c r="AA882" t="n">
        <v/>
      </c>
      <c r="AB882" t="n">
        <v>45.8070037</v>
      </c>
      <c r="AC882" t="n">
        <v>109.990834097</v>
      </c>
      <c r="AD882" t="n">
        <v>99.280588099</v>
      </c>
      <c r="AE882" t="n">
        <v>24.233</v>
      </c>
      <c r="AF882" t="n">
        <v>73.163039799</v>
      </c>
      <c r="AG882" t="n">
        <v/>
      </c>
      <c r="AH882" t="n">
        <v>72.079446867</v>
      </c>
      <c r="AI882" t="n">
        <v>78.047597021</v>
      </c>
      <c r="AJ882" t="n">
        <v>92.60343990600001</v>
      </c>
      <c r="AK882" t="n">
        <v/>
      </c>
      <c r="AL882" t="n">
        <v>66.90306676199999</v>
      </c>
      <c r="AM882" t="n">
        <v>24.680183743</v>
      </c>
      <c r="AN882" t="n">
        <v>112.64017431</v>
      </c>
      <c r="AO882" t="n">
        <v/>
      </c>
      <c r="AP882" t="n">
        <v>31.200057921</v>
      </c>
      <c r="AQ882" t="n">
        <v>66.965544501</v>
      </c>
      <c r="AR882" t="n">
        <v>68.615791168</v>
      </c>
      <c r="AS882" t="n">
        <v>33.997166903</v>
      </c>
      <c r="AT882" t="n">
        <v>62.743605478</v>
      </c>
      <c r="AU882" t="n">
        <v/>
      </c>
    </row>
    <row r="883">
      <c r="A883" s="106" t="n">
        <v>33756</v>
      </c>
      <c r="B883" t="n">
        <v>51.384420917</v>
      </c>
      <c r="C883" t="n">
        <v>63.230795448</v>
      </c>
      <c r="D883" t="n">
        <v>64.446693874</v>
      </c>
      <c r="E883" t="n">
        <v>66.43764206900001</v>
      </c>
      <c r="F883" t="n">
        <v/>
      </c>
      <c r="G883" t="n">
        <v/>
      </c>
      <c r="H883" t="n">
        <v>55.695302063</v>
      </c>
      <c r="I883" t="n">
        <v>51.384420917</v>
      </c>
      <c r="J883" t="n">
        <v>52.889517771</v>
      </c>
      <c r="K883" t="n">
        <v>73.00608384</v>
      </c>
      <c r="L883" t="n">
        <v>87.08634270100001</v>
      </c>
      <c r="M883" t="n">
        <v>79.993333889</v>
      </c>
      <c r="N883" t="n">
        <v>96.596080497</v>
      </c>
      <c r="O883" t="n">
        <v/>
      </c>
      <c r="P883" t="n">
        <v/>
      </c>
      <c r="Q883" t="n">
        <v>62.170976268</v>
      </c>
      <c r="R883" t="n">
        <v>90.25</v>
      </c>
      <c r="S883" t="n">
        <v>75.67173843499999</v>
      </c>
      <c r="T883" t="n">
        <v>78.8468341</v>
      </c>
      <c r="U883" t="n">
        <v/>
      </c>
      <c r="V883" t="n">
        <v>122.177845898</v>
      </c>
      <c r="W883" t="n">
        <v>29.351890591</v>
      </c>
      <c r="X883" t="n">
        <v/>
      </c>
      <c r="Y883" t="n">
        <v/>
      </c>
      <c r="Z883" t="n">
        <v>15.391779826</v>
      </c>
      <c r="AA883" t="n">
        <v/>
      </c>
      <c r="AB883" t="n">
        <v>45.45679725</v>
      </c>
      <c r="AC883" t="n">
        <v>109.790850762</v>
      </c>
      <c r="AD883" t="n">
        <v>101.308792145</v>
      </c>
      <c r="AE883" t="n">
        <v>24.566</v>
      </c>
      <c r="AF883" t="n">
        <v>72.028035479</v>
      </c>
      <c r="AG883" t="n">
        <v/>
      </c>
      <c r="AH883" t="n">
        <v>72.224039539</v>
      </c>
      <c r="AI883" t="n">
        <v>78.24803533799999</v>
      </c>
      <c r="AJ883" t="n">
        <v>93.696750885</v>
      </c>
      <c r="AK883" t="n">
        <v/>
      </c>
      <c r="AL883" t="n">
        <v>66.969951583</v>
      </c>
      <c r="AM883" t="n">
        <v>24.755668907</v>
      </c>
      <c r="AN883" t="n">
        <v>110.939318204</v>
      </c>
      <c r="AO883" t="n">
        <v/>
      </c>
      <c r="AP883" t="n">
        <v>33.089638039</v>
      </c>
      <c r="AQ883" t="n">
        <v>65.090196697</v>
      </c>
      <c r="AR883" t="n">
        <v>68.008571777</v>
      </c>
      <c r="AS883" t="n">
        <v>33.197233564</v>
      </c>
      <c r="AT883" t="n">
        <v>62.777418512</v>
      </c>
      <c r="AU883" t="n">
        <v/>
      </c>
    </row>
    <row r="884">
      <c r="A884" s="106" t="n">
        <v>33786</v>
      </c>
      <c r="B884" t="n">
        <v>49.354527097</v>
      </c>
      <c r="C884" t="n">
        <v>63.117973535</v>
      </c>
      <c r="D884" t="n">
        <v>64.45547049</v>
      </c>
      <c r="E884" t="n">
        <v>65.776949737</v>
      </c>
      <c r="F884" t="n">
        <v/>
      </c>
      <c r="G884" t="n">
        <v/>
      </c>
      <c r="H884" t="n">
        <v>58.12656342</v>
      </c>
      <c r="I884" t="n">
        <v>49.354527097</v>
      </c>
      <c r="J884" t="n">
        <v>53.838897954</v>
      </c>
      <c r="K884" t="n">
        <v>71.705975498</v>
      </c>
      <c r="L884" t="n">
        <v>85.562331704</v>
      </c>
      <c r="M884" t="n">
        <v>78.99341721499999</v>
      </c>
      <c r="N884" t="n">
        <v>95.57707964799999</v>
      </c>
      <c r="O884" t="n">
        <v/>
      </c>
      <c r="P884" t="n">
        <v/>
      </c>
      <c r="Q884" t="n">
        <v>61.253736244</v>
      </c>
      <c r="R884" t="n">
        <v>89.94</v>
      </c>
      <c r="S884" t="n">
        <v>75.64151072</v>
      </c>
      <c r="T884" t="n">
        <v>79.271312345</v>
      </c>
      <c r="U884" t="n">
        <v/>
      </c>
      <c r="V884" t="n">
        <v>123.361993295</v>
      </c>
      <c r="W884" t="n">
        <v>28.912491031</v>
      </c>
      <c r="X884" t="n">
        <v/>
      </c>
      <c r="Y884" t="n">
        <v/>
      </c>
      <c r="Z884" t="n">
        <v>16.045484761</v>
      </c>
      <c r="AA884" t="n">
        <v/>
      </c>
      <c r="AB884" t="n">
        <v>46.367334021</v>
      </c>
      <c r="AC884" t="n">
        <v>108.390967419</v>
      </c>
      <c r="AD884" t="n">
        <v>101.105971741</v>
      </c>
      <c r="AE884" t="n">
        <v>24.963</v>
      </c>
      <c r="AF884" t="n">
        <v>72.279028935</v>
      </c>
      <c r="AG884" t="n">
        <v/>
      </c>
      <c r="AH884" t="n">
        <v>73.453077249</v>
      </c>
      <c r="AI884" t="n">
        <v>79.63568522600001</v>
      </c>
      <c r="AJ884" t="n">
        <v>93.587419787</v>
      </c>
      <c r="AK884" t="n">
        <v/>
      </c>
      <c r="AL884" t="n">
        <v>67.130562762</v>
      </c>
      <c r="AM884" t="n">
        <v>26.058204194</v>
      </c>
      <c r="AN884" t="n">
        <v>109.327309565</v>
      </c>
      <c r="AO884" t="n">
        <v/>
      </c>
      <c r="AP884" t="n">
        <v>33.364251647</v>
      </c>
      <c r="AQ884" t="n">
        <v>65.71531263200001</v>
      </c>
      <c r="AR884" t="n">
        <v>69.52662025399999</v>
      </c>
      <c r="AS884" t="n">
        <v>33.797183568</v>
      </c>
      <c r="AT884" t="n">
        <v>63.339349497</v>
      </c>
      <c r="AU884" t="n">
        <v/>
      </c>
    </row>
    <row r="885">
      <c r="A885" s="106" t="n">
        <v>33817</v>
      </c>
      <c r="B885" t="n">
        <v>49.606927748</v>
      </c>
      <c r="C885" t="n">
        <v>61.964748506</v>
      </c>
      <c r="D885" t="n">
        <v>64.09562922000001</v>
      </c>
      <c r="E885" t="n">
        <v>66.224773203</v>
      </c>
      <c r="F885" t="n">
        <v/>
      </c>
      <c r="G885" t="n">
        <v/>
      </c>
      <c r="H885" t="n">
        <v>56.9062731</v>
      </c>
      <c r="I885" t="n">
        <v>49.606927748</v>
      </c>
      <c r="J885" t="n">
        <v>54.113912145</v>
      </c>
      <c r="K885" t="n">
        <v>71.905992166</v>
      </c>
      <c r="L885" t="n">
        <v>85.888905489</v>
      </c>
      <c r="M885" t="n">
        <v>78.893425548</v>
      </c>
      <c r="N885" t="n">
        <v>95.168079307</v>
      </c>
      <c r="O885" t="n">
        <v/>
      </c>
      <c r="P885" t="n">
        <v/>
      </c>
      <c r="Q885" t="n">
        <v>62.640782134</v>
      </c>
      <c r="R885" t="n">
        <v>90.23</v>
      </c>
      <c r="S885" t="n">
        <v>74.969470098</v>
      </c>
      <c r="T885" t="n">
        <v>79.589671029</v>
      </c>
      <c r="U885" t="n">
        <v/>
      </c>
      <c r="V885" t="n">
        <v>124.115191506</v>
      </c>
      <c r="W885" t="n">
        <v>27.008426272</v>
      </c>
      <c r="X885" t="n">
        <v/>
      </c>
      <c r="Y885" t="n">
        <v/>
      </c>
      <c r="Z885" t="n">
        <v>15.807773876</v>
      </c>
      <c r="AA885" t="n">
        <v/>
      </c>
      <c r="AB885" t="n">
        <v>45.66692112</v>
      </c>
      <c r="AC885" t="n">
        <v>106.49112574</v>
      </c>
      <c r="AD885" t="n">
        <v>98.16507587300001</v>
      </c>
      <c r="AE885" t="n">
        <v>24.76</v>
      </c>
      <c r="AF885" t="n">
        <v>71.30564544800001</v>
      </c>
      <c r="AG885" t="n">
        <v/>
      </c>
      <c r="AH885" t="n">
        <v>72.151743203</v>
      </c>
      <c r="AI885" t="n">
        <v>76.582855473</v>
      </c>
      <c r="AJ885" t="n">
        <v>95.66471064700001</v>
      </c>
      <c r="AK885" t="n">
        <v/>
      </c>
      <c r="AL885" t="n">
        <v>66.43028560800001</v>
      </c>
      <c r="AM885" t="n">
        <v>25.724779429</v>
      </c>
      <c r="AN885" t="n">
        <v>99.78230576599999</v>
      </c>
      <c r="AO885" t="n">
        <v/>
      </c>
      <c r="AP885" t="n">
        <v>32.730987638</v>
      </c>
      <c r="AQ885" t="n">
        <v>64.465080763</v>
      </c>
      <c r="AR885" t="n">
        <v>70.336246108</v>
      </c>
      <c r="AS885" t="n">
        <v>32.59728356</v>
      </c>
      <c r="AT885" t="n">
        <v>62.987535286</v>
      </c>
      <c r="AU885" t="n">
        <v/>
      </c>
    </row>
    <row r="886">
      <c r="A886" s="106" t="n">
        <v>33848</v>
      </c>
      <c r="B886" t="n">
        <v>49.58055974</v>
      </c>
      <c r="C886" t="n">
        <v>61.953638619</v>
      </c>
      <c r="D886" t="n">
        <v>65.631537081</v>
      </c>
      <c r="E886" t="n">
        <v>66.593651923</v>
      </c>
      <c r="F886" t="n">
        <v/>
      </c>
      <c r="G886" t="n">
        <v/>
      </c>
      <c r="H886" t="n">
        <v>59.53884246</v>
      </c>
      <c r="I886" t="n">
        <v>49.58055974</v>
      </c>
      <c r="J886" t="n">
        <v>54.694651883</v>
      </c>
      <c r="K886" t="n">
        <v>71.30594216199999</v>
      </c>
      <c r="L886" t="n">
        <v>86.215479274</v>
      </c>
      <c r="M886" t="n">
        <v>78.193483876</v>
      </c>
      <c r="N886" t="n">
        <v>94.58407882</v>
      </c>
      <c r="O886" t="n">
        <v/>
      </c>
      <c r="P886" t="n">
        <v/>
      </c>
      <c r="Q886" t="n">
        <v>62.193347976</v>
      </c>
      <c r="R886" t="n">
        <v>88.97</v>
      </c>
      <c r="S886" t="n">
        <v>75.527388354</v>
      </c>
      <c r="T886" t="n">
        <v>79.801910152</v>
      </c>
      <c r="U886" t="n">
        <v/>
      </c>
      <c r="V886" t="n">
        <v>121.470881349</v>
      </c>
      <c r="W886" t="n">
        <v>29.322597287</v>
      </c>
      <c r="X886" t="n">
        <v/>
      </c>
      <c r="Y886" t="n">
        <v/>
      </c>
      <c r="Z886" t="n">
        <v>16.402051089</v>
      </c>
      <c r="AA886" t="n">
        <v/>
      </c>
      <c r="AB886" t="n">
        <v>46.367334021</v>
      </c>
      <c r="AC886" t="n">
        <v>105.691192401</v>
      </c>
      <c r="AD886" t="n">
        <v>101.91725336</v>
      </c>
      <c r="AE886" t="n">
        <v>24.427</v>
      </c>
      <c r="AF886" t="n">
        <v>73.835600805</v>
      </c>
      <c r="AG886" t="n">
        <v/>
      </c>
      <c r="AH886" t="n">
        <v>73.525373585</v>
      </c>
      <c r="AI886" t="n">
        <v>76.86809461599999</v>
      </c>
      <c r="AJ886" t="n">
        <v>94.89939296199999</v>
      </c>
      <c r="AK886" t="n">
        <v/>
      </c>
      <c r="AL886" t="n">
        <v>66.989679823</v>
      </c>
      <c r="AM886" t="n">
        <v>25.590952196</v>
      </c>
      <c r="AN886" t="n">
        <v>106.370848955</v>
      </c>
      <c r="AO886" t="n">
        <v/>
      </c>
      <c r="AP886" t="n">
        <v>34.192263708</v>
      </c>
      <c r="AQ886" t="n">
        <v>64.699499238</v>
      </c>
      <c r="AR886" t="n">
        <v>68.21097824</v>
      </c>
      <c r="AS886" t="n">
        <v>34.49712524</v>
      </c>
      <c r="AT886" t="n">
        <v>63.185455569</v>
      </c>
      <c r="AU886" t="n">
        <v/>
      </c>
    </row>
    <row r="887">
      <c r="A887" s="106" t="n">
        <v>33878</v>
      </c>
      <c r="B887" t="n">
        <v>50.298535381</v>
      </c>
      <c r="C887" t="n">
        <v>61.232073363</v>
      </c>
      <c r="D887" t="n">
        <v>65.66664354700001</v>
      </c>
      <c r="E887" t="n">
        <v>67.39390728799999</v>
      </c>
      <c r="F887" t="n">
        <v/>
      </c>
      <c r="G887" t="n">
        <v/>
      </c>
      <c r="H887" t="n">
        <v>58.41199636</v>
      </c>
      <c r="I887" t="n">
        <v>50.298535381</v>
      </c>
      <c r="J887" t="n">
        <v>54.302888014</v>
      </c>
      <c r="K887" t="n">
        <v>71.205933828</v>
      </c>
      <c r="L887" t="n">
        <v>85.45347377500001</v>
      </c>
      <c r="M887" t="n">
        <v>78.393467211</v>
      </c>
      <c r="N887" t="n">
        <v>93.883078236</v>
      </c>
      <c r="O887" t="n">
        <v/>
      </c>
      <c r="P887" t="n">
        <v/>
      </c>
      <c r="Q887" t="n">
        <v>62.383507493</v>
      </c>
      <c r="R887" t="n">
        <v>89.88</v>
      </c>
      <c r="S887" t="n">
        <v>75.325295149</v>
      </c>
      <c r="T887" t="n">
        <v>79.908029713</v>
      </c>
      <c r="U887" t="n">
        <v/>
      </c>
      <c r="V887" t="n">
        <v>121.649213483</v>
      </c>
      <c r="W887" t="n">
        <v>29.967049974</v>
      </c>
      <c r="X887" t="n">
        <v/>
      </c>
      <c r="Y887" t="n">
        <v/>
      </c>
      <c r="Z887" t="n">
        <v>16.520906532</v>
      </c>
      <c r="AA887" t="n">
        <v/>
      </c>
      <c r="AB887" t="n">
        <v>46.717540471</v>
      </c>
      <c r="AC887" t="n">
        <v>106.391134072</v>
      </c>
      <c r="AD887" t="n">
        <v>98.77353708699999</v>
      </c>
      <c r="AE887" t="n">
        <v>24.427</v>
      </c>
      <c r="AF887" t="n">
        <v>74.632667027</v>
      </c>
      <c r="AG887" t="n">
        <v/>
      </c>
      <c r="AH887" t="n">
        <v>72.296335875</v>
      </c>
      <c r="AI887" t="n">
        <v>81.51672173999999</v>
      </c>
      <c r="AJ887" t="n">
        <v>93.25942649300001</v>
      </c>
      <c r="AK887" t="n">
        <v/>
      </c>
      <c r="AL887" t="n">
        <v>66.880166219</v>
      </c>
      <c r="AM887" t="n">
        <v>26.356784776</v>
      </c>
      <c r="AN887" t="n">
        <v>107.695391838</v>
      </c>
      <c r="AO887" t="n">
        <v/>
      </c>
      <c r="AP887" t="n">
        <v>33.301085445</v>
      </c>
      <c r="AQ887" t="n">
        <v>65.48089415600001</v>
      </c>
      <c r="AR887" t="n">
        <v>68.109775009</v>
      </c>
      <c r="AS887" t="n">
        <v>34.597116907</v>
      </c>
      <c r="AT887" t="n">
        <v>63.615704122</v>
      </c>
      <c r="AU887" t="n">
        <v/>
      </c>
    </row>
    <row r="888">
      <c r="A888" s="106" t="n">
        <v>33909</v>
      </c>
      <c r="B888" t="n">
        <v>49.06389924</v>
      </c>
      <c r="C888" t="n">
        <v>60.597511252</v>
      </c>
      <c r="D888" t="n">
        <v>66.97435938300001</v>
      </c>
      <c r="E888" t="n">
        <v>67.57200287400001</v>
      </c>
      <c r="F888" t="n">
        <v/>
      </c>
      <c r="G888" t="n">
        <v/>
      </c>
      <c r="H888" t="n">
        <v>57.691468395</v>
      </c>
      <c r="I888" t="n">
        <v>49.06389924</v>
      </c>
      <c r="J888" t="n">
        <v>54.481277506</v>
      </c>
      <c r="K888" t="n">
        <v>70.105842154</v>
      </c>
      <c r="L888" t="n">
        <v>82.623167638</v>
      </c>
      <c r="M888" t="n">
        <v>77.59353387199999</v>
      </c>
      <c r="N888" t="n">
        <v>92.273076894</v>
      </c>
      <c r="O888" t="n">
        <v/>
      </c>
      <c r="P888" t="n">
        <v/>
      </c>
      <c r="Q888" t="n">
        <v>62.830941651</v>
      </c>
      <c r="R888" t="n">
        <v>88.70999999999999</v>
      </c>
      <c r="S888" t="n">
        <v>75.08684594899999</v>
      </c>
      <c r="T888" t="n">
        <v>80.01414927499999</v>
      </c>
      <c r="U888" t="n">
        <v/>
      </c>
      <c r="V888" t="n">
        <v>122.20018343</v>
      </c>
      <c r="W888" t="n">
        <v>29.205424071</v>
      </c>
      <c r="X888" t="n">
        <v/>
      </c>
      <c r="Y888" t="n">
        <v/>
      </c>
      <c r="Z888" t="n">
        <v>16.46147881</v>
      </c>
      <c r="AA888" t="n">
        <v/>
      </c>
      <c r="AB888" t="n">
        <v>46.997705631</v>
      </c>
      <c r="AC888" t="n">
        <v>107.091075744</v>
      </c>
      <c r="AD888" t="n">
        <v>97.556614659</v>
      </c>
      <c r="AE888" t="n">
        <v>24.501</v>
      </c>
      <c r="AF888" t="n">
        <v>73.31438969200001</v>
      </c>
      <c r="AG888" t="n">
        <v/>
      </c>
      <c r="AH888" t="n">
        <v>72.079446867</v>
      </c>
      <c r="AI888" t="n">
        <v>77.762357877</v>
      </c>
      <c r="AJ888" t="n">
        <v>92.60343990600001</v>
      </c>
      <c r="AK888" t="n">
        <v/>
      </c>
      <c r="AL888" t="n">
        <v>66.57387201100001</v>
      </c>
      <c r="AM888" t="n">
        <v>26.280949259</v>
      </c>
      <c r="AN888" t="n">
        <v>107.476783522</v>
      </c>
      <c r="AO888" t="n">
        <v/>
      </c>
      <c r="AP888" t="n">
        <v>32.555282442</v>
      </c>
      <c r="AQ888" t="n">
        <v>64.933917714</v>
      </c>
      <c r="AR888" t="n">
        <v>66.692929763</v>
      </c>
      <c r="AS888" t="n">
        <v>34.49712524</v>
      </c>
      <c r="AT888" t="n">
        <v>63.872326213</v>
      </c>
      <c r="AU888" t="n">
        <v/>
      </c>
    </row>
    <row r="889">
      <c r="A889" s="106" t="n">
        <v>33939</v>
      </c>
      <c r="B889" t="n">
        <v>47.310665204</v>
      </c>
      <c r="C889" t="n">
        <v>59.849292147</v>
      </c>
      <c r="D889" t="n">
        <v>66.245900226</v>
      </c>
      <c r="E889" t="n">
        <v>67.730832183</v>
      </c>
      <c r="F889" t="n">
        <v/>
      </c>
      <c r="G889" t="n">
        <v/>
      </c>
      <c r="H889" t="n">
        <v>57.903092225</v>
      </c>
      <c r="I889" t="n">
        <v>47.310665204</v>
      </c>
      <c r="J889" t="n">
        <v>52.286087919</v>
      </c>
      <c r="K889" t="n">
        <v>68.905742145</v>
      </c>
      <c r="L889" t="n">
        <v>81.643446282</v>
      </c>
      <c r="M889" t="n">
        <v>76.29364219599999</v>
      </c>
      <c r="N889" t="n">
        <v>90.76807564000001</v>
      </c>
      <c r="O889" t="n">
        <v/>
      </c>
      <c r="P889" t="n">
        <v/>
      </c>
      <c r="Q889" t="n">
        <v>62.663153842</v>
      </c>
      <c r="R889" t="n">
        <v>87.55</v>
      </c>
      <c r="S889" t="n">
        <v>74.763966884</v>
      </c>
      <c r="T889" t="n">
        <v>80.12026883599999</v>
      </c>
      <c r="U889" t="n">
        <v/>
      </c>
      <c r="V889" t="n">
        <v>121.024330879</v>
      </c>
      <c r="W889" t="n">
        <v>31.636768301</v>
      </c>
      <c r="X889" t="n">
        <v/>
      </c>
      <c r="Y889" t="n">
        <v/>
      </c>
      <c r="Z889" t="n">
        <v>15.272924384</v>
      </c>
      <c r="AA889" t="n">
        <v/>
      </c>
      <c r="AB889" t="n">
        <v>47.908242402</v>
      </c>
      <c r="AC889" t="n">
        <v>105.291225731</v>
      </c>
      <c r="AD889" t="n">
        <v>97.150973849</v>
      </c>
      <c r="AE889" t="n">
        <v>24.63</v>
      </c>
      <c r="AF889" t="n">
        <v>69.29676127800001</v>
      </c>
      <c r="AG889" t="n">
        <v/>
      </c>
      <c r="AH889" t="n">
        <v>71.50107618</v>
      </c>
      <c r="AI889" t="n">
        <v>74.509089807</v>
      </c>
      <c r="AJ889" t="n">
        <v>94.352737472</v>
      </c>
      <c r="AK889" t="n">
        <v/>
      </c>
      <c r="AL889" t="n">
        <v>66.19112570599999</v>
      </c>
      <c r="AM889" t="n">
        <v>26.475826413</v>
      </c>
      <c r="AN889" t="n">
        <v>103.451908253</v>
      </c>
      <c r="AO889" t="n">
        <v/>
      </c>
      <c r="AP889" t="n">
        <v>33.133205705</v>
      </c>
      <c r="AQ889" t="n">
        <v>63.761825336</v>
      </c>
      <c r="AR889" t="n">
        <v>66.692929763</v>
      </c>
      <c r="AS889" t="n">
        <v>33.597200233</v>
      </c>
      <c r="AT889" t="n">
        <v>63.973170365</v>
      </c>
      <c r="AU889" t="n">
        <v/>
      </c>
    </row>
    <row r="890">
      <c r="A890" s="106" t="n">
        <v>33970</v>
      </c>
      <c r="B890" t="n">
        <v>49.242876396</v>
      </c>
      <c r="C890" t="n">
        <v>58.612635937</v>
      </c>
      <c r="D890" t="n">
        <v>67.597499144</v>
      </c>
      <c r="E890" t="n">
        <v>67.856767848</v>
      </c>
      <c r="F890" t="n">
        <v/>
      </c>
      <c r="G890" t="n">
        <v/>
      </c>
      <c r="H890" t="n">
        <v>56.83966914</v>
      </c>
      <c r="I890" t="n">
        <v>49.242876396</v>
      </c>
      <c r="J890" t="n">
        <v>51.402527688</v>
      </c>
      <c r="K890" t="n">
        <v>68.10567547300001</v>
      </c>
      <c r="L890" t="n">
        <v>79.46628771500001</v>
      </c>
      <c r="M890" t="n">
        <v>76.69360886600001</v>
      </c>
      <c r="N890" t="n">
        <v>92.11207675999999</v>
      </c>
      <c r="O890" t="n">
        <v/>
      </c>
      <c r="P890" t="n">
        <v/>
      </c>
      <c r="Q890" t="n">
        <v>62.819755797</v>
      </c>
      <c r="R890" t="n">
        <v>87.45</v>
      </c>
      <c r="S890" t="n">
        <v>75.20367677900001</v>
      </c>
      <c r="T890" t="n">
        <v>80.12026883599999</v>
      </c>
      <c r="U890" t="n">
        <v/>
      </c>
      <c r="V890" t="n">
        <v>115.313595542</v>
      </c>
      <c r="W890" t="n">
        <v>27.594292352</v>
      </c>
      <c r="X890" t="n">
        <v/>
      </c>
      <c r="Y890" t="n">
        <v/>
      </c>
      <c r="Z890" t="n">
        <v>16.639761974</v>
      </c>
      <c r="AA890" t="n">
        <v/>
      </c>
      <c r="AB890" t="n">
        <v>48.188407562</v>
      </c>
      <c r="AC890" t="n">
        <v>107.091075744</v>
      </c>
      <c r="AD890" t="n">
        <v>99.179177896</v>
      </c>
      <c r="AE890" t="n">
        <v>24.63</v>
      </c>
      <c r="AF890" t="n">
        <v>66.092856392</v>
      </c>
      <c r="AG890" t="n">
        <v/>
      </c>
      <c r="AH890" t="n">
        <v>71.332967341</v>
      </c>
      <c r="AI890" t="n">
        <v>77.80090370800001</v>
      </c>
      <c r="AJ890" t="n">
        <v>89.32350697</v>
      </c>
      <c r="AK890" t="n">
        <v/>
      </c>
      <c r="AL890" t="n">
        <v>66.527161132</v>
      </c>
      <c r="AM890" t="n">
        <v>25.733599456</v>
      </c>
      <c r="AN890" t="n">
        <v>106.38450176</v>
      </c>
      <c r="AO890" t="n">
        <v>77.425520378</v>
      </c>
      <c r="AP890" t="n">
        <v>33.676608136</v>
      </c>
      <c r="AQ890" t="n">
        <v>66.18414958300001</v>
      </c>
      <c r="AR890" t="n">
        <v>66.895336227</v>
      </c>
      <c r="AS890" t="n">
        <v>35.097075244</v>
      </c>
      <c r="AT890" t="n">
        <v>64.22870171300001</v>
      </c>
      <c r="AU890" t="n">
        <v/>
      </c>
    </row>
    <row r="891">
      <c r="A891" s="106" t="n">
        <v>34001</v>
      </c>
      <c r="B891" t="n">
        <v>49.2770762</v>
      </c>
      <c r="C891" t="n">
        <v>59.168825146</v>
      </c>
      <c r="D891" t="n">
        <v>69.045640842</v>
      </c>
      <c r="E891" t="n">
        <v>68.844047073</v>
      </c>
      <c r="F891" t="n">
        <v/>
      </c>
      <c r="G891" t="n">
        <v/>
      </c>
      <c r="H891" t="n">
        <v>56.769439733</v>
      </c>
      <c r="I891" t="n">
        <v>49.2770762</v>
      </c>
      <c r="J891" t="n">
        <v>51.820816072</v>
      </c>
      <c r="K891" t="n">
        <v>67.105592133</v>
      </c>
      <c r="L891" t="n">
        <v>80.772582855</v>
      </c>
      <c r="M891" t="n">
        <v>76.093658862</v>
      </c>
      <c r="N891" t="n">
        <v>90.7200756</v>
      </c>
      <c r="O891" t="n">
        <v/>
      </c>
      <c r="P891" t="n">
        <v/>
      </c>
      <c r="Q891" t="n">
        <v>63.132959708</v>
      </c>
      <c r="R891" t="n">
        <v>87.58</v>
      </c>
      <c r="S891" t="n">
        <v>75.268266005</v>
      </c>
      <c r="T891" t="n">
        <v>80.226388398</v>
      </c>
      <c r="U891" t="n">
        <v/>
      </c>
      <c r="V891" t="n">
        <v>119.412803397</v>
      </c>
      <c r="W891" t="n">
        <v>29.586237023</v>
      </c>
      <c r="X891" t="n">
        <v/>
      </c>
      <c r="Y891" t="n">
        <v/>
      </c>
      <c r="Z891" t="n">
        <v>16.639761974</v>
      </c>
      <c r="AA891" t="n">
        <v/>
      </c>
      <c r="AB891" t="n">
        <v>49.028903043</v>
      </c>
      <c r="AC891" t="n">
        <v>106.791100742</v>
      </c>
      <c r="AD891" t="n">
        <v>99.381998301</v>
      </c>
      <c r="AE891" t="n">
        <v>24.362</v>
      </c>
      <c r="AF891" t="n">
        <v>70.256058325</v>
      </c>
      <c r="AG891" t="n">
        <v/>
      </c>
      <c r="AH891" t="n">
        <v>72.28032475000001</v>
      </c>
      <c r="AI891" t="n">
        <v>77.754648711</v>
      </c>
      <c r="AJ891" t="n">
        <v>92.49410880799999</v>
      </c>
      <c r="AK891" t="n">
        <v/>
      </c>
      <c r="AL891" t="n">
        <v>66.623664361</v>
      </c>
      <c r="AM891" t="n">
        <v>25.925849661</v>
      </c>
      <c r="AN891" t="n">
        <v>103.428439484</v>
      </c>
      <c r="AO891" t="n">
        <v>82.28321123400001</v>
      </c>
      <c r="AP891" t="n">
        <v>33.561640217</v>
      </c>
      <c r="AQ891" t="n">
        <v>63.292988385</v>
      </c>
      <c r="AR891" t="n">
        <v>65.98450714000001</v>
      </c>
      <c r="AS891" t="n">
        <v>35.197066911</v>
      </c>
      <c r="AT891" t="n">
        <v>64.532820706</v>
      </c>
      <c r="AU891" t="n">
        <v/>
      </c>
    </row>
    <row r="892">
      <c r="A892" s="106" t="n">
        <v>34029</v>
      </c>
      <c r="B892" t="n">
        <v>49.343385095</v>
      </c>
      <c r="C892" t="n">
        <v>59.412603886</v>
      </c>
      <c r="D892" t="n">
        <v>68.799895585</v>
      </c>
      <c r="E892" t="n">
        <v>69.54797105199999</v>
      </c>
      <c r="F892" t="n">
        <v/>
      </c>
      <c r="G892" t="n">
        <v/>
      </c>
      <c r="H892" t="n">
        <v>57.780460791</v>
      </c>
      <c r="I892" t="n">
        <v>49.343385095</v>
      </c>
      <c r="J892" t="n">
        <v>50.188150008</v>
      </c>
      <c r="K892" t="n">
        <v>67.205600467</v>
      </c>
      <c r="L892" t="n">
        <v>81.53458835399999</v>
      </c>
      <c r="M892" t="n">
        <v>75.893675527</v>
      </c>
      <c r="N892" t="n">
        <v>90.95407579499999</v>
      </c>
      <c r="O892" t="n">
        <v/>
      </c>
      <c r="P892" t="n">
        <v/>
      </c>
      <c r="Q892" t="n">
        <v>63.625137282</v>
      </c>
      <c r="R892" t="n">
        <v>87.14</v>
      </c>
      <c r="S892" t="n">
        <v>74.664834959</v>
      </c>
      <c r="T892" t="n">
        <v>80.226388398</v>
      </c>
      <c r="U892" t="n">
        <v/>
      </c>
      <c r="V892" t="n">
        <v>117.701703373</v>
      </c>
      <c r="W892" t="n">
        <v>30.435742838</v>
      </c>
      <c r="X892" t="n">
        <v/>
      </c>
      <c r="Y892" t="n">
        <v/>
      </c>
      <c r="Z892" t="n">
        <v>16.699189696</v>
      </c>
      <c r="AA892" t="n">
        <v/>
      </c>
      <c r="AB892" t="n">
        <v>48.538614013</v>
      </c>
      <c r="AC892" t="n">
        <v>106.291142405</v>
      </c>
      <c r="AD892" t="n">
        <v>96.035461623</v>
      </c>
      <c r="AE892" t="n">
        <v>25.231</v>
      </c>
      <c r="AF892" t="n">
        <v>70.581167593</v>
      </c>
      <c r="AG892" t="n">
        <v/>
      </c>
      <c r="AH892" t="n">
        <v>72.787195872</v>
      </c>
      <c r="AI892" t="n">
        <v>77.029987103</v>
      </c>
      <c r="AJ892" t="n">
        <v>96.32069723399999</v>
      </c>
      <c r="AK892" t="n">
        <v/>
      </c>
      <c r="AL892" t="n">
        <v>66.273570991</v>
      </c>
      <c r="AM892" t="n">
        <v>26.14638325</v>
      </c>
      <c r="AN892" t="n">
        <v>106.450106612</v>
      </c>
      <c r="AO892" t="n">
        <v>83.571570153</v>
      </c>
      <c r="AP892" t="n">
        <v>31.817525808</v>
      </c>
      <c r="AQ892" t="n">
        <v>62.980430418</v>
      </c>
      <c r="AR892" t="n">
        <v>67.19894592199999</v>
      </c>
      <c r="AS892" t="n">
        <v>33.997166903</v>
      </c>
      <c r="AT892" t="n">
        <v>64.470450036</v>
      </c>
      <c r="AU892" t="n">
        <v/>
      </c>
    </row>
    <row r="893">
      <c r="A893" s="106" t="n">
        <v>34060</v>
      </c>
      <c r="B893" t="n">
        <v>49.182673311</v>
      </c>
      <c r="C893" t="n">
        <v>59.662054159</v>
      </c>
      <c r="D893" t="n">
        <v>69.48447166</v>
      </c>
      <c r="E893" t="n">
        <v>69.235951344</v>
      </c>
      <c r="F893" t="n">
        <v/>
      </c>
      <c r="G893" t="n">
        <v/>
      </c>
      <c r="H893" t="n">
        <v>57.243834206</v>
      </c>
      <c r="I893" t="n">
        <v>49.182673311</v>
      </c>
      <c r="J893" t="n">
        <v>51.385031143</v>
      </c>
      <c r="K893" t="n">
        <v>66.70555879699999</v>
      </c>
      <c r="L893" t="n">
        <v>82.405451781</v>
      </c>
      <c r="M893" t="n">
        <v>75.49370885800001</v>
      </c>
      <c r="N893" t="n">
        <v>90.46607538799999</v>
      </c>
      <c r="O893" t="n">
        <v/>
      </c>
      <c r="P893" t="n">
        <v/>
      </c>
      <c r="Q893" t="n">
        <v>64.094943148</v>
      </c>
      <c r="R893" t="n">
        <v>86.56999999999999</v>
      </c>
      <c r="S893" t="n">
        <v>74.93353125199999</v>
      </c>
      <c r="T893" t="n">
        <v>80.226388398</v>
      </c>
      <c r="U893" t="n">
        <v/>
      </c>
      <c r="V893" t="n">
        <v>119.05708734</v>
      </c>
      <c r="W893" t="n">
        <v>30.933729006</v>
      </c>
      <c r="X893" t="n">
        <v/>
      </c>
      <c r="Y893" t="n">
        <v/>
      </c>
      <c r="Z893" t="n">
        <v>16.639761974</v>
      </c>
      <c r="AA893" t="n">
        <v/>
      </c>
      <c r="AB893" t="n">
        <v>48.118366272</v>
      </c>
      <c r="AC893" t="n">
        <v>106.09115907</v>
      </c>
      <c r="AD893" t="n">
        <v>97.860845266</v>
      </c>
      <c r="AE893" t="n">
        <v>25.092</v>
      </c>
      <c r="AF893" t="n">
        <v>70.157687217</v>
      </c>
      <c r="AG893" t="n">
        <v/>
      </c>
      <c r="AH893" t="n">
        <v>72.38855585899999</v>
      </c>
      <c r="AI893" t="n">
        <v>76.18968800499999</v>
      </c>
      <c r="AJ893" t="n">
        <v>95.99270394</v>
      </c>
      <c r="AK893" t="n">
        <v/>
      </c>
      <c r="AL893" t="n">
        <v>66.530349155</v>
      </c>
      <c r="AM893" t="n">
        <v>26.763513761</v>
      </c>
      <c r="AN893" t="n">
        <v>104.694312854</v>
      </c>
      <c r="AO893" t="n">
        <v>82.170937193</v>
      </c>
      <c r="AP893" t="n">
        <v>31.993407514</v>
      </c>
      <c r="AQ893" t="n">
        <v>63.05856991</v>
      </c>
      <c r="AR893" t="n">
        <v>66.49052330000001</v>
      </c>
      <c r="AS893" t="n">
        <v>35.697025248</v>
      </c>
      <c r="AT893" t="n">
        <v>64.655380561</v>
      </c>
      <c r="AU893" t="n">
        <v/>
      </c>
    </row>
    <row r="894">
      <c r="A894" s="106" t="n">
        <v>34090</v>
      </c>
      <c r="B894" t="n">
        <v>49.236397376</v>
      </c>
      <c r="C894" t="n">
        <v>58.275178349</v>
      </c>
      <c r="D894" t="n">
        <v>71.134475534</v>
      </c>
      <c r="E894" t="n">
        <v>68.873651353</v>
      </c>
      <c r="F894" t="n">
        <v/>
      </c>
      <c r="G894" t="n">
        <v/>
      </c>
      <c r="H894" t="n">
        <v>56.562369732</v>
      </c>
      <c r="I894" t="n">
        <v>49.236397376</v>
      </c>
      <c r="J894" t="n">
        <v>52.697555835</v>
      </c>
      <c r="K894" t="n">
        <v>66.70555879699999</v>
      </c>
      <c r="L894" t="n">
        <v>77.18027121900001</v>
      </c>
      <c r="M894" t="n">
        <v>75.29372552300001</v>
      </c>
      <c r="N894" t="n">
        <v>91.19407599500001</v>
      </c>
      <c r="O894" t="n">
        <v/>
      </c>
      <c r="P894" t="n">
        <v/>
      </c>
      <c r="Q894" t="n">
        <v>63.345490933</v>
      </c>
      <c r="R894" t="n">
        <v>86.48</v>
      </c>
      <c r="S894" t="n">
        <v>74.993143542</v>
      </c>
      <c r="T894" t="n">
        <v>80.332507959</v>
      </c>
      <c r="U894" t="n">
        <v/>
      </c>
      <c r="V894" t="n">
        <v>119.592307374</v>
      </c>
      <c r="W894" t="n">
        <v>30.08422319</v>
      </c>
      <c r="X894" t="n">
        <v/>
      </c>
      <c r="Y894" t="n">
        <v/>
      </c>
      <c r="Z894" t="n">
        <v>16.639761974</v>
      </c>
      <c r="AA894" t="n">
        <v/>
      </c>
      <c r="AB894" t="n">
        <v>48.188407562</v>
      </c>
      <c r="AC894" t="n">
        <v>105.491209066</v>
      </c>
      <c r="AD894" t="n">
        <v>99.179177896</v>
      </c>
      <c r="AE894" t="n">
        <v>25.028</v>
      </c>
      <c r="AF894" t="n">
        <v>72.45567659</v>
      </c>
      <c r="AG894" t="n">
        <v/>
      </c>
      <c r="AH894" t="n">
        <v>73.032584439</v>
      </c>
      <c r="AI894" t="n">
        <v>76.713911295</v>
      </c>
      <c r="AJ894" t="n">
        <v>96.102035038</v>
      </c>
      <c r="AK894" t="n">
        <v/>
      </c>
      <c r="AL894" t="n">
        <v>66.600681311</v>
      </c>
      <c r="AM894" t="n">
        <v>27.691083859</v>
      </c>
      <c r="AN894" t="n">
        <v>102.767773787</v>
      </c>
      <c r="AO894" t="n">
        <v>82.164505671</v>
      </c>
      <c r="AP894" t="n">
        <v>31.716761424</v>
      </c>
      <c r="AQ894" t="n">
        <v>62.902290926</v>
      </c>
      <c r="AR894" t="n">
        <v>67.502555618</v>
      </c>
      <c r="AS894" t="n">
        <v>35.297058578</v>
      </c>
      <c r="AT894" t="n">
        <v>64.39677530100001</v>
      </c>
      <c r="AU894" t="n">
        <v/>
      </c>
    </row>
    <row r="895">
      <c r="A895" s="106" t="n">
        <v>34121</v>
      </c>
      <c r="B895" t="n">
        <v>47.83052544</v>
      </c>
      <c r="C895" t="n">
        <v>59.20358538</v>
      </c>
      <c r="D895" t="n">
        <v>70.59032532000001</v>
      </c>
      <c r="E895" t="n">
        <v>69.265085715</v>
      </c>
      <c r="F895" t="n">
        <v/>
      </c>
      <c r="G895" t="n">
        <v/>
      </c>
      <c r="H895" t="n">
        <v>57.690667513</v>
      </c>
      <c r="I895" t="n">
        <v>47.83052544</v>
      </c>
      <c r="J895" t="n">
        <v>50.926226052</v>
      </c>
      <c r="K895" t="n">
        <v>66.205517126</v>
      </c>
      <c r="L895" t="n">
        <v>82.296593852</v>
      </c>
      <c r="M895" t="n">
        <v>74.89375885299999</v>
      </c>
      <c r="N895" t="n">
        <v>90.501075418</v>
      </c>
      <c r="O895" t="n">
        <v/>
      </c>
      <c r="P895" t="n">
        <v/>
      </c>
      <c r="Q895" t="n">
        <v>65.213528543</v>
      </c>
      <c r="R895" t="n">
        <v>85.78</v>
      </c>
      <c r="S895" t="n">
        <v>74.658476959</v>
      </c>
      <c r="T895" t="n">
        <v>80.650866643</v>
      </c>
      <c r="U895" t="n">
        <v/>
      </c>
      <c r="V895" t="n">
        <v>120.40156839</v>
      </c>
      <c r="W895" t="n">
        <v>31.197368742</v>
      </c>
      <c r="X895" t="n">
        <v/>
      </c>
      <c r="Y895" t="n">
        <v/>
      </c>
      <c r="Z895" t="n">
        <v>16.223767925</v>
      </c>
      <c r="AA895" t="n">
        <v/>
      </c>
      <c r="AB895" t="n">
        <v>49.028903043</v>
      </c>
      <c r="AC895" t="n">
        <v>105.091242396</v>
      </c>
      <c r="AD895" t="n">
        <v>97.35379425399999</v>
      </c>
      <c r="AE895" t="n">
        <v>25.296</v>
      </c>
      <c r="AF895" t="n">
        <v>71.85876994900001</v>
      </c>
      <c r="AG895" t="n">
        <v/>
      </c>
      <c r="AH895" t="n">
        <v>72.051951073</v>
      </c>
      <c r="AI895" t="n">
        <v>75.966122189</v>
      </c>
      <c r="AJ895" t="n">
        <v>92.38477770999999</v>
      </c>
      <c r="AK895" t="n">
        <v/>
      </c>
      <c r="AL895" t="n">
        <v>66.366428689</v>
      </c>
      <c r="AM895" t="n">
        <v>27.394879321</v>
      </c>
      <c r="AN895" t="n">
        <v>102.694250069</v>
      </c>
      <c r="AO895" t="n">
        <v>80.716148726</v>
      </c>
      <c r="AP895" t="n">
        <v>31.183324547</v>
      </c>
      <c r="AQ895" t="n">
        <v>62.277174991</v>
      </c>
      <c r="AR895" t="n">
        <v>68.008571777</v>
      </c>
      <c r="AS895" t="n">
        <v>36.096991917</v>
      </c>
      <c r="AT895" t="n">
        <v>64.55057007000001</v>
      </c>
      <c r="AU895" t="n">
        <v/>
      </c>
    </row>
    <row r="896">
      <c r="A896" s="106" t="n">
        <v>34151</v>
      </c>
      <c r="B896" t="n">
        <v>48.827751038</v>
      </c>
      <c r="C896" t="n">
        <v>57.841004794</v>
      </c>
      <c r="D896" t="n">
        <v>71.002826289</v>
      </c>
      <c r="E896" t="n">
        <v>68.81397288399999</v>
      </c>
      <c r="F896" t="n">
        <v/>
      </c>
      <c r="G896" t="n">
        <v/>
      </c>
      <c r="H896" t="n">
        <v>58.478826964</v>
      </c>
      <c r="I896" t="n">
        <v>48.827751038</v>
      </c>
      <c r="J896" t="n">
        <v>49.761683911</v>
      </c>
      <c r="K896" t="n">
        <v>64.705392116</v>
      </c>
      <c r="L896" t="n">
        <v>87.08634270100001</v>
      </c>
      <c r="M896" t="n">
        <v>74.493792184</v>
      </c>
      <c r="N896" t="n">
        <v>91.36907614099999</v>
      </c>
      <c r="O896" t="n">
        <v/>
      </c>
      <c r="P896" t="n">
        <v/>
      </c>
      <c r="Q896" t="n">
        <v>66.041281736</v>
      </c>
      <c r="R896" t="n">
        <v>86.95</v>
      </c>
      <c r="S896" t="n">
        <v>74.51993401599999</v>
      </c>
      <c r="T896" t="n">
        <v>80.969225327</v>
      </c>
      <c r="U896" t="n">
        <v/>
      </c>
      <c r="V896" t="n">
        <v>114.918490785</v>
      </c>
      <c r="W896" t="n">
        <v>31.724648213</v>
      </c>
      <c r="X896" t="n">
        <v/>
      </c>
      <c r="Y896" t="n">
        <v/>
      </c>
      <c r="Z896" t="n">
        <v>16.46147881</v>
      </c>
      <c r="AA896" t="n">
        <v/>
      </c>
      <c r="AB896" t="n">
        <v>49.168985623</v>
      </c>
      <c r="AC896" t="n">
        <v>104.491292392</v>
      </c>
      <c r="AD896" t="n">
        <v>97.252384052</v>
      </c>
      <c r="AE896" t="n">
        <v>25.628</v>
      </c>
      <c r="AF896" t="n">
        <v>71.07880030299999</v>
      </c>
      <c r="AG896" t="n">
        <v/>
      </c>
      <c r="AH896" t="n">
        <v>71.827091994</v>
      </c>
      <c r="AI896" t="n">
        <v>77.19187959</v>
      </c>
      <c r="AJ896" t="n">
        <v>97.96066370200001</v>
      </c>
      <c r="AK896" t="n">
        <v/>
      </c>
      <c r="AL896" t="n">
        <v>66.331872964</v>
      </c>
      <c r="AM896" t="n">
        <v>26.260327582</v>
      </c>
      <c r="AN896" t="n">
        <v>103.800213037</v>
      </c>
      <c r="AO896" t="n">
        <v>77.781530598</v>
      </c>
      <c r="AP896" t="n">
        <v>30.378644268</v>
      </c>
      <c r="AQ896" t="n">
        <v>62.66787245</v>
      </c>
      <c r="AR896" t="n">
        <v>69.121807327</v>
      </c>
      <c r="AS896" t="n">
        <v>36.596950254</v>
      </c>
      <c r="AT896" t="n">
        <v>64.70624884999999</v>
      </c>
      <c r="AU896" t="n">
        <v/>
      </c>
    </row>
    <row r="897">
      <c r="A897" s="106" t="n">
        <v>34182</v>
      </c>
      <c r="B897" t="n">
        <v>49.315457742</v>
      </c>
      <c r="C897" t="n">
        <v>58.921842087</v>
      </c>
      <c r="D897" t="n">
        <v>70.23048405</v>
      </c>
      <c r="E897" t="n">
        <v>69.74721255199999</v>
      </c>
      <c r="F897" t="n">
        <v/>
      </c>
      <c r="G897" t="n">
        <v/>
      </c>
      <c r="H897" t="n">
        <v>58.926981255</v>
      </c>
      <c r="I897" t="n">
        <v>49.315457742</v>
      </c>
      <c r="J897" t="n">
        <v>49.919900964</v>
      </c>
      <c r="K897" t="n">
        <v>67.50562546899999</v>
      </c>
      <c r="L897" t="n">
        <v>85.888905489</v>
      </c>
      <c r="M897" t="n">
        <v>75.49370885800001</v>
      </c>
      <c r="N897" t="n">
        <v>89.98007498299999</v>
      </c>
      <c r="O897" t="n">
        <v/>
      </c>
      <c r="P897" t="n">
        <v/>
      </c>
      <c r="Q897" t="n">
        <v>65.582661724</v>
      </c>
      <c r="R897" t="n">
        <v>86.36</v>
      </c>
      <c r="S897" t="n">
        <v>74.79799949700001</v>
      </c>
      <c r="T897" t="n">
        <v>81.393703573</v>
      </c>
      <c r="U897" t="n">
        <v/>
      </c>
      <c r="V897" t="n">
        <v>117.378994706</v>
      </c>
      <c r="W897" t="n">
        <v>29.93775667</v>
      </c>
      <c r="X897" t="n">
        <v/>
      </c>
      <c r="Y897" t="n">
        <v/>
      </c>
      <c r="Z897" t="n">
        <v>16.639761974</v>
      </c>
      <c r="AA897" t="n">
        <v/>
      </c>
      <c r="AB897" t="n">
        <v>48.888820463</v>
      </c>
      <c r="AC897" t="n">
        <v>104.59128406</v>
      </c>
      <c r="AD897" t="n">
        <v>96.33969223</v>
      </c>
      <c r="AE897" t="n">
        <v>25.231</v>
      </c>
      <c r="AF897" t="n">
        <v>64.451777752</v>
      </c>
      <c r="AG897" t="n">
        <v/>
      </c>
      <c r="AH897" t="n">
        <v>71.626863109</v>
      </c>
      <c r="AI897" t="n">
        <v>76.505763812</v>
      </c>
      <c r="AJ897" t="n">
        <v>98.944643583</v>
      </c>
      <c r="AK897" t="n">
        <v/>
      </c>
      <c r="AL897" t="n">
        <v>66.36419855</v>
      </c>
      <c r="AM897" t="n">
        <v>26.666630275</v>
      </c>
      <c r="AN897" t="n">
        <v>101.369202742</v>
      </c>
      <c r="AO897" t="n">
        <v>75.15267139300001</v>
      </c>
      <c r="AP897" t="n">
        <v>32.333757428</v>
      </c>
      <c r="AQ897" t="n">
        <v>65.559033648</v>
      </c>
      <c r="AR897" t="n">
        <v>69.425417022</v>
      </c>
      <c r="AS897" t="n">
        <v>34.297141905</v>
      </c>
      <c r="AT897" t="n">
        <v>64.645960507</v>
      </c>
      <c r="AU897" t="n">
        <v/>
      </c>
    </row>
    <row r="898">
      <c r="A898" s="106" t="n">
        <v>34213</v>
      </c>
      <c r="B898" t="n">
        <v>49.481058923</v>
      </c>
      <c r="C898" t="n">
        <v>59.67005685</v>
      </c>
      <c r="D898" t="n">
        <v>69.949632327</v>
      </c>
      <c r="E898" t="n">
        <v>70.652257667</v>
      </c>
      <c r="F898" t="n">
        <v/>
      </c>
      <c r="G898" t="n">
        <v/>
      </c>
      <c r="H898" t="n">
        <v>58.353646442</v>
      </c>
      <c r="I898" t="n">
        <v>49.481058923</v>
      </c>
      <c r="J898" t="n">
        <v>51.669578017</v>
      </c>
      <c r="K898" t="n">
        <v>67.205600467</v>
      </c>
      <c r="L898" t="n">
        <v>86.106621346</v>
      </c>
      <c r="M898" t="n">
        <v>75.79368386</v>
      </c>
      <c r="N898" t="n">
        <v>92.52707710599999</v>
      </c>
      <c r="O898" t="n">
        <v/>
      </c>
      <c r="P898" t="n">
        <v/>
      </c>
      <c r="Q898" t="n">
        <v>66.94733590600001</v>
      </c>
      <c r="R898" t="n">
        <v>86.95</v>
      </c>
      <c r="S898" t="n">
        <v>75.08572348200001</v>
      </c>
      <c r="T898" t="n">
        <v>81.818181818</v>
      </c>
      <c r="U898" t="n">
        <v/>
      </c>
      <c r="V898" t="n">
        <v>125.68076179</v>
      </c>
      <c r="W898" t="n">
        <v>30.465036142</v>
      </c>
      <c r="X898" t="n">
        <v/>
      </c>
      <c r="Y898" t="n">
        <v/>
      </c>
      <c r="Z898" t="n">
        <v>16.818045139</v>
      </c>
      <c r="AA898" t="n">
        <v/>
      </c>
      <c r="AB898" t="n">
        <v>50.149563684</v>
      </c>
      <c r="AC898" t="n">
        <v>105.191234064</v>
      </c>
      <c r="AD898" t="n">
        <v>96.64392283700001</v>
      </c>
      <c r="AE898" t="n">
        <v>26.294</v>
      </c>
      <c r="AF898" t="n">
        <v>70.196546841</v>
      </c>
      <c r="AG898" t="n">
        <v/>
      </c>
      <c r="AH898" t="n">
        <v>71.98875673400001</v>
      </c>
      <c r="AI898" t="n">
        <v>79.45837440699999</v>
      </c>
      <c r="AJ898" t="n">
        <v>98.288656996</v>
      </c>
      <c r="AK898" t="n">
        <v/>
      </c>
      <c r="AL898" t="n">
        <v>66.94138306799999</v>
      </c>
      <c r="AM898" t="n">
        <v>27.058034479</v>
      </c>
      <c r="AN898" t="n">
        <v>104.203953181</v>
      </c>
      <c r="AO898" t="n">
        <v>73.90951142999999</v>
      </c>
      <c r="AP898" t="n">
        <v>31.709294933</v>
      </c>
      <c r="AQ898" t="n">
        <v>65.012057205</v>
      </c>
      <c r="AR898" t="n">
        <v>69.52662025399999</v>
      </c>
      <c r="AS898" t="n">
        <v>36.496958587</v>
      </c>
      <c r="AT898" t="n">
        <v>64.97675312600001</v>
      </c>
      <c r="AU898" t="n">
        <v/>
      </c>
    </row>
    <row r="899">
      <c r="A899" s="106" t="n">
        <v>34243</v>
      </c>
      <c r="B899" t="n">
        <v>49.917443013</v>
      </c>
      <c r="C899" t="n">
        <v>59.233768161</v>
      </c>
      <c r="D899" t="n">
        <v>70.599101937</v>
      </c>
      <c r="E899" t="n">
        <v>70.671054035</v>
      </c>
      <c r="F899" t="n">
        <v/>
      </c>
      <c r="G899" t="n">
        <v/>
      </c>
      <c r="H899" t="n">
        <v>58.801983439</v>
      </c>
      <c r="I899" t="n">
        <v>49.917443013</v>
      </c>
      <c r="J899" t="n">
        <v>50.877961501</v>
      </c>
      <c r="K899" t="n">
        <v>67.205600467</v>
      </c>
      <c r="L899" t="n">
        <v>80.990298712</v>
      </c>
      <c r="M899" t="n">
        <v>75.893675527</v>
      </c>
      <c r="N899" t="n">
        <v>93.200077667</v>
      </c>
      <c r="O899" t="n">
        <v/>
      </c>
      <c r="P899" t="n">
        <v/>
      </c>
      <c r="Q899" t="n">
        <v>67.60730128900001</v>
      </c>
      <c r="R899" t="n">
        <v>87.31</v>
      </c>
      <c r="S899" t="n">
        <v>75.20771404</v>
      </c>
      <c r="T899" t="n">
        <v>82.136540502</v>
      </c>
      <c r="U899" t="n">
        <v/>
      </c>
      <c r="V899" t="n">
        <v>119.593402406</v>
      </c>
      <c r="W899" t="n">
        <v>30.406449534</v>
      </c>
      <c r="X899" t="n">
        <v/>
      </c>
      <c r="Y899" t="n">
        <v/>
      </c>
      <c r="Z899" t="n">
        <v>16.758617417</v>
      </c>
      <c r="AA899" t="n">
        <v/>
      </c>
      <c r="AB899" t="n">
        <v>50.569811424</v>
      </c>
      <c r="AC899" t="n">
        <v>105.091242396</v>
      </c>
      <c r="AD899" t="n">
        <v>95.832641219</v>
      </c>
      <c r="AE899" t="n">
        <v>26.091</v>
      </c>
      <c r="AF899" t="n">
        <v>69.78872243399999</v>
      </c>
      <c r="AG899" t="n">
        <v/>
      </c>
      <c r="AH899" t="n">
        <v>71.94206304399999</v>
      </c>
      <c r="AI899" t="n">
        <v>79.37357358</v>
      </c>
      <c r="AJ899" t="n">
        <v>100.584610051</v>
      </c>
      <c r="AK899" t="n">
        <v/>
      </c>
      <c r="AL899" t="n">
        <v>66.982509893</v>
      </c>
      <c r="AM899" t="n">
        <v>26.813082393</v>
      </c>
      <c r="AN899" t="n">
        <v>100.050928917</v>
      </c>
      <c r="AO899" t="n">
        <v>73.477178913</v>
      </c>
      <c r="AP899" t="n">
        <v>31.079756078</v>
      </c>
      <c r="AQ899" t="n">
        <v>67.35624196000001</v>
      </c>
      <c r="AR899" t="n">
        <v>69.52662025399999</v>
      </c>
      <c r="AS899" t="n">
        <v>36.896925256</v>
      </c>
      <c r="AT899" t="n">
        <v>65.45965481899999</v>
      </c>
      <c r="AU899" t="n">
        <v/>
      </c>
    </row>
    <row r="900">
      <c r="A900" s="106" t="n">
        <v>34274</v>
      </c>
      <c r="B900" t="n">
        <v>49.820383878</v>
      </c>
      <c r="C900" t="n">
        <v>58.939075633</v>
      </c>
      <c r="D900" t="n">
        <v>70.169047736</v>
      </c>
      <c r="E900" t="n">
        <v>70.872175172</v>
      </c>
      <c r="F900" t="n">
        <v/>
      </c>
      <c r="G900" t="n">
        <v/>
      </c>
      <c r="H900" t="n">
        <v>60.534623545</v>
      </c>
      <c r="I900" t="n">
        <v>49.820383878</v>
      </c>
      <c r="J900" t="n">
        <v>50.706300735</v>
      </c>
      <c r="K900" t="n">
        <v>66.605550463</v>
      </c>
      <c r="L900" t="n">
        <v>81.643446282</v>
      </c>
      <c r="M900" t="n">
        <v>75.893675527</v>
      </c>
      <c r="N900" t="n">
        <v>93.630078025</v>
      </c>
      <c r="O900" t="n">
        <v/>
      </c>
      <c r="P900" t="n">
        <v/>
      </c>
      <c r="Q900" t="n">
        <v>68.323195942</v>
      </c>
      <c r="R900" t="n">
        <v>86.70999999999999</v>
      </c>
      <c r="S900" t="n">
        <v>75.267619373</v>
      </c>
      <c r="T900" t="n">
        <v>82.45489918600001</v>
      </c>
      <c r="U900" t="n">
        <v/>
      </c>
      <c r="V900" t="n">
        <v>120.067052601</v>
      </c>
      <c r="W900" t="n">
        <v>31.25595535</v>
      </c>
      <c r="X900" t="n">
        <v/>
      </c>
      <c r="Y900" t="n">
        <v/>
      </c>
      <c r="Z900" t="n">
        <v>16.758617417</v>
      </c>
      <c r="AA900" t="n">
        <v/>
      </c>
      <c r="AB900" t="n">
        <v>51.270224325</v>
      </c>
      <c r="AC900" t="n">
        <v>105.891175735</v>
      </c>
      <c r="AD900" t="n">
        <v>95.629820814</v>
      </c>
      <c r="AE900" t="n">
        <v>26.627</v>
      </c>
      <c r="AF900" t="n">
        <v>67.06237484099999</v>
      </c>
      <c r="AG900" t="n">
        <v/>
      </c>
      <c r="AH900" t="n">
        <v>72.493404145</v>
      </c>
      <c r="AI900" t="n">
        <v>79.712776886</v>
      </c>
      <c r="AJ900" t="n">
        <v>101.568589932</v>
      </c>
      <c r="AK900" t="n">
        <v/>
      </c>
      <c r="AL900" t="n">
        <v>67.10596922800001</v>
      </c>
      <c r="AM900" t="n">
        <v>27.513250022</v>
      </c>
      <c r="AN900" t="n">
        <v>103.067510633</v>
      </c>
      <c r="AO900" t="n">
        <v>71.088068577</v>
      </c>
      <c r="AP900" t="n">
        <v>32.326221673</v>
      </c>
      <c r="AQ900" t="n">
        <v>65.402754665</v>
      </c>
      <c r="AR900" t="n">
        <v>70.03263641300001</v>
      </c>
      <c r="AS900" t="n">
        <v>35.497041913</v>
      </c>
      <c r="AT900" t="n">
        <v>65.77101238</v>
      </c>
      <c r="AU900" t="n">
        <v/>
      </c>
    </row>
    <row r="901">
      <c r="A901" s="106" t="n">
        <v>34304</v>
      </c>
      <c r="B901" t="n">
        <v>49.119801967</v>
      </c>
      <c r="C901" t="n">
        <v>59.536494854</v>
      </c>
      <c r="D901" t="n">
        <v>71.362667559</v>
      </c>
      <c r="E901" t="n">
        <v>70.241557028</v>
      </c>
      <c r="F901" t="n">
        <v/>
      </c>
      <c r="G901" t="n">
        <v/>
      </c>
      <c r="H901" t="n">
        <v>58.509853101</v>
      </c>
      <c r="I901" t="n">
        <v>49.119801967</v>
      </c>
      <c r="J901" t="n">
        <v>50.766796002</v>
      </c>
      <c r="K901" t="n">
        <v>67.405617135</v>
      </c>
      <c r="L901" t="n">
        <v>79.7928615</v>
      </c>
      <c r="M901" t="n">
        <v>75.993667194</v>
      </c>
      <c r="N901" t="n">
        <v>93.881078234</v>
      </c>
      <c r="O901" t="n">
        <v/>
      </c>
      <c r="P901" t="n">
        <v/>
      </c>
      <c r="Q901" t="n">
        <v>68.61402814500001</v>
      </c>
      <c r="R901" t="n">
        <v>85.93000000000001</v>
      </c>
      <c r="S901" t="n">
        <v>75.38239137799999</v>
      </c>
      <c r="T901" t="n">
        <v>82.66713830899999</v>
      </c>
      <c r="U901" t="n">
        <v/>
      </c>
      <c r="V901" t="n">
        <v>118.755452258</v>
      </c>
      <c r="W901" t="n">
        <v>31.988287949</v>
      </c>
      <c r="X901" t="n">
        <v/>
      </c>
      <c r="Y901" t="n">
        <v/>
      </c>
      <c r="Z901" t="n">
        <v>17.234039188</v>
      </c>
      <c r="AA901" t="n">
        <v/>
      </c>
      <c r="AB901" t="n">
        <v>51.270224325</v>
      </c>
      <c r="AC901" t="n">
        <v>105.791184068</v>
      </c>
      <c r="AD901" t="n">
        <v>94.919949398</v>
      </c>
      <c r="AE901" t="n">
        <v>27.227</v>
      </c>
      <c r="AF901" t="n">
        <v>70.414503164</v>
      </c>
      <c r="AG901" t="n">
        <v/>
      </c>
      <c r="AH901" t="n">
        <v>73.87656847300001</v>
      </c>
      <c r="AI901" t="n">
        <v>74.90996644099999</v>
      </c>
      <c r="AJ901" t="n">
        <v>100.912603345</v>
      </c>
      <c r="AK901" t="n">
        <v/>
      </c>
      <c r="AL901" t="n">
        <v>67.383958318</v>
      </c>
      <c r="AM901" t="n">
        <v>27.689029038</v>
      </c>
      <c r="AN901" t="n">
        <v>105.110136065</v>
      </c>
      <c r="AO901" t="n">
        <v>66.718890335</v>
      </c>
      <c r="AP901" t="n">
        <v>32.58108186</v>
      </c>
      <c r="AQ901" t="n">
        <v>67.043683993</v>
      </c>
      <c r="AR901" t="n">
        <v>71.34827842599999</v>
      </c>
      <c r="AS901" t="n">
        <v>38.296808599</v>
      </c>
      <c r="AT901" t="n">
        <v>66.142459966</v>
      </c>
      <c r="AU901" t="n">
        <v/>
      </c>
    </row>
    <row r="902">
      <c r="A902" s="106" t="n">
        <v>34335</v>
      </c>
      <c r="B902" t="n">
        <v>49.565568218</v>
      </c>
      <c r="C902" t="n">
        <v>61.312516439</v>
      </c>
      <c r="D902" t="n">
        <v>72.459744603</v>
      </c>
      <c r="E902" t="n">
        <v>70.971326013</v>
      </c>
      <c r="F902" t="n">
        <v/>
      </c>
      <c r="G902" t="n">
        <v/>
      </c>
      <c r="H902" t="n">
        <v>57.647145715</v>
      </c>
      <c r="I902" t="n">
        <v>49.565568218</v>
      </c>
      <c r="J902" t="n">
        <v>50.556450302</v>
      </c>
      <c r="K902" t="n">
        <v>67.105592133</v>
      </c>
      <c r="L902" t="n">
        <v>89.15464334000001</v>
      </c>
      <c r="M902" t="n">
        <v>76.093658862</v>
      </c>
      <c r="N902" t="n">
        <v>93.604078003</v>
      </c>
      <c r="O902" t="n">
        <v/>
      </c>
      <c r="P902" t="n">
        <v/>
      </c>
      <c r="Q902" t="n">
        <v>69.173320843</v>
      </c>
      <c r="R902" t="n">
        <v>87.53</v>
      </c>
      <c r="S902" t="n">
        <v>75.51603178400001</v>
      </c>
      <c r="T902" t="n">
        <v>82.985496993</v>
      </c>
      <c r="U902" t="n">
        <v/>
      </c>
      <c r="V902" t="n">
        <v>116.828060276</v>
      </c>
      <c r="W902" t="n">
        <v>32.134754469</v>
      </c>
      <c r="X902" t="n">
        <v/>
      </c>
      <c r="Y902" t="n">
        <v/>
      </c>
      <c r="Z902" t="n">
        <v>17.174611467</v>
      </c>
      <c r="AA902" t="n">
        <v/>
      </c>
      <c r="AB902" t="n">
        <v>52.250802386</v>
      </c>
      <c r="AC902" t="n">
        <v>106.09115907</v>
      </c>
      <c r="AD902" t="n">
        <v>94.51430858800001</v>
      </c>
      <c r="AE902" t="n">
        <v>26.959</v>
      </c>
      <c r="AF902" t="n">
        <v>73.639815257</v>
      </c>
      <c r="AG902" t="n">
        <v/>
      </c>
      <c r="AH902" t="n">
        <v>74.682736474</v>
      </c>
      <c r="AI902" t="n">
        <v>78.77225862900001</v>
      </c>
      <c r="AJ902" t="n">
        <v>102.443238715</v>
      </c>
      <c r="AK902" t="n">
        <v/>
      </c>
      <c r="AL902" t="n">
        <v>67.61733223500001</v>
      </c>
      <c r="AM902" t="n">
        <v>28.566004469</v>
      </c>
      <c r="AN902" t="n">
        <v>103.258002026</v>
      </c>
      <c r="AO902" t="n">
        <v>60.632009896</v>
      </c>
      <c r="AP902" t="n">
        <v>32.007393126</v>
      </c>
      <c r="AQ902" t="n">
        <v>65.48089415600001</v>
      </c>
      <c r="AR902" t="n">
        <v>71.75309135400001</v>
      </c>
      <c r="AS902" t="n">
        <v>38.196816932</v>
      </c>
      <c r="AT902" t="n">
        <v>66.353270849</v>
      </c>
      <c r="AU902" t="n">
        <v/>
      </c>
    </row>
    <row r="903">
      <c r="A903" s="106" t="n">
        <v>34366</v>
      </c>
      <c r="B903" t="n">
        <v>50.636255911</v>
      </c>
      <c r="C903" t="n">
        <v>60.866067389</v>
      </c>
      <c r="D903" t="n">
        <v>71.231018314</v>
      </c>
      <c r="E903" t="n">
        <v>71.16680823900001</v>
      </c>
      <c r="F903" t="n">
        <v/>
      </c>
      <c r="G903" t="n">
        <v/>
      </c>
      <c r="H903" t="n">
        <v>60.942811359</v>
      </c>
      <c r="I903" t="n">
        <v>50.636255911</v>
      </c>
      <c r="J903" t="n">
        <v>49.866888184</v>
      </c>
      <c r="K903" t="n">
        <v>68.10567547300001</v>
      </c>
      <c r="L903" t="n">
        <v>87.412916486</v>
      </c>
      <c r="M903" t="n">
        <v>77.193567203</v>
      </c>
      <c r="N903" t="n">
        <v>96.223080186</v>
      </c>
      <c r="O903" t="n">
        <v/>
      </c>
      <c r="P903" t="n">
        <v/>
      </c>
      <c r="Q903" t="n">
        <v>69.520082315</v>
      </c>
      <c r="R903" t="n">
        <v>87.26000000000001</v>
      </c>
      <c r="S903" t="n">
        <v>75.93959039400001</v>
      </c>
      <c r="T903" t="n">
        <v>83.5160948</v>
      </c>
      <c r="U903" t="n">
        <v/>
      </c>
      <c r="V903" t="n">
        <v>118.924689788</v>
      </c>
      <c r="W903" t="n">
        <v>32.017581253</v>
      </c>
      <c r="X903" t="n">
        <v/>
      </c>
      <c r="Y903" t="n">
        <v/>
      </c>
      <c r="Z903" t="n">
        <v>18.244310451</v>
      </c>
      <c r="AA903" t="n">
        <v/>
      </c>
      <c r="AB903" t="n">
        <v>53.231380447</v>
      </c>
      <c r="AC903" t="n">
        <v>107.791017415</v>
      </c>
      <c r="AD903" t="n">
        <v>95.325590207</v>
      </c>
      <c r="AE903" t="n">
        <v>27.024</v>
      </c>
      <c r="AF903" t="n">
        <v>72.154607895</v>
      </c>
      <c r="AG903" t="n">
        <v/>
      </c>
      <c r="AH903" t="n">
        <v>75.008219455</v>
      </c>
      <c r="AI903" t="n">
        <v>80.475984324</v>
      </c>
      <c r="AJ903" t="n">
        <v>103.864542988</v>
      </c>
      <c r="AK903" t="n">
        <v/>
      </c>
      <c r="AL903" t="n">
        <v>67.87904192400001</v>
      </c>
      <c r="AM903" t="n">
        <v>28.917160171</v>
      </c>
      <c r="AN903" t="n">
        <v>103.05304611</v>
      </c>
      <c r="AO903" t="n">
        <v>63.098219135</v>
      </c>
      <c r="AP903" t="n">
        <v>32.797532542</v>
      </c>
      <c r="AQ903" t="n">
        <v>66.106010091</v>
      </c>
      <c r="AR903" t="n">
        <v>73.271139831</v>
      </c>
      <c r="AS903" t="n">
        <v>34.09715857</v>
      </c>
      <c r="AT903" t="n">
        <v>66.400668592</v>
      </c>
      <c r="AU903" t="n">
        <v/>
      </c>
    </row>
    <row r="904">
      <c r="A904" s="106" t="n">
        <v>34394</v>
      </c>
      <c r="B904" t="n">
        <v>49.680867454</v>
      </c>
      <c r="C904" t="n">
        <v>61.04865892</v>
      </c>
      <c r="D904" t="n">
        <v>71.924371006</v>
      </c>
      <c r="E904" t="n">
        <v>72.155027283</v>
      </c>
      <c r="F904" t="n">
        <v/>
      </c>
      <c r="G904" t="n">
        <v/>
      </c>
      <c r="H904" t="n">
        <v>60.486001627</v>
      </c>
      <c r="I904" t="n">
        <v>49.680867454</v>
      </c>
      <c r="J904" t="n">
        <v>50.620164739</v>
      </c>
      <c r="K904" t="n">
        <v>67.80565047100001</v>
      </c>
      <c r="L904" t="n">
        <v>89.80779090999999</v>
      </c>
      <c r="M904" t="n">
        <v>77.29355887</v>
      </c>
      <c r="N904" t="n">
        <v>96.206080172</v>
      </c>
      <c r="O904" t="n">
        <v/>
      </c>
      <c r="P904" t="n">
        <v/>
      </c>
      <c r="Q904" t="n">
        <v>70.13530428200001</v>
      </c>
      <c r="R904" t="n">
        <v>87.23999999999999</v>
      </c>
      <c r="S904" t="n">
        <v>76.553655682</v>
      </c>
      <c r="T904" t="n">
        <v>84.25893173</v>
      </c>
      <c r="U904" t="n">
        <v/>
      </c>
      <c r="V904" t="n">
        <v>119.000965511</v>
      </c>
      <c r="W904" t="n">
        <v>31.988287949</v>
      </c>
      <c r="X904" t="n">
        <v/>
      </c>
      <c r="Y904" t="n">
        <v/>
      </c>
      <c r="Z904" t="n">
        <v>17.947171844</v>
      </c>
      <c r="AA904" t="n">
        <v/>
      </c>
      <c r="AB904" t="n">
        <v>51.760513355</v>
      </c>
      <c r="AC904" t="n">
        <v>109.290892426</v>
      </c>
      <c r="AD904" t="n">
        <v>96.33969223</v>
      </c>
      <c r="AE904" t="n">
        <v>27.495</v>
      </c>
      <c r="AF904" t="n">
        <v>73.811224502</v>
      </c>
      <c r="AG904" t="n">
        <v/>
      </c>
      <c r="AH904" t="n">
        <v>75.76527288299999</v>
      </c>
      <c r="AI904" t="n">
        <v>80.637876811</v>
      </c>
      <c r="AJ904" t="n">
        <v>101.021934443</v>
      </c>
      <c r="AK904" t="n">
        <v/>
      </c>
      <c r="AL904" t="n">
        <v>68.37259106499999</v>
      </c>
      <c r="AM904" t="n">
        <v>29.360368348</v>
      </c>
      <c r="AN904" t="n">
        <v>103.086137818</v>
      </c>
      <c r="AO904" t="n">
        <v>61.571358144</v>
      </c>
      <c r="AP904" t="n">
        <v>33.181114958</v>
      </c>
      <c r="AQ904" t="n">
        <v>68.684613322</v>
      </c>
      <c r="AR904" t="n">
        <v>73.67595275799999</v>
      </c>
      <c r="AS904" t="n">
        <v>34.09715857</v>
      </c>
      <c r="AT904" t="n">
        <v>67.064336156</v>
      </c>
      <c r="AU904" t="n">
        <v/>
      </c>
    </row>
    <row r="905">
      <c r="A905" s="106" t="n">
        <v>34425</v>
      </c>
      <c r="B905" t="n">
        <v>49.180359358</v>
      </c>
      <c r="C905" t="n">
        <v>59.958918584</v>
      </c>
      <c r="D905" t="n">
        <v>71.608412817</v>
      </c>
      <c r="E905" t="n">
        <v>72.66064958</v>
      </c>
      <c r="F905" t="n">
        <v/>
      </c>
      <c r="G905" t="n">
        <v/>
      </c>
      <c r="H905" t="n">
        <v>60.509650242</v>
      </c>
      <c r="I905" t="n">
        <v>49.180359358</v>
      </c>
      <c r="J905" t="n">
        <v>51.290196163</v>
      </c>
      <c r="K905" t="n">
        <v>68.60571714300001</v>
      </c>
      <c r="L905" t="n">
        <v>86.65091098800001</v>
      </c>
      <c r="M905" t="n">
        <v>78.693442213</v>
      </c>
      <c r="N905" t="n">
        <v>97.709081424</v>
      </c>
      <c r="O905" t="n">
        <v/>
      </c>
      <c r="P905" t="n">
        <v/>
      </c>
      <c r="Q905" t="n">
        <v>71.421677487</v>
      </c>
      <c r="R905" t="n">
        <v>89.64</v>
      </c>
      <c r="S905" t="n">
        <v>77.298104529</v>
      </c>
      <c r="T905" t="n">
        <v>85.00176865900001</v>
      </c>
      <c r="U905" t="n">
        <v/>
      </c>
      <c r="V905" t="n">
        <v>120.180187715</v>
      </c>
      <c r="W905" t="n">
        <v>32.251927685</v>
      </c>
      <c r="X905" t="n">
        <v>26.953364531</v>
      </c>
      <c r="Y905" t="n">
        <v/>
      </c>
      <c r="Z905" t="n">
        <v>18.482021336</v>
      </c>
      <c r="AA905" t="n">
        <v/>
      </c>
      <c r="AB905" t="n">
        <v>51.900595936</v>
      </c>
      <c r="AC905" t="n">
        <v>111.090742438</v>
      </c>
      <c r="AD905" t="n">
        <v>97.252384052</v>
      </c>
      <c r="AE905" t="n">
        <v>27.357</v>
      </c>
      <c r="AF905" t="n">
        <v>74.651534477</v>
      </c>
      <c r="AG905" t="n">
        <v/>
      </c>
      <c r="AH905" t="n">
        <v>78.013483564</v>
      </c>
      <c r="AI905" t="n">
        <v>80.514530155</v>
      </c>
      <c r="AJ905" t="n">
        <v>100.693941149</v>
      </c>
      <c r="AK905" t="n">
        <v/>
      </c>
      <c r="AL905" t="n">
        <v>68.89016785699999</v>
      </c>
      <c r="AM905" t="n">
        <v>29.545951809</v>
      </c>
      <c r="AN905" t="n">
        <v>102.870073625</v>
      </c>
      <c r="AO905" t="n">
        <v>60.67143885</v>
      </c>
      <c r="AP905" t="n">
        <v>32.500825124</v>
      </c>
      <c r="AQ905" t="n">
        <v>67.434381452</v>
      </c>
      <c r="AR905" t="n">
        <v>73.979562454</v>
      </c>
      <c r="AS905" t="n">
        <v>32.097325223</v>
      </c>
      <c r="AT905" t="n">
        <v>67.460870833</v>
      </c>
      <c r="AU905" t="n">
        <v/>
      </c>
    </row>
    <row r="906">
      <c r="A906" s="106" t="n">
        <v>34455</v>
      </c>
      <c r="B906" t="n">
        <v>52.13507563</v>
      </c>
      <c r="C906" t="n">
        <v>59.75175465</v>
      </c>
      <c r="D906" t="n">
        <v>73.45150225099999</v>
      </c>
      <c r="E906" t="n">
        <v>73.357055012</v>
      </c>
      <c r="F906" t="n">
        <v/>
      </c>
      <c r="G906" t="n">
        <v/>
      </c>
      <c r="H906" t="n">
        <v>60.251978569</v>
      </c>
      <c r="I906" t="n">
        <v>52.13507563</v>
      </c>
      <c r="J906" t="n">
        <v>53.211793184</v>
      </c>
      <c r="K906" t="n">
        <v>68.30569214099999</v>
      </c>
      <c r="L906" t="n">
        <v>92.311523263</v>
      </c>
      <c r="M906" t="n">
        <v>78.493458878</v>
      </c>
      <c r="N906" t="n">
        <v>97.02108085099999</v>
      </c>
      <c r="O906" t="n">
        <v/>
      </c>
      <c r="P906" t="n">
        <v/>
      </c>
      <c r="Q906" t="n">
        <v>72.13757214</v>
      </c>
      <c r="R906" t="n">
        <v>89.56999999999999</v>
      </c>
      <c r="S906" t="n">
        <v>77.468801552</v>
      </c>
      <c r="T906" t="n">
        <v>85.532366466</v>
      </c>
      <c r="U906" t="n">
        <v/>
      </c>
      <c r="V906" t="n">
        <v>118.705720415</v>
      </c>
      <c r="W906" t="n">
        <v>32.662033941</v>
      </c>
      <c r="X906" t="n">
        <v>27.388823624</v>
      </c>
      <c r="Y906" t="n">
        <v/>
      </c>
      <c r="Z906" t="n">
        <v>18.303738172</v>
      </c>
      <c r="AA906" t="n">
        <v/>
      </c>
      <c r="AB906" t="n">
        <v>52.110719806</v>
      </c>
      <c r="AC906" t="n">
        <v>111.490709108</v>
      </c>
      <c r="AD906" t="n">
        <v>97.150973849</v>
      </c>
      <c r="AE906" t="n">
        <v>28.226</v>
      </c>
      <c r="AF906" t="n">
        <v>75.474986398</v>
      </c>
      <c r="AG906" t="n">
        <v/>
      </c>
      <c r="AH906" t="n">
        <v>76.701639223</v>
      </c>
      <c r="AI906" t="n">
        <v>79.9594702</v>
      </c>
      <c r="AJ906" t="n">
        <v>102.771232009</v>
      </c>
      <c r="AK906" t="n">
        <v/>
      </c>
      <c r="AL906" t="n">
        <v>69.092194058</v>
      </c>
      <c r="AM906" t="n">
        <v>29.849884993</v>
      </c>
      <c r="AN906" t="n">
        <v>103.77448814</v>
      </c>
      <c r="AO906" t="n">
        <v>59.54322203</v>
      </c>
      <c r="AP906" t="n">
        <v>33.809721036</v>
      </c>
      <c r="AQ906" t="n">
        <v>69.544147732</v>
      </c>
      <c r="AR906" t="n">
        <v>74.687985076</v>
      </c>
      <c r="AS906" t="n">
        <v>31.897341888</v>
      </c>
      <c r="AT906" t="n">
        <v>67.77788042500001</v>
      </c>
      <c r="AU906" t="n">
        <v/>
      </c>
    </row>
    <row r="907">
      <c r="A907" s="106" t="n">
        <v>34486</v>
      </c>
      <c r="B907" t="n">
        <v>50.779588836</v>
      </c>
      <c r="C907" t="n">
        <v>60.129899716</v>
      </c>
      <c r="D907" t="n">
        <v>73.741130591</v>
      </c>
      <c r="E907" t="n">
        <v>74.309560957</v>
      </c>
      <c r="F907" t="n">
        <v/>
      </c>
      <c r="G907" t="n">
        <v/>
      </c>
      <c r="H907" t="n">
        <v>60.663422179</v>
      </c>
      <c r="I907" t="n">
        <v>50.779588836</v>
      </c>
      <c r="J907" t="n">
        <v>52.833651336</v>
      </c>
      <c r="K907" t="n">
        <v>68.805733811</v>
      </c>
      <c r="L907" t="n">
        <v>92.093807406</v>
      </c>
      <c r="M907" t="n">
        <v>79.093408883</v>
      </c>
      <c r="N907" t="n">
        <v>98.581082151</v>
      </c>
      <c r="O907" t="n">
        <v/>
      </c>
      <c r="P907" t="n">
        <v/>
      </c>
      <c r="Q907" t="n">
        <v>72.68567898400001</v>
      </c>
      <c r="R907" t="n">
        <v>90.04000000000001</v>
      </c>
      <c r="S907" t="n">
        <v>78.088120624</v>
      </c>
      <c r="T907" t="n">
        <v>85.638486028</v>
      </c>
      <c r="U907" t="n">
        <v/>
      </c>
      <c r="V907" t="n">
        <v>119.107995029</v>
      </c>
      <c r="W907" t="n">
        <v>33.013553589</v>
      </c>
      <c r="X907" t="n">
        <v>28.108768781</v>
      </c>
      <c r="Y907" t="n">
        <v/>
      </c>
      <c r="Z907" t="n">
        <v>19.016870828</v>
      </c>
      <c r="AA907" t="n">
        <v/>
      </c>
      <c r="AB907" t="n">
        <v>52.530967546</v>
      </c>
      <c r="AC907" t="n">
        <v>112.590617449</v>
      </c>
      <c r="AD907" t="n">
        <v>98.367896277</v>
      </c>
      <c r="AE907" t="n">
        <v>28.623</v>
      </c>
      <c r="AF907" t="n">
        <v>73.28057743700001</v>
      </c>
      <c r="AG907" t="n">
        <v/>
      </c>
      <c r="AH907" t="n">
        <v>76.999232479</v>
      </c>
      <c r="AI907" t="n">
        <v>80.183036015</v>
      </c>
      <c r="AJ907" t="n">
        <v>106.597820435</v>
      </c>
      <c r="AK907" t="n">
        <v/>
      </c>
      <c r="AL907" t="n">
        <v>69.546346579</v>
      </c>
      <c r="AM907" t="n">
        <v>30.139531168</v>
      </c>
      <c r="AN907" t="n">
        <v>102.7954583</v>
      </c>
      <c r="AO907" t="n">
        <v>59.099679859</v>
      </c>
      <c r="AP907" t="n">
        <v>34.199372171</v>
      </c>
      <c r="AQ907" t="n">
        <v>71.57577451900001</v>
      </c>
      <c r="AR907" t="n">
        <v>75.801220626</v>
      </c>
      <c r="AS907" t="n">
        <v>30.197483543</v>
      </c>
      <c r="AT907" t="n">
        <v>68.22121789400001</v>
      </c>
      <c r="AU907" t="n">
        <v/>
      </c>
    </row>
    <row r="908">
      <c r="A908" s="106" t="n">
        <v>34516</v>
      </c>
      <c r="B908" t="n">
        <v>51.031849238</v>
      </c>
      <c r="C908" t="n">
        <v>55.010369788</v>
      </c>
      <c r="D908" t="n">
        <v>74.08341862899999</v>
      </c>
      <c r="E908" t="n">
        <v>74.292174316</v>
      </c>
      <c r="F908" t="n">
        <v/>
      </c>
      <c r="G908" t="n">
        <v/>
      </c>
      <c r="H908" t="n">
        <v>58.855340334</v>
      </c>
      <c r="I908" t="n">
        <v>51.031849238</v>
      </c>
      <c r="J908" t="n">
        <v>53.41689152</v>
      </c>
      <c r="K908" t="n">
        <v>68.505708809</v>
      </c>
      <c r="L908" t="n">
        <v>91.00522812299999</v>
      </c>
      <c r="M908" t="n">
        <v>79.293392217</v>
      </c>
      <c r="N908" t="n">
        <v>99.851083209</v>
      </c>
      <c r="O908" t="n">
        <v/>
      </c>
      <c r="P908" t="n">
        <v/>
      </c>
      <c r="Q908" t="n">
        <v>73.401573637</v>
      </c>
      <c r="R908" t="n">
        <v>90.87</v>
      </c>
      <c r="S908" t="n">
        <v>78.32058326000001</v>
      </c>
      <c r="T908" t="n">
        <v>85.744605589</v>
      </c>
      <c r="U908" t="n">
        <v/>
      </c>
      <c r="V908" t="n">
        <v>120.811452937</v>
      </c>
      <c r="W908" t="n">
        <v>33.39436654</v>
      </c>
      <c r="X908" t="n">
        <v>28.346069775</v>
      </c>
      <c r="Y908" t="n">
        <v/>
      </c>
      <c r="Z908" t="n">
        <v>18.422593615</v>
      </c>
      <c r="AA908" t="n">
        <v/>
      </c>
      <c r="AB908" t="n">
        <v>53.161339157</v>
      </c>
      <c r="AC908" t="n">
        <v>112.790600783</v>
      </c>
      <c r="AD908" t="n">
        <v>99.381998301</v>
      </c>
      <c r="AE908" t="n">
        <v>27.56</v>
      </c>
      <c r="AF908" t="n">
        <v>71.89163892000001</v>
      </c>
      <c r="AG908" t="n">
        <v/>
      </c>
      <c r="AH908" t="n">
        <v>77.086995122</v>
      </c>
      <c r="AI908" t="n">
        <v>81.046462612</v>
      </c>
      <c r="AJ908" t="n">
        <v>102.771232009</v>
      </c>
      <c r="AK908" t="n">
        <v/>
      </c>
      <c r="AL908" t="n">
        <v>69.660475359</v>
      </c>
      <c r="AM908" t="n">
        <v>30.641432098</v>
      </c>
      <c r="AN908" t="n">
        <v>103.036233447</v>
      </c>
      <c r="AO908" t="n">
        <v>58.464274523</v>
      </c>
      <c r="AP908" t="n">
        <v>35.587536098</v>
      </c>
      <c r="AQ908" t="n">
        <v>70.247403158</v>
      </c>
      <c r="AR908" t="n">
        <v>73.878359222</v>
      </c>
      <c r="AS908" t="n">
        <v>31.197400217</v>
      </c>
      <c r="AT908" t="n">
        <v>68.306593327</v>
      </c>
      <c r="AU908" t="n">
        <v/>
      </c>
    </row>
    <row r="909">
      <c r="A909" s="106" t="n">
        <v>34547</v>
      </c>
      <c r="B909" t="n">
        <v>51.013803267</v>
      </c>
      <c r="C909" t="n">
        <v>61.84234058</v>
      </c>
      <c r="D909" t="n">
        <v>77.48874577300001</v>
      </c>
      <c r="E909" t="n">
        <v>74.94017909999999</v>
      </c>
      <c r="F909" t="n">
        <v/>
      </c>
      <c r="G909" t="n">
        <v/>
      </c>
      <c r="H909" t="n">
        <v>61.490477684</v>
      </c>
      <c r="I909" t="n">
        <v>51.013803267</v>
      </c>
      <c r="J909" t="n">
        <v>53.189958154</v>
      </c>
      <c r="K909" t="n">
        <v>68.505708809</v>
      </c>
      <c r="L909" t="n">
        <v>87.195200629</v>
      </c>
      <c r="M909" t="n">
        <v>79.493375552</v>
      </c>
      <c r="N909" t="n">
        <v>99.965083304</v>
      </c>
      <c r="O909" t="n">
        <v/>
      </c>
      <c r="P909" t="n">
        <v/>
      </c>
      <c r="Q909" t="n">
        <v>73.401573637</v>
      </c>
      <c r="R909" t="n">
        <v>91.37</v>
      </c>
      <c r="S909" t="n">
        <v>78.754072909</v>
      </c>
      <c r="T909" t="n">
        <v>85.85072515</v>
      </c>
      <c r="U909" t="n">
        <v/>
      </c>
      <c r="V909" t="n">
        <v>121.823679069</v>
      </c>
      <c r="W909" t="n">
        <v>33.921646012</v>
      </c>
      <c r="X909" t="n">
        <v>28.530002555</v>
      </c>
      <c r="Y909" t="n">
        <v/>
      </c>
      <c r="Z909" t="n">
        <v>19.195153992</v>
      </c>
      <c r="AA909" t="n">
        <v/>
      </c>
      <c r="AB909" t="n">
        <v>54.352041088</v>
      </c>
      <c r="AC909" t="n">
        <v>113.190567453</v>
      </c>
      <c r="AD909" t="n">
        <v>100.19327992</v>
      </c>
      <c r="AE909" t="n">
        <v>28.29</v>
      </c>
      <c r="AF909" t="n">
        <v>77.780522142</v>
      </c>
      <c r="AG909" t="n">
        <v/>
      </c>
      <c r="AH909" t="n">
        <v>77.599518601</v>
      </c>
      <c r="AI909" t="n">
        <v>81.539849238</v>
      </c>
      <c r="AJ909" t="n">
        <v>96.758021626</v>
      </c>
      <c r="AK909" t="n">
        <v/>
      </c>
      <c r="AL909" t="n">
        <v>70.269777183</v>
      </c>
      <c r="AM909" t="n">
        <v>31.655065779</v>
      </c>
      <c r="AN909" t="n">
        <v>103.302822386</v>
      </c>
      <c r="AO909" t="n">
        <v>59.23769255</v>
      </c>
      <c r="AP909" t="n">
        <v>33.712804022</v>
      </c>
      <c r="AQ909" t="n">
        <v>70.091124175</v>
      </c>
      <c r="AR909" t="n">
        <v>75.39640769899999</v>
      </c>
      <c r="AS909" t="n">
        <v>33.397216899</v>
      </c>
      <c r="AT909" t="n">
        <v>68.757665155</v>
      </c>
      <c r="AU909" t="n">
        <v/>
      </c>
    </row>
    <row r="910">
      <c r="A910" s="106" t="n">
        <v>34578</v>
      </c>
      <c r="B910" t="n">
        <v>50.932774805</v>
      </c>
      <c r="C910" t="n">
        <v>61.068409936</v>
      </c>
      <c r="D910" t="n">
        <v>77.918799975</v>
      </c>
      <c r="E910" t="n">
        <v>75.59382279499999</v>
      </c>
      <c r="F910" t="n">
        <v/>
      </c>
      <c r="G910" t="n">
        <v/>
      </c>
      <c r="H910" t="n">
        <v>60.871103993</v>
      </c>
      <c r="I910" t="n">
        <v>50.932774805</v>
      </c>
      <c r="J910" t="n">
        <v>53.110889165</v>
      </c>
      <c r="K910" t="n">
        <v>69.505792149</v>
      </c>
      <c r="L910" t="n">
        <v>88.93692748300001</v>
      </c>
      <c r="M910" t="n">
        <v>79.993333889</v>
      </c>
      <c r="N910" t="n">
        <v>100.02008335</v>
      </c>
      <c r="O910" t="n">
        <v/>
      </c>
      <c r="P910" t="n">
        <v/>
      </c>
      <c r="Q910" t="n">
        <v>75.146566853</v>
      </c>
      <c r="R910" t="n">
        <v>91.09</v>
      </c>
      <c r="S910" t="n">
        <v>78.90003165900001</v>
      </c>
      <c r="T910" t="n">
        <v>86.38132295699999</v>
      </c>
      <c r="U910" t="n">
        <v/>
      </c>
      <c r="V910" t="n">
        <v>126.658390471</v>
      </c>
      <c r="W910" t="n">
        <v>34.27316566</v>
      </c>
      <c r="X910" t="n">
        <v>28.745241679</v>
      </c>
      <c r="Y910" t="n">
        <v/>
      </c>
      <c r="Z910" t="n">
        <v>18.244310451</v>
      </c>
      <c r="AA910" t="n">
        <v/>
      </c>
      <c r="AB910" t="n">
        <v>53.371463027</v>
      </c>
      <c r="AC910" t="n">
        <v>113.790517457</v>
      </c>
      <c r="AD910" t="n">
        <v>99.179177896</v>
      </c>
      <c r="AE910" t="n">
        <v>29.224</v>
      </c>
      <c r="AF910" t="n">
        <v>71.74254722000001</v>
      </c>
      <c r="AG910" t="n">
        <v/>
      </c>
      <c r="AH910" t="n">
        <v>77.195041508</v>
      </c>
      <c r="AI910" t="n">
        <v>82.071781695</v>
      </c>
      <c r="AJ910" t="n">
        <v>104.192536282</v>
      </c>
      <c r="AK910" t="n">
        <v/>
      </c>
      <c r="AL910" t="n">
        <v>70.48745352500001</v>
      </c>
      <c r="AM910" t="n">
        <v>31.207643285</v>
      </c>
      <c r="AN910" t="n">
        <v>106.245196721</v>
      </c>
      <c r="AO910" t="n">
        <v>58.443565499</v>
      </c>
      <c r="AP910" t="n">
        <v>32.652168331</v>
      </c>
      <c r="AQ910" t="n">
        <v>68.05949738699999</v>
      </c>
      <c r="AR910" t="n">
        <v>78.83731758</v>
      </c>
      <c r="AS910" t="n">
        <v>33.997166903</v>
      </c>
      <c r="AT910" t="n">
        <v>68.972045743</v>
      </c>
      <c r="AU910" t="n">
        <v/>
      </c>
    </row>
    <row r="911">
      <c r="A911" s="106" t="n">
        <v>34608</v>
      </c>
      <c r="B911" t="n">
        <v>52.855861822</v>
      </c>
      <c r="C911" t="n">
        <v>60.650435238</v>
      </c>
      <c r="D911" t="n">
        <v>77.971459673</v>
      </c>
      <c r="E911" t="n">
        <v>75.34007182800001</v>
      </c>
      <c r="F911" t="n">
        <v/>
      </c>
      <c r="G911" t="n">
        <v/>
      </c>
      <c r="H911" t="n">
        <v>60.98999067</v>
      </c>
      <c r="I911" t="n">
        <v>52.855861822</v>
      </c>
      <c r="J911" t="n">
        <v>51.66408731</v>
      </c>
      <c r="K911" t="n">
        <v>70.80590049200001</v>
      </c>
      <c r="L911" t="n">
        <v>90.243222624</v>
      </c>
      <c r="M911" t="n">
        <v>80.893258895</v>
      </c>
      <c r="N911" t="n">
        <v>101.015084179</v>
      </c>
      <c r="O911" t="n">
        <v/>
      </c>
      <c r="P911" t="n">
        <v/>
      </c>
      <c r="Q911" t="n">
        <v>75.470956618</v>
      </c>
      <c r="R911" t="n">
        <v>91.97</v>
      </c>
      <c r="S911" t="n">
        <v>79.58059023</v>
      </c>
      <c r="T911" t="n">
        <v>87.018040325</v>
      </c>
      <c r="U911" t="n">
        <v/>
      </c>
      <c r="V911" t="n">
        <v>122.385310615</v>
      </c>
      <c r="W911" t="n">
        <v>34.185285748</v>
      </c>
      <c r="X911" t="n">
        <v>29.144117399</v>
      </c>
      <c r="Y911" t="n">
        <v/>
      </c>
      <c r="Z911" t="n">
        <v>19.373437156</v>
      </c>
      <c r="AA911" t="n">
        <v/>
      </c>
      <c r="AB911" t="n">
        <v>54.702247538</v>
      </c>
      <c r="AC911" t="n">
        <v>113.490542455</v>
      </c>
      <c r="AD911" t="n">
        <v>100.19327992</v>
      </c>
      <c r="AE911" t="n">
        <v>29.621</v>
      </c>
      <c r="AF911" t="n">
        <v>72.730295232</v>
      </c>
      <c r="AG911" t="n">
        <v/>
      </c>
      <c r="AH911" t="n">
        <v>77.246818909</v>
      </c>
      <c r="AI911" t="n">
        <v>85.463814754</v>
      </c>
      <c r="AJ911" t="n">
        <v>106.051164946</v>
      </c>
      <c r="AK911" t="n">
        <v/>
      </c>
      <c r="AL911" t="n">
        <v>71.07295856899999</v>
      </c>
      <c r="AM911" t="n">
        <v>30.556084162</v>
      </c>
      <c r="AN911" t="n">
        <v>102.280367014</v>
      </c>
      <c r="AO911" t="n">
        <v>59.464008274</v>
      </c>
      <c r="AP911" t="n">
        <v>33.643442284</v>
      </c>
      <c r="AQ911" t="n">
        <v>67.512520944</v>
      </c>
      <c r="AR911" t="n">
        <v>79.646943435</v>
      </c>
      <c r="AS911" t="n">
        <v>34.797100242</v>
      </c>
      <c r="AT911" t="n">
        <v>69.528919647</v>
      </c>
      <c r="AU911" t="n">
        <v/>
      </c>
    </row>
    <row r="912">
      <c r="A912" s="106" t="n">
        <v>34639</v>
      </c>
      <c r="B912" t="n">
        <v>52.771036934</v>
      </c>
      <c r="C912" t="n">
        <v>62.638334127</v>
      </c>
      <c r="D912" t="n">
        <v>79.21773919499999</v>
      </c>
      <c r="E912" t="n">
        <v>76.23195948599999</v>
      </c>
      <c r="F912" t="n">
        <v/>
      </c>
      <c r="G912" t="n">
        <v/>
      </c>
      <c r="H912" t="n">
        <v>60.643597989</v>
      </c>
      <c r="I912" t="n">
        <v>52.771036934</v>
      </c>
      <c r="J912" t="n">
        <v>52.53358811</v>
      </c>
      <c r="K912" t="n">
        <v>71.205933828</v>
      </c>
      <c r="L912" t="n">
        <v>92.964670833</v>
      </c>
      <c r="M912" t="n">
        <v>81.393217232</v>
      </c>
      <c r="N912" t="n">
        <v>102.6000855</v>
      </c>
      <c r="O912" t="n">
        <v/>
      </c>
      <c r="P912" t="n">
        <v/>
      </c>
      <c r="Q912" t="n">
        <v>75.851275652</v>
      </c>
      <c r="R912" t="n">
        <v>92.76000000000001</v>
      </c>
      <c r="S912" t="n">
        <v>80.156322534</v>
      </c>
      <c r="T912" t="n">
        <v>87.230279448</v>
      </c>
      <c r="U912" t="n">
        <v/>
      </c>
      <c r="V912" t="n">
        <v>121.8088104</v>
      </c>
      <c r="W912" t="n">
        <v>34.302458964</v>
      </c>
      <c r="X912" t="n">
        <v>29.578670865</v>
      </c>
      <c r="Y912" t="n">
        <v/>
      </c>
      <c r="Z912" t="n">
        <v>19.314009435</v>
      </c>
      <c r="AA912" t="n">
        <v/>
      </c>
      <c r="AB912" t="n">
        <v>55.332619149</v>
      </c>
      <c r="AC912" t="n">
        <v>115.390384135</v>
      </c>
      <c r="AD912" t="n">
        <v>100.801741134</v>
      </c>
      <c r="AE912" t="n">
        <v>30.222</v>
      </c>
      <c r="AF912" t="n">
        <v>74.05208516099999</v>
      </c>
      <c r="AG912" t="n">
        <v/>
      </c>
      <c r="AH912" t="n">
        <v>76.94468162299999</v>
      </c>
      <c r="AI912" t="n">
        <v>80.144490185</v>
      </c>
      <c r="AJ912" t="n">
        <v>106.816482631</v>
      </c>
      <c r="AK912" t="n">
        <v/>
      </c>
      <c r="AL912" t="n">
        <v>71.54287091800001</v>
      </c>
      <c r="AM912" t="n">
        <v>31.228628532</v>
      </c>
      <c r="AN912" t="n">
        <v>103.953790289</v>
      </c>
      <c r="AO912" t="n">
        <v>60.365998471</v>
      </c>
      <c r="AP912" t="n">
        <v>33.788648642</v>
      </c>
      <c r="AQ912" t="n">
        <v>70.012984683</v>
      </c>
      <c r="AR912" t="n">
        <v>80.355366058</v>
      </c>
      <c r="AS912" t="n">
        <v>34.697108574</v>
      </c>
      <c r="AT912" t="n">
        <v>70.000120643</v>
      </c>
      <c r="AU912" t="n">
        <v/>
      </c>
    </row>
    <row r="913">
      <c r="A913" s="106" t="n">
        <v>34669</v>
      </c>
      <c r="B913" t="n">
        <v>53.121508716</v>
      </c>
      <c r="C913" t="n">
        <v>57.084180076</v>
      </c>
      <c r="D913" t="n">
        <v>83.56216428899999</v>
      </c>
      <c r="E913" t="n">
        <v>77.425528849</v>
      </c>
      <c r="F913" t="n">
        <v/>
      </c>
      <c r="G913" t="n">
        <v/>
      </c>
      <c r="H913" t="n">
        <v>61.864689162</v>
      </c>
      <c r="I913" t="n">
        <v>53.121508716</v>
      </c>
      <c r="J913" t="n">
        <v>54.55584056</v>
      </c>
      <c r="K913" t="n">
        <v>71.205933828</v>
      </c>
      <c r="L913" t="n">
        <v>98.62528310899999</v>
      </c>
      <c r="M913" t="n">
        <v>82.293142238</v>
      </c>
      <c r="N913" t="n">
        <v>105.30008775</v>
      </c>
      <c r="O913" t="n">
        <v/>
      </c>
      <c r="P913" t="n">
        <v/>
      </c>
      <c r="Q913" t="n">
        <v>76.45531176599999</v>
      </c>
      <c r="R913" t="n">
        <v>92.66</v>
      </c>
      <c r="S913" t="n">
        <v>80.7726807</v>
      </c>
      <c r="T913" t="n">
        <v>86.911920764</v>
      </c>
      <c r="U913" t="n">
        <v/>
      </c>
      <c r="V913" t="n">
        <v>122.084943268</v>
      </c>
      <c r="W913" t="n">
        <v>35.415604515</v>
      </c>
      <c r="X913" t="n">
        <v>29.994609476</v>
      </c>
      <c r="Y913" t="n">
        <v/>
      </c>
      <c r="Z913" t="n">
        <v>20.383708419</v>
      </c>
      <c r="AA913" t="n">
        <v/>
      </c>
      <c r="AB913" t="n">
        <v>55.332619149</v>
      </c>
      <c r="AC913" t="n">
        <v>118.190150821</v>
      </c>
      <c r="AD913" t="n">
        <v>101.51161255</v>
      </c>
      <c r="AE913" t="n">
        <v>30.018</v>
      </c>
      <c r="AF913" t="n">
        <v>74.96224758300001</v>
      </c>
      <c r="AG913" t="n">
        <v/>
      </c>
      <c r="AH913" t="n">
        <v>75.95708515600001</v>
      </c>
      <c r="AI913" t="n">
        <v>82.95062662399999</v>
      </c>
      <c r="AJ913" t="n">
        <v>106.925813729</v>
      </c>
      <c r="AK913" t="n">
        <v/>
      </c>
      <c r="AL913" t="n">
        <v>72.065496103</v>
      </c>
      <c r="AM913" t="n">
        <v>32.836617287</v>
      </c>
      <c r="AN913" t="n">
        <v>104.718806363</v>
      </c>
      <c r="AO913" t="n">
        <v>60.714616211</v>
      </c>
      <c r="AP913" t="n">
        <v>35.759611627</v>
      </c>
      <c r="AQ913" t="n">
        <v>69.856705699</v>
      </c>
      <c r="AR913" t="n">
        <v>80.861382217</v>
      </c>
      <c r="AS913" t="n">
        <v>33.997166903</v>
      </c>
      <c r="AT913" t="n">
        <v>70.68153757100001</v>
      </c>
      <c r="AU913" t="n">
        <v/>
      </c>
    </row>
    <row r="914">
      <c r="A914" s="106" t="n">
        <v>34700</v>
      </c>
      <c r="B914" t="n">
        <v>54.652242585</v>
      </c>
      <c r="C914" t="n">
        <v>62.790572758</v>
      </c>
      <c r="D914" t="n">
        <v>82.210565371</v>
      </c>
      <c r="E914" t="n">
        <v>78.251971923</v>
      </c>
      <c r="F914" t="n">
        <v/>
      </c>
      <c r="G914" t="n">
        <v/>
      </c>
      <c r="H914" t="n">
        <v>62.753355276</v>
      </c>
      <c r="I914" t="n">
        <v>54.652242585</v>
      </c>
      <c r="J914" t="n">
        <v>58.140279225</v>
      </c>
      <c r="K914" t="n">
        <v>69.805817151</v>
      </c>
      <c r="L914" t="n">
        <v>97.21013004</v>
      </c>
      <c r="M914" t="n">
        <v>81.69319223399999</v>
      </c>
      <c r="N914" t="n">
        <v>104.826087355</v>
      </c>
      <c r="O914" t="n">
        <v/>
      </c>
      <c r="P914" t="n">
        <v/>
      </c>
      <c r="Q914" t="n">
        <v>80.20668388999999</v>
      </c>
      <c r="R914" t="n">
        <v>93.31999999999999</v>
      </c>
      <c r="S914" t="n">
        <v>80.305118635</v>
      </c>
      <c r="T914" t="n">
        <v>86.38132295699999</v>
      </c>
      <c r="U914" t="n">
        <v/>
      </c>
      <c r="V914" t="n">
        <v>124.42722027</v>
      </c>
      <c r="W914" t="n">
        <v>34.741858524</v>
      </c>
      <c r="X914" t="n">
        <v>30.542578906</v>
      </c>
      <c r="Y914" t="n">
        <v/>
      </c>
      <c r="Z914" t="n">
        <v>19.967714369</v>
      </c>
      <c r="AA914" t="n">
        <v/>
      </c>
      <c r="AB914" t="n">
        <v>55.402660439</v>
      </c>
      <c r="AC914" t="n">
        <v>117.790184151</v>
      </c>
      <c r="AD914" t="n">
        <v>99.48340850300001</v>
      </c>
      <c r="AE914" t="n">
        <v>30.684</v>
      </c>
      <c r="AF914" t="n">
        <v>74.475413266</v>
      </c>
      <c r="AG914" t="n">
        <v/>
      </c>
      <c r="AH914" t="n">
        <v>74.433256595</v>
      </c>
      <c r="AI914" t="n">
        <v>85.007927481</v>
      </c>
      <c r="AJ914" t="n">
        <v>105.613840554</v>
      </c>
      <c r="AK914" t="n">
        <v/>
      </c>
      <c r="AL914" t="n">
        <v>71.87747578299999</v>
      </c>
      <c r="AM914" t="n">
        <v>32.171238254</v>
      </c>
      <c r="AN914" t="n">
        <v>105.112844504</v>
      </c>
      <c r="AO914" t="n">
        <v>60.176069289</v>
      </c>
      <c r="AP914" t="n">
        <v>33.209033311</v>
      </c>
      <c r="AQ914" t="n">
        <v>73.37298283200001</v>
      </c>
      <c r="AR914" t="n">
        <v>82.075820998</v>
      </c>
      <c r="AS914" t="n">
        <v>34.49712524</v>
      </c>
      <c r="AT914" t="n">
        <v>70.829184516</v>
      </c>
      <c r="AU914" t="n">
        <v/>
      </c>
    </row>
    <row r="915">
      <c r="A915" s="106" t="n">
        <v>34731</v>
      </c>
      <c r="B915" t="n">
        <v>54.511026363</v>
      </c>
      <c r="C915" t="n">
        <v>63.955603279</v>
      </c>
      <c r="D915" t="n">
        <v>81.885830566</v>
      </c>
      <c r="E915" t="n">
        <v>78.261750296</v>
      </c>
      <c r="F915" t="n">
        <v/>
      </c>
      <c r="G915" t="n">
        <v/>
      </c>
      <c r="H915" t="n">
        <v>62.724383906</v>
      </c>
      <c r="I915" t="n">
        <v>54.511026363</v>
      </c>
      <c r="J915" t="n">
        <v>56.020669706</v>
      </c>
      <c r="K915" t="n">
        <v>70.80590049200001</v>
      </c>
      <c r="L915" t="n">
        <v>94.48868183099999</v>
      </c>
      <c r="M915" t="n">
        <v>81.89317556899999</v>
      </c>
      <c r="N915" t="n">
        <v>103.762086468</v>
      </c>
      <c r="O915" t="n">
        <v/>
      </c>
      <c r="P915" t="n">
        <v/>
      </c>
      <c r="Q915" t="n">
        <v>79.006583882</v>
      </c>
      <c r="R915" t="n">
        <v>92.68000000000001</v>
      </c>
      <c r="S915" t="n">
        <v>80.546102218</v>
      </c>
      <c r="T915" t="n">
        <v>86.06296427300001</v>
      </c>
      <c r="U915" t="n">
        <v/>
      </c>
      <c r="V915" t="n">
        <v>123.953949545</v>
      </c>
      <c r="W915" t="n">
        <v>34.859031739</v>
      </c>
      <c r="X915" t="n">
        <v>30.320362863</v>
      </c>
      <c r="Y915" t="n">
        <v/>
      </c>
      <c r="Z915" t="n">
        <v>20.621419304</v>
      </c>
      <c r="AA915" t="n">
        <v/>
      </c>
      <c r="AB915" t="n">
        <v>55.542743019</v>
      </c>
      <c r="AC915" t="n">
        <v>117.09024248</v>
      </c>
      <c r="AD915" t="n">
        <v>100.903151336</v>
      </c>
      <c r="AE915" t="n">
        <v>30.499</v>
      </c>
      <c r="AF915" t="n">
        <v>74.60279749</v>
      </c>
      <c r="AG915" t="n">
        <v/>
      </c>
      <c r="AH915" t="n">
        <v>69.54795871100001</v>
      </c>
      <c r="AI915" t="n">
        <v>81.807186026</v>
      </c>
      <c r="AJ915" t="n">
        <v>105.28584726</v>
      </c>
      <c r="AK915" t="n">
        <v/>
      </c>
      <c r="AL915" t="n">
        <v>71.732491956</v>
      </c>
      <c r="AM915" t="n">
        <v>32.876261948</v>
      </c>
      <c r="AN915" t="n">
        <v>106.260125002</v>
      </c>
      <c r="AO915" t="n">
        <v>60.420359069</v>
      </c>
      <c r="AP915" t="n">
        <v>34.783290917</v>
      </c>
      <c r="AQ915" t="n">
        <v>73.138564356</v>
      </c>
      <c r="AR915" t="n">
        <v>82.278227462</v>
      </c>
      <c r="AS915" t="n">
        <v>33.597200233</v>
      </c>
      <c r="AT915" t="n">
        <v>70.733992396</v>
      </c>
      <c r="AU915" t="n">
        <v/>
      </c>
    </row>
    <row r="916">
      <c r="A916" s="106" t="n">
        <v>34759</v>
      </c>
      <c r="B916" t="n">
        <v>51.327273452</v>
      </c>
      <c r="C916" t="n">
        <v>64.30989289599999</v>
      </c>
      <c r="D916" t="n">
        <v>81.885830566</v>
      </c>
      <c r="E916" t="n">
        <v>77.70402088199999</v>
      </c>
      <c r="F916" t="n">
        <v/>
      </c>
      <c r="G916" t="n">
        <v/>
      </c>
      <c r="H916" t="n">
        <v>63.292021964</v>
      </c>
      <c r="I916" t="n">
        <v>51.327273452</v>
      </c>
      <c r="J916" t="n">
        <v>56.472834615</v>
      </c>
      <c r="K916" t="n">
        <v>70.005833819</v>
      </c>
      <c r="L916" t="n">
        <v>94.815255616</v>
      </c>
      <c r="M916" t="n">
        <v>81.79318390100001</v>
      </c>
      <c r="N916" t="n">
        <v>103.601086334</v>
      </c>
      <c r="O916" t="n">
        <v/>
      </c>
      <c r="P916" t="n">
        <v/>
      </c>
      <c r="Q916" t="n">
        <v>78.806567214</v>
      </c>
      <c r="R916" t="n">
        <v>93.47</v>
      </c>
      <c r="S916" t="n">
        <v>80.69135165500001</v>
      </c>
      <c r="T916" t="n">
        <v>86.16908383400001</v>
      </c>
      <c r="U916" t="n">
        <v/>
      </c>
      <c r="V916" t="n">
        <v>123.47910128</v>
      </c>
      <c r="W916" t="n">
        <v>35.005498259</v>
      </c>
      <c r="X916" t="n">
        <v>30.547608079</v>
      </c>
      <c r="Y916" t="n">
        <v/>
      </c>
      <c r="Z916" t="n">
        <v>21.156268796</v>
      </c>
      <c r="AA916" t="n">
        <v/>
      </c>
      <c r="AB916" t="n">
        <v>55.682825599</v>
      </c>
      <c r="AC916" t="n">
        <v>117.390217482</v>
      </c>
      <c r="AD916" t="n">
        <v>101.91725336</v>
      </c>
      <c r="AE916" t="n">
        <v>31.423</v>
      </c>
      <c r="AF916" t="n">
        <v>73.973476781</v>
      </c>
      <c r="AG916" t="n">
        <v/>
      </c>
      <c r="AH916" t="n">
        <v>68.9076213</v>
      </c>
      <c r="AI916" t="n">
        <v>82.84272002599999</v>
      </c>
      <c r="AJ916" t="n">
        <v>107.691131414</v>
      </c>
      <c r="AK916" t="n">
        <v/>
      </c>
      <c r="AL916" t="n">
        <v>71.83153858199999</v>
      </c>
      <c r="AM916" t="n">
        <v>32.093558406</v>
      </c>
      <c r="AN916" t="n">
        <v>100.780790368</v>
      </c>
      <c r="AO916" t="n">
        <v>58.061886786</v>
      </c>
      <c r="AP916" t="n">
        <v>35.186559901</v>
      </c>
      <c r="AQ916" t="n">
        <v>70.481821634</v>
      </c>
      <c r="AR916" t="n">
        <v>83.59386947599999</v>
      </c>
      <c r="AS916" t="n">
        <v>33.497208566</v>
      </c>
      <c r="AT916" t="n">
        <v>70.843859968</v>
      </c>
      <c r="AU916" t="n">
        <v/>
      </c>
    </row>
    <row r="917">
      <c r="A917" s="106" t="n">
        <v>34790</v>
      </c>
      <c r="B917" t="n">
        <v>54.471044416</v>
      </c>
      <c r="C917" t="n">
        <v>63.163701233</v>
      </c>
      <c r="D917" t="n">
        <v>80.64832766000001</v>
      </c>
      <c r="E917" t="n">
        <v>77.537426381</v>
      </c>
      <c r="F917" t="n">
        <v/>
      </c>
      <c r="G917" t="n">
        <v/>
      </c>
      <c r="H917" t="n">
        <v>64.965946473</v>
      </c>
      <c r="I917" t="n">
        <v>54.471044416</v>
      </c>
      <c r="J917" t="n">
        <v>56.558466646</v>
      </c>
      <c r="K917" t="n">
        <v>70.405867156</v>
      </c>
      <c r="L917" t="n">
        <v>94.92411354399999</v>
      </c>
      <c r="M917" t="n">
        <v>82.093158903</v>
      </c>
      <c r="N917" t="n">
        <v>104.067086723</v>
      </c>
      <c r="O917" t="n">
        <v/>
      </c>
      <c r="P917" t="n">
        <v/>
      </c>
      <c r="Q917" t="n">
        <v>78.506542212</v>
      </c>
      <c r="R917" t="n">
        <v>93.48</v>
      </c>
      <c r="S917" t="n">
        <v>80.92119874799999</v>
      </c>
      <c r="T917" t="n">
        <v>86.59356208</v>
      </c>
      <c r="U917" t="n">
        <v/>
      </c>
      <c r="V917" t="n">
        <v>122.695810973</v>
      </c>
      <c r="W917" t="n">
        <v>35.005498259</v>
      </c>
      <c r="X917" t="n">
        <v>31.194686542</v>
      </c>
      <c r="Y917" t="n">
        <v/>
      </c>
      <c r="Z917" t="n">
        <v>21.512835124</v>
      </c>
      <c r="AA917" t="n">
        <v/>
      </c>
      <c r="AB917" t="n">
        <v>56.94356882</v>
      </c>
      <c r="AC917" t="n">
        <v>117.490209149</v>
      </c>
      <c r="AD917" t="n">
        <v>103.134175788</v>
      </c>
      <c r="AE917" t="n">
        <v>31.516</v>
      </c>
      <c r="AF917" t="n">
        <v>74.79926314799999</v>
      </c>
      <c r="AG917" t="n">
        <v/>
      </c>
      <c r="AH917" t="n">
        <v>68.32697982400001</v>
      </c>
      <c r="AI917" t="n">
        <v>81.618907116</v>
      </c>
      <c r="AJ917" t="n">
        <v>107.90979361</v>
      </c>
      <c r="AK917" t="n">
        <v/>
      </c>
      <c r="AL917" t="n">
        <v>72.21431030399999</v>
      </c>
      <c r="AM917" t="n">
        <v>32.284414611</v>
      </c>
      <c r="AN917" t="n">
        <v>110.040935217</v>
      </c>
      <c r="AO917" t="n">
        <v>56.964794572</v>
      </c>
      <c r="AP917" t="n">
        <v>36.328514296</v>
      </c>
      <c r="AQ917" t="n">
        <v>69.46600823999999</v>
      </c>
      <c r="AR917" t="n">
        <v>84.20108886600001</v>
      </c>
      <c r="AS917" t="n">
        <v>36.296975252</v>
      </c>
      <c r="AT917" t="n">
        <v>70.728637839</v>
      </c>
      <c r="AU917" t="n">
        <v/>
      </c>
    </row>
    <row r="918">
      <c r="A918" s="106" t="n">
        <v>34820</v>
      </c>
      <c r="B918" t="n">
        <v>54.475025363</v>
      </c>
      <c r="C918" t="n">
        <v>65.793216073</v>
      </c>
      <c r="D918" t="n">
        <v>71.608412817</v>
      </c>
      <c r="E918" t="n">
        <v>77.459199399</v>
      </c>
      <c r="F918" t="n">
        <v/>
      </c>
      <c r="G918" t="n">
        <v/>
      </c>
      <c r="H918" t="n">
        <v>65.97605920300001</v>
      </c>
      <c r="I918" t="n">
        <v>54.475025363</v>
      </c>
      <c r="J918" t="n">
        <v>55.854692754</v>
      </c>
      <c r="K918" t="n">
        <v>70.80590049200001</v>
      </c>
      <c r="L918" t="n">
        <v>94.379823902</v>
      </c>
      <c r="M918" t="n">
        <v>82.393133906</v>
      </c>
      <c r="N918" t="n">
        <v>104.899087416</v>
      </c>
      <c r="O918" t="n">
        <v/>
      </c>
      <c r="P918" t="n">
        <v/>
      </c>
      <c r="Q918" t="n">
        <v>77.30644220400001</v>
      </c>
      <c r="R918" t="n">
        <v>93.03</v>
      </c>
      <c r="S918" t="n">
        <v>80.88915720200001</v>
      </c>
      <c r="T918" t="n">
        <v>87.018040325</v>
      </c>
      <c r="U918" t="n">
        <v/>
      </c>
      <c r="V918" t="n">
        <v>121.957030576</v>
      </c>
      <c r="W918" t="n">
        <v>36.118643811</v>
      </c>
      <c r="X918" t="n">
        <v>30.962541485</v>
      </c>
      <c r="Y918" t="n">
        <v/>
      </c>
      <c r="Z918" t="n">
        <v>22.166540059</v>
      </c>
      <c r="AA918" t="n">
        <v/>
      </c>
      <c r="AB918" t="n">
        <v>57.714023011</v>
      </c>
      <c r="AC918" t="n">
        <v>118.190150821</v>
      </c>
      <c r="AD918" t="n">
        <v>101.410202348</v>
      </c>
      <c r="AE918" t="n">
        <v>31.054</v>
      </c>
      <c r="AF918" t="n">
        <v>73.977459513</v>
      </c>
      <c r="AG918" t="n">
        <v/>
      </c>
      <c r="AH918" t="n">
        <v>67.46506209499999</v>
      </c>
      <c r="AI918" t="n">
        <v>83.030998935</v>
      </c>
      <c r="AJ918" t="n">
        <v>109.112435686</v>
      </c>
      <c r="AK918" t="n">
        <v/>
      </c>
      <c r="AL918" t="n">
        <v>72.210420361</v>
      </c>
      <c r="AM918" t="n">
        <v>33.31549651</v>
      </c>
      <c r="AN918" t="n">
        <v>106.662245915</v>
      </c>
      <c r="AO918" t="n">
        <v>59.553289952</v>
      </c>
      <c r="AP918" t="n">
        <v>36.864646441</v>
      </c>
      <c r="AQ918" t="n">
        <v>70.012984683</v>
      </c>
      <c r="AR918" t="n">
        <v>84.20108886600001</v>
      </c>
      <c r="AS918" t="n">
        <v>35.99700025</v>
      </c>
      <c r="AT918" t="n">
        <v>71.05695149500001</v>
      </c>
      <c r="AU918" t="n">
        <v/>
      </c>
    </row>
    <row r="919">
      <c r="A919" s="106" t="n">
        <v>34851</v>
      </c>
      <c r="B919" t="n">
        <v>55.164842062</v>
      </c>
      <c r="C919" t="n">
        <v>65.192242482</v>
      </c>
      <c r="D919" t="n">
        <v>76.505764742</v>
      </c>
      <c r="E919" t="n">
        <v>77.31723191099999</v>
      </c>
      <c r="F919" t="n">
        <v/>
      </c>
      <c r="G919" t="n">
        <v/>
      </c>
      <c r="H919" t="n">
        <v>65.69137264299999</v>
      </c>
      <c r="I919" t="n">
        <v>55.164842062</v>
      </c>
      <c r="J919" t="n">
        <v>56.645365271</v>
      </c>
      <c r="K919" t="n">
        <v>70.005833819</v>
      </c>
      <c r="L919" t="n">
        <v>93.18238669</v>
      </c>
      <c r="M919" t="n">
        <v>82.093158903</v>
      </c>
      <c r="N919" t="n">
        <v>104.168086807</v>
      </c>
      <c r="O919" t="n">
        <v/>
      </c>
      <c r="P919" t="n">
        <v/>
      </c>
      <c r="Q919" t="n">
        <v>76.70639219900001</v>
      </c>
      <c r="R919" t="n">
        <v>93.66</v>
      </c>
      <c r="S919" t="n">
        <v>80.901779578</v>
      </c>
      <c r="T919" t="n">
        <v>87.230279448</v>
      </c>
      <c r="U919" t="n">
        <v/>
      </c>
      <c r="V919" t="n">
        <v>120.991898166</v>
      </c>
      <c r="W919" t="n">
        <v>34.683271916</v>
      </c>
      <c r="X919" t="n">
        <v>31.238693273</v>
      </c>
      <c r="Y919" t="n">
        <v/>
      </c>
      <c r="Z919" t="n">
        <v>21.631690567</v>
      </c>
      <c r="AA919" t="n">
        <v/>
      </c>
      <c r="AB919" t="n">
        <v>56.45327979</v>
      </c>
      <c r="AC919" t="n">
        <v>117.990167486</v>
      </c>
      <c r="AD919" t="n">
        <v>101.308792145</v>
      </c>
      <c r="AE919" t="n">
        <v>32.163</v>
      </c>
      <c r="AF919" t="n">
        <v>74.962380381</v>
      </c>
      <c r="AG919" t="n">
        <v/>
      </c>
      <c r="AH919" t="n">
        <v>67.34687588</v>
      </c>
      <c r="AI919" t="n">
        <v>82.18374384400001</v>
      </c>
      <c r="AJ919" t="n">
        <v>107.035144827</v>
      </c>
      <c r="AK919" t="n">
        <v/>
      </c>
      <c r="AL919" t="n">
        <v>72.29600203</v>
      </c>
      <c r="AM919" t="n">
        <v>33.291987231</v>
      </c>
      <c r="AN919" t="n">
        <v>103.319929591</v>
      </c>
      <c r="AO919" t="n">
        <v>59.735765179</v>
      </c>
      <c r="AP919" t="n">
        <v>36.905415946</v>
      </c>
      <c r="AQ919" t="n">
        <v>74.466935717</v>
      </c>
      <c r="AR919" t="n">
        <v>84.504698562</v>
      </c>
      <c r="AS919" t="n">
        <v>37.196900258</v>
      </c>
      <c r="AT919" t="n">
        <v>71.291659567</v>
      </c>
      <c r="AU919" t="n">
        <v/>
      </c>
    </row>
    <row r="920">
      <c r="A920" s="106" t="n">
        <v>34881</v>
      </c>
      <c r="B920" t="n">
        <v>54.019138534</v>
      </c>
      <c r="C920" t="n">
        <v>63.147700516</v>
      </c>
      <c r="D920" t="n">
        <v>74.61001561</v>
      </c>
      <c r="E920" t="n">
        <v>77.07277259</v>
      </c>
      <c r="F920" t="n">
        <v/>
      </c>
      <c r="G920" t="n">
        <v/>
      </c>
      <c r="H920" t="n">
        <v>65.78924770099999</v>
      </c>
      <c r="I920" t="n">
        <v>54.019138534</v>
      </c>
      <c r="J920" t="n">
        <v>54.818011459</v>
      </c>
      <c r="K920" t="n">
        <v>69.805817151</v>
      </c>
      <c r="L920" t="n">
        <v>88.71921162700001</v>
      </c>
      <c r="M920" t="n">
        <v>81.99316723600001</v>
      </c>
      <c r="N920" t="n">
        <v>103.703086419</v>
      </c>
      <c r="O920" t="n">
        <v/>
      </c>
      <c r="P920" t="n">
        <v/>
      </c>
      <c r="Q920" t="n">
        <v>78.006500542</v>
      </c>
      <c r="R920" t="n">
        <v>94.09</v>
      </c>
      <c r="S920" t="n">
        <v>80.50616417499999</v>
      </c>
      <c r="T920" t="n">
        <v>87.33639900999999</v>
      </c>
      <c r="U920" t="n">
        <v/>
      </c>
      <c r="V920" t="n">
        <v>121.231066715</v>
      </c>
      <c r="W920" t="n">
        <v>35.210551387</v>
      </c>
      <c r="X920" t="n">
        <v>31.968566407</v>
      </c>
      <c r="Y920" t="n">
        <v/>
      </c>
      <c r="Z920" t="n">
        <v>22.64196183</v>
      </c>
      <c r="AA920" t="n">
        <v/>
      </c>
      <c r="AB920" t="n">
        <v>58.134270751</v>
      </c>
      <c r="AC920" t="n">
        <v>117.890175819</v>
      </c>
      <c r="AD920" t="n">
        <v>99.889049313</v>
      </c>
      <c r="AE920" t="n">
        <v>32.163</v>
      </c>
      <c r="AF920" t="n">
        <v>70.851843465</v>
      </c>
      <c r="AG920" t="n">
        <v/>
      </c>
      <c r="AH920" t="n">
        <v>67.344309099</v>
      </c>
      <c r="AI920" t="n">
        <v>82.74858057100001</v>
      </c>
      <c r="AJ920" t="n">
        <v>111.189726546</v>
      </c>
      <c r="AK920" t="n">
        <v/>
      </c>
      <c r="AL920" t="n">
        <v>72.04288379499999</v>
      </c>
      <c r="AM920" t="n">
        <v>33.911132035</v>
      </c>
      <c r="AN920" t="n">
        <v>109.884599797</v>
      </c>
      <c r="AO920" t="n">
        <v>59.961764947</v>
      </c>
      <c r="AP920" t="n">
        <v>36.957169763</v>
      </c>
      <c r="AQ920" t="n">
        <v>70.012984683</v>
      </c>
      <c r="AR920" t="n">
        <v>84.504698562</v>
      </c>
      <c r="AS920" t="n">
        <v>37.196900258</v>
      </c>
      <c r="AT920" t="n">
        <v>70.989920377</v>
      </c>
      <c r="AU920" t="n">
        <v/>
      </c>
    </row>
    <row r="921">
      <c r="A921" s="106" t="n">
        <v>34912</v>
      </c>
      <c r="B921" t="n">
        <v>53.637375168</v>
      </c>
      <c r="C921" t="n">
        <v>64.27627413899999</v>
      </c>
      <c r="D921" t="n">
        <v>72.907352037</v>
      </c>
      <c r="E921" t="n">
        <v>77.243713034</v>
      </c>
      <c r="F921" t="n">
        <v/>
      </c>
      <c r="G921" t="n">
        <v/>
      </c>
      <c r="H921" t="n">
        <v>63.419300884</v>
      </c>
      <c r="I921" t="n">
        <v>53.637375168</v>
      </c>
      <c r="J921" t="n">
        <v>56.946178699</v>
      </c>
      <c r="K921" t="n">
        <v>69.005750479</v>
      </c>
      <c r="L921" t="n">
        <v>91.22294397899999</v>
      </c>
      <c r="M921" t="n">
        <v>81.99316723600001</v>
      </c>
      <c r="N921" t="n">
        <v>103.229086024</v>
      </c>
      <c r="O921" t="n">
        <v/>
      </c>
      <c r="P921" t="n">
        <v/>
      </c>
      <c r="Q921" t="n">
        <v>78.506542212</v>
      </c>
      <c r="R921" t="n">
        <v>93.5</v>
      </c>
      <c r="S921" t="n">
        <v>81.17315326799999</v>
      </c>
      <c r="T921" t="n">
        <v>87.230279448</v>
      </c>
      <c r="U921" t="n">
        <v/>
      </c>
      <c r="V921" t="n">
        <v>122.034687706</v>
      </c>
      <c r="W921" t="n">
        <v>35.474191123</v>
      </c>
      <c r="X921" t="n">
        <v>32.075046867</v>
      </c>
      <c r="Y921" t="n">
        <v/>
      </c>
      <c r="Z921" t="n">
        <v>23.176811322</v>
      </c>
      <c r="AA921" t="n">
        <v/>
      </c>
      <c r="AB921" t="n">
        <v>58.484477201</v>
      </c>
      <c r="AC921" t="n">
        <v>119.990000833</v>
      </c>
      <c r="AD921" t="n">
        <v>101.410202348</v>
      </c>
      <c r="AE921" t="n">
        <v>32.348</v>
      </c>
      <c r="AF921" t="n">
        <v>78.226757311</v>
      </c>
      <c r="AG921" t="n">
        <v/>
      </c>
      <c r="AH921" t="n">
        <v>67.833380707</v>
      </c>
      <c r="AI921" t="n">
        <v>83.972393481</v>
      </c>
      <c r="AJ921" t="n">
        <v>108.675111295</v>
      </c>
      <c r="AK921" t="n">
        <v/>
      </c>
      <c r="AL921" t="n">
        <v>72.587297416</v>
      </c>
      <c r="AM921" t="n">
        <v>33.499898099</v>
      </c>
      <c r="AN921" t="n">
        <v>110.318352822</v>
      </c>
      <c r="AO921" t="n">
        <v>59.462383879</v>
      </c>
      <c r="AP921" t="n">
        <v>37.450232171</v>
      </c>
      <c r="AQ921" t="n">
        <v>67.668799928</v>
      </c>
      <c r="AR921" t="n">
        <v>84.605901794</v>
      </c>
      <c r="AS921" t="n">
        <v>37.796850262</v>
      </c>
      <c r="AT921" t="n">
        <v>71.923497266</v>
      </c>
      <c r="AU921" t="n">
        <v/>
      </c>
    </row>
    <row r="922">
      <c r="A922" s="106" t="n">
        <v>34943</v>
      </c>
      <c r="B922" t="n">
        <v>53.225140734</v>
      </c>
      <c r="C922" t="n">
        <v>63.321689266</v>
      </c>
      <c r="D922" t="n">
        <v>73.565598264</v>
      </c>
      <c r="E922" t="n">
        <v>76.999253713</v>
      </c>
      <c r="F922" t="n">
        <v/>
      </c>
      <c r="G922" t="n">
        <v/>
      </c>
      <c r="H922" t="n">
        <v>64.97424269699999</v>
      </c>
      <c r="I922" t="n">
        <v>53.225140734</v>
      </c>
      <c r="J922" t="n">
        <v>56.315688212</v>
      </c>
      <c r="K922" t="n">
        <v>70.405867156</v>
      </c>
      <c r="L922" t="n">
        <v>91.767233621</v>
      </c>
      <c r="M922" t="n">
        <v>82.493125573</v>
      </c>
      <c r="N922" t="n">
        <v>103.75208646</v>
      </c>
      <c r="O922" t="n">
        <v/>
      </c>
      <c r="P922" t="n">
        <v/>
      </c>
      <c r="Q922" t="n">
        <v>76.306358863</v>
      </c>
      <c r="R922" t="n">
        <v>93.63</v>
      </c>
      <c r="S922" t="n">
        <v>81.194007974</v>
      </c>
      <c r="T922" t="n">
        <v>87.230279448</v>
      </c>
      <c r="U922" t="n">
        <v/>
      </c>
      <c r="V922" t="n">
        <v>122.745714546</v>
      </c>
      <c r="W922" t="n">
        <v>35.357017907</v>
      </c>
      <c r="X922" t="n">
        <v>33.356320544</v>
      </c>
      <c r="Y922" t="n">
        <v/>
      </c>
      <c r="Z922" t="n">
        <v>23.057955879</v>
      </c>
      <c r="AA922" t="n">
        <v/>
      </c>
      <c r="AB922" t="n">
        <v>57.994188171</v>
      </c>
      <c r="AC922" t="n">
        <v>119.190067494</v>
      </c>
      <c r="AD922" t="n">
        <v>99.78763911</v>
      </c>
      <c r="AE922" t="n">
        <v>32.07</v>
      </c>
      <c r="AF922" t="n">
        <v>76.26069389200001</v>
      </c>
      <c r="AG922" t="n">
        <v/>
      </c>
      <c r="AH922" t="n">
        <v>68.526198076</v>
      </c>
      <c r="AI922" t="n">
        <v>84.066532935</v>
      </c>
      <c r="AJ922" t="n">
        <v>111.736382035</v>
      </c>
      <c r="AK922" t="n">
        <v/>
      </c>
      <c r="AL922" t="n">
        <v>72.520518306</v>
      </c>
      <c r="AM922" t="n">
        <v>34.023829051</v>
      </c>
      <c r="AN922" t="n">
        <v>107.693450527</v>
      </c>
      <c r="AO922" t="n">
        <v>58.993782187</v>
      </c>
      <c r="AP922" t="n">
        <v>37.204534211</v>
      </c>
      <c r="AQ922" t="n">
        <v>69.075310781</v>
      </c>
      <c r="AR922" t="n">
        <v>84.20108886600001</v>
      </c>
      <c r="AS922" t="n">
        <v>36.096991917</v>
      </c>
      <c r="AT922" t="n">
        <v>72.211850064</v>
      </c>
      <c r="AU922" t="n">
        <v/>
      </c>
    </row>
    <row r="923">
      <c r="A923" s="106" t="n">
        <v>34973</v>
      </c>
      <c r="B923" t="n">
        <v>52.323902613</v>
      </c>
      <c r="C923" t="n">
        <v>64.39092318599999</v>
      </c>
      <c r="D923" t="n">
        <v>74.50469621400001</v>
      </c>
      <c r="E923" t="n">
        <v>76.96014022200001</v>
      </c>
      <c r="F923" t="n">
        <v/>
      </c>
      <c r="G923" t="n">
        <v/>
      </c>
      <c r="H923" t="n">
        <v>64.779330324</v>
      </c>
      <c r="I923" t="n">
        <v>52.323902613</v>
      </c>
      <c r="J923" t="n">
        <v>57.589182652</v>
      </c>
      <c r="K923" t="n">
        <v>68.60571714300001</v>
      </c>
      <c r="L923" t="n">
        <v>93.50896047499999</v>
      </c>
      <c r="M923" t="n">
        <v>81.393217232</v>
      </c>
      <c r="N923" t="n">
        <v>103.001085834</v>
      </c>
      <c r="O923" t="n">
        <v/>
      </c>
      <c r="P923" t="n">
        <v/>
      </c>
      <c r="Q923" t="n">
        <v>75.60630052499999</v>
      </c>
      <c r="R923" t="n">
        <v>91.83</v>
      </c>
      <c r="S923" t="n">
        <v>81.09844229399999</v>
      </c>
      <c r="T923" t="n">
        <v>87.33639900999999</v>
      </c>
      <c r="U923" t="n">
        <v/>
      </c>
      <c r="V923" t="n">
        <v>123.878419267</v>
      </c>
      <c r="W923" t="n">
        <v>35.298431299</v>
      </c>
      <c r="X923" t="n">
        <v>32.393630642</v>
      </c>
      <c r="Y923" t="n">
        <v/>
      </c>
      <c r="Z923" t="n">
        <v>23.711660814</v>
      </c>
      <c r="AA923" t="n">
        <v/>
      </c>
      <c r="AB923" t="n">
        <v>58.414435911</v>
      </c>
      <c r="AC923" t="n">
        <v>119.990000833</v>
      </c>
      <c r="AD923" t="n">
        <v>101.308792145</v>
      </c>
      <c r="AE923" t="n">
        <v>32.255</v>
      </c>
      <c r="AF923" t="n">
        <v>76.457452434</v>
      </c>
      <c r="AG923" t="n">
        <v/>
      </c>
      <c r="AH923" t="n">
        <v>64.70360731300001</v>
      </c>
      <c r="AI923" t="n">
        <v>84.066532935</v>
      </c>
      <c r="AJ923" t="n">
        <v>111.080395448</v>
      </c>
      <c r="AK923" t="n">
        <v/>
      </c>
      <c r="AL923" t="n">
        <v>72.284991635</v>
      </c>
      <c r="AM923" t="n">
        <v>33.74654897</v>
      </c>
      <c r="AN923" t="n">
        <v>114.264395016</v>
      </c>
      <c r="AO923" t="n">
        <v>58.345470194</v>
      </c>
      <c r="AP923" t="n">
        <v>37.408948857</v>
      </c>
      <c r="AQ923" t="n">
        <v>66.574847042</v>
      </c>
      <c r="AR923" t="n">
        <v>84.909511489</v>
      </c>
      <c r="AS923" t="n">
        <v>35.097075244</v>
      </c>
      <c r="AT923" t="n">
        <v>72.10109006499999</v>
      </c>
      <c r="AU923" t="n">
        <v/>
      </c>
    </row>
    <row r="924">
      <c r="A924" s="106" t="n">
        <v>35004</v>
      </c>
      <c r="B924" t="n">
        <v>53.936924565</v>
      </c>
      <c r="C924" t="n">
        <v>64.071509514</v>
      </c>
      <c r="D924" t="n">
        <v>74.987410113</v>
      </c>
      <c r="E924" t="n">
        <v>77.155707678</v>
      </c>
      <c r="F924" t="n">
        <v/>
      </c>
      <c r="G924" t="n">
        <v/>
      </c>
      <c r="H924" t="n">
        <v>63.671269123</v>
      </c>
      <c r="I924" t="n">
        <v>53.936924565</v>
      </c>
      <c r="J924" t="n">
        <v>58.198746444</v>
      </c>
      <c r="K924" t="n">
        <v>69.005750479</v>
      </c>
      <c r="L924" t="n">
        <v>95.90383490000001</v>
      </c>
      <c r="M924" t="n">
        <v>81.69319223399999</v>
      </c>
      <c r="N924" t="n">
        <v>103.527086273</v>
      </c>
      <c r="O924" t="n">
        <v/>
      </c>
      <c r="P924" t="n">
        <v/>
      </c>
      <c r="Q924" t="n">
        <v>75.706308859</v>
      </c>
      <c r="R924" t="n">
        <v>91.84</v>
      </c>
      <c r="S924" t="n">
        <v>81.39619734199999</v>
      </c>
      <c r="T924" t="n">
        <v>87.54863813199999</v>
      </c>
      <c r="U924" t="n">
        <v/>
      </c>
      <c r="V924" t="n">
        <v>122.782698445</v>
      </c>
      <c r="W924" t="n">
        <v>34.41963218</v>
      </c>
      <c r="X924" t="n">
        <v>33.184100752</v>
      </c>
      <c r="Y924" t="n">
        <v/>
      </c>
      <c r="Z924" t="n">
        <v>23.592805371</v>
      </c>
      <c r="AA924" t="n">
        <v/>
      </c>
      <c r="AB924" t="n">
        <v>58.344394621</v>
      </c>
      <c r="AC924" t="n">
        <v>119.990000833</v>
      </c>
      <c r="AD924" t="n">
        <v>102.120073764</v>
      </c>
      <c r="AE924" t="n">
        <v>32.44</v>
      </c>
      <c r="AF924" t="n">
        <v>74.77481436799999</v>
      </c>
      <c r="AG924" t="n">
        <v/>
      </c>
      <c r="AH924" t="n">
        <v>69.358275003</v>
      </c>
      <c r="AI924" t="n">
        <v>84.25481184500001</v>
      </c>
      <c r="AJ924" t="n">
        <v>112.829693014</v>
      </c>
      <c r="AK924" t="n">
        <v/>
      </c>
      <c r="AL924" t="n">
        <v>72.945173294</v>
      </c>
      <c r="AM924" t="n">
        <v>34.995412575</v>
      </c>
      <c r="AN924" t="n">
        <v>110.178191372</v>
      </c>
      <c r="AO924" t="n">
        <v>56.759541712</v>
      </c>
      <c r="AP924" t="n">
        <v>37.265297366</v>
      </c>
      <c r="AQ924" t="n">
        <v>68.76275281300001</v>
      </c>
      <c r="AR924" t="n">
        <v>85.010714721</v>
      </c>
      <c r="AS924" t="n">
        <v>38.596783601</v>
      </c>
      <c r="AT924" t="n">
        <v>72.27501400200001</v>
      </c>
      <c r="AU924" t="n">
        <v/>
      </c>
    </row>
    <row r="925">
      <c r="A925" s="106" t="n">
        <v>35034</v>
      </c>
      <c r="B925" t="n">
        <v>53.723154849</v>
      </c>
      <c r="C925" t="n">
        <v>64.028077143</v>
      </c>
      <c r="D925" t="n">
        <v>75.821188666</v>
      </c>
      <c r="E925" t="n">
        <v>76.793545721</v>
      </c>
      <c r="F925" t="n">
        <v/>
      </c>
      <c r="G925" t="n">
        <v/>
      </c>
      <c r="H925" t="n">
        <v>65.82262956700001</v>
      </c>
      <c r="I925" t="n">
        <v>53.723154849</v>
      </c>
      <c r="J925" t="n">
        <v>56.968634539</v>
      </c>
      <c r="K925" t="n">
        <v>69.005750479</v>
      </c>
      <c r="L925" t="n">
        <v>99.278430679</v>
      </c>
      <c r="M925" t="n">
        <v>82.693108908</v>
      </c>
      <c r="N925" t="n">
        <v>104.417087014</v>
      </c>
      <c r="O925" t="n">
        <v/>
      </c>
      <c r="P925" t="n">
        <v/>
      </c>
      <c r="Q925" t="n">
        <v>76.506375531</v>
      </c>
      <c r="R925" t="n">
        <v>93.76000000000001</v>
      </c>
      <c r="S925" t="n">
        <v>81.938875061</v>
      </c>
      <c r="T925" t="n">
        <v>87.866996816</v>
      </c>
      <c r="U925" t="n">
        <v/>
      </c>
      <c r="V925" t="n">
        <v>124.901746486</v>
      </c>
      <c r="W925" t="n">
        <v>35.444897819</v>
      </c>
      <c r="X925" t="n">
        <v>33.737570336</v>
      </c>
      <c r="Y925" t="n">
        <v/>
      </c>
      <c r="Z925" t="n">
        <v>24.365365748</v>
      </c>
      <c r="AA925" t="n">
        <v/>
      </c>
      <c r="AB925" t="n">
        <v>59.605137842</v>
      </c>
      <c r="AC925" t="n">
        <v>121.98983418</v>
      </c>
      <c r="AD925" t="n">
        <v>103.438406395</v>
      </c>
      <c r="AE925" t="n">
        <v>33.179</v>
      </c>
      <c r="AF925" t="n">
        <v>74.67116763999999</v>
      </c>
      <c r="AG925" t="n">
        <v/>
      </c>
      <c r="AH925" t="n">
        <v>73.447431127</v>
      </c>
      <c r="AI925" t="n">
        <v>86.51415875399999</v>
      </c>
      <c r="AJ925" t="n">
        <v>113.813672895</v>
      </c>
      <c r="AK925" t="n">
        <v/>
      </c>
      <c r="AL925" t="n">
        <v>73.72847827299999</v>
      </c>
      <c r="AM925" t="n">
        <v>34.6743558</v>
      </c>
      <c r="AN925" t="n">
        <v>116.865435118</v>
      </c>
      <c r="AO925" t="n">
        <v>56.370704154</v>
      </c>
      <c r="AP925" t="n">
        <v>37.367677858</v>
      </c>
      <c r="AQ925" t="n">
        <v>67.434381452</v>
      </c>
      <c r="AR925" t="n">
        <v>83.998682403</v>
      </c>
      <c r="AS925" t="n">
        <v>40.196650279</v>
      </c>
      <c r="AT925" t="n">
        <v>72.52737227900001</v>
      </c>
      <c r="AU925" t="n">
        <v/>
      </c>
    </row>
    <row r="926">
      <c r="A926" s="106" t="n">
        <v>35065</v>
      </c>
      <c r="B926" t="n">
        <v>52.782055905</v>
      </c>
      <c r="C926" t="n">
        <v>63.955808596</v>
      </c>
      <c r="D926" t="n">
        <v>74.943527031</v>
      </c>
      <c r="E926" t="n">
        <v>77.542496649</v>
      </c>
      <c r="F926" t="n">
        <v/>
      </c>
      <c r="G926" t="n">
        <v/>
      </c>
      <c r="H926" t="n">
        <v>65.294246968</v>
      </c>
      <c r="I926" t="n">
        <v>52.782055905</v>
      </c>
      <c r="J926" t="n">
        <v>59.416713848</v>
      </c>
      <c r="K926" t="n">
        <v>69.305775481</v>
      </c>
      <c r="L926" t="n">
        <v>89.698932982</v>
      </c>
      <c r="M926" t="n">
        <v>81.89317556899999</v>
      </c>
      <c r="N926" t="n">
        <v>101.047084206</v>
      </c>
      <c r="O926" t="n">
        <v/>
      </c>
      <c r="P926" t="n">
        <v/>
      </c>
      <c r="Q926" t="n">
        <v>76.806400533</v>
      </c>
      <c r="R926" t="n">
        <v>92.93000000000001</v>
      </c>
      <c r="S926" t="n">
        <v>81.462032071</v>
      </c>
      <c r="T926" t="n">
        <v>88.185355501</v>
      </c>
      <c r="U926" t="n">
        <v/>
      </c>
      <c r="V926" t="n">
        <v>123.286443861</v>
      </c>
      <c r="W926" t="n">
        <v>35.151964779</v>
      </c>
      <c r="X926" t="n">
        <v>34.137267037</v>
      </c>
      <c r="Y926" t="n">
        <v/>
      </c>
      <c r="Z926" t="n">
        <v>23.889943978</v>
      </c>
      <c r="AA926" t="n">
        <v/>
      </c>
      <c r="AB926" t="n">
        <v>59.254931392</v>
      </c>
      <c r="AC926" t="n">
        <v>120.189984168</v>
      </c>
      <c r="AD926" t="n">
        <v>101.91725336</v>
      </c>
      <c r="AE926" t="n">
        <v>33.087</v>
      </c>
      <c r="AF926" t="n">
        <v>75.063131955</v>
      </c>
      <c r="AG926" t="n">
        <v/>
      </c>
      <c r="AH926" t="n">
        <v>75.066381202</v>
      </c>
      <c r="AI926" t="n">
        <v>85.47862475399999</v>
      </c>
      <c r="AJ926" t="n">
        <v>114.906983874</v>
      </c>
      <c r="AK926" t="n">
        <v/>
      </c>
      <c r="AL926" t="n">
        <v>73.28592613399999</v>
      </c>
      <c r="AM926" t="n">
        <v>35.072563827</v>
      </c>
      <c r="AN926" t="n">
        <v>112.532259116</v>
      </c>
      <c r="AO926" t="n">
        <v>56.462678538</v>
      </c>
      <c r="AP926" t="n">
        <v>36.710732554</v>
      </c>
      <c r="AQ926" t="n">
        <v>68.76275281300001</v>
      </c>
      <c r="AR926" t="n">
        <v>84.20108886600001</v>
      </c>
      <c r="AS926" t="n">
        <v>38.896758603</v>
      </c>
      <c r="AT926" t="n">
        <v>72.1349031</v>
      </c>
      <c r="AU926" t="n">
        <v/>
      </c>
    </row>
    <row r="927">
      <c r="A927" s="106" t="n">
        <v>35096</v>
      </c>
      <c r="B927" t="n">
        <v>53.711020092</v>
      </c>
      <c r="C927" t="n">
        <v>63.037444793</v>
      </c>
      <c r="D927" t="n">
        <v>74.548579295</v>
      </c>
      <c r="E927" t="n">
        <v>77.52293990299999</v>
      </c>
      <c r="F927" t="n">
        <v/>
      </c>
      <c r="G927" t="n">
        <v/>
      </c>
      <c r="H927" t="n">
        <v>67.57874287999999</v>
      </c>
      <c r="I927" t="n">
        <v>53.711020092</v>
      </c>
      <c r="J927" t="n">
        <v>60.184730987</v>
      </c>
      <c r="K927" t="n">
        <v>68.705725477</v>
      </c>
      <c r="L927" t="n">
        <v>94.70639768700001</v>
      </c>
      <c r="M927" t="n">
        <v>81.593200567</v>
      </c>
      <c r="N927" t="n">
        <v>101.145084288</v>
      </c>
      <c r="O927" t="n">
        <v/>
      </c>
      <c r="P927" t="n">
        <v/>
      </c>
      <c r="Q927" t="n">
        <v>78.006500542</v>
      </c>
      <c r="R927" t="n">
        <v>93.19</v>
      </c>
      <c r="S927" t="n">
        <v>81.808934695</v>
      </c>
      <c r="T927" t="n">
        <v>88.291475062</v>
      </c>
      <c r="U927" t="n">
        <v/>
      </c>
      <c r="V927" t="n">
        <v>122.665972774</v>
      </c>
      <c r="W927" t="n">
        <v>35.532777731</v>
      </c>
      <c r="X927" t="n">
        <v>33.472686988</v>
      </c>
      <c r="Y927" t="n">
        <v/>
      </c>
      <c r="Z927" t="n">
        <v>22.939100436</v>
      </c>
      <c r="AA927" t="n">
        <v/>
      </c>
      <c r="AB927" t="n">
        <v>59.675179132</v>
      </c>
      <c r="AC927" t="n">
        <v>118.890092492</v>
      </c>
      <c r="AD927" t="n">
        <v>101.815843157</v>
      </c>
      <c r="AE927" t="n">
        <v>33.826</v>
      </c>
      <c r="AF927" t="n">
        <v>73.35034998499999</v>
      </c>
      <c r="AG927" t="n">
        <v/>
      </c>
      <c r="AH927" t="n">
        <v>74.74236078</v>
      </c>
      <c r="AI927" t="n">
        <v>85.761043118</v>
      </c>
      <c r="AJ927" t="n">
        <v>118.7335723</v>
      </c>
      <c r="AK927" t="n">
        <v/>
      </c>
      <c r="AL927" t="n">
        <v>73.465021159</v>
      </c>
      <c r="AM927" t="n">
        <v>34.606778678</v>
      </c>
      <c r="AN927" t="n">
        <v>112.442334464</v>
      </c>
      <c r="AO927" t="n">
        <v>55.584212187</v>
      </c>
      <c r="AP927" t="n">
        <v>36.52021779</v>
      </c>
      <c r="AQ927" t="n">
        <v>67.434381452</v>
      </c>
      <c r="AR927" t="n">
        <v>84.909511489</v>
      </c>
      <c r="AS927" t="n">
        <v>36.196983585</v>
      </c>
      <c r="AT927" t="n">
        <v>73.16615107</v>
      </c>
      <c r="AU927" t="n">
        <v/>
      </c>
    </row>
    <row r="928">
      <c r="A928" s="106" t="n">
        <v>35125</v>
      </c>
      <c r="B928" t="n">
        <v>53.204312347</v>
      </c>
      <c r="C928" t="n">
        <v>63.046283134</v>
      </c>
      <c r="D928" t="n">
        <v>74.425706666</v>
      </c>
      <c r="E928" t="n">
        <v>77.033659099</v>
      </c>
      <c r="F928" t="n">
        <v/>
      </c>
      <c r="G928" t="n">
        <v/>
      </c>
      <c r="H928" t="n">
        <v>66.18915491600001</v>
      </c>
      <c r="I928" t="n">
        <v>53.204312347</v>
      </c>
      <c r="J928" t="n">
        <v>58.685518634</v>
      </c>
      <c r="K928" t="n">
        <v>68.805733811</v>
      </c>
      <c r="L928" t="n">
        <v>96.121550756</v>
      </c>
      <c r="M928" t="n">
        <v>81.69319223399999</v>
      </c>
      <c r="N928" t="n">
        <v>101.411084509</v>
      </c>
      <c r="O928" t="n">
        <v/>
      </c>
      <c r="P928" t="n">
        <v/>
      </c>
      <c r="Q928" t="n">
        <v>76.806400533</v>
      </c>
      <c r="R928" t="n">
        <v>93.84999999999999</v>
      </c>
      <c r="S928" t="n">
        <v>81.68659427599999</v>
      </c>
      <c r="T928" t="n">
        <v>88.079235939</v>
      </c>
      <c r="U928" t="n">
        <v/>
      </c>
      <c r="V928" t="n">
        <v>123.135438574</v>
      </c>
      <c r="W928" t="n">
        <v>36.089350507</v>
      </c>
      <c r="X928" t="n">
        <v>34.92424668</v>
      </c>
      <c r="Y928" t="n">
        <v/>
      </c>
      <c r="Z928" t="n">
        <v>23.236239043</v>
      </c>
      <c r="AA928" t="n">
        <v/>
      </c>
      <c r="AB928" t="n">
        <v>60.025385583</v>
      </c>
      <c r="AC928" t="n">
        <v>117.690192484</v>
      </c>
      <c r="AD928" t="n">
        <v>101.714432955</v>
      </c>
      <c r="AE928" t="n">
        <v>33.826</v>
      </c>
      <c r="AF928" t="n">
        <v>78.83257800200001</v>
      </c>
      <c r="AG928" t="n">
        <v/>
      </c>
      <c r="AH928" t="n">
        <v>75.250309687</v>
      </c>
      <c r="AI928" t="n">
        <v>86.89071657300001</v>
      </c>
      <c r="AJ928" t="n">
        <v>113.595010699</v>
      </c>
      <c r="AK928" t="n">
        <v/>
      </c>
      <c r="AL928" t="n">
        <v>73.42413233400001</v>
      </c>
      <c r="AM928" t="n">
        <v>35.930636196</v>
      </c>
      <c r="AN928" t="n">
        <v>113.179739138</v>
      </c>
      <c r="AO928" t="n">
        <v>56.280133954</v>
      </c>
      <c r="AP928" t="n">
        <v>36.320237569</v>
      </c>
      <c r="AQ928" t="n">
        <v>68.60647383</v>
      </c>
      <c r="AR928" t="n">
        <v>83.391463012</v>
      </c>
      <c r="AS928" t="n">
        <v>36.296975252</v>
      </c>
      <c r="AT928" t="n">
        <v>73.05489528</v>
      </c>
      <c r="AU928" t="n">
        <v/>
      </c>
    </row>
    <row r="929">
      <c r="A929" s="106" t="n">
        <v>35156</v>
      </c>
      <c r="B929" t="n">
        <v>53.119861055</v>
      </c>
      <c r="C929" t="n">
        <v>64.601729331</v>
      </c>
      <c r="D929" t="n">
        <v>76.36533888</v>
      </c>
      <c r="E929" t="n">
        <v>77.424794013</v>
      </c>
      <c r="F929" t="n">
        <v/>
      </c>
      <c r="G929" t="n">
        <v/>
      </c>
      <c r="H929" t="n">
        <v>65.38928883299999</v>
      </c>
      <c r="I929" t="n">
        <v>53.119861055</v>
      </c>
      <c r="J929" t="n">
        <v>56.790070009</v>
      </c>
      <c r="K929" t="n">
        <v>68.805733811</v>
      </c>
      <c r="L929" t="n">
        <v>98.298709324</v>
      </c>
      <c r="M929" t="n">
        <v>80.993250562</v>
      </c>
      <c r="N929" t="n">
        <v>100.696083913</v>
      </c>
      <c r="O929" t="n">
        <v/>
      </c>
      <c r="P929" t="n">
        <v/>
      </c>
      <c r="Q929" t="n">
        <v>75.706308859</v>
      </c>
      <c r="R929" t="n">
        <v>92.90000000000001</v>
      </c>
      <c r="S929" t="n">
        <v>81.970204188</v>
      </c>
      <c r="T929" t="n">
        <v>87.760877255</v>
      </c>
      <c r="U929" t="n">
        <v/>
      </c>
      <c r="V929" t="n">
        <v>122.487386</v>
      </c>
      <c r="W929" t="n">
        <v>35.239844691</v>
      </c>
      <c r="X929" t="n">
        <v>34.584132852</v>
      </c>
      <c r="Y929" t="n">
        <v/>
      </c>
      <c r="Z929" t="n">
        <v>23.355094486</v>
      </c>
      <c r="AA929" t="n">
        <v/>
      </c>
      <c r="AB929" t="n">
        <v>60.025385583</v>
      </c>
      <c r="AC929" t="n">
        <v>116.390300808</v>
      </c>
      <c r="AD929" t="n">
        <v>102.018663562</v>
      </c>
      <c r="AE929" t="n">
        <v>34.843</v>
      </c>
      <c r="AF929" t="n">
        <v>73.906720273</v>
      </c>
      <c r="AG929" t="n">
        <v/>
      </c>
      <c r="AH929" t="n">
        <v>75.84956398</v>
      </c>
      <c r="AI929" t="n">
        <v>85.007927481</v>
      </c>
      <c r="AJ929" t="n">
        <v>114.469659482</v>
      </c>
      <c r="AK929" t="n">
        <v/>
      </c>
      <c r="AL929" t="n">
        <v>73.759593087</v>
      </c>
      <c r="AM929" t="n">
        <v>35.901238998</v>
      </c>
      <c r="AN929" t="n">
        <v>113.238941883</v>
      </c>
      <c r="AO929" t="n">
        <v>56.609720829</v>
      </c>
      <c r="AP929" t="n">
        <v>36.038331667</v>
      </c>
      <c r="AQ929" t="n">
        <v>75.01391216</v>
      </c>
      <c r="AR929" t="n">
        <v>83.391463012</v>
      </c>
      <c r="AS929" t="n">
        <v>37.89684193</v>
      </c>
      <c r="AT929" t="n">
        <v>73.789064508</v>
      </c>
      <c r="AU929" t="n">
        <v/>
      </c>
    </row>
    <row r="930">
      <c r="A930" s="106" t="n">
        <v>35186</v>
      </c>
      <c r="B930" t="n">
        <v>53.795471374</v>
      </c>
      <c r="C930" t="n">
        <v>64.538489747</v>
      </c>
      <c r="D930" t="n">
        <v>76.382892113</v>
      </c>
      <c r="E930" t="n">
        <v>77.816291088</v>
      </c>
      <c r="F930" t="n">
        <v/>
      </c>
      <c r="G930" t="n">
        <v/>
      </c>
      <c r="H930" t="n">
        <v>65.04599154</v>
      </c>
      <c r="I930" t="n">
        <v>53.795471374</v>
      </c>
      <c r="J930" t="n">
        <v>56.646887304</v>
      </c>
      <c r="K930" t="n">
        <v>69.40578381500001</v>
      </c>
      <c r="L930" t="n">
        <v>95.141829401</v>
      </c>
      <c r="M930" t="n">
        <v>81.89317556899999</v>
      </c>
      <c r="N930" t="n">
        <v>101.971084976</v>
      </c>
      <c r="O930" t="n">
        <v/>
      </c>
      <c r="P930" t="n">
        <v/>
      </c>
      <c r="Q930" t="n">
        <v>78.10650887600001</v>
      </c>
      <c r="R930" t="n">
        <v>94.75</v>
      </c>
      <c r="S930" t="n">
        <v>82.501921584</v>
      </c>
      <c r="T930" t="n">
        <v>87.44251857099999</v>
      </c>
      <c r="U930" t="n">
        <v/>
      </c>
      <c r="V930" t="n">
        <v>124.158938259</v>
      </c>
      <c r="W930" t="n">
        <v>36.323696939</v>
      </c>
      <c r="X930" t="n">
        <v>34.956088766</v>
      </c>
      <c r="Y930" t="n">
        <v/>
      </c>
      <c r="Z930" t="n">
        <v>24.543648912</v>
      </c>
      <c r="AA930" t="n">
        <v/>
      </c>
      <c r="AB930" t="n">
        <v>59.535096552</v>
      </c>
      <c r="AC930" t="n">
        <v>116.290309141</v>
      </c>
      <c r="AD930" t="n">
        <v>102.627124776</v>
      </c>
      <c r="AE930" t="n">
        <v>34.935</v>
      </c>
      <c r="AF930" t="n">
        <v>73.398861246</v>
      </c>
      <c r="AG930" t="n">
        <v/>
      </c>
      <c r="AH930" t="n">
        <v>76.272087848</v>
      </c>
      <c r="AI930" t="n">
        <v>85.19620639</v>
      </c>
      <c r="AJ930" t="n">
        <v>111.627050938</v>
      </c>
      <c r="AK930" t="n">
        <v/>
      </c>
      <c r="AL930" t="n">
        <v>74.196247005</v>
      </c>
      <c r="AM930" t="n">
        <v>36.098325565</v>
      </c>
      <c r="AN930" t="n">
        <v>114.873806767</v>
      </c>
      <c r="AO930" t="n">
        <v>56.674443412</v>
      </c>
      <c r="AP930" t="n">
        <v>36.874563217</v>
      </c>
      <c r="AQ930" t="n">
        <v>69.46600823999999</v>
      </c>
      <c r="AR930" t="n">
        <v>84.909511489</v>
      </c>
      <c r="AS930" t="n">
        <v>37.596866928</v>
      </c>
      <c r="AT930" t="n">
        <v>74.34088133</v>
      </c>
      <c r="AU930" t="n">
        <v/>
      </c>
    </row>
    <row r="931">
      <c r="A931" s="106" t="n">
        <v>35217</v>
      </c>
      <c r="B931" t="n">
        <v>54.302179108</v>
      </c>
      <c r="C931" t="n">
        <v>63.311529949</v>
      </c>
      <c r="D931" t="n">
        <v>76.17225332</v>
      </c>
      <c r="E931" t="n">
        <v>78.00715044</v>
      </c>
      <c r="F931" t="n">
        <v/>
      </c>
      <c r="G931" t="n">
        <v/>
      </c>
      <c r="H931" t="n">
        <v>65.15266534200001</v>
      </c>
      <c r="I931" t="n">
        <v>54.302179108</v>
      </c>
      <c r="J931" t="n">
        <v>56.436601827</v>
      </c>
      <c r="K931" t="n">
        <v>69.805817151</v>
      </c>
      <c r="L931" t="n">
        <v>96.230408685</v>
      </c>
      <c r="M931" t="n">
        <v>81.89317556899999</v>
      </c>
      <c r="N931" t="n">
        <v>103.280086067</v>
      </c>
      <c r="O931" t="n">
        <v/>
      </c>
      <c r="P931" t="n">
        <v/>
      </c>
      <c r="Q931" t="n">
        <v>78.806567214</v>
      </c>
      <c r="R931" t="n">
        <v>94.02</v>
      </c>
      <c r="S931" t="n">
        <v>82.839764905</v>
      </c>
      <c r="T931" t="n">
        <v>87.44251857099999</v>
      </c>
      <c r="U931" t="n">
        <v/>
      </c>
      <c r="V931" t="n">
        <v>125.025487802</v>
      </c>
      <c r="W931" t="n">
        <v>35.649950947</v>
      </c>
      <c r="X931" t="n">
        <v>34.513567425</v>
      </c>
      <c r="Y931" t="n">
        <v/>
      </c>
      <c r="Z931" t="n">
        <v>24.543648912</v>
      </c>
      <c r="AA931" t="n">
        <v/>
      </c>
      <c r="AB931" t="n">
        <v>60.655757193</v>
      </c>
      <c r="AC931" t="n">
        <v>116.490292476</v>
      </c>
      <c r="AD931" t="n">
        <v>102.829945181</v>
      </c>
      <c r="AE931" t="n">
        <v>33.919</v>
      </c>
      <c r="AF931" t="n">
        <v>74.910367588</v>
      </c>
      <c r="AG931" t="n">
        <v/>
      </c>
      <c r="AH931" t="n">
        <v>76.924646139</v>
      </c>
      <c r="AI931" t="n">
        <v>84.537230208</v>
      </c>
      <c r="AJ931" t="n">
        <v>116.546950342</v>
      </c>
      <c r="AK931" t="n">
        <v/>
      </c>
      <c r="AL931" t="n">
        <v>74.467385397</v>
      </c>
      <c r="AM931" t="n">
        <v>35.745353717</v>
      </c>
      <c r="AN931" t="n">
        <v>117.985692113</v>
      </c>
      <c r="AO931" t="n">
        <v>56.528089703</v>
      </c>
      <c r="AP931" t="n">
        <v>36.990045418</v>
      </c>
      <c r="AQ931" t="n">
        <v>68.60647383</v>
      </c>
      <c r="AR931" t="n">
        <v>85.111917953</v>
      </c>
      <c r="AS931" t="n">
        <v>38.596783601</v>
      </c>
      <c r="AT931" t="n">
        <v>74.89606954</v>
      </c>
      <c r="AU931" t="n">
        <v/>
      </c>
    </row>
    <row r="932">
      <c r="A932" s="106" t="n">
        <v>35247</v>
      </c>
      <c r="B932" t="n">
        <v>54.386630401</v>
      </c>
      <c r="C932" t="n">
        <v>64.73222445</v>
      </c>
      <c r="D932" t="n">
        <v>80.42013563499999</v>
      </c>
      <c r="E932" t="n">
        <v>78.799922964</v>
      </c>
      <c r="F932" t="n">
        <v/>
      </c>
      <c r="G932" t="n">
        <v/>
      </c>
      <c r="H932" t="n">
        <v>64.173158934</v>
      </c>
      <c r="I932" t="n">
        <v>54.386630401</v>
      </c>
      <c r="J932" t="n">
        <v>57.769264652</v>
      </c>
      <c r="K932" t="n">
        <v>69.005750479</v>
      </c>
      <c r="L932" t="n">
        <v>95.794976971</v>
      </c>
      <c r="M932" t="n">
        <v>81.193233897</v>
      </c>
      <c r="N932" t="n">
        <v>102.089085074</v>
      </c>
      <c r="O932" t="n">
        <v/>
      </c>
      <c r="P932" t="n">
        <v/>
      </c>
      <c r="Q932" t="n">
        <v>76.006333861</v>
      </c>
      <c r="R932" t="n">
        <v>92.34</v>
      </c>
      <c r="S932" t="n">
        <v>82.790112732</v>
      </c>
      <c r="T932" t="n">
        <v>87.654757694</v>
      </c>
      <c r="U932" t="n">
        <v/>
      </c>
      <c r="V932" t="n">
        <v>124.927920443</v>
      </c>
      <c r="W932" t="n">
        <v>36.060057203</v>
      </c>
      <c r="X932" t="n">
        <v>34.114211471</v>
      </c>
      <c r="Y932" t="n">
        <v/>
      </c>
      <c r="Z932" t="n">
        <v>24.484221191</v>
      </c>
      <c r="AA932" t="n">
        <v/>
      </c>
      <c r="AB932" t="n">
        <v>59.114848812</v>
      </c>
      <c r="AC932" t="n">
        <v>116.390300808</v>
      </c>
      <c r="AD932" t="n">
        <v>103.438406395</v>
      </c>
      <c r="AE932" t="n">
        <v>34.658</v>
      </c>
      <c r="AF932" t="n">
        <v>74.28824937100001</v>
      </c>
      <c r="AG932" t="n">
        <v/>
      </c>
      <c r="AH932" t="n">
        <v>77.365306182</v>
      </c>
      <c r="AI932" t="n">
        <v>85.94932202699999</v>
      </c>
      <c r="AJ932" t="n">
        <v>117.20293693</v>
      </c>
      <c r="AK932" t="n">
        <v/>
      </c>
      <c r="AL932" t="n">
        <v>74.516074249</v>
      </c>
      <c r="AM932" t="n">
        <v>36.696888904</v>
      </c>
      <c r="AN932" t="n">
        <v>114.65208724</v>
      </c>
      <c r="AO932" t="n">
        <v>56.289448058</v>
      </c>
      <c r="AP932" t="n">
        <v>37.43388875</v>
      </c>
      <c r="AQ932" t="n">
        <v>71.57577451900001</v>
      </c>
      <c r="AR932" t="n">
        <v>85.92154380700001</v>
      </c>
      <c r="AS932" t="n">
        <v>38.196816932</v>
      </c>
      <c r="AT932" t="n">
        <v>74.896664491</v>
      </c>
      <c r="AU932" t="n">
        <v/>
      </c>
    </row>
    <row r="933">
      <c r="A933" s="106" t="n">
        <v>35278</v>
      </c>
      <c r="B933" t="n">
        <v>54.555532976</v>
      </c>
      <c r="C933" t="n">
        <v>63.500106011</v>
      </c>
      <c r="D933" t="n">
        <v>78.743801912</v>
      </c>
      <c r="E933" t="n">
        <v>79.069009298</v>
      </c>
      <c r="F933" t="n">
        <v/>
      </c>
      <c r="G933" t="n">
        <v/>
      </c>
      <c r="H933" t="n">
        <v>65.839314847</v>
      </c>
      <c r="I933" t="n">
        <v>54.555532976</v>
      </c>
      <c r="J933" t="n">
        <v>57.408256934</v>
      </c>
      <c r="K933" t="n">
        <v>69.90582548499999</v>
      </c>
      <c r="L933" t="n">
        <v>98.298709324</v>
      </c>
      <c r="M933" t="n">
        <v>82.193150571</v>
      </c>
      <c r="N933" t="n">
        <v>102.775085646</v>
      </c>
      <c r="O933" t="n">
        <v/>
      </c>
      <c r="P933" t="n">
        <v/>
      </c>
      <c r="Q933" t="n">
        <v>79.106592216</v>
      </c>
      <c r="R933" t="n">
        <v>94.34999999999999</v>
      </c>
      <c r="S933" t="n">
        <v>83.279647572</v>
      </c>
      <c r="T933" t="n">
        <v>87.973116378</v>
      </c>
      <c r="U933" t="n">
        <v/>
      </c>
      <c r="V933" t="n">
        <v>122.447184641</v>
      </c>
      <c r="W933" t="n">
        <v>35.942883987</v>
      </c>
      <c r="X933" t="n">
        <v>34.9205628</v>
      </c>
      <c r="Y933" t="n">
        <v/>
      </c>
      <c r="Z933" t="n">
        <v>23.53337765</v>
      </c>
      <c r="AA933" t="n">
        <v/>
      </c>
      <c r="AB933" t="n">
        <v>60.375592033</v>
      </c>
      <c r="AC933" t="n">
        <v>116.990250812</v>
      </c>
      <c r="AD933" t="n">
        <v>103.539816597</v>
      </c>
      <c r="AE933" t="n">
        <v>34.473</v>
      </c>
      <c r="AF933" t="n">
        <v>72.867074117</v>
      </c>
      <c r="AG933" t="n">
        <v/>
      </c>
      <c r="AH933" t="n">
        <v>76.883037008</v>
      </c>
      <c r="AI933" t="n">
        <v>85.666903663</v>
      </c>
      <c r="AJ933" t="n">
        <v>116.874943636</v>
      </c>
      <c r="AK933" t="n">
        <v/>
      </c>
      <c r="AL933" t="n">
        <v>74.833225172</v>
      </c>
      <c r="AM933" t="n">
        <v>36.844299162</v>
      </c>
      <c r="AN933" t="n">
        <v>116.062908087</v>
      </c>
      <c r="AO933" t="n">
        <v>56.215106096</v>
      </c>
      <c r="AP933" t="n">
        <v>37.342012038</v>
      </c>
      <c r="AQ933" t="n">
        <v>68.137636879</v>
      </c>
      <c r="AR933" t="n">
        <v>86.427559966</v>
      </c>
      <c r="AS933" t="n">
        <v>38.096825265</v>
      </c>
      <c r="AT933" t="n">
        <v>75.274061585</v>
      </c>
      <c r="AU933" t="n">
        <v/>
      </c>
    </row>
    <row r="934">
      <c r="A934" s="106" t="n">
        <v>35309</v>
      </c>
      <c r="B934" t="n">
        <v>55.40004587</v>
      </c>
      <c r="C934" t="n">
        <v>65.552645916</v>
      </c>
      <c r="D934" t="n">
        <v>79.69167647800001</v>
      </c>
      <c r="E934" t="n">
        <v>79.04945255200001</v>
      </c>
      <c r="F934" t="n">
        <v/>
      </c>
      <c r="G934" t="n">
        <v/>
      </c>
      <c r="H934" t="n">
        <v>65.98209948900001</v>
      </c>
      <c r="I934" t="n">
        <v>55.40004587</v>
      </c>
      <c r="J934" t="n">
        <v>58.122322008</v>
      </c>
      <c r="K934" t="n">
        <v>70.50587548999999</v>
      </c>
      <c r="L934" t="n">
        <v>97.427845897</v>
      </c>
      <c r="M934" t="n">
        <v>82.193150571</v>
      </c>
      <c r="N934" t="n">
        <v>103.173085978</v>
      </c>
      <c r="O934" t="n">
        <v/>
      </c>
      <c r="P934" t="n">
        <v/>
      </c>
      <c r="Q934" t="n">
        <v>81.006750563</v>
      </c>
      <c r="R934" t="n">
        <v>94.48999999999999</v>
      </c>
      <c r="S934" t="n">
        <v>83.731208936</v>
      </c>
      <c r="T934" t="n">
        <v>88.397594623</v>
      </c>
      <c r="U934" t="n">
        <v/>
      </c>
      <c r="V934" t="n">
        <v>123.915056412</v>
      </c>
      <c r="W934" t="n">
        <v>36.118643811</v>
      </c>
      <c r="X934" t="n">
        <v>34.590071575</v>
      </c>
      <c r="Y934" t="n">
        <v/>
      </c>
      <c r="Z934" t="n">
        <v>23.057955879</v>
      </c>
      <c r="AA934" t="n">
        <v/>
      </c>
      <c r="AB934" t="n">
        <v>61.286128804</v>
      </c>
      <c r="AC934" t="n">
        <v>115.390384135</v>
      </c>
      <c r="AD934" t="n">
        <v>104.655328823</v>
      </c>
      <c r="AE934" t="n">
        <v>34.935</v>
      </c>
      <c r="AF934" t="n">
        <v>75.141394492</v>
      </c>
      <c r="AG934" t="n">
        <v/>
      </c>
      <c r="AH934" t="n">
        <v>77.44723449999999</v>
      </c>
      <c r="AI934" t="n">
        <v>86.137600936</v>
      </c>
      <c r="AJ934" t="n">
        <v>116.218957049</v>
      </c>
      <c r="AK934" t="n">
        <v/>
      </c>
      <c r="AL934" t="n">
        <v>75.237317494</v>
      </c>
      <c r="AM934" t="n">
        <v>36.805034098</v>
      </c>
      <c r="AN934" t="n">
        <v>115.544725251</v>
      </c>
      <c r="AO934" t="n">
        <v>56.50074111</v>
      </c>
      <c r="AP934" t="n">
        <v>38.522027293</v>
      </c>
      <c r="AQ934" t="n">
        <v>71.653914011</v>
      </c>
      <c r="AR934" t="n">
        <v>85.111917953</v>
      </c>
      <c r="AS934" t="n">
        <v>37.696858595</v>
      </c>
      <c r="AT934" t="n">
        <v>75.76023550799999</v>
      </c>
      <c r="AU934" t="n">
        <v/>
      </c>
    </row>
    <row r="935">
      <c r="A935" s="106" t="n">
        <v>35339</v>
      </c>
      <c r="B935" t="n">
        <v>54.639984268</v>
      </c>
      <c r="C935" t="n">
        <v>65.805648635</v>
      </c>
      <c r="D935" t="n">
        <v>80.235826691</v>
      </c>
      <c r="E935" t="n">
        <v>78.799922964</v>
      </c>
      <c r="F935" t="n">
        <v/>
      </c>
      <c r="G935" t="n">
        <v/>
      </c>
      <c r="H935" t="n">
        <v>66.01732576800001</v>
      </c>
      <c r="I935" t="n">
        <v>54.639984268</v>
      </c>
      <c r="J935" t="n">
        <v>57.556737081</v>
      </c>
      <c r="K935" t="n">
        <v>69.505792149</v>
      </c>
      <c r="L935" t="n">
        <v>94.92411354399999</v>
      </c>
      <c r="M935" t="n">
        <v>81.79318390100001</v>
      </c>
      <c r="N935" t="n">
        <v>103.273086061</v>
      </c>
      <c r="O935" t="n">
        <v/>
      </c>
      <c r="P935" t="n">
        <v/>
      </c>
      <c r="Q935" t="n">
        <v>81.10675889700001</v>
      </c>
      <c r="R935" t="n">
        <v>93.53</v>
      </c>
      <c r="S935" t="n">
        <v>83.673693302</v>
      </c>
      <c r="T935" t="n">
        <v>88.71595330700001</v>
      </c>
      <c r="U935" t="n">
        <v/>
      </c>
      <c r="V935" t="n">
        <v>122.784800371</v>
      </c>
      <c r="W935" t="n">
        <v>36.470163459</v>
      </c>
      <c r="X935" t="n">
        <v>35.122800899</v>
      </c>
      <c r="Y935" t="n">
        <v/>
      </c>
      <c r="Z935" t="n">
        <v>24.246510306</v>
      </c>
      <c r="AA935" t="n">
        <v/>
      </c>
      <c r="AB935" t="n">
        <v>60.165468163</v>
      </c>
      <c r="AC935" t="n">
        <v>115.890342471</v>
      </c>
      <c r="AD935" t="n">
        <v>105.263790037</v>
      </c>
      <c r="AE935" t="n">
        <v>34.473</v>
      </c>
      <c r="AF935" t="n">
        <v>75.085550031</v>
      </c>
      <c r="AG935" t="n">
        <v/>
      </c>
      <c r="AH935" t="n">
        <v>78.441820585</v>
      </c>
      <c r="AI935" t="n">
        <v>85.47862475399999</v>
      </c>
      <c r="AJ935" t="n">
        <v>112.392368623</v>
      </c>
      <c r="AK935" t="n">
        <v/>
      </c>
      <c r="AL935" t="n">
        <v>75.352997691</v>
      </c>
      <c r="AM935" t="n">
        <v>37.673570197</v>
      </c>
      <c r="AN935" t="n">
        <v>113.389589239</v>
      </c>
      <c r="AO935" t="n">
        <v>56.269764155</v>
      </c>
      <c r="AP935" t="n">
        <v>38.253871125</v>
      </c>
      <c r="AQ935" t="n">
        <v>72.122750962</v>
      </c>
      <c r="AR935" t="n">
        <v>84.707105025</v>
      </c>
      <c r="AS935" t="n">
        <v>40.696608616</v>
      </c>
      <c r="AT935" t="n">
        <v>75.750220504</v>
      </c>
      <c r="AU935" t="n">
        <v/>
      </c>
    </row>
    <row r="936">
      <c r="A936" s="106" t="n">
        <v>35370</v>
      </c>
      <c r="B936" t="n">
        <v>55.231143295</v>
      </c>
      <c r="C936" t="n">
        <v>65.899722568</v>
      </c>
      <c r="D936" t="n">
        <v>80.73609382399999</v>
      </c>
      <c r="E936" t="n">
        <v>80.033084428</v>
      </c>
      <c r="F936" t="n">
        <v/>
      </c>
      <c r="G936" t="n">
        <v/>
      </c>
      <c r="H936" t="n">
        <v>66.883693984</v>
      </c>
      <c r="I936" t="n">
        <v>55.231143295</v>
      </c>
      <c r="J936" t="n">
        <v>57.321238807</v>
      </c>
      <c r="K936" t="n">
        <v>70.50587548999999</v>
      </c>
      <c r="L936" t="n">
        <v>93.18238669</v>
      </c>
      <c r="M936" t="n">
        <v>82.493125573</v>
      </c>
      <c r="N936" t="n">
        <v>104.716087263</v>
      </c>
      <c r="O936" t="n">
        <v/>
      </c>
      <c r="P936" t="n">
        <v/>
      </c>
      <c r="Q936" t="n">
        <v>81.006750563</v>
      </c>
      <c r="R936" t="n">
        <v>94.67</v>
      </c>
      <c r="S936" t="n">
        <v>84.320737194</v>
      </c>
      <c r="T936" t="n">
        <v>88.92819243</v>
      </c>
      <c r="U936" t="n">
        <v/>
      </c>
      <c r="V936" t="n">
        <v>125.033899076</v>
      </c>
      <c r="W936" t="n">
        <v>37.173202754</v>
      </c>
      <c r="X936" t="n">
        <v>33.959303131</v>
      </c>
      <c r="Y936" t="n">
        <v/>
      </c>
      <c r="Z936" t="n">
        <v>25.910486503</v>
      </c>
      <c r="AA936" t="n">
        <v/>
      </c>
      <c r="AB936" t="n">
        <v>59.745220423</v>
      </c>
      <c r="AC936" t="n">
        <v>115.390384135</v>
      </c>
      <c r="AD936" t="n">
        <v>105.770841049</v>
      </c>
      <c r="AE936" t="n">
        <v>34.935</v>
      </c>
      <c r="AF936" t="n">
        <v>75.71505377299999</v>
      </c>
      <c r="AG936" t="n">
        <v/>
      </c>
      <c r="AH936" t="n">
        <v>78.913572434</v>
      </c>
      <c r="AI936" t="n">
        <v>84.443090754</v>
      </c>
      <c r="AJ936" t="n">
        <v>114.797652776</v>
      </c>
      <c r="AK936" t="n">
        <v/>
      </c>
      <c r="AL936" t="n">
        <v>75.916763851</v>
      </c>
      <c r="AM936" t="n">
        <v>37.344419912</v>
      </c>
      <c r="AN936" t="n">
        <v>115.188251419</v>
      </c>
      <c r="AO936" t="n">
        <v>55.798469741</v>
      </c>
      <c r="AP936" t="n">
        <v>37.705541369</v>
      </c>
      <c r="AQ936" t="n">
        <v>72.122750962</v>
      </c>
      <c r="AR936" t="n">
        <v>85.820340575</v>
      </c>
      <c r="AS936" t="n">
        <v>40.896591951</v>
      </c>
      <c r="AT936" t="n">
        <v>76.418647674</v>
      </c>
      <c r="AU936" t="n">
        <v/>
      </c>
    </row>
    <row r="937">
      <c r="A937" s="106" t="n">
        <v>35400</v>
      </c>
      <c r="B937" t="n">
        <v>56.160107481</v>
      </c>
      <c r="C937" t="n">
        <v>66.30711049200001</v>
      </c>
      <c r="D937" t="n">
        <v>80.016411283</v>
      </c>
      <c r="E937" t="n">
        <v>78.697068968</v>
      </c>
      <c r="F937" t="n">
        <v/>
      </c>
      <c r="G937" t="n">
        <v/>
      </c>
      <c r="H937" t="n">
        <v>65.99853808899999</v>
      </c>
      <c r="I937" t="n">
        <v>56.160107481</v>
      </c>
      <c r="J937" t="n">
        <v>54.44368845</v>
      </c>
      <c r="K937" t="n">
        <v>70.50587548999999</v>
      </c>
      <c r="L937" t="n">
        <v>95.250687329</v>
      </c>
      <c r="M937" t="n">
        <v>82.393133906</v>
      </c>
      <c r="N937" t="n">
        <v>103.175085979</v>
      </c>
      <c r="O937" t="n">
        <v/>
      </c>
      <c r="P937" t="n">
        <v/>
      </c>
      <c r="Q937" t="n">
        <v>78.406533878</v>
      </c>
      <c r="R937" t="n">
        <v>94.83</v>
      </c>
      <c r="S937" t="n">
        <v>84.661708156</v>
      </c>
      <c r="T937" t="n">
        <v>89.140431553</v>
      </c>
      <c r="U937" t="n">
        <v/>
      </c>
      <c r="V937" t="n">
        <v>124.130880434</v>
      </c>
      <c r="W937" t="n">
        <v>37.319669274</v>
      </c>
      <c r="X937" t="n">
        <v>34.996567975</v>
      </c>
      <c r="Y937" t="n">
        <v/>
      </c>
      <c r="Z937" t="n">
        <v>25.137926126</v>
      </c>
      <c r="AA937" t="n">
        <v/>
      </c>
      <c r="AB937" t="n">
        <v>60.165468163</v>
      </c>
      <c r="AC937" t="n">
        <v>115.090409133</v>
      </c>
      <c r="AD937" t="n">
        <v>106.784943072</v>
      </c>
      <c r="AE937" t="n">
        <v>35.86</v>
      </c>
      <c r="AF937" t="n">
        <v>74.791568672</v>
      </c>
      <c r="AG937" t="n">
        <v/>
      </c>
      <c r="AH937" t="n">
        <v>80.940608192</v>
      </c>
      <c r="AI937" t="n">
        <v>85.855182572</v>
      </c>
      <c r="AJ937" t="n">
        <v>115.344308266</v>
      </c>
      <c r="AK937" t="n">
        <v/>
      </c>
      <c r="AL937" t="n">
        <v>76.23458925200001</v>
      </c>
      <c r="AM937" t="n">
        <v>37.694462662</v>
      </c>
      <c r="AN937" t="n">
        <v>109.82854363</v>
      </c>
      <c r="AO937" t="n">
        <v>54.90018824</v>
      </c>
      <c r="AP937" t="n">
        <v>37.599973309</v>
      </c>
      <c r="AQ937" t="n">
        <v>71.888332487</v>
      </c>
      <c r="AR937" t="n">
        <v>88.148014907</v>
      </c>
      <c r="AS937" t="n">
        <v>40.296641947</v>
      </c>
      <c r="AT937" t="n">
        <v>76.901648526</v>
      </c>
      <c r="AU937" t="n">
        <v/>
      </c>
    </row>
    <row r="938">
      <c r="A938" s="106" t="n">
        <v>35431</v>
      </c>
      <c r="B938" t="n">
        <v>57.680230684</v>
      </c>
      <c r="C938" t="n">
        <v>65.072093826</v>
      </c>
      <c r="D938" t="n">
        <v>80.077847597</v>
      </c>
      <c r="E938" t="n">
        <v>80.635866759</v>
      </c>
      <c r="F938" t="n">
        <v/>
      </c>
      <c r="G938" t="n">
        <v/>
      </c>
      <c r="H938" t="n">
        <v>67.22961628</v>
      </c>
      <c r="I938" t="n">
        <v>57.680230684</v>
      </c>
      <c r="J938" t="n">
        <v>58.485246384</v>
      </c>
      <c r="K938" t="n">
        <v>69.605800483</v>
      </c>
      <c r="L938" t="n">
        <v>98.080993467</v>
      </c>
      <c r="M938" t="n">
        <v>82.59311724</v>
      </c>
      <c r="N938" t="n">
        <v>105.951088293</v>
      </c>
      <c r="O938" t="n">
        <v/>
      </c>
      <c r="P938" t="n">
        <v/>
      </c>
      <c r="Q938" t="n">
        <v>80.606717226</v>
      </c>
      <c r="R938" t="n">
        <v>93.98</v>
      </c>
      <c r="S938" t="n">
        <v>84.954946741</v>
      </c>
      <c r="T938" t="n">
        <v>89.034311992</v>
      </c>
      <c r="U938" t="n">
        <v/>
      </c>
      <c r="V938" t="n">
        <v>126.189214143</v>
      </c>
      <c r="W938" t="n">
        <v>37.934828658</v>
      </c>
      <c r="X938" t="n">
        <v>34.689358105</v>
      </c>
      <c r="Y938" t="n">
        <v/>
      </c>
      <c r="Z938" t="n">
        <v>27.217896373</v>
      </c>
      <c r="AA938" t="n">
        <v/>
      </c>
      <c r="AB938" t="n">
        <v>61.005963644</v>
      </c>
      <c r="AC938" t="n">
        <v>115.990334139</v>
      </c>
      <c r="AD938" t="n">
        <v>108.40750631</v>
      </c>
      <c r="AE938" t="n">
        <v>33.919</v>
      </c>
      <c r="AF938" t="n">
        <v>72.967932217</v>
      </c>
      <c r="AG938" t="n">
        <v/>
      </c>
      <c r="AH938" t="n">
        <v>79.653808017</v>
      </c>
      <c r="AI938" t="n">
        <v>85.855182572</v>
      </c>
      <c r="AJ938" t="n">
        <v>117.20293693</v>
      </c>
      <c r="AK938" t="n">
        <v/>
      </c>
      <c r="AL938" t="n">
        <v>76.363343628</v>
      </c>
      <c r="AM938" t="n">
        <v>38.481657375</v>
      </c>
      <c r="AN938" t="n">
        <v>113.703119701</v>
      </c>
      <c r="AO938" t="n">
        <v>55.918929646</v>
      </c>
      <c r="AP938" t="n">
        <v>36.244989567</v>
      </c>
      <c r="AQ938" t="n">
        <v>66.106010091</v>
      </c>
      <c r="AR938" t="n">
        <v>88.451624602</v>
      </c>
      <c r="AS938" t="n">
        <v>38.896758603</v>
      </c>
      <c r="AT938" t="n">
        <v>77.040668685</v>
      </c>
      <c r="AU938" t="n">
        <v/>
      </c>
    </row>
    <row r="939">
      <c r="A939" s="106" t="n">
        <v>35462</v>
      </c>
      <c r="B939" t="n">
        <v>56.920169083</v>
      </c>
      <c r="C939" t="n">
        <v>66.50744813599999</v>
      </c>
      <c r="D939" t="n">
        <v>80.446465484</v>
      </c>
      <c r="E939" t="n">
        <v>81.523800861</v>
      </c>
      <c r="F939" t="n">
        <v/>
      </c>
      <c r="G939" t="n">
        <v/>
      </c>
      <c r="H939" t="n">
        <v>66.666151649</v>
      </c>
      <c r="I939" t="n">
        <v>56.920169083</v>
      </c>
      <c r="J939" t="n">
        <v>58.682591691</v>
      </c>
      <c r="K939" t="n">
        <v>70.605883824</v>
      </c>
      <c r="L939" t="n">
        <v>98.18985139500001</v>
      </c>
      <c r="M939" t="n">
        <v>83.09307557699999</v>
      </c>
      <c r="N939" t="n">
        <v>105.09608758</v>
      </c>
      <c r="O939" t="n">
        <v/>
      </c>
      <c r="P939" t="n">
        <v/>
      </c>
      <c r="Q939" t="n">
        <v>80.306692224</v>
      </c>
      <c r="R939" t="n">
        <v>94.8</v>
      </c>
      <c r="S939" t="n">
        <v>85.754998492</v>
      </c>
      <c r="T939" t="n">
        <v>89.564909798</v>
      </c>
      <c r="U939" t="n">
        <v/>
      </c>
      <c r="V939" t="n">
        <v>126.760006783</v>
      </c>
      <c r="W939" t="n">
        <v>38.637867953</v>
      </c>
      <c r="X939" t="n">
        <v>35.479948798</v>
      </c>
      <c r="Y939" t="n">
        <v/>
      </c>
      <c r="Z939" t="n">
        <v>25.79163106</v>
      </c>
      <c r="AA939" t="n">
        <v/>
      </c>
      <c r="AB939" t="n">
        <v>60.375592033</v>
      </c>
      <c r="AC939" t="n">
        <v>117.990167486</v>
      </c>
      <c r="AD939" t="n">
        <v>108.40750631</v>
      </c>
      <c r="AE939" t="n">
        <v>35.397</v>
      </c>
      <c r="AF939" t="n">
        <v>80.45784250299999</v>
      </c>
      <c r="AG939" t="n">
        <v/>
      </c>
      <c r="AH939" t="n">
        <v>79.958338514</v>
      </c>
      <c r="AI939" t="n">
        <v>83.40755675299999</v>
      </c>
      <c r="AJ939" t="n">
        <v>117.858923517</v>
      </c>
      <c r="AK939" t="n">
        <v/>
      </c>
      <c r="AL939" t="n">
        <v>77.068134998</v>
      </c>
      <c r="AM939" t="n">
        <v>39.312288342</v>
      </c>
      <c r="AN939" t="n">
        <v>116.648450641</v>
      </c>
      <c r="AO939" t="n">
        <v>58.441180712</v>
      </c>
      <c r="AP939" t="n">
        <v>38.072272556</v>
      </c>
      <c r="AQ939" t="n">
        <v>70.091124175</v>
      </c>
      <c r="AR939" t="n">
        <v>87.540795516</v>
      </c>
      <c r="AS939" t="n">
        <v>39.696691942</v>
      </c>
      <c r="AT939" t="n">
        <v>77.950447543</v>
      </c>
      <c r="AU939" t="n">
        <v/>
      </c>
    </row>
    <row r="940">
      <c r="A940" s="106" t="n">
        <v>35490</v>
      </c>
      <c r="B940" t="n">
        <v>56.920169083</v>
      </c>
      <c r="C940" t="n">
        <v>66.46368796500001</v>
      </c>
      <c r="D940" t="n">
        <v>81.446999748</v>
      </c>
      <c r="E940" t="n">
        <v>81.034754902</v>
      </c>
      <c r="F940" t="n">
        <v/>
      </c>
      <c r="G940" t="n">
        <v/>
      </c>
      <c r="H940" t="n">
        <v>65.009014593</v>
      </c>
      <c r="I940" t="n">
        <v>56.920169083</v>
      </c>
      <c r="J940" t="n">
        <v>59.127181513</v>
      </c>
      <c r="K940" t="n">
        <v>71.405950496</v>
      </c>
      <c r="L940" t="n">
        <v>97.536703825</v>
      </c>
      <c r="M940" t="n">
        <v>83.993000583</v>
      </c>
      <c r="N940" t="n">
        <v>109.313091094</v>
      </c>
      <c r="O940" t="n">
        <v/>
      </c>
      <c r="P940" t="n">
        <v/>
      </c>
      <c r="Q940" t="n">
        <v>80.906742229</v>
      </c>
      <c r="R940" t="n">
        <v>95.13</v>
      </c>
      <c r="S940" t="n">
        <v>86.133723522</v>
      </c>
      <c r="T940" t="n">
        <v>88.822072869</v>
      </c>
      <c r="U940" t="n">
        <v/>
      </c>
      <c r="V940" t="n">
        <v>127.048714969</v>
      </c>
      <c r="W940" t="n">
        <v>37.671188922</v>
      </c>
      <c r="X940" t="n">
        <v>36.05665757</v>
      </c>
      <c r="Y940" t="n">
        <v/>
      </c>
      <c r="Z940" t="n">
        <v>27.277324094</v>
      </c>
      <c r="AA940" t="n">
        <v/>
      </c>
      <c r="AB940" t="n">
        <v>61.426211384</v>
      </c>
      <c r="AC940" t="n">
        <v>118.59011749</v>
      </c>
      <c r="AD940" t="n">
        <v>108.813147119</v>
      </c>
      <c r="AE940" t="n">
        <v>35.952</v>
      </c>
      <c r="AF940" t="n">
        <v>75.784821737</v>
      </c>
      <c r="AG940" t="n">
        <v/>
      </c>
      <c r="AH940" t="n">
        <v>80.64192254</v>
      </c>
      <c r="AI940" t="n">
        <v>81.618907116</v>
      </c>
      <c r="AJ940" t="n">
        <v>118.405579006</v>
      </c>
      <c r="AK940" t="n">
        <v/>
      </c>
      <c r="AL940" t="n">
        <v>77.514987308</v>
      </c>
      <c r="AM940" t="n">
        <v>38.047916531</v>
      </c>
      <c r="AN940" t="n">
        <v>116.417297262</v>
      </c>
      <c r="AO940" t="n">
        <v>56.352621097</v>
      </c>
      <c r="AP940" t="n">
        <v>37.163880746</v>
      </c>
      <c r="AQ940" t="n">
        <v>69.778566207</v>
      </c>
      <c r="AR940" t="n">
        <v>87.64199874800001</v>
      </c>
      <c r="AS940" t="n">
        <v>41.396550287</v>
      </c>
      <c r="AT940" t="n">
        <v>78.43642314900001</v>
      </c>
      <c r="AU940" t="n">
        <v/>
      </c>
    </row>
    <row r="941">
      <c r="A941" s="106" t="n">
        <v>35521</v>
      </c>
      <c r="B941" t="n">
        <v>57.764681977</v>
      </c>
      <c r="C941" t="n">
        <v>66.90256442899999</v>
      </c>
      <c r="D941" t="n">
        <v>79.867208805</v>
      </c>
      <c r="E941" t="n">
        <v>82.15169520800001</v>
      </c>
      <c r="F941" t="n">
        <v/>
      </c>
      <c r="G941" t="n">
        <v/>
      </c>
      <c r="H941" t="n">
        <v>66.987457328</v>
      </c>
      <c r="I941" t="n">
        <v>57.764681977</v>
      </c>
      <c r="J941" t="n">
        <v>61.923727274</v>
      </c>
      <c r="K941" t="n">
        <v>71.105925494</v>
      </c>
      <c r="L941" t="n">
        <v>98.62528310899999</v>
      </c>
      <c r="M941" t="n">
        <v>84.992917257</v>
      </c>
      <c r="N941" t="n">
        <v>108.700090583</v>
      </c>
      <c r="O941" t="n">
        <v/>
      </c>
      <c r="P941" t="n">
        <v/>
      </c>
      <c r="Q941" t="n">
        <v>83.406950579</v>
      </c>
      <c r="R941" t="n">
        <v>98.45999999999999</v>
      </c>
      <c r="S941" t="n">
        <v>86.023217022</v>
      </c>
      <c r="T941" t="n">
        <v>88.92819243</v>
      </c>
      <c r="U941" t="n">
        <v/>
      </c>
      <c r="V941" t="n">
        <v>126.06932333</v>
      </c>
      <c r="W941" t="n">
        <v>38.930800993</v>
      </c>
      <c r="X941" t="n">
        <v>36.085259547</v>
      </c>
      <c r="Y941" t="n">
        <v/>
      </c>
      <c r="Z941" t="n">
        <v>27.396179537</v>
      </c>
      <c r="AA941" t="n">
        <v/>
      </c>
      <c r="AB941" t="n">
        <v>61.636335254</v>
      </c>
      <c r="AC941" t="n">
        <v>120.689942505</v>
      </c>
      <c r="AD941" t="n">
        <v>106.075071656</v>
      </c>
      <c r="AE941" t="n">
        <v>36.599</v>
      </c>
      <c r="AF941" t="n">
        <v>77.83653039799999</v>
      </c>
      <c r="AG941" t="n">
        <v/>
      </c>
      <c r="AH941" t="n">
        <v>81.619494727</v>
      </c>
      <c r="AI941" t="n">
        <v>86.325879845</v>
      </c>
      <c r="AJ941" t="n">
        <v>118.18691681</v>
      </c>
      <c r="AK941" t="n">
        <v/>
      </c>
      <c r="AL941" t="n">
        <v>77.815062588</v>
      </c>
      <c r="AM941" t="n">
        <v>41.304470173</v>
      </c>
      <c r="AN941" t="n">
        <v>117.034727582</v>
      </c>
      <c r="AO941" t="n">
        <v>56.221265982</v>
      </c>
      <c r="AP941" t="n">
        <v>37.233996487</v>
      </c>
      <c r="AQ941" t="n">
        <v>76.967399456</v>
      </c>
      <c r="AR941" t="n">
        <v>89.36245368900001</v>
      </c>
      <c r="AS941" t="n">
        <v>41.796516957</v>
      </c>
      <c r="AT941" t="n">
        <v>78.50206604900001</v>
      </c>
      <c r="AU941" t="n">
        <v/>
      </c>
    </row>
    <row r="942">
      <c r="A942" s="106" t="n">
        <v>35551</v>
      </c>
      <c r="B942" t="n">
        <v>55.991204896</v>
      </c>
      <c r="C942" t="n">
        <v>66.80454606799999</v>
      </c>
      <c r="D942" t="n">
        <v>79.402048138</v>
      </c>
      <c r="E942" t="n">
        <v>82.28465792199999</v>
      </c>
      <c r="F942" t="n">
        <v/>
      </c>
      <c r="G942" t="n">
        <v/>
      </c>
      <c r="H942" t="n">
        <v>70.44410136899999</v>
      </c>
      <c r="I942" t="n">
        <v>55.991204896</v>
      </c>
      <c r="J942" t="n">
        <v>57.135278734</v>
      </c>
      <c r="K942" t="n">
        <v>70.205850488</v>
      </c>
      <c r="L942" t="n">
        <v>99.605004464</v>
      </c>
      <c r="M942" t="n">
        <v>84.192983918</v>
      </c>
      <c r="N942" t="n">
        <v>108.030090025</v>
      </c>
      <c r="O942" t="n">
        <v/>
      </c>
      <c r="P942" t="n">
        <v/>
      </c>
      <c r="Q942" t="n">
        <v>81.60680056699999</v>
      </c>
      <c r="R942" t="n">
        <v>96.64</v>
      </c>
      <c r="S942" t="n">
        <v>86.50616545699999</v>
      </c>
      <c r="T942" t="n">
        <v>88.92819243</v>
      </c>
      <c r="U942" t="n">
        <v/>
      </c>
      <c r="V942" t="n">
        <v>127.359751229</v>
      </c>
      <c r="W942" t="n">
        <v>38.110588482</v>
      </c>
      <c r="X942" t="n">
        <v>36.334921308</v>
      </c>
      <c r="Y942" t="n">
        <v/>
      </c>
      <c r="Z942" t="n">
        <v>27.039613209</v>
      </c>
      <c r="AA942" t="n">
        <v/>
      </c>
      <c r="AB942" t="n">
        <v>62.126624285</v>
      </c>
      <c r="AC942" t="n">
        <v>120.389967503</v>
      </c>
      <c r="AD942" t="n">
        <v>109.218787929</v>
      </c>
      <c r="AE942" t="n">
        <v>36.322</v>
      </c>
      <c r="AF942" t="n">
        <v>77.036816926</v>
      </c>
      <c r="AG942" t="n">
        <v/>
      </c>
      <c r="AH942" t="n">
        <v>82.419086482</v>
      </c>
      <c r="AI942" t="n">
        <v>84.066532935</v>
      </c>
      <c r="AJ942" t="n">
        <v>119.826883279</v>
      </c>
      <c r="AK942" t="n">
        <v/>
      </c>
      <c r="AL942" t="n">
        <v>77.97438424000001</v>
      </c>
      <c r="AM942" t="n">
        <v>39.438778501</v>
      </c>
      <c r="AN942" t="n">
        <v>115.085160898</v>
      </c>
      <c r="AO942" t="n">
        <v>57.308600082</v>
      </c>
      <c r="AP942" t="n">
        <v>36.998515346</v>
      </c>
      <c r="AQ942" t="n">
        <v>70.40368214199999</v>
      </c>
      <c r="AR942" t="n">
        <v>88.95764076099999</v>
      </c>
      <c r="AS942" t="n">
        <v>41.69652529</v>
      </c>
      <c r="AT942" t="n">
        <v>78.938462426</v>
      </c>
      <c r="AU942" t="n">
        <v/>
      </c>
    </row>
    <row r="943">
      <c r="A943" s="106" t="n">
        <v>35582</v>
      </c>
      <c r="B943" t="n">
        <v>57.342425525</v>
      </c>
      <c r="C943" t="n">
        <v>67.154852613</v>
      </c>
      <c r="D943" t="n">
        <v>82.30710815099999</v>
      </c>
      <c r="E943" t="n">
        <v>81.590148453</v>
      </c>
      <c r="F943" t="n">
        <v/>
      </c>
      <c r="G943" t="n">
        <v/>
      </c>
      <c r="H943" t="n">
        <v>68.384478347</v>
      </c>
      <c r="I943" t="n">
        <v>57.342425525</v>
      </c>
      <c r="J943" t="n">
        <v>60.470027578</v>
      </c>
      <c r="K943" t="n">
        <v>73.00608384</v>
      </c>
      <c r="L943" t="n">
        <v>100.475867891</v>
      </c>
      <c r="M943" t="n">
        <v>85.59286726099999</v>
      </c>
      <c r="N943" t="n">
        <v>109.084090903</v>
      </c>
      <c r="O943" t="n">
        <v/>
      </c>
      <c r="P943" t="n">
        <v/>
      </c>
      <c r="Q943" t="n">
        <v>85.307108926</v>
      </c>
      <c r="R943" t="n">
        <v>97.34999999999999</v>
      </c>
      <c r="S943" t="n">
        <v>87.051134981</v>
      </c>
      <c r="T943" t="n">
        <v>89.140431553</v>
      </c>
      <c r="U943" t="n">
        <v/>
      </c>
      <c r="V943" t="n">
        <v>126.271154714</v>
      </c>
      <c r="W943" t="n">
        <v>40.219706368</v>
      </c>
      <c r="X943" t="n">
        <v>36.654279832</v>
      </c>
      <c r="Y943" t="n">
        <v/>
      </c>
      <c r="Z943" t="n">
        <v>28.287595357</v>
      </c>
      <c r="AA943" t="n">
        <v/>
      </c>
      <c r="AB943" t="n">
        <v>61.846459124</v>
      </c>
      <c r="AC943" t="n">
        <v>121.389884176</v>
      </c>
      <c r="AD943" t="n">
        <v>108.610326715</v>
      </c>
      <c r="AE943" t="n">
        <v>37.153</v>
      </c>
      <c r="AF943" t="n">
        <v>76.98127166</v>
      </c>
      <c r="AG943" t="n">
        <v/>
      </c>
      <c r="AH943" t="n">
        <v>83.178719027</v>
      </c>
      <c r="AI943" t="n">
        <v>84.725509117</v>
      </c>
      <c r="AJ943" t="n">
        <v>118.405579006</v>
      </c>
      <c r="AK943" t="n">
        <v/>
      </c>
      <c r="AL943" t="n">
        <v>78.67602570299999</v>
      </c>
      <c r="AM943" t="n">
        <v>42.042958314</v>
      </c>
      <c r="AN943" t="n">
        <v>118.764937299</v>
      </c>
      <c r="AO943" t="n">
        <v>57.760360667</v>
      </c>
      <c r="AP943" t="n">
        <v>38.844668743</v>
      </c>
      <c r="AQ943" t="n">
        <v>70.87251909299999</v>
      </c>
      <c r="AR943" t="n">
        <v>88.350421371</v>
      </c>
      <c r="AS943" t="n">
        <v>42.196483626</v>
      </c>
      <c r="AT943" t="n">
        <v>79.30713357499999</v>
      </c>
      <c r="AU943" t="n">
        <v/>
      </c>
    </row>
    <row r="944">
      <c r="A944" s="106" t="n">
        <v>35612</v>
      </c>
      <c r="B944" t="n">
        <v>57.764681977</v>
      </c>
      <c r="C944" t="n">
        <v>69.423138232</v>
      </c>
      <c r="D944" t="n">
        <v>81.271467421</v>
      </c>
      <c r="E944" t="n">
        <v>83.613214942</v>
      </c>
      <c r="F944" t="n">
        <v/>
      </c>
      <c r="G944" t="n">
        <v/>
      </c>
      <c r="H944" t="n">
        <v>68.954101471</v>
      </c>
      <c r="I944" t="n">
        <v>57.764681977</v>
      </c>
      <c r="J944" t="n">
        <v>59.671760233</v>
      </c>
      <c r="K944" t="n">
        <v>73.80615051300001</v>
      </c>
      <c r="L944" t="n">
        <v>99.169572751</v>
      </c>
      <c r="M944" t="n">
        <v>86.292808933</v>
      </c>
      <c r="N944" t="n">
        <v>110.206091838</v>
      </c>
      <c r="O944" t="n">
        <v/>
      </c>
      <c r="P944" t="n">
        <v/>
      </c>
      <c r="Q944" t="n">
        <v>85.007083924</v>
      </c>
      <c r="R944" t="n">
        <v>97.56</v>
      </c>
      <c r="S944" t="n">
        <v>87.79192191600001</v>
      </c>
      <c r="T944" t="n">
        <v>90.732224973</v>
      </c>
      <c r="U944" t="n">
        <v/>
      </c>
      <c r="V944" t="n">
        <v>124.940248028</v>
      </c>
      <c r="W944" t="n">
        <v>39.487373769</v>
      </c>
      <c r="X944" t="n">
        <v>36.927031722</v>
      </c>
      <c r="Y944" t="n">
        <v/>
      </c>
      <c r="Z944" t="n">
        <v>28.763017127</v>
      </c>
      <c r="AA944" t="n">
        <v/>
      </c>
      <c r="AB944" t="n">
        <v>61.846459124</v>
      </c>
      <c r="AC944" t="n">
        <v>122.189817515</v>
      </c>
      <c r="AD944" t="n">
        <v>108.914557322</v>
      </c>
      <c r="AE944" t="n">
        <v>36.322</v>
      </c>
      <c r="AF944" t="n">
        <v>81.148133918</v>
      </c>
      <c r="AG944" t="n">
        <v/>
      </c>
      <c r="AH944" t="n">
        <v>83.07746106</v>
      </c>
      <c r="AI944" t="n">
        <v>85.19620639</v>
      </c>
      <c r="AJ944" t="n">
        <v>121.904174138</v>
      </c>
      <c r="AK944" t="n">
        <v/>
      </c>
      <c r="AL944" t="n">
        <v>79.10234712</v>
      </c>
      <c r="AM944" t="n">
        <v>40.273092018</v>
      </c>
      <c r="AN944" t="n">
        <v>116.503269956</v>
      </c>
      <c r="AO944" t="n">
        <v>58.148404929</v>
      </c>
      <c r="AP944" t="n">
        <v>37.823696699</v>
      </c>
      <c r="AQ944" t="n">
        <v>72.669727405</v>
      </c>
      <c r="AR944" t="n">
        <v>90.07087631100001</v>
      </c>
      <c r="AS944" t="n">
        <v>41.996500292</v>
      </c>
      <c r="AT944" t="n">
        <v>79.97050366400001</v>
      </c>
      <c r="AU944" t="n">
        <v/>
      </c>
    </row>
    <row r="945">
      <c r="A945" s="106" t="n">
        <v>35643</v>
      </c>
      <c r="B945" t="n">
        <v>59.28480518</v>
      </c>
      <c r="C945" t="n">
        <v>68.60762074100001</v>
      </c>
      <c r="D945" t="n">
        <v>81.938490264</v>
      </c>
      <c r="E945" t="n">
        <v>83.42888635</v>
      </c>
      <c r="F945" t="n">
        <v/>
      </c>
      <c r="G945" t="n">
        <v/>
      </c>
      <c r="H945" t="n">
        <v>68.297858021</v>
      </c>
      <c r="I945" t="n">
        <v>59.28480518</v>
      </c>
      <c r="J945" t="n">
        <v>60.518370469</v>
      </c>
      <c r="K945" t="n">
        <v>71.405950496</v>
      </c>
      <c r="L945" t="n">
        <v>96.665840398</v>
      </c>
      <c r="M945" t="n">
        <v>86.3928006</v>
      </c>
      <c r="N945" t="n">
        <v>112.150093458</v>
      </c>
      <c r="O945" t="n">
        <v/>
      </c>
      <c r="P945" t="n">
        <v/>
      </c>
      <c r="Q945" t="n">
        <v>83.906992249</v>
      </c>
      <c r="R945" t="n">
        <v>101.28</v>
      </c>
      <c r="S945" t="n">
        <v>87.890169353</v>
      </c>
      <c r="T945" t="n">
        <v>89.77714892100001</v>
      </c>
      <c r="U945" t="n">
        <v/>
      </c>
      <c r="V945" t="n">
        <v>120.337612451</v>
      </c>
      <c r="W945" t="n">
        <v>40.922745664</v>
      </c>
      <c r="X945" t="n">
        <v>36.814905975</v>
      </c>
      <c r="Y945" t="n">
        <v/>
      </c>
      <c r="Z945" t="n">
        <v>29.119583455</v>
      </c>
      <c r="AA945" t="n">
        <v/>
      </c>
      <c r="AB945" t="n">
        <v>60.935922354</v>
      </c>
      <c r="AC945" t="n">
        <v>122.889759187</v>
      </c>
      <c r="AD945" t="n">
        <v>108.40750631</v>
      </c>
      <c r="AE945" t="n">
        <v>37.431</v>
      </c>
      <c r="AF945" t="n">
        <v>78.738165232</v>
      </c>
      <c r="AG945" t="n">
        <v/>
      </c>
      <c r="AH945" t="n">
        <v>83.942630503</v>
      </c>
      <c r="AI945" t="n">
        <v>86.04346148099999</v>
      </c>
      <c r="AJ945" t="n">
        <v>116.109625951</v>
      </c>
      <c r="AK945" t="n">
        <v/>
      </c>
      <c r="AL945" t="n">
        <v>79.371789029</v>
      </c>
      <c r="AM945" t="n">
        <v>40.325313432</v>
      </c>
      <c r="AN945" t="n">
        <v>116.288685324</v>
      </c>
      <c r="AO945" t="n">
        <v>58.647171077</v>
      </c>
      <c r="AP945" t="n">
        <v>36.774140091</v>
      </c>
      <c r="AQ945" t="n">
        <v>69.153450273</v>
      </c>
      <c r="AR945" t="n">
        <v>89.56486015199999</v>
      </c>
      <c r="AS945" t="n">
        <v>43.396383635</v>
      </c>
      <c r="AT945" t="n">
        <v>80.769324207</v>
      </c>
      <c r="AU945" t="n">
        <v/>
      </c>
    </row>
    <row r="946">
      <c r="A946" s="106" t="n">
        <v>35674</v>
      </c>
      <c r="B946" t="n">
        <v>58.355841003</v>
      </c>
      <c r="C946" t="n">
        <v>68.699972303</v>
      </c>
      <c r="D946" t="n">
        <v>83.94833540800001</v>
      </c>
      <c r="E946" t="n">
        <v>83.29298079900001</v>
      </c>
      <c r="F946" t="n">
        <v/>
      </c>
      <c r="G946" t="n">
        <v/>
      </c>
      <c r="H946" t="n">
        <v>69.918771053</v>
      </c>
      <c r="I946" t="n">
        <v>58.355841003</v>
      </c>
      <c r="J946" t="n">
        <v>61.336485289</v>
      </c>
      <c r="K946" t="n">
        <v>72.0060005</v>
      </c>
      <c r="L946" t="n">
        <v>99.169572751</v>
      </c>
      <c r="M946" t="n">
        <v>86.192817265</v>
      </c>
      <c r="N946" t="n">
        <v>111.750093125</v>
      </c>
      <c r="O946" t="n">
        <v/>
      </c>
      <c r="P946" t="n">
        <v/>
      </c>
      <c r="Q946" t="n">
        <v>83.906992249</v>
      </c>
      <c r="R946" t="n">
        <v>98.92</v>
      </c>
      <c r="S946" t="n">
        <v>88.13418453600001</v>
      </c>
      <c r="T946" t="n">
        <v>90.519985851</v>
      </c>
      <c r="U946" t="n">
        <v/>
      </c>
      <c r="V946" t="n">
        <v>126.014449998</v>
      </c>
      <c r="W946" t="n">
        <v>41.127798792</v>
      </c>
      <c r="X946" t="n">
        <v>37.372970148</v>
      </c>
      <c r="Y946" t="n">
        <v/>
      </c>
      <c r="Z946" t="n">
        <v>29.238438898</v>
      </c>
      <c r="AA946" t="n">
        <v/>
      </c>
      <c r="AB946" t="n">
        <v>61.356170094</v>
      </c>
      <c r="AC946" t="n">
        <v>122.789767519</v>
      </c>
      <c r="AD946" t="n">
        <v>107.697634893</v>
      </c>
      <c r="AE946" t="n">
        <v>37.616</v>
      </c>
      <c r="AF946" t="n">
        <v>81.179320995</v>
      </c>
      <c r="AG946" t="n">
        <v/>
      </c>
      <c r="AH946" t="n">
        <v>84.059728714</v>
      </c>
      <c r="AI946" t="n">
        <v>86.51415875399999</v>
      </c>
      <c r="AJ946" t="n">
        <v>119.498889985</v>
      </c>
      <c r="AK946" t="n">
        <v/>
      </c>
      <c r="AL946" t="n">
        <v>79.654840411</v>
      </c>
      <c r="AM946" t="n">
        <v>41.713990684</v>
      </c>
      <c r="AN946" t="n">
        <v>115.847620482</v>
      </c>
      <c r="AO946" t="n">
        <v>58.015414183</v>
      </c>
      <c r="AP946" t="n">
        <v>37.411951899</v>
      </c>
      <c r="AQ946" t="n">
        <v>71.653914011</v>
      </c>
      <c r="AR946" t="n">
        <v>89.868469848</v>
      </c>
      <c r="AS946" t="n">
        <v>43.296391967</v>
      </c>
      <c r="AT946" t="n">
        <v>81.520152056</v>
      </c>
      <c r="AU946" t="n">
        <v/>
      </c>
    </row>
    <row r="947">
      <c r="A947" s="106" t="n">
        <v>35704</v>
      </c>
      <c r="B947" t="n">
        <v>58.693646163</v>
      </c>
      <c r="C947" t="n">
        <v>68.435183366</v>
      </c>
      <c r="D947" t="n">
        <v>84.38716622600001</v>
      </c>
      <c r="E947" t="n">
        <v>84.268397411</v>
      </c>
      <c r="F947" t="n">
        <v/>
      </c>
      <c r="G947" t="n">
        <v/>
      </c>
      <c r="H947" t="n">
        <v>69.256774787</v>
      </c>
      <c r="I947" t="n">
        <v>58.693646163</v>
      </c>
      <c r="J947" t="n">
        <v>62.810229072</v>
      </c>
      <c r="K947" t="n">
        <v>73.00608384</v>
      </c>
      <c r="L947" t="n">
        <v>103.088458172</v>
      </c>
      <c r="M947" t="n">
        <v>87.39271727400001</v>
      </c>
      <c r="N947" t="n">
        <v>112.674093895</v>
      </c>
      <c r="O947" t="n">
        <v/>
      </c>
      <c r="P947" t="n">
        <v/>
      </c>
      <c r="Q947" t="n">
        <v>85.307108926</v>
      </c>
      <c r="R947" t="n">
        <v>101.37</v>
      </c>
      <c r="S947" t="n">
        <v>88.824845803</v>
      </c>
      <c r="T947" t="n">
        <v>91.581181464</v>
      </c>
      <c r="U947" t="n">
        <v/>
      </c>
      <c r="V947" t="n">
        <v>126.898875501</v>
      </c>
      <c r="W947" t="n">
        <v>41.655078263</v>
      </c>
      <c r="X947" t="n">
        <v>37.550275959</v>
      </c>
      <c r="Y947" t="n">
        <v/>
      </c>
      <c r="Z947" t="n">
        <v>29.179011177</v>
      </c>
      <c r="AA947" t="n">
        <v/>
      </c>
      <c r="AB947" t="n">
        <v>61.776417834</v>
      </c>
      <c r="AC947" t="n">
        <v>124.28964253</v>
      </c>
      <c r="AD947" t="n">
        <v>106.987763477</v>
      </c>
      <c r="AE947" t="n">
        <v>36.784</v>
      </c>
      <c r="AF947" t="n">
        <v>81.713654026</v>
      </c>
      <c r="AG947" t="n">
        <v/>
      </c>
      <c r="AH947" t="n">
        <v>84.794704326</v>
      </c>
      <c r="AI947" t="n">
        <v>86.04346148099999</v>
      </c>
      <c r="AJ947" t="n">
        <v>122.778822922</v>
      </c>
      <c r="AK947" t="n">
        <v/>
      </c>
      <c r="AL947" t="n">
        <v>80.160332823</v>
      </c>
      <c r="AM947" t="n">
        <v>41.442289671</v>
      </c>
      <c r="AN947" t="n">
        <v>119.016554814</v>
      </c>
      <c r="AO947" t="n">
        <v>57.541597137</v>
      </c>
      <c r="AP947" t="n">
        <v>38.808879928</v>
      </c>
      <c r="AQ947" t="n">
        <v>72.122750962</v>
      </c>
      <c r="AR947" t="n">
        <v>91.28531509299999</v>
      </c>
      <c r="AS947" t="n">
        <v>42.896425298</v>
      </c>
      <c r="AT947" t="n">
        <v>82.233002216</v>
      </c>
      <c r="AU947" t="n">
        <v/>
      </c>
    </row>
    <row r="948">
      <c r="A948" s="106" t="n">
        <v>35735</v>
      </c>
      <c r="B948" t="n">
        <v>59.28480518</v>
      </c>
      <c r="C948" t="n">
        <v>66.80760224399999</v>
      </c>
      <c r="D948" t="n">
        <v>80.61322119499999</v>
      </c>
      <c r="E948" t="n">
        <v>84.368988922</v>
      </c>
      <c r="F948" t="n">
        <v/>
      </c>
      <c r="G948" t="n">
        <v/>
      </c>
      <c r="H948" t="n">
        <v>69.65597217600001</v>
      </c>
      <c r="I948" t="n">
        <v>59.28480518</v>
      </c>
      <c r="J948" t="n">
        <v>64.05316032899999</v>
      </c>
      <c r="K948" t="n">
        <v>73.406117176</v>
      </c>
      <c r="L948" t="n">
        <v>105.701048453</v>
      </c>
      <c r="M948" t="n">
        <v>87.09274227100001</v>
      </c>
      <c r="N948" t="n">
        <v>111.614093012</v>
      </c>
      <c r="O948" t="n">
        <v/>
      </c>
      <c r="P948" t="n">
        <v/>
      </c>
      <c r="Q948" t="n">
        <v>87.207267272</v>
      </c>
      <c r="R948" t="n">
        <v>99.06999999999999</v>
      </c>
      <c r="S948" t="n">
        <v>88.88689412700001</v>
      </c>
      <c r="T948" t="n">
        <v>92.43013795500001</v>
      </c>
      <c r="U948" t="n">
        <v/>
      </c>
      <c r="V948" t="n">
        <v>128.07554443</v>
      </c>
      <c r="W948" t="n">
        <v>43.031863551</v>
      </c>
      <c r="X948" t="n">
        <v>37.583575709</v>
      </c>
      <c r="Y948" t="n">
        <v/>
      </c>
      <c r="Z948" t="n">
        <v>30.308137882</v>
      </c>
      <c r="AA948" t="n">
        <v/>
      </c>
      <c r="AB948" t="n">
        <v>63.317326216</v>
      </c>
      <c r="AC948" t="n">
        <v>123.589700858</v>
      </c>
      <c r="AD948" t="n">
        <v>105.669430846</v>
      </c>
      <c r="AE948" t="n">
        <v>36.322</v>
      </c>
      <c r="AF948" t="n">
        <v>83.598559873</v>
      </c>
      <c r="AG948" t="n">
        <v/>
      </c>
      <c r="AH948" t="n">
        <v>84.69238794</v>
      </c>
      <c r="AI948" t="n">
        <v>87.267274391</v>
      </c>
      <c r="AJ948" t="n">
        <v>120.701532062</v>
      </c>
      <c r="AK948" t="n">
        <v/>
      </c>
      <c r="AL948" t="n">
        <v>80.20747329</v>
      </c>
      <c r="AM948" t="n">
        <v>42.402655887</v>
      </c>
      <c r="AN948" t="n">
        <v>119.83683888</v>
      </c>
      <c r="AO948" t="n">
        <v>58.163992846</v>
      </c>
      <c r="AP948" t="n">
        <v>39.07797461</v>
      </c>
      <c r="AQ948" t="n">
        <v>73.060424864</v>
      </c>
      <c r="AR948" t="n">
        <v>90.981705398</v>
      </c>
      <c r="AS948" t="n">
        <v>42.296475294</v>
      </c>
      <c r="AT948" t="n">
        <v>82.888439628</v>
      </c>
      <c r="AU948" t="n">
        <v/>
      </c>
    </row>
    <row r="949">
      <c r="A949" s="106" t="n">
        <v>35765</v>
      </c>
      <c r="B949" t="n">
        <v>60.973830977</v>
      </c>
      <c r="C949" t="n">
        <v>70.141204945</v>
      </c>
      <c r="D949" t="n">
        <v>77.08502142099999</v>
      </c>
      <c r="E949" t="n">
        <v>84.644277922</v>
      </c>
      <c r="F949" t="n">
        <v/>
      </c>
      <c r="G949" t="n">
        <v/>
      </c>
      <c r="H949" t="n">
        <v>71.127409879</v>
      </c>
      <c r="I949" t="n">
        <v>60.973830977</v>
      </c>
      <c r="J949" t="n">
        <v>59.394598632</v>
      </c>
      <c r="K949" t="n">
        <v>74.106175515</v>
      </c>
      <c r="L949" t="n">
        <v>105.156758812</v>
      </c>
      <c r="M949" t="n">
        <v>87.992667278</v>
      </c>
      <c r="N949" t="n">
        <v>111.817093181</v>
      </c>
      <c r="O949" t="n">
        <v/>
      </c>
      <c r="P949" t="n">
        <v/>
      </c>
      <c r="Q949" t="n">
        <v>88.40736728100001</v>
      </c>
      <c r="R949" t="n">
        <v>101</v>
      </c>
      <c r="S949" t="n">
        <v>89.211459089</v>
      </c>
      <c r="T949" t="n">
        <v>93.172974885</v>
      </c>
      <c r="U949" t="n">
        <v/>
      </c>
      <c r="V949" t="n">
        <v>128.85755088</v>
      </c>
      <c r="W949" t="n">
        <v>42.065184519</v>
      </c>
      <c r="X949" t="n">
        <v>37.427395263</v>
      </c>
      <c r="Y949" t="n">
        <v/>
      </c>
      <c r="Z949" t="n">
        <v>29.832716111</v>
      </c>
      <c r="AA949" t="n">
        <v/>
      </c>
      <c r="AB949" t="n">
        <v>61.076004934</v>
      </c>
      <c r="AC949" t="n">
        <v>124.489625865</v>
      </c>
      <c r="AD949" t="n">
        <v>104.655328823</v>
      </c>
      <c r="AE949" t="n">
        <v>35.767</v>
      </c>
      <c r="AF949" t="n">
        <v>82.562550981</v>
      </c>
      <c r="AG949" t="n">
        <v/>
      </c>
      <c r="AH949" t="n">
        <v>84.061306805</v>
      </c>
      <c r="AI949" t="n">
        <v>84.16067239</v>
      </c>
      <c r="AJ949" t="n">
        <v>121.138856453</v>
      </c>
      <c r="AK949" t="n">
        <v/>
      </c>
      <c r="AL949" t="n">
        <v>80.352976109</v>
      </c>
      <c r="AM949" t="n">
        <v>42.224690379</v>
      </c>
      <c r="AN949" t="n">
        <v>118.375391913</v>
      </c>
      <c r="AO949" t="n">
        <v>56.010993662</v>
      </c>
      <c r="AP949" t="n">
        <v>38.938355405</v>
      </c>
      <c r="AQ949" t="n">
        <v>73.138564356</v>
      </c>
      <c r="AR949" t="n">
        <v>92.600957107</v>
      </c>
      <c r="AS949" t="n">
        <v>42.896425298</v>
      </c>
      <c r="AT949" t="n">
        <v>83.26296112599999</v>
      </c>
      <c r="AU949" t="n">
        <v/>
      </c>
    </row>
    <row r="950">
      <c r="A950" s="106" t="n">
        <v>35796</v>
      </c>
      <c r="B950" t="n">
        <v>61.818343871</v>
      </c>
      <c r="C950" t="n">
        <v>69.437356967</v>
      </c>
      <c r="D950" t="n">
        <v>78.498056654</v>
      </c>
      <c r="E950" t="n">
        <v>84.022001718</v>
      </c>
      <c r="F950" t="n">
        <v/>
      </c>
      <c r="G950" t="n">
        <v/>
      </c>
      <c r="H950" t="n">
        <v>68.642509327</v>
      </c>
      <c r="I950" t="n">
        <v>61.818343871</v>
      </c>
      <c r="J950" t="n">
        <v>63.840329671</v>
      </c>
      <c r="K950" t="n">
        <v>74.906242187</v>
      </c>
      <c r="L950" t="n">
        <v>102.435310602</v>
      </c>
      <c r="M950" t="n">
        <v>88.29264228</v>
      </c>
      <c r="N950" t="n">
        <v>113.395094496</v>
      </c>
      <c r="O950" t="n">
        <v>44.409918415</v>
      </c>
      <c r="P950" t="n">
        <v/>
      </c>
      <c r="Q950" t="n">
        <v>86.607217268</v>
      </c>
      <c r="R950" t="n">
        <v>101.03</v>
      </c>
      <c r="S950" t="n">
        <v>89.733654382</v>
      </c>
      <c r="T950" t="n">
        <v>94.021931376</v>
      </c>
      <c r="U950" t="n">
        <v/>
      </c>
      <c r="V950" t="n">
        <v>132.169312264</v>
      </c>
      <c r="W950" t="n">
        <v>41.90142905</v>
      </c>
      <c r="X950" t="n">
        <v>37.61059894</v>
      </c>
      <c r="Y950" t="n">
        <v/>
      </c>
      <c r="Z950" t="n">
        <v>31.674975473</v>
      </c>
      <c r="AA950" t="n">
        <v>25.600218119</v>
      </c>
      <c r="AB950" t="n">
        <v>60.935922354</v>
      </c>
      <c r="AC950" t="n">
        <v>123.589700858</v>
      </c>
      <c r="AD950" t="n">
        <v>106.194264181</v>
      </c>
      <c r="AE950" t="n">
        <v>33.734</v>
      </c>
      <c r="AF950" t="n">
        <v>82.03896963</v>
      </c>
      <c r="AG950" t="n">
        <v/>
      </c>
      <c r="AH950" t="n">
        <v>84.657493922</v>
      </c>
      <c r="AI950" t="n">
        <v>86.702437663</v>
      </c>
      <c r="AJ950" t="n">
        <v>119.170896691</v>
      </c>
      <c r="AK950" t="n">
        <v/>
      </c>
      <c r="AL950" t="n">
        <v>80.736981503</v>
      </c>
      <c r="AM950" t="n">
        <v>43.034645865</v>
      </c>
      <c r="AN950" t="n">
        <v>118.833028187</v>
      </c>
      <c r="AO950" t="n">
        <v>53.752983146</v>
      </c>
      <c r="AP950" t="n">
        <v>40.618210858</v>
      </c>
      <c r="AQ950" t="n">
        <v>73.743091155</v>
      </c>
      <c r="AR950" t="n">
        <v>91.386518325</v>
      </c>
      <c r="AS950" t="n">
        <v>43.396383635</v>
      </c>
      <c r="AT950" t="n">
        <v>83.63688767399999</v>
      </c>
      <c r="AU950" t="n">
        <v/>
      </c>
    </row>
    <row r="951">
      <c r="A951" s="106" t="n">
        <v>35827</v>
      </c>
      <c r="B951" t="n">
        <v>62.747308058</v>
      </c>
      <c r="C951" t="n">
        <v>70.23293243400001</v>
      </c>
      <c r="D951" t="n">
        <v>79.963751585</v>
      </c>
      <c r="E951" t="n">
        <v>85.056810125</v>
      </c>
      <c r="F951" t="n">
        <v/>
      </c>
      <c r="G951" t="n">
        <v/>
      </c>
      <c r="H951" t="n">
        <v>68.863943277</v>
      </c>
      <c r="I951" t="n">
        <v>62.747308058</v>
      </c>
      <c r="J951" t="n">
        <v>63.800176928</v>
      </c>
      <c r="K951" t="n">
        <v>74.706225519</v>
      </c>
      <c r="L951" t="n">
        <v>101.455589247</v>
      </c>
      <c r="M951" t="n">
        <v>88.692608949</v>
      </c>
      <c r="N951" t="n">
        <v>115.851096543</v>
      </c>
      <c r="O951" t="n">
        <v>43.725905253</v>
      </c>
      <c r="P951" t="n">
        <v/>
      </c>
      <c r="Q951" t="n">
        <v>88.10734227899999</v>
      </c>
      <c r="R951" t="n">
        <v>101.73</v>
      </c>
      <c r="S951" t="n">
        <v>89.42494986299999</v>
      </c>
      <c r="T951" t="n">
        <v>94.76476830599999</v>
      </c>
      <c r="U951" t="n">
        <v/>
      </c>
      <c r="V951" t="n">
        <v>134.078120383</v>
      </c>
      <c r="W951" t="n">
        <v>43.368565921</v>
      </c>
      <c r="X951" t="n">
        <v>37.982966829</v>
      </c>
      <c r="Y951" t="n">
        <v/>
      </c>
      <c r="Z951" t="n">
        <v>32.982385342</v>
      </c>
      <c r="AA951" t="n">
        <v>25.58203452</v>
      </c>
      <c r="AB951" t="n">
        <v>64.71815201699999</v>
      </c>
      <c r="AC951" t="n">
        <v>123.489709191</v>
      </c>
      <c r="AD951" t="n">
        <v>103.430449498</v>
      </c>
      <c r="AE951" t="n">
        <v>34.011</v>
      </c>
      <c r="AF951" t="n">
        <v>85.488768666</v>
      </c>
      <c r="AG951" t="n">
        <v/>
      </c>
      <c r="AH951" t="n">
        <v>86.489518649</v>
      </c>
      <c r="AI951" t="n">
        <v>85.47862475399999</v>
      </c>
      <c r="AJ951" t="n">
        <v>118.296247908</v>
      </c>
      <c r="AK951" t="n">
        <v/>
      </c>
      <c r="AL951" t="n">
        <v>80.78411832800001</v>
      </c>
      <c r="AM951" t="n">
        <v>43.610115215</v>
      </c>
      <c r="AN951" t="n">
        <v>124.427500166</v>
      </c>
      <c r="AO951" t="n">
        <v>56.253887304</v>
      </c>
      <c r="AP951" t="n">
        <v>40.336780692</v>
      </c>
      <c r="AQ951" t="n">
        <v>74.58320232</v>
      </c>
      <c r="AR951" t="n">
        <v>91.28531509299999</v>
      </c>
      <c r="AS951" t="n">
        <v>43.496375302</v>
      </c>
      <c r="AT951" t="n">
        <v>83.77551119899999</v>
      </c>
      <c r="AU951" t="n">
        <v/>
      </c>
    </row>
    <row r="952">
      <c r="A952" s="106" t="n">
        <v>35855</v>
      </c>
      <c r="B952" t="n">
        <v>63.1695645</v>
      </c>
      <c r="C952" t="n">
        <v>69.698798555</v>
      </c>
      <c r="D952" t="n">
        <v>79.630240163</v>
      </c>
      <c r="E952" t="n">
        <v>85.894716003</v>
      </c>
      <c r="F952" t="n">
        <v/>
      </c>
      <c r="G952" t="n">
        <v/>
      </c>
      <c r="H952" t="n">
        <v>67.75678879500001</v>
      </c>
      <c r="I952" t="n">
        <v>63.1695645</v>
      </c>
      <c r="J952" t="n">
        <v>63.991451895</v>
      </c>
      <c r="K952" t="n">
        <v>75.706308859</v>
      </c>
      <c r="L952" t="n">
        <v>103.415031957</v>
      </c>
      <c r="M952" t="n">
        <v>88.692608949</v>
      </c>
      <c r="N952" t="n">
        <v>114.646095538</v>
      </c>
      <c r="O952" t="n">
        <v>43.543986859</v>
      </c>
      <c r="P952" t="n">
        <v/>
      </c>
      <c r="Q952" t="n">
        <v>89.307442287</v>
      </c>
      <c r="R952" t="n">
        <v>100.54</v>
      </c>
      <c r="S952" t="n">
        <v>89.165108921</v>
      </c>
      <c r="T952" t="n">
        <v>95.08312699</v>
      </c>
      <c r="U952" t="n">
        <v/>
      </c>
      <c r="V952" t="n">
        <v>143.674911834</v>
      </c>
      <c r="W952" t="n">
        <v>43.485936871</v>
      </c>
      <c r="X952" t="n">
        <v>37.465762986</v>
      </c>
      <c r="Y952" t="n">
        <v/>
      </c>
      <c r="Z952" t="n">
        <v>33.279523949</v>
      </c>
      <c r="AA952" t="n">
        <v>26.092707237</v>
      </c>
      <c r="AB952" t="n">
        <v>63.737573956</v>
      </c>
      <c r="AC952" t="n">
        <v>122.889759187</v>
      </c>
      <c r="AD952" t="n">
        <v>101.198137638</v>
      </c>
      <c r="AE952" t="n">
        <v>32.625</v>
      </c>
      <c r="AF952" t="n">
        <v>82.74624774199999</v>
      </c>
      <c r="AG952" t="n">
        <v/>
      </c>
      <c r="AH952" t="n">
        <v>88.08450768199999</v>
      </c>
      <c r="AI952" t="n">
        <v>85.855182572</v>
      </c>
      <c r="AJ952" t="n">
        <v>119.608221083</v>
      </c>
      <c r="AK952" t="n">
        <v/>
      </c>
      <c r="AL952" t="n">
        <v>80.607387593</v>
      </c>
      <c r="AM952" t="n">
        <v>42.465262105</v>
      </c>
      <c r="AN952" t="n">
        <v>123.649369863</v>
      </c>
      <c r="AO952" t="n">
        <v>55.465830375</v>
      </c>
      <c r="AP952" t="n">
        <v>41.829894571</v>
      </c>
      <c r="AQ952" t="n">
        <v>73.92978252499999</v>
      </c>
      <c r="AR952" t="n">
        <v>91.993737716</v>
      </c>
      <c r="AS952" t="n">
        <v>44.196316974</v>
      </c>
      <c r="AT952" t="n">
        <v>83.80991918399999</v>
      </c>
      <c r="AU952" t="n">
        <v/>
      </c>
    </row>
    <row r="953">
      <c r="A953" s="106" t="n">
        <v>35886</v>
      </c>
      <c r="B953" t="n">
        <v>62.662856765</v>
      </c>
      <c r="C953" t="n">
        <v>69.87501136500001</v>
      </c>
      <c r="D953" t="n">
        <v>80.28848639</v>
      </c>
      <c r="E953" t="n">
        <v>85.518032901</v>
      </c>
      <c r="F953" t="n">
        <v/>
      </c>
      <c r="G953" t="n">
        <v/>
      </c>
      <c r="H953" t="n">
        <v>68.862193186</v>
      </c>
      <c r="I953" t="n">
        <v>62.662856765</v>
      </c>
      <c r="J953" t="n">
        <v>63.837806723</v>
      </c>
      <c r="K953" t="n">
        <v>75.006250521</v>
      </c>
      <c r="L953" t="n">
        <v>97.86327761</v>
      </c>
      <c r="M953" t="n">
        <v>88.992583951</v>
      </c>
      <c r="N953" t="n">
        <v>115.355096129</v>
      </c>
      <c r="O953" t="n">
        <v>42.859973696</v>
      </c>
      <c r="P953" t="n">
        <v/>
      </c>
      <c r="Q953" t="n">
        <v>90.107508959</v>
      </c>
      <c r="R953" t="n">
        <v>101.82</v>
      </c>
      <c r="S953" t="n">
        <v>89.254166633</v>
      </c>
      <c r="T953" t="n">
        <v>94.87088786699999</v>
      </c>
      <c r="U953" t="n">
        <v/>
      </c>
      <c r="V953" t="n">
        <v>138.51211754</v>
      </c>
      <c r="W953" t="n">
        <v>43.95542067</v>
      </c>
      <c r="X953" t="n">
        <v>37.934927155</v>
      </c>
      <c r="Y953" t="n">
        <v/>
      </c>
      <c r="Z953" t="n">
        <v>32.44753585</v>
      </c>
      <c r="AA953" t="n">
        <v>26.613786827</v>
      </c>
      <c r="AB953" t="n">
        <v>62.546872025</v>
      </c>
      <c r="AC953" t="n">
        <v>123.88967586</v>
      </c>
      <c r="AD953" t="n">
        <v>100.985536509</v>
      </c>
      <c r="AE953" t="n">
        <v>32.255</v>
      </c>
      <c r="AF953" t="n">
        <v>81.154774772</v>
      </c>
      <c r="AG953" t="n">
        <v/>
      </c>
      <c r="AH953" t="n">
        <v>86.800728409</v>
      </c>
      <c r="AI953" t="n">
        <v>86.796577118</v>
      </c>
      <c r="AJ953" t="n">
        <v>121.576180845</v>
      </c>
      <c r="AK953" t="n">
        <v/>
      </c>
      <c r="AL953" t="n">
        <v>80.558541182</v>
      </c>
      <c r="AM953" t="n">
        <v>43.194680865</v>
      </c>
      <c r="AN953" t="n">
        <v>124.861020711</v>
      </c>
      <c r="AO953" t="n">
        <v>54.761041419</v>
      </c>
      <c r="AP953" t="n">
        <v>41.650159699</v>
      </c>
      <c r="AQ953" t="n">
        <v>74.39651095000001</v>
      </c>
      <c r="AR953" t="n">
        <v>93.106973266</v>
      </c>
      <c r="AS953" t="n">
        <v>43.296391967</v>
      </c>
      <c r="AT953" t="n">
        <v>84.113641543</v>
      </c>
      <c r="AU953" t="n">
        <v/>
      </c>
    </row>
    <row r="954">
      <c r="A954" s="106" t="n">
        <v>35916</v>
      </c>
      <c r="B954" t="n">
        <v>63.254015792</v>
      </c>
      <c r="C954" t="n">
        <v>69.847766619</v>
      </c>
      <c r="D954" t="n">
        <v>81.86827733299999</v>
      </c>
      <c r="E954" t="n">
        <v>84.835027248</v>
      </c>
      <c r="F954" t="n">
        <v/>
      </c>
      <c r="G954" t="n">
        <v/>
      </c>
      <c r="H954" t="n">
        <v>67.867054411</v>
      </c>
      <c r="I954" t="n">
        <v>63.254015792</v>
      </c>
      <c r="J954" t="n">
        <v>62.632417546</v>
      </c>
      <c r="K954" t="n">
        <v>75.40628385700001</v>
      </c>
      <c r="L954" t="n">
        <v>98.298709324</v>
      </c>
      <c r="M954" t="n">
        <v>89.392550621</v>
      </c>
      <c r="N954" t="n">
        <v>115.793096494</v>
      </c>
      <c r="O954" t="n">
        <v>41.90672131</v>
      </c>
      <c r="P954" t="n">
        <v/>
      </c>
      <c r="Q954" t="n">
        <v>89.607467289</v>
      </c>
      <c r="R954" t="n">
        <v>103.13</v>
      </c>
      <c r="S954" t="n">
        <v>89.335252259</v>
      </c>
      <c r="T954" t="n">
        <v>93.38521400800001</v>
      </c>
      <c r="U954" t="n">
        <v/>
      </c>
      <c r="V954" t="n">
        <v>134.332573781</v>
      </c>
      <c r="W954" t="n">
        <v>45.070444692</v>
      </c>
      <c r="X954" t="n">
        <v>37.959184867</v>
      </c>
      <c r="Y954" t="n">
        <v/>
      </c>
      <c r="Z954" t="n">
        <v>32.804102178</v>
      </c>
      <c r="AA954" t="n">
        <v>27.112295829</v>
      </c>
      <c r="AB954" t="n">
        <v>62.686954605</v>
      </c>
      <c r="AC954" t="n">
        <v>123.689692526</v>
      </c>
      <c r="AD954" t="n">
        <v>100.241432556</v>
      </c>
      <c r="AE954" t="n">
        <v>32.625</v>
      </c>
      <c r="AF954" t="n">
        <v>82.122396522</v>
      </c>
      <c r="AG954" t="n">
        <v/>
      </c>
      <c r="AH954" t="n">
        <v>87.424904387</v>
      </c>
      <c r="AI954" t="n">
        <v>87.643832209</v>
      </c>
      <c r="AJ954" t="n">
        <v>117.093605832</v>
      </c>
      <c r="AK954" t="n">
        <v/>
      </c>
      <c r="AL954" t="n">
        <v>80.702967445</v>
      </c>
      <c r="AM954" t="n">
        <v>43.474401709</v>
      </c>
      <c r="AN954" t="n">
        <v>125.566798374</v>
      </c>
      <c r="AO954" t="n">
        <v>52.36624045</v>
      </c>
      <c r="AP954" t="n">
        <v>39.954764803</v>
      </c>
      <c r="AQ954" t="n">
        <v>74.20981958</v>
      </c>
      <c r="AR954" t="n">
        <v>91.588924789</v>
      </c>
      <c r="AS954" t="n">
        <v>44.296308641</v>
      </c>
      <c r="AT954" t="n">
        <v>84.641263702</v>
      </c>
      <c r="AU954" t="n">
        <v/>
      </c>
    </row>
    <row r="955">
      <c r="A955" s="106" t="n">
        <v>35947</v>
      </c>
      <c r="B955" t="n">
        <v>63.760723526</v>
      </c>
      <c r="C955" t="n">
        <v>71.10547954099999</v>
      </c>
      <c r="D955" t="n">
        <v>80.70098735800001</v>
      </c>
      <c r="E955" t="n">
        <v>84.78285877899999</v>
      </c>
      <c r="F955" t="n">
        <v/>
      </c>
      <c r="G955" t="n">
        <v/>
      </c>
      <c r="H955" t="n">
        <v>66.22051293</v>
      </c>
      <c r="I955" t="n">
        <v>63.760723526</v>
      </c>
      <c r="J955" t="n">
        <v>61.654119184</v>
      </c>
      <c r="K955" t="n">
        <v>74.80623385299999</v>
      </c>
      <c r="L955" t="n">
        <v>110.381939374</v>
      </c>
      <c r="M955" t="n">
        <v>88.892592284</v>
      </c>
      <c r="N955" t="n">
        <v>115.602096335</v>
      </c>
      <c r="O955" t="n">
        <v>41.404626542</v>
      </c>
      <c r="P955" t="n">
        <v/>
      </c>
      <c r="Q955" t="n">
        <v>88.40736728100001</v>
      </c>
      <c r="R955" t="n">
        <v>102.46</v>
      </c>
      <c r="S955" t="n">
        <v>88.941448588</v>
      </c>
      <c r="T955" t="n">
        <v>92.960735762</v>
      </c>
      <c r="U955" t="n">
        <v/>
      </c>
      <c r="V955" t="n">
        <v>135.940270977</v>
      </c>
      <c r="W955" t="n">
        <v>45.363872067</v>
      </c>
      <c r="X955" t="n">
        <v>38.540717982</v>
      </c>
      <c r="Y955" t="n">
        <v/>
      </c>
      <c r="Z955" t="n">
        <v>32.8635299</v>
      </c>
      <c r="AA955" t="n">
        <v>27.392984393</v>
      </c>
      <c r="AB955" t="n">
        <v>64.508028147</v>
      </c>
      <c r="AC955" t="n">
        <v>123.489709191</v>
      </c>
      <c r="AD955" t="n">
        <v>100.241432556</v>
      </c>
      <c r="AE955" t="n">
        <v>32.163</v>
      </c>
      <c r="AF955" t="n">
        <v>85.026428228</v>
      </c>
      <c r="AG955" t="n">
        <v/>
      </c>
      <c r="AH955" t="n">
        <v>86.67175114600001</v>
      </c>
      <c r="AI955" t="n">
        <v>86.231740391</v>
      </c>
      <c r="AJ955" t="n">
        <v>120.920194258</v>
      </c>
      <c r="AK955" t="n">
        <v/>
      </c>
      <c r="AL955" t="n">
        <v>80.300213924</v>
      </c>
      <c r="AM955" t="n">
        <v>43.144676799</v>
      </c>
      <c r="AN955" t="n">
        <v>122.290961938</v>
      </c>
      <c r="AO955" t="n">
        <v>51.205833991</v>
      </c>
      <c r="AP955" t="n">
        <v>39.328058553</v>
      </c>
      <c r="AQ955" t="n">
        <v>72.249560195</v>
      </c>
      <c r="AR955" t="n">
        <v>93.714192657</v>
      </c>
      <c r="AS955" t="n">
        <v>42.296475294</v>
      </c>
      <c r="AT955" t="n">
        <v>84.132580809</v>
      </c>
      <c r="AU955" t="n">
        <v/>
      </c>
    </row>
    <row r="956">
      <c r="A956" s="106" t="n">
        <v>35977</v>
      </c>
      <c r="B956" t="n">
        <v>63.845174819</v>
      </c>
      <c r="C956" t="n">
        <v>70.694713194</v>
      </c>
      <c r="D956" t="n">
        <v>81.39434005</v>
      </c>
      <c r="E956" t="n">
        <v>83.45911730900001</v>
      </c>
      <c r="F956" t="n">
        <v/>
      </c>
      <c r="G956" t="n">
        <v/>
      </c>
      <c r="H956" t="n">
        <v>69.908608685</v>
      </c>
      <c r="I956" t="n">
        <v>63.845174819</v>
      </c>
      <c r="J956" t="n">
        <v>62.169988836</v>
      </c>
      <c r="K956" t="n">
        <v>76.40636719699999</v>
      </c>
      <c r="L956" t="n">
        <v>115.062830294</v>
      </c>
      <c r="M956" t="n">
        <v>89.89250895799999</v>
      </c>
      <c r="N956" t="n">
        <v>115.410096175</v>
      </c>
      <c r="O956" t="n">
        <v>40.218518611</v>
      </c>
      <c r="P956" t="n">
        <v/>
      </c>
      <c r="Q956" t="n">
        <v>89.307442287</v>
      </c>
      <c r="R956" t="n">
        <v>103.07</v>
      </c>
      <c r="S956" t="n">
        <v>88.87292265400001</v>
      </c>
      <c r="T956" t="n">
        <v>92.21789883300001</v>
      </c>
      <c r="U956" t="n">
        <v/>
      </c>
      <c r="V956" t="n">
        <v>136.918469738</v>
      </c>
      <c r="W956" t="n">
        <v>45.539928491</v>
      </c>
      <c r="X956" t="n">
        <v>38.330911008</v>
      </c>
      <c r="Y956" t="n">
        <v/>
      </c>
      <c r="Z956" t="n">
        <v>34.052084326</v>
      </c>
      <c r="AA956" t="n">
        <v>27.630578998</v>
      </c>
      <c r="AB956" t="n">
        <v>63.247284926</v>
      </c>
      <c r="AC956" t="n">
        <v>123.289725856</v>
      </c>
      <c r="AD956" t="n">
        <v>100.028831426</v>
      </c>
      <c r="AE956" t="n">
        <v>31.516</v>
      </c>
      <c r="AF956" t="n">
        <v>70.640914721</v>
      </c>
      <c r="AG956" t="n">
        <v/>
      </c>
      <c r="AH956" t="n">
        <v>87.344947784</v>
      </c>
      <c r="AI956" t="n">
        <v>87.549692755</v>
      </c>
      <c r="AJ956" t="n">
        <v>118.405579006</v>
      </c>
      <c r="AK956" t="n">
        <v/>
      </c>
      <c r="AL956" t="n">
        <v>80.31589810299999</v>
      </c>
      <c r="AM956" t="n">
        <v>42.556857324</v>
      </c>
      <c r="AN956" t="n">
        <v>124.252449179</v>
      </c>
      <c r="AO956" t="n">
        <v>49.786380968</v>
      </c>
      <c r="AP956" t="n">
        <v>39.988033023</v>
      </c>
      <c r="AQ956" t="n">
        <v>73.08967136</v>
      </c>
      <c r="AR956" t="n">
        <v>94.422615279</v>
      </c>
      <c r="AS956" t="n">
        <v>42.696441963</v>
      </c>
      <c r="AT956" t="n">
        <v>83.79494625700001</v>
      </c>
      <c r="AU956" t="n">
        <v/>
      </c>
    </row>
    <row r="957">
      <c r="A957" s="106" t="n">
        <v>36008</v>
      </c>
      <c r="B957" t="n">
        <v>63.254015792</v>
      </c>
      <c r="C957" t="n">
        <v>69.564049889</v>
      </c>
      <c r="D957" t="n">
        <v>80.042741132</v>
      </c>
      <c r="E957" t="n">
        <v>85.60257257400001</v>
      </c>
      <c r="F957" t="n">
        <v/>
      </c>
      <c r="G957" t="n">
        <v/>
      </c>
      <c r="H957" t="n">
        <v>68.974494488</v>
      </c>
      <c r="I957" t="n">
        <v>63.254015792</v>
      </c>
      <c r="J957" t="n">
        <v>60.932571744</v>
      </c>
      <c r="K957" t="n">
        <v>74.706225519</v>
      </c>
      <c r="L957" t="n">
        <v>109.837649732</v>
      </c>
      <c r="M957" t="n">
        <v>88.49262561499999</v>
      </c>
      <c r="N957" t="n">
        <v>115.466096222</v>
      </c>
      <c r="O957" t="n">
        <v>40.720613379</v>
      </c>
      <c r="P957" t="n">
        <v/>
      </c>
      <c r="Q957" t="n">
        <v>88.807400617</v>
      </c>
      <c r="R957" t="n">
        <v>100.46</v>
      </c>
      <c r="S957" t="n">
        <v>88.981074752</v>
      </c>
      <c r="T957" t="n">
        <v>92.00565971</v>
      </c>
      <c r="U957" t="n">
        <v/>
      </c>
      <c r="V957" t="n">
        <v>139.924881318</v>
      </c>
      <c r="W957" t="n">
        <v>45.833355865</v>
      </c>
      <c r="X957" t="n">
        <v>38.48765743</v>
      </c>
      <c r="Y957" t="n">
        <v/>
      </c>
      <c r="Z957" t="n">
        <v>35.656632802</v>
      </c>
      <c r="AA957" t="n">
        <v>27.678718675</v>
      </c>
      <c r="AB957" t="n">
        <v>63.527450086</v>
      </c>
      <c r="AC957" t="n">
        <v>121.589867511</v>
      </c>
      <c r="AD957" t="n">
        <v>98.221721825</v>
      </c>
      <c r="AE957" t="n">
        <v>32.81</v>
      </c>
      <c r="AF957" t="n">
        <v>77.24389060599999</v>
      </c>
      <c r="AG957" t="n">
        <v/>
      </c>
      <c r="AH957" t="n">
        <v>87.411307714</v>
      </c>
      <c r="AI957" t="n">
        <v>86.51415875399999</v>
      </c>
      <c r="AJ957" t="n">
        <v>111.189726546</v>
      </c>
      <c r="AK957" t="n">
        <v/>
      </c>
      <c r="AL957" t="n">
        <v>80.450881634</v>
      </c>
      <c r="AM957" t="n">
        <v>43.099738833</v>
      </c>
      <c r="AN957" t="n">
        <v>122.063509899</v>
      </c>
      <c r="AO957" t="n">
        <v>49.291151096</v>
      </c>
      <c r="AP957" t="n">
        <v>39.766876702</v>
      </c>
      <c r="AQ957" t="n">
        <v>74.116473895</v>
      </c>
      <c r="AR957" t="n">
        <v>95.535850829</v>
      </c>
      <c r="AS957" t="n">
        <v>42.996416965</v>
      </c>
      <c r="AT957" t="n">
        <v>85.520600913</v>
      </c>
      <c r="AU957" t="n">
        <v/>
      </c>
    </row>
    <row r="958">
      <c r="A958" s="106" t="n">
        <v>36039</v>
      </c>
      <c r="B958" t="n">
        <v>65.196395447</v>
      </c>
      <c r="C958" t="n">
        <v>69.524042153</v>
      </c>
      <c r="D958" t="n">
        <v>79.69167647800001</v>
      </c>
      <c r="E958" t="n">
        <v>85.846025431</v>
      </c>
      <c r="F958" t="n">
        <v/>
      </c>
      <c r="G958" t="n">
        <v/>
      </c>
      <c r="H958" t="n">
        <v>67.53349920399999</v>
      </c>
      <c r="I958" t="n">
        <v>65.196395447</v>
      </c>
      <c r="J958" t="n">
        <v>60.421377456</v>
      </c>
      <c r="K958" t="n">
        <v>74.206183849</v>
      </c>
      <c r="L958" t="n">
        <v>108.857928376</v>
      </c>
      <c r="M958" t="n">
        <v>88.892592284</v>
      </c>
      <c r="N958" t="n">
        <v>115.70409642</v>
      </c>
      <c r="O958" t="n">
        <v>38.442995083</v>
      </c>
      <c r="P958" t="n">
        <v/>
      </c>
      <c r="Q958" t="n">
        <v>88.307358947</v>
      </c>
      <c r="R958" t="n">
        <v>102.28</v>
      </c>
      <c r="S958" t="n">
        <v>89.244015945</v>
      </c>
      <c r="T958" t="n">
        <v>91.26282277999999</v>
      </c>
      <c r="U958" t="n">
        <v/>
      </c>
      <c r="V958" t="n">
        <v>135.392628778</v>
      </c>
      <c r="W958" t="n">
        <v>45.89204134</v>
      </c>
      <c r="X958" t="n">
        <v>38.415714569</v>
      </c>
      <c r="Y958" t="n">
        <v/>
      </c>
      <c r="Z958" t="n">
        <v>35.240638753</v>
      </c>
      <c r="AA958" t="n">
        <v>27.301696138</v>
      </c>
      <c r="AB958" t="n">
        <v>63.317326216</v>
      </c>
      <c r="AC958" t="n">
        <v>123.389717524</v>
      </c>
      <c r="AD958" t="n">
        <v>99.497328602</v>
      </c>
      <c r="AE958" t="n">
        <v>34.658</v>
      </c>
      <c r="AF958" t="n">
        <v>76.333352897</v>
      </c>
      <c r="AG958" t="n">
        <v/>
      </c>
      <c r="AH958" t="n">
        <v>87.296267341</v>
      </c>
      <c r="AI958" t="n">
        <v>86.98485602700001</v>
      </c>
      <c r="AJ958" t="n">
        <v>119.498889985</v>
      </c>
      <c r="AK958" t="n">
        <v/>
      </c>
      <c r="AL958" t="n">
        <v>80.76828387899999</v>
      </c>
      <c r="AM958" t="n">
        <v>41.747515997</v>
      </c>
      <c r="AN958" t="n">
        <v>124.66823266</v>
      </c>
      <c r="AO958" t="n">
        <v>46.867131447</v>
      </c>
      <c r="AP958" t="n">
        <v>39.205875865</v>
      </c>
      <c r="AQ958" t="n">
        <v>73.183017045</v>
      </c>
      <c r="AR958" t="n">
        <v>94.220208816</v>
      </c>
      <c r="AS958" t="n">
        <v>43.496375302</v>
      </c>
      <c r="AT958" t="n">
        <v>85.44553796</v>
      </c>
      <c r="AU958" t="n">
        <v/>
      </c>
    </row>
    <row r="959">
      <c r="A959" s="106" t="n">
        <v>36069</v>
      </c>
      <c r="B959" t="n">
        <v>64.94304158</v>
      </c>
      <c r="C959" t="n">
        <v>69.74336603899999</v>
      </c>
      <c r="D959" t="n">
        <v>77.31321344600001</v>
      </c>
      <c r="E959" t="n">
        <v>86.019920329</v>
      </c>
      <c r="F959" t="n">
        <v/>
      </c>
      <c r="G959" t="n">
        <v/>
      </c>
      <c r="H959" t="n">
        <v>66.91111296</v>
      </c>
      <c r="I959" t="n">
        <v>64.94304158</v>
      </c>
      <c r="J959" t="n">
        <v>59.424982492</v>
      </c>
      <c r="K959" t="n">
        <v>74.706225519</v>
      </c>
      <c r="L959" t="n">
        <v>97.21013004</v>
      </c>
      <c r="M959" t="n">
        <v>89.092575619</v>
      </c>
      <c r="N959" t="n">
        <v>117.010097508</v>
      </c>
      <c r="O959" t="n">
        <v>37.8972399</v>
      </c>
      <c r="P959" t="n">
        <v/>
      </c>
      <c r="Q959" t="n">
        <v>89.007417285</v>
      </c>
      <c r="R959" t="n">
        <v>102.32</v>
      </c>
      <c r="S959" t="n">
        <v>89.467093077</v>
      </c>
      <c r="T959" t="n">
        <v>91.368942342</v>
      </c>
      <c r="U959" t="n">
        <v/>
      </c>
      <c r="V959" t="n">
        <v>139.483749831</v>
      </c>
      <c r="W959" t="n">
        <v>45.715984916</v>
      </c>
      <c r="X959" t="n">
        <v>37.607612594</v>
      </c>
      <c r="Y959" t="n">
        <v/>
      </c>
      <c r="Z959" t="n">
        <v>35.656632802</v>
      </c>
      <c r="AA959" t="n">
        <v>26.952626974</v>
      </c>
      <c r="AB959" t="n">
        <v>63.597491376</v>
      </c>
      <c r="AC959" t="n">
        <v>122.589784185</v>
      </c>
      <c r="AD959" t="n">
        <v>98.965825779</v>
      </c>
      <c r="AE959" t="n">
        <v>35.49</v>
      </c>
      <c r="AF959" t="n">
        <v>76.566069003</v>
      </c>
      <c r="AG959" t="n">
        <v/>
      </c>
      <c r="AH959" t="n">
        <v>87.004277491</v>
      </c>
      <c r="AI959" t="n">
        <v>88.11452948199999</v>
      </c>
      <c r="AJ959" t="n">
        <v>117.640261321</v>
      </c>
      <c r="AK959" t="n">
        <v/>
      </c>
      <c r="AL959" t="n">
        <v>80.88709183500001</v>
      </c>
      <c r="AM959" t="n">
        <v>41.945615478</v>
      </c>
      <c r="AN959" t="n">
        <v>124.70256955</v>
      </c>
      <c r="AO959" t="n">
        <v>49.628611799</v>
      </c>
      <c r="AP959" t="n">
        <v>38.725430504</v>
      </c>
      <c r="AQ959" t="n">
        <v>72.71628862</v>
      </c>
      <c r="AR959" t="n">
        <v>94.220208816</v>
      </c>
      <c r="AS959" t="n">
        <v>41.996500292</v>
      </c>
      <c r="AT959" t="n">
        <v>86.036919008</v>
      </c>
      <c r="AU959" t="n">
        <v/>
      </c>
    </row>
    <row r="960">
      <c r="A960" s="106" t="n">
        <v>36100</v>
      </c>
      <c r="B960" t="n">
        <v>64.351882553</v>
      </c>
      <c r="C960" t="n">
        <v>69.446246198</v>
      </c>
      <c r="D960" t="n">
        <v>77.989012905</v>
      </c>
      <c r="E960" t="n">
        <v>86.262035533</v>
      </c>
      <c r="F960" t="n">
        <v/>
      </c>
      <c r="G960" t="n">
        <v/>
      </c>
      <c r="H960" t="n">
        <v>65.291393007</v>
      </c>
      <c r="I960" t="n">
        <v>64.351882553</v>
      </c>
      <c r="J960" t="n">
        <v>58.517582818</v>
      </c>
      <c r="K960" t="n">
        <v>73.706142179</v>
      </c>
      <c r="L960" t="n">
        <v>96.55698246999999</v>
      </c>
      <c r="M960" t="n">
        <v>88.59261728200001</v>
      </c>
      <c r="N960" t="n">
        <v>116.488097073</v>
      </c>
      <c r="O960" t="n">
        <v>40.262179025</v>
      </c>
      <c r="P960" t="n">
        <v/>
      </c>
      <c r="Q960" t="n">
        <v>88.507375615</v>
      </c>
      <c r="R960" t="n">
        <v>102.93</v>
      </c>
      <c r="S960" t="n">
        <v>89.262074791</v>
      </c>
      <c r="T960" t="n">
        <v>91.899540149</v>
      </c>
      <c r="U960" t="n">
        <v/>
      </c>
      <c r="V960" t="n">
        <v>140.060138143</v>
      </c>
      <c r="W960" t="n">
        <v>45.833355865</v>
      </c>
      <c r="X960" t="n">
        <v>39.407883735</v>
      </c>
      <c r="Y960" t="n">
        <v/>
      </c>
      <c r="Z960" t="n">
        <v>34.943500146</v>
      </c>
      <c r="AA960" t="n">
        <v>26.525570202</v>
      </c>
      <c r="AB960" t="n">
        <v>63.737573956</v>
      </c>
      <c r="AC960" t="n">
        <v>122.189817515</v>
      </c>
      <c r="AD960" t="n">
        <v>98.434322955</v>
      </c>
      <c r="AE960" t="n">
        <v>36.876</v>
      </c>
      <c r="AF960" t="n">
        <v>74.95030239800001</v>
      </c>
      <c r="AG960" t="n">
        <v/>
      </c>
      <c r="AH960" t="n">
        <v>87.743174915</v>
      </c>
      <c r="AI960" t="n">
        <v>88.773505664</v>
      </c>
      <c r="AJ960" t="n">
        <v>116.874943636</v>
      </c>
      <c r="AK960" t="n">
        <v/>
      </c>
      <c r="AL960" t="n">
        <v>80.787615815</v>
      </c>
      <c r="AM960" t="n">
        <v>40.88150504</v>
      </c>
      <c r="AN960" t="n">
        <v>122.908863326</v>
      </c>
      <c r="AO960" t="n">
        <v>50.417691198</v>
      </c>
      <c r="AP960" t="n">
        <v>38.523959643</v>
      </c>
      <c r="AQ960" t="n">
        <v>74.303165265</v>
      </c>
      <c r="AR960" t="n">
        <v>94.72622497499999</v>
      </c>
      <c r="AS960" t="n">
        <v>41.396550287</v>
      </c>
      <c r="AT960" t="n">
        <v>85.963343432</v>
      </c>
      <c r="AU960" t="n">
        <v/>
      </c>
    </row>
    <row r="961">
      <c r="A961" s="106" t="n">
        <v>36130</v>
      </c>
      <c r="B961" t="n">
        <v>63.1695645</v>
      </c>
      <c r="C961" t="n">
        <v>68.979961023</v>
      </c>
      <c r="D961" t="n">
        <v>75.33847476699999</v>
      </c>
      <c r="E961" t="n">
        <v>87.6285819</v>
      </c>
      <c r="F961" t="n">
        <v/>
      </c>
      <c r="G961" t="n">
        <v/>
      </c>
      <c r="H961" t="n">
        <v>64.715006139</v>
      </c>
      <c r="I961" t="n">
        <v>63.1695645</v>
      </c>
      <c r="J961" t="n">
        <v>55.24472922</v>
      </c>
      <c r="K961" t="n">
        <v>74.006167181</v>
      </c>
      <c r="L961" t="n">
        <v>95.577261114</v>
      </c>
      <c r="M961" t="n">
        <v>88.092658945</v>
      </c>
      <c r="N961" t="n">
        <v>117.357097798</v>
      </c>
      <c r="O961" t="n">
        <v>39.811021408</v>
      </c>
      <c r="P961" t="n">
        <v/>
      </c>
      <c r="Q961" t="n">
        <v>88.207350613</v>
      </c>
      <c r="R961" t="n">
        <v>102.17</v>
      </c>
      <c r="S961" t="n">
        <v>89.441924887</v>
      </c>
      <c r="T961" t="n">
        <v>93.49133356900001</v>
      </c>
      <c r="U961" t="n">
        <v/>
      </c>
      <c r="V961" t="n">
        <v>139.75200332</v>
      </c>
      <c r="W961" t="n">
        <v>47.065750837</v>
      </c>
      <c r="X961" t="n">
        <v>39.01620866</v>
      </c>
      <c r="Y961" t="n">
        <v/>
      </c>
      <c r="Z961" t="n">
        <v>35.181211032</v>
      </c>
      <c r="AA961" t="n">
        <v>26.389884385</v>
      </c>
      <c r="AB961" t="n">
        <v>63.387367506</v>
      </c>
      <c r="AC961" t="n">
        <v>119.290059162</v>
      </c>
      <c r="AD961" t="n">
        <v>98.32802239</v>
      </c>
      <c r="AE961" t="n">
        <v>37.431</v>
      </c>
      <c r="AF961" t="n">
        <v>73.694801416</v>
      </c>
      <c r="AG961" t="n">
        <v/>
      </c>
      <c r="AH961" t="n">
        <v>88.412600231</v>
      </c>
      <c r="AI961" t="n">
        <v>84.16067239</v>
      </c>
      <c r="AJ961" t="n">
        <v>115.453639363</v>
      </c>
      <c r="AK961" t="n">
        <v/>
      </c>
      <c r="AL961" t="n">
        <v>80.75003255599999</v>
      </c>
      <c r="AM961" t="n">
        <v>41.332746145</v>
      </c>
      <c r="AN961" t="n">
        <v>124.264642785</v>
      </c>
      <c r="AO961" t="n">
        <v>51.799362922</v>
      </c>
      <c r="AP961" t="n">
        <v>38.173525406</v>
      </c>
      <c r="AQ961" t="n">
        <v>71.5961404</v>
      </c>
      <c r="AR961" t="n">
        <v>93.714192657</v>
      </c>
      <c r="AS961" t="n">
        <v>39.096741938</v>
      </c>
      <c r="AT961" t="n">
        <v>86.330626362</v>
      </c>
      <c r="AU961" t="n">
        <v/>
      </c>
    </row>
    <row r="962">
      <c r="A962" s="106" t="n">
        <v>36161</v>
      </c>
      <c r="B962" t="n">
        <v>63.591820952</v>
      </c>
      <c r="C962" t="n">
        <v>69.054257245</v>
      </c>
      <c r="D962" t="n">
        <v>77.6642781</v>
      </c>
      <c r="E962" t="n">
        <v>88.60587122699999</v>
      </c>
      <c r="F962" t="n">
        <v/>
      </c>
      <c r="G962" t="n">
        <v/>
      </c>
      <c r="H962" t="n">
        <v>64.96480883</v>
      </c>
      <c r="I962" t="n">
        <v>63.591820952</v>
      </c>
      <c r="J962" t="n">
        <v>58.284485714</v>
      </c>
      <c r="K962" t="n">
        <v>75.206267189</v>
      </c>
      <c r="L962" t="n">
        <v>104.285895385</v>
      </c>
      <c r="M962" t="n">
        <v>89.492542288</v>
      </c>
      <c r="N962" t="n">
        <v>118.29609858</v>
      </c>
      <c r="O962" t="n">
        <v>38.304737103</v>
      </c>
      <c r="P962" t="n">
        <v/>
      </c>
      <c r="Q962" t="n">
        <v>89.607467289</v>
      </c>
      <c r="R962" t="n">
        <v>102.48</v>
      </c>
      <c r="S962" t="n">
        <v>90.36646308900001</v>
      </c>
      <c r="T962" t="n">
        <v>96.03820304200001</v>
      </c>
      <c r="U962" t="n">
        <v/>
      </c>
      <c r="V962" t="n">
        <v>139.183799588</v>
      </c>
      <c r="W962" t="n">
        <v>47.535234636</v>
      </c>
      <c r="X962" t="n">
        <v>39.700189631</v>
      </c>
      <c r="Y962" t="n">
        <v/>
      </c>
      <c r="Z962" t="n">
        <v>39.341151525</v>
      </c>
      <c r="AA962" t="n">
        <v>26.2928488</v>
      </c>
      <c r="AB962" t="n">
        <v>61.636335254</v>
      </c>
      <c r="AC962" t="n">
        <v>121.589867511</v>
      </c>
      <c r="AD962" t="n">
        <v>99.60362916699999</v>
      </c>
      <c r="AE962" t="n">
        <v>37.153</v>
      </c>
      <c r="AF962" t="n">
        <v>80.378694143</v>
      </c>
      <c r="AG962" t="n">
        <v/>
      </c>
      <c r="AH962" t="n">
        <v>88.98863489199999</v>
      </c>
      <c r="AI962" t="n">
        <v>87.643832209</v>
      </c>
      <c r="AJ962" t="n">
        <v>116.546950342</v>
      </c>
      <c r="AK962" t="n">
        <v/>
      </c>
      <c r="AL962" t="n">
        <v>81.653333073</v>
      </c>
      <c r="AM962" t="n">
        <v>41.260112894</v>
      </c>
      <c r="AN962" t="n">
        <v>125.278829506</v>
      </c>
      <c r="AO962" t="n">
        <v>52.546812152</v>
      </c>
      <c r="AP962" t="n">
        <v>38.517630127</v>
      </c>
      <c r="AQ962" t="n">
        <v>73.46305409999999</v>
      </c>
      <c r="AR962" t="n">
        <v>93.106973266</v>
      </c>
      <c r="AS962" t="n">
        <v>40.796600283</v>
      </c>
      <c r="AT962" t="n">
        <v>86.689480824</v>
      </c>
      <c r="AU962" t="n">
        <v/>
      </c>
    </row>
    <row r="963">
      <c r="A963" s="106" t="n">
        <v>36192</v>
      </c>
      <c r="B963" t="n">
        <v>62.83175934</v>
      </c>
      <c r="C963" t="n">
        <v>68.351708421</v>
      </c>
      <c r="D963" t="n">
        <v>76.453105044</v>
      </c>
      <c r="E963" t="n">
        <v>88.52186661499999</v>
      </c>
      <c r="F963" t="n">
        <v/>
      </c>
      <c r="G963" t="n">
        <v/>
      </c>
      <c r="H963" t="n">
        <v>65.512841451</v>
      </c>
      <c r="I963" t="n">
        <v>62.83175934</v>
      </c>
      <c r="J963" t="n">
        <v>58.915485109</v>
      </c>
      <c r="K963" t="n">
        <v>73.80615051300001</v>
      </c>
      <c r="L963" t="n">
        <v>102.326452674</v>
      </c>
      <c r="M963" t="n">
        <v>88.39263394699999</v>
      </c>
      <c r="N963" t="n">
        <v>116.403097003</v>
      </c>
      <c r="O963" t="n">
        <v>38.079158294</v>
      </c>
      <c r="P963" t="n">
        <v/>
      </c>
      <c r="Q963" t="n">
        <v>90.107508959</v>
      </c>
      <c r="R963" t="n">
        <v>102.15</v>
      </c>
      <c r="S963" t="n">
        <v>90.28626957500001</v>
      </c>
      <c r="T963" t="n">
        <v>95.507605235</v>
      </c>
      <c r="U963" t="n">
        <v/>
      </c>
      <c r="V963" t="n">
        <v>137.593961926</v>
      </c>
      <c r="W963" t="n">
        <v>45.774670391</v>
      </c>
      <c r="X963" t="n">
        <v>39.336942107</v>
      </c>
      <c r="Y963" t="n">
        <v/>
      </c>
      <c r="Z963" t="n">
        <v>36.964042672</v>
      </c>
      <c r="AA963" t="n">
        <v>26.863868675</v>
      </c>
      <c r="AB963" t="n">
        <v>62.827037185</v>
      </c>
      <c r="AC963" t="n">
        <v>120.989917507</v>
      </c>
      <c r="AD963" t="n">
        <v>99.60362916699999</v>
      </c>
      <c r="AE963" t="n">
        <v>38.632</v>
      </c>
      <c r="AF963" t="n">
        <v>82.87810256900001</v>
      </c>
      <c r="AG963" t="n">
        <v/>
      </c>
      <c r="AH963" t="n">
        <v>88.407231018</v>
      </c>
      <c r="AI963" t="n">
        <v>88.208668937</v>
      </c>
      <c r="AJ963" t="n">
        <v>116.218957049</v>
      </c>
      <c r="AK963" t="n">
        <v/>
      </c>
      <c r="AL963" t="n">
        <v>81.63443618300001</v>
      </c>
      <c r="AM963" t="n">
        <v>41.355358246</v>
      </c>
      <c r="AN963" t="n">
        <v>128.233952614</v>
      </c>
      <c r="AO963" t="n">
        <v>50.988406409</v>
      </c>
      <c r="AP963" t="n">
        <v>38.233645777</v>
      </c>
      <c r="AQ963" t="n">
        <v>71.316103345</v>
      </c>
      <c r="AR963" t="n">
        <v>94.523818511</v>
      </c>
      <c r="AS963" t="n">
        <v>41.096575285</v>
      </c>
      <c r="AT963" t="n">
        <v>87.18606638599999</v>
      </c>
      <c r="AU963" t="n">
        <v/>
      </c>
    </row>
    <row r="964">
      <c r="A964" s="106" t="n">
        <v>36220</v>
      </c>
      <c r="B964" t="n">
        <v>64.858590287</v>
      </c>
      <c r="C964" t="n">
        <v>69.483243964</v>
      </c>
      <c r="D964" t="n">
        <v>76.55842444</v>
      </c>
      <c r="E964" t="n">
        <v>88.19093124699999</v>
      </c>
      <c r="F964" t="n">
        <v/>
      </c>
      <c r="G964" t="n">
        <v/>
      </c>
      <c r="H964" t="n">
        <v>65.41559858700001</v>
      </c>
      <c r="I964" t="n">
        <v>64.858590287</v>
      </c>
      <c r="J964" t="n">
        <v>57.842047289</v>
      </c>
      <c r="K964" t="n">
        <v>74.30619218299999</v>
      </c>
      <c r="L964" t="n">
        <v>104.503611241</v>
      </c>
      <c r="M964" t="n">
        <v>88.49262561499999</v>
      </c>
      <c r="N964" t="n">
        <v>115.133095944</v>
      </c>
      <c r="O964" t="n">
        <v>38.035497879</v>
      </c>
      <c r="P964" t="n">
        <v/>
      </c>
      <c r="Q964" t="n">
        <v>90.907575631</v>
      </c>
      <c r="R964" t="n">
        <v>102.08</v>
      </c>
      <c r="S964" t="n">
        <v>90.734217934</v>
      </c>
      <c r="T964" t="n">
        <v>96.356561726</v>
      </c>
      <c r="U964" t="n">
        <v/>
      </c>
      <c r="V964" t="n">
        <v>135.659906208</v>
      </c>
      <c r="W964" t="n">
        <v>47.183121787</v>
      </c>
      <c r="X964" t="n">
        <v>39.213977673</v>
      </c>
      <c r="Y964" t="n">
        <v/>
      </c>
      <c r="Z964" t="n">
        <v>35.418921917</v>
      </c>
      <c r="AA964" t="n">
        <v>27.354662227</v>
      </c>
      <c r="AB964" t="n">
        <v>61.426211384</v>
      </c>
      <c r="AC964" t="n">
        <v>121.389884176</v>
      </c>
      <c r="AD964" t="n">
        <v>100.879235944</v>
      </c>
      <c r="AE964" t="n">
        <v>39.279</v>
      </c>
      <c r="AF964" t="n">
        <v>84.242831893</v>
      </c>
      <c r="AG964" t="n">
        <v/>
      </c>
      <c r="AH964" t="n">
        <v>88.83422025500001</v>
      </c>
      <c r="AI964" t="n">
        <v>89.15006348199999</v>
      </c>
      <c r="AJ964" t="n">
        <v>116.65628144</v>
      </c>
      <c r="AK964" t="n">
        <v/>
      </c>
      <c r="AL964" t="n">
        <v>82.132104981</v>
      </c>
      <c r="AM964" t="n">
        <v>43.243332181</v>
      </c>
      <c r="AN964" t="n">
        <v>125.243786954</v>
      </c>
      <c r="AO964" t="n">
        <v>52.21482159</v>
      </c>
      <c r="AP964" t="n">
        <v>38.576336613</v>
      </c>
      <c r="AQ964" t="n">
        <v>71.96952314000001</v>
      </c>
      <c r="AR964" t="n">
        <v>95.43464759699999</v>
      </c>
      <c r="AS964" t="n">
        <v>41.996500292</v>
      </c>
      <c r="AT964" t="n">
        <v>87.368617108</v>
      </c>
      <c r="AU964" t="n">
        <v/>
      </c>
    </row>
    <row r="965">
      <c r="A965" s="106" t="n">
        <v>36251</v>
      </c>
      <c r="B965" t="n">
        <v>65.365298022</v>
      </c>
      <c r="C965" t="n">
        <v>69.59957882499999</v>
      </c>
      <c r="D965" t="n">
        <v>77.883693509</v>
      </c>
      <c r="E965" t="n">
        <v>88.72947037</v>
      </c>
      <c r="F965" t="n">
        <v/>
      </c>
      <c r="G965" t="n">
        <v/>
      </c>
      <c r="H965" t="n">
        <v>65.160969209</v>
      </c>
      <c r="I965" t="n">
        <v>65.365298022</v>
      </c>
      <c r="J965" t="n">
        <v>59.338672163</v>
      </c>
      <c r="K965" t="n">
        <v>74.80623385299999</v>
      </c>
      <c r="L965" t="n">
        <v>98.18985139500001</v>
      </c>
      <c r="M965" t="n">
        <v>89.092575619</v>
      </c>
      <c r="N965" t="n">
        <v>117.078097565</v>
      </c>
      <c r="O965" t="n">
        <v>38.668573891</v>
      </c>
      <c r="P965" t="n">
        <v/>
      </c>
      <c r="Q965" t="n">
        <v>91.707642304</v>
      </c>
      <c r="R965" t="n">
        <v>102.9</v>
      </c>
      <c r="S965" t="n">
        <v>90.578708832</v>
      </c>
      <c r="T965" t="n">
        <v>96.03820304200001</v>
      </c>
      <c r="U965" t="n">
        <v/>
      </c>
      <c r="V965" t="n">
        <v>135.517571596</v>
      </c>
      <c r="W965" t="n">
        <v>47.476549162</v>
      </c>
      <c r="X965" t="n">
        <v>39.832340466</v>
      </c>
      <c r="Y965" t="n">
        <v/>
      </c>
      <c r="Z965" t="n">
        <v>36.310337737</v>
      </c>
      <c r="AA965" t="n">
        <v>27.940197546</v>
      </c>
      <c r="AB965" t="n">
        <v>62.686954605</v>
      </c>
      <c r="AC965" t="n">
        <v>120.48995917</v>
      </c>
      <c r="AD965" t="n">
        <v>99.17842690800001</v>
      </c>
      <c r="AE965" t="n">
        <v>38.909</v>
      </c>
      <c r="AF965" t="n">
        <v>85.977632589</v>
      </c>
      <c r="AG965" t="n">
        <v/>
      </c>
      <c r="AH965" t="n">
        <v>88.831813584</v>
      </c>
      <c r="AI965" t="n">
        <v>87.549692755</v>
      </c>
      <c r="AJ965" t="n">
        <v>113.376348504</v>
      </c>
      <c r="AK965" t="n">
        <v/>
      </c>
      <c r="AL965" t="n">
        <v>81.99436796000001</v>
      </c>
      <c r="AM965" t="n">
        <v>43.178701754</v>
      </c>
      <c r="AN965" t="n">
        <v>128.012888298</v>
      </c>
      <c r="AO965" t="n">
        <v>51.600683614</v>
      </c>
      <c r="AP965" t="n">
        <v>38.856494501</v>
      </c>
      <c r="AQ965" t="n">
        <v>70.00926375500001</v>
      </c>
      <c r="AR965" t="n">
        <v>93.815395888</v>
      </c>
      <c r="AS965" t="n">
        <v>41.396550287</v>
      </c>
      <c r="AT965" t="n">
        <v>87.56742981799999</v>
      </c>
      <c r="AU965" t="n">
        <v/>
      </c>
    </row>
    <row r="966">
      <c r="A966" s="106" t="n">
        <v>36281</v>
      </c>
      <c r="B966" t="n">
        <v>66.29426220800001</v>
      </c>
      <c r="C966" t="n">
        <v>69.607146998</v>
      </c>
      <c r="D966" t="n">
        <v>79.296728742</v>
      </c>
      <c r="E966" t="n">
        <v>88.564136451</v>
      </c>
      <c r="F966" t="n">
        <v/>
      </c>
      <c r="G966" t="n">
        <v/>
      </c>
      <c r="H966" t="n">
        <v>65.53838088000001</v>
      </c>
      <c r="I966" t="n">
        <v>66.29426220800001</v>
      </c>
      <c r="J966" t="n">
        <v>61.476699984</v>
      </c>
      <c r="K966" t="n">
        <v>75.306275523</v>
      </c>
      <c r="L966" t="n">
        <v>101.782163032</v>
      </c>
      <c r="M966" t="n">
        <v>89.192567286</v>
      </c>
      <c r="N966" t="n">
        <v>117.007097506</v>
      </c>
      <c r="O966" t="n">
        <v>38.122818709</v>
      </c>
      <c r="P966" t="n">
        <v/>
      </c>
      <c r="Q966" t="n">
        <v>91.507625635</v>
      </c>
      <c r="R966" t="n">
        <v>103.34</v>
      </c>
      <c r="S966" t="n">
        <v>91.189579348</v>
      </c>
      <c r="T966" t="n">
        <v>96.781039972</v>
      </c>
      <c r="U966" t="n">
        <v/>
      </c>
      <c r="V966" t="n">
        <v>139.12391451</v>
      </c>
      <c r="W966" t="n">
        <v>47.065750837</v>
      </c>
      <c r="X966" t="n">
        <v>40.783732711</v>
      </c>
      <c r="Y966" t="n">
        <v/>
      </c>
      <c r="Z966" t="n">
        <v>36.726331787</v>
      </c>
      <c r="AA966" t="n">
        <v>28.180804293</v>
      </c>
      <c r="AB966" t="n">
        <v>62.266706865</v>
      </c>
      <c r="AC966" t="n">
        <v>119.590034164</v>
      </c>
      <c r="AD966" t="n">
        <v>100.772935379</v>
      </c>
      <c r="AE966" t="n">
        <v>41.035</v>
      </c>
      <c r="AF966" t="n">
        <v>87.63679385099999</v>
      </c>
      <c r="AG966" t="n">
        <v/>
      </c>
      <c r="AH966" t="n">
        <v>88.61556397299999</v>
      </c>
      <c r="AI966" t="n">
        <v>87.45555330000001</v>
      </c>
      <c r="AJ966" t="n">
        <v>116.437619244</v>
      </c>
      <c r="AK966" t="n">
        <v/>
      </c>
      <c r="AL966" t="n">
        <v>82.738101844</v>
      </c>
      <c r="AM966" t="n">
        <v>44.874423775</v>
      </c>
      <c r="AN966" t="n">
        <v>125.528123196</v>
      </c>
      <c r="AO966" t="n">
        <v>51.770654298</v>
      </c>
      <c r="AP966" t="n">
        <v>39.900574694</v>
      </c>
      <c r="AQ966" t="n">
        <v>72.062868825</v>
      </c>
      <c r="AR966" t="n">
        <v>94.827428207</v>
      </c>
      <c r="AS966" t="n">
        <v>42.796433631</v>
      </c>
      <c r="AT966" t="n">
        <v>88.10100148399999</v>
      </c>
      <c r="AU966" t="n">
        <v/>
      </c>
    </row>
    <row r="967">
      <c r="A967" s="106" t="n">
        <v>36312</v>
      </c>
      <c r="B967" t="n">
        <v>66.71651865</v>
      </c>
      <c r="C967" t="n">
        <v>69.693647845</v>
      </c>
      <c r="D967" t="n">
        <v>78.735025295</v>
      </c>
      <c r="E967" t="n">
        <v>89.779795553</v>
      </c>
      <c r="F967" t="n">
        <v/>
      </c>
      <c r="G967" t="n">
        <v/>
      </c>
      <c r="H967" t="n">
        <v>65.388258655</v>
      </c>
      <c r="I967" t="n">
        <v>66.71651865</v>
      </c>
      <c r="J967" t="n">
        <v>59.301536841</v>
      </c>
      <c r="K967" t="n">
        <v>75.306275523</v>
      </c>
      <c r="L967" t="n">
        <v>101.23787339</v>
      </c>
      <c r="M967" t="n">
        <v>89.89250895799999</v>
      </c>
      <c r="N967" t="n">
        <v>118.161098468</v>
      </c>
      <c r="O967" t="n">
        <v>40.080260631</v>
      </c>
      <c r="P967" t="n">
        <v/>
      </c>
      <c r="Q967" t="n">
        <v>92.10767564</v>
      </c>
      <c r="R967" t="n">
        <v>104.75</v>
      </c>
      <c r="S967" t="n">
        <v>91.237332614</v>
      </c>
      <c r="T967" t="n">
        <v>96.250442165</v>
      </c>
      <c r="U967" t="n">
        <v/>
      </c>
      <c r="V967" t="n">
        <v>139.17377125</v>
      </c>
      <c r="W967" t="n">
        <v>48.474202234</v>
      </c>
      <c r="X967" t="n">
        <v>40.363606831</v>
      </c>
      <c r="Y967" t="n">
        <v/>
      </c>
      <c r="Z967" t="n">
        <v>37.558319885</v>
      </c>
      <c r="AA967" t="n">
        <v>28.112778014</v>
      </c>
      <c r="AB967" t="n">
        <v>63.037161055</v>
      </c>
      <c r="AC967" t="n">
        <v>121.489875844</v>
      </c>
      <c r="AD967" t="n">
        <v>100.028831426</v>
      </c>
      <c r="AE967" t="n">
        <v>41.312</v>
      </c>
      <c r="AF967" t="n">
        <v>86.76567470800001</v>
      </c>
      <c r="AG967" t="n">
        <v/>
      </c>
      <c r="AH967" t="n">
        <v>88.500145523</v>
      </c>
      <c r="AI967" t="n">
        <v>90.279736937</v>
      </c>
      <c r="AJ967" t="n">
        <v>116.874943636</v>
      </c>
      <c r="AK967" t="n">
        <v/>
      </c>
      <c r="AL967" t="n">
        <v>82.823401299</v>
      </c>
      <c r="AM967" t="n">
        <v>43.19713607</v>
      </c>
      <c r="AN967" t="n">
        <v>129.506101128</v>
      </c>
      <c r="AO967" t="n">
        <v>51.412136376</v>
      </c>
      <c r="AP967" t="n">
        <v>38.497944003</v>
      </c>
      <c r="AQ967" t="n">
        <v>73.556399785</v>
      </c>
      <c r="AR967" t="n">
        <v>95.33344436599999</v>
      </c>
      <c r="AS967" t="n">
        <v>42.796433631</v>
      </c>
      <c r="AT967" t="n">
        <v>88.05052982799999</v>
      </c>
      <c r="AU967" t="n">
        <v/>
      </c>
    </row>
    <row r="968">
      <c r="A968" s="106" t="n">
        <v>36342</v>
      </c>
      <c r="B968" t="n">
        <v>65.872005766</v>
      </c>
      <c r="C968" t="n">
        <v>70.649339036</v>
      </c>
      <c r="D968" t="n">
        <v>77.75204426400001</v>
      </c>
      <c r="E968" t="n">
        <v>90.290243961</v>
      </c>
      <c r="F968" t="n">
        <v/>
      </c>
      <c r="G968" t="n">
        <v/>
      </c>
      <c r="H968" t="n">
        <v>65.701416377</v>
      </c>
      <c r="I968" t="n">
        <v>65.872005766</v>
      </c>
      <c r="J968" t="n">
        <v>58.99499379</v>
      </c>
      <c r="K968" t="n">
        <v>75.90632552700001</v>
      </c>
      <c r="L968" t="n">
        <v>99.713862393</v>
      </c>
      <c r="M968" t="n">
        <v>90.592450629</v>
      </c>
      <c r="N968" t="n">
        <v>119.776099813</v>
      </c>
      <c r="O968" t="n">
        <v>40.080260631</v>
      </c>
      <c r="P968" t="n">
        <v/>
      </c>
      <c r="Q968" t="n">
        <v>91.60763396900001</v>
      </c>
      <c r="R968" t="n">
        <v>104.98</v>
      </c>
      <c r="S968" t="n">
        <v>91.83767793299999</v>
      </c>
      <c r="T968" t="n">
        <v>97.736116024</v>
      </c>
      <c r="U968" t="n">
        <v/>
      </c>
      <c r="V968" t="n">
        <v>142.536661684</v>
      </c>
      <c r="W968" t="n">
        <v>49.061056983</v>
      </c>
      <c r="X968" t="n">
        <v>40.792419488</v>
      </c>
      <c r="Y968" t="n">
        <v/>
      </c>
      <c r="Z968" t="n">
        <v>39.935428739</v>
      </c>
      <c r="AA968" t="n">
        <v>27.502276752</v>
      </c>
      <c r="AB968" t="n">
        <v>64.017739116</v>
      </c>
      <c r="AC968" t="n">
        <v>122.38980085</v>
      </c>
      <c r="AD968" t="n">
        <v>100.56033425</v>
      </c>
      <c r="AE968" t="n">
        <v>42.606</v>
      </c>
      <c r="AF968" t="n">
        <v>87.22055905800001</v>
      </c>
      <c r="AG968" t="n">
        <v/>
      </c>
      <c r="AH968" t="n">
        <v>89.366386498</v>
      </c>
      <c r="AI968" t="n">
        <v>90.09145802800001</v>
      </c>
      <c r="AJ968" t="n">
        <v>119.170896691</v>
      </c>
      <c r="AK968" t="n">
        <v/>
      </c>
      <c r="AL968" t="n">
        <v>83.42421285499999</v>
      </c>
      <c r="AM968" t="n">
        <v>44.27631692</v>
      </c>
      <c r="AN968" t="n">
        <v>126.503024963</v>
      </c>
      <c r="AO968" t="n">
        <v>52.822745303</v>
      </c>
      <c r="AP968" t="n">
        <v>38.600941185</v>
      </c>
      <c r="AQ968" t="n">
        <v>72.249560195</v>
      </c>
      <c r="AR968" t="n">
        <v>95.02983467</v>
      </c>
      <c r="AS968" t="n">
        <v>42.096491959</v>
      </c>
      <c r="AT968" t="n">
        <v>88.560303465</v>
      </c>
      <c r="AU968" t="n">
        <v/>
      </c>
    </row>
    <row r="969">
      <c r="A969" s="106" t="n">
        <v>36373</v>
      </c>
      <c r="B969" t="n">
        <v>66.885421235</v>
      </c>
      <c r="C969" t="n">
        <v>71.088705133</v>
      </c>
      <c r="D969" t="n">
        <v>79.050983484</v>
      </c>
      <c r="E969" t="n">
        <v>91.151692532</v>
      </c>
      <c r="F969" t="n">
        <v/>
      </c>
      <c r="G969" t="n">
        <v/>
      </c>
      <c r="H969" t="n">
        <v>67.141388283</v>
      </c>
      <c r="I969" t="n">
        <v>66.885421235</v>
      </c>
      <c r="J969" t="n">
        <v>59.922675559</v>
      </c>
      <c r="K969" t="n">
        <v>76.606383865</v>
      </c>
      <c r="L969" t="n">
        <v>97.86327761</v>
      </c>
      <c r="M969" t="n">
        <v>90.492458962</v>
      </c>
      <c r="N969" t="n">
        <v>118.557098798</v>
      </c>
      <c r="O969" t="n">
        <v>40.080260631</v>
      </c>
      <c r="P969" t="n">
        <v/>
      </c>
      <c r="Q969" t="n">
        <v>90.50754229499999</v>
      </c>
      <c r="R969" t="n">
        <v>103.04</v>
      </c>
      <c r="S969" t="n">
        <v>92.32427425100001</v>
      </c>
      <c r="T969" t="n">
        <v>98.47895295399999</v>
      </c>
      <c r="U969" t="n">
        <v/>
      </c>
      <c r="V969" t="n">
        <v>140.956709627</v>
      </c>
      <c r="W969" t="n">
        <v>50.704250279</v>
      </c>
      <c r="X969" t="n">
        <v>41.1175818</v>
      </c>
      <c r="Y969" t="n">
        <v/>
      </c>
      <c r="Z969" t="n">
        <v>38.568591148</v>
      </c>
      <c r="AA969" t="n">
        <v>26.603115731</v>
      </c>
      <c r="AB969" t="n">
        <v>64.437986857</v>
      </c>
      <c r="AC969" t="n">
        <v>123.189734189</v>
      </c>
      <c r="AD969" t="n">
        <v>101.517039333</v>
      </c>
      <c r="AE969" t="n">
        <v>42.606</v>
      </c>
      <c r="AF969" t="n">
        <v>93.127531937</v>
      </c>
      <c r="AG969" t="n">
        <v/>
      </c>
      <c r="AH969" t="n">
        <v>88.642536183</v>
      </c>
      <c r="AI969" t="n">
        <v>89.71490021</v>
      </c>
      <c r="AJ969" t="n">
        <v>119.389558887</v>
      </c>
      <c r="AK969" t="n">
        <v/>
      </c>
      <c r="AL969" t="n">
        <v>83.570278851</v>
      </c>
      <c r="AM969" t="n">
        <v>44.710392589</v>
      </c>
      <c r="AN969" t="n">
        <v>128.29043375</v>
      </c>
      <c r="AO969" t="n">
        <v>52.930558767</v>
      </c>
      <c r="AP969" t="n">
        <v>39.481850717</v>
      </c>
      <c r="AQ969" t="n">
        <v>73.183017045</v>
      </c>
      <c r="AR969" t="n">
        <v>93.51178619300001</v>
      </c>
      <c r="AS969" t="n">
        <v>39.596700275</v>
      </c>
      <c r="AT969" t="n">
        <v>88.955945715</v>
      </c>
      <c r="AU969" t="n">
        <v/>
      </c>
    </row>
    <row r="970">
      <c r="A970" s="106" t="n">
        <v>36404</v>
      </c>
      <c r="B970" t="n">
        <v>67.561031554</v>
      </c>
      <c r="C970" t="n">
        <v>71.11072477099999</v>
      </c>
      <c r="D970" t="n">
        <v>80.077847597</v>
      </c>
      <c r="E970" t="n">
        <v>92.364676328</v>
      </c>
      <c r="F970" t="n">
        <v/>
      </c>
      <c r="G970" t="n">
        <v/>
      </c>
      <c r="H970" t="n">
        <v>65.663726387</v>
      </c>
      <c r="I970" t="n">
        <v>67.561031554</v>
      </c>
      <c r="J970" t="n">
        <v>59.2983502</v>
      </c>
      <c r="K970" t="n">
        <v>76.306358863</v>
      </c>
      <c r="L970" t="n">
        <v>103.741605743</v>
      </c>
      <c r="M970" t="n">
        <v>91.29239230100001</v>
      </c>
      <c r="N970" t="n">
        <v>119.905099921</v>
      </c>
      <c r="O970" t="n">
        <v>39.898342237</v>
      </c>
      <c r="P970" t="n">
        <v/>
      </c>
      <c r="Q970" t="n">
        <v>92.807733978</v>
      </c>
      <c r="R970" t="n">
        <v>105.84</v>
      </c>
      <c r="S970" t="n">
        <v>92.531402202</v>
      </c>
      <c r="T970" t="n">
        <v>99.115670322</v>
      </c>
      <c r="U970" t="n">
        <v/>
      </c>
      <c r="V970" t="n">
        <v>141.084018082</v>
      </c>
      <c r="W970" t="n">
        <v>51.760588826</v>
      </c>
      <c r="X970" t="n">
        <v>41.099661293</v>
      </c>
      <c r="Y970" t="n">
        <v/>
      </c>
      <c r="Z970" t="n">
        <v>41.183410887</v>
      </c>
      <c r="AA970" t="n">
        <v>27.186430866</v>
      </c>
      <c r="AB970" t="n">
        <v>65.62868878800001</v>
      </c>
      <c r="AC970" t="n">
        <v>123.689692526</v>
      </c>
      <c r="AD970" t="n">
        <v>102.261143286</v>
      </c>
      <c r="AE970" t="n">
        <v>44.732</v>
      </c>
      <c r="AF970" t="n">
        <v>93.985595621</v>
      </c>
      <c r="AG970" t="n">
        <v/>
      </c>
      <c r="AH970" t="n">
        <v>88.99275170999999</v>
      </c>
      <c r="AI970" t="n">
        <v>89.244202937</v>
      </c>
      <c r="AJ970" t="n">
        <v>117.749592419</v>
      </c>
      <c r="AK970" t="n">
        <v/>
      </c>
      <c r="AL970" t="n">
        <v>84.074499637</v>
      </c>
      <c r="AM970" t="n">
        <v>45.569434271</v>
      </c>
      <c r="AN970" t="n">
        <v>125.714692426</v>
      </c>
      <c r="AO970" t="n">
        <v>53.557379967</v>
      </c>
      <c r="AP970" t="n">
        <v>38.869698339</v>
      </c>
      <c r="AQ970" t="n">
        <v>74.116473895</v>
      </c>
      <c r="AR970" t="n">
        <v>96.750289611</v>
      </c>
      <c r="AS970" t="n">
        <v>40.696608616</v>
      </c>
      <c r="AT970" t="n">
        <v>88.581325058</v>
      </c>
      <c r="AU970" t="n">
        <v/>
      </c>
    </row>
    <row r="971">
      <c r="A971" s="106" t="n">
        <v>36434</v>
      </c>
      <c r="B971" t="n">
        <v>68.236641873</v>
      </c>
      <c r="C971" t="n">
        <v>71.571746795</v>
      </c>
      <c r="D971" t="n">
        <v>81.376786817</v>
      </c>
      <c r="E971" t="n">
        <v>91.85101755300001</v>
      </c>
      <c r="F971" t="n">
        <v/>
      </c>
      <c r="G971" t="n">
        <v/>
      </c>
      <c r="H971" t="n">
        <v>68.312692494</v>
      </c>
      <c r="I971" t="n">
        <v>68.236641873</v>
      </c>
      <c r="J971" t="n">
        <v>59.766616304</v>
      </c>
      <c r="K971" t="n">
        <v>77.106425535</v>
      </c>
      <c r="L971" t="n">
        <v>106.680769809</v>
      </c>
      <c r="M971" t="n">
        <v>92.29230897399999</v>
      </c>
      <c r="N971" t="n">
        <v>120.42010035</v>
      </c>
      <c r="O971" t="n">
        <v>41.76846333</v>
      </c>
      <c r="P971" t="n">
        <v/>
      </c>
      <c r="Q971" t="n">
        <v>91.807650638</v>
      </c>
      <c r="R971" t="n">
        <v>107.18</v>
      </c>
      <c r="S971" t="n">
        <v>93.23851689200001</v>
      </c>
      <c r="T971" t="n">
        <v>99.009550761</v>
      </c>
      <c r="U971" t="n">
        <v/>
      </c>
      <c r="V971" t="n">
        <v>143.458871559</v>
      </c>
      <c r="W971" t="n">
        <v>52.40612905</v>
      </c>
      <c r="X971" t="n">
        <v>40.789719106</v>
      </c>
      <c r="Y971" t="n">
        <v/>
      </c>
      <c r="Z971" t="n">
        <v>42.431393035</v>
      </c>
      <c r="AA971" t="n">
        <v>27.838481428</v>
      </c>
      <c r="AB971" t="n">
        <v>65.48860620799999</v>
      </c>
      <c r="AC971" t="n">
        <v>124.889592534</v>
      </c>
      <c r="AD971" t="n">
        <v>102.154842721</v>
      </c>
      <c r="AE971" t="n">
        <v>44.824</v>
      </c>
      <c r="AF971" t="n">
        <v>93.07949194</v>
      </c>
      <c r="AG971" t="n">
        <v/>
      </c>
      <c r="AH971" t="n">
        <v>89.04231539200001</v>
      </c>
      <c r="AI971" t="n">
        <v>89.809039664</v>
      </c>
      <c r="AJ971" t="n">
        <v>116.218957049</v>
      </c>
      <c r="AK971" t="n">
        <v/>
      </c>
      <c r="AL971" t="n">
        <v>84.641226952</v>
      </c>
      <c r="AM971" t="n">
        <v>45.972554454</v>
      </c>
      <c r="AN971" t="n">
        <v>127.538312901</v>
      </c>
      <c r="AO971" t="n">
        <v>51.90335586</v>
      </c>
      <c r="AP971" t="n">
        <v>39.167193182</v>
      </c>
      <c r="AQ971" t="n">
        <v>75.51665917</v>
      </c>
      <c r="AR971" t="n">
        <v>96.750289611</v>
      </c>
      <c r="AS971" t="n">
        <v>40.396633614</v>
      </c>
      <c r="AT971" t="n">
        <v>89.73086906899999</v>
      </c>
      <c r="AU971" t="n">
        <v/>
      </c>
    </row>
    <row r="972">
      <c r="A972" s="106" t="n">
        <v>36465</v>
      </c>
      <c r="B972" t="n">
        <v>72.205852476</v>
      </c>
      <c r="C972" t="n">
        <v>73.557604313</v>
      </c>
      <c r="D972" t="n">
        <v>80.75364705600001</v>
      </c>
      <c r="E972" t="n">
        <v>93.028419777</v>
      </c>
      <c r="F972" t="n">
        <v/>
      </c>
      <c r="G972" t="n">
        <v/>
      </c>
      <c r="H972" t="n">
        <v>70.49826755399999</v>
      </c>
      <c r="I972" t="n">
        <v>72.205852476</v>
      </c>
      <c r="J972" t="n">
        <v>59.154468377</v>
      </c>
      <c r="K972" t="n">
        <v>77.006417201</v>
      </c>
      <c r="L972" t="n">
        <v>108.422496663</v>
      </c>
      <c r="M972" t="n">
        <v>92.69227564400001</v>
      </c>
      <c r="N972" t="n">
        <v>121.167100973</v>
      </c>
      <c r="O972" t="n">
        <v>41.179047733</v>
      </c>
      <c r="P972" t="n">
        <v/>
      </c>
      <c r="Q972" t="n">
        <v>91.707642304</v>
      </c>
      <c r="R972" t="n">
        <v>107.27</v>
      </c>
      <c r="S972" t="n">
        <v>93.796882794</v>
      </c>
      <c r="T972" t="n">
        <v>99.964626813</v>
      </c>
      <c r="U972" t="n">
        <v/>
      </c>
      <c r="V972" t="n">
        <v>142.618704617</v>
      </c>
      <c r="W972" t="n">
        <v>53.169040223</v>
      </c>
      <c r="X972" t="n">
        <v>40.780961533</v>
      </c>
      <c r="Y972" t="n">
        <v/>
      </c>
      <c r="Z972" t="n">
        <v>41.123983166</v>
      </c>
      <c r="AA972" t="n">
        <v>28.853140618</v>
      </c>
      <c r="AB972" t="n">
        <v>66.74934942900001</v>
      </c>
      <c r="AC972" t="n">
        <v>125.689525873</v>
      </c>
      <c r="AD972" t="n">
        <v>103.217848369</v>
      </c>
      <c r="AE972" t="n">
        <v>46.858</v>
      </c>
      <c r="AF972" t="n">
        <v>91.411158908</v>
      </c>
      <c r="AG972" t="n">
        <v/>
      </c>
      <c r="AH972" t="n">
        <v>90.131493475</v>
      </c>
      <c r="AI972" t="n">
        <v>91.503549847</v>
      </c>
      <c r="AJ972" t="n">
        <v>120.373538768</v>
      </c>
      <c r="AK972" t="n">
        <v/>
      </c>
      <c r="AL972" t="n">
        <v>85.398214419</v>
      </c>
      <c r="AM972" t="n">
        <v>46.423355103</v>
      </c>
      <c r="AN972" t="n">
        <v>129.377620238</v>
      </c>
      <c r="AO972" t="n">
        <v>53.394090728</v>
      </c>
      <c r="AP972" t="n">
        <v>39.724712139</v>
      </c>
      <c r="AQ972" t="n">
        <v>74.58320232</v>
      </c>
      <c r="AR972" t="n">
        <v>97.05389930600001</v>
      </c>
      <c r="AS972" t="n">
        <v>40.996583618</v>
      </c>
      <c r="AT972" t="n">
        <v>90.19949194500001</v>
      </c>
      <c r="AU972" t="n">
        <v/>
      </c>
    </row>
    <row r="973">
      <c r="A973" s="106" t="n">
        <v>36495</v>
      </c>
      <c r="B973" t="n">
        <v>68.743349608</v>
      </c>
      <c r="C973" t="n">
        <v>72.166079422</v>
      </c>
      <c r="D973" t="n">
        <v>81.464552981</v>
      </c>
      <c r="E973" t="n">
        <v>94.47870322599999</v>
      </c>
      <c r="F973" t="n">
        <v/>
      </c>
      <c r="G973" t="n">
        <v/>
      </c>
      <c r="H973" t="n">
        <v>70.86373548500001</v>
      </c>
      <c r="I973" t="n">
        <v>68.743349608</v>
      </c>
      <c r="J973" t="n">
        <v>59.134434433</v>
      </c>
      <c r="K973" t="n">
        <v>77.106425535</v>
      </c>
      <c r="L973" t="n">
        <v>110.926229015</v>
      </c>
      <c r="M973" t="n">
        <v>92.392300642</v>
      </c>
      <c r="N973" t="n">
        <v>121.999101666</v>
      </c>
      <c r="O973" t="n">
        <v>41.310028977</v>
      </c>
      <c r="P973" t="n">
        <v/>
      </c>
      <c r="Q973" t="n">
        <v>98.908242354</v>
      </c>
      <c r="R973" t="n">
        <v>106.35</v>
      </c>
      <c r="S973" t="n">
        <v>93.943886385</v>
      </c>
      <c r="T973" t="n">
        <v>98.58507251499999</v>
      </c>
      <c r="U973" t="n">
        <v/>
      </c>
      <c r="V973" t="n">
        <v>145.216516142</v>
      </c>
      <c r="W973" t="n">
        <v>51.115048603</v>
      </c>
      <c r="X973" t="n">
        <v>42.106048651</v>
      </c>
      <c r="Y973" t="n">
        <v/>
      </c>
      <c r="Z973" t="n">
        <v>41.361694051</v>
      </c>
      <c r="AA973" t="n">
        <v>30.053242463</v>
      </c>
      <c r="AB973" t="n">
        <v>67.379721039</v>
      </c>
      <c r="AC973" t="n">
        <v>124.28964253</v>
      </c>
      <c r="AD973" t="n">
        <v>103.111547804</v>
      </c>
      <c r="AE973" t="n">
        <v>46.673</v>
      </c>
      <c r="AF973" t="n">
        <v>93.37352439</v>
      </c>
      <c r="AG973" t="n">
        <v/>
      </c>
      <c r="AH973" t="n">
        <v>90.412879409</v>
      </c>
      <c r="AI973" t="n">
        <v>91.22113148299999</v>
      </c>
      <c r="AJ973" t="n">
        <v>122.560160726</v>
      </c>
      <c r="AK973" t="n">
        <v/>
      </c>
      <c r="AL973" t="n">
        <v>85.59973271299999</v>
      </c>
      <c r="AM973" t="n">
        <v>49.153775446</v>
      </c>
      <c r="AN973" t="n">
        <v>129.295579174</v>
      </c>
      <c r="AO973" t="n">
        <v>62.033878106</v>
      </c>
      <c r="AP973" t="n">
        <v>39.23033903</v>
      </c>
      <c r="AQ973" t="n">
        <v>75.89004190999999</v>
      </c>
      <c r="AR973" t="n">
        <v>96.649086379</v>
      </c>
      <c r="AS973" t="n">
        <v>41.196566953</v>
      </c>
      <c r="AT973" t="n">
        <v>90.908871559</v>
      </c>
      <c r="AU973" t="n">
        <v/>
      </c>
    </row>
    <row r="974">
      <c r="A974" s="106" t="n">
        <v>36526</v>
      </c>
      <c r="B974" t="n">
        <v>66.54761607499999</v>
      </c>
      <c r="C974" t="n">
        <v>64.894592117</v>
      </c>
      <c r="D974" t="n">
        <v>80.692210742</v>
      </c>
      <c r="E974" t="n">
        <v>94.841207205</v>
      </c>
      <c r="F974" t="n">
        <v/>
      </c>
      <c r="G974" t="n">
        <v/>
      </c>
      <c r="H974" t="n">
        <v>70.69221692799999</v>
      </c>
      <c r="I974" t="n">
        <v>66.54761607499999</v>
      </c>
      <c r="J974" t="n">
        <v>58.490251625</v>
      </c>
      <c r="K974" t="n">
        <v>76.506375531</v>
      </c>
      <c r="L974" t="n">
        <v>107</v>
      </c>
      <c r="M974" t="n">
        <v>92.09232564</v>
      </c>
      <c r="N974" t="n">
        <v>122.480102067</v>
      </c>
      <c r="O974" t="n">
        <v>44.303691974</v>
      </c>
      <c r="P974" t="n">
        <v/>
      </c>
      <c r="Q974" t="n">
        <v>96.008000667</v>
      </c>
      <c r="R974" t="n">
        <v>107.09</v>
      </c>
      <c r="S974" t="n">
        <v>93.91759706800001</v>
      </c>
      <c r="T974" t="n">
        <v>99.009550761</v>
      </c>
      <c r="U974" t="n">
        <v/>
      </c>
      <c r="V974" t="n">
        <v>149.138433364</v>
      </c>
      <c r="W974" t="n">
        <v>53.704475373</v>
      </c>
      <c r="X974" t="n">
        <v>41.64200364</v>
      </c>
      <c r="Y974" t="n">
        <v/>
      </c>
      <c r="Z974" t="n">
        <v>38.806302033</v>
      </c>
      <c r="AA974" t="n">
        <v>28.944346335</v>
      </c>
      <c r="AB974" t="n">
        <v>64.648110727</v>
      </c>
      <c r="AC974" t="n">
        <v>124.589617532</v>
      </c>
      <c r="AD974" t="n">
        <v>103.005247239</v>
      </c>
      <c r="AE974" t="n">
        <v>47.733</v>
      </c>
      <c r="AF974" t="n">
        <v>87.00725060400001</v>
      </c>
      <c r="AG974" t="n">
        <v>57.2</v>
      </c>
      <c r="AH974" t="n">
        <v>91.58931336000001</v>
      </c>
      <c r="AI974" t="n">
        <v>92.25666548300001</v>
      </c>
      <c r="AJ974" t="n">
        <v>120.093095423</v>
      </c>
      <c r="AK974" t="n">
        <v/>
      </c>
      <c r="AL974" t="n">
        <v>85.42899136299999</v>
      </c>
      <c r="AM974" t="n">
        <v>44.8</v>
      </c>
      <c r="AN974" t="n">
        <v>127.85472502</v>
      </c>
      <c r="AO974" t="n">
        <v>58.041024162</v>
      </c>
      <c r="AP974" t="n">
        <v>39.906651109</v>
      </c>
      <c r="AQ974" t="n">
        <v>74.116473895</v>
      </c>
      <c r="AR974" t="n">
        <v>92.992250646</v>
      </c>
      <c r="AS974" t="n">
        <v>41.496541955</v>
      </c>
      <c r="AT974" t="n">
        <v>90.855028515</v>
      </c>
      <c r="AU974" t="n">
        <v/>
      </c>
    </row>
    <row r="975">
      <c r="A975" s="106" t="n">
        <v>36557</v>
      </c>
      <c r="B975" t="n">
        <v>69.672313794</v>
      </c>
      <c r="C975" t="n">
        <v>67.594367136</v>
      </c>
      <c r="D975" t="n">
        <v>80.797530138</v>
      </c>
      <c r="E975" t="n">
        <v>94.475492858</v>
      </c>
      <c r="F975" t="n">
        <v/>
      </c>
      <c r="G975" t="n">
        <v/>
      </c>
      <c r="H975" t="n">
        <v>69.496151336</v>
      </c>
      <c r="I975" t="n">
        <v>69.672313794</v>
      </c>
      <c r="J975" t="n">
        <v>60.089985002</v>
      </c>
      <c r="K975" t="n">
        <v>78.406533878</v>
      </c>
      <c r="L975" t="n">
        <v>107</v>
      </c>
      <c r="M975" t="n">
        <v>93.192233981</v>
      </c>
      <c r="N975" t="n">
        <v>122.973102478</v>
      </c>
      <c r="O975" t="n">
        <v>44.803733644</v>
      </c>
      <c r="P975" t="n">
        <v/>
      </c>
      <c r="Q975" t="n">
        <v>96.308025669</v>
      </c>
      <c r="R975" t="n">
        <v>107.42</v>
      </c>
      <c r="S975" t="n">
        <v>94.370532673</v>
      </c>
      <c r="T975" t="n">
        <v>99.221789883</v>
      </c>
      <c r="U975" t="n">
        <v/>
      </c>
      <c r="V975" t="n">
        <v>149.538000499</v>
      </c>
      <c r="W975" t="n">
        <v>53.904492041</v>
      </c>
      <c r="X975" t="n">
        <v>41.09041638</v>
      </c>
      <c r="Y975" t="n">
        <v/>
      </c>
      <c r="Z975" t="n">
        <v>38.806302033</v>
      </c>
      <c r="AA975" t="n">
        <v>28.234287129</v>
      </c>
      <c r="AB975" t="n">
        <v>68.01009265</v>
      </c>
      <c r="AC975" t="n">
        <v>125.189567536</v>
      </c>
      <c r="AD975" t="n">
        <v>102.898946674</v>
      </c>
      <c r="AE975" t="n">
        <v>47.833</v>
      </c>
      <c r="AF975" t="n">
        <v>89.70747562299999</v>
      </c>
      <c r="AG975" t="n">
        <v>57.3</v>
      </c>
      <c r="AH975" t="n">
        <v>92.230482997</v>
      </c>
      <c r="AI975" t="n">
        <v>93.103920575</v>
      </c>
      <c r="AJ975" t="n">
        <v>121.489526765</v>
      </c>
      <c r="AK975" t="n">
        <v/>
      </c>
      <c r="AL975" t="n">
        <v>86.058309815</v>
      </c>
      <c r="AM975" t="n">
        <v>46</v>
      </c>
      <c r="AN975" t="n">
        <v>128.878586682</v>
      </c>
      <c r="AO975" t="n">
        <v>56.078170637</v>
      </c>
      <c r="AP975" t="n">
        <v>40.706784464</v>
      </c>
      <c r="AQ975" t="n">
        <v>76.35677033499999</v>
      </c>
      <c r="AR975" t="n">
        <v>97.69185901199999</v>
      </c>
      <c r="AS975" t="n">
        <v>42.996416965</v>
      </c>
      <c r="AT975" t="n">
        <v>91.188696729</v>
      </c>
      <c r="AU975" t="n">
        <v/>
      </c>
    </row>
    <row r="976">
      <c r="A976" s="106" t="n">
        <v>36586</v>
      </c>
      <c r="B976" t="n">
        <v>69.418959917</v>
      </c>
      <c r="C976" t="n">
        <v>68.69427547700001</v>
      </c>
      <c r="D976" t="n">
        <v>82.122799207</v>
      </c>
      <c r="E976" t="n">
        <v>95.56889047</v>
      </c>
      <c r="F976" t="n">
        <v/>
      </c>
      <c r="G976" t="n">
        <v/>
      </c>
      <c r="H976" t="n">
        <v>69.906532078</v>
      </c>
      <c r="I976" t="n">
        <v>69.418959917</v>
      </c>
      <c r="J976" t="n">
        <v>60.589901683</v>
      </c>
      <c r="K976" t="n">
        <v>78.506542212</v>
      </c>
      <c r="L976" t="n">
        <v>108.6</v>
      </c>
      <c r="M976" t="n">
        <v>93.59220065</v>
      </c>
      <c r="N976" t="n">
        <v>124.100103417</v>
      </c>
      <c r="O976" t="n">
        <v>44.303691974</v>
      </c>
      <c r="P976" t="n">
        <v/>
      </c>
      <c r="Q976" t="n">
        <v>95.507958997</v>
      </c>
      <c r="R976" t="n">
        <v>108.13</v>
      </c>
      <c r="S976" t="n">
        <v>94.93516835</v>
      </c>
      <c r="T976" t="n">
        <v>98.903431199</v>
      </c>
      <c r="U976" t="n">
        <v/>
      </c>
      <c r="V976" t="n">
        <v>151.735619745</v>
      </c>
      <c r="W976" t="n">
        <v>56.304692058</v>
      </c>
      <c r="X976" t="n">
        <v>42.603802365</v>
      </c>
      <c r="Y976" t="n">
        <v/>
      </c>
      <c r="Z976" t="n">
        <v>39.99485646</v>
      </c>
      <c r="AA976" t="n">
        <v>28.276299227</v>
      </c>
      <c r="AB976" t="n">
        <v>69.200794581</v>
      </c>
      <c r="AC976" t="n">
        <v>126.289475877</v>
      </c>
      <c r="AD976" t="n">
        <v>104.387154581</v>
      </c>
      <c r="AE976" t="n">
        <v>48.375</v>
      </c>
      <c r="AF976" t="n">
        <v>87.40728394</v>
      </c>
      <c r="AG976" t="n">
        <v>57.4</v>
      </c>
      <c r="AH976" t="n">
        <v>92.316600286</v>
      </c>
      <c r="AI976" t="n">
        <v>93.38633893799999</v>
      </c>
      <c r="AJ976" t="n">
        <v>123.002327386</v>
      </c>
      <c r="AK976" t="n">
        <v/>
      </c>
      <c r="AL976" t="n">
        <v>86.51508088600001</v>
      </c>
      <c r="AM976" t="n">
        <v>45.8</v>
      </c>
      <c r="AN976" t="n">
        <v>120.815676095</v>
      </c>
      <c r="AO976" t="n">
        <v>56.08796115</v>
      </c>
      <c r="AP976" t="n">
        <v>40.806801134</v>
      </c>
      <c r="AQ976" t="n">
        <v>77.38357286999999</v>
      </c>
      <c r="AR976" t="n">
        <v>98.291809016</v>
      </c>
      <c r="AS976" t="n">
        <v>42.196483626</v>
      </c>
      <c r="AT976" t="n">
        <v>91.53495806700001</v>
      </c>
      <c r="AU976" t="n">
        <v/>
      </c>
    </row>
    <row r="977">
      <c r="A977" s="106" t="n">
        <v>36617</v>
      </c>
      <c r="B977" t="n">
        <v>70.094570236</v>
      </c>
      <c r="C977" t="n">
        <v>71.19406716100001</v>
      </c>
      <c r="D977" t="n">
        <v>82.88636483000001</v>
      </c>
      <c r="E977" t="n">
        <v>95.300022205</v>
      </c>
      <c r="F977" t="n">
        <v/>
      </c>
      <c r="G977" t="n">
        <v/>
      </c>
      <c r="H977" t="n">
        <v>69.037339424</v>
      </c>
      <c r="I977" t="n">
        <v>70.094570236</v>
      </c>
      <c r="J977" t="n">
        <v>60.489918347</v>
      </c>
      <c r="K977" t="n">
        <v>79.506625552</v>
      </c>
      <c r="L977" t="n">
        <v>108.6</v>
      </c>
      <c r="M977" t="n">
        <v>94.692108991</v>
      </c>
      <c r="N977" t="n">
        <v>123.691103076</v>
      </c>
      <c r="O977" t="n">
        <v>44.603716976</v>
      </c>
      <c r="P977" t="n">
        <v/>
      </c>
      <c r="Q977" t="n">
        <v>97.00808400699999</v>
      </c>
      <c r="R977" t="n">
        <v>108.76</v>
      </c>
      <c r="S977" t="n">
        <v>95.691849725</v>
      </c>
      <c r="T977" t="n">
        <v>98.903431199</v>
      </c>
      <c r="U977" t="n">
        <v/>
      </c>
      <c r="V977" t="n">
        <v>152.135186881</v>
      </c>
      <c r="W977" t="n">
        <v>55.704642054</v>
      </c>
      <c r="X977" t="n">
        <v>42.775219329</v>
      </c>
      <c r="Y977" t="n">
        <v/>
      </c>
      <c r="Z977" t="n">
        <v>43.144525691</v>
      </c>
      <c r="AA977" t="n">
        <v>28.583011993</v>
      </c>
      <c r="AB977" t="n">
        <v>69.901207481</v>
      </c>
      <c r="AC977" t="n">
        <v>127.289392551</v>
      </c>
      <c r="AD977" t="n">
        <v>105.981663052</v>
      </c>
      <c r="AE977" t="n">
        <v>48.096</v>
      </c>
      <c r="AF977" t="n">
        <v>92.70772564400001</v>
      </c>
      <c r="AG977" t="n">
        <v>57.1</v>
      </c>
      <c r="AH977" t="n">
        <v>92.183907594</v>
      </c>
      <c r="AI977" t="n">
        <v>93.76289675699999</v>
      </c>
      <c r="AJ977" t="n">
        <v>117.882079131</v>
      </c>
      <c r="AK977" t="n">
        <v/>
      </c>
      <c r="AL977" t="n">
        <v>87.14119846200001</v>
      </c>
      <c r="AM977" t="n">
        <v>47</v>
      </c>
      <c r="AN977" t="n">
        <v>119.663831726</v>
      </c>
      <c r="AO977" t="n">
        <v>61.558842884</v>
      </c>
      <c r="AP977" t="n">
        <v>41.40690115</v>
      </c>
      <c r="AQ977" t="n">
        <v>77.38357286999999</v>
      </c>
      <c r="AR977" t="n">
        <v>99.391717357</v>
      </c>
      <c r="AS977" t="n">
        <v>43.296391967</v>
      </c>
      <c r="AT977" t="n">
        <v>92.105515838</v>
      </c>
      <c r="AU977" t="n">
        <v/>
      </c>
    </row>
    <row r="978">
      <c r="A978" s="106" t="n">
        <v>36647</v>
      </c>
      <c r="B978" t="n">
        <v>71.36133957200001</v>
      </c>
      <c r="C978" t="n">
        <v>71.894008833</v>
      </c>
      <c r="D978" t="n">
        <v>82.649396188</v>
      </c>
      <c r="E978" t="n">
        <v>96.747897878</v>
      </c>
      <c r="F978" t="n">
        <v/>
      </c>
      <c r="G978" t="n">
        <v/>
      </c>
      <c r="H978" t="n">
        <v>69.804385956</v>
      </c>
      <c r="I978" t="n">
        <v>71.36133957200001</v>
      </c>
      <c r="J978" t="n">
        <v>61.389768372</v>
      </c>
      <c r="K978" t="n">
        <v>81.406783899</v>
      </c>
      <c r="L978" t="n">
        <v>112.8</v>
      </c>
      <c r="M978" t="n">
        <v>95.992000667</v>
      </c>
      <c r="N978" t="n">
        <v>124.782103985</v>
      </c>
      <c r="O978" t="n">
        <v>44.903741978</v>
      </c>
      <c r="P978" t="n">
        <v/>
      </c>
      <c r="Q978" t="n">
        <v>101.30844237</v>
      </c>
      <c r="R978" t="n">
        <v>110.1</v>
      </c>
      <c r="S978" t="n">
        <v>96.115338337</v>
      </c>
      <c r="T978" t="n">
        <v>98.266713831</v>
      </c>
      <c r="U978" t="n">
        <v/>
      </c>
      <c r="V978" t="n">
        <v>148.239407309</v>
      </c>
      <c r="W978" t="n">
        <v>57.004750396</v>
      </c>
      <c r="X978" t="n">
        <v>43.079916124</v>
      </c>
      <c r="Y978" t="n">
        <v/>
      </c>
      <c r="Z978" t="n">
        <v>43.501092019</v>
      </c>
      <c r="AA978" t="n">
        <v>29.115003804</v>
      </c>
      <c r="AB978" t="n">
        <v>71.442115863</v>
      </c>
      <c r="AC978" t="n">
        <v>127.989334222</v>
      </c>
      <c r="AD978" t="n">
        <v>105.343859663</v>
      </c>
      <c r="AE978" t="n">
        <v>49.946</v>
      </c>
      <c r="AF978" t="n">
        <v>93.50779231600001</v>
      </c>
      <c r="AG978" t="n">
        <v>58.7</v>
      </c>
      <c r="AH978" t="n">
        <v>93.181716227</v>
      </c>
      <c r="AI978" t="n">
        <v>95.080849121</v>
      </c>
      <c r="AJ978" t="n">
        <v>122.885958107</v>
      </c>
      <c r="AK978" t="n">
        <v/>
      </c>
      <c r="AL978" t="n">
        <v>87.848341593</v>
      </c>
      <c r="AM978" t="n">
        <v>48</v>
      </c>
      <c r="AN978" t="n">
        <v>128.622621267</v>
      </c>
      <c r="AO978" t="n">
        <v>56.746772225</v>
      </c>
      <c r="AP978" t="n">
        <v>39.506584431</v>
      </c>
      <c r="AQ978" t="n">
        <v>79.343832255</v>
      </c>
      <c r="AR978" t="n">
        <v>101.191567369</v>
      </c>
      <c r="AS978" t="n">
        <v>43.896341972</v>
      </c>
      <c r="AT978" t="n">
        <v>92.37800328199999</v>
      </c>
      <c r="AU978" t="n">
        <v/>
      </c>
    </row>
    <row r="979">
      <c r="A979" s="106" t="n">
        <v>36678</v>
      </c>
      <c r="B979" t="n">
        <v>70.770180555</v>
      </c>
      <c r="C979" t="n">
        <v>70.99408382599999</v>
      </c>
      <c r="D979" t="n">
        <v>84.668017949</v>
      </c>
      <c r="E979" t="n">
        <v>97.074820286</v>
      </c>
      <c r="F979" t="n">
        <v/>
      </c>
      <c r="G979" t="n">
        <v/>
      </c>
      <c r="H979" t="n">
        <v>69.507781229</v>
      </c>
      <c r="I979" t="n">
        <v>70.770180555</v>
      </c>
      <c r="J979" t="n">
        <v>61.289785036</v>
      </c>
      <c r="K979" t="n">
        <v>79.606633886</v>
      </c>
      <c r="L979" t="n">
        <v>110.3</v>
      </c>
      <c r="M979" t="n">
        <v>94.692108991</v>
      </c>
      <c r="N979" t="n">
        <v>123.663103053</v>
      </c>
      <c r="O979" t="n">
        <v>46.803900325</v>
      </c>
      <c r="P979" t="n">
        <v/>
      </c>
      <c r="Q979" t="n">
        <v>97.00808400699999</v>
      </c>
      <c r="R979" t="n">
        <v>108.68</v>
      </c>
      <c r="S979" t="n">
        <v>96.097759068</v>
      </c>
      <c r="T979" t="n">
        <v>98.903431199</v>
      </c>
      <c r="U979" t="n">
        <v/>
      </c>
      <c r="V979" t="n">
        <v>150.237242987</v>
      </c>
      <c r="W979" t="n">
        <v>58.704892074</v>
      </c>
      <c r="X979" t="n">
        <v>42.751140438</v>
      </c>
      <c r="Y979" t="n">
        <v/>
      </c>
      <c r="Z979" t="n">
        <v>43.917086068</v>
      </c>
      <c r="AA979" t="n">
        <v>29.242759184</v>
      </c>
      <c r="AB979" t="n">
        <v>71.442115863</v>
      </c>
      <c r="AC979" t="n">
        <v>127.789350887</v>
      </c>
      <c r="AD979" t="n">
        <v>106.725767005</v>
      </c>
      <c r="AE979" t="n">
        <v>49.426</v>
      </c>
      <c r="AF979" t="n">
        <v>91.30760896699999</v>
      </c>
      <c r="AG979" t="n">
        <v>58.6</v>
      </c>
      <c r="AH979" t="n">
        <v>93.60291259500001</v>
      </c>
      <c r="AI979" t="n">
        <v>93.951175666</v>
      </c>
      <c r="AJ979" t="n">
        <v>120.32583398</v>
      </c>
      <c r="AK979" t="n">
        <v/>
      </c>
      <c r="AL979" t="n">
        <v>87.79979883</v>
      </c>
      <c r="AM979" t="n">
        <v>48.1</v>
      </c>
      <c r="AN979" t="n">
        <v>127.726742313</v>
      </c>
      <c r="AO979" t="n">
        <v>57.439453584</v>
      </c>
      <c r="AP979" t="n">
        <v>38.206367728</v>
      </c>
      <c r="AQ979" t="n">
        <v>79.43717794</v>
      </c>
      <c r="AR979" t="n">
        <v>104.091325723</v>
      </c>
      <c r="AS979" t="n">
        <v>44.496291976</v>
      </c>
      <c r="AT979" t="n">
        <v>92.43234211799999</v>
      </c>
      <c r="AU979" t="n">
        <v/>
      </c>
    </row>
    <row r="980">
      <c r="A980" s="106" t="n">
        <v>36708</v>
      </c>
      <c r="B980" t="n">
        <v>71.699144731</v>
      </c>
      <c r="C980" t="n">
        <v>70.99408382599999</v>
      </c>
      <c r="D980" t="n">
        <v>85.264827861</v>
      </c>
      <c r="E980" t="n">
        <v>97.079635837</v>
      </c>
      <c r="F980" t="n">
        <v/>
      </c>
      <c r="G980" t="n">
        <v/>
      </c>
      <c r="H980" t="n">
        <v>70.063702668</v>
      </c>
      <c r="I980" t="n">
        <v>71.699144731</v>
      </c>
      <c r="J980" t="n">
        <v>61.789701716</v>
      </c>
      <c r="K980" t="n">
        <v>80.906742229</v>
      </c>
      <c r="L980" t="n">
        <v>107.4</v>
      </c>
      <c r="M980" t="n">
        <v>95.792017332</v>
      </c>
      <c r="N980" t="n">
        <v>124.643103869</v>
      </c>
      <c r="O980" t="n">
        <v>43.403616968</v>
      </c>
      <c r="P980" t="n">
        <v/>
      </c>
      <c r="Q980" t="n">
        <v>100.408367364</v>
      </c>
      <c r="R980" t="n">
        <v>109.95</v>
      </c>
      <c r="S980" t="n">
        <v>96.137142031</v>
      </c>
      <c r="T980" t="n">
        <v>98.266713831</v>
      </c>
      <c r="U980" t="n">
        <v/>
      </c>
      <c r="V980" t="n">
        <v>147.939731957</v>
      </c>
      <c r="W980" t="n">
        <v>59.004917076</v>
      </c>
      <c r="X980" t="n">
        <v>42.84706712</v>
      </c>
      <c r="Y980" t="n">
        <v/>
      </c>
      <c r="Z980" t="n">
        <v>46.056484037</v>
      </c>
      <c r="AA980" t="n">
        <v>29.735978512</v>
      </c>
      <c r="AB980" t="n">
        <v>72.142528763</v>
      </c>
      <c r="AC980" t="n">
        <v>126.789434214</v>
      </c>
      <c r="AD980" t="n">
        <v>106.513165876</v>
      </c>
      <c r="AE980" t="n">
        <v>51.021</v>
      </c>
      <c r="AF980" t="n">
        <v>93.10775898</v>
      </c>
      <c r="AG980" t="n">
        <v>58.4</v>
      </c>
      <c r="AH980" t="n">
        <v>92.77404082699999</v>
      </c>
      <c r="AI980" t="n">
        <v>95.551546394</v>
      </c>
      <c r="AJ980" t="n">
        <v>124.049650892</v>
      </c>
      <c r="AK980" t="n">
        <v/>
      </c>
      <c r="AL980" t="n">
        <v>87.980092392</v>
      </c>
      <c r="AM980" t="n">
        <v>47.7</v>
      </c>
      <c r="AN980" t="n">
        <v>125.551036281</v>
      </c>
      <c r="AO980" t="n">
        <v>57.457497115</v>
      </c>
      <c r="AP980" t="n">
        <v>40.106684447</v>
      </c>
      <c r="AQ980" t="n">
        <v>79.157140885</v>
      </c>
      <c r="AR980" t="n">
        <v>100.691609033</v>
      </c>
      <c r="AS980" t="n">
        <v>44.69627531</v>
      </c>
      <c r="AT980" t="n">
        <v>92.25702996299999</v>
      </c>
      <c r="AU980" t="n">
        <v/>
      </c>
    </row>
    <row r="981">
      <c r="A981" s="106" t="n">
        <v>36739</v>
      </c>
      <c r="B981" t="n">
        <v>71.95249859800001</v>
      </c>
      <c r="C981" t="n">
        <v>72.993917174</v>
      </c>
      <c r="D981" t="n">
        <v>85.247274629</v>
      </c>
      <c r="E981" t="n">
        <v>98.06388096000001</v>
      </c>
      <c r="F981" t="n">
        <v/>
      </c>
      <c r="G981" t="n">
        <v/>
      </c>
      <c r="H981" t="n">
        <v>69.892655421</v>
      </c>
      <c r="I981" t="n">
        <v>71.95249859800001</v>
      </c>
      <c r="J981" t="n">
        <v>64.58923512699999</v>
      </c>
      <c r="K981" t="n">
        <v>81.706808901</v>
      </c>
      <c r="L981" t="n">
        <v>111.8</v>
      </c>
      <c r="M981" t="n">
        <v>95.892008999</v>
      </c>
      <c r="N981" t="n">
        <v>123.514102928</v>
      </c>
      <c r="O981" t="n">
        <v>45.403783649</v>
      </c>
      <c r="P981" t="n">
        <v/>
      </c>
      <c r="Q981" t="n">
        <v>100.8084007</v>
      </c>
      <c r="R981" t="n">
        <v>108.97</v>
      </c>
      <c r="S981" t="n">
        <v>96.562894118</v>
      </c>
      <c r="T981" t="n">
        <v>99.540148567</v>
      </c>
      <c r="U981" t="n">
        <v/>
      </c>
      <c r="V981" t="n">
        <v>153.533671855</v>
      </c>
      <c r="W981" t="n">
        <v>59.504958747</v>
      </c>
      <c r="X981" t="n">
        <v>42.928883053</v>
      </c>
      <c r="Y981" t="n">
        <v/>
      </c>
      <c r="Z981" t="n">
        <v>44.689646446</v>
      </c>
      <c r="AA981" t="n">
        <v>29.993907032</v>
      </c>
      <c r="AB981" t="n">
        <v>72.84294166399999</v>
      </c>
      <c r="AC981" t="n">
        <v>127.989334222</v>
      </c>
      <c r="AD981" t="n">
        <v>108.001373782</v>
      </c>
      <c r="AE981" t="n">
        <v>51.81</v>
      </c>
      <c r="AF981" t="n">
        <v>94.10784232</v>
      </c>
      <c r="AG981" t="n">
        <v>59.7</v>
      </c>
      <c r="AH981" t="n">
        <v>93.566527364</v>
      </c>
      <c r="AI981" t="n">
        <v>95.080849121</v>
      </c>
      <c r="AJ981" t="n">
        <v>121.140418929</v>
      </c>
      <c r="AK981" t="n">
        <v/>
      </c>
      <c r="AL981" t="n">
        <v>88.513545138</v>
      </c>
      <c r="AM981" t="n">
        <v>48.2</v>
      </c>
      <c r="AN981" t="n">
        <v>131.566223545</v>
      </c>
      <c r="AO981" t="n">
        <v>57.571606521</v>
      </c>
      <c r="AP981" t="n">
        <v>40.606767795</v>
      </c>
      <c r="AQ981" t="n">
        <v>79.0637952</v>
      </c>
      <c r="AR981" t="n">
        <v>102.791434047</v>
      </c>
      <c r="AS981" t="n">
        <v>45.796183651</v>
      </c>
      <c r="AT981" t="n">
        <v>92.009133816</v>
      </c>
      <c r="AU981" t="n">
        <v/>
      </c>
    </row>
    <row r="982">
      <c r="A982" s="106" t="n">
        <v>36770</v>
      </c>
      <c r="B982" t="n">
        <v>72.121401183</v>
      </c>
      <c r="C982" t="n">
        <v>74.193817182</v>
      </c>
      <c r="D982" t="n">
        <v>84.22918713200001</v>
      </c>
      <c r="E982" t="n">
        <v>98.025089021</v>
      </c>
      <c r="F982" t="n">
        <v/>
      </c>
      <c r="G982" t="n">
        <v/>
      </c>
      <c r="H982" t="n">
        <v>69.692539592</v>
      </c>
      <c r="I982" t="n">
        <v>72.121401183</v>
      </c>
      <c r="J982" t="n">
        <v>64.38926845500001</v>
      </c>
      <c r="K982" t="n">
        <v>81.806817235</v>
      </c>
      <c r="L982" t="n">
        <v>108.2</v>
      </c>
      <c r="M982" t="n">
        <v>95.992000667</v>
      </c>
      <c r="N982" t="n">
        <v>123.673103061</v>
      </c>
      <c r="O982" t="n">
        <v>46.303858655</v>
      </c>
      <c r="P982" t="n">
        <v/>
      </c>
      <c r="Q982" t="n">
        <v>102.608550713</v>
      </c>
      <c r="R982" t="n">
        <v>109.27</v>
      </c>
      <c r="S982" t="n">
        <v>96.320727797</v>
      </c>
      <c r="T982" t="n">
        <v>99.115670322</v>
      </c>
      <c r="U982" t="n">
        <v/>
      </c>
      <c r="V982" t="n">
        <v>146.641138766</v>
      </c>
      <c r="W982" t="n">
        <v>61.105092091</v>
      </c>
      <c r="X982" t="n">
        <v>43.43837679</v>
      </c>
      <c r="Y982" t="n">
        <v/>
      </c>
      <c r="Z982" t="n">
        <v>45.699917709</v>
      </c>
      <c r="AA982" t="n">
        <v>29.651225474</v>
      </c>
      <c r="AB982" t="n">
        <v>71.442115863</v>
      </c>
      <c r="AC982" t="n">
        <v>127.889342555</v>
      </c>
      <c r="AD982" t="n">
        <v>105.769061922</v>
      </c>
      <c r="AE982" t="n">
        <v>50.576</v>
      </c>
      <c r="AF982" t="n">
        <v>91.90765897199999</v>
      </c>
      <c r="AG982" t="n">
        <v>60.4</v>
      </c>
      <c r="AH982" t="n">
        <v>93.469777229</v>
      </c>
      <c r="AI982" t="n">
        <v>94.04531512</v>
      </c>
      <c r="AJ982" t="n">
        <v>121.489526765</v>
      </c>
      <c r="AK982" t="n">
        <v/>
      </c>
      <c r="AL982" t="n">
        <v>88.189827933</v>
      </c>
      <c r="AM982" t="n">
        <v>48.3</v>
      </c>
      <c r="AN982" t="n">
        <v>132.462102499</v>
      </c>
      <c r="AO982" t="n">
        <v>57.40942156</v>
      </c>
      <c r="AP982" t="n">
        <v>40.706784464</v>
      </c>
      <c r="AQ982" t="n">
        <v>79.62386931</v>
      </c>
      <c r="AR982" t="n">
        <v>102.891425715</v>
      </c>
      <c r="AS982" t="n">
        <v>43.996333639</v>
      </c>
      <c r="AT982" t="n">
        <v>92.37076471500001</v>
      </c>
      <c r="AU982" t="n">
        <v/>
      </c>
    </row>
    <row r="983">
      <c r="A983" s="106" t="n">
        <v>36800</v>
      </c>
      <c r="B983" t="n">
        <v>71.86804730599999</v>
      </c>
      <c r="C983" t="n">
        <v>74.393800517</v>
      </c>
      <c r="D983" t="n">
        <v>86.054723333</v>
      </c>
      <c r="E983" t="n">
        <v>98.24232387799999</v>
      </c>
      <c r="F983" t="n">
        <v/>
      </c>
      <c r="G983" t="n">
        <v/>
      </c>
      <c r="H983" t="n">
        <v>70.86803666900001</v>
      </c>
      <c r="I983" t="n">
        <v>71.86804730599999</v>
      </c>
      <c r="J983" t="n">
        <v>65.38910181599999</v>
      </c>
      <c r="K983" t="n">
        <v>81.506792233</v>
      </c>
      <c r="L983" t="n">
        <v>110.9</v>
      </c>
      <c r="M983" t="n">
        <v>96.19198400099999</v>
      </c>
      <c r="N983" t="n">
        <v>122.327101939</v>
      </c>
      <c r="O983" t="n">
        <v>45.203766981</v>
      </c>
      <c r="P983" t="n">
        <v/>
      </c>
      <c r="Q983" t="n">
        <v>103.608634053</v>
      </c>
      <c r="R983" t="n">
        <v>110.46</v>
      </c>
      <c r="S983" t="n">
        <v>96.549847437</v>
      </c>
      <c r="T983" t="n">
        <v>99.540148567</v>
      </c>
      <c r="U983" t="n">
        <v/>
      </c>
      <c r="V983" t="n">
        <v>149.538000499</v>
      </c>
      <c r="W983" t="n">
        <v>60.105008751</v>
      </c>
      <c r="X983" t="n">
        <v>43.320153249</v>
      </c>
      <c r="Y983" t="n">
        <v/>
      </c>
      <c r="Z983" t="n">
        <v>48.374165169</v>
      </c>
      <c r="AA983" t="n">
        <v>29.468420346</v>
      </c>
      <c r="AB983" t="n">
        <v>72.142528763</v>
      </c>
      <c r="AC983" t="n">
        <v>128.389300892</v>
      </c>
      <c r="AD983" t="n">
        <v>107.363570394</v>
      </c>
      <c r="AE983" t="n">
        <v>50.222</v>
      </c>
      <c r="AF983" t="n">
        <v>89.307442287</v>
      </c>
      <c r="AG983" t="n">
        <v>61</v>
      </c>
      <c r="AH983" t="n">
        <v>92.518632622</v>
      </c>
      <c r="AI983" t="n">
        <v>95.26912803</v>
      </c>
      <c r="AJ983" t="n">
        <v>123.235065943</v>
      </c>
      <c r="AK983" t="n">
        <v/>
      </c>
      <c r="AL983" t="n">
        <v>88.344112056</v>
      </c>
      <c r="AM983" t="n">
        <v>48</v>
      </c>
      <c r="AN983" t="n">
        <v>130.030431052</v>
      </c>
      <c r="AO983" t="n">
        <v>57.660253274</v>
      </c>
      <c r="AP983" t="n">
        <v>41.206867811</v>
      </c>
      <c r="AQ983" t="n">
        <v>78.78375814499999</v>
      </c>
      <c r="AR983" t="n">
        <v>103.391384051</v>
      </c>
      <c r="AS983" t="n">
        <v>44.596283643</v>
      </c>
      <c r="AT983" t="n">
        <v>92.05484586599999</v>
      </c>
      <c r="AU983" t="n">
        <v/>
      </c>
    </row>
    <row r="984">
      <c r="A984" s="106" t="n">
        <v>36831</v>
      </c>
      <c r="B984" t="n">
        <v>74.48603729</v>
      </c>
      <c r="C984" t="n">
        <v>75.09374218799999</v>
      </c>
      <c r="D984" t="n">
        <v>85.335040792</v>
      </c>
      <c r="E984" t="n">
        <v>98.234833021</v>
      </c>
      <c r="F984" t="n">
        <v/>
      </c>
      <c r="G984" t="n">
        <v/>
      </c>
      <c r="H984" t="n">
        <v>69.23212471399999</v>
      </c>
      <c r="I984" t="n">
        <v>74.48603729</v>
      </c>
      <c r="J984" t="n">
        <v>64.88918513599999</v>
      </c>
      <c r="K984" t="n">
        <v>82.206850571</v>
      </c>
      <c r="L984" t="n">
        <v>110.2</v>
      </c>
      <c r="M984" t="n">
        <v>97.091909008</v>
      </c>
      <c r="N984" t="n">
        <v>125.371104476</v>
      </c>
      <c r="O984" t="n">
        <v>46.503875323</v>
      </c>
      <c r="P984" t="n">
        <v/>
      </c>
      <c r="Q984" t="n">
        <v>103.208600717</v>
      </c>
      <c r="R984" t="n">
        <v>110.26</v>
      </c>
      <c r="S984" t="n">
        <v>96.874557788</v>
      </c>
      <c r="T984" t="n">
        <v>100.49522462</v>
      </c>
      <c r="U984" t="n">
        <v/>
      </c>
      <c r="V984" t="n">
        <v>148.838758012</v>
      </c>
      <c r="W984" t="n">
        <v>61.105092091</v>
      </c>
      <c r="X984" t="n">
        <v>43.770048804</v>
      </c>
      <c r="Y984" t="n">
        <v/>
      </c>
      <c r="Z984" t="n">
        <v>50.394707694</v>
      </c>
      <c r="AA984" t="n">
        <v>30.342927051</v>
      </c>
      <c r="AB984" t="n">
        <v>70.74170296200001</v>
      </c>
      <c r="AC984" t="n">
        <v>129.989167569</v>
      </c>
      <c r="AD984" t="n">
        <v>107.788772653</v>
      </c>
      <c r="AE984" t="n">
        <v>49.45</v>
      </c>
      <c r="AF984" t="n">
        <v>93.907825652</v>
      </c>
      <c r="AG984" t="n">
        <v>61.5</v>
      </c>
      <c r="AH984" t="n">
        <v>91.66012887799999</v>
      </c>
      <c r="AI984" t="n">
        <v>94.704291302</v>
      </c>
      <c r="AJ984" t="n">
        <v>119.976726144</v>
      </c>
      <c r="AK984" t="n">
        <v/>
      </c>
      <c r="AL984" t="n">
        <v>88.618438625</v>
      </c>
      <c r="AM984" t="n">
        <v>47.7</v>
      </c>
      <c r="AN984" t="n">
        <v>131.438240837</v>
      </c>
      <c r="AO984" t="n">
        <v>57.660572942</v>
      </c>
      <c r="AP984" t="n">
        <v>41.40690115</v>
      </c>
      <c r="AQ984" t="n">
        <v>80.27728910499999</v>
      </c>
      <c r="AR984" t="n">
        <v>106.591117407</v>
      </c>
      <c r="AS984" t="n">
        <v>45.196233647</v>
      </c>
      <c r="AT984" t="n">
        <v>92.058217253</v>
      </c>
      <c r="AU984" t="n">
        <v/>
      </c>
    </row>
    <row r="985">
      <c r="A985" s="106" t="n">
        <v>36861</v>
      </c>
      <c r="B985" t="n">
        <v>75.668355334</v>
      </c>
      <c r="C985" t="n">
        <v>75.29372552300001</v>
      </c>
      <c r="D985" t="n">
        <v>89.17042213800001</v>
      </c>
      <c r="E985" t="n">
        <v>98.332749225</v>
      </c>
      <c r="F985" t="n">
        <v/>
      </c>
      <c r="G985" t="n">
        <v/>
      </c>
      <c r="H985" t="n">
        <v>71.070253268</v>
      </c>
      <c r="I985" t="n">
        <v>75.668355334</v>
      </c>
      <c r="J985" t="n">
        <v>66.288951841</v>
      </c>
      <c r="K985" t="n">
        <v>82.70689224100001</v>
      </c>
      <c r="L985" t="n">
        <v>115.2</v>
      </c>
      <c r="M985" t="n">
        <v>97.79185067900001</v>
      </c>
      <c r="N985" t="n">
        <v>126.429105358</v>
      </c>
      <c r="O985" t="n">
        <v>47.903991999</v>
      </c>
      <c r="P985" t="n">
        <v/>
      </c>
      <c r="Q985" t="n">
        <v>102.608550713</v>
      </c>
      <c r="R985" t="n">
        <v>111.25</v>
      </c>
      <c r="S985" t="n">
        <v>97.335122396</v>
      </c>
      <c r="T985" t="n">
        <v>103.042094093</v>
      </c>
      <c r="U985" t="n">
        <v/>
      </c>
      <c r="V985" t="n">
        <v>150.83659369</v>
      </c>
      <c r="W985" t="n">
        <v>61.605133761</v>
      </c>
      <c r="X985" t="n">
        <v>43.688704776</v>
      </c>
      <c r="Y985" t="n">
        <v/>
      </c>
      <c r="Z985" t="n">
        <v>49.978713645</v>
      </c>
      <c r="AA985" t="n">
        <v>31.377436753</v>
      </c>
      <c r="AB985" t="n">
        <v>70.74170296200001</v>
      </c>
      <c r="AC985" t="n">
        <v>131.789017582</v>
      </c>
      <c r="AD985" t="n">
        <v>108.8517783</v>
      </c>
      <c r="AE985" t="n">
        <v>48.73</v>
      </c>
      <c r="AF985" t="n">
        <v>100.108342362</v>
      </c>
      <c r="AG985" t="n">
        <v>63.1</v>
      </c>
      <c r="AH985" t="n">
        <v>90.625263199</v>
      </c>
      <c r="AI985" t="n">
        <v>93.668757302</v>
      </c>
      <c r="AJ985" t="n">
        <v>120.558572537</v>
      </c>
      <c r="AK985" t="n">
        <v/>
      </c>
      <c r="AL985" t="n">
        <v>88.898478004</v>
      </c>
      <c r="AM985" t="n">
        <v>51.6</v>
      </c>
      <c r="AN985" t="n">
        <v>131.054292714</v>
      </c>
      <c r="AO985" t="n">
        <v>58.723633098</v>
      </c>
      <c r="AP985" t="n">
        <v>42.607101184</v>
      </c>
      <c r="AQ985" t="n">
        <v>81.397437325</v>
      </c>
      <c r="AR985" t="n">
        <v>100.991584035</v>
      </c>
      <c r="AS985" t="n">
        <v>43.296391967</v>
      </c>
      <c r="AT985" t="n">
        <v>91.754693211</v>
      </c>
      <c r="AU985" t="n">
        <v/>
      </c>
    </row>
    <row r="986">
      <c r="A986" s="106" t="n">
        <v>36892</v>
      </c>
      <c r="B986" t="n">
        <v>73.641524386</v>
      </c>
      <c r="C986" t="n">
        <v>76.793600533</v>
      </c>
      <c r="D986" t="n">
        <v>87.011374515</v>
      </c>
      <c r="E986" t="n">
        <v>95.816356287</v>
      </c>
      <c r="F986" t="n">
        <v/>
      </c>
      <c r="G986" t="n">
        <v/>
      </c>
      <c r="H986" t="n">
        <v>67.249023158</v>
      </c>
      <c r="I986" t="n">
        <v>73.641524386</v>
      </c>
      <c r="J986" t="n">
        <v>66.888851858</v>
      </c>
      <c r="K986" t="n">
        <v>82.506875573</v>
      </c>
      <c r="L986" t="n">
        <v>110.4</v>
      </c>
      <c r="M986" t="n">
        <v>96.891925673</v>
      </c>
      <c r="N986" t="n">
        <v>123.446102872</v>
      </c>
      <c r="O986" t="n">
        <v>49.504125344</v>
      </c>
      <c r="P986" t="n">
        <v/>
      </c>
      <c r="Q986" t="n">
        <v>103.408617385</v>
      </c>
      <c r="R986" t="n">
        <v>110.78</v>
      </c>
      <c r="S986" t="n">
        <v>96.063526279</v>
      </c>
      <c r="T986" t="n">
        <v>103.784931022</v>
      </c>
      <c r="U986" t="n">
        <v/>
      </c>
      <c r="V986" t="n">
        <v>153.333888288</v>
      </c>
      <c r="W986" t="n">
        <v>62.905242104</v>
      </c>
      <c r="X986" t="n">
        <v>43.247023579</v>
      </c>
      <c r="Y986" t="n">
        <v/>
      </c>
      <c r="Z986" t="n">
        <v>49.859858202</v>
      </c>
      <c r="AA986" t="n">
        <v>31.499533586</v>
      </c>
      <c r="AB986" t="n">
        <v>71.442115863</v>
      </c>
      <c r="AC986" t="n">
        <v>128.189317557</v>
      </c>
      <c r="AD986" t="n">
        <v>104.81235684</v>
      </c>
      <c r="AE986" t="n">
        <v>48.23</v>
      </c>
      <c r="AF986" t="n">
        <v>93.707808984</v>
      </c>
      <c r="AG986" t="n">
        <v>63.2</v>
      </c>
      <c r="AH986" t="n">
        <v>91.081789442</v>
      </c>
      <c r="AI986" t="n">
        <v>92.752165662</v>
      </c>
      <c r="AJ986" t="n">
        <v>122.885958107</v>
      </c>
      <c r="AK986" t="n">
        <v/>
      </c>
      <c r="AL986" t="n">
        <v>87.785297453</v>
      </c>
      <c r="AM986" t="n">
        <v>48.3</v>
      </c>
      <c r="AN986" t="n">
        <v>129.518500221</v>
      </c>
      <c r="AO986" t="n">
        <v>57.780233427</v>
      </c>
      <c r="AP986" t="n">
        <v>42.607101184</v>
      </c>
      <c r="AQ986" t="n">
        <v>80.37063479</v>
      </c>
      <c r="AR986" t="n">
        <v>102.091492376</v>
      </c>
      <c r="AS986" t="n">
        <v>41.796516957</v>
      </c>
      <c r="AT986" t="n">
        <v>91.255926164</v>
      </c>
      <c r="AU986" t="n">
        <v/>
      </c>
    </row>
    <row r="987">
      <c r="A987" s="106" t="n">
        <v>36923</v>
      </c>
      <c r="B987" t="n">
        <v>73.979329556</v>
      </c>
      <c r="C987" t="n">
        <v>76.193650529</v>
      </c>
      <c r="D987" t="n">
        <v>87.906589383</v>
      </c>
      <c r="E987" t="n">
        <v>95.59109551100001</v>
      </c>
      <c r="F987" t="n">
        <v/>
      </c>
      <c r="G987" t="n">
        <v/>
      </c>
      <c r="H987" t="n">
        <v>69.856889154</v>
      </c>
      <c r="I987" t="n">
        <v>73.979329556</v>
      </c>
      <c r="J987" t="n">
        <v>65.989001833</v>
      </c>
      <c r="K987" t="n">
        <v>83.406950579</v>
      </c>
      <c r="L987" t="n">
        <v>115</v>
      </c>
      <c r="M987" t="n">
        <v>97.291892342</v>
      </c>
      <c r="N987" t="n">
        <v>123.199102666</v>
      </c>
      <c r="O987" t="n">
        <v>48.804067006</v>
      </c>
      <c r="P987" t="n">
        <v/>
      </c>
      <c r="Q987" t="n">
        <v>101.708475706</v>
      </c>
      <c r="R987" t="n">
        <v>111.5</v>
      </c>
      <c r="S987" t="n">
        <v>96.066327159</v>
      </c>
      <c r="T987" t="n">
        <v>103.784931022</v>
      </c>
      <c r="U987" t="n">
        <v/>
      </c>
      <c r="V987" t="n">
        <v>150.536918338</v>
      </c>
      <c r="W987" t="n">
        <v>61.905158763</v>
      </c>
      <c r="X987" t="n">
        <v>43.933428026</v>
      </c>
      <c r="Y987" t="n">
        <v/>
      </c>
      <c r="Z987" t="n">
        <v>53.960370974</v>
      </c>
      <c r="AA987" t="n">
        <v>32.280702898</v>
      </c>
      <c r="AB987" t="n">
        <v>70.74170296200001</v>
      </c>
      <c r="AC987" t="n">
        <v>127.389384218</v>
      </c>
      <c r="AD987" t="n">
        <v>105.769061922</v>
      </c>
      <c r="AE987" t="n">
        <v>48.741</v>
      </c>
      <c r="AF987" t="n">
        <v>96.20801733499999</v>
      </c>
      <c r="AG987" t="n">
        <v>64.7</v>
      </c>
      <c r="AH987" t="n">
        <v>90.479028122</v>
      </c>
      <c r="AI987" t="n">
        <v>90.98171075</v>
      </c>
      <c r="AJ987" t="n">
        <v>118.580294802</v>
      </c>
      <c r="AK987" t="n">
        <v/>
      </c>
      <c r="AL987" t="n">
        <v>87.771936727</v>
      </c>
      <c r="AM987" t="n">
        <v>47.8</v>
      </c>
      <c r="AN987" t="n">
        <v>130.414379175</v>
      </c>
      <c r="AO987" t="n">
        <v>58.485847895</v>
      </c>
      <c r="AP987" t="n">
        <v>40.606767795</v>
      </c>
      <c r="AQ987" t="n">
        <v>80.9307089</v>
      </c>
      <c r="AR987" t="n">
        <v>101.091575702</v>
      </c>
      <c r="AS987" t="n">
        <v>42.196483626</v>
      </c>
      <c r="AT987" t="n">
        <v>90.63866475899999</v>
      </c>
      <c r="AU987" t="n">
        <v/>
      </c>
    </row>
    <row r="988">
      <c r="A988" s="106" t="n">
        <v>36951</v>
      </c>
      <c r="B988" t="n">
        <v>73.38817052900001</v>
      </c>
      <c r="C988" t="n">
        <v>74.493792184</v>
      </c>
      <c r="D988" t="n">
        <v>86.669086478</v>
      </c>
      <c r="E988" t="n">
        <v>94.867425205</v>
      </c>
      <c r="F988" t="n">
        <v/>
      </c>
      <c r="G988" t="n">
        <v/>
      </c>
      <c r="H988" t="n">
        <v>70.381435713</v>
      </c>
      <c r="I988" t="n">
        <v>73.38817052900001</v>
      </c>
      <c r="J988" t="n">
        <v>66.48891851400001</v>
      </c>
      <c r="K988" t="n">
        <v>82.006833903</v>
      </c>
      <c r="L988" t="n">
        <v>114.3</v>
      </c>
      <c r="M988" t="n">
        <v>96.791934005</v>
      </c>
      <c r="N988" t="n">
        <v>122.575102146</v>
      </c>
      <c r="O988" t="n">
        <v>49.204100342</v>
      </c>
      <c r="P988" t="n">
        <v/>
      </c>
      <c r="Q988" t="n">
        <v>102.708559047</v>
      </c>
      <c r="R988" t="n">
        <v>111.95</v>
      </c>
      <c r="S988" t="n">
        <v>95.434983393</v>
      </c>
      <c r="T988" t="n">
        <v>103.784931022</v>
      </c>
      <c r="U988" t="n">
        <v/>
      </c>
      <c r="V988" t="n">
        <v>142.245900275</v>
      </c>
      <c r="W988" t="n">
        <v>58.904908742</v>
      </c>
      <c r="X988" t="n">
        <v>43.803564158</v>
      </c>
      <c r="Y988" t="n">
        <v/>
      </c>
      <c r="Z988" t="n">
        <v>50.691846301</v>
      </c>
      <c r="AA988" t="n">
        <v>32.456377246</v>
      </c>
      <c r="AB988" t="n">
        <v>69.761124901</v>
      </c>
      <c r="AC988" t="n">
        <v>127.489375885</v>
      </c>
      <c r="AD988" t="n">
        <v>103.961952322</v>
      </c>
      <c r="AE988" t="n">
        <v>49.035</v>
      </c>
      <c r="AF988" t="n">
        <v>98.60821735099999</v>
      </c>
      <c r="AG988" t="n">
        <v>65.3</v>
      </c>
      <c r="AH988" t="n">
        <v>90.653559578</v>
      </c>
      <c r="AI988" t="n">
        <v>94.817696392</v>
      </c>
      <c r="AJ988" t="n">
        <v>120.32583398</v>
      </c>
      <c r="AK988" t="n">
        <v/>
      </c>
      <c r="AL988" t="n">
        <v>87.250585742</v>
      </c>
      <c r="AM988" t="n">
        <v>48.3</v>
      </c>
      <c r="AN988" t="n">
        <v>133.869912284</v>
      </c>
      <c r="AO988" t="n">
        <v>58.136187367</v>
      </c>
      <c r="AP988" t="n">
        <v>42.207034506</v>
      </c>
      <c r="AQ988" t="n">
        <v>81.397437325</v>
      </c>
      <c r="AR988" t="n">
        <v>101.391550704</v>
      </c>
      <c r="AS988" t="n">
        <v>39.79668361</v>
      </c>
      <c r="AT988" t="n">
        <v>90.407823867</v>
      </c>
      <c r="AU988" t="n">
        <v/>
      </c>
    </row>
    <row r="989">
      <c r="A989" s="106" t="n">
        <v>36982</v>
      </c>
      <c r="B989" t="n">
        <v>72.121401183</v>
      </c>
      <c r="C989" t="n">
        <v>73.093908841</v>
      </c>
      <c r="D989" t="n">
        <v>86.370681522</v>
      </c>
      <c r="E989" t="n">
        <v>95.187926879</v>
      </c>
      <c r="F989" t="n">
        <v/>
      </c>
      <c r="G989" t="n">
        <v/>
      </c>
      <c r="H989" t="n">
        <v>70.56974626</v>
      </c>
      <c r="I989" t="n">
        <v>72.121401183</v>
      </c>
      <c r="J989" t="n">
        <v>66.788868522</v>
      </c>
      <c r="K989" t="n">
        <v>80.606717226</v>
      </c>
      <c r="L989" t="n">
        <v>113.6</v>
      </c>
      <c r="M989" t="n">
        <v>95.892008999</v>
      </c>
      <c r="N989" t="n">
        <v>121.445101204</v>
      </c>
      <c r="O989" t="n">
        <v>46.703891991</v>
      </c>
      <c r="P989" t="n">
        <v/>
      </c>
      <c r="Q989" t="n">
        <v>98.308192349</v>
      </c>
      <c r="R989" t="n">
        <v>110.12</v>
      </c>
      <c r="S989" t="n">
        <v>94.790298101</v>
      </c>
      <c r="T989" t="n">
        <v>103.254333215</v>
      </c>
      <c r="U989" t="n">
        <v/>
      </c>
      <c r="V989" t="n">
        <v>140.248064597</v>
      </c>
      <c r="W989" t="n">
        <v>61.005083757</v>
      </c>
      <c r="X989" t="n">
        <v>43.933320771</v>
      </c>
      <c r="Y989" t="n">
        <v/>
      </c>
      <c r="Z989" t="n">
        <v>50.810701744</v>
      </c>
      <c r="AA989" t="n">
        <v>32.989139873</v>
      </c>
      <c r="AB989" t="n">
        <v>68.64046426</v>
      </c>
      <c r="AC989" t="n">
        <v>126.18948421</v>
      </c>
      <c r="AD989" t="n">
        <v>103.217848369</v>
      </c>
      <c r="AE989" t="n">
        <v>49.407</v>
      </c>
      <c r="AF989" t="n">
        <v>93.407783982</v>
      </c>
      <c r="AG989" t="n">
        <v>65</v>
      </c>
      <c r="AH989" t="n">
        <v>88.16262258</v>
      </c>
      <c r="AI989" t="n">
        <v>95.702923848</v>
      </c>
      <c r="AJ989" t="n">
        <v>120.907680372</v>
      </c>
      <c r="AK989" t="n">
        <v/>
      </c>
      <c r="AL989" t="n">
        <v>86.584656</v>
      </c>
      <c r="AM989" t="n">
        <v>47.8</v>
      </c>
      <c r="AN989" t="n">
        <v>129.134552098</v>
      </c>
      <c r="AO989" t="n">
        <v>58.145179811</v>
      </c>
      <c r="AP989" t="n">
        <v>41.206867811</v>
      </c>
      <c r="AQ989" t="n">
        <v>81.11740027</v>
      </c>
      <c r="AR989" t="n">
        <v>96.49195900300001</v>
      </c>
      <c r="AS989" t="n">
        <v>39.496708608</v>
      </c>
      <c r="AT989" t="n">
        <v>90.111935026</v>
      </c>
      <c r="AU989" t="n">
        <v/>
      </c>
    </row>
    <row r="990">
      <c r="A990" s="106" t="n">
        <v>37012</v>
      </c>
      <c r="B990" t="n">
        <v>72.45920634300001</v>
      </c>
      <c r="C990" t="n">
        <v>75.79368386</v>
      </c>
      <c r="D990" t="n">
        <v>87.03770436400001</v>
      </c>
      <c r="E990" t="n">
        <v>95.31527145</v>
      </c>
      <c r="F990" t="n">
        <v/>
      </c>
      <c r="G990" t="n">
        <v/>
      </c>
      <c r="H990" t="n">
        <v>71.86236167600001</v>
      </c>
      <c r="I990" t="n">
        <v>72.45920634300001</v>
      </c>
      <c r="J990" t="n">
        <v>66.888851858</v>
      </c>
      <c r="K990" t="n">
        <v>81.506792233</v>
      </c>
      <c r="L990" t="n">
        <v>108.3</v>
      </c>
      <c r="M990" t="n">
        <v>96.19198400099999</v>
      </c>
      <c r="N990" t="n">
        <v>123.088102573</v>
      </c>
      <c r="O990" t="n">
        <v>49.104092008</v>
      </c>
      <c r="P990" t="n">
        <v/>
      </c>
      <c r="Q990" t="n">
        <v>99.008250688</v>
      </c>
      <c r="R990" t="n">
        <v>110.98</v>
      </c>
      <c r="S990" t="n">
        <v>94.314223191</v>
      </c>
      <c r="T990" t="n">
        <v>102.299257163</v>
      </c>
      <c r="U990" t="n">
        <v/>
      </c>
      <c r="V990" t="n">
        <v>144.343627737</v>
      </c>
      <c r="W990" t="n">
        <v>62.105175431</v>
      </c>
      <c r="X990" t="n">
        <v>43.814418171</v>
      </c>
      <c r="Y990" t="n">
        <v/>
      </c>
      <c r="Z990" t="n">
        <v>45.105640495</v>
      </c>
      <c r="AA990" t="n">
        <v>33.530657309</v>
      </c>
      <c r="AB990" t="n">
        <v>67.23963845900001</v>
      </c>
      <c r="AC990" t="n">
        <v>126.089492542</v>
      </c>
      <c r="AD990" t="n">
        <v>101.198137638</v>
      </c>
      <c r="AE990" t="n">
        <v>49.824</v>
      </c>
      <c r="AF990" t="n">
        <v>96.408034003</v>
      </c>
      <c r="AG990" t="n">
        <v>65.5</v>
      </c>
      <c r="AH990" t="n">
        <v>89.440941924</v>
      </c>
      <c r="AI990" t="n">
        <v>96.489792698</v>
      </c>
      <c r="AJ990" t="n">
        <v>115.554693561</v>
      </c>
      <c r="AK990" t="n">
        <v/>
      </c>
      <c r="AL990" t="n">
        <v>86.41489382100001</v>
      </c>
      <c r="AM990" t="n">
        <v>48</v>
      </c>
      <c r="AN990" t="n">
        <v>133.229998745</v>
      </c>
      <c r="AO990" t="n">
        <v>60.540796114</v>
      </c>
      <c r="AP990" t="n">
        <v>42.007001167</v>
      </c>
      <c r="AQ990" t="n">
        <v>80.9307089</v>
      </c>
      <c r="AR990" t="n">
        <v>100.39163403</v>
      </c>
      <c r="AS990" t="n">
        <v>39.39671694</v>
      </c>
      <c r="AT990" t="n">
        <v>89.614457039</v>
      </c>
      <c r="AU990" t="n">
        <v/>
      </c>
    </row>
    <row r="991">
      <c r="A991" s="106" t="n">
        <v>37043</v>
      </c>
      <c r="B991" t="n">
        <v>72.543657635</v>
      </c>
      <c r="C991" t="n">
        <v>76.793600533</v>
      </c>
      <c r="D991" t="n">
        <v>85.95818055300001</v>
      </c>
      <c r="E991" t="n">
        <v>94.377041593</v>
      </c>
      <c r="F991" t="n">
        <v/>
      </c>
      <c r="G991" t="n">
        <v/>
      </c>
      <c r="H991" t="n">
        <v>74.011923771</v>
      </c>
      <c r="I991" t="n">
        <v>72.543657635</v>
      </c>
      <c r="J991" t="n">
        <v>66.788868522</v>
      </c>
      <c r="K991" t="n">
        <v>81.90682556900001</v>
      </c>
      <c r="L991" t="n">
        <v>108.9</v>
      </c>
      <c r="M991" t="n">
        <v>96.19198400099999</v>
      </c>
      <c r="N991" t="n">
        <v>123.464102887</v>
      </c>
      <c r="O991" t="n">
        <v>48.204017001</v>
      </c>
      <c r="P991" t="n">
        <v/>
      </c>
      <c r="Q991" t="n">
        <v>99.008250688</v>
      </c>
      <c r="R991" t="n">
        <v>111.01</v>
      </c>
      <c r="S991" t="n">
        <v>93.92144848</v>
      </c>
      <c r="T991" t="n">
        <v>102.405376724</v>
      </c>
      <c r="U991" t="n">
        <v/>
      </c>
      <c r="V991" t="n">
        <v>141.646549571</v>
      </c>
      <c r="W991" t="n">
        <v>59.204933744</v>
      </c>
      <c r="X991" t="n">
        <v>44.039439251</v>
      </c>
      <c r="Y991" t="n">
        <v/>
      </c>
      <c r="Z991" t="n">
        <v>49.622147317</v>
      </c>
      <c r="AA991" t="n">
        <v>33.568181456</v>
      </c>
      <c r="AB991" t="n">
        <v>65.20844104699999</v>
      </c>
      <c r="AC991" t="n">
        <v>126.289475877</v>
      </c>
      <c r="AD991" t="n">
        <v>100.135131991</v>
      </c>
      <c r="AE991" t="n">
        <v>49.925</v>
      </c>
      <c r="AF991" t="n">
        <v>96.50804233700001</v>
      </c>
      <c r="AG991" t="n">
        <v>65.3</v>
      </c>
      <c r="AH991" t="n">
        <v>90.114032884</v>
      </c>
      <c r="AI991" t="n">
        <v>93.83411033</v>
      </c>
      <c r="AJ991" t="n">
        <v>118.696664081</v>
      </c>
      <c r="AK991" t="n">
        <v/>
      </c>
      <c r="AL991" t="n">
        <v>86.218038316</v>
      </c>
      <c r="AM991" t="n">
        <v>47.1</v>
      </c>
      <c r="AN991" t="n">
        <v>132.97403333</v>
      </c>
      <c r="AO991" t="n">
        <v>59.945871493</v>
      </c>
      <c r="AP991" t="n">
        <v>43.407234539</v>
      </c>
      <c r="AQ991" t="n">
        <v>81.024054585</v>
      </c>
      <c r="AR991" t="n">
        <v>99.591700692</v>
      </c>
      <c r="AS991" t="n">
        <v>39.696691942</v>
      </c>
      <c r="AT991" t="n">
        <v>89.106369097</v>
      </c>
      <c r="AU991" t="n">
        <v/>
      </c>
    </row>
    <row r="992">
      <c r="A992" s="106" t="n">
        <v>37073</v>
      </c>
      <c r="B992" t="n">
        <v>73.21926794399999</v>
      </c>
      <c r="C992" t="n">
        <v>72.49395883699999</v>
      </c>
      <c r="D992" t="n">
        <v>85.74754176099999</v>
      </c>
      <c r="E992" t="n">
        <v>93.062931226</v>
      </c>
      <c r="F992" t="n">
        <v/>
      </c>
      <c r="G992" t="n">
        <v/>
      </c>
      <c r="H992" t="n">
        <v>69.726698078</v>
      </c>
      <c r="I992" t="n">
        <v>73.21926794399999</v>
      </c>
      <c r="J992" t="n">
        <v>65.589068489</v>
      </c>
      <c r="K992" t="n">
        <v>79.40661721799999</v>
      </c>
      <c r="L992" t="n">
        <v>110.6</v>
      </c>
      <c r="M992" t="n">
        <v>94.392133989</v>
      </c>
      <c r="N992" t="n">
        <v>121.622101352</v>
      </c>
      <c r="O992" t="n">
        <v>49.504125344</v>
      </c>
      <c r="P992" t="n">
        <v/>
      </c>
      <c r="Q992" t="n">
        <v>96.908075673</v>
      </c>
      <c r="R992" t="n">
        <v>109.47</v>
      </c>
      <c r="S992" t="n">
        <v>92.75305409000001</v>
      </c>
      <c r="T992" t="n">
        <v>101.662539795</v>
      </c>
      <c r="U992" t="n">
        <v/>
      </c>
      <c r="V992" t="n">
        <v>141.047198868</v>
      </c>
      <c r="W992" t="n">
        <v>59.004917076</v>
      </c>
      <c r="X992" t="n">
        <v>43.743223603</v>
      </c>
      <c r="Y992" t="n">
        <v/>
      </c>
      <c r="Z992" t="n">
        <v>47.007327578</v>
      </c>
      <c r="AA992" t="n">
        <v>35.893432818</v>
      </c>
      <c r="AB992" t="n">
        <v>66.74934942900001</v>
      </c>
      <c r="AC992" t="n">
        <v>123.88967586</v>
      </c>
      <c r="AD992" t="n">
        <v>98.753224649</v>
      </c>
      <c r="AE992" t="n">
        <v>48.934</v>
      </c>
      <c r="AF992" t="n">
        <v>97.80815067899999</v>
      </c>
      <c r="AG992" t="n">
        <v>66.3</v>
      </c>
      <c r="AH992" t="n">
        <v>91.262110032</v>
      </c>
      <c r="AI992" t="n">
        <v>92.94888287400001</v>
      </c>
      <c r="AJ992" t="n">
        <v>118.580294802</v>
      </c>
      <c r="AK992" t="n">
        <v/>
      </c>
      <c r="AL992" t="n">
        <v>85.265350928</v>
      </c>
      <c r="AM992" t="n">
        <v>47.3</v>
      </c>
      <c r="AN992" t="n">
        <v>128.622621267</v>
      </c>
      <c r="AO992" t="n">
        <v>59.852908122</v>
      </c>
      <c r="AP992" t="n">
        <v>42.107017836</v>
      </c>
      <c r="AQ992" t="n">
        <v>81.770820065</v>
      </c>
      <c r="AR992" t="n">
        <v>99.491709024</v>
      </c>
      <c r="AS992" t="n">
        <v>40.196650279</v>
      </c>
      <c r="AT992" t="n">
        <v>88.57706124400001</v>
      </c>
      <c r="AU992" t="n">
        <v/>
      </c>
    </row>
    <row r="993">
      <c r="A993" s="106" t="n">
        <v>37104</v>
      </c>
      <c r="B993" t="n">
        <v>73.472621812</v>
      </c>
      <c r="C993" t="n">
        <v>75.893675527</v>
      </c>
      <c r="D993" t="n">
        <v>85.76509499300001</v>
      </c>
      <c r="E993" t="n">
        <v>93.555722614</v>
      </c>
      <c r="F993" t="n">
        <v/>
      </c>
      <c r="G993" t="n">
        <v/>
      </c>
      <c r="H993" t="n">
        <v>71.114365921</v>
      </c>
      <c r="I993" t="n">
        <v>73.472621812</v>
      </c>
      <c r="J993" t="n">
        <v>66.988835194</v>
      </c>
      <c r="K993" t="n">
        <v>81.60680056699999</v>
      </c>
      <c r="L993" t="n">
        <v>114.6</v>
      </c>
      <c r="M993" t="n">
        <v>96.791934005</v>
      </c>
      <c r="N993" t="n">
        <v>125.305104421</v>
      </c>
      <c r="O993" t="n">
        <v>49.104092008</v>
      </c>
      <c r="P993" t="n">
        <v/>
      </c>
      <c r="Q993" t="n">
        <v>100.8084007</v>
      </c>
      <c r="R993" t="n">
        <v>112.17</v>
      </c>
      <c r="S993" t="n">
        <v>93.149445312</v>
      </c>
      <c r="T993" t="n">
        <v>103.042094093</v>
      </c>
      <c r="U993" t="n">
        <v/>
      </c>
      <c r="V993" t="n">
        <v>143.14492633</v>
      </c>
      <c r="W993" t="n">
        <v>62.105175431</v>
      </c>
      <c r="X993" t="n">
        <v>44.149365307</v>
      </c>
      <c r="Y993" t="n">
        <v/>
      </c>
      <c r="Z993" t="n">
        <v>49.622147317</v>
      </c>
      <c r="AA993" t="n">
        <v>38.086228639</v>
      </c>
      <c r="AB993" t="n">
        <v>65.97889523800001</v>
      </c>
      <c r="AC993" t="n">
        <v>126.089492542</v>
      </c>
      <c r="AD993" t="n">
        <v>97.371317307</v>
      </c>
      <c r="AE993" t="n">
        <v>50.073</v>
      </c>
      <c r="AF993" t="n">
        <v>96.20801733499999</v>
      </c>
      <c r="AG993" t="n">
        <v>66.09999999999999</v>
      </c>
      <c r="AH993" t="n">
        <v>90.521215349</v>
      </c>
      <c r="AI993" t="n">
        <v>96.09635827300001</v>
      </c>
      <c r="AJ993" t="n">
        <v>119.743987587</v>
      </c>
      <c r="AK993" t="n">
        <v/>
      </c>
      <c r="AL993" t="n">
        <v>85.981057972</v>
      </c>
      <c r="AM993" t="n">
        <v>48.7</v>
      </c>
      <c r="AN993" t="n">
        <v>131.82218896</v>
      </c>
      <c r="AO993" t="n">
        <v>59.529936978</v>
      </c>
      <c r="AP993" t="n">
        <v>42.207034506</v>
      </c>
      <c r="AQ993" t="n">
        <v>81.584128695</v>
      </c>
      <c r="AR993" t="n">
        <v>101.691525706</v>
      </c>
      <c r="AS993" t="n">
        <v>41.396550287</v>
      </c>
      <c r="AT993" t="n">
        <v>88.469275999</v>
      </c>
      <c r="AU993" t="n">
        <v/>
      </c>
    </row>
    <row r="994">
      <c r="A994" s="106" t="n">
        <v>37135</v>
      </c>
      <c r="B994" t="n">
        <v>72.96591407699999</v>
      </c>
      <c r="C994" t="n">
        <v>74.793767186</v>
      </c>
      <c r="D994" t="n">
        <v>84.123867735</v>
      </c>
      <c r="E994" t="n">
        <v>92.121491002</v>
      </c>
      <c r="F994" t="n">
        <v/>
      </c>
      <c r="G994" t="n">
        <v/>
      </c>
      <c r="H994" t="n">
        <v>71.299879461</v>
      </c>
      <c r="I994" t="n">
        <v>72.96591407699999</v>
      </c>
      <c r="J994" t="n">
        <v>66.288951841</v>
      </c>
      <c r="K994" t="n">
        <v>80.50670889200001</v>
      </c>
      <c r="L994" t="n">
        <v>112.6</v>
      </c>
      <c r="M994" t="n">
        <v>95.49204233</v>
      </c>
      <c r="N994" t="n">
        <v>122.872102393</v>
      </c>
      <c r="O994" t="n">
        <v>48.504042004</v>
      </c>
      <c r="P994" t="n">
        <v/>
      </c>
      <c r="Q994" t="n">
        <v>100.108342362</v>
      </c>
      <c r="R994" t="n">
        <v>110.51</v>
      </c>
      <c r="S994" t="n">
        <v>92.08978143100001</v>
      </c>
      <c r="T994" t="n">
        <v>101.556420233</v>
      </c>
      <c r="U994" t="n">
        <v/>
      </c>
      <c r="V994" t="n">
        <v>141.246982436</v>
      </c>
      <c r="W994" t="n">
        <v>58.404867072</v>
      </c>
      <c r="X994" t="n">
        <v>44.262537612</v>
      </c>
      <c r="Y994" t="n">
        <v/>
      </c>
      <c r="Z994" t="n">
        <v>48.849586939</v>
      </c>
      <c r="AA994" t="n">
        <v>37.343851865</v>
      </c>
      <c r="AB994" t="n">
        <v>66.189019108</v>
      </c>
      <c r="AC994" t="n">
        <v>124.189650862</v>
      </c>
      <c r="AD994" t="n">
        <v>95.56420770699999</v>
      </c>
      <c r="AE994" t="n">
        <v>50.083</v>
      </c>
      <c r="AF994" t="n">
        <v>95.907992333</v>
      </c>
      <c r="AG994" t="n">
        <v>66.2</v>
      </c>
      <c r="AH994" t="n">
        <v>90.66227641899999</v>
      </c>
      <c r="AI994" t="n">
        <v>94.42426196700001</v>
      </c>
      <c r="AJ994" t="n">
        <v>123.235065943</v>
      </c>
      <c r="AK994" t="n">
        <v/>
      </c>
      <c r="AL994" t="n">
        <v>85.114666981</v>
      </c>
      <c r="AM994" t="n">
        <v>47.6</v>
      </c>
      <c r="AN994" t="n">
        <v>132.462102499</v>
      </c>
      <c r="AO994" t="n">
        <v>60.215301903</v>
      </c>
      <c r="AP994" t="n">
        <v>42.507084514</v>
      </c>
      <c r="AQ994" t="n">
        <v>80.65067184500001</v>
      </c>
      <c r="AR994" t="n">
        <v>100.491625698</v>
      </c>
      <c r="AS994" t="n">
        <v>41.196566953</v>
      </c>
      <c r="AT994" t="n">
        <v>88.00095059900001</v>
      </c>
      <c r="AU994" t="n">
        <v/>
      </c>
    </row>
    <row r="995">
      <c r="A995" s="106" t="n">
        <v>37165</v>
      </c>
      <c r="B995" t="n">
        <v>73.979329556</v>
      </c>
      <c r="C995" t="n">
        <v>73.193900508</v>
      </c>
      <c r="D995" t="n">
        <v>82.193012138</v>
      </c>
      <c r="E995" t="n">
        <v>92.395174818</v>
      </c>
      <c r="F995" t="n">
        <v/>
      </c>
      <c r="G995" t="n">
        <v/>
      </c>
      <c r="H995" t="n">
        <v>70.325701397</v>
      </c>
      <c r="I995" t="n">
        <v>73.979329556</v>
      </c>
      <c r="J995" t="n">
        <v>66.68888518599999</v>
      </c>
      <c r="K995" t="n">
        <v>79.106592216</v>
      </c>
      <c r="L995" t="n">
        <v>109.5</v>
      </c>
      <c r="M995" t="n">
        <v>94.192150654</v>
      </c>
      <c r="N995" t="n">
        <v>121.914101595</v>
      </c>
      <c r="O995" t="n">
        <v>50.204183682</v>
      </c>
      <c r="P995" t="n">
        <v/>
      </c>
      <c r="Q995" t="n">
        <v>99.20826735599999</v>
      </c>
      <c r="R995" t="n">
        <v>109.76</v>
      </c>
      <c r="S995" t="n">
        <v>91.67016958799999</v>
      </c>
      <c r="T995" t="n">
        <v>100.919702865</v>
      </c>
      <c r="U995" t="n">
        <v/>
      </c>
      <c r="V995" t="n">
        <v>142.745359194</v>
      </c>
      <c r="W995" t="n">
        <v>61.905158763</v>
      </c>
      <c r="X995" t="n">
        <v>44.421507809</v>
      </c>
      <c r="Y995" t="n">
        <v/>
      </c>
      <c r="Z995" t="n">
        <v>46.947899857</v>
      </c>
      <c r="AA995" t="n">
        <v>36.888958906</v>
      </c>
      <c r="AB995" t="n">
        <v>65.558647498</v>
      </c>
      <c r="AC995" t="n">
        <v>123.489709191</v>
      </c>
      <c r="AD995" t="n">
        <v>95.56420770699999</v>
      </c>
      <c r="AE995" t="n">
        <v>50.388</v>
      </c>
      <c r="AF995" t="n">
        <v>96.108009001</v>
      </c>
      <c r="AG995" t="n">
        <v>66.2</v>
      </c>
      <c r="AH995" t="n">
        <v>88.732865221</v>
      </c>
      <c r="AI995" t="n">
        <v>90.98171075</v>
      </c>
      <c r="AJ995" t="n">
        <v>120.907680372</v>
      </c>
      <c r="AK995" t="n">
        <v/>
      </c>
      <c r="AL995" t="n">
        <v>84.560209583</v>
      </c>
      <c r="AM995" t="n">
        <v>47.8</v>
      </c>
      <c r="AN995" t="n">
        <v>133.229998745</v>
      </c>
      <c r="AO995" t="n">
        <v>60.792603554</v>
      </c>
      <c r="AP995" t="n">
        <v>42.407067845</v>
      </c>
      <c r="AQ995" t="n">
        <v>82.05085712</v>
      </c>
      <c r="AR995" t="n">
        <v>100.691609033</v>
      </c>
      <c r="AS995" t="n">
        <v>38.896758603</v>
      </c>
      <c r="AT995" t="n">
        <v>87.73094211599999</v>
      </c>
      <c r="AU995" t="n">
        <v/>
      </c>
    </row>
    <row r="996">
      <c r="A996" s="106" t="n">
        <v>37196</v>
      </c>
      <c r="B996" t="n">
        <v>71.95249859800001</v>
      </c>
      <c r="C996" t="n">
        <v>73.093908841</v>
      </c>
      <c r="D996" t="n">
        <v>83.14966332</v>
      </c>
      <c r="E996" t="n">
        <v>92.478911899</v>
      </c>
      <c r="F996" t="n">
        <v/>
      </c>
      <c r="G996" t="n">
        <v/>
      </c>
      <c r="H996" t="n">
        <v>70.97684282100001</v>
      </c>
      <c r="I996" t="n">
        <v>71.95249859800001</v>
      </c>
      <c r="J996" t="n">
        <v>67.18880186600001</v>
      </c>
      <c r="K996" t="n">
        <v>78.10650887600001</v>
      </c>
      <c r="L996" t="n">
        <v>117.8</v>
      </c>
      <c r="M996" t="n">
        <v>93.492208983</v>
      </c>
      <c r="N996" t="n">
        <v>119.842099868</v>
      </c>
      <c r="O996" t="n">
        <v>51.90432536</v>
      </c>
      <c r="P996" t="n">
        <v/>
      </c>
      <c r="Q996" t="n">
        <v>99.20826735599999</v>
      </c>
      <c r="R996" t="n">
        <v>108.53</v>
      </c>
      <c r="S996" t="n">
        <v>90.865168278</v>
      </c>
      <c r="T996" t="n">
        <v>100.707463742</v>
      </c>
      <c r="U996" t="n">
        <v/>
      </c>
      <c r="V996" t="n">
        <v>144.743194872</v>
      </c>
      <c r="W996" t="n">
        <v>59.804983749</v>
      </c>
      <c r="X996" t="n">
        <v>44.878170309</v>
      </c>
      <c r="Y996" t="n">
        <v/>
      </c>
      <c r="Z996" t="n">
        <v>47.839315677</v>
      </c>
      <c r="AA996" t="n">
        <v>36.268818623</v>
      </c>
      <c r="AB996" t="n">
        <v>64.928275887</v>
      </c>
      <c r="AC996" t="n">
        <v>121.689859178</v>
      </c>
      <c r="AD996" t="n">
        <v>94.07599980000001</v>
      </c>
      <c r="AE996" t="n">
        <v>50.715</v>
      </c>
      <c r="AF996" t="n">
        <v>96.708059005</v>
      </c>
      <c r="AG996" t="n">
        <v>65.90000000000001</v>
      </c>
      <c r="AH996" t="n">
        <v>90.667005222</v>
      </c>
      <c r="AI996" t="n">
        <v>94.030827542</v>
      </c>
      <c r="AJ996" t="n">
        <v>122.304111715</v>
      </c>
      <c r="AK996" t="n">
        <v/>
      </c>
      <c r="AL996" t="n">
        <v>84.191575185</v>
      </c>
      <c r="AM996" t="n">
        <v>47.2</v>
      </c>
      <c r="AN996" t="n">
        <v>134.765791238</v>
      </c>
      <c r="AO996" t="n">
        <v>61.374591285</v>
      </c>
      <c r="AP996" t="n">
        <v>41.40690115</v>
      </c>
      <c r="AQ996" t="n">
        <v>81.024054585</v>
      </c>
      <c r="AR996" t="n">
        <v>101.191567369</v>
      </c>
      <c r="AS996" t="n">
        <v>39.596700275</v>
      </c>
      <c r="AT996" t="n">
        <v>87.22285417400001</v>
      </c>
      <c r="AU996" t="n">
        <v/>
      </c>
    </row>
    <row r="997">
      <c r="A997" s="106" t="n">
        <v>37226</v>
      </c>
      <c r="B997" t="n">
        <v>72.628108918</v>
      </c>
      <c r="C997" t="n">
        <v>72.293975502</v>
      </c>
      <c r="D997" t="n">
        <v>83.395408578</v>
      </c>
      <c r="E997" t="n">
        <v>90.677093226</v>
      </c>
      <c r="F997" t="n">
        <v/>
      </c>
      <c r="G997" t="n">
        <v/>
      </c>
      <c r="H997" t="n">
        <v>67.532820947</v>
      </c>
      <c r="I997" t="n">
        <v>72.628108918</v>
      </c>
      <c r="J997" t="n">
        <v>67.288785202</v>
      </c>
      <c r="K997" t="n">
        <v>78.60655054599999</v>
      </c>
      <c r="L997" t="n">
        <v>113.7</v>
      </c>
      <c r="M997" t="n">
        <v>94.192150654</v>
      </c>
      <c r="N997" t="n">
        <v>119.845099871</v>
      </c>
      <c r="O997" t="n">
        <v>52.704392033</v>
      </c>
      <c r="P997" t="n">
        <v/>
      </c>
      <c r="Q997" t="n">
        <v>95.40795066299999</v>
      </c>
      <c r="R997" t="n">
        <v>109.2</v>
      </c>
      <c r="S997" t="n">
        <v>91.14295942699999</v>
      </c>
      <c r="T997" t="n">
        <v>101.025822427</v>
      </c>
      <c r="U997" t="n">
        <v/>
      </c>
      <c r="V997" t="n">
        <v>132.65628902</v>
      </c>
      <c r="W997" t="n">
        <v>59.504958747</v>
      </c>
      <c r="X997" t="n">
        <v>44.91917941</v>
      </c>
      <c r="Y997" t="n">
        <v/>
      </c>
      <c r="Z997" t="n">
        <v>52.534105662</v>
      </c>
      <c r="AA997" t="n">
        <v>35.804759294</v>
      </c>
      <c r="AB997" t="n">
        <v>65.138399757</v>
      </c>
      <c r="AC997" t="n">
        <v>123.389717524</v>
      </c>
      <c r="AD997" t="n">
        <v>95.03270488299999</v>
      </c>
      <c r="AE997" t="n">
        <v>49.447</v>
      </c>
      <c r="AF997" t="n">
        <v>98.308192349</v>
      </c>
      <c r="AG997" t="n">
        <v>66.3</v>
      </c>
      <c r="AH997" t="n">
        <v>90.38336527200001</v>
      </c>
      <c r="AI997" t="n">
        <v>95.801282454</v>
      </c>
      <c r="AJ997" t="n">
        <v>126.493405741</v>
      </c>
      <c r="AK997" t="n">
        <v/>
      </c>
      <c r="AL997" t="n">
        <v>84.314494831</v>
      </c>
      <c r="AM997" t="n">
        <v>49</v>
      </c>
      <c r="AN997" t="n">
        <v>132.846050622</v>
      </c>
      <c r="AO997" t="n">
        <v>59.573427917</v>
      </c>
      <c r="AP997" t="n">
        <v>41.006834472</v>
      </c>
      <c r="AQ997" t="n">
        <v>81.86416575</v>
      </c>
      <c r="AR997" t="n">
        <v>100.7916007</v>
      </c>
      <c r="AS997" t="n">
        <v>39.496708608</v>
      </c>
      <c r="AT997" t="n">
        <v>87.192908319</v>
      </c>
      <c r="AU997" t="n">
        <v/>
      </c>
    </row>
    <row r="998">
      <c r="A998" s="106" t="n">
        <v>37257</v>
      </c>
      <c r="B998" t="n">
        <v>72.37475505</v>
      </c>
      <c r="C998" t="n">
        <v>73.69385884499999</v>
      </c>
      <c r="D998" t="n">
        <v>85.54913294799999</v>
      </c>
      <c r="E998" t="n">
        <v>93.86605812400001</v>
      </c>
      <c r="F998" t="n">
        <v/>
      </c>
      <c r="G998" t="n">
        <v/>
      </c>
      <c r="H998" t="n">
        <v>71.20662165900001</v>
      </c>
      <c r="I998" t="n">
        <v>72.37475505</v>
      </c>
      <c r="J998" t="n">
        <v>65.38910181599999</v>
      </c>
      <c r="K998" t="n">
        <v>79.006583882</v>
      </c>
      <c r="L998" t="n">
        <v>115.6</v>
      </c>
      <c r="M998" t="n">
        <v>94.192150654</v>
      </c>
      <c r="N998" t="n">
        <v>121.082100902</v>
      </c>
      <c r="O998" t="n">
        <v>51.204267022</v>
      </c>
      <c r="P998" t="n">
        <v/>
      </c>
      <c r="Q998" t="n">
        <v>98.508209017</v>
      </c>
      <c r="R998" t="n">
        <v>109.2</v>
      </c>
      <c r="S998" t="n">
        <v>91.524839316</v>
      </c>
      <c r="T998" t="n">
        <v>101.450300672</v>
      </c>
      <c r="U998" t="n">
        <v/>
      </c>
      <c r="V998" t="n">
        <v>141.246982436</v>
      </c>
      <c r="W998" t="n">
        <v>59.704975415</v>
      </c>
      <c r="X998" t="n">
        <v>44.832168041</v>
      </c>
      <c r="Y998" t="n">
        <v/>
      </c>
      <c r="Z998" t="n">
        <v>53.247238318</v>
      </c>
      <c r="AA998" t="n">
        <v>37.217298605</v>
      </c>
      <c r="AB998" t="n">
        <v>64.788193307</v>
      </c>
      <c r="AC998" t="n">
        <v>122.38980085</v>
      </c>
      <c r="AD998" t="n">
        <v>94.50120205899999</v>
      </c>
      <c r="AE998" t="n">
        <v>50.993</v>
      </c>
      <c r="AF998" t="n">
        <v>98.008167347</v>
      </c>
      <c r="AG998" t="n">
        <v>67.7</v>
      </c>
      <c r="AH998" t="n">
        <v>88.718234741</v>
      </c>
      <c r="AI998" t="n">
        <v>94.12918614900001</v>
      </c>
      <c r="AJ998" t="n">
        <v>122.536850272</v>
      </c>
      <c r="AK998" t="n">
        <v/>
      </c>
      <c r="AL998" t="n">
        <v>84.665646209</v>
      </c>
      <c r="AM998" t="n">
        <v>48.1</v>
      </c>
      <c r="AN998" t="n">
        <v>130.15841376</v>
      </c>
      <c r="AO998" t="n">
        <v>60.365356087</v>
      </c>
      <c r="AP998" t="n">
        <v>41.50691782</v>
      </c>
      <c r="AQ998" t="n">
        <v>82.98431397</v>
      </c>
      <c r="AR998" t="n">
        <v>99.391717357</v>
      </c>
      <c r="AS998" t="n">
        <v>40.796600283</v>
      </c>
      <c r="AT998" t="n">
        <v>87.800055562</v>
      </c>
      <c r="AU998" t="n">
        <v/>
      </c>
    </row>
    <row r="999">
      <c r="A999" s="106" t="n">
        <v>37288</v>
      </c>
      <c r="B999" t="n">
        <v>72.881462785</v>
      </c>
      <c r="C999" t="n">
        <v>73.49387551</v>
      </c>
      <c r="D999" t="n">
        <v>88.301679053</v>
      </c>
      <c r="E999" t="n">
        <v>95.134688287</v>
      </c>
      <c r="F999" t="n">
        <v/>
      </c>
      <c r="G999" t="n">
        <v/>
      </c>
      <c r="H999" t="n">
        <v>71.25048496399999</v>
      </c>
      <c r="I999" t="n">
        <v>72.881462785</v>
      </c>
      <c r="J999" t="n">
        <v>66.888851858</v>
      </c>
      <c r="K999" t="n">
        <v>79.20660055</v>
      </c>
      <c r="L999" t="n">
        <v>113.4</v>
      </c>
      <c r="M999" t="n">
        <v>94.492125656</v>
      </c>
      <c r="N999" t="n">
        <v>121.743101453</v>
      </c>
      <c r="O999" t="n">
        <v>50.90424202</v>
      </c>
      <c r="P999" t="n">
        <v/>
      </c>
      <c r="Q999" t="n">
        <v>97.408117343</v>
      </c>
      <c r="R999" t="n">
        <v>109.61</v>
      </c>
      <c r="S999" t="n">
        <v>92.021123456</v>
      </c>
      <c r="T999" t="n">
        <v>102.617615847</v>
      </c>
      <c r="U999" t="n">
        <v/>
      </c>
      <c r="V999" t="n">
        <v>145.042870224</v>
      </c>
      <c r="W999" t="n">
        <v>63.205267106</v>
      </c>
      <c r="X999" t="n">
        <v>45.090810784</v>
      </c>
      <c r="Y999" t="n">
        <v/>
      </c>
      <c r="Z999" t="n">
        <v>50.810701744</v>
      </c>
      <c r="AA999" t="n">
        <v>39.444161445</v>
      </c>
      <c r="AB999" t="n">
        <v>65.418564917</v>
      </c>
      <c r="AC999" t="n">
        <v>123.789684193</v>
      </c>
      <c r="AD999" t="n">
        <v>95.67050827200001</v>
      </c>
      <c r="AE999" t="n">
        <v>51.975</v>
      </c>
      <c r="AF999" t="n">
        <v>99.108259022</v>
      </c>
      <c r="AG999" t="n">
        <v>66.8</v>
      </c>
      <c r="AH999" t="n">
        <v>87.696883427</v>
      </c>
      <c r="AI999" t="n">
        <v>90.29320050600001</v>
      </c>
      <c r="AJ999" t="n">
        <v>124.631497285</v>
      </c>
      <c r="AK999" t="n">
        <v/>
      </c>
      <c r="AL999" t="n">
        <v>85.138834988</v>
      </c>
      <c r="AM999" t="n">
        <v>47.9</v>
      </c>
      <c r="AN999" t="n">
        <v>128.110690436</v>
      </c>
      <c r="AO999" t="n">
        <v>60.373658223</v>
      </c>
      <c r="AP999" t="n">
        <v>43.30721787</v>
      </c>
      <c r="AQ999" t="n">
        <v>82.70427691499999</v>
      </c>
      <c r="AR999" t="n">
        <v>101.691525706</v>
      </c>
      <c r="AS999" t="n">
        <v>43.1964003</v>
      </c>
      <c r="AT999" t="n">
        <v>87.79113130099999</v>
      </c>
      <c r="AU999" t="n">
        <v/>
      </c>
    </row>
    <row r="1000">
      <c r="A1000" s="106" t="n">
        <v>37316</v>
      </c>
      <c r="B1000" t="n">
        <v>71.95249859800001</v>
      </c>
      <c r="C1000" t="n">
        <v>75.693692192</v>
      </c>
      <c r="D1000" t="n">
        <v>87.861271676</v>
      </c>
      <c r="E1000" t="n">
        <v>94.980055593</v>
      </c>
      <c r="F1000" t="n">
        <v/>
      </c>
      <c r="G1000" t="n">
        <v/>
      </c>
      <c r="H1000" t="n">
        <v>72.145933128</v>
      </c>
      <c r="I1000" t="n">
        <v>71.95249859800001</v>
      </c>
      <c r="J1000" t="n">
        <v>66.48891851400001</v>
      </c>
      <c r="K1000" t="n">
        <v>79.40661721799999</v>
      </c>
      <c r="L1000" t="n">
        <v>111.7</v>
      </c>
      <c r="M1000" t="n">
        <v>95.292058995</v>
      </c>
      <c r="N1000" t="n">
        <v>121.435101196</v>
      </c>
      <c r="O1000" t="n">
        <v>50.604217018</v>
      </c>
      <c r="P1000" t="n">
        <v/>
      </c>
      <c r="Q1000" t="n">
        <v>102.508542379</v>
      </c>
      <c r="R1000" t="n">
        <v>110.12</v>
      </c>
      <c r="S1000" t="n">
        <v>92.701407536</v>
      </c>
      <c r="T1000" t="n">
        <v>105.801202688</v>
      </c>
      <c r="U1000" t="n">
        <v/>
      </c>
      <c r="V1000" t="n">
        <v>142.64546741</v>
      </c>
      <c r="W1000" t="n">
        <v>62.505208767</v>
      </c>
      <c r="X1000" t="n">
        <v>45.362218735</v>
      </c>
      <c r="Y1000" t="n">
        <v/>
      </c>
      <c r="Z1000" t="n">
        <v>55.683774893</v>
      </c>
      <c r="AA1000" t="n">
        <v>37.826260683</v>
      </c>
      <c r="AB1000" t="n">
        <v>66.539225558</v>
      </c>
      <c r="AC1000" t="n">
        <v>124.689609199</v>
      </c>
      <c r="AD1000" t="n">
        <v>96.09571053099999</v>
      </c>
      <c r="AE1000" t="n">
        <v>53.278</v>
      </c>
      <c r="AF1000" t="n">
        <v>97.108092341</v>
      </c>
      <c r="AG1000" t="n">
        <v>67.5</v>
      </c>
      <c r="AH1000" t="n">
        <v>88.371202154</v>
      </c>
      <c r="AI1000" t="n">
        <v>94.030827542</v>
      </c>
      <c r="AJ1000" t="n">
        <v>112.994569434</v>
      </c>
      <c r="AK1000" t="n">
        <v/>
      </c>
      <c r="AL1000" t="n">
        <v>85.81984887</v>
      </c>
      <c r="AM1000" t="n">
        <v>48</v>
      </c>
      <c r="AN1000" t="n">
        <v>132.846050622</v>
      </c>
      <c r="AO1000" t="n">
        <v>60.341769246</v>
      </c>
      <c r="AP1000" t="n">
        <v>42.207034506</v>
      </c>
      <c r="AQ1000" t="n">
        <v>82.330894175</v>
      </c>
      <c r="AR1000" t="n">
        <v>102.091492376</v>
      </c>
      <c r="AS1000" t="n">
        <v>43.696358637</v>
      </c>
      <c r="AT1000" t="n">
        <v>88.45896352</v>
      </c>
      <c r="AU1000" t="n">
        <v/>
      </c>
    </row>
    <row r="1001">
      <c r="A1001" s="106" t="n">
        <v>37347</v>
      </c>
      <c r="B1001" t="n">
        <v>74.908293732</v>
      </c>
      <c r="C1001" t="n">
        <v>75.09374218799999</v>
      </c>
      <c r="D1001" t="n">
        <v>87.641067988</v>
      </c>
      <c r="E1001" t="n">
        <v>96.33563320499999</v>
      </c>
      <c r="F1001" t="n">
        <v/>
      </c>
      <c r="G1001" t="n">
        <v/>
      </c>
      <c r="H1001" t="n">
        <v>72.26802436600001</v>
      </c>
      <c r="I1001" t="n">
        <v>74.908293732</v>
      </c>
      <c r="J1001" t="n">
        <v>67.08881853</v>
      </c>
      <c r="K1001" t="n">
        <v>79.506625552</v>
      </c>
      <c r="L1001" t="n">
        <v>115.5</v>
      </c>
      <c r="M1001" t="n">
        <v>95.09207566000001</v>
      </c>
      <c r="N1001" t="n">
        <v>122.481102068</v>
      </c>
      <c r="O1001" t="n">
        <v>52.904408701</v>
      </c>
      <c r="P1001" t="n">
        <v/>
      </c>
      <c r="Q1001" t="n">
        <v>100.408367364</v>
      </c>
      <c r="R1001" t="n">
        <v>110.8</v>
      </c>
      <c r="S1001" t="n">
        <v>92.562436916</v>
      </c>
      <c r="T1001" t="n">
        <v>102.82985497</v>
      </c>
      <c r="U1001" t="n">
        <v/>
      </c>
      <c r="V1001" t="n">
        <v>144.843086656</v>
      </c>
      <c r="W1001" t="n">
        <v>62.305192099</v>
      </c>
      <c r="X1001" t="n">
        <v>45.903366367</v>
      </c>
      <c r="Y1001" t="n">
        <v/>
      </c>
      <c r="Z1001" t="n">
        <v>52.534105662</v>
      </c>
      <c r="AA1001" t="n">
        <v>36.931598813</v>
      </c>
      <c r="AB1001" t="n">
        <v>66.679308139</v>
      </c>
      <c r="AC1001" t="n">
        <v>120.88992584</v>
      </c>
      <c r="AD1001" t="n">
        <v>95.989409966</v>
      </c>
      <c r="AE1001" t="n">
        <v>53.735</v>
      </c>
      <c r="AF1001" t="n">
        <v>100.008334028</v>
      </c>
      <c r="AG1001" t="n">
        <v>68.7</v>
      </c>
      <c r="AH1001" t="n">
        <v>89.17979740200001</v>
      </c>
      <c r="AI1001" t="n">
        <v>96.293075485</v>
      </c>
      <c r="AJ1001" t="n">
        <v>126.493405741</v>
      </c>
      <c r="AK1001" t="n">
        <v/>
      </c>
      <c r="AL1001" t="n">
        <v>85.974143576</v>
      </c>
      <c r="AM1001" t="n">
        <v>46.8</v>
      </c>
      <c r="AN1001" t="n">
        <v>135.277722069</v>
      </c>
      <c r="AO1001" t="n">
        <v>60.407801276</v>
      </c>
      <c r="AP1001" t="n">
        <v>43.607267878</v>
      </c>
      <c r="AQ1001" t="n">
        <v>84.197807876</v>
      </c>
      <c r="AR1001" t="n">
        <v>100.691609033</v>
      </c>
      <c r="AS1001" t="n">
        <v>44.496291976</v>
      </c>
      <c r="AT1001" t="n">
        <v>88.884551624</v>
      </c>
      <c r="AU1001" t="n">
        <v/>
      </c>
    </row>
    <row r="1002">
      <c r="A1002" s="106" t="n">
        <v>37377</v>
      </c>
      <c r="B1002" t="n">
        <v>74.148232131</v>
      </c>
      <c r="C1002" t="n">
        <v>75.893675527</v>
      </c>
      <c r="D1002" t="n">
        <v>87.090558767</v>
      </c>
      <c r="E1002" t="n">
        <v>96.277579062</v>
      </c>
      <c r="F1002" t="n">
        <v/>
      </c>
      <c r="G1002" t="n">
        <v/>
      </c>
      <c r="H1002" t="n">
        <v>72.183352404</v>
      </c>
      <c r="I1002" t="n">
        <v>74.148232131</v>
      </c>
      <c r="J1002" t="n">
        <v>67.18880186600001</v>
      </c>
      <c r="K1002" t="n">
        <v>78.70655888</v>
      </c>
      <c r="L1002" t="n">
        <v>113.8</v>
      </c>
      <c r="M1002" t="n">
        <v>95.49204233</v>
      </c>
      <c r="N1002" t="n">
        <v>121.430101192</v>
      </c>
      <c r="O1002" t="n">
        <v>53.904492041</v>
      </c>
      <c r="P1002" t="n">
        <v/>
      </c>
      <c r="Q1002" t="n">
        <v>100.608384032</v>
      </c>
      <c r="R1002" t="n">
        <v>109.83</v>
      </c>
      <c r="S1002" t="n">
        <v>93.72846978</v>
      </c>
      <c r="T1002" t="n">
        <v>105.801202688</v>
      </c>
      <c r="U1002" t="n">
        <v/>
      </c>
      <c r="V1002" t="n">
        <v>139.04936319</v>
      </c>
      <c r="W1002" t="n">
        <v>61.205100425</v>
      </c>
      <c r="X1002" t="n">
        <v>45.699662326</v>
      </c>
      <c r="Y1002" t="n">
        <v/>
      </c>
      <c r="Z1002" t="n">
        <v>55.267780844</v>
      </c>
      <c r="AA1002" t="n">
        <v>35.968831513</v>
      </c>
      <c r="AB1002" t="n">
        <v>66.118977818</v>
      </c>
      <c r="AC1002" t="n">
        <v>125.189567536</v>
      </c>
      <c r="AD1002" t="n">
        <v>99.816230297</v>
      </c>
      <c r="AE1002" t="n">
        <v>53.147</v>
      </c>
      <c r="AF1002" t="n">
        <v>100.8084007</v>
      </c>
      <c r="AG1002" t="n">
        <v>68.40000000000001</v>
      </c>
      <c r="AH1002" t="n">
        <v>89.470858475</v>
      </c>
      <c r="AI1002" t="n">
        <v>97.07994433499999</v>
      </c>
      <c r="AJ1002" t="n">
        <v>124.166020171</v>
      </c>
      <c r="AK1002" t="n">
        <v/>
      </c>
      <c r="AL1002" t="n">
        <v>86.640417481</v>
      </c>
      <c r="AM1002" t="n">
        <v>47.2</v>
      </c>
      <c r="AN1002" t="n">
        <v>131.950171668</v>
      </c>
      <c r="AO1002" t="n">
        <v>59.873650304</v>
      </c>
      <c r="AP1002" t="n">
        <v>44.407401234</v>
      </c>
      <c r="AQ1002" t="n">
        <v>81.86416575</v>
      </c>
      <c r="AR1002" t="n">
        <v>100.991584035</v>
      </c>
      <c r="AS1002" t="n">
        <v>43.096408633</v>
      </c>
      <c r="AT1002" t="n">
        <v>89.269484761</v>
      </c>
      <c r="AU1002" t="n">
        <v/>
      </c>
    </row>
    <row r="1003">
      <c r="A1003" s="106" t="n">
        <v>37408</v>
      </c>
      <c r="B1003" t="n">
        <v>75.07719630699999</v>
      </c>
      <c r="C1003" t="n">
        <v>74.593783851</v>
      </c>
      <c r="D1003" t="n">
        <v>87.420864299</v>
      </c>
      <c r="E1003" t="n">
        <v>95.590025389</v>
      </c>
      <c r="F1003" t="n">
        <v/>
      </c>
      <c r="G1003" t="n">
        <v/>
      </c>
      <c r="H1003" t="n">
        <v>72.532897785</v>
      </c>
      <c r="I1003" t="n">
        <v>75.07719630699999</v>
      </c>
      <c r="J1003" t="n">
        <v>67.18880186600001</v>
      </c>
      <c r="K1003" t="n">
        <v>80.906742229</v>
      </c>
      <c r="L1003" t="n">
        <v>112.7</v>
      </c>
      <c r="M1003" t="n">
        <v>95.892008999</v>
      </c>
      <c r="N1003" t="n">
        <v>121.424101187</v>
      </c>
      <c r="O1003" t="n">
        <v>52.804400367</v>
      </c>
      <c r="P1003" t="n">
        <v/>
      </c>
      <c r="Q1003" t="n">
        <v>103.008584049</v>
      </c>
      <c r="R1003" t="n">
        <v>109.67</v>
      </c>
      <c r="S1003" t="n">
        <v>93.67139297</v>
      </c>
      <c r="T1003" t="n">
        <v>100.707463742</v>
      </c>
      <c r="U1003" t="n">
        <v/>
      </c>
      <c r="V1003" t="n">
        <v>141.646549571</v>
      </c>
      <c r="W1003" t="n">
        <v>62.105175431</v>
      </c>
      <c r="X1003" t="n">
        <v>46.105457949</v>
      </c>
      <c r="Y1003" t="n">
        <v/>
      </c>
      <c r="Z1003" t="n">
        <v>56.634618435</v>
      </c>
      <c r="AA1003" t="n">
        <v>34.522359619</v>
      </c>
      <c r="AB1003" t="n">
        <v>65.97889523800001</v>
      </c>
      <c r="AC1003" t="n">
        <v>123.88967586</v>
      </c>
      <c r="AD1003" t="n">
        <v>98.64692408400001</v>
      </c>
      <c r="AE1003" t="n">
        <v>52.749</v>
      </c>
      <c r="AF1003" t="n">
        <v>101.508459038</v>
      </c>
      <c r="AG1003" t="n">
        <v>70.5</v>
      </c>
      <c r="AH1003" t="n">
        <v>89.189811818</v>
      </c>
      <c r="AI1003" t="n">
        <v>96.194716879</v>
      </c>
      <c r="AJ1003" t="n">
        <v>124.166020171</v>
      </c>
      <c r="AK1003" t="n">
        <v/>
      </c>
      <c r="AL1003" t="n">
        <v>86.624693683</v>
      </c>
      <c r="AM1003" t="n">
        <v>48.2</v>
      </c>
      <c r="AN1003" t="n">
        <v>132.462102499</v>
      </c>
      <c r="AO1003" t="n">
        <v>61.182442424</v>
      </c>
      <c r="AP1003" t="n">
        <v>45.607601267</v>
      </c>
      <c r="AQ1003" t="n">
        <v>82.05085712</v>
      </c>
      <c r="AR1003" t="n">
        <v>99.391717357</v>
      </c>
      <c r="AS1003" t="n">
        <v>43.496375302</v>
      </c>
      <c r="AT1003" t="n">
        <v>90.00067923500001</v>
      </c>
      <c r="AU1003" t="n">
        <v/>
      </c>
    </row>
    <row r="1004">
      <c r="A1004" s="106" t="n">
        <v>37438</v>
      </c>
      <c r="B1004" t="n">
        <v>73.725975679</v>
      </c>
      <c r="C1004" t="n">
        <v>74.09382551500001</v>
      </c>
      <c r="D1004" t="n">
        <v>87.751169832</v>
      </c>
      <c r="E1004" t="n">
        <v>96.581761368</v>
      </c>
      <c r="F1004" t="n">
        <v/>
      </c>
      <c r="G1004" t="n">
        <v/>
      </c>
      <c r="H1004" t="n">
        <v>74.126518666</v>
      </c>
      <c r="I1004" t="n">
        <v>73.725975679</v>
      </c>
      <c r="J1004" t="n">
        <v>68.68855190799999</v>
      </c>
      <c r="K1004" t="n">
        <v>79.40661721799999</v>
      </c>
      <c r="L1004" t="n">
        <v>114.1</v>
      </c>
      <c r="M1004" t="n">
        <v>95.19206732799999</v>
      </c>
      <c r="N1004" t="n">
        <v>121.998101665</v>
      </c>
      <c r="O1004" t="n">
        <v>53.104425369</v>
      </c>
      <c r="P1004" t="n">
        <v/>
      </c>
      <c r="Q1004" t="n">
        <v>101.508459038</v>
      </c>
      <c r="R1004" t="n">
        <v>108.55</v>
      </c>
      <c r="S1004" t="n">
        <v>93.796335052</v>
      </c>
      <c r="T1004" t="n">
        <v>104.315528829</v>
      </c>
      <c r="U1004" t="n">
        <v/>
      </c>
      <c r="V1004" t="n">
        <v>141.746441355</v>
      </c>
      <c r="W1004" t="n">
        <v>63.205267106</v>
      </c>
      <c r="X1004" t="n">
        <v>46.658908205</v>
      </c>
      <c r="Y1004" t="n">
        <v/>
      </c>
      <c r="Z1004" t="n">
        <v>53.425521482</v>
      </c>
      <c r="AA1004" t="n">
        <v>35.151780007</v>
      </c>
      <c r="AB1004" t="n">
        <v>65.068358467</v>
      </c>
      <c r="AC1004" t="n">
        <v>123.389717524</v>
      </c>
      <c r="AD1004" t="n">
        <v>99.391028038</v>
      </c>
      <c r="AE1004" t="n">
        <v>54.064</v>
      </c>
      <c r="AF1004" t="n">
        <v>99.108259022</v>
      </c>
      <c r="AG1004" t="n">
        <v>70.3</v>
      </c>
      <c r="AH1004" t="n">
        <v>89.68966403899999</v>
      </c>
      <c r="AI1004" t="n">
        <v>96.194716879</v>
      </c>
      <c r="AJ1004" t="n">
        <v>120.32583398</v>
      </c>
      <c r="AK1004" t="n">
        <v/>
      </c>
      <c r="AL1004" t="n">
        <v>86.84057626800001</v>
      </c>
      <c r="AM1004" t="n">
        <v>48.8</v>
      </c>
      <c r="AN1004" t="n">
        <v>132.97403333</v>
      </c>
      <c r="AO1004" t="n">
        <v>62.190064172</v>
      </c>
      <c r="AP1004" t="n">
        <v>45.607601267</v>
      </c>
      <c r="AQ1004" t="n">
        <v>83.264351026</v>
      </c>
      <c r="AR1004" t="n">
        <v>100.091659028</v>
      </c>
      <c r="AS1004" t="n">
        <v>43.996333639</v>
      </c>
      <c r="AT1004" t="n">
        <v>89.980054276</v>
      </c>
      <c r="AU1004" t="n">
        <v/>
      </c>
    </row>
    <row r="1005">
      <c r="A1005" s="106" t="n">
        <v>37469</v>
      </c>
      <c r="B1005" t="n">
        <v>71.783596024</v>
      </c>
      <c r="C1005" t="n">
        <v>75.39371719</v>
      </c>
      <c r="D1005" t="n">
        <v>86.54004954600001</v>
      </c>
      <c r="E1005" t="n">
        <v>96.382451062</v>
      </c>
      <c r="F1005" t="n">
        <v/>
      </c>
      <c r="G1005" t="n">
        <v/>
      </c>
      <c r="H1005" t="n">
        <v>72.35744815300001</v>
      </c>
      <c r="I1005" t="n">
        <v>71.783596024</v>
      </c>
      <c r="J1005" t="n">
        <v>67.18880186600001</v>
      </c>
      <c r="K1005" t="n">
        <v>81.306775565</v>
      </c>
      <c r="L1005" t="n">
        <v>112.9</v>
      </c>
      <c r="M1005" t="n">
        <v>95.592033997</v>
      </c>
      <c r="N1005" t="n">
        <v>122.83210236</v>
      </c>
      <c r="O1005" t="n">
        <v>54.904575381</v>
      </c>
      <c r="P1005" t="n">
        <v/>
      </c>
      <c r="Q1005" t="n">
        <v>101.208434036</v>
      </c>
      <c r="R1005" t="n">
        <v>110.57</v>
      </c>
      <c r="S1005" t="n">
        <v>94.01155316800001</v>
      </c>
      <c r="T1005" t="n">
        <v>102.935974531</v>
      </c>
      <c r="U1005" t="n">
        <v/>
      </c>
      <c r="V1005" t="n">
        <v>139.349038542</v>
      </c>
      <c r="W1005" t="n">
        <v>62.205183765</v>
      </c>
      <c r="X1005" t="n">
        <v>46.956991453</v>
      </c>
      <c r="Y1005" t="n">
        <v/>
      </c>
      <c r="Z1005" t="n">
        <v>52.950099712</v>
      </c>
      <c r="AA1005" t="n">
        <v>35.588791009</v>
      </c>
      <c r="AB1005" t="n">
        <v>65.418564917</v>
      </c>
      <c r="AC1005" t="n">
        <v>121.889842513</v>
      </c>
      <c r="AD1005" t="n">
        <v>99.816230297</v>
      </c>
      <c r="AE1005" t="n">
        <v>54.568</v>
      </c>
      <c r="AF1005" t="n">
        <v>99.608300692</v>
      </c>
      <c r="AG1005" t="n">
        <v>72</v>
      </c>
      <c r="AH1005" t="n">
        <v>89.887022079</v>
      </c>
      <c r="AI1005" t="n">
        <v>96.58815130399999</v>
      </c>
      <c r="AJ1005" t="n">
        <v>120.558572537</v>
      </c>
      <c r="AK1005" t="n">
        <v/>
      </c>
      <c r="AL1005" t="n">
        <v>87.00172329599999</v>
      </c>
      <c r="AM1005" t="n">
        <v>49.3</v>
      </c>
      <c r="AN1005" t="n">
        <v>129.646482929</v>
      </c>
      <c r="AO1005" t="n">
        <v>62.894363312</v>
      </c>
      <c r="AP1005" t="n">
        <v>46.007667945</v>
      </c>
      <c r="AQ1005" t="n">
        <v>83.171005341</v>
      </c>
      <c r="AR1005" t="n">
        <v>99.791684026</v>
      </c>
      <c r="AS1005" t="n">
        <v>44.096325306</v>
      </c>
      <c r="AT1005" t="n">
        <v>89.86413803799999</v>
      </c>
      <c r="AU1005" t="n">
        <v/>
      </c>
    </row>
    <row r="1006">
      <c r="A1006" s="106" t="n">
        <v>37500</v>
      </c>
      <c r="B1006" t="n">
        <v>74.31713471499999</v>
      </c>
      <c r="C1006" t="n">
        <v>75.29372552300001</v>
      </c>
      <c r="D1006" t="n">
        <v>87.751169832</v>
      </c>
      <c r="E1006" t="n">
        <v>95.504950654</v>
      </c>
      <c r="F1006" t="n">
        <v/>
      </c>
      <c r="G1006" t="n">
        <v/>
      </c>
      <c r="H1006" t="n">
        <v>72.43145753</v>
      </c>
      <c r="I1006" t="n">
        <v>74.31713471499999</v>
      </c>
      <c r="J1006" t="n">
        <v>68.68855190799999</v>
      </c>
      <c r="K1006" t="n">
        <v>80.20668388999999</v>
      </c>
      <c r="L1006" t="n">
        <v>113.8</v>
      </c>
      <c r="M1006" t="n">
        <v>95.892008999</v>
      </c>
      <c r="N1006" t="n">
        <v>123.137102614</v>
      </c>
      <c r="O1006" t="n">
        <v>55.204600383</v>
      </c>
      <c r="P1006" t="n">
        <v/>
      </c>
      <c r="Q1006" t="n">
        <v>100.908409034</v>
      </c>
      <c r="R1006" t="n">
        <v>109.19</v>
      </c>
      <c r="S1006" t="n">
        <v>94.13628764000001</v>
      </c>
      <c r="T1006" t="n">
        <v>104.421648391</v>
      </c>
      <c r="U1006" t="n">
        <v/>
      </c>
      <c r="V1006" t="n">
        <v>139.448930325</v>
      </c>
      <c r="W1006" t="n">
        <v>63.505292108</v>
      </c>
      <c r="X1006" t="n">
        <v>46.82147689</v>
      </c>
      <c r="Y1006" t="n">
        <v/>
      </c>
      <c r="Z1006" t="n">
        <v>54.851786794</v>
      </c>
      <c r="AA1006" t="n">
        <v>35.97872035</v>
      </c>
      <c r="AB1006" t="n">
        <v>65.768771368</v>
      </c>
      <c r="AC1006" t="n">
        <v>124.28964253</v>
      </c>
      <c r="AD1006" t="n">
        <v>100.454033685</v>
      </c>
      <c r="AE1006" t="n">
        <v>53.597</v>
      </c>
      <c r="AF1006" t="n">
        <v>101.008417368</v>
      </c>
      <c r="AG1006" t="n">
        <v>71</v>
      </c>
      <c r="AH1006" t="n">
        <v>89.677976659</v>
      </c>
      <c r="AI1006" t="n">
        <v>96.09635827300001</v>
      </c>
      <c r="AJ1006" t="n">
        <v>115.671062839</v>
      </c>
      <c r="AK1006" t="n">
        <v/>
      </c>
      <c r="AL1006" t="n">
        <v>87.126573147</v>
      </c>
      <c r="AM1006" t="n">
        <v>49.6</v>
      </c>
      <c r="AN1006" t="n">
        <v>130.542361883</v>
      </c>
      <c r="AO1006" t="n">
        <v>62.471403167</v>
      </c>
      <c r="AP1006" t="n">
        <v>45.607601267</v>
      </c>
      <c r="AQ1006" t="n">
        <v>83.54438808099999</v>
      </c>
      <c r="AR1006" t="n">
        <v>99.791684026</v>
      </c>
      <c r="AS1006" t="n">
        <v>45.396216982</v>
      </c>
      <c r="AT1006" t="n">
        <v>89.96061921800001</v>
      </c>
      <c r="AU1006" t="n">
        <v/>
      </c>
    </row>
    <row r="1007">
      <c r="A1007" s="106" t="n">
        <v>37530</v>
      </c>
      <c r="B1007" t="n">
        <v>73.38817052900001</v>
      </c>
      <c r="C1007" t="n">
        <v>76.39363386399999</v>
      </c>
      <c r="D1007" t="n">
        <v>88.301679053</v>
      </c>
      <c r="E1007" t="n">
        <v>96.151839674</v>
      </c>
      <c r="F1007" t="n">
        <v/>
      </c>
      <c r="G1007" t="n">
        <v/>
      </c>
      <c r="H1007" t="n">
        <v>73.39709001</v>
      </c>
      <c r="I1007" t="n">
        <v>73.38817052900001</v>
      </c>
      <c r="J1007" t="n">
        <v>69.788368605</v>
      </c>
      <c r="K1007" t="n">
        <v>79.606633886</v>
      </c>
      <c r="L1007" t="n">
        <v>117.6</v>
      </c>
      <c r="M1007" t="n">
        <v>95.292058995</v>
      </c>
      <c r="N1007" t="n">
        <v>123.873103228</v>
      </c>
      <c r="O1007" t="n">
        <v>56.60471706</v>
      </c>
      <c r="P1007" t="n">
        <v/>
      </c>
      <c r="Q1007" t="n">
        <v>102.608550713</v>
      </c>
      <c r="R1007" t="n">
        <v>108.34</v>
      </c>
      <c r="S1007" t="n">
        <v>93.73042884500001</v>
      </c>
      <c r="T1007" t="n">
        <v>102.617615847</v>
      </c>
      <c r="U1007" t="n">
        <v/>
      </c>
      <c r="V1007" t="n">
        <v>143.14492633</v>
      </c>
      <c r="W1007" t="n">
        <v>61.005083757</v>
      </c>
      <c r="X1007" t="n">
        <v>47.312291486</v>
      </c>
      <c r="Y1007" t="n">
        <v/>
      </c>
      <c r="Z1007" t="n">
        <v>52.831244269</v>
      </c>
      <c r="AA1007" t="n">
        <v>36.67768154</v>
      </c>
      <c r="AB1007" t="n">
        <v>65.20844104699999</v>
      </c>
      <c r="AC1007" t="n">
        <v>122.789767519</v>
      </c>
      <c r="AD1007" t="n">
        <v>100.454033685</v>
      </c>
      <c r="AE1007" t="n">
        <v>54.547</v>
      </c>
      <c r="AF1007" t="n">
        <v>107.308942412</v>
      </c>
      <c r="AG1007" t="n">
        <v>72.40000000000001</v>
      </c>
      <c r="AH1007" t="n">
        <v>90.322029194</v>
      </c>
      <c r="AI1007" t="n">
        <v>97.07994433499999</v>
      </c>
      <c r="AJ1007" t="n">
        <v>119.860356866</v>
      </c>
      <c r="AK1007" t="n">
        <v/>
      </c>
      <c r="AL1007" t="n">
        <v>86.980185753</v>
      </c>
      <c r="AM1007" t="n">
        <v>49.2</v>
      </c>
      <c r="AN1007" t="n">
        <v>132.718067914</v>
      </c>
      <c r="AO1007" t="n">
        <v>62.818024076</v>
      </c>
      <c r="AP1007" t="n">
        <v>45.707617936</v>
      </c>
      <c r="AQ1007" t="n">
        <v>82.517585545</v>
      </c>
      <c r="AR1007" t="n">
        <v>100.491625698</v>
      </c>
      <c r="AS1007" t="n">
        <v>44.296308641</v>
      </c>
      <c r="AT1007" t="n">
        <v>89.726406939</v>
      </c>
      <c r="AU1007" t="n">
        <v/>
      </c>
    </row>
    <row r="1008">
      <c r="A1008" s="106" t="n">
        <v>37561</v>
      </c>
      <c r="B1008" t="n">
        <v>73.557073104</v>
      </c>
      <c r="C1008" t="n">
        <v>77.193567203</v>
      </c>
      <c r="D1008" t="n">
        <v>88.301679053</v>
      </c>
      <c r="E1008" t="n">
        <v>95.54668542899999</v>
      </c>
      <c r="F1008" t="n">
        <v/>
      </c>
      <c r="G1008" t="n">
        <v/>
      </c>
      <c r="H1008" t="n">
        <v>74.68330219000001</v>
      </c>
      <c r="I1008" t="n">
        <v>73.557073104</v>
      </c>
      <c r="J1008" t="n">
        <v>70.888185302</v>
      </c>
      <c r="K1008" t="n">
        <v>81.006750563</v>
      </c>
      <c r="L1008" t="n">
        <v>114.2</v>
      </c>
      <c r="M1008" t="n">
        <v>95.892008999</v>
      </c>
      <c r="N1008" t="n">
        <v>123.449102874</v>
      </c>
      <c r="O1008" t="n">
        <v>56.004667056</v>
      </c>
      <c r="P1008" t="n">
        <v/>
      </c>
      <c r="Q1008" t="n">
        <v>103.708642387</v>
      </c>
      <c r="R1008" t="n">
        <v>109.37</v>
      </c>
      <c r="S1008" t="n">
        <v>94.329272258</v>
      </c>
      <c r="T1008" t="n">
        <v>103.466572338</v>
      </c>
      <c r="U1008" t="n">
        <v/>
      </c>
      <c r="V1008" t="n">
        <v>143.344709898</v>
      </c>
      <c r="W1008" t="n">
        <v>63.80531711</v>
      </c>
      <c r="X1008" t="n">
        <v>46.971018112</v>
      </c>
      <c r="Y1008" t="n">
        <v/>
      </c>
      <c r="Z1008" t="n">
        <v>53.78208781</v>
      </c>
      <c r="AA1008" t="n">
        <v>35.985811061</v>
      </c>
      <c r="AB1008" t="n">
        <v>64.578069437</v>
      </c>
      <c r="AC1008" t="n">
        <v>124.989584201</v>
      </c>
      <c r="AD1008" t="n">
        <v>100.34773312</v>
      </c>
      <c r="AE1008" t="n">
        <v>55.334</v>
      </c>
      <c r="AF1008" t="n">
        <v>105.308775731</v>
      </c>
      <c r="AG1008" t="n">
        <v>74.5</v>
      </c>
      <c r="AH1008" t="n">
        <v>89.872917649</v>
      </c>
      <c r="AI1008" t="n">
        <v>94.42426196700001</v>
      </c>
      <c r="AJ1008" t="n">
        <v>118.696664081</v>
      </c>
      <c r="AK1008" t="n">
        <v/>
      </c>
      <c r="AL1008" t="n">
        <v>87.42360591000001</v>
      </c>
      <c r="AM1008" t="n">
        <v>50.8</v>
      </c>
      <c r="AN1008" t="n">
        <v>128.494638559</v>
      </c>
      <c r="AO1008" t="n">
        <v>62.085272514</v>
      </c>
      <c r="AP1008" t="n">
        <v>47.707951325</v>
      </c>
      <c r="AQ1008" t="n">
        <v>82.42423986</v>
      </c>
      <c r="AR1008" t="n">
        <v>101.491542371</v>
      </c>
      <c r="AS1008" t="n">
        <v>43.396383635</v>
      </c>
      <c r="AT1008" t="n">
        <v>90.21664635800001</v>
      </c>
      <c r="AU1008" t="n">
        <v/>
      </c>
    </row>
    <row r="1009">
      <c r="A1009" s="106" t="n">
        <v>37591</v>
      </c>
      <c r="B1009" t="n">
        <v>73.472621812</v>
      </c>
      <c r="C1009" t="n">
        <v>73.49387551</v>
      </c>
      <c r="D1009" t="n">
        <v>87.641067988</v>
      </c>
      <c r="E1009" t="n">
        <v>94.47977334799999</v>
      </c>
      <c r="F1009" t="n">
        <v/>
      </c>
      <c r="G1009" t="n">
        <v/>
      </c>
      <c r="H1009" t="n">
        <v>74.833142643</v>
      </c>
      <c r="I1009" t="n">
        <v>73.472621812</v>
      </c>
      <c r="J1009" t="n">
        <v>70.388268622</v>
      </c>
      <c r="K1009" t="n">
        <v>79.606633886</v>
      </c>
      <c r="L1009" t="n">
        <v>112.7</v>
      </c>
      <c r="M1009" t="n">
        <v>94.392133989</v>
      </c>
      <c r="N1009" t="n">
        <v>122.682102235</v>
      </c>
      <c r="O1009" t="n">
        <v>56.10467539</v>
      </c>
      <c r="P1009" t="n">
        <v/>
      </c>
      <c r="Q1009" t="n">
        <v>100.108342362</v>
      </c>
      <c r="R1009" t="n">
        <v>106.78</v>
      </c>
      <c r="S1009" t="n">
        <v>93.693729494</v>
      </c>
      <c r="T1009" t="n">
        <v>104.421648391</v>
      </c>
      <c r="U1009" t="n">
        <v/>
      </c>
      <c r="V1009" t="n">
        <v>143.14492633</v>
      </c>
      <c r="W1009" t="n">
        <v>64.705392116</v>
      </c>
      <c r="X1009" t="n">
        <v>47.510751059</v>
      </c>
      <c r="Y1009" t="n">
        <v/>
      </c>
      <c r="Z1009" t="n">
        <v>48.968442382</v>
      </c>
      <c r="AA1009" t="n">
        <v>35.536932471</v>
      </c>
      <c r="AB1009" t="n">
        <v>65.768771368</v>
      </c>
      <c r="AC1009" t="n">
        <v>123.689692526</v>
      </c>
      <c r="AD1009" t="n">
        <v>100.241432556</v>
      </c>
      <c r="AE1009" t="n">
        <v>55.951</v>
      </c>
      <c r="AF1009" t="n">
        <v>103.108592383</v>
      </c>
      <c r="AG1009" t="n">
        <v>72.5</v>
      </c>
      <c r="AH1009" t="n">
        <v>90.053802764</v>
      </c>
      <c r="AI1009" t="n">
        <v>93.04724148</v>
      </c>
      <c r="AJ1009" t="n">
        <v>117.416602017</v>
      </c>
      <c r="AK1009" t="n">
        <v/>
      </c>
      <c r="AL1009" t="n">
        <v>87.02853947200001</v>
      </c>
      <c r="AM1009" t="n">
        <v>50.4</v>
      </c>
      <c r="AN1009" t="n">
        <v>130.414379175</v>
      </c>
      <c r="AO1009" t="n">
        <v>62.062065761</v>
      </c>
      <c r="AP1009" t="n">
        <v>47.907984664</v>
      </c>
      <c r="AQ1009" t="n">
        <v>82.23754848999999</v>
      </c>
      <c r="AR1009" t="n">
        <v>101.891509041</v>
      </c>
      <c r="AS1009" t="n">
        <v>45.996166986</v>
      </c>
      <c r="AT1009" t="n">
        <v>89.730373277</v>
      </c>
      <c r="AU1009" t="n">
        <v/>
      </c>
    </row>
    <row r="1010">
      <c r="A1010" s="106" t="n">
        <v>37622</v>
      </c>
      <c r="B1010" t="n">
        <v>77.526283706</v>
      </c>
      <c r="C1010" t="n">
        <v>76.093658862</v>
      </c>
      <c r="D1010" t="n">
        <v>87.751169832</v>
      </c>
      <c r="E1010" t="n">
        <v>95.51618694</v>
      </c>
      <c r="F1010" t="n">
        <v/>
      </c>
      <c r="G1010" t="n">
        <v/>
      </c>
      <c r="H1010" t="n">
        <v>74.02529810599999</v>
      </c>
      <c r="I1010" t="n">
        <v>77.526283706</v>
      </c>
      <c r="J1010" t="n">
        <v>69.188468589</v>
      </c>
      <c r="K1010" t="n">
        <v>80.20668388999999</v>
      </c>
      <c r="L1010" t="n">
        <v>113.7</v>
      </c>
      <c r="M1010" t="n">
        <v>95.992000667</v>
      </c>
      <c r="N1010" t="n">
        <v>123.62410302</v>
      </c>
      <c r="O1010" t="n">
        <v>57.304775398</v>
      </c>
      <c r="P1010" t="n">
        <v/>
      </c>
      <c r="Q1010" t="n">
        <v>99.908325694</v>
      </c>
      <c r="R1010" t="n">
        <v>108.98</v>
      </c>
      <c r="S1010" t="n">
        <v>94.61171492</v>
      </c>
      <c r="T1010" t="n">
        <v>104.527767952</v>
      </c>
      <c r="U1010" t="n">
        <v/>
      </c>
      <c r="V1010" t="n">
        <v>142.146008491</v>
      </c>
      <c r="W1010" t="n">
        <v>63.605300442</v>
      </c>
      <c r="X1010" t="n">
        <v>47.778820344</v>
      </c>
      <c r="Y1010" t="n">
        <v/>
      </c>
      <c r="Z1010" t="n">
        <v>53.128382876</v>
      </c>
      <c r="AA1010" t="n">
        <v>35.658041217</v>
      </c>
      <c r="AB1010" t="n">
        <v>65.698730078</v>
      </c>
      <c r="AC1010" t="n">
        <v>124.989584201</v>
      </c>
      <c r="AD1010" t="n">
        <v>101.623339897</v>
      </c>
      <c r="AE1010" t="n">
        <v>54.641</v>
      </c>
      <c r="AF1010" t="n">
        <v>104.908742395</v>
      </c>
      <c r="AG1010" t="n">
        <v>72.7</v>
      </c>
      <c r="AH1010" t="n">
        <v>89.906097288</v>
      </c>
      <c r="AI1010" t="n">
        <v>96.784868516</v>
      </c>
      <c r="AJ1010" t="n">
        <v>119.743987587</v>
      </c>
      <c r="AK1010" t="n">
        <v/>
      </c>
      <c r="AL1010" t="n">
        <v>87.761140774</v>
      </c>
      <c r="AM1010" t="n">
        <v>49.5</v>
      </c>
      <c r="AN1010" t="n">
        <v>129.774465636</v>
      </c>
      <c r="AO1010" t="n">
        <v>63.849962158</v>
      </c>
      <c r="AP1010" t="n">
        <v>49.508251375</v>
      </c>
      <c r="AQ1010" t="n">
        <v>81.86416575</v>
      </c>
      <c r="AR1010" t="n">
        <v>102.391467378</v>
      </c>
      <c r="AS1010" t="n">
        <v>47.296058662</v>
      </c>
      <c r="AT1010" t="n">
        <v>90.471681914</v>
      </c>
      <c r="AU1010" t="n">
        <v/>
      </c>
    </row>
    <row r="1011">
      <c r="A1011" s="106" t="n">
        <v>37653</v>
      </c>
      <c r="B1011" t="n">
        <v>76.681770812</v>
      </c>
      <c r="C1011" t="n">
        <v>75.993667194</v>
      </c>
      <c r="D1011" t="n">
        <v>87.751169832</v>
      </c>
      <c r="E1011" t="n">
        <v>95.668679389</v>
      </c>
      <c r="F1011" t="n">
        <v/>
      </c>
      <c r="G1011" t="n">
        <v/>
      </c>
      <c r="H1011" t="n">
        <v>75.707690187</v>
      </c>
      <c r="I1011" t="n">
        <v>76.681770812</v>
      </c>
      <c r="J1011" t="n">
        <v>68.68855190799999</v>
      </c>
      <c r="K1011" t="n">
        <v>80.20668388999999</v>
      </c>
      <c r="L1011" t="n">
        <v>115.9</v>
      </c>
      <c r="M1011" t="n">
        <v>96.091992334</v>
      </c>
      <c r="N1011" t="n">
        <v>124.029103358</v>
      </c>
      <c r="O1011" t="n">
        <v>58.404867072</v>
      </c>
      <c r="P1011" t="n">
        <v/>
      </c>
      <c r="Q1011" t="n">
        <v>102.408534045</v>
      </c>
      <c r="R1011" t="n">
        <v>109.98</v>
      </c>
      <c r="S1011" t="n">
        <v>94.627212691</v>
      </c>
      <c r="T1011" t="n">
        <v>106.544039618</v>
      </c>
      <c r="U1011" t="n">
        <v/>
      </c>
      <c r="V1011" t="n">
        <v>139.648713893</v>
      </c>
      <c r="W1011" t="n">
        <v>63.30527544</v>
      </c>
      <c r="X1011" t="n">
        <v>48.392740677</v>
      </c>
      <c r="Y1011" t="n">
        <v/>
      </c>
      <c r="Z1011" t="n">
        <v>55.267780844</v>
      </c>
      <c r="AA1011" t="n">
        <v>36.136758338</v>
      </c>
      <c r="AB1011" t="n">
        <v>65.34852362700001</v>
      </c>
      <c r="AC1011" t="n">
        <v>122.489792517</v>
      </c>
      <c r="AD1011" t="n">
        <v>101.188587641</v>
      </c>
      <c r="AE1011" t="n">
        <v>54.909</v>
      </c>
      <c r="AF1011" t="n">
        <v>106.108842404</v>
      </c>
      <c r="AG1011" t="n">
        <v>73</v>
      </c>
      <c r="AH1011" t="n">
        <v>90.91807254299999</v>
      </c>
      <c r="AI1011" t="n">
        <v>97.57173736599999</v>
      </c>
      <c r="AJ1011" t="n">
        <v>119.162141195</v>
      </c>
      <c r="AK1011" t="n">
        <v/>
      </c>
      <c r="AL1011" t="n">
        <v>87.86341130700001</v>
      </c>
      <c r="AM1011" t="n">
        <v>49.9</v>
      </c>
      <c r="AN1011" t="n">
        <v>133.869912284</v>
      </c>
      <c r="AO1011" t="n">
        <v>65.454492766</v>
      </c>
      <c r="AP1011" t="n">
        <v>49.708284714</v>
      </c>
      <c r="AQ1011" t="n">
        <v>83.637733766</v>
      </c>
      <c r="AR1011" t="n">
        <v>99.891675694</v>
      </c>
      <c r="AS1011" t="n">
        <v>45.996166986</v>
      </c>
      <c r="AT1011" t="n">
        <v>90.56974963</v>
      </c>
      <c r="AU1011" t="n">
        <v/>
      </c>
    </row>
    <row r="1012">
      <c r="A1012" s="106" t="n">
        <v>37681</v>
      </c>
      <c r="B1012" t="n">
        <v>76.93512468</v>
      </c>
      <c r="C1012" t="n">
        <v>74.993750521</v>
      </c>
      <c r="D1012" t="n">
        <v>87.861271676</v>
      </c>
      <c r="E1012" t="n">
        <v>95.31527145</v>
      </c>
      <c r="F1012" t="n">
        <v/>
      </c>
      <c r="G1012" t="n">
        <v/>
      </c>
      <c r="H1012" t="n">
        <v>76.14889087100001</v>
      </c>
      <c r="I1012" t="n">
        <v>76.93512468</v>
      </c>
      <c r="J1012" t="n">
        <v>68.48858523600001</v>
      </c>
      <c r="K1012" t="n">
        <v>80.006667222</v>
      </c>
      <c r="L1012" t="n">
        <v>112.6</v>
      </c>
      <c r="M1012" t="n">
        <v>95.392050662</v>
      </c>
      <c r="N1012" t="n">
        <v>123.640103033</v>
      </c>
      <c r="O1012" t="n">
        <v>58.204850404</v>
      </c>
      <c r="P1012" t="n">
        <v/>
      </c>
      <c r="Q1012" t="n">
        <v>99.108259022</v>
      </c>
      <c r="R1012" t="n">
        <v>109.12</v>
      </c>
      <c r="S1012" t="n">
        <v>94.572527851</v>
      </c>
      <c r="T1012" t="n">
        <v>106.756278741</v>
      </c>
      <c r="U1012" t="n">
        <v/>
      </c>
      <c r="V1012" t="n">
        <v>140.248064597</v>
      </c>
      <c r="W1012" t="n">
        <v>64.905408784</v>
      </c>
      <c r="X1012" t="n">
        <v>47.99528676</v>
      </c>
      <c r="Y1012" t="n">
        <v/>
      </c>
      <c r="Z1012" t="n">
        <v>54.67350363</v>
      </c>
      <c r="AA1012" t="n">
        <v>35.076544673</v>
      </c>
      <c r="AB1012" t="n">
        <v>64.648110727</v>
      </c>
      <c r="AC1012" t="n">
        <v>122.589784185</v>
      </c>
      <c r="AD1012" t="n">
        <v>101.94940409</v>
      </c>
      <c r="AE1012" t="n">
        <v>56.066</v>
      </c>
      <c r="AF1012" t="n">
        <v>105.608800733</v>
      </c>
      <c r="AG1012" t="n">
        <v>73.09999999999999</v>
      </c>
      <c r="AH1012" t="n">
        <v>90.402303245</v>
      </c>
      <c r="AI1012" t="n">
        <v>94.325903361</v>
      </c>
      <c r="AJ1012" t="n">
        <v>119.162141195</v>
      </c>
      <c r="AK1012" t="n">
        <v/>
      </c>
      <c r="AL1012" t="n">
        <v>87.80798451299999</v>
      </c>
      <c r="AM1012" t="n">
        <v>50.6</v>
      </c>
      <c r="AN1012" t="n">
        <v>127.726742313</v>
      </c>
      <c r="AO1012" t="n">
        <v>66.638175284</v>
      </c>
      <c r="AP1012" t="n">
        <v>50.108351392</v>
      </c>
      <c r="AQ1012" t="n">
        <v>83.07765965500001</v>
      </c>
      <c r="AR1012" t="n">
        <v>100.091659028</v>
      </c>
      <c r="AS1012" t="n">
        <v>46.696108658</v>
      </c>
      <c r="AT1012" t="n">
        <v>90.302616742</v>
      </c>
      <c r="AU1012" t="n">
        <v/>
      </c>
    </row>
    <row r="1013">
      <c r="A1013" s="106" t="n">
        <v>37712</v>
      </c>
      <c r="B1013" t="n">
        <v>76.59731952</v>
      </c>
      <c r="C1013" t="n">
        <v>76.993583868</v>
      </c>
      <c r="D1013" t="n">
        <v>87.420864299</v>
      </c>
      <c r="E1013" t="n">
        <v>94.971762144</v>
      </c>
      <c r="F1013" t="n">
        <v/>
      </c>
      <c r="G1013" t="n">
        <v/>
      </c>
      <c r="H1013" t="n">
        <v>75.93777952799999</v>
      </c>
      <c r="I1013" t="n">
        <v>76.59731952</v>
      </c>
      <c r="J1013" t="n">
        <v>70.18830195</v>
      </c>
      <c r="K1013" t="n">
        <v>79.806650554</v>
      </c>
      <c r="L1013" t="n">
        <v>114.6</v>
      </c>
      <c r="M1013" t="n">
        <v>95.792017332</v>
      </c>
      <c r="N1013" t="n">
        <v>123.959103299</v>
      </c>
      <c r="O1013" t="n">
        <v>59.604967081</v>
      </c>
      <c r="P1013" t="n">
        <v/>
      </c>
      <c r="Q1013" t="n">
        <v>102.908575715</v>
      </c>
      <c r="R1013" t="n">
        <v>109.17</v>
      </c>
      <c r="S1013" t="n">
        <v>94.074460012</v>
      </c>
      <c r="T1013" t="n">
        <v>106.013441811</v>
      </c>
      <c r="U1013" t="n">
        <v/>
      </c>
      <c r="V1013" t="n">
        <v>142.345792059</v>
      </c>
      <c r="W1013" t="n">
        <v>64.205350446</v>
      </c>
      <c r="X1013" t="n">
        <v>48.099494295</v>
      </c>
      <c r="Y1013" t="n">
        <v/>
      </c>
      <c r="Z1013" t="n">
        <v>54.376365024</v>
      </c>
      <c r="AA1013" t="n">
        <v>34.499400303</v>
      </c>
      <c r="AB1013" t="n">
        <v>65.20844104699999</v>
      </c>
      <c r="AC1013" t="n">
        <v>124.28964253</v>
      </c>
      <c r="AD1013" t="n">
        <v>100.536459257</v>
      </c>
      <c r="AE1013" t="n">
        <v>55.092</v>
      </c>
      <c r="AF1013" t="n">
        <v>107.808984082</v>
      </c>
      <c r="AG1013" t="n">
        <v>73.8</v>
      </c>
      <c r="AH1013" t="n">
        <v>90.153610778</v>
      </c>
      <c r="AI1013" t="n">
        <v>93.539034511</v>
      </c>
      <c r="AJ1013" t="n">
        <v>116.485647789</v>
      </c>
      <c r="AK1013" t="n">
        <v/>
      </c>
      <c r="AL1013" t="n">
        <v>87.41407911</v>
      </c>
      <c r="AM1013" t="n">
        <v>50.7</v>
      </c>
      <c r="AN1013" t="n">
        <v>131.310258129</v>
      </c>
      <c r="AO1013" t="n">
        <v>66.91990506499999</v>
      </c>
      <c r="AP1013" t="n">
        <v>50.608434739</v>
      </c>
      <c r="AQ1013" t="n">
        <v>82.330894175</v>
      </c>
      <c r="AR1013" t="n">
        <v>103.491375719</v>
      </c>
      <c r="AS1013" t="n">
        <v>45.296225315</v>
      </c>
      <c r="AT1013" t="n">
        <v>89.729778326</v>
      </c>
      <c r="AU1013" t="n">
        <v/>
      </c>
    </row>
    <row r="1014">
      <c r="A1014" s="106" t="n">
        <v>37742</v>
      </c>
      <c r="B1014" t="n">
        <v>75.16164759900001</v>
      </c>
      <c r="C1014" t="n">
        <v>74.193817182</v>
      </c>
      <c r="D1014" t="n">
        <v>85.65923479200001</v>
      </c>
      <c r="E1014" t="n">
        <v>95.032491593</v>
      </c>
      <c r="F1014" t="n">
        <v/>
      </c>
      <c r="G1014" t="n">
        <v/>
      </c>
      <c r="H1014" t="n">
        <v>75.37204557699999</v>
      </c>
      <c r="I1014" t="n">
        <v>75.16164759900001</v>
      </c>
      <c r="J1014" t="n">
        <v>68.68855190799999</v>
      </c>
      <c r="K1014" t="n">
        <v>79.106592216</v>
      </c>
      <c r="L1014" t="n">
        <v>112.8</v>
      </c>
      <c r="M1014" t="n">
        <v>94.192150654</v>
      </c>
      <c r="N1014" t="n">
        <v>122.918102432</v>
      </c>
      <c r="O1014" t="n">
        <v>58.204850404</v>
      </c>
      <c r="P1014" t="n">
        <v/>
      </c>
      <c r="Q1014" t="n">
        <v>99.408284024</v>
      </c>
      <c r="R1014" t="n">
        <v>106.58</v>
      </c>
      <c r="S1014" t="n">
        <v>93.770844471</v>
      </c>
      <c r="T1014" t="n">
        <v>105.270604882</v>
      </c>
      <c r="U1014" t="n">
        <v/>
      </c>
      <c r="V1014" t="n">
        <v>142.745359194</v>
      </c>
      <c r="W1014" t="n">
        <v>64.00533377799999</v>
      </c>
      <c r="X1014" t="n">
        <v>48.789607256</v>
      </c>
      <c r="Y1014" t="n">
        <v/>
      </c>
      <c r="Z1014" t="n">
        <v>54.970642237</v>
      </c>
      <c r="AA1014" t="n">
        <v>34.694156783</v>
      </c>
      <c r="AB1014" t="n">
        <v>65.138399757</v>
      </c>
      <c r="AC1014" t="n">
        <v>120.189984168</v>
      </c>
      <c r="AD1014" t="n">
        <v>101.840716025</v>
      </c>
      <c r="AE1014" t="n">
        <v>54.857</v>
      </c>
      <c r="AF1014" t="n">
        <v>105.208767397</v>
      </c>
      <c r="AG1014" t="n">
        <v>75.09999999999999</v>
      </c>
      <c r="AH1014" t="n">
        <v>90.284007618</v>
      </c>
      <c r="AI1014" t="n">
        <v>92.752165662</v>
      </c>
      <c r="AJ1014" t="n">
        <v>116.020170675</v>
      </c>
      <c r="AK1014" t="n">
        <v/>
      </c>
      <c r="AL1014" t="n">
        <v>87.092678083</v>
      </c>
      <c r="AM1014" t="n">
        <v>51.6</v>
      </c>
      <c r="AN1014" t="n">
        <v>130.798327298</v>
      </c>
      <c r="AO1014" t="n">
        <v>66.795729894</v>
      </c>
      <c r="AP1014" t="n">
        <v>50.4084014</v>
      </c>
      <c r="AQ1014" t="n">
        <v>83.07765965500001</v>
      </c>
      <c r="AR1014" t="n">
        <v>101.491542371</v>
      </c>
      <c r="AS1014" t="n">
        <v>45.396216982</v>
      </c>
      <c r="AT1014" t="n">
        <v>89.708360099</v>
      </c>
      <c r="AU1014" t="n">
        <v/>
      </c>
    </row>
    <row r="1015">
      <c r="A1015" s="106" t="n">
        <v>37773</v>
      </c>
      <c r="B1015" t="n">
        <v>76.25951437000001</v>
      </c>
      <c r="C1015" t="n">
        <v>75.593700525</v>
      </c>
      <c r="D1015" t="n">
        <v>86.09964216900001</v>
      </c>
      <c r="E1015" t="n">
        <v>94.58571547</v>
      </c>
      <c r="F1015" t="n">
        <v/>
      </c>
      <c r="G1015" t="n">
        <v/>
      </c>
      <c r="H1015" t="n">
        <v>76.328999743</v>
      </c>
      <c r="I1015" t="n">
        <v>76.25951437000001</v>
      </c>
      <c r="J1015" t="n">
        <v>69.48841859700001</v>
      </c>
      <c r="K1015" t="n">
        <v>78.70655888</v>
      </c>
      <c r="L1015" t="n">
        <v>113.5</v>
      </c>
      <c r="M1015" t="n">
        <v>94.192150654</v>
      </c>
      <c r="N1015" t="n">
        <v>123.340102783</v>
      </c>
      <c r="O1015" t="n">
        <v>58.704892074</v>
      </c>
      <c r="P1015" t="n">
        <v/>
      </c>
      <c r="Q1015" t="n">
        <v>100.30835903</v>
      </c>
      <c r="R1015" t="n">
        <v>106.29</v>
      </c>
      <c r="S1015" t="n">
        <v>93.730324509</v>
      </c>
      <c r="T1015" t="n">
        <v>106.437920057</v>
      </c>
      <c r="U1015" t="n">
        <v/>
      </c>
      <c r="V1015" t="n">
        <v>143.944060601</v>
      </c>
      <c r="W1015" t="n">
        <v>66.005500458</v>
      </c>
      <c r="X1015" t="n">
        <v>48.958360049</v>
      </c>
      <c r="Y1015" t="n">
        <v/>
      </c>
      <c r="Z1015" t="n">
        <v>55.148925401</v>
      </c>
      <c r="AA1015" t="n">
        <v>34.480225531</v>
      </c>
      <c r="AB1015" t="n">
        <v>64.578069437</v>
      </c>
      <c r="AC1015" t="n">
        <v>121.689859178</v>
      </c>
      <c r="AD1015" t="n">
        <v>100.971211513</v>
      </c>
      <c r="AE1015" t="n">
        <v>56.54</v>
      </c>
      <c r="AF1015" t="n">
        <v>101.708475706</v>
      </c>
      <c r="AG1015" t="n">
        <v>75.2</v>
      </c>
      <c r="AH1015" t="n">
        <v>90.76599907000001</v>
      </c>
      <c r="AI1015" t="n">
        <v>91.080069356</v>
      </c>
      <c r="AJ1015" t="n">
        <v>116.252909232</v>
      </c>
      <c r="AK1015" t="n">
        <v/>
      </c>
      <c r="AL1015" t="n">
        <v>87.357131904</v>
      </c>
      <c r="AM1015" t="n">
        <v>52</v>
      </c>
      <c r="AN1015" t="n">
        <v>129.262534805</v>
      </c>
      <c r="AO1015" t="n">
        <v>66.749511652</v>
      </c>
      <c r="AP1015" t="n">
        <v>52.108684781</v>
      </c>
      <c r="AQ1015" t="n">
        <v>82.42423986</v>
      </c>
      <c r="AR1015" t="n">
        <v>102.091492376</v>
      </c>
      <c r="AS1015" t="n">
        <v>47.196066994</v>
      </c>
      <c r="AT1015" t="n">
        <v>89.82754856699999</v>
      </c>
      <c r="AU1015" t="n">
        <v/>
      </c>
    </row>
    <row r="1016">
      <c r="A1016" s="106" t="n">
        <v>37803</v>
      </c>
      <c r="B1016" t="n">
        <v>76.25951437000001</v>
      </c>
      <c r="C1016" t="n">
        <v>77.79351720699999</v>
      </c>
      <c r="D1016" t="n">
        <v>85.21882741500001</v>
      </c>
      <c r="E1016" t="n">
        <v>95.62079140900001</v>
      </c>
      <c r="F1016" t="n">
        <v/>
      </c>
      <c r="G1016" t="n">
        <v/>
      </c>
      <c r="H1016" t="n">
        <v>75.726906386</v>
      </c>
      <c r="I1016" t="n">
        <v>76.25951437000001</v>
      </c>
      <c r="J1016" t="n">
        <v>69.588401933</v>
      </c>
      <c r="K1016" t="n">
        <v>80.606717226</v>
      </c>
      <c r="L1016" t="n">
        <v>113.5</v>
      </c>
      <c r="M1016" t="n">
        <v>95.792017332</v>
      </c>
      <c r="N1016" t="n">
        <v>123.706103088</v>
      </c>
      <c r="O1016" t="n">
        <v>59.404950413</v>
      </c>
      <c r="P1016" t="n">
        <v/>
      </c>
      <c r="Q1016" t="n">
        <v>101.708475706</v>
      </c>
      <c r="R1016" t="n">
        <v>108.2</v>
      </c>
      <c r="S1016" t="n">
        <v>94.57258386700001</v>
      </c>
      <c r="T1016" t="n">
        <v>106.756278741</v>
      </c>
      <c r="U1016" t="n">
        <v/>
      </c>
      <c r="V1016" t="n">
        <v>143.744277033</v>
      </c>
      <c r="W1016" t="n">
        <v>66.205517126</v>
      </c>
      <c r="X1016" t="n">
        <v>49.601401784</v>
      </c>
      <c r="Y1016" t="n">
        <v/>
      </c>
      <c r="Z1016" t="n">
        <v>56.634618435</v>
      </c>
      <c r="AA1016" t="n">
        <v>34.705698791</v>
      </c>
      <c r="AB1016" t="n">
        <v>65.34852362700001</v>
      </c>
      <c r="AC1016" t="n">
        <v>123.389717524</v>
      </c>
      <c r="AD1016" t="n">
        <v>101.405963769</v>
      </c>
      <c r="AE1016" t="n">
        <v>53.906</v>
      </c>
      <c r="AF1016" t="n">
        <v>103.908659055</v>
      </c>
      <c r="AG1016" t="n">
        <v>77</v>
      </c>
      <c r="AH1016" t="n">
        <v>90.752064722</v>
      </c>
      <c r="AI1016" t="n">
        <v>92.358731237</v>
      </c>
      <c r="AJ1016" t="n">
        <v>118.114817688</v>
      </c>
      <c r="AK1016" t="n">
        <v/>
      </c>
      <c r="AL1016" t="n">
        <v>87.967882605</v>
      </c>
      <c r="AM1016" t="n">
        <v>53.9</v>
      </c>
      <c r="AN1016" t="n">
        <v>131.694206252</v>
      </c>
      <c r="AO1016" t="n">
        <v>67.40382974800001</v>
      </c>
      <c r="AP1016" t="n">
        <v>52.708784797</v>
      </c>
      <c r="AQ1016" t="n">
        <v>83.171005341</v>
      </c>
      <c r="AR1016" t="n">
        <v>103.491375719</v>
      </c>
      <c r="AS1016" t="n">
        <v>48.295975335</v>
      </c>
      <c r="AT1016" t="n">
        <v>90.295080699</v>
      </c>
      <c r="AU1016" t="n">
        <v/>
      </c>
    </row>
    <row r="1017">
      <c r="A1017" s="106" t="n">
        <v>37834</v>
      </c>
      <c r="B1017" t="n">
        <v>76.766222105</v>
      </c>
      <c r="C1017" t="n">
        <v>75.693692192</v>
      </c>
      <c r="D1017" t="n">
        <v>86.42994770200001</v>
      </c>
      <c r="E1017" t="n">
        <v>94.336109409</v>
      </c>
      <c r="F1017" t="n">
        <v/>
      </c>
      <c r="G1017" t="n">
        <v/>
      </c>
      <c r="H1017" t="n">
        <v>79.12505468499999</v>
      </c>
      <c r="I1017" t="n">
        <v>76.766222105</v>
      </c>
      <c r="J1017" t="n">
        <v>71.088151975</v>
      </c>
      <c r="K1017" t="n">
        <v>78.60655054599999</v>
      </c>
      <c r="L1017" t="n">
        <v>115.4</v>
      </c>
      <c r="M1017" t="n">
        <v>94.692108991</v>
      </c>
      <c r="N1017" t="n">
        <v>123.90010325</v>
      </c>
      <c r="O1017" t="n">
        <v>60.605050421</v>
      </c>
      <c r="P1017" t="n">
        <v/>
      </c>
      <c r="Q1017" t="n">
        <v>101.30844237</v>
      </c>
      <c r="R1017" t="n">
        <v>107.73</v>
      </c>
      <c r="S1017" t="n">
        <v>93.754321248</v>
      </c>
      <c r="T1017" t="n">
        <v>106.650159179</v>
      </c>
      <c r="U1017" t="n">
        <v/>
      </c>
      <c r="V1017" t="n">
        <v>137.051527512</v>
      </c>
      <c r="W1017" t="n">
        <v>68.405700475</v>
      </c>
      <c r="X1017" t="n">
        <v>49.842054519</v>
      </c>
      <c r="Y1017" t="n">
        <v/>
      </c>
      <c r="Z1017" t="n">
        <v>59.249438173</v>
      </c>
      <c r="AA1017" t="n">
        <v>34.924923767</v>
      </c>
      <c r="AB1017" t="n">
        <v>64.508028147</v>
      </c>
      <c r="AC1017" t="n">
        <v>120.789934172</v>
      </c>
      <c r="AD1017" t="n">
        <v>100.427771193</v>
      </c>
      <c r="AE1017" t="n">
        <v>56.76</v>
      </c>
      <c r="AF1017" t="n">
        <v>108.50904242</v>
      </c>
      <c r="AG1017" t="n">
        <v>76.59999999999999</v>
      </c>
      <c r="AH1017" t="n">
        <v>90.538700405</v>
      </c>
      <c r="AI1017" t="n">
        <v>93.342317299</v>
      </c>
      <c r="AJ1017" t="n">
        <v>116.834755625</v>
      </c>
      <c r="AK1017" t="n">
        <v/>
      </c>
      <c r="AL1017" t="n">
        <v>87.714942435</v>
      </c>
      <c r="AM1017" t="n">
        <v>53.9</v>
      </c>
      <c r="AN1017" t="n">
        <v>129.902448344</v>
      </c>
      <c r="AO1017" t="n">
        <v>67.264103362</v>
      </c>
      <c r="AP1017" t="n">
        <v>52.508751459</v>
      </c>
      <c r="AQ1017" t="n">
        <v>83.264351026</v>
      </c>
      <c r="AR1017" t="n">
        <v>102.391467378</v>
      </c>
      <c r="AS1017" t="n">
        <v>49.495875344</v>
      </c>
      <c r="AT1017" t="n">
        <v>90.080700112</v>
      </c>
      <c r="AU1017" t="n">
        <v/>
      </c>
    </row>
    <row r="1018">
      <c r="A1018" s="106" t="n">
        <v>37865</v>
      </c>
      <c r="B1018" t="n">
        <v>76.343965653</v>
      </c>
      <c r="C1018" t="n">
        <v>75.893675527</v>
      </c>
      <c r="D1018" t="n">
        <v>89.512799339</v>
      </c>
      <c r="E1018" t="n">
        <v>96.213639246</v>
      </c>
      <c r="F1018" t="n">
        <v/>
      </c>
      <c r="G1018" t="n">
        <v/>
      </c>
      <c r="H1018" t="n">
        <v>76.99823664</v>
      </c>
      <c r="I1018" t="n">
        <v>76.343965653</v>
      </c>
      <c r="J1018" t="n">
        <v>71.388101983</v>
      </c>
      <c r="K1018" t="n">
        <v>78.406533878</v>
      </c>
      <c r="L1018" t="n">
        <v>117</v>
      </c>
      <c r="M1018" t="n">
        <v>94.392133989</v>
      </c>
      <c r="N1018" t="n">
        <v>123.187102656</v>
      </c>
      <c r="O1018" t="n">
        <v>61.005083757</v>
      </c>
      <c r="P1018" t="n">
        <v/>
      </c>
      <c r="Q1018" t="n">
        <v>101.608467372</v>
      </c>
      <c r="R1018" t="n">
        <v>107.34</v>
      </c>
      <c r="S1018" t="n">
        <v>94.61231387300001</v>
      </c>
      <c r="T1018" t="n">
        <v>106.225680934</v>
      </c>
      <c r="U1018" t="n">
        <v/>
      </c>
      <c r="V1018" t="n">
        <v>145.742112711</v>
      </c>
      <c r="W1018" t="n">
        <v>67.405617135</v>
      </c>
      <c r="X1018" t="n">
        <v>50.180273832</v>
      </c>
      <c r="Y1018" t="n">
        <v/>
      </c>
      <c r="Z1018" t="n">
        <v>53.78208781</v>
      </c>
      <c r="AA1018" t="n">
        <v>35.297867474</v>
      </c>
      <c r="AB1018" t="n">
        <v>64.71815201699999</v>
      </c>
      <c r="AC1018" t="n">
        <v>121.289892509</v>
      </c>
      <c r="AD1018" t="n">
        <v>103.471036986</v>
      </c>
      <c r="AE1018" t="n">
        <v>57.479</v>
      </c>
      <c r="AF1018" t="n">
        <v>109.209100758</v>
      </c>
      <c r="AG1018" t="n">
        <v>78.09999999999999</v>
      </c>
      <c r="AH1018" t="n">
        <v>90.58447994300001</v>
      </c>
      <c r="AI1018" t="n">
        <v>93.342317299</v>
      </c>
      <c r="AJ1018" t="n">
        <v>118.463925524</v>
      </c>
      <c r="AK1018" t="n">
        <v/>
      </c>
      <c r="AL1018" t="n">
        <v>88.300085372</v>
      </c>
      <c r="AM1018" t="n">
        <v>54</v>
      </c>
      <c r="AN1018" t="n">
        <v>134.125877699</v>
      </c>
      <c r="AO1018" t="n">
        <v>68.542233201</v>
      </c>
      <c r="AP1018" t="n">
        <v>52.108684781</v>
      </c>
      <c r="AQ1018" t="n">
        <v>83.731079451</v>
      </c>
      <c r="AR1018" t="n">
        <v>102.991417382</v>
      </c>
      <c r="AS1018" t="n">
        <v>49.495875344</v>
      </c>
      <c r="AT1018" t="n">
        <v>90.675750022</v>
      </c>
      <c r="AU1018" t="n">
        <v/>
      </c>
    </row>
    <row r="1019">
      <c r="A1019" s="106" t="n">
        <v>37895</v>
      </c>
      <c r="B1019" t="n">
        <v>76.343965653</v>
      </c>
      <c r="C1019" t="n">
        <v>76.39363386399999</v>
      </c>
      <c r="D1019" t="n">
        <v>89.843104872</v>
      </c>
      <c r="E1019" t="n">
        <v>96.756191327</v>
      </c>
      <c r="F1019" t="n">
        <v/>
      </c>
      <c r="G1019" t="n">
        <v/>
      </c>
      <c r="H1019" t="n">
        <v>76.09843465599999</v>
      </c>
      <c r="I1019" t="n">
        <v>76.343965653</v>
      </c>
      <c r="J1019" t="n">
        <v>71.788035327</v>
      </c>
      <c r="K1019" t="n">
        <v>80.806733894</v>
      </c>
      <c r="L1019" t="n">
        <v>114.8</v>
      </c>
      <c r="M1019" t="n">
        <v>96.791934005</v>
      </c>
      <c r="N1019" t="n">
        <v>125.245104371</v>
      </c>
      <c r="O1019" t="n">
        <v>61.905158763</v>
      </c>
      <c r="P1019" t="n">
        <v/>
      </c>
      <c r="Q1019" t="n">
        <v>101.508459038</v>
      </c>
      <c r="R1019" t="n">
        <v>109.95</v>
      </c>
      <c r="S1019" t="n">
        <v>95.556828412</v>
      </c>
      <c r="T1019" t="n">
        <v>107.392996109</v>
      </c>
      <c r="U1019" t="n">
        <v/>
      </c>
      <c r="V1019" t="n">
        <v>144.743194872</v>
      </c>
      <c r="W1019" t="n">
        <v>68.005667139</v>
      </c>
      <c r="X1019" t="n">
        <v>49.981431938</v>
      </c>
      <c r="Y1019" t="n">
        <v/>
      </c>
      <c r="Z1019" t="n">
        <v>61.448263863</v>
      </c>
      <c r="AA1019" t="n">
        <v>35.976724519</v>
      </c>
      <c r="AB1019" t="n">
        <v>68.15017523</v>
      </c>
      <c r="AC1019" t="n">
        <v>122.589784185</v>
      </c>
      <c r="AD1019" t="n">
        <v>104.666605691</v>
      </c>
      <c r="AE1019" t="n">
        <v>59.077</v>
      </c>
      <c r="AF1019" t="n">
        <v>108.609050754</v>
      </c>
      <c r="AG1019" t="n">
        <v>78.5</v>
      </c>
      <c r="AH1019" t="n">
        <v>91.041636885</v>
      </c>
      <c r="AI1019" t="n">
        <v>96.883227123</v>
      </c>
      <c r="AJ1019" t="n">
        <v>121.024049651</v>
      </c>
      <c r="AK1019" t="n">
        <v/>
      </c>
      <c r="AL1019" t="n">
        <v>89.289405241</v>
      </c>
      <c r="AM1019" t="n">
        <v>55.2</v>
      </c>
      <c r="AN1019" t="n">
        <v>131.054292714</v>
      </c>
      <c r="AO1019" t="n">
        <v>68.34243979599999</v>
      </c>
      <c r="AP1019" t="n">
        <v>52.808801467</v>
      </c>
      <c r="AQ1019" t="n">
        <v>85.597993151</v>
      </c>
      <c r="AR1019" t="n">
        <v>102.591450712</v>
      </c>
      <c r="AS1019" t="n">
        <v>48.995917007</v>
      </c>
      <c r="AT1019" t="n">
        <v>90.78898898200001</v>
      </c>
      <c r="AU1019" t="n">
        <v/>
      </c>
    </row>
    <row r="1020">
      <c r="A1020" s="106" t="n">
        <v>37926</v>
      </c>
      <c r="B1020" t="n">
        <v>76.343965653</v>
      </c>
      <c r="C1020" t="n">
        <v>75.893675527</v>
      </c>
      <c r="D1020" t="n">
        <v>90.944123314</v>
      </c>
      <c r="E1020" t="n">
        <v>96.83618298</v>
      </c>
      <c r="F1020" t="n">
        <v/>
      </c>
      <c r="G1020" t="n">
        <v/>
      </c>
      <c r="H1020" t="n">
        <v>77.452867501</v>
      </c>
      <c r="I1020" t="n">
        <v>76.343965653</v>
      </c>
      <c r="J1020" t="n">
        <v>72.78786868900001</v>
      </c>
      <c r="K1020" t="n">
        <v>81.60680056699999</v>
      </c>
      <c r="L1020" t="n">
        <v>112.8</v>
      </c>
      <c r="M1020" t="n">
        <v>96.49195900300001</v>
      </c>
      <c r="N1020" t="n">
        <v>124.330103608</v>
      </c>
      <c r="O1020" t="n">
        <v>62.705225435</v>
      </c>
      <c r="P1020" t="n">
        <v/>
      </c>
      <c r="Q1020" t="n">
        <v>102.808567381</v>
      </c>
      <c r="R1020" t="n">
        <v>107.81</v>
      </c>
      <c r="S1020" t="n">
        <v>95.875118869</v>
      </c>
      <c r="T1020" t="n">
        <v>106.225680934</v>
      </c>
      <c r="U1020" t="n">
        <v/>
      </c>
      <c r="V1020" t="n">
        <v>141.746441355</v>
      </c>
      <c r="W1020" t="n">
        <v>69.005750479</v>
      </c>
      <c r="X1020" t="n">
        <v>51.158268775</v>
      </c>
      <c r="Y1020" t="n">
        <v/>
      </c>
      <c r="Z1020" t="n">
        <v>61.448263863</v>
      </c>
      <c r="AA1020" t="n">
        <v>35.445785729</v>
      </c>
      <c r="AB1020" t="n">
        <v>64.648110727</v>
      </c>
      <c r="AC1020" t="n">
        <v>124.089659195</v>
      </c>
      <c r="AD1020" t="n">
        <v>104.883981819</v>
      </c>
      <c r="AE1020" t="n">
        <v>59.154</v>
      </c>
      <c r="AF1020" t="n">
        <v>107.50895908</v>
      </c>
      <c r="AG1020" t="n">
        <v>78.3</v>
      </c>
      <c r="AH1020" t="n">
        <v>91.34546930099999</v>
      </c>
      <c r="AI1020" t="n">
        <v>94.325903361</v>
      </c>
      <c r="AJ1020" t="n">
        <v>119.045771916</v>
      </c>
      <c r="AK1020" t="n">
        <v/>
      </c>
      <c r="AL1020" t="n">
        <v>89.456206384</v>
      </c>
      <c r="AM1020" t="n">
        <v>55.4</v>
      </c>
      <c r="AN1020" t="n">
        <v>131.82218896</v>
      </c>
      <c r="AO1020" t="n">
        <v>68.358305145</v>
      </c>
      <c r="AP1020" t="n">
        <v>54.309051509</v>
      </c>
      <c r="AQ1020" t="n">
        <v>85.97137589099999</v>
      </c>
      <c r="AR1020" t="n">
        <v>102.391467378</v>
      </c>
      <c r="AS1020" t="n">
        <v>48.795933672</v>
      </c>
      <c r="AT1020" t="n">
        <v>91.400598355</v>
      </c>
      <c r="AU1020" t="n">
        <v/>
      </c>
    </row>
    <row r="1021">
      <c r="A1021" s="106" t="n">
        <v>37956</v>
      </c>
      <c r="B1021" t="n">
        <v>77.695186291</v>
      </c>
      <c r="C1021" t="n">
        <v>78.493458878</v>
      </c>
      <c r="D1021" t="n">
        <v>89.402697495</v>
      </c>
      <c r="E1021" t="n">
        <v>97.030677735</v>
      </c>
      <c r="F1021" t="n">
        <v/>
      </c>
      <c r="G1021" t="n">
        <v/>
      </c>
      <c r="H1021" t="n">
        <v>76.646127478</v>
      </c>
      <c r="I1021" t="n">
        <v>77.695186291</v>
      </c>
      <c r="J1021" t="n">
        <v>74.48758540199999</v>
      </c>
      <c r="K1021" t="n">
        <v>82.006833903</v>
      </c>
      <c r="L1021" t="n">
        <v>111.2</v>
      </c>
      <c r="M1021" t="n">
        <v>96.791934005</v>
      </c>
      <c r="N1021" t="n">
        <v>123.694103078</v>
      </c>
      <c r="O1021" t="n">
        <v>62.305192099</v>
      </c>
      <c r="P1021" t="n">
        <v/>
      </c>
      <c r="Q1021" t="n">
        <v>101.30844237</v>
      </c>
      <c r="R1021" t="n">
        <v>108.45</v>
      </c>
      <c r="S1021" t="n">
        <v>95.95423755900001</v>
      </c>
      <c r="T1021" t="n">
        <v>106.225680934</v>
      </c>
      <c r="U1021" t="n">
        <v/>
      </c>
      <c r="V1021" t="n">
        <v>146.840922334</v>
      </c>
      <c r="W1021" t="n">
        <v>72.206017168</v>
      </c>
      <c r="X1021" t="n">
        <v>50.921518639</v>
      </c>
      <c r="Y1021" t="n">
        <v/>
      </c>
      <c r="Z1021" t="n">
        <v>58.239166911</v>
      </c>
      <c r="AA1021" t="n">
        <v>35.231618279</v>
      </c>
      <c r="AB1021" t="n">
        <v>66.259060398</v>
      </c>
      <c r="AC1021" t="n">
        <v>124.089659195</v>
      </c>
      <c r="AD1021" t="n">
        <v>104.557917627</v>
      </c>
      <c r="AE1021" t="n">
        <v>60.222</v>
      </c>
      <c r="AF1021" t="n">
        <v>105.108759063</v>
      </c>
      <c r="AG1021" t="n">
        <v>79.90000000000001</v>
      </c>
      <c r="AH1021" t="n">
        <v>92.66046200300001</v>
      </c>
      <c r="AI1021" t="n">
        <v>92.260372631</v>
      </c>
      <c r="AJ1021" t="n">
        <v>120.093095423</v>
      </c>
      <c r="AK1021" t="n">
        <v/>
      </c>
      <c r="AL1021" t="n">
        <v>89.774098475</v>
      </c>
      <c r="AM1021" t="n">
        <v>56.7</v>
      </c>
      <c r="AN1021" t="n">
        <v>133.48596416</v>
      </c>
      <c r="AO1021" t="n">
        <v>70.004844807</v>
      </c>
      <c r="AP1021" t="n">
        <v>55.80930155</v>
      </c>
      <c r="AQ1021" t="n">
        <v>84.757881986</v>
      </c>
      <c r="AR1021" t="n">
        <v>104.691275727</v>
      </c>
      <c r="AS1021" t="n">
        <v>49.695858678</v>
      </c>
      <c r="AT1021" t="n">
        <v>91.47685121000001</v>
      </c>
      <c r="AU1021" t="n">
        <v/>
      </c>
    </row>
    <row r="1022">
      <c r="A1022" s="106" t="n">
        <v>37987</v>
      </c>
      <c r="B1022" t="n">
        <v>77.94854014800001</v>
      </c>
      <c r="C1022" t="n">
        <v>76.893592201</v>
      </c>
      <c r="D1022" t="n">
        <v>91.05422515799999</v>
      </c>
      <c r="E1022" t="n">
        <v>96.629649348</v>
      </c>
      <c r="F1022" t="n">
        <v/>
      </c>
      <c r="G1022" t="n">
        <v/>
      </c>
      <c r="H1022" t="n">
        <v>79.234750749</v>
      </c>
      <c r="I1022" t="n">
        <v>77.94854014800001</v>
      </c>
      <c r="J1022" t="n">
        <v>74.387602066</v>
      </c>
      <c r="K1022" t="n">
        <v>81.306775565</v>
      </c>
      <c r="L1022" t="n">
        <v>111.3</v>
      </c>
      <c r="M1022" t="n">
        <v>96.691942338</v>
      </c>
      <c r="N1022" t="n">
        <v>123.763103136</v>
      </c>
      <c r="O1022" t="n">
        <v>62.905242104</v>
      </c>
      <c r="P1022" t="n">
        <v/>
      </c>
      <c r="Q1022" t="n">
        <v>101.80848404</v>
      </c>
      <c r="R1022" t="n">
        <v>109.14</v>
      </c>
      <c r="S1022" t="n">
        <v>96.32847637899999</v>
      </c>
      <c r="T1022" t="n">
        <v>107.180756986</v>
      </c>
      <c r="U1022" t="n">
        <v/>
      </c>
      <c r="V1022" t="n">
        <v>140.8474153</v>
      </c>
      <c r="W1022" t="n">
        <v>69.90582548499999</v>
      </c>
      <c r="X1022" t="n">
        <v>51.659349825</v>
      </c>
      <c r="Y1022" t="n">
        <v/>
      </c>
      <c r="Z1022" t="n">
        <v>55.743202615</v>
      </c>
      <c r="AA1022" t="n">
        <v>35.873129663</v>
      </c>
      <c r="AB1022" t="n">
        <v>69.69555035099999</v>
      </c>
      <c r="AC1022" t="n">
        <v>124.089659195</v>
      </c>
      <c r="AD1022" t="n">
        <v>106.405614716</v>
      </c>
      <c r="AE1022" t="n">
        <v>59.982</v>
      </c>
      <c r="AF1022" t="n">
        <v>108.809067422</v>
      </c>
      <c r="AG1022" t="n">
        <v>79.8</v>
      </c>
      <c r="AH1022" t="n">
        <v>93.23121886200001</v>
      </c>
      <c r="AI1022" t="n">
        <v>97.57173736599999</v>
      </c>
      <c r="AJ1022" t="n">
        <v>118.463925524</v>
      </c>
      <c r="AK1022" t="n">
        <v/>
      </c>
      <c r="AL1022" t="n">
        <v>90.10103126200001</v>
      </c>
      <c r="AM1022" t="n">
        <v>57.9</v>
      </c>
      <c r="AN1022" t="n">
        <v>129.843016915</v>
      </c>
      <c r="AO1022" t="n">
        <v>70.11987381</v>
      </c>
      <c r="AP1022" t="n">
        <v>51.308551425</v>
      </c>
      <c r="AQ1022" t="n">
        <v>85.784684521</v>
      </c>
      <c r="AR1022" t="n">
        <v>106.09115907</v>
      </c>
      <c r="AS1022" t="n">
        <v>50.495792017</v>
      </c>
      <c r="AT1022" t="n">
        <v>91.62905944400001</v>
      </c>
      <c r="AU1022" t="n">
        <v/>
      </c>
    </row>
    <row r="1023">
      <c r="A1023" s="106" t="n">
        <v>38018</v>
      </c>
      <c r="B1023" t="n">
        <v>78.37079660000001</v>
      </c>
      <c r="C1023" t="n">
        <v>77.99350054200001</v>
      </c>
      <c r="D1023" t="n">
        <v>92.48554913300001</v>
      </c>
      <c r="E1023" t="n">
        <v>96.296841266</v>
      </c>
      <c r="F1023" t="n">
        <v/>
      </c>
      <c r="G1023" t="n">
        <v/>
      </c>
      <c r="H1023" t="n">
        <v>80.865534766</v>
      </c>
      <c r="I1023" t="n">
        <v>78.37079660000001</v>
      </c>
      <c r="J1023" t="n">
        <v>76.687218797</v>
      </c>
      <c r="K1023" t="n">
        <v>81.706808901</v>
      </c>
      <c r="L1023" t="n">
        <v>111.7</v>
      </c>
      <c r="M1023" t="n">
        <v>97.191900675</v>
      </c>
      <c r="N1023" t="n">
        <v>124.603103836</v>
      </c>
      <c r="O1023" t="n">
        <v>62.405200433</v>
      </c>
      <c r="P1023" t="n">
        <v/>
      </c>
      <c r="Q1023" t="n">
        <v>103.608634053</v>
      </c>
      <c r="R1023" t="n">
        <v>110.25</v>
      </c>
      <c r="S1023" t="n">
        <v>96.584404529</v>
      </c>
      <c r="T1023" t="n">
        <v>106.968517863</v>
      </c>
      <c r="U1023" t="n">
        <v/>
      </c>
      <c r="V1023" t="n">
        <v>143.444601682</v>
      </c>
      <c r="W1023" t="n">
        <v>70.80590049200001</v>
      </c>
      <c r="X1023" t="n">
        <v>50.85638315</v>
      </c>
      <c r="Y1023" t="n">
        <v/>
      </c>
      <c r="Z1023" t="n">
        <v>56.396907549</v>
      </c>
      <c r="AA1023" t="n">
        <v>36.686728051</v>
      </c>
      <c r="AB1023" t="n">
        <v>68.758782201</v>
      </c>
      <c r="AC1023" t="n">
        <v>123.789684193</v>
      </c>
      <c r="AD1023" t="n">
        <v>106.079550524</v>
      </c>
      <c r="AE1023" t="n">
        <v>63.036</v>
      </c>
      <c r="AF1023" t="n">
        <v>109.609134095</v>
      </c>
      <c r="AG1023" t="n">
        <v>79.90000000000001</v>
      </c>
      <c r="AH1023" t="n">
        <v>93.43997922</v>
      </c>
      <c r="AI1023" t="n">
        <v>97.965171791</v>
      </c>
      <c r="AJ1023" t="n">
        <v>117.882079131</v>
      </c>
      <c r="AK1023" t="n">
        <v/>
      </c>
      <c r="AL1023" t="n">
        <v>90.62450938800001</v>
      </c>
      <c r="AM1023" t="n">
        <v>58.1</v>
      </c>
      <c r="AN1023" t="n">
        <v>126.869512711</v>
      </c>
      <c r="AO1023" t="n">
        <v>70.525992312</v>
      </c>
      <c r="AP1023" t="n">
        <v>54.909151525</v>
      </c>
      <c r="AQ1023" t="n">
        <v>85.691338836</v>
      </c>
      <c r="AR1023" t="n">
        <v>106.291142405</v>
      </c>
      <c r="AS1023" t="n">
        <v>50.895758687</v>
      </c>
      <c r="AT1023" t="n">
        <v>92.186329982</v>
      </c>
      <c r="AU1023" t="n">
        <v/>
      </c>
    </row>
    <row r="1024">
      <c r="A1024" s="106" t="n">
        <v>38047</v>
      </c>
      <c r="B1024" t="n">
        <v>78.539699185</v>
      </c>
      <c r="C1024" t="n">
        <v>78.593450546</v>
      </c>
      <c r="D1024" t="n">
        <v>93.03605835400001</v>
      </c>
      <c r="E1024" t="n">
        <v>97.47397596</v>
      </c>
      <c r="F1024" t="n">
        <v/>
      </c>
      <c r="G1024" t="n">
        <v/>
      </c>
      <c r="H1024" t="n">
        <v>80.00263961</v>
      </c>
      <c r="I1024" t="n">
        <v>78.539699185</v>
      </c>
      <c r="J1024" t="n">
        <v>76.08731878</v>
      </c>
      <c r="K1024" t="n">
        <v>81.206767231</v>
      </c>
      <c r="L1024" t="n">
        <v>112.9</v>
      </c>
      <c r="M1024" t="n">
        <v>96.891925673</v>
      </c>
      <c r="N1024" t="n">
        <v>125.996104997</v>
      </c>
      <c r="O1024" t="n">
        <v>62.705225435</v>
      </c>
      <c r="P1024" t="n">
        <v/>
      </c>
      <c r="Q1024" t="n">
        <v>103.608634053</v>
      </c>
      <c r="R1024" t="n">
        <v>109.9</v>
      </c>
      <c r="S1024" t="n">
        <v>96.25031860199999</v>
      </c>
      <c r="T1024" t="n">
        <v>108.2419526</v>
      </c>
      <c r="U1024" t="n">
        <v/>
      </c>
      <c r="V1024" t="n">
        <v>146.940814118</v>
      </c>
      <c r="W1024" t="n">
        <v>70.405867156</v>
      </c>
      <c r="X1024" t="n">
        <v>51.518613424</v>
      </c>
      <c r="Y1024" t="n">
        <v/>
      </c>
      <c r="Z1024" t="n">
        <v>57.942028304</v>
      </c>
      <c r="AA1024" t="n">
        <v>38.090064569</v>
      </c>
      <c r="AB1024" t="n">
        <v>70.163934426</v>
      </c>
      <c r="AC1024" t="n">
        <v>121.489875844</v>
      </c>
      <c r="AD1024" t="n">
        <v>105.536110204</v>
      </c>
      <c r="AE1024" t="n">
        <v>61.939</v>
      </c>
      <c r="AF1024" t="n">
        <v>113.109425785</v>
      </c>
      <c r="AG1024" t="n">
        <v>81.40000000000001</v>
      </c>
      <c r="AH1024" t="n">
        <v>95.00129934900001</v>
      </c>
      <c r="AI1024" t="n">
        <v>97.57173736599999</v>
      </c>
      <c r="AJ1024" t="n">
        <v>119.627618309</v>
      </c>
      <c r="AK1024" t="n">
        <v/>
      </c>
      <c r="AL1024" t="n">
        <v>90.52608102799999</v>
      </c>
      <c r="AM1024" t="n">
        <v>59.6</v>
      </c>
      <c r="AN1024" t="n">
        <v>132.816521119</v>
      </c>
      <c r="AO1024" t="n">
        <v>71.041517884</v>
      </c>
      <c r="AP1024" t="n">
        <v>53.008834806</v>
      </c>
      <c r="AQ1024" t="n">
        <v>86.90483274100001</v>
      </c>
      <c r="AR1024" t="n">
        <v>104.59128406</v>
      </c>
      <c r="AS1024" t="n">
        <v>51.195733689</v>
      </c>
      <c r="AT1024" t="n">
        <v>91.820732745</v>
      </c>
      <c r="AU1024" t="n">
        <v/>
      </c>
    </row>
    <row r="1025">
      <c r="A1025" s="106" t="n">
        <v>38078</v>
      </c>
      <c r="B1025" t="n">
        <v>79.722017229</v>
      </c>
      <c r="C1025" t="n">
        <v>80.49329222599999</v>
      </c>
      <c r="D1025" t="n">
        <v>93.696669419</v>
      </c>
      <c r="E1025" t="n">
        <v>97.296068103</v>
      </c>
      <c r="F1025" t="n">
        <v/>
      </c>
      <c r="G1025" t="n">
        <v/>
      </c>
      <c r="H1025" t="n">
        <v>80.054853581</v>
      </c>
      <c r="I1025" t="n">
        <v>79.722017229</v>
      </c>
      <c r="J1025" t="n">
        <v>77.187135477</v>
      </c>
      <c r="K1025" t="n">
        <v>82.40686723899999</v>
      </c>
      <c r="L1025" t="n">
        <v>114.3</v>
      </c>
      <c r="M1025" t="n">
        <v>97.79185067900001</v>
      </c>
      <c r="N1025" t="n">
        <v>125.605104671</v>
      </c>
      <c r="O1025" t="n">
        <v>64.105342112</v>
      </c>
      <c r="P1025" t="n">
        <v/>
      </c>
      <c r="Q1025" t="n">
        <v>104.508709059</v>
      </c>
      <c r="R1025" t="n">
        <v>109.91</v>
      </c>
      <c r="S1025" t="n">
        <v>97.022348608</v>
      </c>
      <c r="T1025" t="n">
        <v>107.923593916</v>
      </c>
      <c r="U1025" t="n">
        <v/>
      </c>
      <c r="V1025" t="n">
        <v>147.340381254</v>
      </c>
      <c r="W1025" t="n">
        <v>70.80590049200001</v>
      </c>
      <c r="X1025" t="n">
        <v>54.011918566</v>
      </c>
      <c r="Y1025" t="n">
        <v/>
      </c>
      <c r="Z1025" t="n">
        <v>58.774016403</v>
      </c>
      <c r="AA1025" t="n">
        <v>39.334009997</v>
      </c>
      <c r="AB1025" t="n">
        <v>69.039812646</v>
      </c>
      <c r="AC1025" t="n">
        <v>123.789684193</v>
      </c>
      <c r="AD1025" t="n">
        <v>107.383807293</v>
      </c>
      <c r="AE1025" t="n">
        <v>62.608</v>
      </c>
      <c r="AF1025" t="n">
        <v>109.909159097</v>
      </c>
      <c r="AG1025" t="n">
        <v>82.40000000000001</v>
      </c>
      <c r="AH1025" t="n">
        <v>94.40833425700001</v>
      </c>
      <c r="AI1025" t="n">
        <v>96.883227123</v>
      </c>
      <c r="AJ1025" t="n">
        <v>117.416602017</v>
      </c>
      <c r="AK1025" t="n">
        <v/>
      </c>
      <c r="AL1025" t="n">
        <v>91.200683406</v>
      </c>
      <c r="AM1025" t="n">
        <v>61.6</v>
      </c>
      <c r="AN1025" t="n">
        <v>131.94924906</v>
      </c>
      <c r="AO1025" t="n">
        <v>71.761191908</v>
      </c>
      <c r="AP1025" t="n">
        <v>52.508751459</v>
      </c>
      <c r="AQ1025" t="n">
        <v>87.558252536</v>
      </c>
      <c r="AR1025" t="n">
        <v>107.891009083</v>
      </c>
      <c r="AS1025" t="n">
        <v>52.095658695</v>
      </c>
      <c r="AT1025" t="n">
        <v>92.19366770800001</v>
      </c>
      <c r="AU1025" t="n">
        <v/>
      </c>
    </row>
    <row r="1026">
      <c r="A1026" s="106" t="n">
        <v>38108</v>
      </c>
      <c r="B1026" t="n">
        <v>80.313176255</v>
      </c>
      <c r="C1026" t="n">
        <v>79.19340055000001</v>
      </c>
      <c r="D1026" t="n">
        <v>94.577484173</v>
      </c>
      <c r="E1026" t="n">
        <v>96.879255409</v>
      </c>
      <c r="F1026" t="n">
        <v/>
      </c>
      <c r="G1026" t="n">
        <v/>
      </c>
      <c r="H1026" t="n">
        <v>82.388974248</v>
      </c>
      <c r="I1026" t="n">
        <v>80.313176255</v>
      </c>
      <c r="J1026" t="n">
        <v>76.687218797</v>
      </c>
      <c r="K1026" t="n">
        <v>83.306942245</v>
      </c>
      <c r="L1026" t="n">
        <v>114.1</v>
      </c>
      <c r="M1026" t="n">
        <v>97.79185067900001</v>
      </c>
      <c r="N1026" t="n">
        <v>126.340105283</v>
      </c>
      <c r="O1026" t="n">
        <v>64.80540044999999</v>
      </c>
      <c r="P1026" t="n">
        <v/>
      </c>
      <c r="Q1026" t="n">
        <v>107.108925744</v>
      </c>
      <c r="R1026" t="n">
        <v>109.32</v>
      </c>
      <c r="S1026" t="n">
        <v>97.296042521</v>
      </c>
      <c r="T1026" t="n">
        <v>106.331800495</v>
      </c>
      <c r="U1026" t="n">
        <v/>
      </c>
      <c r="V1026" t="n">
        <v>146.940814118</v>
      </c>
      <c r="W1026" t="n">
        <v>70.605883824</v>
      </c>
      <c r="X1026" t="n">
        <v>53.609328603</v>
      </c>
      <c r="Y1026" t="n">
        <v/>
      </c>
      <c r="Z1026" t="n">
        <v>55.802630336</v>
      </c>
      <c r="AA1026" t="n">
        <v>39.059363183</v>
      </c>
      <c r="AB1026" t="n">
        <v>69.039812646</v>
      </c>
      <c r="AC1026" t="n">
        <v>123.489709191</v>
      </c>
      <c r="AD1026" t="n">
        <v>107.492495357</v>
      </c>
      <c r="AE1026" t="n">
        <v>63.522</v>
      </c>
      <c r="AF1026" t="n">
        <v>108.50904242</v>
      </c>
      <c r="AG1026" t="n">
        <v>80.59999999999999</v>
      </c>
      <c r="AH1026" t="n">
        <v>94.129203467</v>
      </c>
      <c r="AI1026" t="n">
        <v>97.965171791</v>
      </c>
      <c r="AJ1026" t="n">
        <v>118.463925524</v>
      </c>
      <c r="AK1026" t="n">
        <v/>
      </c>
      <c r="AL1026" t="n">
        <v>91.435487991</v>
      </c>
      <c r="AM1026" t="n">
        <v>59.4</v>
      </c>
      <c r="AN1026" t="n">
        <v>130.338600949</v>
      </c>
      <c r="AO1026" t="n">
        <v>72.198439622</v>
      </c>
      <c r="AP1026" t="n">
        <v>54.509084847</v>
      </c>
      <c r="AQ1026" t="n">
        <v>85.317956096</v>
      </c>
      <c r="AR1026" t="n">
        <v>106.891092409</v>
      </c>
      <c r="AS1026" t="n">
        <v>53.595533706</v>
      </c>
      <c r="AT1026" t="n">
        <v>92.856542004</v>
      </c>
      <c r="AU1026" t="n">
        <v/>
      </c>
    </row>
    <row r="1027">
      <c r="A1027" s="106" t="n">
        <v>38139</v>
      </c>
      <c r="B1027" t="n">
        <v>80.988786574</v>
      </c>
      <c r="C1027" t="n">
        <v>80.69327556</v>
      </c>
      <c r="D1027" t="n">
        <v>94.797687861</v>
      </c>
      <c r="E1027" t="n">
        <v>98.295294939</v>
      </c>
      <c r="F1027" t="n">
        <v/>
      </c>
      <c r="G1027" t="n">
        <v/>
      </c>
      <c r="H1027" t="n">
        <v>82.70266482</v>
      </c>
      <c r="I1027" t="n">
        <v>80.988786574</v>
      </c>
      <c r="J1027" t="n">
        <v>76.487252125</v>
      </c>
      <c r="K1027" t="n">
        <v>82.70689224100001</v>
      </c>
      <c r="L1027" t="n">
        <v>114.3</v>
      </c>
      <c r="M1027" t="n">
        <v>97.79185067900001</v>
      </c>
      <c r="N1027" t="n">
        <v>126.51610543</v>
      </c>
      <c r="O1027" t="n">
        <v>64.80540044999999</v>
      </c>
      <c r="P1027" t="n">
        <v/>
      </c>
      <c r="Q1027" t="n">
        <v>108.409034086</v>
      </c>
      <c r="R1027" t="n">
        <v>110.36</v>
      </c>
      <c r="S1027" t="n">
        <v>97.029101774</v>
      </c>
      <c r="T1027" t="n">
        <v>106.013441811</v>
      </c>
      <c r="U1027" t="n">
        <v/>
      </c>
      <c r="V1027" t="n">
        <v>144.343627737</v>
      </c>
      <c r="W1027" t="n">
        <v>71.205933828</v>
      </c>
      <c r="X1027" t="n">
        <v>53.73009866</v>
      </c>
      <c r="Y1027" t="n">
        <v/>
      </c>
      <c r="Z1027" t="n">
        <v>57.228895648</v>
      </c>
      <c r="AA1027" t="n">
        <v>38.527496126</v>
      </c>
      <c r="AB1027" t="n">
        <v>70.25761124100001</v>
      </c>
      <c r="AC1027" t="n">
        <v>122.789767519</v>
      </c>
      <c r="AD1027" t="n">
        <v>107.818559549</v>
      </c>
      <c r="AE1027" t="n">
        <v>61.719</v>
      </c>
      <c r="AF1027" t="n">
        <v>115.909659138</v>
      </c>
      <c r="AG1027" t="n">
        <v>80</v>
      </c>
      <c r="AH1027" t="n">
        <v>94.239516024</v>
      </c>
      <c r="AI1027" t="n">
        <v>98.06353039699999</v>
      </c>
      <c r="AJ1027" t="n">
        <v>125.678820791</v>
      </c>
      <c r="AK1027" t="n">
        <v/>
      </c>
      <c r="AL1027" t="n">
        <v>91.217946348</v>
      </c>
      <c r="AM1027" t="n">
        <v>58.8</v>
      </c>
      <c r="AN1027" t="n">
        <v>129.966912924</v>
      </c>
      <c r="AO1027" t="n">
        <v>72.79000196200001</v>
      </c>
      <c r="AP1027" t="n">
        <v>53.008834806</v>
      </c>
      <c r="AQ1027" t="n">
        <v>86.344758631</v>
      </c>
      <c r="AR1027" t="n">
        <v>106.49112574</v>
      </c>
      <c r="AS1027" t="n">
        <v>53.095575369</v>
      </c>
      <c r="AT1027" t="n">
        <v>92.148253134</v>
      </c>
      <c r="AU1027" t="n">
        <v/>
      </c>
    </row>
    <row r="1028">
      <c r="A1028" s="106" t="n">
        <v>38169</v>
      </c>
      <c r="B1028" t="n">
        <v>81.748848176</v>
      </c>
      <c r="C1028" t="n">
        <v>82.59311724</v>
      </c>
      <c r="D1028" t="n">
        <v>95.458298927</v>
      </c>
      <c r="E1028" t="n">
        <v>97.63048136800001</v>
      </c>
      <c r="F1028" t="n">
        <v/>
      </c>
      <c r="G1028" t="n">
        <v/>
      </c>
      <c r="H1028" t="n">
        <v>83.255951448</v>
      </c>
      <c r="I1028" t="n">
        <v>81.748848176</v>
      </c>
      <c r="J1028" t="n">
        <v>77.687052158</v>
      </c>
      <c r="K1028" t="n">
        <v>83.70697558099999</v>
      </c>
      <c r="L1028" t="n">
        <v>111.9</v>
      </c>
      <c r="M1028" t="n">
        <v>98.691775685</v>
      </c>
      <c r="N1028" t="n">
        <v>126.747105623</v>
      </c>
      <c r="O1028" t="n">
        <v>66.205517126</v>
      </c>
      <c r="P1028" t="n">
        <v/>
      </c>
      <c r="Q1028" t="n">
        <v>105.208767397</v>
      </c>
      <c r="R1028" t="n">
        <v>110.8</v>
      </c>
      <c r="S1028" t="n">
        <v>97.680117717</v>
      </c>
      <c r="T1028" t="n">
        <v>104.952246197</v>
      </c>
      <c r="U1028" t="n">
        <v/>
      </c>
      <c r="V1028" t="n">
        <v>146.74103055</v>
      </c>
      <c r="W1028" t="n">
        <v>71.00591716</v>
      </c>
      <c r="X1028" t="n">
        <v>55.447927977</v>
      </c>
      <c r="Y1028" t="n">
        <v/>
      </c>
      <c r="Z1028" t="n">
        <v>63.647089552</v>
      </c>
      <c r="AA1028" t="n">
        <v>37.909007947</v>
      </c>
      <c r="AB1028" t="n">
        <v>69.22716627600001</v>
      </c>
      <c r="AC1028" t="n">
        <v>123.089742521</v>
      </c>
      <c r="AD1028" t="n">
        <v>109.340192446</v>
      </c>
      <c r="AE1028" t="n">
        <v>60.94</v>
      </c>
      <c r="AF1028" t="n">
        <v>112.309359113</v>
      </c>
      <c r="AG1028" t="n">
        <v>80.7</v>
      </c>
      <c r="AH1028" t="n">
        <v>94.05959044700001</v>
      </c>
      <c r="AI1028" t="n">
        <v>100.424136946</v>
      </c>
      <c r="AJ1028" t="n">
        <v>115.438324282</v>
      </c>
      <c r="AK1028" t="n">
        <v/>
      </c>
      <c r="AL1028" t="n">
        <v>91.66965603600001</v>
      </c>
      <c r="AM1028" t="n">
        <v>58.7</v>
      </c>
      <c r="AN1028" t="n">
        <v>129.595224898</v>
      </c>
      <c r="AO1028" t="n">
        <v>72.617449037</v>
      </c>
      <c r="AP1028" t="n">
        <v>52.808801467</v>
      </c>
      <c r="AQ1028" t="n">
        <v>86.811487056</v>
      </c>
      <c r="AR1028" t="n">
        <v>105.091242396</v>
      </c>
      <c r="AS1028" t="n">
        <v>53.895508708</v>
      </c>
      <c r="AT1028" t="n">
        <v>92.823125604</v>
      </c>
      <c r="AU1028" t="n">
        <v/>
      </c>
    </row>
    <row r="1029">
      <c r="A1029" s="106" t="n">
        <v>38200</v>
      </c>
      <c r="B1029" t="n">
        <v>82.340007203</v>
      </c>
      <c r="C1029" t="n">
        <v>80.49329222599999</v>
      </c>
      <c r="D1029" t="n">
        <v>96.449215524</v>
      </c>
      <c r="E1029" t="n">
        <v>98.15671408199999</v>
      </c>
      <c r="F1029" t="n">
        <v/>
      </c>
      <c r="G1029" t="n">
        <v/>
      </c>
      <c r="H1029" t="n">
        <v>84.877250184</v>
      </c>
      <c r="I1029" t="n">
        <v>82.340007203</v>
      </c>
      <c r="J1029" t="n">
        <v>77.78703549399999</v>
      </c>
      <c r="K1029" t="n">
        <v>82.90690890899999</v>
      </c>
      <c r="L1029" t="n">
        <v>111.5</v>
      </c>
      <c r="M1029" t="n">
        <v>96.59195067100001</v>
      </c>
      <c r="N1029" t="n">
        <v>125.077104231</v>
      </c>
      <c r="O1029" t="n">
        <v>67.50562546899999</v>
      </c>
      <c r="P1029" t="n">
        <v/>
      </c>
      <c r="Q1029" t="n">
        <v>108.209017418</v>
      </c>
      <c r="R1029" t="n">
        <v>106.95</v>
      </c>
      <c r="S1029" t="n">
        <v>96.923508743</v>
      </c>
      <c r="T1029" t="n">
        <v>103.678811461</v>
      </c>
      <c r="U1029" t="n">
        <v/>
      </c>
      <c r="V1029" t="n">
        <v>135.453258969</v>
      </c>
      <c r="W1029" t="n">
        <v>70.80590049200001</v>
      </c>
      <c r="X1029" t="n">
        <v>55.799579326</v>
      </c>
      <c r="Y1029" t="n">
        <v/>
      </c>
      <c r="Z1029" t="n">
        <v>50.988984908</v>
      </c>
      <c r="AA1029" t="n">
        <v>37.476393433</v>
      </c>
      <c r="AB1029" t="n">
        <v>70.725995316</v>
      </c>
      <c r="AC1029" t="n">
        <v>120.389967503</v>
      </c>
      <c r="AD1029" t="n">
        <v>107.818559549</v>
      </c>
      <c r="AE1029" t="n">
        <v>61.908</v>
      </c>
      <c r="AF1029" t="n">
        <v>111.109259105</v>
      </c>
      <c r="AG1029" t="n">
        <v>79.8</v>
      </c>
      <c r="AH1029" t="n">
        <v>93.929814073</v>
      </c>
      <c r="AI1029" t="n">
        <v>96.784868516</v>
      </c>
      <c r="AJ1029" t="n">
        <v>106.012412723</v>
      </c>
      <c r="AK1029" t="n">
        <v/>
      </c>
      <c r="AL1029" t="n">
        <v>90.917366937</v>
      </c>
      <c r="AM1029" t="n">
        <v>59.1</v>
      </c>
      <c r="AN1029" t="n">
        <v>124.019904515</v>
      </c>
      <c r="AO1029" t="n">
        <v>74.143526945</v>
      </c>
      <c r="AP1029" t="n">
        <v>53.408901484</v>
      </c>
      <c r="AQ1029" t="n">
        <v>87.651598221</v>
      </c>
      <c r="AR1029" t="n">
        <v>108.190984085</v>
      </c>
      <c r="AS1029" t="n">
        <v>53.495542038</v>
      </c>
      <c r="AT1029" t="n">
        <v>92.907311135</v>
      </c>
      <c r="AU1029" t="n">
        <v/>
      </c>
    </row>
    <row r="1030">
      <c r="A1030" s="106" t="n">
        <v>38231</v>
      </c>
      <c r="B1030" t="n">
        <v>83.015617522</v>
      </c>
      <c r="C1030" t="n">
        <v>82.293142238</v>
      </c>
      <c r="D1030" t="n">
        <v>97.10982659</v>
      </c>
      <c r="E1030" t="n">
        <v>98.651913245</v>
      </c>
      <c r="F1030" t="n">
        <v/>
      </c>
      <c r="G1030" t="n">
        <v/>
      </c>
      <c r="H1030" t="n">
        <v>85.35395093699999</v>
      </c>
      <c r="I1030" t="n">
        <v>83.015617522</v>
      </c>
      <c r="J1030" t="n">
        <v>77.487085486</v>
      </c>
      <c r="K1030" t="n">
        <v>82.70689224100001</v>
      </c>
      <c r="L1030" t="n">
        <v>112.1</v>
      </c>
      <c r="M1030" t="n">
        <v>98.091825681</v>
      </c>
      <c r="N1030" t="n">
        <v>127.062105885</v>
      </c>
      <c r="O1030" t="n">
        <v>67.30560880100001</v>
      </c>
      <c r="P1030" t="n">
        <v/>
      </c>
      <c r="Q1030" t="n">
        <v>107.808984082</v>
      </c>
      <c r="R1030" t="n">
        <v>110.65</v>
      </c>
      <c r="S1030" t="n">
        <v>97.30608028</v>
      </c>
      <c r="T1030" t="n">
        <v>103.466572338</v>
      </c>
      <c r="U1030" t="n">
        <v/>
      </c>
      <c r="V1030" t="n">
        <v>144.743194872</v>
      </c>
      <c r="W1030" t="n">
        <v>71.30594216199999</v>
      </c>
      <c r="X1030" t="n">
        <v>56.72229322</v>
      </c>
      <c r="Y1030" t="n">
        <v/>
      </c>
      <c r="Z1030" t="n">
        <v>57.110040205</v>
      </c>
      <c r="AA1030" t="n">
        <v>38.079809425</v>
      </c>
      <c r="AB1030" t="n">
        <v>70.25761124100001</v>
      </c>
      <c r="AC1030" t="n">
        <v>122.189817515</v>
      </c>
      <c r="AD1030" t="n">
        <v>108.144623741</v>
      </c>
      <c r="AE1030" t="n">
        <v>62.611</v>
      </c>
      <c r="AF1030" t="n">
        <v>112.309359113</v>
      </c>
      <c r="AG1030" t="n">
        <v>81.40000000000001</v>
      </c>
      <c r="AH1030" t="n">
        <v>94.47747708199999</v>
      </c>
      <c r="AI1030" t="n">
        <v>99.04711645899999</v>
      </c>
      <c r="AJ1030" t="n">
        <v>114.85647789</v>
      </c>
      <c r="AK1030" t="n">
        <v/>
      </c>
      <c r="AL1030" t="n">
        <v>91.479048541</v>
      </c>
      <c r="AM1030" t="n">
        <v>59.3</v>
      </c>
      <c r="AN1030" t="n">
        <v>123.276528464</v>
      </c>
      <c r="AO1030" t="n">
        <v>72.389952787</v>
      </c>
      <c r="AP1030" t="n">
        <v>53.608934822</v>
      </c>
      <c r="AQ1030" t="n">
        <v>87.744943906</v>
      </c>
      <c r="AR1030" t="n">
        <v>108.590950754</v>
      </c>
      <c r="AS1030" t="n">
        <v>52.395633697</v>
      </c>
      <c r="AT1030" t="n">
        <v>93.006469594</v>
      </c>
      <c r="AU1030" t="n">
        <v/>
      </c>
    </row>
    <row r="1031">
      <c r="A1031" s="106" t="n">
        <v>38261</v>
      </c>
      <c r="B1031" t="n">
        <v>83.268971389</v>
      </c>
      <c r="C1031" t="n">
        <v>84.39296725299999</v>
      </c>
      <c r="D1031" t="n">
        <v>96.33911368</v>
      </c>
      <c r="E1031" t="n">
        <v>98.55774246999999</v>
      </c>
      <c r="F1031" t="n">
        <v/>
      </c>
      <c r="G1031" t="n">
        <v/>
      </c>
      <c r="H1031" t="n">
        <v>85.21217751099999</v>
      </c>
      <c r="I1031" t="n">
        <v>83.268971389</v>
      </c>
      <c r="J1031" t="n">
        <v>78.286952175</v>
      </c>
      <c r="K1031" t="n">
        <v>83.70697558099999</v>
      </c>
      <c r="L1031" t="n">
        <v>110.3</v>
      </c>
      <c r="M1031" t="n">
        <v>98.591784018</v>
      </c>
      <c r="N1031" t="n">
        <v>125.960104967</v>
      </c>
      <c r="O1031" t="n">
        <v>67.405617135</v>
      </c>
      <c r="P1031" t="n">
        <v/>
      </c>
      <c r="Q1031" t="n">
        <v>108.109009084</v>
      </c>
      <c r="R1031" t="n">
        <v>111.47</v>
      </c>
      <c r="S1031" t="n">
        <v>97.599864991</v>
      </c>
      <c r="T1031" t="n">
        <v>104.315528829</v>
      </c>
      <c r="U1031" t="n">
        <v/>
      </c>
      <c r="V1031" t="n">
        <v>138.450012486</v>
      </c>
      <c r="W1031" t="n">
        <v>72.806067172</v>
      </c>
      <c r="X1031" t="n">
        <v>56.865122579</v>
      </c>
      <c r="Y1031" t="n">
        <v/>
      </c>
      <c r="Z1031" t="n">
        <v>57.585461976</v>
      </c>
      <c r="AA1031" t="n">
        <v>38.986103209</v>
      </c>
      <c r="AB1031" t="n">
        <v>73.817330211</v>
      </c>
      <c r="AC1031" t="n">
        <v>123.189734189</v>
      </c>
      <c r="AD1031" t="n">
        <v>106.079550524</v>
      </c>
      <c r="AE1031" t="n">
        <v>62.618</v>
      </c>
      <c r="AF1031" t="n">
        <v>110.809234103</v>
      </c>
      <c r="AG1031" t="n">
        <v>80.90000000000001</v>
      </c>
      <c r="AH1031" t="n">
        <v>95.153249965</v>
      </c>
      <c r="AI1031" t="n">
        <v>98.26024760999999</v>
      </c>
      <c r="AJ1031" t="n">
        <v>119.860356866</v>
      </c>
      <c r="AK1031" t="n">
        <v/>
      </c>
      <c r="AL1031" t="n">
        <v>91.707702095</v>
      </c>
      <c r="AM1031" t="n">
        <v>59.9</v>
      </c>
      <c r="AN1031" t="n">
        <v>125.754448634</v>
      </c>
      <c r="AO1031" t="n">
        <v>72.751557138</v>
      </c>
      <c r="AP1031" t="n">
        <v>54.309051509</v>
      </c>
      <c r="AQ1031" t="n">
        <v>87.37156116600001</v>
      </c>
      <c r="AR1031" t="n">
        <v>108.490959087</v>
      </c>
      <c r="AS1031" t="n">
        <v>50.595783685</v>
      </c>
      <c r="AT1031" t="n">
        <v>93.82631173</v>
      </c>
      <c r="AU1031" t="n">
        <v/>
      </c>
    </row>
    <row r="1032">
      <c r="A1032" s="106" t="n">
        <v>38292</v>
      </c>
      <c r="B1032" t="n">
        <v>83.860130416</v>
      </c>
      <c r="C1032" t="n">
        <v>83.593033914</v>
      </c>
      <c r="D1032" t="n">
        <v>96.33911368</v>
      </c>
      <c r="E1032" t="n">
        <v>98.568443694</v>
      </c>
      <c r="F1032" t="n">
        <v/>
      </c>
      <c r="G1032" t="n">
        <v/>
      </c>
      <c r="H1032" t="n">
        <v>84.37132917700001</v>
      </c>
      <c r="I1032" t="n">
        <v>83.860130416</v>
      </c>
      <c r="J1032" t="n">
        <v>78.386935511</v>
      </c>
      <c r="K1032" t="n">
        <v>82.306858905</v>
      </c>
      <c r="L1032" t="n">
        <v>112.8</v>
      </c>
      <c r="M1032" t="n">
        <v>97.491875677</v>
      </c>
      <c r="N1032" t="n">
        <v>126.873105728</v>
      </c>
      <c r="O1032" t="n">
        <v>67.605633803</v>
      </c>
      <c r="P1032" t="n">
        <v/>
      </c>
      <c r="Q1032" t="n">
        <v>106.50887574</v>
      </c>
      <c r="R1032" t="n">
        <v>109.61</v>
      </c>
      <c r="S1032" t="n">
        <v>97.541019621</v>
      </c>
      <c r="T1032" t="n">
        <v>104.846126636</v>
      </c>
      <c r="U1032" t="n">
        <v/>
      </c>
      <c r="V1032" t="n">
        <v>143.544493465</v>
      </c>
      <c r="W1032" t="n">
        <v>73.00608384</v>
      </c>
      <c r="X1032" t="n">
        <v>56.846079252</v>
      </c>
      <c r="Y1032" t="n">
        <v/>
      </c>
      <c r="Z1032" t="n">
        <v>56.931757041</v>
      </c>
      <c r="AA1032" t="n">
        <v>39.35254662</v>
      </c>
      <c r="AB1032" t="n">
        <v>71.100702576</v>
      </c>
      <c r="AC1032" t="n">
        <v>121.189900842</v>
      </c>
      <c r="AD1032" t="n">
        <v>107.383807293</v>
      </c>
      <c r="AE1032" t="n">
        <v>63.693</v>
      </c>
      <c r="AF1032" t="n">
        <v>112.009334111</v>
      </c>
      <c r="AG1032" t="n">
        <v>81.40000000000001</v>
      </c>
      <c r="AH1032" t="n">
        <v>95.27190322200001</v>
      </c>
      <c r="AI1032" t="n">
        <v>97.866813185</v>
      </c>
      <c r="AJ1032" t="n">
        <v>116.718386346</v>
      </c>
      <c r="AK1032" t="n">
        <v/>
      </c>
      <c r="AL1032" t="n">
        <v>91.741281945</v>
      </c>
      <c r="AM1032" t="n">
        <v>60.3</v>
      </c>
      <c r="AN1032" t="n">
        <v>127.860680779</v>
      </c>
      <c r="AO1032" t="n">
        <v>74.057075957</v>
      </c>
      <c r="AP1032" t="n">
        <v>52.20870145</v>
      </c>
      <c r="AQ1032" t="n">
        <v>87.091524111</v>
      </c>
      <c r="AR1032" t="n">
        <v>108.890925756</v>
      </c>
      <c r="AS1032" t="n">
        <v>50.895758687</v>
      </c>
      <c r="AT1032" t="n">
        <v>94.05090563900001</v>
      </c>
      <c r="AU1032" t="n">
        <v/>
      </c>
    </row>
    <row r="1033">
      <c r="A1033" s="106" t="n">
        <v>38322</v>
      </c>
      <c r="B1033" t="n">
        <v>81.91775076099999</v>
      </c>
      <c r="C1033" t="n">
        <v>83.793017249</v>
      </c>
      <c r="D1033" t="n">
        <v>97.219928434</v>
      </c>
      <c r="E1033" t="n">
        <v>98.622752408</v>
      </c>
      <c r="F1033" t="n">
        <v/>
      </c>
      <c r="G1033" t="n">
        <v/>
      </c>
      <c r="H1033" t="n">
        <v>84.268844656</v>
      </c>
      <c r="I1033" t="n">
        <v>81.91775076099999</v>
      </c>
      <c r="J1033" t="n">
        <v>77.58706882200001</v>
      </c>
      <c r="K1033" t="n">
        <v>81.90682556900001</v>
      </c>
      <c r="L1033" t="n">
        <v>111.3</v>
      </c>
      <c r="M1033" t="n">
        <v>97.491875677</v>
      </c>
      <c r="N1033" t="n">
        <v>124.275103563</v>
      </c>
      <c r="O1033" t="n">
        <v>68.10567547300001</v>
      </c>
      <c r="P1033" t="n">
        <v/>
      </c>
      <c r="Q1033" t="n">
        <v>111.609300775</v>
      </c>
      <c r="R1033" t="n">
        <v>109.88</v>
      </c>
      <c r="S1033" t="n">
        <v>97.47803277</v>
      </c>
      <c r="T1033" t="n">
        <v>104.209409268</v>
      </c>
      <c r="U1033" t="n">
        <v/>
      </c>
      <c r="V1033" t="n">
        <v>141.846333139</v>
      </c>
      <c r="W1033" t="n">
        <v>71.405950496</v>
      </c>
      <c r="X1033" t="n">
        <v>57.241947187</v>
      </c>
      <c r="Y1033" t="n">
        <v/>
      </c>
      <c r="Z1033" t="n">
        <v>58.952299567</v>
      </c>
      <c r="AA1033" t="n">
        <v>40.112081785</v>
      </c>
      <c r="AB1033" t="n">
        <v>69.601873536</v>
      </c>
      <c r="AC1033" t="n">
        <v>120.289975835</v>
      </c>
      <c r="AD1033" t="n">
        <v>105.97086246</v>
      </c>
      <c r="AE1033" t="n">
        <v>62.83</v>
      </c>
      <c r="AF1033" t="n">
        <v>110.109175765</v>
      </c>
      <c r="AG1033" t="n">
        <v>81.5</v>
      </c>
      <c r="AH1033" t="n">
        <v>94.803980767</v>
      </c>
      <c r="AI1033" t="n">
        <v>97.76845457899999</v>
      </c>
      <c r="AJ1033" t="n">
        <v>113.110938712</v>
      </c>
      <c r="AK1033" t="n">
        <v/>
      </c>
      <c r="AL1033" t="n">
        <v>91.51031821799999</v>
      </c>
      <c r="AM1033" t="n">
        <v>57.9</v>
      </c>
      <c r="AN1033" t="n">
        <v>126.373928677</v>
      </c>
      <c r="AO1033" t="n">
        <v>74.538439752</v>
      </c>
      <c r="AP1033" t="n">
        <v>59.609934989</v>
      </c>
      <c r="AQ1033" t="n">
        <v>86.344758631</v>
      </c>
      <c r="AR1033" t="n">
        <v>104.791267394</v>
      </c>
      <c r="AS1033" t="n">
        <v>51.795683693</v>
      </c>
      <c r="AT1033" t="n">
        <v>94.77972031</v>
      </c>
      <c r="AU1033" t="n">
        <v/>
      </c>
    </row>
    <row r="1034">
      <c r="A1034" s="106" t="n">
        <v>38353</v>
      </c>
      <c r="B1034" t="n">
        <v>80.904335292</v>
      </c>
      <c r="C1034" t="n">
        <v>85.392883926</v>
      </c>
      <c r="D1034" t="n">
        <v>97.660335811</v>
      </c>
      <c r="E1034" t="n">
        <v>99.89057998</v>
      </c>
      <c r="F1034" t="n">
        <v/>
      </c>
      <c r="G1034" t="n">
        <v/>
      </c>
      <c r="H1034" t="n">
        <v>84.748565945</v>
      </c>
      <c r="I1034" t="n">
        <v>80.904335292</v>
      </c>
      <c r="J1034" t="n">
        <v>77.287118814</v>
      </c>
      <c r="K1034" t="n">
        <v>84.407033919</v>
      </c>
      <c r="L1034" t="n">
        <v>113.7</v>
      </c>
      <c r="M1034" t="n">
        <v>98.291809016</v>
      </c>
      <c r="N1034" t="n">
        <v>124.756103963</v>
      </c>
      <c r="O1034" t="n">
        <v>65.90549212400001</v>
      </c>
      <c r="P1034" t="n">
        <v/>
      </c>
      <c r="Q1034" t="n">
        <v>105.808817401</v>
      </c>
      <c r="R1034" t="n">
        <v>111.65</v>
      </c>
      <c r="S1034" t="n">
        <v>98.616093076</v>
      </c>
      <c r="T1034" t="n">
        <v>104.209409268</v>
      </c>
      <c r="U1034" t="n">
        <v/>
      </c>
      <c r="V1034" t="n">
        <v>143.244818114</v>
      </c>
      <c r="W1034" t="n">
        <v>72.806067172</v>
      </c>
      <c r="X1034" t="n">
        <v>57.161533659</v>
      </c>
      <c r="Y1034" t="n">
        <v/>
      </c>
      <c r="Z1034" t="n">
        <v>57.526034255</v>
      </c>
      <c r="AA1034" t="n">
        <v>39.812064147</v>
      </c>
      <c r="AB1034" t="n">
        <v>73.255269321</v>
      </c>
      <c r="AC1034" t="n">
        <v>120.389967503</v>
      </c>
      <c r="AD1034" t="n">
        <v>108.470687933</v>
      </c>
      <c r="AE1034" t="n">
        <v>64.857</v>
      </c>
      <c r="AF1034" t="n">
        <v>112.509375781</v>
      </c>
      <c r="AG1034" t="n">
        <v>81.90000000000001</v>
      </c>
      <c r="AH1034" t="n">
        <v>95.985819929</v>
      </c>
      <c r="AI1034" t="n">
        <v>96.39196733599999</v>
      </c>
      <c r="AJ1034" t="n">
        <v>112.761830877</v>
      </c>
      <c r="AK1034" t="n">
        <v/>
      </c>
      <c r="AL1034" t="n">
        <v>92.809026167</v>
      </c>
      <c r="AM1034" t="n">
        <v>60.4</v>
      </c>
      <c r="AN1034" t="n">
        <v>125.690461479</v>
      </c>
      <c r="AO1034" t="n">
        <v>73.56804078899999</v>
      </c>
      <c r="AP1034" t="n">
        <v>52.30871812</v>
      </c>
      <c r="AQ1034" t="n">
        <v>88.007333944</v>
      </c>
      <c r="AR1034" t="n">
        <v>105.391217399</v>
      </c>
      <c r="AS1034" t="n">
        <v>60.194983751</v>
      </c>
      <c r="AT1034" t="n">
        <v>95.121222042</v>
      </c>
      <c r="AU1034" t="n">
        <v/>
      </c>
    </row>
    <row r="1035">
      <c r="A1035" s="106" t="n">
        <v>38384</v>
      </c>
      <c r="B1035" t="n">
        <v>81.748848176</v>
      </c>
      <c r="C1035" t="n">
        <v>82.99308391</v>
      </c>
      <c r="D1035" t="n">
        <v>96.118909992</v>
      </c>
      <c r="E1035" t="n">
        <v>98.882257102</v>
      </c>
      <c r="F1035" t="n">
        <v/>
      </c>
      <c r="G1035" t="n">
        <v/>
      </c>
      <c r="H1035" t="n">
        <v>84.885882235</v>
      </c>
      <c r="I1035" t="n">
        <v>81.748848176</v>
      </c>
      <c r="J1035" t="n">
        <v>77.287118814</v>
      </c>
      <c r="K1035" t="n">
        <v>83.106925577</v>
      </c>
      <c r="L1035" t="n">
        <v>113</v>
      </c>
      <c r="M1035" t="n">
        <v>98.091825681</v>
      </c>
      <c r="N1035" t="n">
        <v>125.314104428</v>
      </c>
      <c r="O1035" t="n">
        <v>70.605883824</v>
      </c>
      <c r="P1035" t="n">
        <v/>
      </c>
      <c r="Q1035" t="n">
        <v>104.808734061</v>
      </c>
      <c r="R1035" t="n">
        <v>110.38</v>
      </c>
      <c r="S1035" t="n">
        <v>98.63145300399999</v>
      </c>
      <c r="T1035" t="n">
        <v>104.103289706</v>
      </c>
      <c r="U1035" t="n">
        <v/>
      </c>
      <c r="V1035" t="n">
        <v>142.845250978</v>
      </c>
      <c r="W1035" t="n">
        <v>72.0060005</v>
      </c>
      <c r="X1035" t="n">
        <v>57.882138568</v>
      </c>
      <c r="Y1035" t="n">
        <v/>
      </c>
      <c r="Z1035" t="n">
        <v>59.308865895</v>
      </c>
      <c r="AA1035" t="n">
        <v>39.06887494</v>
      </c>
      <c r="AB1035" t="n">
        <v>73.067915691</v>
      </c>
      <c r="AC1035" t="n">
        <v>120.88992584</v>
      </c>
      <c r="AD1035" t="n">
        <v>108.470687933</v>
      </c>
      <c r="AE1035" t="n">
        <v>63.39</v>
      </c>
      <c r="AF1035" t="n">
        <v>106.608884074</v>
      </c>
      <c r="AG1035" t="n">
        <v>82.90000000000001</v>
      </c>
      <c r="AH1035" t="n">
        <v>95.721354959</v>
      </c>
      <c r="AI1035" t="n">
        <v>98.091825681</v>
      </c>
      <c r="AJ1035" t="n">
        <v>115.554693561</v>
      </c>
      <c r="AK1035" t="n">
        <v/>
      </c>
      <c r="AL1035" t="n">
        <v>92.70539424099999</v>
      </c>
      <c r="AM1035" t="n">
        <v>60.4</v>
      </c>
      <c r="AN1035" t="n">
        <v>128.462339881</v>
      </c>
      <c r="AO1035" t="n">
        <v>77.67476084099999</v>
      </c>
      <c r="AP1035" t="n">
        <v>51.808634772</v>
      </c>
      <c r="AQ1035" t="n">
        <v>86.307192266</v>
      </c>
      <c r="AR1035" t="n">
        <v>110.190817432</v>
      </c>
      <c r="AS1035" t="n">
        <v>57.695192067</v>
      </c>
      <c r="AT1035" t="n">
        <v>95.81552957</v>
      </c>
      <c r="AU1035" t="n">
        <v/>
      </c>
    </row>
    <row r="1036">
      <c r="A1036" s="106" t="n">
        <v>38412</v>
      </c>
      <c r="B1036" t="n">
        <v>81.748848176</v>
      </c>
      <c r="C1036" t="n">
        <v>83.29305891200001</v>
      </c>
      <c r="D1036" t="n">
        <v>97.10982659</v>
      </c>
      <c r="E1036" t="n">
        <v>97.85333436800001</v>
      </c>
      <c r="F1036" t="n">
        <v/>
      </c>
      <c r="G1036" t="n">
        <v/>
      </c>
      <c r="H1036" t="n">
        <v>85.038190916</v>
      </c>
      <c r="I1036" t="n">
        <v>81.748848176</v>
      </c>
      <c r="J1036" t="n">
        <v>77.38710215</v>
      </c>
      <c r="K1036" t="n">
        <v>84.207017251</v>
      </c>
      <c r="L1036" t="n">
        <v>117</v>
      </c>
      <c r="M1036" t="n">
        <v>97.99183401400001</v>
      </c>
      <c r="N1036" t="n">
        <v>126.211105176</v>
      </c>
      <c r="O1036" t="n">
        <v>72.706058838</v>
      </c>
      <c r="P1036" t="n">
        <v/>
      </c>
      <c r="Q1036" t="n">
        <v>105.708809067</v>
      </c>
      <c r="R1036" t="n">
        <v>107.97</v>
      </c>
      <c r="S1036" t="n">
        <v>98.47292125600001</v>
      </c>
      <c r="T1036" t="n">
        <v>101.768659356</v>
      </c>
      <c r="U1036" t="n">
        <v/>
      </c>
      <c r="V1036" t="n">
        <v>138.54990427</v>
      </c>
      <c r="W1036" t="n">
        <v>73.706142179</v>
      </c>
      <c r="X1036" t="n">
        <v>58.861606001</v>
      </c>
      <c r="Y1036" t="n">
        <v/>
      </c>
      <c r="Z1036" t="n">
        <v>56.991184763</v>
      </c>
      <c r="AA1036" t="n">
        <v>39.536722368</v>
      </c>
      <c r="AB1036" t="n">
        <v>72.224824356</v>
      </c>
      <c r="AC1036" t="n">
        <v>120.989917507</v>
      </c>
      <c r="AD1036" t="n">
        <v>108.796752125</v>
      </c>
      <c r="AE1036" t="n">
        <v>65.396</v>
      </c>
      <c r="AF1036" t="n">
        <v>108.809067422</v>
      </c>
      <c r="AG1036" t="n">
        <v>83.2</v>
      </c>
      <c r="AH1036" t="n">
        <v>95.843035836</v>
      </c>
      <c r="AI1036" t="n">
        <v>97.59186734399999</v>
      </c>
      <c r="AJ1036" t="n">
        <v>114.04189294</v>
      </c>
      <c r="AK1036" t="n">
        <v/>
      </c>
      <c r="AL1036" t="n">
        <v>92.674118288</v>
      </c>
      <c r="AM1036" t="n">
        <v>58.9</v>
      </c>
      <c r="AN1036" t="n">
        <v>125.033808452</v>
      </c>
      <c r="AO1036" t="n">
        <v>74.925947455</v>
      </c>
      <c r="AP1036" t="n">
        <v>51.308551425</v>
      </c>
      <c r="AQ1036" t="n">
        <v>88.207350613</v>
      </c>
      <c r="AR1036" t="n">
        <v>109.990834097</v>
      </c>
      <c r="AS1036" t="n">
        <v>57.095242063</v>
      </c>
      <c r="AT1036" t="n">
        <v>95.678690897</v>
      </c>
      <c r="AU1036" t="n">
        <v/>
      </c>
    </row>
    <row r="1037">
      <c r="A1037" s="106" t="n">
        <v>38443</v>
      </c>
      <c r="B1037" t="n">
        <v>83.437873964</v>
      </c>
      <c r="C1037" t="n">
        <v>83.893008916</v>
      </c>
      <c r="D1037" t="n">
        <v>97.219928434</v>
      </c>
      <c r="E1037" t="n">
        <v>99.092268633</v>
      </c>
      <c r="F1037" t="n">
        <v/>
      </c>
      <c r="G1037" t="n">
        <v/>
      </c>
      <c r="H1037" t="n">
        <v>86.700767771</v>
      </c>
      <c r="I1037" t="n">
        <v>83.437873964</v>
      </c>
      <c r="J1037" t="n">
        <v>78.986835527</v>
      </c>
      <c r="K1037" t="n">
        <v>84.807067256</v>
      </c>
      <c r="L1037" t="n">
        <v>119.8</v>
      </c>
      <c r="M1037" t="n">
        <v>99.391717357</v>
      </c>
      <c r="N1037" t="n">
        <v>127.429106191</v>
      </c>
      <c r="O1037" t="n">
        <v>70.705892158</v>
      </c>
      <c r="P1037" t="n">
        <v/>
      </c>
      <c r="Q1037" t="n">
        <v>107.50895908</v>
      </c>
      <c r="R1037" t="n">
        <v>110.77</v>
      </c>
      <c r="S1037" t="n">
        <v>99.294428158</v>
      </c>
      <c r="T1037" t="n">
        <v>105.16448532</v>
      </c>
      <c r="U1037" t="n">
        <v/>
      </c>
      <c r="V1037" t="n">
        <v>138.54990427</v>
      </c>
      <c r="W1037" t="n">
        <v>76.506375531</v>
      </c>
      <c r="X1037" t="n">
        <v>56.361872104</v>
      </c>
      <c r="Y1037" t="n">
        <v/>
      </c>
      <c r="Z1037" t="n">
        <v>59.54657678</v>
      </c>
      <c r="AA1037" t="n">
        <v>39.731772285</v>
      </c>
      <c r="AB1037" t="n">
        <v>74.004683841</v>
      </c>
      <c r="AC1037" t="n">
        <v>123.589700858</v>
      </c>
      <c r="AD1037" t="n">
        <v>109.231504382</v>
      </c>
      <c r="AE1037" t="n">
        <v>64.60899999999999</v>
      </c>
      <c r="AF1037" t="n">
        <v>110.409200767</v>
      </c>
      <c r="AG1037" t="n">
        <v>85.3</v>
      </c>
      <c r="AH1037" t="n">
        <v>96.139747339</v>
      </c>
      <c r="AI1037" t="n">
        <v>99.891675694</v>
      </c>
      <c r="AJ1037" t="n">
        <v>122.536850272</v>
      </c>
      <c r="AK1037" t="n">
        <v/>
      </c>
      <c r="AL1037" t="n">
        <v>93.518121462</v>
      </c>
      <c r="AM1037" t="n">
        <v>60.8</v>
      </c>
      <c r="AN1037" t="n">
        <v>127.660190165</v>
      </c>
      <c r="AO1037" t="n">
        <v>75.88362549599999</v>
      </c>
      <c r="AP1037" t="n">
        <v>53.108851475</v>
      </c>
      <c r="AQ1037" t="n">
        <v>88.707392283</v>
      </c>
      <c r="AR1037" t="n">
        <v>106.891092409</v>
      </c>
      <c r="AS1037" t="n">
        <v>57.695192067</v>
      </c>
      <c r="AT1037" t="n">
        <v>95.867290285</v>
      </c>
      <c r="AU1037" t="n">
        <v/>
      </c>
    </row>
    <row r="1038">
      <c r="A1038" s="106" t="n">
        <v>38473</v>
      </c>
      <c r="B1038" t="n">
        <v>83.775679123</v>
      </c>
      <c r="C1038" t="n">
        <v>81.293225565</v>
      </c>
      <c r="D1038" t="n">
        <v>100.52298376</v>
      </c>
      <c r="E1038" t="n">
        <v>99.93151216299999</v>
      </c>
      <c r="F1038" t="n">
        <v/>
      </c>
      <c r="G1038" t="n">
        <v/>
      </c>
      <c r="H1038" t="n">
        <v>87.13349534300001</v>
      </c>
      <c r="I1038" t="n">
        <v>83.775679123</v>
      </c>
      <c r="J1038" t="n">
        <v>77.987002166</v>
      </c>
      <c r="K1038" t="n">
        <v>83.70697558099999</v>
      </c>
      <c r="L1038" t="n">
        <v>117.6</v>
      </c>
      <c r="M1038" t="n">
        <v>98.091825681</v>
      </c>
      <c r="N1038" t="n">
        <v>126.412105343</v>
      </c>
      <c r="O1038" t="n">
        <v>70.305858822</v>
      </c>
      <c r="P1038" t="n">
        <v/>
      </c>
      <c r="Q1038" t="n">
        <v>100.408367364</v>
      </c>
      <c r="R1038" t="n">
        <v>109.57</v>
      </c>
      <c r="S1038" t="n">
        <v>98.80946081099999</v>
      </c>
      <c r="T1038" t="n">
        <v>104.527767952</v>
      </c>
      <c r="U1038" t="n">
        <v/>
      </c>
      <c r="V1038" t="n">
        <v>141.646549571</v>
      </c>
      <c r="W1038" t="n">
        <v>77.20643386899999</v>
      </c>
      <c r="X1038" t="n">
        <v>56.697106925</v>
      </c>
      <c r="Y1038" t="n">
        <v/>
      </c>
      <c r="Z1038" t="n">
        <v>59.368293616</v>
      </c>
      <c r="AA1038" t="n">
        <v>40.677793814</v>
      </c>
      <c r="AB1038" t="n">
        <v>73.536299766</v>
      </c>
      <c r="AC1038" t="n">
        <v>120.689942505</v>
      </c>
      <c r="AD1038" t="n">
        <v>108.361999869</v>
      </c>
      <c r="AE1038" t="n">
        <v>64.458</v>
      </c>
      <c r="AF1038" t="n">
        <v>111.709309109</v>
      </c>
      <c r="AG1038" t="n">
        <v>86.3</v>
      </c>
      <c r="AH1038" t="n">
        <v>97.79536688899999</v>
      </c>
      <c r="AI1038" t="n">
        <v>98.491792351</v>
      </c>
      <c r="AJ1038" t="n">
        <v>119.627618309</v>
      </c>
      <c r="AK1038" t="n">
        <v/>
      </c>
      <c r="AL1038" t="n">
        <v>93.121713404</v>
      </c>
      <c r="AM1038" t="n">
        <v>60</v>
      </c>
      <c r="AN1038" t="n">
        <v>121.361733152</v>
      </c>
      <c r="AO1038" t="n">
        <v>74.183129295</v>
      </c>
      <c r="AP1038" t="n">
        <v>52.708784797</v>
      </c>
      <c r="AQ1038" t="n">
        <v>90.407533961</v>
      </c>
      <c r="AR1038" t="n">
        <v>107.391050746</v>
      </c>
      <c r="AS1038" t="n">
        <v>58.195150404</v>
      </c>
      <c r="AT1038" t="n">
        <v>95.977951125</v>
      </c>
      <c r="AU1038" t="n">
        <v/>
      </c>
    </row>
    <row r="1039">
      <c r="A1039" s="106" t="n">
        <v>38504</v>
      </c>
      <c r="B1039" t="n">
        <v>85.211351044</v>
      </c>
      <c r="C1039" t="n">
        <v>83.09307557699999</v>
      </c>
      <c r="D1039" t="n">
        <v>98.54115056400001</v>
      </c>
      <c r="E1039" t="n">
        <v>99.271246612</v>
      </c>
      <c r="F1039" t="n">
        <v/>
      </c>
      <c r="G1039" t="n">
        <v/>
      </c>
      <c r="H1039" t="n">
        <v>86.396972885</v>
      </c>
      <c r="I1039" t="n">
        <v>85.211351044</v>
      </c>
      <c r="J1039" t="n">
        <v>79.286785536</v>
      </c>
      <c r="K1039" t="n">
        <v>85.507125594</v>
      </c>
      <c r="L1039" t="n">
        <v>116.8</v>
      </c>
      <c r="M1039" t="n">
        <v>98.99175068700001</v>
      </c>
      <c r="N1039" t="n">
        <v>127.027105856</v>
      </c>
      <c r="O1039" t="n">
        <v>72.606050504</v>
      </c>
      <c r="P1039" t="n">
        <v/>
      </c>
      <c r="Q1039" t="n">
        <v>97.708142345</v>
      </c>
      <c r="R1039" t="n">
        <v>109.52</v>
      </c>
      <c r="S1039" t="n">
        <v>99.376905017</v>
      </c>
      <c r="T1039" t="n">
        <v>105.90732225</v>
      </c>
      <c r="U1039" t="n">
        <v/>
      </c>
      <c r="V1039" t="n">
        <v>137.950553567</v>
      </c>
      <c r="W1039" t="n">
        <v>75.706308859</v>
      </c>
      <c r="X1039" t="n">
        <v>57.686861607</v>
      </c>
      <c r="Y1039" t="n">
        <v/>
      </c>
      <c r="Z1039" t="n">
        <v>59.96257083</v>
      </c>
      <c r="AA1039" t="n">
        <v>41.484284109</v>
      </c>
      <c r="AB1039" t="n">
        <v>73.067915691</v>
      </c>
      <c r="AC1039" t="n">
        <v>120.689942505</v>
      </c>
      <c r="AD1039" t="n">
        <v>108.796752125</v>
      </c>
      <c r="AE1039" t="n">
        <v>65.379</v>
      </c>
      <c r="AF1039" t="n">
        <v>113.309442454</v>
      </c>
      <c r="AG1039" t="n">
        <v>87.59999999999999</v>
      </c>
      <c r="AH1039" t="n">
        <v>95.97570527000001</v>
      </c>
      <c r="AI1039" t="n">
        <v>100.691609033</v>
      </c>
      <c r="AJ1039" t="n">
        <v>113.925523662</v>
      </c>
      <c r="AK1039" t="n">
        <v/>
      </c>
      <c r="AL1039" t="n">
        <v>93.554228778</v>
      </c>
      <c r="AM1039" t="n">
        <v>61.4</v>
      </c>
      <c r="AN1039" t="n">
        <v>126.250157415</v>
      </c>
      <c r="AO1039" t="n">
        <v>76.741929738</v>
      </c>
      <c r="AP1039" t="n">
        <v>52.808801467</v>
      </c>
      <c r="AQ1039" t="n">
        <v>91.407617301</v>
      </c>
      <c r="AR1039" t="n">
        <v>111.190734105</v>
      </c>
      <c r="AS1039" t="n">
        <v>57.995167069</v>
      </c>
      <c r="AT1039" t="n">
        <v>96.37210599799999</v>
      </c>
      <c r="AU1039" t="n">
        <v/>
      </c>
    </row>
    <row r="1040">
      <c r="A1040" s="106" t="n">
        <v>38534</v>
      </c>
      <c r="B1040" t="n">
        <v>85.042448459</v>
      </c>
      <c r="C1040" t="n">
        <v>82.193150571</v>
      </c>
      <c r="D1040" t="n">
        <v>97.88053949899999</v>
      </c>
      <c r="E1040" t="n">
        <v>99.55857449</v>
      </c>
      <c r="F1040" t="n">
        <v/>
      </c>
      <c r="G1040" t="n">
        <v/>
      </c>
      <c r="H1040" t="n">
        <v>87.788777244</v>
      </c>
      <c r="I1040" t="n">
        <v>85.042448459</v>
      </c>
      <c r="J1040" t="n">
        <v>79.386768872</v>
      </c>
      <c r="K1040" t="n">
        <v>86.807233936</v>
      </c>
      <c r="L1040" t="n">
        <v>110.5</v>
      </c>
      <c r="M1040" t="n">
        <v>99.491709024</v>
      </c>
      <c r="N1040" t="n">
        <v>127.190105992</v>
      </c>
      <c r="O1040" t="n">
        <v>73.306108842</v>
      </c>
      <c r="P1040" t="n">
        <v/>
      </c>
      <c r="Q1040" t="n">
        <v>105.508792399</v>
      </c>
      <c r="R1040" t="n">
        <v>109.18</v>
      </c>
      <c r="S1040" t="n">
        <v>99.377089685</v>
      </c>
      <c r="T1040" t="n">
        <v>105.16448532</v>
      </c>
      <c r="U1040" t="n">
        <v/>
      </c>
      <c r="V1040" t="n">
        <v>138.54990427</v>
      </c>
      <c r="W1040" t="n">
        <v>76.20635052900001</v>
      </c>
      <c r="X1040" t="n">
        <v>56.588773816</v>
      </c>
      <c r="Y1040" t="n">
        <v/>
      </c>
      <c r="Z1040" t="n">
        <v>57.823172861</v>
      </c>
      <c r="AA1040" t="n">
        <v>41.973533541</v>
      </c>
      <c r="AB1040" t="n">
        <v>73.16159250600001</v>
      </c>
      <c r="AC1040" t="n">
        <v>122.38980085</v>
      </c>
      <c r="AD1040" t="n">
        <v>108.144623741</v>
      </c>
      <c r="AE1040" t="n">
        <v>65.611</v>
      </c>
      <c r="AF1040" t="n">
        <v>123.010250854</v>
      </c>
      <c r="AG1040" t="n">
        <v>88.3</v>
      </c>
      <c r="AH1040" t="n">
        <v>94.361916554</v>
      </c>
      <c r="AI1040" t="n">
        <v>98.99175068700001</v>
      </c>
      <c r="AJ1040" t="n">
        <v>113.925523662</v>
      </c>
      <c r="AK1040" t="n">
        <v/>
      </c>
      <c r="AL1040" t="n">
        <v>93.542801385</v>
      </c>
      <c r="AM1040" t="n">
        <v>61.7</v>
      </c>
      <c r="AN1040" t="n">
        <v>123.124942959</v>
      </c>
      <c r="AO1040" t="n">
        <v>76.539318102</v>
      </c>
      <c r="AP1040" t="n">
        <v>54.10901817</v>
      </c>
      <c r="AQ1040" t="n">
        <v>94.30785898800001</v>
      </c>
      <c r="AR1040" t="n">
        <v>111.990667444</v>
      </c>
      <c r="AS1040" t="n">
        <v>59.295058745</v>
      </c>
      <c r="AT1040" t="n">
        <v>96.082662458</v>
      </c>
      <c r="AU1040" t="n">
        <v/>
      </c>
    </row>
    <row r="1041">
      <c r="A1041" s="106" t="n">
        <v>38565</v>
      </c>
      <c r="B1041" t="n">
        <v>84.45128944299999</v>
      </c>
      <c r="C1041" t="n">
        <v>81.69319223399999</v>
      </c>
      <c r="D1041" t="n">
        <v>98.10074318700001</v>
      </c>
      <c r="E1041" t="n">
        <v>100.417347755</v>
      </c>
      <c r="F1041" t="n">
        <v/>
      </c>
      <c r="G1041" t="n">
        <v/>
      </c>
      <c r="H1041" t="n">
        <v>88.625470945</v>
      </c>
      <c r="I1041" t="n">
        <v>84.45128944299999</v>
      </c>
      <c r="J1041" t="n">
        <v>80.186635561</v>
      </c>
      <c r="K1041" t="n">
        <v>84.30702558500001</v>
      </c>
      <c r="L1041" t="n">
        <v>116.6</v>
      </c>
      <c r="M1041" t="n">
        <v>98.291809016</v>
      </c>
      <c r="N1041" t="n">
        <v>128.130106775</v>
      </c>
      <c r="O1041" t="n">
        <v>71.50595883</v>
      </c>
      <c r="P1041" t="n">
        <v/>
      </c>
      <c r="Q1041" t="n">
        <v>106.308859072</v>
      </c>
      <c r="R1041" t="n">
        <v>108.56</v>
      </c>
      <c r="S1041" t="n">
        <v>99.059973187</v>
      </c>
      <c r="T1041" t="n">
        <v>104.315528829</v>
      </c>
      <c r="U1041" t="n">
        <v/>
      </c>
      <c r="V1041" t="n">
        <v>140.347956381</v>
      </c>
      <c r="W1041" t="n">
        <v>75.806317193</v>
      </c>
      <c r="X1041" t="n">
        <v>58.069174923</v>
      </c>
      <c r="Y1041" t="n">
        <v/>
      </c>
      <c r="Z1041" t="n">
        <v>59.843715387</v>
      </c>
      <c r="AA1041" t="n">
        <v>43.065727199</v>
      </c>
      <c r="AB1041" t="n">
        <v>73.442622951</v>
      </c>
      <c r="AC1041" t="n">
        <v>121.489875844</v>
      </c>
      <c r="AD1041" t="n">
        <v>108.144623741</v>
      </c>
      <c r="AE1041" t="n">
        <v>65.908</v>
      </c>
      <c r="AF1041" t="n">
        <v>117.209767481</v>
      </c>
      <c r="AG1041" t="n">
        <v>87.2</v>
      </c>
      <c r="AH1041" t="n">
        <v>97.052197795</v>
      </c>
      <c r="AI1041" t="n">
        <v>97.39188401</v>
      </c>
      <c r="AJ1041" t="n">
        <v>117.765709853</v>
      </c>
      <c r="AK1041" t="n">
        <v/>
      </c>
      <c r="AL1041" t="n">
        <v>93.539238242</v>
      </c>
      <c r="AM1041" t="n">
        <v>62.4</v>
      </c>
      <c r="AN1041" t="n">
        <v>116.438757777</v>
      </c>
      <c r="AO1041" t="n">
        <v>76.552482969</v>
      </c>
      <c r="AP1041" t="n">
        <v>52.808801467</v>
      </c>
      <c r="AQ1041" t="n">
        <v>88.007333944</v>
      </c>
      <c r="AR1041" t="n">
        <v>107.191067411</v>
      </c>
      <c r="AS1041" t="n">
        <v>60.294975419</v>
      </c>
      <c r="AT1041" t="n">
        <v>96.404134181</v>
      </c>
      <c r="AU1041" t="n">
        <v/>
      </c>
    </row>
    <row r="1042">
      <c r="A1042" s="106" t="n">
        <v>38596</v>
      </c>
      <c r="B1042" t="n">
        <v>85.549156204</v>
      </c>
      <c r="C1042" t="n">
        <v>83.893008916</v>
      </c>
      <c r="D1042" t="n">
        <v>97.219928434</v>
      </c>
      <c r="E1042" t="n">
        <v>100.59418549</v>
      </c>
      <c r="F1042" t="n">
        <v/>
      </c>
      <c r="G1042" t="n">
        <v/>
      </c>
      <c r="H1042" t="n">
        <v>88.99522026299999</v>
      </c>
      <c r="I1042" t="n">
        <v>85.549156204</v>
      </c>
      <c r="J1042" t="n">
        <v>80.386602233</v>
      </c>
      <c r="K1042" t="n">
        <v>86.70722560199999</v>
      </c>
      <c r="L1042" t="n">
        <v>119.5</v>
      </c>
      <c r="M1042" t="n">
        <v>99.691692359</v>
      </c>
      <c r="N1042" t="n">
        <v>127.618106348</v>
      </c>
      <c r="O1042" t="n">
        <v>76.606383865</v>
      </c>
      <c r="P1042" t="n">
        <v/>
      </c>
      <c r="Q1042" t="n">
        <v>107.00891741</v>
      </c>
      <c r="R1042" t="n">
        <v>111.29</v>
      </c>
      <c r="S1042" t="n">
        <v>98.945217954</v>
      </c>
      <c r="T1042" t="n">
        <v>104.633887513</v>
      </c>
      <c r="U1042" t="n">
        <v/>
      </c>
      <c r="V1042" t="n">
        <v>143.045034546</v>
      </c>
      <c r="W1042" t="n">
        <v>77.506458872</v>
      </c>
      <c r="X1042" t="n">
        <v>57.778931687</v>
      </c>
      <c r="Y1042" t="n">
        <v/>
      </c>
      <c r="Z1042" t="n">
        <v>59.071155009</v>
      </c>
      <c r="AA1042" t="n">
        <v>44.07485686</v>
      </c>
      <c r="AB1042" t="n">
        <v>73.91100702599999</v>
      </c>
      <c r="AC1042" t="n">
        <v>122.089825848</v>
      </c>
      <c r="AD1042" t="n">
        <v>109.014128254</v>
      </c>
      <c r="AE1042" t="n">
        <v>65.7</v>
      </c>
      <c r="AF1042" t="n">
        <v>119.009917493</v>
      </c>
      <c r="AG1042" t="n">
        <v>88.5</v>
      </c>
      <c r="AH1042" t="n">
        <v>97.035534001</v>
      </c>
      <c r="AI1042" t="n">
        <v>97.39188401</v>
      </c>
      <c r="AJ1042" t="n">
        <v>120.209464701</v>
      </c>
      <c r="AK1042" t="n">
        <v/>
      </c>
      <c r="AL1042" t="n">
        <v>93.64530544500001</v>
      </c>
      <c r="AM1042" t="n">
        <v>62.9</v>
      </c>
      <c r="AN1042" t="n">
        <v>122.77915454</v>
      </c>
      <c r="AO1042" t="n">
        <v>77.270640425</v>
      </c>
      <c r="AP1042" t="n">
        <v>53.008834806</v>
      </c>
      <c r="AQ1042" t="n">
        <v>91.30760896699999</v>
      </c>
      <c r="AR1042" t="n">
        <v>110.990750771</v>
      </c>
      <c r="AS1042" t="n">
        <v>60.99491709</v>
      </c>
      <c r="AT1042" t="n">
        <v>94.543921496</v>
      </c>
      <c r="AU1042" t="n">
        <v/>
      </c>
    </row>
    <row r="1043">
      <c r="A1043" s="106" t="n">
        <v>38626</v>
      </c>
      <c r="B1043" t="n">
        <v>86.984828124</v>
      </c>
      <c r="C1043" t="n">
        <v>82.793100575</v>
      </c>
      <c r="D1043" t="n">
        <v>96.449215524</v>
      </c>
      <c r="E1043" t="n">
        <v>100.67738751</v>
      </c>
      <c r="F1043" t="n">
        <v/>
      </c>
      <c r="G1043" t="n">
        <v/>
      </c>
      <c r="H1043" t="n">
        <v>88.515304564</v>
      </c>
      <c r="I1043" t="n">
        <v>86.984828124</v>
      </c>
      <c r="J1043" t="n">
        <v>81.186468922</v>
      </c>
      <c r="K1043" t="n">
        <v>88.40736728100001</v>
      </c>
      <c r="L1043" t="n">
        <v>113.8</v>
      </c>
      <c r="M1043" t="n">
        <v>99.891675694</v>
      </c>
      <c r="N1043" t="n">
        <v>127.002105835</v>
      </c>
      <c r="O1043" t="n">
        <v>75.006250521</v>
      </c>
      <c r="P1043" t="n">
        <v/>
      </c>
      <c r="Q1043" t="n">
        <v>110.809234103</v>
      </c>
      <c r="R1043" t="n">
        <v>108.04</v>
      </c>
      <c r="S1043" t="n">
        <v>99.336768072</v>
      </c>
      <c r="T1043" t="n">
        <v>103.891050584</v>
      </c>
      <c r="U1043" t="n">
        <v/>
      </c>
      <c r="V1043" t="n">
        <v>141.34687422</v>
      </c>
      <c r="W1043" t="n">
        <v>78.90657554800001</v>
      </c>
      <c r="X1043" t="n">
        <v>59.006667647</v>
      </c>
      <c r="Y1043" t="n">
        <v/>
      </c>
      <c r="Z1043" t="n">
        <v>60.081426272</v>
      </c>
      <c r="AA1043" t="n">
        <v>45.345834454</v>
      </c>
      <c r="AB1043" t="n">
        <v>74.004683841</v>
      </c>
      <c r="AC1043" t="n">
        <v>122.189817515</v>
      </c>
      <c r="AD1043" t="n">
        <v>108.035935677</v>
      </c>
      <c r="AE1043" t="n">
        <v>67.553</v>
      </c>
      <c r="AF1043" t="n">
        <v>116.70972581</v>
      </c>
      <c r="AG1043" t="n">
        <v>89.7</v>
      </c>
      <c r="AH1043" t="n">
        <v>96.90155805000001</v>
      </c>
      <c r="AI1043" t="n">
        <v>95.49204233</v>
      </c>
      <c r="AJ1043" t="n">
        <v>116.136539953</v>
      </c>
      <c r="AK1043" t="n">
        <v/>
      </c>
      <c r="AL1043" t="n">
        <v>94.045858678</v>
      </c>
      <c r="AM1043" t="n">
        <v>64.59999999999999</v>
      </c>
      <c r="AN1043" t="n">
        <v>121.461056925</v>
      </c>
      <c r="AO1043" t="n">
        <v>77.123249765</v>
      </c>
      <c r="AP1043" t="n">
        <v>54.209034839</v>
      </c>
      <c r="AQ1043" t="n">
        <v>93.00775064600001</v>
      </c>
      <c r="AR1043" t="n">
        <v>111.890675777</v>
      </c>
      <c r="AS1043" t="n">
        <v>61.994833764</v>
      </c>
      <c r="AT1043" t="n">
        <v>95.686028623</v>
      </c>
      <c r="AU1043" t="n">
        <v/>
      </c>
    </row>
    <row r="1044">
      <c r="A1044" s="106" t="n">
        <v>38657</v>
      </c>
      <c r="B1044" t="n">
        <v>87.91379231099999</v>
      </c>
      <c r="C1044" t="n">
        <v>87.792683943</v>
      </c>
      <c r="D1044" t="n">
        <v>97.55023396599999</v>
      </c>
      <c r="E1044" t="n">
        <v>101.447875673</v>
      </c>
      <c r="F1044" t="n">
        <v/>
      </c>
      <c r="G1044" t="n">
        <v/>
      </c>
      <c r="H1044" t="n">
        <v>89.200021729</v>
      </c>
      <c r="I1044" t="n">
        <v>87.91379231099999</v>
      </c>
      <c r="J1044" t="n">
        <v>82.38626895500001</v>
      </c>
      <c r="K1044" t="n">
        <v>87.40728394</v>
      </c>
      <c r="L1044" t="n">
        <v>112.9</v>
      </c>
      <c r="M1044" t="n">
        <v>101.591534039</v>
      </c>
      <c r="N1044" t="n">
        <v>128.618107182</v>
      </c>
      <c r="O1044" t="n">
        <v>76.006333861</v>
      </c>
      <c r="P1044" t="n">
        <v/>
      </c>
      <c r="Q1044" t="n">
        <v>108.209017418</v>
      </c>
      <c r="R1044" t="n">
        <v>112.35</v>
      </c>
      <c r="S1044" t="n">
        <v>100.404446888</v>
      </c>
      <c r="T1044" t="n">
        <v>104.421648391</v>
      </c>
      <c r="U1044" t="n">
        <v/>
      </c>
      <c r="V1044" t="n">
        <v>141.646549571</v>
      </c>
      <c r="W1044" t="n">
        <v>78.60655054599999</v>
      </c>
      <c r="X1044" t="n">
        <v>58.17199437</v>
      </c>
      <c r="Y1044" t="n">
        <v/>
      </c>
      <c r="Z1044" t="n">
        <v>68.28245181699999</v>
      </c>
      <c r="AA1044" t="n">
        <v>48.716992542</v>
      </c>
      <c r="AB1044" t="n">
        <v>75.690866511</v>
      </c>
      <c r="AC1044" t="n">
        <v>123.489709191</v>
      </c>
      <c r="AD1044" t="n">
        <v>110.209696958</v>
      </c>
      <c r="AE1044" t="n">
        <v>70.325</v>
      </c>
      <c r="AF1044" t="n">
        <v>115.409617468</v>
      </c>
      <c r="AG1044" t="n">
        <v>90.3</v>
      </c>
      <c r="AH1044" t="n">
        <v>98.745943283</v>
      </c>
      <c r="AI1044" t="n">
        <v>99.891675694</v>
      </c>
      <c r="AJ1044" t="n">
        <v>117.416602017</v>
      </c>
      <c r="AK1044" t="n">
        <v/>
      </c>
      <c r="AL1044" t="n">
        <v>95.350218497</v>
      </c>
      <c r="AM1044" t="n">
        <v>65.8</v>
      </c>
      <c r="AN1044" t="n">
        <v>125.320865459</v>
      </c>
      <c r="AO1044" t="n">
        <v>78.275291358</v>
      </c>
      <c r="AP1044" t="n">
        <v>54.909151525</v>
      </c>
      <c r="AQ1044" t="n">
        <v>93.60780065</v>
      </c>
      <c r="AR1044" t="n">
        <v>109.690859095</v>
      </c>
      <c r="AS1044" t="n">
        <v>62.194817099</v>
      </c>
      <c r="AT1044" t="n">
        <v>96.743553585</v>
      </c>
      <c r="AU1044" t="n">
        <v/>
      </c>
    </row>
    <row r="1045">
      <c r="A1045" s="106" t="n">
        <v>38687</v>
      </c>
      <c r="B1045" t="n">
        <v>86.984828124</v>
      </c>
      <c r="C1045" t="n">
        <v>90.392467294</v>
      </c>
      <c r="D1045" t="n">
        <v>99.642169006</v>
      </c>
      <c r="E1045" t="n">
        <v>102.127670959</v>
      </c>
      <c r="F1045" t="n">
        <v/>
      </c>
      <c r="G1045" t="n">
        <v/>
      </c>
      <c r="H1045" t="n">
        <v>88.785918567</v>
      </c>
      <c r="I1045" t="n">
        <v>86.984828124</v>
      </c>
      <c r="J1045" t="n">
        <v>82.286285619</v>
      </c>
      <c r="K1045" t="n">
        <v>87.207267272</v>
      </c>
      <c r="L1045" t="n">
        <v>117</v>
      </c>
      <c r="M1045" t="n">
        <v>100.491625698</v>
      </c>
      <c r="N1045" t="n">
        <v>129.639108033</v>
      </c>
      <c r="O1045" t="n">
        <v>77.406450538</v>
      </c>
      <c r="P1045" t="n">
        <v/>
      </c>
      <c r="Q1045" t="n">
        <v>111.009250771</v>
      </c>
      <c r="R1045" t="n">
        <v>111.02</v>
      </c>
      <c r="S1045" t="n">
        <v>100.737907655</v>
      </c>
      <c r="T1045" t="n">
        <v>107.817474354</v>
      </c>
      <c r="U1045" t="n">
        <v/>
      </c>
      <c r="V1045" t="n">
        <v>138.949471406</v>
      </c>
      <c r="W1045" t="n">
        <v>78.90657554800001</v>
      </c>
      <c r="X1045" t="n">
        <v>60.263026817</v>
      </c>
      <c r="Y1045" t="n">
        <v/>
      </c>
      <c r="Z1045" t="n">
        <v>56.099768943</v>
      </c>
      <c r="AA1045" t="n">
        <v>52.267694685</v>
      </c>
      <c r="AB1045" t="n">
        <v>75.409836066</v>
      </c>
      <c r="AC1045" t="n">
        <v>121.689859178</v>
      </c>
      <c r="AD1045" t="n">
        <v>110.644449214</v>
      </c>
      <c r="AE1045" t="n">
        <v>68.529</v>
      </c>
      <c r="AF1045" t="n">
        <v>115.909659138</v>
      </c>
      <c r="AG1045" t="n">
        <v>90.3</v>
      </c>
      <c r="AH1045" t="n">
        <v>99.842262374</v>
      </c>
      <c r="AI1045" t="n">
        <v>100.091659028</v>
      </c>
      <c r="AJ1045" t="n">
        <v>116.602017067</v>
      </c>
      <c r="AK1045" t="n">
        <v/>
      </c>
      <c r="AL1045" t="n">
        <v>95.472596689</v>
      </c>
      <c r="AM1045" t="n">
        <v>66.90000000000001</v>
      </c>
      <c r="AN1045" t="n">
        <v>122.92084186</v>
      </c>
      <c r="AO1045" t="n">
        <v>78.78471840500001</v>
      </c>
      <c r="AP1045" t="n">
        <v>58.209701617</v>
      </c>
      <c r="AQ1045" t="n">
        <v>95.40795066299999</v>
      </c>
      <c r="AR1045" t="n">
        <v>108.790934089</v>
      </c>
      <c r="AS1045" t="n">
        <v>61.594867094</v>
      </c>
      <c r="AT1045" t="n">
        <v>97.19730269199999</v>
      </c>
      <c r="AU1045" t="n">
        <v/>
      </c>
    </row>
    <row r="1046">
      <c r="A1046" s="106" t="n">
        <v>38718</v>
      </c>
      <c r="B1046" t="n">
        <v>87.660438443</v>
      </c>
      <c r="C1046" t="n">
        <v>86.192817265</v>
      </c>
      <c r="D1046" t="n">
        <v>99.972474539</v>
      </c>
      <c r="E1046" t="n">
        <v>101.697481734</v>
      </c>
      <c r="F1046" t="n">
        <v/>
      </c>
      <c r="G1046" t="n">
        <v/>
      </c>
      <c r="H1046" t="n">
        <v>89.627746618</v>
      </c>
      <c r="I1046" t="n">
        <v>87.660438443</v>
      </c>
      <c r="J1046" t="n">
        <v>83.88601899699999</v>
      </c>
      <c r="K1046" t="n">
        <v>87.707308942</v>
      </c>
      <c r="L1046" t="n">
        <v>118.8</v>
      </c>
      <c r="M1046" t="n">
        <v>101.191567369</v>
      </c>
      <c r="N1046" t="n">
        <v>130.513108761</v>
      </c>
      <c r="O1046" t="n">
        <v>76.006333861</v>
      </c>
      <c r="P1046" t="n">
        <v/>
      </c>
      <c r="Q1046" t="n">
        <v>119.709975831</v>
      </c>
      <c r="R1046" t="n">
        <v>110.29</v>
      </c>
      <c r="S1046" t="n">
        <v>100.817557114</v>
      </c>
      <c r="T1046" t="n">
        <v>106.225680934</v>
      </c>
      <c r="U1046" t="n">
        <v/>
      </c>
      <c r="V1046" t="n">
        <v>137.650878215</v>
      </c>
      <c r="W1046" t="n">
        <v>79.20660055</v>
      </c>
      <c r="X1046" t="n">
        <v>61.252275692</v>
      </c>
      <c r="Y1046" t="n">
        <v/>
      </c>
      <c r="Z1046" t="n">
        <v>62.993384618</v>
      </c>
      <c r="AA1046" t="n">
        <v>48.141484636</v>
      </c>
      <c r="AB1046" t="n">
        <v>75.22248243600001</v>
      </c>
      <c r="AC1046" t="n">
        <v>122.189817515</v>
      </c>
      <c r="AD1046" t="n">
        <v>110.970513407</v>
      </c>
      <c r="AE1046" t="n">
        <v>71.012</v>
      </c>
      <c r="AF1046" t="n">
        <v>116.809734145</v>
      </c>
      <c r="AG1046" t="n">
        <v>90.09999999999999</v>
      </c>
      <c r="AH1046" t="n">
        <v>99.994478086</v>
      </c>
      <c r="AI1046" t="n">
        <v>99.691692359</v>
      </c>
      <c r="AJ1046" t="n">
        <v>115.903801396</v>
      </c>
      <c r="AK1046" t="n">
        <v/>
      </c>
      <c r="AL1046" t="n">
        <v>95.79195151</v>
      </c>
      <c r="AM1046" t="n">
        <v>65.2</v>
      </c>
      <c r="AN1046" t="n">
        <v>119.620581362</v>
      </c>
      <c r="AO1046" t="n">
        <v>78.40000000000001</v>
      </c>
      <c r="AP1046" t="n">
        <v>57.70961827</v>
      </c>
      <c r="AQ1046" t="n">
        <v>93.907825652</v>
      </c>
      <c r="AR1046" t="n">
        <v>112.790600783</v>
      </c>
      <c r="AS1046" t="n">
        <v>62.094825431</v>
      </c>
      <c r="AT1046" t="n">
        <v>97.37796940299999</v>
      </c>
      <c r="AU1046" t="n">
        <v/>
      </c>
    </row>
    <row r="1047">
      <c r="A1047" s="106" t="n">
        <v>38749</v>
      </c>
      <c r="B1047" t="n">
        <v>87.660438443</v>
      </c>
      <c r="C1047" t="n">
        <v>88.092658945</v>
      </c>
      <c r="D1047" t="n">
        <v>100.633085604</v>
      </c>
      <c r="E1047" t="n">
        <v>101.458844428</v>
      </c>
      <c r="F1047" t="n">
        <v/>
      </c>
      <c r="G1047" t="n">
        <v/>
      </c>
      <c r="H1047" t="n">
        <v>88.904484696</v>
      </c>
      <c r="I1047" t="n">
        <v>87.660438443</v>
      </c>
      <c r="J1047" t="n">
        <v>82.486252291</v>
      </c>
      <c r="K1047" t="n">
        <v>88.207350613</v>
      </c>
      <c r="L1047" t="n">
        <v>120.7</v>
      </c>
      <c r="M1047" t="n">
        <v>101.191567369</v>
      </c>
      <c r="N1047" t="n">
        <v>130.294108578</v>
      </c>
      <c r="O1047" t="n">
        <v>77.106425535</v>
      </c>
      <c r="P1047" t="n">
        <v/>
      </c>
      <c r="Q1047" t="n">
        <v>117.309775815</v>
      </c>
      <c r="R1047" t="n">
        <v>109.55</v>
      </c>
      <c r="S1047" t="n">
        <v>100.979805716</v>
      </c>
      <c r="T1047" t="n">
        <v>106.756278741</v>
      </c>
      <c r="U1047" t="n">
        <v/>
      </c>
      <c r="V1047" t="n">
        <v>141.846333139</v>
      </c>
      <c r="W1047" t="n">
        <v>79.906658888</v>
      </c>
      <c r="X1047" t="n">
        <v>61.554983269</v>
      </c>
      <c r="Y1047" t="n">
        <v/>
      </c>
      <c r="Z1047" t="n">
        <v>53.960370974</v>
      </c>
      <c r="AA1047" t="n">
        <v>41.925381476</v>
      </c>
      <c r="AB1047" t="n">
        <v>76.62763466</v>
      </c>
      <c r="AC1047" t="n">
        <v>124.489625865</v>
      </c>
      <c r="AD1047" t="n">
        <v>110.753137278</v>
      </c>
      <c r="AE1047" t="n">
        <v>70.383</v>
      </c>
      <c r="AF1047" t="n">
        <v>114.009500792</v>
      </c>
      <c r="AG1047" t="n">
        <v>91.5</v>
      </c>
      <c r="AH1047" t="n">
        <v>99.095563982</v>
      </c>
      <c r="AI1047" t="n">
        <v>101.091575702</v>
      </c>
      <c r="AJ1047" t="n">
        <v>115.438324282</v>
      </c>
      <c r="AK1047" t="n">
        <v/>
      </c>
      <c r="AL1047" t="n">
        <v>95.782778636</v>
      </c>
      <c r="AM1047" t="n">
        <v>66.40000000000001</v>
      </c>
      <c r="AN1047" t="n">
        <v>118.811184607</v>
      </c>
      <c r="AO1047" t="n">
        <v>79.2</v>
      </c>
      <c r="AP1047" t="n">
        <v>56.309384897</v>
      </c>
      <c r="AQ1047" t="n">
        <v>92.907742312</v>
      </c>
      <c r="AR1047" t="n">
        <v>110.790767436</v>
      </c>
      <c r="AS1047" t="n">
        <v>62.494792101</v>
      </c>
      <c r="AT1047" t="n">
        <v>97.413666448</v>
      </c>
      <c r="AU1047" t="n">
        <v/>
      </c>
    </row>
    <row r="1048">
      <c r="A1048" s="106" t="n">
        <v>38777</v>
      </c>
      <c r="B1048" t="n">
        <v>88.167146178</v>
      </c>
      <c r="C1048" t="n">
        <v>87.592700608</v>
      </c>
      <c r="D1048" t="n">
        <v>99.862372695</v>
      </c>
      <c r="E1048" t="n">
        <v>101.611336877</v>
      </c>
      <c r="F1048" t="n">
        <v/>
      </c>
      <c r="G1048" t="n">
        <v/>
      </c>
      <c r="H1048" t="n">
        <v>87.942774218</v>
      </c>
      <c r="I1048" t="n">
        <v>88.167146178</v>
      </c>
      <c r="J1048" t="n">
        <v>83.986002333</v>
      </c>
      <c r="K1048" t="n">
        <v>87.40728394</v>
      </c>
      <c r="L1048" t="n">
        <v>118.6</v>
      </c>
      <c r="M1048" t="n">
        <v>101.991500708</v>
      </c>
      <c r="N1048" t="n">
        <v>130.973109144</v>
      </c>
      <c r="O1048" t="n">
        <v>78.306525544</v>
      </c>
      <c r="P1048" t="n">
        <v/>
      </c>
      <c r="Q1048" t="n">
        <v>115.309609134</v>
      </c>
      <c r="R1048" t="n">
        <v>111.56</v>
      </c>
      <c r="S1048" t="n">
        <v>101.299548106</v>
      </c>
      <c r="T1048" t="n">
        <v>107.711354793</v>
      </c>
      <c r="U1048" t="n">
        <v/>
      </c>
      <c r="V1048" t="n">
        <v>145.342545576</v>
      </c>
      <c r="W1048" t="n">
        <v>82.806900575</v>
      </c>
      <c r="X1048" t="n">
        <v>62.726172807</v>
      </c>
      <c r="Y1048" t="n">
        <v/>
      </c>
      <c r="Z1048" t="n">
        <v>59.843715387</v>
      </c>
      <c r="AA1048" t="n">
        <v>45.918917832</v>
      </c>
      <c r="AB1048" t="n">
        <v>76.06557377</v>
      </c>
      <c r="AC1048" t="n">
        <v>125.089575869</v>
      </c>
      <c r="AD1048" t="n">
        <v>111.513953727</v>
      </c>
      <c r="AE1048" t="n">
        <v>71.13</v>
      </c>
      <c r="AF1048" t="n">
        <v>114.20951746</v>
      </c>
      <c r="AG1048" t="n">
        <v>91.3</v>
      </c>
      <c r="AH1048" t="n">
        <v>100.575892814</v>
      </c>
      <c r="AI1048" t="n">
        <v>104.091325723</v>
      </c>
      <c r="AJ1048" t="n">
        <v>115.554693561</v>
      </c>
      <c r="AK1048" t="n">
        <v/>
      </c>
      <c r="AL1048" t="n">
        <v>96.370838347</v>
      </c>
      <c r="AM1048" t="n">
        <v>66.90000000000001</v>
      </c>
      <c r="AN1048" t="n">
        <v>123.992558029</v>
      </c>
      <c r="AO1048" t="n">
        <v>80.09999999999999</v>
      </c>
      <c r="AP1048" t="n">
        <v>59.40990165</v>
      </c>
      <c r="AQ1048" t="n">
        <v>91.407617301</v>
      </c>
      <c r="AR1048" t="n">
        <v>111.190734105</v>
      </c>
      <c r="AS1048" t="n">
        <v>64.094658778</v>
      </c>
      <c r="AT1048" t="n">
        <v>97.645498925</v>
      </c>
      <c r="AU1048" t="n">
        <v/>
      </c>
    </row>
    <row r="1049">
      <c r="A1049" s="106" t="n">
        <v>38808</v>
      </c>
      <c r="B1049" t="n">
        <v>88.50495133699999</v>
      </c>
      <c r="C1049" t="n">
        <v>88.29264228</v>
      </c>
      <c r="D1049" t="n">
        <v>100.633085604</v>
      </c>
      <c r="E1049" t="n">
        <v>100.959364775</v>
      </c>
      <c r="F1049" t="n">
        <v/>
      </c>
      <c r="G1049" t="n">
        <v/>
      </c>
      <c r="H1049" t="n">
        <v>91.591855494</v>
      </c>
      <c r="I1049" t="n">
        <v>88.50495133699999</v>
      </c>
      <c r="J1049" t="n">
        <v>82.88618563599999</v>
      </c>
      <c r="K1049" t="n">
        <v>89.407450621</v>
      </c>
      <c r="L1049" t="n">
        <v>118</v>
      </c>
      <c r="M1049" t="n">
        <v>102.29147571</v>
      </c>
      <c r="N1049" t="n">
        <v>130.159108466</v>
      </c>
      <c r="O1049" t="n">
        <v>79.006583882</v>
      </c>
      <c r="P1049" t="n">
        <v/>
      </c>
      <c r="Q1049" t="n">
        <v>116.909742479</v>
      </c>
      <c r="R1049" t="n">
        <v>111.04</v>
      </c>
      <c r="S1049" t="n">
        <v>101.954874441</v>
      </c>
      <c r="T1049" t="n">
        <v>107.605235232</v>
      </c>
      <c r="U1049" t="n">
        <v/>
      </c>
      <c r="V1049" t="n">
        <v>142.64546741</v>
      </c>
      <c r="W1049" t="n">
        <v>82.606883907</v>
      </c>
      <c r="X1049" t="n">
        <v>62.039105341</v>
      </c>
      <c r="Y1049" t="n">
        <v/>
      </c>
      <c r="Z1049" t="n">
        <v>62.101968798</v>
      </c>
      <c r="AA1049" t="n">
        <v>48.684414087</v>
      </c>
      <c r="AB1049" t="n">
        <v>75.97189695599999</v>
      </c>
      <c r="AC1049" t="n">
        <v>124.089659195</v>
      </c>
      <c r="AD1049" t="n">
        <v>113.579026944</v>
      </c>
      <c r="AE1049" t="n">
        <v>70.91800000000001</v>
      </c>
      <c r="AF1049" t="n">
        <v>112.909409117</v>
      </c>
      <c r="AG1049" t="n">
        <v>91.59999999999999</v>
      </c>
      <c r="AH1049" t="n">
        <v>100.744765742</v>
      </c>
      <c r="AI1049" t="n">
        <v>102.791434047</v>
      </c>
      <c r="AJ1049" t="n">
        <v>113.809154383</v>
      </c>
      <c r="AK1049" t="n">
        <v/>
      </c>
      <c r="AL1049" t="n">
        <v>96.781646069</v>
      </c>
      <c r="AM1049" t="n">
        <v>67.8</v>
      </c>
      <c r="AN1049" t="n">
        <v>116.861642753</v>
      </c>
      <c r="AO1049" t="n">
        <v>80.5</v>
      </c>
      <c r="AP1049" t="n">
        <v>58.909818303</v>
      </c>
      <c r="AQ1049" t="n">
        <v>93.407783982</v>
      </c>
      <c r="AR1049" t="n">
        <v>112.090659112</v>
      </c>
      <c r="AS1049" t="n">
        <v>63.594700442</v>
      </c>
      <c r="AT1049" t="n">
        <v>97.945254945</v>
      </c>
      <c r="AU1049" t="n">
        <v/>
      </c>
    </row>
    <row r="1050">
      <c r="A1050" s="106" t="n">
        <v>38838</v>
      </c>
      <c r="B1050" t="n">
        <v>89.771720673</v>
      </c>
      <c r="C1050" t="n">
        <v>89.592533956</v>
      </c>
      <c r="D1050" t="n">
        <v>101.513900358</v>
      </c>
      <c r="E1050" t="n">
        <v>100.612645102</v>
      </c>
      <c r="F1050" t="n">
        <v/>
      </c>
      <c r="G1050" t="n">
        <v/>
      </c>
      <c r="H1050" t="n">
        <v>90.01387222300001</v>
      </c>
      <c r="I1050" t="n">
        <v>89.771720673</v>
      </c>
      <c r="J1050" t="n">
        <v>86.3856024</v>
      </c>
      <c r="K1050" t="n">
        <v>90.707558963</v>
      </c>
      <c r="L1050" t="n">
        <v>122</v>
      </c>
      <c r="M1050" t="n">
        <v>103.791350721</v>
      </c>
      <c r="N1050" t="n">
        <v>131.782109818</v>
      </c>
      <c r="O1050" t="n">
        <v>80.70672556</v>
      </c>
      <c r="P1050" t="n">
        <v/>
      </c>
      <c r="Q1050" t="n">
        <v>114.509542462</v>
      </c>
      <c r="R1050" t="n">
        <v>112.82</v>
      </c>
      <c r="S1050" t="n">
        <v>102.104261328</v>
      </c>
      <c r="T1050" t="n">
        <v>107.923593916</v>
      </c>
      <c r="U1050" t="n">
        <v/>
      </c>
      <c r="V1050" t="n">
        <v>144.743194872</v>
      </c>
      <c r="W1050" t="n">
        <v>83.20693391099999</v>
      </c>
      <c r="X1050" t="n">
        <v>62.788994692</v>
      </c>
      <c r="Y1050" t="n">
        <v/>
      </c>
      <c r="Z1050" t="n">
        <v>65.964770685</v>
      </c>
      <c r="AA1050" t="n">
        <v>50.937281088</v>
      </c>
      <c r="AB1050" t="n">
        <v>77.75175643999999</v>
      </c>
      <c r="AC1050" t="n">
        <v>126.989417549</v>
      </c>
      <c r="AD1050" t="n">
        <v>111.840017919</v>
      </c>
      <c r="AE1050" t="n">
        <v>71.916</v>
      </c>
      <c r="AF1050" t="n">
        <v>118.109842487</v>
      </c>
      <c r="AG1050" t="n">
        <v>91.09999999999999</v>
      </c>
      <c r="AH1050" t="n">
        <v>101.784486235</v>
      </c>
      <c r="AI1050" t="n">
        <v>99.691692359</v>
      </c>
      <c r="AJ1050" t="n">
        <v>115.438324282</v>
      </c>
      <c r="AK1050" t="n">
        <v/>
      </c>
      <c r="AL1050" t="n">
        <v>97.256287301</v>
      </c>
      <c r="AM1050" t="n">
        <v>69.90000000000001</v>
      </c>
      <c r="AN1050" t="n">
        <v>124.340601628</v>
      </c>
      <c r="AO1050" t="n">
        <v>81.59999999999999</v>
      </c>
      <c r="AP1050" t="n">
        <v>60.210035006</v>
      </c>
      <c r="AQ1050" t="n">
        <v>97.408117343</v>
      </c>
      <c r="AR1050" t="n">
        <v>114.190484126</v>
      </c>
      <c r="AS1050" t="n">
        <v>64.094658778</v>
      </c>
      <c r="AT1050" t="n">
        <v>97.957054802</v>
      </c>
      <c r="AU1050" t="n">
        <v/>
      </c>
    </row>
    <row r="1051">
      <c r="A1051" s="106" t="n">
        <v>38869</v>
      </c>
      <c r="B1051" t="n">
        <v>90.447330992</v>
      </c>
      <c r="C1051" t="n">
        <v>89.69252562299999</v>
      </c>
      <c r="D1051" t="n">
        <v>99.75227085100001</v>
      </c>
      <c r="E1051" t="n">
        <v>100.076781286</v>
      </c>
      <c r="F1051" t="n">
        <v/>
      </c>
      <c r="G1051" t="n">
        <v/>
      </c>
      <c r="H1051" t="n">
        <v>90.999329171</v>
      </c>
      <c r="I1051" t="n">
        <v>90.447330992</v>
      </c>
      <c r="J1051" t="n">
        <v>86.085652391</v>
      </c>
      <c r="K1051" t="n">
        <v>90.207517293</v>
      </c>
      <c r="L1051" t="n">
        <v>121.3</v>
      </c>
      <c r="M1051" t="n">
        <v>103.691359053</v>
      </c>
      <c r="N1051" t="n">
        <v>132.224110187</v>
      </c>
      <c r="O1051" t="n">
        <v>79.606633886</v>
      </c>
      <c r="P1051" t="n">
        <v/>
      </c>
      <c r="Q1051" t="n">
        <v>120.310025835</v>
      </c>
      <c r="R1051" t="n">
        <v>112.6</v>
      </c>
      <c r="S1051" t="n">
        <v>102.458172564</v>
      </c>
      <c r="T1051" t="n">
        <v>108.666430845</v>
      </c>
      <c r="U1051" t="n">
        <v/>
      </c>
      <c r="V1051" t="n">
        <v>143.045034546</v>
      </c>
      <c r="W1051" t="n">
        <v>84.90707559000001</v>
      </c>
      <c r="X1051" t="n">
        <v>62.897123422</v>
      </c>
      <c r="Y1051" t="n">
        <v/>
      </c>
      <c r="Z1051" t="n">
        <v>62.517962847</v>
      </c>
      <c r="AA1051" t="n">
        <v>53.169703525</v>
      </c>
      <c r="AB1051" t="n">
        <v>79.62529274000001</v>
      </c>
      <c r="AC1051" t="n">
        <v>127.389384218</v>
      </c>
      <c r="AD1051" t="n">
        <v>113.361650816</v>
      </c>
      <c r="AE1051" t="n">
        <v>71.249</v>
      </c>
      <c r="AF1051" t="n">
        <v>115.509625802</v>
      </c>
      <c r="AG1051" t="n">
        <v>92.5</v>
      </c>
      <c r="AH1051" t="n">
        <v>101.6047662</v>
      </c>
      <c r="AI1051" t="n">
        <v>102.091492376</v>
      </c>
      <c r="AJ1051" t="n">
        <v>116.252909232</v>
      </c>
      <c r="AK1051" t="n">
        <v/>
      </c>
      <c r="AL1051" t="n">
        <v>97.518496501</v>
      </c>
      <c r="AM1051" t="n">
        <v>70.40000000000001</v>
      </c>
      <c r="AN1051" t="n">
        <v>123.904471763</v>
      </c>
      <c r="AO1051" t="n">
        <v>80.59999999999999</v>
      </c>
      <c r="AP1051" t="n">
        <v>61.810301717</v>
      </c>
      <c r="AQ1051" t="n">
        <v>93.60780065</v>
      </c>
      <c r="AR1051" t="n">
        <v>111.890675777</v>
      </c>
      <c r="AS1051" t="n">
        <v>64.49462544799999</v>
      </c>
      <c r="AT1051" t="n">
        <v>98.272874493</v>
      </c>
      <c r="AU1051" t="n">
        <v/>
      </c>
    </row>
    <row r="1052">
      <c r="A1052" s="106" t="n">
        <v>38899</v>
      </c>
      <c r="B1052" t="n">
        <v>91.883002913</v>
      </c>
      <c r="C1052" t="n">
        <v>88.092658945</v>
      </c>
      <c r="D1052" t="n">
        <v>100.853289293</v>
      </c>
      <c r="E1052" t="n">
        <v>100.116643347</v>
      </c>
      <c r="F1052" t="n">
        <v/>
      </c>
      <c r="G1052" t="n">
        <v/>
      </c>
      <c r="H1052" t="n">
        <v>90.19797812</v>
      </c>
      <c r="I1052" t="n">
        <v>91.883002913</v>
      </c>
      <c r="J1052" t="n">
        <v>85.985669055</v>
      </c>
      <c r="K1052" t="n">
        <v>91.807650638</v>
      </c>
      <c r="L1052" t="n">
        <v>118.6</v>
      </c>
      <c r="M1052" t="n">
        <v>103.491375719</v>
      </c>
      <c r="N1052" t="n">
        <v>131.924109937</v>
      </c>
      <c r="O1052" t="n">
        <v>80.106675556</v>
      </c>
      <c r="P1052" t="n">
        <v/>
      </c>
      <c r="Q1052" t="n">
        <v>119.109925827</v>
      </c>
      <c r="R1052" t="n">
        <v>111.09</v>
      </c>
      <c r="S1052" t="n">
        <v>102.511132592</v>
      </c>
      <c r="T1052" t="n">
        <v>107.923593916</v>
      </c>
      <c r="U1052" t="n">
        <v/>
      </c>
      <c r="V1052" t="n">
        <v>138.849579622</v>
      </c>
      <c r="W1052" t="n">
        <v>85.40711726000001</v>
      </c>
      <c r="X1052" t="n">
        <v>64.99782542600001</v>
      </c>
      <c r="Y1052" t="n">
        <v/>
      </c>
      <c r="Z1052" t="n">
        <v>61.864257912</v>
      </c>
      <c r="AA1052" t="n">
        <v>55.2066462</v>
      </c>
      <c r="AB1052" t="n">
        <v>78.31381733000001</v>
      </c>
      <c r="AC1052" t="n">
        <v>125.489542538</v>
      </c>
      <c r="AD1052" t="n">
        <v>113.796403072</v>
      </c>
      <c r="AE1052" t="n">
        <v>67.51300000000001</v>
      </c>
      <c r="AF1052" t="n">
        <v>118.509875823</v>
      </c>
      <c r="AG1052" t="n">
        <v>92.2</v>
      </c>
      <c r="AH1052" t="n">
        <v>101.222141824</v>
      </c>
      <c r="AI1052" t="n">
        <v>99.491709024</v>
      </c>
      <c r="AJ1052" t="n">
        <v>114.274631497</v>
      </c>
      <c r="AK1052" t="n">
        <v/>
      </c>
      <c r="AL1052" t="n">
        <v>97.204089227</v>
      </c>
      <c r="AM1052" t="n">
        <v>71</v>
      </c>
      <c r="AN1052" t="n">
        <v>125.250085849</v>
      </c>
      <c r="AO1052" t="n">
        <v>81.3</v>
      </c>
      <c r="AP1052" t="n">
        <v>63.11051842</v>
      </c>
      <c r="AQ1052" t="n">
        <v>98.908242354</v>
      </c>
      <c r="AR1052" t="n">
        <v>109.49087576</v>
      </c>
      <c r="AS1052" t="n">
        <v>64.394633781</v>
      </c>
      <c r="AT1052" t="n">
        <v>98.20227367</v>
      </c>
      <c r="AU1052" t="n">
        <v/>
      </c>
    </row>
    <row r="1053">
      <c r="A1053" s="106" t="n">
        <v>38930</v>
      </c>
      <c r="B1053" t="n">
        <v>91.798551621</v>
      </c>
      <c r="C1053" t="n">
        <v>87.492708941</v>
      </c>
      <c r="D1053" t="n">
        <v>100.633085604</v>
      </c>
      <c r="E1053" t="n">
        <v>99.405011918</v>
      </c>
      <c r="F1053" t="n">
        <v/>
      </c>
      <c r="G1053" t="n">
        <v/>
      </c>
      <c r="H1053" t="n">
        <v>89.76150853199999</v>
      </c>
      <c r="I1053" t="n">
        <v>91.798551621</v>
      </c>
      <c r="J1053" t="n">
        <v>85.68571904700001</v>
      </c>
      <c r="K1053" t="n">
        <v>92.40770064199999</v>
      </c>
      <c r="L1053" t="n">
        <v>119.6</v>
      </c>
      <c r="M1053" t="n">
        <v>103.791350721</v>
      </c>
      <c r="N1053" t="n">
        <v>131.614109678</v>
      </c>
      <c r="O1053" t="n">
        <v>81.90682556900001</v>
      </c>
      <c r="P1053" t="n">
        <v/>
      </c>
      <c r="Q1053" t="n">
        <v>115.909659138</v>
      </c>
      <c r="R1053" t="n">
        <v>110.3</v>
      </c>
      <c r="S1053" t="n">
        <v>102.922166349</v>
      </c>
      <c r="T1053" t="n">
        <v>108.98478953</v>
      </c>
      <c r="U1053" t="n">
        <v/>
      </c>
      <c r="V1053" t="n">
        <v>142.345792059</v>
      </c>
      <c r="W1053" t="n">
        <v>82.006833903</v>
      </c>
      <c r="X1053" t="n">
        <v>63.912743514</v>
      </c>
      <c r="Y1053" t="n">
        <v/>
      </c>
      <c r="Z1053" t="n">
        <v>61.685974748</v>
      </c>
      <c r="AA1053" t="n">
        <v>58.298788258</v>
      </c>
      <c r="AB1053" t="n">
        <v>80.56206089</v>
      </c>
      <c r="AC1053" t="n">
        <v>127.189400883</v>
      </c>
      <c r="AD1053" t="n">
        <v>114.122467264</v>
      </c>
      <c r="AE1053" t="n">
        <v>72.53700000000001</v>
      </c>
      <c r="AF1053" t="n">
        <v>116.70972581</v>
      </c>
      <c r="AG1053" t="n">
        <v>93.90000000000001</v>
      </c>
      <c r="AH1053" t="n">
        <v>102.051124174</v>
      </c>
      <c r="AI1053" t="n">
        <v>99.09174235499999</v>
      </c>
      <c r="AJ1053" t="n">
        <v>113.809154383</v>
      </c>
      <c r="AK1053" t="n">
        <v/>
      </c>
      <c r="AL1053" t="n">
        <v>97.789980008</v>
      </c>
      <c r="AM1053" t="n">
        <v>70.7</v>
      </c>
      <c r="AN1053" t="n">
        <v>125.207639903</v>
      </c>
      <c r="AO1053" t="n">
        <v>82.40000000000001</v>
      </c>
      <c r="AP1053" t="n">
        <v>64.61076846100001</v>
      </c>
      <c r="AQ1053" t="n">
        <v>96.20801733499999</v>
      </c>
      <c r="AR1053" t="n">
        <v>111.79068411</v>
      </c>
      <c r="AS1053" t="n">
        <v>64.194650446</v>
      </c>
      <c r="AT1053" t="n">
        <v>98.62131731700001</v>
      </c>
      <c r="AU1053" t="n">
        <v/>
      </c>
    </row>
    <row r="1054">
      <c r="A1054" s="106" t="n">
        <v>38961</v>
      </c>
      <c r="B1054" t="n">
        <v>92.05190547799999</v>
      </c>
      <c r="C1054" t="n">
        <v>89.69252562299999</v>
      </c>
      <c r="D1054" t="n">
        <v>99.532067162</v>
      </c>
      <c r="E1054" t="n">
        <v>97.774412837</v>
      </c>
      <c r="F1054" t="n">
        <v/>
      </c>
      <c r="G1054" t="n">
        <v/>
      </c>
      <c r="H1054" t="n">
        <v>89.83920528500001</v>
      </c>
      <c r="I1054" t="n">
        <v>92.05190547799999</v>
      </c>
      <c r="J1054" t="n">
        <v>87.585402433</v>
      </c>
      <c r="K1054" t="n">
        <v>92.307692308</v>
      </c>
      <c r="L1054" t="n">
        <v>115</v>
      </c>
      <c r="M1054" t="n">
        <v>103.891342388</v>
      </c>
      <c r="N1054" t="n">
        <v>132.577110481</v>
      </c>
      <c r="O1054" t="n">
        <v>80.006667222</v>
      </c>
      <c r="P1054" t="n">
        <v/>
      </c>
      <c r="Q1054" t="n">
        <v>116.109675806</v>
      </c>
      <c r="R1054" t="n">
        <v>112.04</v>
      </c>
      <c r="S1054" t="n">
        <v>102.81016083</v>
      </c>
      <c r="T1054" t="n">
        <v>109.621506898</v>
      </c>
      <c r="U1054" t="n">
        <v/>
      </c>
      <c r="V1054" t="n">
        <v>139.448930325</v>
      </c>
      <c r="W1054" t="n">
        <v>85.207100592</v>
      </c>
      <c r="X1054" t="n">
        <v>65.53378959299999</v>
      </c>
      <c r="Y1054" t="n">
        <v/>
      </c>
      <c r="Z1054" t="n">
        <v>62.042541076</v>
      </c>
      <c r="AA1054" t="n">
        <v>53.310687586</v>
      </c>
      <c r="AB1054" t="n">
        <v>80.93676815000001</v>
      </c>
      <c r="AC1054" t="n">
        <v>126.889425881</v>
      </c>
      <c r="AD1054" t="n">
        <v>114.0137792</v>
      </c>
      <c r="AE1054" t="n">
        <v>73.15300000000001</v>
      </c>
      <c r="AF1054" t="n">
        <v>120.91007584</v>
      </c>
      <c r="AG1054" t="n">
        <v>94.2</v>
      </c>
      <c r="AH1054" t="n">
        <v>101.897671607</v>
      </c>
      <c r="AI1054" t="n">
        <v>97.091909008</v>
      </c>
      <c r="AJ1054" t="n">
        <v>112.994569434</v>
      </c>
      <c r="AK1054" t="n">
        <v/>
      </c>
      <c r="AL1054" t="n">
        <v>97.82195082600001</v>
      </c>
      <c r="AM1054" t="n">
        <v>71.8</v>
      </c>
      <c r="AN1054" t="n">
        <v>124.34997105</v>
      </c>
      <c r="AO1054" t="n">
        <v>82.59999999999999</v>
      </c>
      <c r="AP1054" t="n">
        <v>64.11068511400001</v>
      </c>
      <c r="AQ1054" t="n">
        <v>97.508125677</v>
      </c>
      <c r="AR1054" t="n">
        <v>113.890509124</v>
      </c>
      <c r="AS1054" t="n">
        <v>64.194650446</v>
      </c>
      <c r="AT1054" t="n">
        <v>98.41913322000001</v>
      </c>
      <c r="AU1054" t="n">
        <v/>
      </c>
    </row>
    <row r="1055">
      <c r="A1055" s="106" t="n">
        <v>38991</v>
      </c>
      <c r="B1055" t="n">
        <v>92.980869654</v>
      </c>
      <c r="C1055" t="n">
        <v>91.592367303</v>
      </c>
      <c r="D1055" t="n">
        <v>99.972474539</v>
      </c>
      <c r="E1055" t="n">
        <v>97.581255735</v>
      </c>
      <c r="F1055" t="n">
        <v/>
      </c>
      <c r="G1055" t="n">
        <v/>
      </c>
      <c r="H1055" t="n">
        <v>91.70406377499999</v>
      </c>
      <c r="I1055" t="n">
        <v>92.980869654</v>
      </c>
      <c r="J1055" t="n">
        <v>87.185469088</v>
      </c>
      <c r="K1055" t="n">
        <v>92.10767564</v>
      </c>
      <c r="L1055" t="n">
        <v>121</v>
      </c>
      <c r="M1055" t="n">
        <v>103.591367386</v>
      </c>
      <c r="N1055" t="n">
        <v>132.350110292</v>
      </c>
      <c r="O1055" t="n">
        <v>81.406783899</v>
      </c>
      <c r="P1055" t="n">
        <v/>
      </c>
      <c r="Q1055" t="n">
        <v>115.309609134</v>
      </c>
      <c r="R1055" t="n">
        <v>111.1</v>
      </c>
      <c r="S1055" t="n">
        <v>102.721534131</v>
      </c>
      <c r="T1055" t="n">
        <v>108.98478953</v>
      </c>
      <c r="U1055" t="n">
        <v/>
      </c>
      <c r="V1055" t="n">
        <v>142.046116707</v>
      </c>
      <c r="W1055" t="n">
        <v>87.00725060400001</v>
      </c>
      <c r="X1055" t="n">
        <v>64.42336368300001</v>
      </c>
      <c r="Y1055" t="n">
        <v/>
      </c>
      <c r="Z1055" t="n">
        <v>59.903143108</v>
      </c>
      <c r="AA1055" t="n">
        <v>48.924912026</v>
      </c>
      <c r="AB1055" t="n">
        <v>81.8735363</v>
      </c>
      <c r="AC1055" t="n">
        <v>127.089409216</v>
      </c>
      <c r="AD1055" t="n">
        <v>114.448531457</v>
      </c>
      <c r="AE1055" t="n">
        <v>76.32299999999999</v>
      </c>
      <c r="AF1055" t="n">
        <v>117.709809151</v>
      </c>
      <c r="AG1055" t="n">
        <v>93.5</v>
      </c>
      <c r="AH1055" t="n">
        <v>101.15987958</v>
      </c>
      <c r="AI1055" t="n">
        <v>97.091909008</v>
      </c>
      <c r="AJ1055" t="n">
        <v>110.89992242</v>
      </c>
      <c r="AK1055" t="n">
        <v/>
      </c>
      <c r="AL1055" t="n">
        <v>97.99618206700001</v>
      </c>
      <c r="AM1055" t="n">
        <v>72.09999999999999</v>
      </c>
      <c r="AN1055" t="n">
        <v>123.989383955</v>
      </c>
      <c r="AO1055" t="n">
        <v>83.2</v>
      </c>
      <c r="AP1055" t="n">
        <v>64.11068511400001</v>
      </c>
      <c r="AQ1055" t="n">
        <v>98.80823402</v>
      </c>
      <c r="AR1055" t="n">
        <v>114.990417465</v>
      </c>
      <c r="AS1055" t="n">
        <v>64.59461711500001</v>
      </c>
      <c r="AT1055" t="n">
        <v>98.317000007</v>
      </c>
      <c r="AU1055" t="n">
        <v/>
      </c>
    </row>
    <row r="1056">
      <c r="A1056" s="106" t="n">
        <v>39022</v>
      </c>
      <c r="B1056" t="n">
        <v>93.572028671</v>
      </c>
      <c r="C1056" t="n">
        <v>90.89242563099999</v>
      </c>
      <c r="D1056" t="n">
        <v>101.403798514</v>
      </c>
      <c r="E1056" t="n">
        <v>97.503671858</v>
      </c>
      <c r="F1056" t="n">
        <v/>
      </c>
      <c r="G1056" t="n">
        <v/>
      </c>
      <c r="H1056" t="n">
        <v>91.081981719</v>
      </c>
      <c r="I1056" t="n">
        <v>93.572028671</v>
      </c>
      <c r="J1056" t="n">
        <v>88.985169138</v>
      </c>
      <c r="K1056" t="n">
        <v>93.707808984</v>
      </c>
      <c r="L1056" t="n">
        <v>120</v>
      </c>
      <c r="M1056" t="n">
        <v>104.59128406</v>
      </c>
      <c r="N1056" t="n">
        <v>134.056111713</v>
      </c>
      <c r="O1056" t="n">
        <v>82.606883907</v>
      </c>
      <c r="P1056" t="n">
        <v/>
      </c>
      <c r="Q1056" t="n">
        <v>116.309692474</v>
      </c>
      <c r="R1056" t="n">
        <v>110.47</v>
      </c>
      <c r="S1056" t="n">
        <v>103.114185229</v>
      </c>
      <c r="T1056" t="n">
        <v>109.303148214</v>
      </c>
      <c r="U1056" t="n">
        <v/>
      </c>
      <c r="V1056" t="n">
        <v>137.650878215</v>
      </c>
      <c r="W1056" t="n">
        <v>87.607300608</v>
      </c>
      <c r="X1056" t="n">
        <v>70.065362593</v>
      </c>
      <c r="Y1056" t="n">
        <v/>
      </c>
      <c r="Z1056" t="n">
        <v>59.843715387</v>
      </c>
      <c r="AA1056" t="n">
        <v>49.062413149</v>
      </c>
      <c r="AB1056" t="n">
        <v>84.402810304</v>
      </c>
      <c r="AC1056" t="n">
        <v>127.289392551</v>
      </c>
      <c r="AD1056" t="n">
        <v>115.535412097</v>
      </c>
      <c r="AE1056" t="n">
        <v>75.343</v>
      </c>
      <c r="AF1056" t="n">
        <v>120.810067506</v>
      </c>
      <c r="AG1056" t="n">
        <v>92.59999999999999</v>
      </c>
      <c r="AH1056" t="n">
        <v>101.164102311</v>
      </c>
      <c r="AI1056" t="n">
        <v>100.891592367</v>
      </c>
      <c r="AJ1056" t="n">
        <v>110.667183863</v>
      </c>
      <c r="AK1056" t="n">
        <v/>
      </c>
      <c r="AL1056" t="n">
        <v>98.302169957</v>
      </c>
      <c r="AM1056" t="n">
        <v>71.59999999999999</v>
      </c>
      <c r="AN1056" t="n">
        <v>125.986947709</v>
      </c>
      <c r="AO1056" t="n">
        <v>83.7</v>
      </c>
      <c r="AP1056" t="n">
        <v>65.110851809</v>
      </c>
      <c r="AQ1056" t="n">
        <v>100.8084007</v>
      </c>
      <c r="AR1056" t="n">
        <v>115.290392467</v>
      </c>
      <c r="AS1056" t="n">
        <v>64.29464211299999</v>
      </c>
      <c r="AT1056" t="n">
        <v>98.263454439</v>
      </c>
      <c r="AU1056" t="n">
        <v/>
      </c>
    </row>
    <row r="1057">
      <c r="A1057" s="106" t="n">
        <v>39052</v>
      </c>
      <c r="B1057" t="n">
        <v>94.078736435</v>
      </c>
      <c r="C1057" t="n">
        <v>94.892092326</v>
      </c>
      <c r="D1057" t="n">
        <v>102.725020644</v>
      </c>
      <c r="E1057" t="n">
        <v>98.504771408</v>
      </c>
      <c r="F1057" t="n">
        <v/>
      </c>
      <c r="G1057" t="n">
        <v/>
      </c>
      <c r="H1057" t="n">
        <v>93.06948660400001</v>
      </c>
      <c r="I1057" t="n">
        <v>94.078736435</v>
      </c>
      <c r="J1057" t="n">
        <v>90.084985836</v>
      </c>
      <c r="K1057" t="n">
        <v>94.60788399</v>
      </c>
      <c r="L1057" t="n">
        <v>122.1</v>
      </c>
      <c r="M1057" t="n">
        <v>106.09115907</v>
      </c>
      <c r="N1057" t="n">
        <v>135.697113081</v>
      </c>
      <c r="O1057" t="n">
        <v>84.30702558500001</v>
      </c>
      <c r="P1057" t="n">
        <v/>
      </c>
      <c r="Q1057" t="n">
        <v>113.809484124</v>
      </c>
      <c r="R1057" t="n">
        <v>112.35</v>
      </c>
      <c r="S1057" t="n">
        <v>103.956114322</v>
      </c>
      <c r="T1057" t="n">
        <v>108.772550407</v>
      </c>
      <c r="U1057" t="n">
        <v/>
      </c>
      <c r="V1057" t="n">
        <v>142.146008491</v>
      </c>
      <c r="W1057" t="n">
        <v>90.307525627</v>
      </c>
      <c r="X1057" t="n">
        <v>68.846886232</v>
      </c>
      <c r="Y1057" t="n">
        <v/>
      </c>
      <c r="Z1057" t="n">
        <v>63.706517274</v>
      </c>
      <c r="AA1057" t="n">
        <v>49.145572033</v>
      </c>
      <c r="AB1057" t="n">
        <v>82.99765807999999</v>
      </c>
      <c r="AC1057" t="n">
        <v>129.389217565</v>
      </c>
      <c r="AD1057" t="n">
        <v>115.644100161</v>
      </c>
      <c r="AE1057" t="n">
        <v>72.636</v>
      </c>
      <c r="AF1057" t="n">
        <v>118.209850821</v>
      </c>
      <c r="AG1057" t="n">
        <v>96</v>
      </c>
      <c r="AH1057" t="n">
        <v>100.729786268</v>
      </c>
      <c r="AI1057" t="n">
        <v>101.591534039</v>
      </c>
      <c r="AJ1057" t="n">
        <v>114.623739333</v>
      </c>
      <c r="AK1057" t="n">
        <v/>
      </c>
      <c r="AL1057" t="n">
        <v>99.127894342</v>
      </c>
      <c r="AM1057" t="n">
        <v>74.90000000000001</v>
      </c>
      <c r="AN1057" t="n">
        <v>130.041862718</v>
      </c>
      <c r="AO1057" t="n">
        <v>84.3</v>
      </c>
      <c r="AP1057" t="n">
        <v>65.910985164</v>
      </c>
      <c r="AQ1057" t="n">
        <v>103.708642387</v>
      </c>
      <c r="AR1057" t="n">
        <v>118.790100825</v>
      </c>
      <c r="AS1057" t="n">
        <v>66.69444213</v>
      </c>
      <c r="AT1057" t="n">
        <v>99.269218686</v>
      </c>
      <c r="AU1057" t="n">
        <v/>
      </c>
    </row>
    <row r="1058">
      <c r="A1058" s="106" t="n">
        <v>39083</v>
      </c>
      <c r="B1058" t="n">
        <v>94.24763901999999</v>
      </c>
      <c r="C1058" t="n">
        <v>93.992167319</v>
      </c>
      <c r="D1058" t="n">
        <v>102.064409579</v>
      </c>
      <c r="E1058" t="n">
        <v>98.077525021</v>
      </c>
      <c r="F1058" t="n">
        <v/>
      </c>
      <c r="G1058" t="n">
        <v/>
      </c>
      <c r="H1058" t="n">
        <v>91.951891903</v>
      </c>
      <c r="I1058" t="n">
        <v>94.24763901999999</v>
      </c>
      <c r="J1058" t="n">
        <v>93.98433594399999</v>
      </c>
      <c r="K1058" t="n">
        <v>95.10792566000001</v>
      </c>
      <c r="L1058" t="n">
        <v>116.5</v>
      </c>
      <c r="M1058" t="n">
        <v>105.591200733</v>
      </c>
      <c r="N1058" t="n">
        <v>134.768112307</v>
      </c>
      <c r="O1058" t="n">
        <v>80.106675556</v>
      </c>
      <c r="P1058" t="n">
        <v/>
      </c>
      <c r="Q1058" t="n">
        <v>119.809984165</v>
      </c>
      <c r="R1058" t="n">
        <v>111.03</v>
      </c>
      <c r="S1058" t="n">
        <v>103.494074406</v>
      </c>
      <c r="T1058" t="n">
        <v>108.878669968</v>
      </c>
      <c r="U1058" t="n">
        <v/>
      </c>
      <c r="V1058" t="n">
        <v>149.737784067</v>
      </c>
      <c r="W1058" t="n">
        <v>88.10734227899999</v>
      </c>
      <c r="X1058" t="n">
        <v>69.80910673</v>
      </c>
      <c r="Y1058" t="n">
        <v/>
      </c>
      <c r="Z1058" t="n">
        <v>63.52823411</v>
      </c>
      <c r="AA1058" t="n">
        <v>52.028275397</v>
      </c>
      <c r="AB1058" t="n">
        <v>82.43559719</v>
      </c>
      <c r="AC1058" t="n">
        <v>128.08932589</v>
      </c>
      <c r="AD1058" t="n">
        <v>114.448531457</v>
      </c>
      <c r="AE1058" t="n">
        <v>73.378</v>
      </c>
      <c r="AF1058" t="n">
        <v>120.91007584</v>
      </c>
      <c r="AG1058" t="n">
        <v>93.8</v>
      </c>
      <c r="AH1058" t="n">
        <v>101.066896507</v>
      </c>
      <c r="AI1058" t="n">
        <v>101.291559037</v>
      </c>
      <c r="AJ1058" t="n">
        <v>112.878200155</v>
      </c>
      <c r="AK1058" t="n">
        <v/>
      </c>
      <c r="AL1058" t="n">
        <v>98.942635262</v>
      </c>
      <c r="AM1058" t="n">
        <v>74.40000000000001</v>
      </c>
      <c r="AN1058" t="n">
        <v>126.053553354</v>
      </c>
      <c r="AO1058" t="n">
        <v>85.90000000000001</v>
      </c>
      <c r="AP1058" t="n">
        <v>68.91148524800001</v>
      </c>
      <c r="AQ1058" t="n">
        <v>102.408534045</v>
      </c>
      <c r="AR1058" t="n">
        <v>116.590284143</v>
      </c>
      <c r="AS1058" t="n">
        <v>69.394217149</v>
      </c>
      <c r="AT1058" t="n">
        <v>98.883393123</v>
      </c>
      <c r="AU1058" t="n">
        <v/>
      </c>
    </row>
    <row r="1059">
      <c r="A1059" s="106" t="n">
        <v>39114</v>
      </c>
      <c r="B1059" t="n">
        <v>95.598859628</v>
      </c>
      <c r="C1059" t="n">
        <v>93.79218398499999</v>
      </c>
      <c r="D1059" t="n">
        <v>103.385631709</v>
      </c>
      <c r="E1059" t="n">
        <v>99.131328102</v>
      </c>
      <c r="F1059" t="n">
        <v/>
      </c>
      <c r="G1059" t="n">
        <v/>
      </c>
      <c r="H1059" t="n">
        <v>93.005756521</v>
      </c>
      <c r="I1059" t="n">
        <v>95.598859628</v>
      </c>
      <c r="J1059" t="n">
        <v>93.5844026</v>
      </c>
      <c r="K1059" t="n">
        <v>95.507958997</v>
      </c>
      <c r="L1059" t="n">
        <v>118.6</v>
      </c>
      <c r="M1059" t="n">
        <v>106.291142405</v>
      </c>
      <c r="N1059" t="n">
        <v>134.049111708</v>
      </c>
      <c r="O1059" t="n">
        <v>82.506875573</v>
      </c>
      <c r="P1059" t="n">
        <v/>
      </c>
      <c r="Q1059" t="n">
        <v>121.110092508</v>
      </c>
      <c r="R1059" t="n">
        <v>112.06</v>
      </c>
      <c r="S1059" t="n">
        <v>104.218103936</v>
      </c>
      <c r="T1059" t="n">
        <v>108.2419526</v>
      </c>
      <c r="U1059" t="n">
        <v/>
      </c>
      <c r="V1059" t="n">
        <v>148.339299093</v>
      </c>
      <c r="W1059" t="n">
        <v>88.507375615</v>
      </c>
      <c r="X1059" t="n">
        <v>70.207223524</v>
      </c>
      <c r="Y1059" t="n">
        <v/>
      </c>
      <c r="Z1059" t="n">
        <v>64.89507170100001</v>
      </c>
      <c r="AA1059" t="n">
        <v>53.790159777</v>
      </c>
      <c r="AB1059" t="n">
        <v>82.903981265</v>
      </c>
      <c r="AC1059" t="n">
        <v>128.889259228</v>
      </c>
      <c r="AD1059" t="n">
        <v>115.100659841</v>
      </c>
      <c r="AE1059" t="n">
        <v>74.208</v>
      </c>
      <c r="AF1059" t="n">
        <v>120.310025835</v>
      </c>
      <c r="AG1059" t="n">
        <v>93.7</v>
      </c>
      <c r="AH1059" t="n">
        <v>101.606880721</v>
      </c>
      <c r="AI1059" t="n">
        <v>102.591450712</v>
      </c>
      <c r="AJ1059" t="n">
        <v>112.296353763</v>
      </c>
      <c r="AK1059" t="n">
        <v/>
      </c>
      <c r="AL1059" t="n">
        <v>99.483379813</v>
      </c>
      <c r="AM1059" t="n">
        <v>74.3</v>
      </c>
      <c r="AN1059" t="n">
        <v>122.144479129</v>
      </c>
      <c r="AO1059" t="n">
        <v>85.3</v>
      </c>
      <c r="AP1059" t="n">
        <v>67.711285214</v>
      </c>
      <c r="AQ1059" t="n">
        <v>101.208434036</v>
      </c>
      <c r="AR1059" t="n">
        <v>118.090159153</v>
      </c>
      <c r="AS1059" t="n">
        <v>67.794350471</v>
      </c>
      <c r="AT1059" t="n">
        <v>99.84453606300001</v>
      </c>
      <c r="AU1059" t="n">
        <v/>
      </c>
    </row>
    <row r="1060">
      <c r="A1060" s="106" t="n">
        <v>39142</v>
      </c>
      <c r="B1060" t="n">
        <v>96.02111605</v>
      </c>
      <c r="C1060" t="n">
        <v>94.192150654</v>
      </c>
      <c r="D1060" t="n">
        <v>104.486650151</v>
      </c>
      <c r="E1060" t="n">
        <v>99.314854102</v>
      </c>
      <c r="F1060" t="n">
        <v/>
      </c>
      <c r="G1060" t="n">
        <v/>
      </c>
      <c r="H1060" t="n">
        <v>93.342014453</v>
      </c>
      <c r="I1060" t="n">
        <v>96.02111605</v>
      </c>
      <c r="J1060" t="n">
        <v>94.584235961</v>
      </c>
      <c r="K1060" t="n">
        <v>96.008000667</v>
      </c>
      <c r="L1060" t="n">
        <v>114.6</v>
      </c>
      <c r="M1060" t="n">
        <v>106.891092409</v>
      </c>
      <c r="N1060" t="n">
        <v>135.692113077</v>
      </c>
      <c r="O1060" t="n">
        <v>83.50695891300001</v>
      </c>
      <c r="P1060" t="n">
        <v/>
      </c>
      <c r="Q1060" t="n">
        <v>122.310192516</v>
      </c>
      <c r="R1060" t="n">
        <v>112.91</v>
      </c>
      <c r="S1060" t="n">
        <v>104.454893573</v>
      </c>
      <c r="T1060" t="n">
        <v>107.817474354</v>
      </c>
      <c r="U1060" t="n">
        <v/>
      </c>
      <c r="V1060" t="n">
        <v>141.746441355</v>
      </c>
      <c r="W1060" t="n">
        <v>88.307358947</v>
      </c>
      <c r="X1060" t="n">
        <v>71.70661068699999</v>
      </c>
      <c r="Y1060" t="n">
        <v/>
      </c>
      <c r="Z1060" t="n">
        <v>64.716788537</v>
      </c>
      <c r="AA1060" t="n">
        <v>53.36666837</v>
      </c>
      <c r="AB1060" t="n">
        <v>84.683840749</v>
      </c>
      <c r="AC1060" t="n">
        <v>129.789184235</v>
      </c>
      <c r="AD1060" t="n">
        <v>115.100659841</v>
      </c>
      <c r="AE1060" t="n">
        <v>73.705</v>
      </c>
      <c r="AF1060" t="n">
        <v>119.109925827</v>
      </c>
      <c r="AG1060" t="n">
        <v>96.3</v>
      </c>
      <c r="AH1060" t="n">
        <v>103.006116374</v>
      </c>
      <c r="AI1060" t="n">
        <v>102.69144238</v>
      </c>
      <c r="AJ1060" t="n">
        <v>111.132660978</v>
      </c>
      <c r="AK1060" t="n">
        <v/>
      </c>
      <c r="AL1060" t="n">
        <v>99.81427167299999</v>
      </c>
      <c r="AM1060" t="n">
        <v>75.7</v>
      </c>
      <c r="AN1060" t="n">
        <v>124.014866243</v>
      </c>
      <c r="AO1060" t="n">
        <v>86.40000000000001</v>
      </c>
      <c r="AP1060" t="n">
        <v>70.41173528900001</v>
      </c>
      <c r="AQ1060" t="n">
        <v>100.708392366</v>
      </c>
      <c r="AR1060" t="n">
        <v>119.090075827</v>
      </c>
      <c r="AS1060" t="n">
        <v>68.894258812</v>
      </c>
      <c r="AT1060" t="n">
        <v>100.036705156</v>
      </c>
      <c r="AU1060" t="n">
        <v/>
      </c>
    </row>
    <row r="1061">
      <c r="A1061" s="106" t="n">
        <v>39173</v>
      </c>
      <c r="B1061" t="n">
        <v>95.092151864</v>
      </c>
      <c r="C1061" t="n">
        <v>93.79218398499999</v>
      </c>
      <c r="D1061" t="n">
        <v>105.697770438</v>
      </c>
      <c r="E1061" t="n">
        <v>98.874766245</v>
      </c>
      <c r="F1061" t="n">
        <v/>
      </c>
      <c r="G1061" t="n">
        <v/>
      </c>
      <c r="H1061" t="n">
        <v>96.037206056</v>
      </c>
      <c r="I1061" t="n">
        <v>95.092151864</v>
      </c>
      <c r="J1061" t="n">
        <v>93.284452591</v>
      </c>
      <c r="K1061" t="n">
        <v>95.10792566000001</v>
      </c>
      <c r="L1061" t="n">
        <v>113.9</v>
      </c>
      <c r="M1061" t="n">
        <v>105.391217399</v>
      </c>
      <c r="N1061" t="n">
        <v>133.167110973</v>
      </c>
      <c r="O1061" t="n">
        <v>86.307192266</v>
      </c>
      <c r="P1061" t="n">
        <v/>
      </c>
      <c r="Q1061" t="n">
        <v>119.109925827</v>
      </c>
      <c r="R1061" t="n">
        <v>111.04</v>
      </c>
      <c r="S1061" t="n">
        <v>104.259693398</v>
      </c>
      <c r="T1061" t="n">
        <v>106.756278741</v>
      </c>
      <c r="U1061" t="n">
        <v/>
      </c>
      <c r="V1061" t="n">
        <v>142.64546741</v>
      </c>
      <c r="W1061" t="n">
        <v>89.507458955</v>
      </c>
      <c r="X1061" t="n">
        <v>72.58375959999999</v>
      </c>
      <c r="Y1061" t="n">
        <v/>
      </c>
      <c r="Z1061" t="n">
        <v>64.122511323</v>
      </c>
      <c r="AA1061" t="n">
        <v>52.14326119</v>
      </c>
      <c r="AB1061" t="n">
        <v>83.27868852500001</v>
      </c>
      <c r="AC1061" t="n">
        <v>127.389384218</v>
      </c>
      <c r="AD1061" t="n">
        <v>114.774595649</v>
      </c>
      <c r="AE1061" t="n">
        <v>75.34399999999999</v>
      </c>
      <c r="AF1061" t="n">
        <v>115.809650804</v>
      </c>
      <c r="AG1061" t="n">
        <v>91.40000000000001</v>
      </c>
      <c r="AH1061" t="n">
        <v>102.550516975</v>
      </c>
      <c r="AI1061" t="n">
        <v>101.091575702</v>
      </c>
      <c r="AJ1061" t="n">
        <v>117.99844841</v>
      </c>
      <c r="AK1061" t="n">
        <v/>
      </c>
      <c r="AL1061" t="n">
        <v>99.71055561</v>
      </c>
      <c r="AM1061" t="n">
        <v>74.59999999999999</v>
      </c>
      <c r="AN1061" t="n">
        <v>119.723073708</v>
      </c>
      <c r="AO1061" t="n">
        <v>85.90000000000001</v>
      </c>
      <c r="AP1061" t="n">
        <v>68.811468578</v>
      </c>
      <c r="AQ1061" t="n">
        <v>102.808567381</v>
      </c>
      <c r="AR1061" t="n">
        <v>117.590200817</v>
      </c>
      <c r="AS1061" t="n">
        <v>69.294225481</v>
      </c>
      <c r="AT1061" t="n">
        <v>100.72288169</v>
      </c>
      <c r="AU1061" t="n">
        <v/>
      </c>
    </row>
    <row r="1062">
      <c r="A1062" s="106" t="n">
        <v>39203</v>
      </c>
      <c r="B1062" t="n">
        <v>96.105567393</v>
      </c>
      <c r="C1062" t="n">
        <v>96.19198400099999</v>
      </c>
      <c r="D1062" t="n">
        <v>106.02807597</v>
      </c>
      <c r="E1062" t="n">
        <v>99.09521147</v>
      </c>
      <c r="F1062" t="n">
        <v/>
      </c>
      <c r="G1062" t="n">
        <v/>
      </c>
      <c r="H1062" t="n">
        <v>94.43556452</v>
      </c>
      <c r="I1062" t="n">
        <v>96.105567393</v>
      </c>
      <c r="J1062" t="n">
        <v>93.78436927200001</v>
      </c>
      <c r="K1062" t="n">
        <v>96.808067339</v>
      </c>
      <c r="L1062" t="n">
        <v>112.7</v>
      </c>
      <c r="M1062" t="n">
        <v>107.291059078</v>
      </c>
      <c r="N1062" t="n">
        <v>136.290113575</v>
      </c>
      <c r="O1062" t="n">
        <v>86.807233936</v>
      </c>
      <c r="P1062" t="n">
        <v/>
      </c>
      <c r="Q1062" t="n">
        <v>119.009917493</v>
      </c>
      <c r="R1062" t="n">
        <v>113.7</v>
      </c>
      <c r="S1062" t="n">
        <v>105.160641268</v>
      </c>
      <c r="T1062" t="n">
        <v>108.454191723</v>
      </c>
      <c r="U1062" t="n">
        <v/>
      </c>
      <c r="V1062" t="n">
        <v>146.74103055</v>
      </c>
      <c r="W1062" t="n">
        <v>88.40736728100001</v>
      </c>
      <c r="X1062" t="n">
        <v>74.702069145</v>
      </c>
      <c r="Y1062" t="n">
        <v/>
      </c>
      <c r="Z1062" t="n">
        <v>61.091697535</v>
      </c>
      <c r="AA1062" t="n">
        <v>51.360789441</v>
      </c>
      <c r="AB1062" t="n">
        <v>85.245901639</v>
      </c>
      <c r="AC1062" t="n">
        <v>130.089159237</v>
      </c>
      <c r="AD1062" t="n">
        <v>116.078852417</v>
      </c>
      <c r="AE1062" t="n">
        <v>75.95</v>
      </c>
      <c r="AF1062" t="n">
        <v>115.70964247</v>
      </c>
      <c r="AG1062" t="n">
        <v>94.3</v>
      </c>
      <c r="AH1062" t="n">
        <v>102.368249002</v>
      </c>
      <c r="AI1062" t="n">
        <v>101.691525706</v>
      </c>
      <c r="AJ1062" t="n">
        <v>111.598138092</v>
      </c>
      <c r="AK1062" t="n">
        <v/>
      </c>
      <c r="AL1062" t="n">
        <v>100.446899238</v>
      </c>
      <c r="AM1062" t="n">
        <v>75.59999999999999</v>
      </c>
      <c r="AN1062" t="n">
        <v>123.22559152</v>
      </c>
      <c r="AO1062" t="n">
        <v>86.8</v>
      </c>
      <c r="AP1062" t="n">
        <v>72.712118686</v>
      </c>
      <c r="AQ1062" t="n">
        <v>101.408450704</v>
      </c>
      <c r="AR1062" t="n">
        <v>117.790184151</v>
      </c>
      <c r="AS1062" t="n">
        <v>70.394133822</v>
      </c>
      <c r="AT1062" t="n">
        <v>100.792689245</v>
      </c>
      <c r="AU1062" t="n">
        <v/>
      </c>
    </row>
    <row r="1063">
      <c r="A1063" s="106" t="n">
        <v>39234</v>
      </c>
      <c r="B1063" t="n">
        <v>95.176603206</v>
      </c>
      <c r="C1063" t="n">
        <v>96.39196733599999</v>
      </c>
      <c r="D1063" t="n">
        <v>106.79878888</v>
      </c>
      <c r="E1063" t="n">
        <v>99.368895286</v>
      </c>
      <c r="F1063" t="n">
        <v/>
      </c>
      <c r="G1063" t="n">
        <v/>
      </c>
      <c r="H1063" t="n">
        <v>94.977603604</v>
      </c>
      <c r="I1063" t="n">
        <v>95.176603206</v>
      </c>
      <c r="J1063" t="n">
        <v>93.78436927200001</v>
      </c>
      <c r="K1063" t="n">
        <v>96.708059005</v>
      </c>
      <c r="L1063" t="n">
        <v>115.4</v>
      </c>
      <c r="M1063" t="n">
        <v>107.391050746</v>
      </c>
      <c r="N1063" t="n">
        <v>136.163113469</v>
      </c>
      <c r="O1063" t="n">
        <v>87.207267272</v>
      </c>
      <c r="P1063" t="n">
        <v/>
      </c>
      <c r="Q1063" t="n">
        <v>124.010334195</v>
      </c>
      <c r="R1063" t="n">
        <v>113.27</v>
      </c>
      <c r="S1063" t="n">
        <v>104.980700513</v>
      </c>
      <c r="T1063" t="n">
        <v>106.437920057</v>
      </c>
      <c r="U1063" t="n">
        <v/>
      </c>
      <c r="V1063" t="n">
        <v>145.042870224</v>
      </c>
      <c r="W1063" t="n">
        <v>90.50754229499999</v>
      </c>
      <c r="X1063" t="n">
        <v>75.157010865</v>
      </c>
      <c r="Y1063" t="n">
        <v/>
      </c>
      <c r="Z1063" t="n">
        <v>60.972842092</v>
      </c>
      <c r="AA1063" t="n">
        <v>50.637623862</v>
      </c>
      <c r="AB1063" t="n">
        <v>82.903981265</v>
      </c>
      <c r="AC1063" t="n">
        <v>129.289225898</v>
      </c>
      <c r="AD1063" t="n">
        <v>116.078852417</v>
      </c>
      <c r="AE1063" t="n">
        <v>75.73399999999999</v>
      </c>
      <c r="AF1063" t="n">
        <v>119.509959163</v>
      </c>
      <c r="AG1063" t="n">
        <v>92.7</v>
      </c>
      <c r="AH1063" t="n">
        <v>102.593634847</v>
      </c>
      <c r="AI1063" t="n">
        <v>103.891342388</v>
      </c>
      <c r="AJ1063" t="n">
        <v>107.292474787</v>
      </c>
      <c r="AK1063" t="n">
        <v/>
      </c>
      <c r="AL1063" t="n">
        <v>100.29106856</v>
      </c>
      <c r="AM1063" t="n">
        <v>76</v>
      </c>
      <c r="AN1063" t="n">
        <v>122.218608412</v>
      </c>
      <c r="AO1063" t="n">
        <v>87.2</v>
      </c>
      <c r="AP1063" t="n">
        <v>71.31188531399999</v>
      </c>
      <c r="AQ1063" t="n">
        <v>104.508709059</v>
      </c>
      <c r="AR1063" t="n">
        <v>117.590200817</v>
      </c>
      <c r="AS1063" t="n">
        <v>68.894258812</v>
      </c>
      <c r="AT1063" t="n">
        <v>100.818470444</v>
      </c>
      <c r="AU1063" t="n">
        <v/>
      </c>
    </row>
    <row r="1064">
      <c r="A1064" s="106" t="n">
        <v>39264</v>
      </c>
      <c r="B1064" t="n">
        <v>96.02111605</v>
      </c>
      <c r="C1064" t="n">
        <v>95.09207566000001</v>
      </c>
      <c r="D1064" t="n">
        <v>106.248279659</v>
      </c>
      <c r="E1064" t="n">
        <v>98.32365318399999</v>
      </c>
      <c r="F1064" t="n">
        <v/>
      </c>
      <c r="G1064" t="n">
        <v/>
      </c>
      <c r="H1064" t="n">
        <v>96.39220782699999</v>
      </c>
      <c r="I1064" t="n">
        <v>96.02111605</v>
      </c>
      <c r="J1064" t="n">
        <v>95.084152641</v>
      </c>
      <c r="K1064" t="n">
        <v>97.408117343</v>
      </c>
      <c r="L1064" t="n">
        <v>114</v>
      </c>
      <c r="M1064" t="n">
        <v>107.59103408</v>
      </c>
      <c r="N1064" t="n">
        <v>133.718111432</v>
      </c>
      <c r="O1064" t="n">
        <v>86.107175598</v>
      </c>
      <c r="P1064" t="n">
        <v/>
      </c>
      <c r="Q1064" t="n">
        <v>122.610217518</v>
      </c>
      <c r="R1064" t="n">
        <v>113.43</v>
      </c>
      <c r="S1064" t="n">
        <v>104.861464838</v>
      </c>
      <c r="T1064" t="n">
        <v>105.058365759</v>
      </c>
      <c r="U1064" t="n">
        <v/>
      </c>
      <c r="V1064" t="n">
        <v>145.342545576</v>
      </c>
      <c r="W1064" t="n">
        <v>92.807733978</v>
      </c>
      <c r="X1064" t="n">
        <v>75.267152352</v>
      </c>
      <c r="Y1064" t="n">
        <v/>
      </c>
      <c r="Z1064" t="n">
        <v>67.569319161</v>
      </c>
      <c r="AA1064" t="n">
        <v>49.782900118</v>
      </c>
      <c r="AB1064" t="n">
        <v>85.152224824</v>
      </c>
      <c r="AC1064" t="n">
        <v>128.489292559</v>
      </c>
      <c r="AD1064" t="n">
        <v>116.187540482</v>
      </c>
      <c r="AE1064" t="n">
        <v>76.349</v>
      </c>
      <c r="AF1064" t="n">
        <v>116.009667472</v>
      </c>
      <c r="AG1064" t="n">
        <v>92.7</v>
      </c>
      <c r="AH1064" t="n">
        <v>103.137635563</v>
      </c>
      <c r="AI1064" t="n">
        <v>104.19131739</v>
      </c>
      <c r="AJ1064" t="n">
        <v>114.158262219</v>
      </c>
      <c r="AK1064" t="n">
        <v/>
      </c>
      <c r="AL1064" t="n">
        <v>100.407711754</v>
      </c>
      <c r="AM1064" t="n">
        <v>76.8</v>
      </c>
      <c r="AN1064" t="n">
        <v>118.182618845</v>
      </c>
      <c r="AO1064" t="n">
        <v>88.09999999999999</v>
      </c>
      <c r="AP1064" t="n">
        <v>72.212035339</v>
      </c>
      <c r="AQ1064" t="n">
        <v>106.108842404</v>
      </c>
      <c r="AR1064" t="n">
        <v>115.790350804</v>
      </c>
      <c r="AS1064" t="n">
        <v>68.59428380999999</v>
      </c>
      <c r="AT1064" t="n">
        <v>100.708007921</v>
      </c>
      <c r="AU1064" t="n">
        <v/>
      </c>
    </row>
    <row r="1065">
      <c r="A1065" s="106" t="n">
        <v>39295</v>
      </c>
      <c r="B1065" t="n">
        <v>96.612275157</v>
      </c>
      <c r="C1065" t="n">
        <v>96.39196733599999</v>
      </c>
      <c r="D1065" t="n">
        <v>107.789705478</v>
      </c>
      <c r="E1065" t="n">
        <v>98.938171</v>
      </c>
      <c r="F1065" t="n">
        <v/>
      </c>
      <c r="G1065" t="n">
        <v/>
      </c>
      <c r="H1065" t="n">
        <v>93.80588237800001</v>
      </c>
      <c r="I1065" t="n">
        <v>96.612275157</v>
      </c>
      <c r="J1065" t="n">
        <v>93.5844026</v>
      </c>
      <c r="K1065" t="n">
        <v>97.708142345</v>
      </c>
      <c r="L1065" t="n">
        <v>115.7</v>
      </c>
      <c r="M1065" t="n">
        <v>108.290975752</v>
      </c>
      <c r="N1065" t="n">
        <v>133.870111558</v>
      </c>
      <c r="O1065" t="n">
        <v>86.607217268</v>
      </c>
      <c r="P1065" t="n">
        <v/>
      </c>
      <c r="Q1065" t="n">
        <v>120.610050838</v>
      </c>
      <c r="R1065" t="n">
        <v>114.11</v>
      </c>
      <c r="S1065" t="n">
        <v>105.924782976</v>
      </c>
      <c r="T1065" t="n">
        <v>106.544039618</v>
      </c>
      <c r="U1065" t="n">
        <v/>
      </c>
      <c r="V1065" t="n">
        <v>142.845250978</v>
      </c>
      <c r="W1065" t="n">
        <v>92.70772564400001</v>
      </c>
      <c r="X1065" t="n">
        <v>75.490854403</v>
      </c>
      <c r="Y1065" t="n">
        <v/>
      </c>
      <c r="Z1065" t="n">
        <v>63.290523224</v>
      </c>
      <c r="AA1065" t="n">
        <v>49.742824412</v>
      </c>
      <c r="AB1065" t="n">
        <v>84.402810304</v>
      </c>
      <c r="AC1065" t="n">
        <v>133.288892592</v>
      </c>
      <c r="AD1065" t="n">
        <v>119.122118211</v>
      </c>
      <c r="AE1065" t="n">
        <v>79.03100000000001</v>
      </c>
      <c r="AF1065" t="n">
        <v>113.409450788</v>
      </c>
      <c r="AG1065" t="n">
        <v>94.5</v>
      </c>
      <c r="AH1065" t="n">
        <v>101.995331277</v>
      </c>
      <c r="AI1065" t="n">
        <v>104.391300725</v>
      </c>
      <c r="AJ1065" t="n">
        <v>113.576415826</v>
      </c>
      <c r="AK1065" t="n">
        <v/>
      </c>
      <c r="AL1065" t="n">
        <v>101.166529879</v>
      </c>
      <c r="AM1065" t="n">
        <v>77.09999999999999</v>
      </c>
      <c r="AN1065" t="n">
        <v>116.739249773</v>
      </c>
      <c r="AO1065" t="n">
        <v>87.59999999999999</v>
      </c>
      <c r="AP1065" t="n">
        <v>70.711785298</v>
      </c>
      <c r="AQ1065" t="n">
        <v>105.808817401</v>
      </c>
      <c r="AR1065" t="n">
        <v>117.490209149</v>
      </c>
      <c r="AS1065" t="n">
        <v>69.694192151</v>
      </c>
      <c r="AT1065" t="n">
        <v>100.918620488</v>
      </c>
      <c r="AU1065" t="n">
        <v/>
      </c>
    </row>
    <row r="1066">
      <c r="A1066" s="106" t="n">
        <v>39326</v>
      </c>
      <c r="B1066" t="n">
        <v>95.598859628</v>
      </c>
      <c r="C1066" t="n">
        <v>96.99191734</v>
      </c>
      <c r="D1066" t="n">
        <v>107.018992568</v>
      </c>
      <c r="E1066" t="n">
        <v>98.408192857</v>
      </c>
      <c r="F1066" t="n">
        <v/>
      </c>
      <c r="G1066" t="n">
        <v/>
      </c>
      <c r="H1066" t="n">
        <v>95.169400197</v>
      </c>
      <c r="I1066" t="n">
        <v>95.598859628</v>
      </c>
      <c r="J1066" t="n">
        <v>93.884352608</v>
      </c>
      <c r="K1066" t="n">
        <v>98.708225685</v>
      </c>
      <c r="L1066" t="n">
        <v>113.1</v>
      </c>
      <c r="M1066" t="n">
        <v>107.891009083</v>
      </c>
      <c r="N1066" t="n">
        <v>134.379111983</v>
      </c>
      <c r="O1066" t="n">
        <v>86.807233936</v>
      </c>
      <c r="P1066" t="n">
        <v/>
      </c>
      <c r="Q1066" t="n">
        <v>121.91015918</v>
      </c>
      <c r="R1066" t="n">
        <v>111.47</v>
      </c>
      <c r="S1066" t="n">
        <v>105.459528923</v>
      </c>
      <c r="T1066" t="n">
        <v>105.270604882</v>
      </c>
      <c r="U1066" t="n">
        <v/>
      </c>
      <c r="V1066" t="n">
        <v>143.444601682</v>
      </c>
      <c r="W1066" t="n">
        <v>92.70772564400001</v>
      </c>
      <c r="X1066" t="n">
        <v>74.422500957</v>
      </c>
      <c r="Y1066" t="n">
        <v/>
      </c>
      <c r="Z1066" t="n">
        <v>62.63681829</v>
      </c>
      <c r="AA1066" t="n">
        <v>49.308806639</v>
      </c>
      <c r="AB1066" t="n">
        <v>86.651053864</v>
      </c>
      <c r="AC1066" t="n">
        <v>129.889175902</v>
      </c>
      <c r="AD1066" t="n">
        <v>117.383109186</v>
      </c>
      <c r="AE1066" t="n">
        <v>77.74299999999999</v>
      </c>
      <c r="AF1066" t="n">
        <v>112.309359113</v>
      </c>
      <c r="AG1066" t="n">
        <v>92.8</v>
      </c>
      <c r="AH1066" t="n">
        <v>103.095789897</v>
      </c>
      <c r="AI1066" t="n">
        <v>106.191150737</v>
      </c>
      <c r="AJ1066" t="n">
        <v>115.089216447</v>
      </c>
      <c r="AK1066" t="n">
        <v/>
      </c>
      <c r="AL1066" t="n">
        <v>100.932881637</v>
      </c>
      <c r="AM1066" t="n">
        <v>77.40000000000001</v>
      </c>
      <c r="AN1066" t="n">
        <v>117.895398838</v>
      </c>
      <c r="AO1066" t="n">
        <v>87.2</v>
      </c>
      <c r="AP1066" t="n">
        <v>73.81230205</v>
      </c>
      <c r="AQ1066" t="n">
        <v>103.808650721</v>
      </c>
      <c r="AR1066" t="n">
        <v>115.1904008</v>
      </c>
      <c r="AS1066" t="n">
        <v>70.194150487</v>
      </c>
      <c r="AT1066" t="n">
        <v>101.169293071</v>
      </c>
      <c r="AU1066" t="n">
        <v/>
      </c>
    </row>
    <row r="1067">
      <c r="A1067" s="106" t="n">
        <v>39356</v>
      </c>
      <c r="B1067" t="n">
        <v>96.696726399</v>
      </c>
      <c r="C1067" t="n">
        <v>100.491625698</v>
      </c>
      <c r="D1067" t="n">
        <v>109.551334985</v>
      </c>
      <c r="E1067" t="n">
        <v>97.71609116400001</v>
      </c>
      <c r="F1067" t="n">
        <v/>
      </c>
      <c r="G1067" t="n">
        <v/>
      </c>
      <c r="H1067" t="n">
        <v>93.757095037</v>
      </c>
      <c r="I1067" t="n">
        <v>96.696726399</v>
      </c>
      <c r="J1067" t="n">
        <v>95.084152641</v>
      </c>
      <c r="K1067" t="n">
        <v>98.80823402</v>
      </c>
      <c r="L1067" t="n">
        <v>118.8</v>
      </c>
      <c r="M1067" t="n">
        <v>108.690942421</v>
      </c>
      <c r="N1067" t="n">
        <v>134.632112193</v>
      </c>
      <c r="O1067" t="n">
        <v>86.70722560199999</v>
      </c>
      <c r="P1067" t="n">
        <v/>
      </c>
      <c r="Q1067" t="n">
        <v>120.810067506</v>
      </c>
      <c r="R1067" t="n">
        <v>114</v>
      </c>
      <c r="S1067" t="n">
        <v>105.584360149</v>
      </c>
      <c r="T1067" t="n">
        <v>105.058365759</v>
      </c>
      <c r="U1067" t="n">
        <v/>
      </c>
      <c r="V1067" t="n">
        <v>142.345792059</v>
      </c>
      <c r="W1067" t="n">
        <v>92.507708976</v>
      </c>
      <c r="X1067" t="n">
        <v>76.697698309</v>
      </c>
      <c r="Y1067" t="n">
        <v/>
      </c>
      <c r="Z1067" t="n">
        <v>67.98531321</v>
      </c>
      <c r="AA1067" t="n">
        <v>49.229786986</v>
      </c>
      <c r="AB1067" t="n">
        <v>86.182669789</v>
      </c>
      <c r="AC1067" t="n">
        <v>128.489292559</v>
      </c>
      <c r="AD1067" t="n">
        <v>118.904742083</v>
      </c>
      <c r="AE1067" t="n">
        <v>81.285</v>
      </c>
      <c r="AF1067" t="n">
        <v>114.70955913</v>
      </c>
      <c r="AG1067" t="n">
        <v>92.59999999999999</v>
      </c>
      <c r="AH1067" t="n">
        <v>102.682858666</v>
      </c>
      <c r="AI1067" t="n">
        <v>106.791100742</v>
      </c>
      <c r="AJ1067" t="n">
        <v>114.391000776</v>
      </c>
      <c r="AK1067" t="n">
        <v/>
      </c>
      <c r="AL1067" t="n">
        <v>101.346931637</v>
      </c>
      <c r="AM1067" t="n">
        <v>78.40000000000001</v>
      </c>
      <c r="AN1067" t="n">
        <v>124.481652553</v>
      </c>
      <c r="AO1067" t="n">
        <v>87.2</v>
      </c>
      <c r="AP1067" t="n">
        <v>73.712285381</v>
      </c>
      <c r="AQ1067" t="n">
        <v>106.308859072</v>
      </c>
      <c r="AR1067" t="n">
        <v>116.69027581</v>
      </c>
      <c r="AS1067" t="n">
        <v>69.694192151</v>
      </c>
      <c r="AT1067" t="n">
        <v>100.87280928</v>
      </c>
      <c r="AU1067" t="n">
        <v/>
      </c>
    </row>
    <row r="1068">
      <c r="A1068" s="106" t="n">
        <v>39387</v>
      </c>
      <c r="B1068" t="n">
        <v>94.078736435</v>
      </c>
      <c r="C1068" t="n">
        <v>97.59186734399999</v>
      </c>
      <c r="D1068" t="n">
        <v>108.450316543</v>
      </c>
      <c r="E1068" t="n">
        <v>97.381410368</v>
      </c>
      <c r="F1068" t="n">
        <v/>
      </c>
      <c r="G1068" t="n">
        <v/>
      </c>
      <c r="H1068" t="n">
        <v>95.014604138</v>
      </c>
      <c r="I1068" t="n">
        <v>94.078736435</v>
      </c>
      <c r="J1068" t="n">
        <v>95.684052658</v>
      </c>
      <c r="K1068" t="n">
        <v>98.60821735099999</v>
      </c>
      <c r="L1068" t="n">
        <v>117.4</v>
      </c>
      <c r="M1068" t="n">
        <v>108.090992417</v>
      </c>
      <c r="N1068" t="n">
        <v>133.627111356</v>
      </c>
      <c r="O1068" t="n">
        <v>85.707142262</v>
      </c>
      <c r="P1068" t="n">
        <v/>
      </c>
      <c r="Q1068" t="n">
        <v>128.310692558</v>
      </c>
      <c r="R1068" t="n">
        <v>112.02</v>
      </c>
      <c r="S1068" t="n">
        <v>105.424103596</v>
      </c>
      <c r="T1068" t="n">
        <v>105.058365759</v>
      </c>
      <c r="U1068" t="n">
        <v/>
      </c>
      <c r="V1068" t="n">
        <v>143.744277033</v>
      </c>
      <c r="W1068" t="n">
        <v>92.40770064199999</v>
      </c>
      <c r="X1068" t="n">
        <v>77.303135345</v>
      </c>
      <c r="Y1068" t="n">
        <v/>
      </c>
      <c r="Z1068" t="n">
        <v>67.272180554</v>
      </c>
      <c r="AA1068" t="n">
        <v>49.122828128</v>
      </c>
      <c r="AB1068" t="n">
        <v>87.40046838400001</v>
      </c>
      <c r="AC1068" t="n">
        <v>127.089409216</v>
      </c>
      <c r="AD1068" t="n">
        <v>117.709173378</v>
      </c>
      <c r="AE1068" t="n">
        <v>81.255</v>
      </c>
      <c r="AF1068" t="n">
        <v>116.609717476</v>
      </c>
      <c r="AG1068" t="n">
        <v>95.7</v>
      </c>
      <c r="AH1068" t="n">
        <v>101.523940198</v>
      </c>
      <c r="AI1068" t="n">
        <v>109.390884093</v>
      </c>
      <c r="AJ1068" t="n">
        <v>112.179984484</v>
      </c>
      <c r="AK1068" t="n">
        <v/>
      </c>
      <c r="AL1068" t="n">
        <v>101.203741962</v>
      </c>
      <c r="AM1068" t="n">
        <v>77.8</v>
      </c>
      <c r="AN1068" t="n">
        <v>120.578784977</v>
      </c>
      <c r="AO1068" t="n">
        <v>89</v>
      </c>
      <c r="AP1068" t="n">
        <v>78.713118853</v>
      </c>
      <c r="AQ1068" t="n">
        <v>104.408700725</v>
      </c>
      <c r="AR1068" t="n">
        <v>119.990000833</v>
      </c>
      <c r="AS1068" t="n">
        <v>69.89417548500001</v>
      </c>
      <c r="AT1068" t="n">
        <v>101.457447552</v>
      </c>
      <c r="AU1068" t="n">
        <v/>
      </c>
    </row>
    <row r="1069">
      <c r="A1069" s="106" t="n">
        <v>39417</v>
      </c>
      <c r="B1069" t="n">
        <v>97.28788541599999</v>
      </c>
      <c r="C1069" t="n">
        <v>100.091659028</v>
      </c>
      <c r="D1069" t="n">
        <v>108.89072392</v>
      </c>
      <c r="E1069" t="n">
        <v>95.617848572</v>
      </c>
      <c r="F1069" t="n">
        <v/>
      </c>
      <c r="G1069" t="n">
        <v/>
      </c>
      <c r="H1069" t="n">
        <v>95.680312667</v>
      </c>
      <c r="I1069" t="n">
        <v>97.28788541599999</v>
      </c>
      <c r="J1069" t="n">
        <v>97.1838027</v>
      </c>
      <c r="K1069" t="n">
        <v>99.608300692</v>
      </c>
      <c r="L1069" t="n">
        <v>114.5</v>
      </c>
      <c r="M1069" t="n">
        <v>108.490959087</v>
      </c>
      <c r="N1069" t="n">
        <v>133.367111139</v>
      </c>
      <c r="O1069" t="n">
        <v>84.407033919</v>
      </c>
      <c r="P1069" t="n">
        <v/>
      </c>
      <c r="Q1069" t="n">
        <v>121.710142512</v>
      </c>
      <c r="R1069" t="n">
        <v>112.2</v>
      </c>
      <c r="S1069" t="n">
        <v>105.636921815</v>
      </c>
      <c r="T1069" t="n">
        <v>105.270604882</v>
      </c>
      <c r="U1069" t="n">
        <v/>
      </c>
      <c r="V1069" t="n">
        <v>143.244818114</v>
      </c>
      <c r="W1069" t="n">
        <v>97.608134011</v>
      </c>
      <c r="X1069" t="n">
        <v>78.402405179</v>
      </c>
      <c r="Y1069" t="n">
        <v/>
      </c>
      <c r="Z1069" t="n">
        <v>67.509891439</v>
      </c>
      <c r="AA1069" t="n">
        <v>48.633131624</v>
      </c>
      <c r="AB1069" t="n">
        <v>87.587822014</v>
      </c>
      <c r="AC1069" t="n">
        <v>127.989334222</v>
      </c>
      <c r="AD1069" t="n">
        <v>118.361301763</v>
      </c>
      <c r="AE1069" t="n">
        <v>80.91500000000001</v>
      </c>
      <c r="AF1069" t="n">
        <v>115.309609134</v>
      </c>
      <c r="AG1069" t="n">
        <v>95.2</v>
      </c>
      <c r="AH1069" t="n">
        <v>103.274251614</v>
      </c>
      <c r="AI1069" t="n">
        <v>108.890925756</v>
      </c>
      <c r="AJ1069" t="n">
        <v>110.318076028</v>
      </c>
      <c r="AK1069" t="n">
        <v/>
      </c>
      <c r="AL1069" t="n">
        <v>101.558886966</v>
      </c>
      <c r="AM1069" t="n">
        <v>79.8</v>
      </c>
      <c r="AN1069" t="n">
        <v>119.207245506</v>
      </c>
      <c r="AO1069" t="n">
        <v>89</v>
      </c>
      <c r="AP1069" t="n">
        <v>75.012502084</v>
      </c>
      <c r="AQ1069" t="n">
        <v>104.108675723</v>
      </c>
      <c r="AR1069" t="n">
        <v>119.790017499</v>
      </c>
      <c r="AS1069" t="n">
        <v>71.794017165</v>
      </c>
      <c r="AT1069" t="n">
        <v>101.446440963</v>
      </c>
      <c r="AU1069" t="n">
        <v/>
      </c>
    </row>
    <row r="1070">
      <c r="A1070" s="106" t="n">
        <v>39448</v>
      </c>
      <c r="B1070" t="n">
        <v>98.639106024</v>
      </c>
      <c r="C1070" t="n">
        <v>102.591450712</v>
      </c>
      <c r="D1070" t="n">
        <v>110.762455271</v>
      </c>
      <c r="E1070" t="n">
        <v>95.380013858</v>
      </c>
      <c r="F1070" t="n">
        <v/>
      </c>
      <c r="G1070" t="n">
        <v/>
      </c>
      <c r="H1070" t="n">
        <v>95.823842568</v>
      </c>
      <c r="I1070" t="n">
        <v>98.639106024</v>
      </c>
      <c r="J1070" t="n">
        <v>97.1838027</v>
      </c>
      <c r="K1070" t="n">
        <v>101.108425702</v>
      </c>
      <c r="L1070" t="n">
        <v>117.4</v>
      </c>
      <c r="M1070" t="n">
        <v>109.49087576</v>
      </c>
      <c r="N1070" t="n">
        <v>133.787111489</v>
      </c>
      <c r="O1070" t="n">
        <v>84.507042254</v>
      </c>
      <c r="P1070" t="n">
        <v/>
      </c>
      <c r="Q1070" t="n">
        <v>128.210684224</v>
      </c>
      <c r="R1070" t="n">
        <v>113.2</v>
      </c>
      <c r="S1070" t="n">
        <v>106.132766917</v>
      </c>
      <c r="T1070" t="n">
        <v>105.588963566</v>
      </c>
      <c r="U1070" t="n">
        <v/>
      </c>
      <c r="V1070" t="n">
        <v>147.739948389</v>
      </c>
      <c r="W1070" t="n">
        <v>94.507875656</v>
      </c>
      <c r="X1070" t="n">
        <v>79.281043887</v>
      </c>
      <c r="Y1070" t="n">
        <v/>
      </c>
      <c r="Z1070" t="n">
        <v>63.409378667</v>
      </c>
      <c r="AA1070" t="n">
        <v>54.088783443</v>
      </c>
      <c r="AB1070" t="n">
        <v>89.836065574</v>
      </c>
      <c r="AC1070" t="n">
        <v>130.689109241</v>
      </c>
      <c r="AD1070" t="n">
        <v>119.165301756</v>
      </c>
      <c r="AE1070" t="n">
        <v>82.456</v>
      </c>
      <c r="AF1070" t="n">
        <v>115.2096008</v>
      </c>
      <c r="AG1070" t="n">
        <v>96.2</v>
      </c>
      <c r="AH1070" t="n">
        <v>103.202026182</v>
      </c>
      <c r="AI1070" t="n">
        <v>104.791267394</v>
      </c>
      <c r="AJ1070" t="n">
        <v>112.412723041</v>
      </c>
      <c r="AK1070" t="n">
        <v/>
      </c>
      <c r="AL1070" t="n">
        <v>102.13946121</v>
      </c>
      <c r="AM1070" t="n">
        <v>82.3</v>
      </c>
      <c r="AN1070" t="n">
        <v>123.175904734</v>
      </c>
      <c r="AO1070" t="n">
        <v>91.90000000000001</v>
      </c>
      <c r="AP1070" t="n">
        <v>90.915152525</v>
      </c>
      <c r="AQ1070" t="n">
        <v>107.608967414</v>
      </c>
      <c r="AR1070" t="n">
        <v>120.48995917</v>
      </c>
      <c r="AS1070" t="n">
        <v>70.794100492</v>
      </c>
      <c r="AT1070" t="n">
        <v>101.308809023</v>
      </c>
      <c r="AU1070" t="n">
        <v/>
      </c>
    </row>
    <row r="1071">
      <c r="A1071" s="106" t="n">
        <v>39479</v>
      </c>
      <c r="B1071" t="n">
        <v>99.90587538</v>
      </c>
      <c r="C1071" t="n">
        <v>101.491542371</v>
      </c>
      <c r="D1071" t="n">
        <v>110.322047894</v>
      </c>
      <c r="E1071" t="n">
        <v>95.532238776</v>
      </c>
      <c r="F1071" t="n">
        <v/>
      </c>
      <c r="G1071" t="n">
        <v/>
      </c>
      <c r="H1071" t="n">
        <v>95.321314845</v>
      </c>
      <c r="I1071" t="n">
        <v>99.90587538</v>
      </c>
      <c r="J1071" t="n">
        <v>98.383602733</v>
      </c>
      <c r="K1071" t="n">
        <v>100.8084007</v>
      </c>
      <c r="L1071" t="n">
        <v>114.2</v>
      </c>
      <c r="M1071" t="n">
        <v>109.290892426</v>
      </c>
      <c r="N1071" t="n">
        <v>133.675111396</v>
      </c>
      <c r="O1071" t="n">
        <v>84.60705058800001</v>
      </c>
      <c r="P1071" t="n">
        <v/>
      </c>
      <c r="Q1071" t="n">
        <v>125.110425869</v>
      </c>
      <c r="R1071" t="n">
        <v>114.23</v>
      </c>
      <c r="S1071" t="n">
        <v>105.997194621</v>
      </c>
      <c r="T1071" t="n">
        <v>106.119561372</v>
      </c>
      <c r="U1071" t="n">
        <v/>
      </c>
      <c r="V1071" t="n">
        <v>139.149254974</v>
      </c>
      <c r="W1071" t="n">
        <v>97.208100675</v>
      </c>
      <c r="X1071" t="n">
        <v>79.27101250299999</v>
      </c>
      <c r="Y1071" t="n">
        <v/>
      </c>
      <c r="Z1071" t="n">
        <v>63.647089552</v>
      </c>
      <c r="AA1071" t="n">
        <v>58.731502779</v>
      </c>
      <c r="AB1071" t="n">
        <v>89.74238875899999</v>
      </c>
      <c r="AC1071" t="n">
        <v>129.689192567</v>
      </c>
      <c r="AD1071" t="n">
        <v>119.473222433</v>
      </c>
      <c r="AE1071" t="n">
        <v>82.30800000000001</v>
      </c>
      <c r="AF1071" t="n">
        <v>117.109759147</v>
      </c>
      <c r="AG1071" t="n">
        <v>97.2</v>
      </c>
      <c r="AH1071" t="n">
        <v>103.735892698</v>
      </c>
      <c r="AI1071" t="n">
        <v>106.591117407</v>
      </c>
      <c r="AJ1071" t="n">
        <v>110.550814585</v>
      </c>
      <c r="AK1071" t="n">
        <v/>
      </c>
      <c r="AL1071" t="n">
        <v>102.097914436</v>
      </c>
      <c r="AM1071" t="n">
        <v>81.90000000000001</v>
      </c>
      <c r="AN1071" t="n">
        <v>123.087053075</v>
      </c>
      <c r="AO1071" t="n">
        <v>89.90000000000001</v>
      </c>
      <c r="AP1071" t="n">
        <v>91.515252542</v>
      </c>
      <c r="AQ1071" t="n">
        <v>109.109092424</v>
      </c>
      <c r="AR1071" t="n">
        <v>120.289975835</v>
      </c>
      <c r="AS1071" t="n">
        <v>72.193983835</v>
      </c>
      <c r="AT1071" t="n">
        <v>100.910886128</v>
      </c>
      <c r="AU1071" t="n">
        <v/>
      </c>
    </row>
    <row r="1072">
      <c r="A1072" s="106" t="n">
        <v>39508</v>
      </c>
      <c r="B1072" t="n">
        <v>99.990326723</v>
      </c>
      <c r="C1072" t="n">
        <v>101.391550704</v>
      </c>
      <c r="D1072" t="n">
        <v>110.652353427</v>
      </c>
      <c r="E1072" t="n">
        <v>94.66757983799999</v>
      </c>
      <c r="F1072" t="n">
        <v/>
      </c>
      <c r="G1072" t="n">
        <v/>
      </c>
      <c r="H1072" t="n">
        <v>97.438834633</v>
      </c>
      <c r="I1072" t="n">
        <v>99.990326723</v>
      </c>
      <c r="J1072" t="n">
        <v>94.684219297</v>
      </c>
      <c r="K1072" t="n">
        <v>100.108342362</v>
      </c>
      <c r="L1072" t="n">
        <v>116.2</v>
      </c>
      <c r="M1072" t="n">
        <v>108.790934089</v>
      </c>
      <c r="N1072" t="n">
        <v>131.236109363</v>
      </c>
      <c r="O1072" t="n">
        <v>82.90690890899999</v>
      </c>
      <c r="P1072" t="n">
        <v/>
      </c>
      <c r="Q1072" t="n">
        <v>123.41028419</v>
      </c>
      <c r="R1072" t="n">
        <v>112.96</v>
      </c>
      <c r="S1072" t="n">
        <v>105.341588905</v>
      </c>
      <c r="T1072" t="n">
        <v>104.421648391</v>
      </c>
      <c r="U1072" t="n">
        <v/>
      </c>
      <c r="V1072" t="n">
        <v>136.75185216</v>
      </c>
      <c r="W1072" t="n">
        <v>94.207850654</v>
      </c>
      <c r="X1072" t="n">
        <v>80.15997298800001</v>
      </c>
      <c r="Y1072" t="n">
        <v/>
      </c>
      <c r="Z1072" t="n">
        <v>63.231095503</v>
      </c>
      <c r="AA1072" t="n">
        <v>63.432100953</v>
      </c>
      <c r="AB1072" t="n">
        <v>93.208430913</v>
      </c>
      <c r="AC1072" t="n">
        <v>130.389134239</v>
      </c>
      <c r="AD1072" t="n">
        <v>118.241539727</v>
      </c>
      <c r="AE1072" t="n">
        <v>83.099</v>
      </c>
      <c r="AF1072" t="n">
        <v>117.209767481</v>
      </c>
      <c r="AG1072" t="n">
        <v>95.5</v>
      </c>
      <c r="AH1072" t="n">
        <v>103.005609124</v>
      </c>
      <c r="AI1072" t="n">
        <v>107.391050746</v>
      </c>
      <c r="AJ1072" t="n">
        <v>112.645461598</v>
      </c>
      <c r="AK1072" t="n">
        <v/>
      </c>
      <c r="AL1072" t="n">
        <v>101.510354252</v>
      </c>
      <c r="AM1072" t="n">
        <v>79.59999999999999</v>
      </c>
      <c r="AN1072" t="n">
        <v>114.648286898</v>
      </c>
      <c r="AO1072" t="n">
        <v>89.90000000000001</v>
      </c>
      <c r="AP1072" t="n">
        <v>88.11468578100001</v>
      </c>
      <c r="AQ1072" t="n">
        <v>108.00900075</v>
      </c>
      <c r="AR1072" t="n">
        <v>118.99008416</v>
      </c>
      <c r="AS1072" t="n">
        <v>72.193983835</v>
      </c>
      <c r="AT1072" t="n">
        <v>100.545288891</v>
      </c>
      <c r="AU1072" t="n">
        <v/>
      </c>
    </row>
    <row r="1073">
      <c r="A1073" s="106" t="n">
        <v>39539</v>
      </c>
      <c r="B1073" t="n">
        <v>99.314716374</v>
      </c>
      <c r="C1073" t="n">
        <v>102.591450712</v>
      </c>
      <c r="D1073" t="n">
        <v>110.542251583</v>
      </c>
      <c r="E1073" t="n">
        <v>95.672157287</v>
      </c>
      <c r="F1073" t="n">
        <v/>
      </c>
      <c r="G1073" t="n">
        <v/>
      </c>
      <c r="H1073" t="n">
        <v>95.273678758</v>
      </c>
      <c r="I1073" t="n">
        <v>99.314716374</v>
      </c>
      <c r="J1073" t="n">
        <v>96.683886019</v>
      </c>
      <c r="K1073" t="n">
        <v>100.30835903</v>
      </c>
      <c r="L1073" t="n">
        <v>115</v>
      </c>
      <c r="M1073" t="n">
        <v>110.090825765</v>
      </c>
      <c r="N1073" t="n">
        <v>132.046110038</v>
      </c>
      <c r="O1073" t="n">
        <v>86.007167264</v>
      </c>
      <c r="P1073" t="n">
        <v/>
      </c>
      <c r="Q1073" t="n">
        <v>127.510625885</v>
      </c>
      <c r="R1073" t="n">
        <v>115.3</v>
      </c>
      <c r="S1073" t="n">
        <v>105.390774527</v>
      </c>
      <c r="T1073" t="n">
        <v>106.862398302</v>
      </c>
      <c r="U1073" t="n">
        <v/>
      </c>
      <c r="V1073" t="n">
        <v>144.343627737</v>
      </c>
      <c r="W1073" t="n">
        <v>95.307942329</v>
      </c>
      <c r="X1073" t="n">
        <v>79.951998459</v>
      </c>
      <c r="Y1073" t="n">
        <v/>
      </c>
      <c r="Z1073" t="n">
        <v>60.85398665</v>
      </c>
      <c r="AA1073" t="n">
        <v>66.300900986</v>
      </c>
      <c r="AB1073" t="n">
        <v>92.740046838</v>
      </c>
      <c r="AC1073" t="n">
        <v>131.689025915</v>
      </c>
      <c r="AD1073" t="n">
        <v>117.7283386</v>
      </c>
      <c r="AE1073" t="n">
        <v>83.661</v>
      </c>
      <c r="AF1073" t="n">
        <v>120.110009167</v>
      </c>
      <c r="AG1073" t="n">
        <v>94</v>
      </c>
      <c r="AH1073" t="n">
        <v>102.361845065</v>
      </c>
      <c r="AI1073" t="n">
        <v>113.190567453</v>
      </c>
      <c r="AJ1073" t="n">
        <v>114.274631497</v>
      </c>
      <c r="AK1073" t="n">
        <v/>
      </c>
      <c r="AL1073" t="n">
        <v>101.721993874</v>
      </c>
      <c r="AM1073" t="n">
        <v>81.59999999999999</v>
      </c>
      <c r="AN1073" t="n">
        <v>121.382246081</v>
      </c>
      <c r="AO1073" t="n">
        <v>90.2</v>
      </c>
      <c r="AP1073" t="n">
        <v>87.61460243400001</v>
      </c>
      <c r="AQ1073" t="n">
        <v>108.50904242</v>
      </c>
      <c r="AR1073" t="n">
        <v>118.490125823</v>
      </c>
      <c r="AS1073" t="n">
        <v>71.294058828</v>
      </c>
      <c r="AT1073" t="n">
        <v>99.876167612</v>
      </c>
      <c r="AU1073" t="n">
        <v/>
      </c>
    </row>
    <row r="1074">
      <c r="A1074" s="106" t="n">
        <v>39569</v>
      </c>
      <c r="B1074" t="n">
        <v>99.230265121</v>
      </c>
      <c r="C1074" t="n">
        <v>100.191650696</v>
      </c>
      <c r="D1074" t="n">
        <v>111.312964492</v>
      </c>
      <c r="E1074" t="n">
        <v>95.395798164</v>
      </c>
      <c r="F1074" t="n">
        <v/>
      </c>
      <c r="G1074" t="n">
        <v/>
      </c>
      <c r="H1074" t="n">
        <v>94.345550305</v>
      </c>
      <c r="I1074" t="n">
        <v>99.230265121</v>
      </c>
      <c r="J1074" t="n">
        <v>95.484085986</v>
      </c>
      <c r="K1074" t="n">
        <v>98.308192349</v>
      </c>
      <c r="L1074" t="n">
        <v>114.6</v>
      </c>
      <c r="M1074" t="n">
        <v>106.891092409</v>
      </c>
      <c r="N1074" t="n">
        <v>128.663107219</v>
      </c>
      <c r="O1074" t="n">
        <v>83.50695891300001</v>
      </c>
      <c r="P1074" t="n">
        <v/>
      </c>
      <c r="Q1074" t="n">
        <v>126.710559213</v>
      </c>
      <c r="R1074" t="n">
        <v>109.91</v>
      </c>
      <c r="S1074" t="n">
        <v>104.333062619</v>
      </c>
      <c r="T1074" t="n">
        <v>105.90732225</v>
      </c>
      <c r="U1074" t="n">
        <v/>
      </c>
      <c r="V1074" t="n">
        <v>136.651960376</v>
      </c>
      <c r="W1074" t="n">
        <v>93.407783982</v>
      </c>
      <c r="X1074" t="n">
        <v>80.186292333</v>
      </c>
      <c r="Y1074" t="n">
        <v/>
      </c>
      <c r="Z1074" t="n">
        <v>64.479077651</v>
      </c>
      <c r="AA1074" t="n">
        <v>66.36685660000001</v>
      </c>
      <c r="AB1074" t="n">
        <v>88.99297423900001</v>
      </c>
      <c r="AC1074" t="n">
        <v>127.089409216</v>
      </c>
      <c r="AD1074" t="n">
        <v>118.344179953</v>
      </c>
      <c r="AE1074" t="n">
        <v>82.884</v>
      </c>
      <c r="AF1074" t="n">
        <v>114.20951746</v>
      </c>
      <c r="AG1074" t="n">
        <v>93</v>
      </c>
      <c r="AH1074" t="n">
        <v>102.634220454</v>
      </c>
      <c r="AI1074" t="n">
        <v>103.791350721</v>
      </c>
      <c r="AJ1074" t="n">
        <v>114.972847168</v>
      </c>
      <c r="AK1074" t="n">
        <v/>
      </c>
      <c r="AL1074" t="n">
        <v>100.5707221</v>
      </c>
      <c r="AM1074" t="n">
        <v>78.2</v>
      </c>
      <c r="AN1074" t="n">
        <v>114.631952634</v>
      </c>
      <c r="AO1074" t="n">
        <v>91.3</v>
      </c>
      <c r="AP1074" t="n">
        <v>88.01466911200001</v>
      </c>
      <c r="AQ1074" t="n">
        <v>107.408950746</v>
      </c>
      <c r="AR1074" t="n">
        <v>117.590200817</v>
      </c>
      <c r="AS1074" t="n">
        <v>71.09407549399999</v>
      </c>
      <c r="AT1074" t="n">
        <v>99.29718137099999</v>
      </c>
      <c r="AU1074" t="n">
        <v/>
      </c>
    </row>
    <row r="1075">
      <c r="A1075" s="106" t="n">
        <v>39600</v>
      </c>
      <c r="B1075" t="n">
        <v>97.203434164</v>
      </c>
      <c r="C1075" t="n">
        <v>100.191650696</v>
      </c>
      <c r="D1075" t="n">
        <v>113.294797688</v>
      </c>
      <c r="E1075" t="n">
        <v>96.07987394</v>
      </c>
      <c r="F1075" t="n">
        <v/>
      </c>
      <c r="G1075" t="n">
        <v/>
      </c>
      <c r="H1075" t="n">
        <v>95.345550841</v>
      </c>
      <c r="I1075" t="n">
        <v>97.203434164</v>
      </c>
      <c r="J1075" t="n">
        <v>94.484252625</v>
      </c>
      <c r="K1075" t="n">
        <v>99.408284024</v>
      </c>
      <c r="L1075" t="n">
        <v>113.1</v>
      </c>
      <c r="M1075" t="n">
        <v>106.991084076</v>
      </c>
      <c r="N1075" t="n">
        <v>124.60810384</v>
      </c>
      <c r="O1075" t="n">
        <v>84.90707559000001</v>
      </c>
      <c r="P1075" t="n">
        <v/>
      </c>
      <c r="Q1075" t="n">
        <v>123.310275856</v>
      </c>
      <c r="R1075" t="n">
        <v>109.59</v>
      </c>
      <c r="S1075" t="n">
        <v>103.961403924</v>
      </c>
      <c r="T1075" t="n">
        <v>105.801202688</v>
      </c>
      <c r="U1075" t="n">
        <v/>
      </c>
      <c r="V1075" t="n">
        <v>143.844168817</v>
      </c>
      <c r="W1075" t="n">
        <v>91.807650638</v>
      </c>
      <c r="X1075" t="n">
        <v>81.27293071699999</v>
      </c>
      <c r="Y1075" t="n">
        <v/>
      </c>
      <c r="Z1075" t="n">
        <v>62.101968798</v>
      </c>
      <c r="AA1075" t="n">
        <v>66.75435498100001</v>
      </c>
      <c r="AB1075" t="n">
        <v>92.646370023</v>
      </c>
      <c r="AC1075" t="n">
        <v>128.489292559</v>
      </c>
      <c r="AD1075" t="n">
        <v>115.162332963</v>
      </c>
      <c r="AE1075" t="n">
        <v>82.354</v>
      </c>
      <c r="AF1075" t="n">
        <v>111.709309109</v>
      </c>
      <c r="AG1075" t="n">
        <v>91.40000000000001</v>
      </c>
      <c r="AH1075" t="n">
        <v>103.017618225</v>
      </c>
      <c r="AI1075" t="n">
        <v>105.291225731</v>
      </c>
      <c r="AJ1075" t="n">
        <v>114.507370054</v>
      </c>
      <c r="AK1075" t="n">
        <v/>
      </c>
      <c r="AL1075" t="n">
        <v>100.226084029</v>
      </c>
      <c r="AM1075" t="n">
        <v>78.8</v>
      </c>
      <c r="AN1075" t="n">
        <v>115.266803343</v>
      </c>
      <c r="AO1075" t="n">
        <v>89.59999999999999</v>
      </c>
      <c r="AP1075" t="n">
        <v>85.914319053</v>
      </c>
      <c r="AQ1075" t="n">
        <v>111.709309109</v>
      </c>
      <c r="AR1075" t="n">
        <v>116.190317474</v>
      </c>
      <c r="AS1075" t="n">
        <v>71.39405049600001</v>
      </c>
      <c r="AT1075" t="n">
        <v>99.073281572</v>
      </c>
      <c r="AU1075" t="n">
        <v/>
      </c>
    </row>
    <row r="1076">
      <c r="A1076" s="106" t="n">
        <v>39630</v>
      </c>
      <c r="B1076" t="n">
        <v>96.190018635</v>
      </c>
      <c r="C1076" t="n">
        <v>103.191400717</v>
      </c>
      <c r="D1076" t="n">
        <v>113.62510322</v>
      </c>
      <c r="E1076" t="n">
        <v>97.60185559200001</v>
      </c>
      <c r="F1076" t="n">
        <v/>
      </c>
      <c r="G1076" t="n">
        <v/>
      </c>
      <c r="H1076" t="n">
        <v>95.495510395</v>
      </c>
      <c r="I1076" t="n">
        <v>96.190018635</v>
      </c>
      <c r="J1076" t="n">
        <v>91.78470255000001</v>
      </c>
      <c r="K1076" t="n">
        <v>97.708142345</v>
      </c>
      <c r="L1076" t="n">
        <v>112.8</v>
      </c>
      <c r="M1076" t="n">
        <v>106.09115907</v>
      </c>
      <c r="N1076" t="n">
        <v>126.478105398</v>
      </c>
      <c r="O1076" t="n">
        <v>84.807067256</v>
      </c>
      <c r="P1076" t="n">
        <v/>
      </c>
      <c r="Q1076" t="n">
        <v>126.510542545</v>
      </c>
      <c r="R1076" t="n">
        <v>110.42</v>
      </c>
      <c r="S1076" t="n">
        <v>103.451126529</v>
      </c>
      <c r="T1076" t="n">
        <v>106.119561372</v>
      </c>
      <c r="U1076" t="n">
        <v/>
      </c>
      <c r="V1076" t="n">
        <v>140.248064597</v>
      </c>
      <c r="W1076" t="n">
        <v>91.30760896699999</v>
      </c>
      <c r="X1076" t="n">
        <v>79.20730382399999</v>
      </c>
      <c r="Y1076" t="n">
        <v/>
      </c>
      <c r="Z1076" t="n">
        <v>61.388836142</v>
      </c>
      <c r="AA1076" t="n">
        <v>68.657053104</v>
      </c>
      <c r="AB1076" t="n">
        <v>92.084309133</v>
      </c>
      <c r="AC1076" t="n">
        <v>124.389634197</v>
      </c>
      <c r="AD1076" t="n">
        <v>115.162332963</v>
      </c>
      <c r="AE1076" t="n">
        <v>81.607</v>
      </c>
      <c r="AF1076" t="n">
        <v>117.009750813</v>
      </c>
      <c r="AG1076" t="n">
        <v>90.3</v>
      </c>
      <c r="AH1076" t="n">
        <v>102.394615734</v>
      </c>
      <c r="AI1076" t="n">
        <v>105.291225731</v>
      </c>
      <c r="AJ1076" t="n">
        <v>115.554693561</v>
      </c>
      <c r="AK1076" t="n">
        <v/>
      </c>
      <c r="AL1076" t="n">
        <v>99.742827937</v>
      </c>
      <c r="AM1076" t="n">
        <v>78.5</v>
      </c>
      <c r="AN1076" t="n">
        <v>114.754942709</v>
      </c>
      <c r="AO1076" t="n">
        <v>89</v>
      </c>
      <c r="AP1076" t="n">
        <v>85.614269045</v>
      </c>
      <c r="AQ1076" t="n">
        <v>105.208767397</v>
      </c>
      <c r="AR1076" t="n">
        <v>115.690359137</v>
      </c>
      <c r="AS1076" t="n">
        <v>69.89417548500001</v>
      </c>
      <c r="AT1076" t="n">
        <v>98.657014362</v>
      </c>
      <c r="AU1076" t="n">
        <v/>
      </c>
    </row>
    <row r="1077">
      <c r="A1077" s="106" t="n">
        <v>39661</v>
      </c>
      <c r="B1077" t="n">
        <v>98.639106024</v>
      </c>
      <c r="C1077" t="n">
        <v>100.591617365</v>
      </c>
      <c r="D1077" t="n">
        <v>112.193779246</v>
      </c>
      <c r="E1077" t="n">
        <v>96.46137259299999</v>
      </c>
      <c r="F1077" t="n">
        <v/>
      </c>
      <c r="G1077" t="n">
        <v/>
      </c>
      <c r="H1077" t="n">
        <v>93.368484477</v>
      </c>
      <c r="I1077" t="n">
        <v>98.639106024</v>
      </c>
      <c r="J1077" t="n">
        <v>89.785035827</v>
      </c>
      <c r="K1077" t="n">
        <v>99.70830902599999</v>
      </c>
      <c r="L1077" t="n">
        <v>112.5</v>
      </c>
      <c r="M1077" t="n">
        <v>105.591200733</v>
      </c>
      <c r="N1077" t="n">
        <v>123.141102618</v>
      </c>
      <c r="O1077" t="n">
        <v>82.90690890899999</v>
      </c>
      <c r="P1077" t="n">
        <v/>
      </c>
      <c r="Q1077" t="n">
        <v>122.110175848</v>
      </c>
      <c r="R1077" t="n">
        <v>108.94</v>
      </c>
      <c r="S1077" t="n">
        <v>102.025686279</v>
      </c>
      <c r="T1077" t="n">
        <v>106.437920057</v>
      </c>
      <c r="U1077" t="n">
        <v/>
      </c>
      <c r="V1077" t="n">
        <v>136.352285025</v>
      </c>
      <c r="W1077" t="n">
        <v>92.007667306</v>
      </c>
      <c r="X1077" t="n">
        <v>80.130964918</v>
      </c>
      <c r="Y1077" t="n">
        <v/>
      </c>
      <c r="Z1077" t="n">
        <v>65.429921193</v>
      </c>
      <c r="AA1077" t="n">
        <v>71.78942137600001</v>
      </c>
      <c r="AB1077" t="n">
        <v>92.927400468</v>
      </c>
      <c r="AC1077" t="n">
        <v>121.189900842</v>
      </c>
      <c r="AD1077" t="n">
        <v>110.95408372</v>
      </c>
      <c r="AE1077" t="n">
        <v>82.06699999999999</v>
      </c>
      <c r="AF1077" t="n">
        <v>115.609634136</v>
      </c>
      <c r="AG1077" t="n">
        <v>87.3</v>
      </c>
      <c r="AH1077" t="n">
        <v>102.198611686</v>
      </c>
      <c r="AI1077" t="n">
        <v>103.791350721</v>
      </c>
      <c r="AJ1077" t="n">
        <v>107.757951901</v>
      </c>
      <c r="AK1077" t="n">
        <v/>
      </c>
      <c r="AL1077" t="n">
        <v>98.49499902399999</v>
      </c>
      <c r="AM1077" t="n">
        <v>77.2</v>
      </c>
      <c r="AN1077" t="n">
        <v>111.967863034</v>
      </c>
      <c r="AO1077" t="n">
        <v>89.5</v>
      </c>
      <c r="AP1077" t="n">
        <v>82.51375229200001</v>
      </c>
      <c r="AQ1077" t="n">
        <v>108.409034086</v>
      </c>
      <c r="AR1077" t="n">
        <v>116.490292476</v>
      </c>
      <c r="AS1077" t="n">
        <v>68.994250479</v>
      </c>
      <c r="AT1077" t="n">
        <v>97.11252220900001</v>
      </c>
      <c r="AU1077" t="n">
        <v/>
      </c>
    </row>
    <row r="1078">
      <c r="A1078" s="106" t="n">
        <v>39692</v>
      </c>
      <c r="B1078" t="n">
        <v>98.13239835</v>
      </c>
      <c r="C1078" t="n">
        <v>100.7916007</v>
      </c>
      <c r="D1078" t="n">
        <v>113.845306909</v>
      </c>
      <c r="E1078" t="n">
        <v>95.505753246</v>
      </c>
      <c r="F1078" t="n">
        <v/>
      </c>
      <c r="G1078" t="n">
        <v/>
      </c>
      <c r="H1078" t="n">
        <v>94.39068867899999</v>
      </c>
      <c r="I1078" t="n">
        <v>98.13239835</v>
      </c>
      <c r="J1078" t="n">
        <v>90.48491918000001</v>
      </c>
      <c r="K1078" t="n">
        <v>97.408117343</v>
      </c>
      <c r="L1078" t="n">
        <v>111.1</v>
      </c>
      <c r="M1078" t="n">
        <v>104.791267394</v>
      </c>
      <c r="N1078" t="n">
        <v>122.526102105</v>
      </c>
      <c r="O1078" t="n">
        <v>83.906992249</v>
      </c>
      <c r="P1078" t="n">
        <v/>
      </c>
      <c r="Q1078" t="n">
        <v>125.310442537</v>
      </c>
      <c r="R1078" t="n">
        <v>108.44</v>
      </c>
      <c r="S1078" t="n">
        <v>99.858040862</v>
      </c>
      <c r="T1078" t="n">
        <v>106.119561372</v>
      </c>
      <c r="U1078" t="n">
        <v/>
      </c>
      <c r="V1078" t="n">
        <v>136.552068592</v>
      </c>
      <c r="W1078" t="n">
        <v>89.107425619</v>
      </c>
      <c r="X1078" t="n">
        <v>82.15518143600001</v>
      </c>
      <c r="Y1078" t="n">
        <v/>
      </c>
      <c r="Z1078" t="n">
        <v>63.52823411</v>
      </c>
      <c r="AA1078" t="n">
        <v>74.64579602800001</v>
      </c>
      <c r="AB1078" t="n">
        <v>87.11943793899999</v>
      </c>
      <c r="AC1078" t="n">
        <v>120.389967503</v>
      </c>
      <c r="AD1078" t="n">
        <v>112.391046876</v>
      </c>
      <c r="AE1078" t="n">
        <v>80.334</v>
      </c>
      <c r="AF1078" t="n">
        <v>115.70964247</v>
      </c>
      <c r="AG1078" t="n">
        <v>88.8</v>
      </c>
      <c r="AH1078" t="n">
        <v>100.751352356</v>
      </c>
      <c r="AI1078" t="n">
        <v>106.691109074</v>
      </c>
      <c r="AJ1078" t="n">
        <v>111.249030256</v>
      </c>
      <c r="AK1078" t="n">
        <v/>
      </c>
      <c r="AL1078" t="n">
        <v>96.873193485</v>
      </c>
      <c r="AM1078" t="n">
        <v>77.8</v>
      </c>
      <c r="AN1078" t="n">
        <v>111.845522054</v>
      </c>
      <c r="AO1078" t="n">
        <v>88.09999999999999</v>
      </c>
      <c r="AP1078" t="n">
        <v>81.713618936</v>
      </c>
      <c r="AQ1078" t="n">
        <v>107.50895908</v>
      </c>
      <c r="AR1078" t="n">
        <v>112.890592451</v>
      </c>
      <c r="AS1078" t="n">
        <v>68.794267144</v>
      </c>
      <c r="AT1078" t="n">
        <v>92.87032503</v>
      </c>
      <c r="AU1078" t="n">
        <v/>
      </c>
    </row>
    <row r="1079">
      <c r="A1079" s="106" t="n">
        <v>39722</v>
      </c>
      <c r="B1079" t="n">
        <v>94.332090272</v>
      </c>
      <c r="C1079" t="n">
        <v>98.791767353</v>
      </c>
      <c r="D1079" t="n">
        <v>110.21194605</v>
      </c>
      <c r="E1079" t="n">
        <v>95.127732491</v>
      </c>
      <c r="F1079" t="n">
        <v/>
      </c>
      <c r="G1079" t="n">
        <v/>
      </c>
      <c r="H1079" t="n">
        <v>92.53420446299999</v>
      </c>
      <c r="I1079" t="n">
        <v>94.332090272</v>
      </c>
      <c r="J1079" t="n">
        <v>88.085319113</v>
      </c>
      <c r="K1079" t="n">
        <v>95.307942329</v>
      </c>
      <c r="L1079" t="n">
        <v>110.3</v>
      </c>
      <c r="M1079" t="n">
        <v>102.29147571</v>
      </c>
      <c r="N1079" t="n">
        <v>115.219096016</v>
      </c>
      <c r="O1079" t="n">
        <v>75.40628385700001</v>
      </c>
      <c r="P1079" t="n">
        <v/>
      </c>
      <c r="Q1079" t="n">
        <v>123.91032586</v>
      </c>
      <c r="R1079" t="n">
        <v>106.47</v>
      </c>
      <c r="S1079" t="n">
        <v>99.225970889</v>
      </c>
      <c r="T1079" t="n">
        <v>104.952246197</v>
      </c>
      <c r="U1079" t="n">
        <v/>
      </c>
      <c r="V1079" t="n">
        <v>135.053691834</v>
      </c>
      <c r="W1079" t="n">
        <v>87.40728394</v>
      </c>
      <c r="X1079" t="n">
        <v>79.676747902</v>
      </c>
      <c r="Y1079" t="n">
        <v/>
      </c>
      <c r="Z1079" t="n">
        <v>61.269980699</v>
      </c>
      <c r="AA1079" t="n">
        <v>77.90244323899999</v>
      </c>
      <c r="AB1079" t="n">
        <v>89.74238875899999</v>
      </c>
      <c r="AC1079" t="n">
        <v>117.890175819</v>
      </c>
      <c r="AD1079" t="n">
        <v>109.927681465</v>
      </c>
      <c r="AE1079" t="n">
        <v>80.22499999999999</v>
      </c>
      <c r="AF1079" t="n">
        <v>102.608550713</v>
      </c>
      <c r="AG1079" t="n">
        <v>87.2</v>
      </c>
      <c r="AH1079" t="n">
        <v>100.769488245</v>
      </c>
      <c r="AI1079" t="n">
        <v>106.891092409</v>
      </c>
      <c r="AJ1079" t="n">
        <v>114.04189294</v>
      </c>
      <c r="AK1079" t="n">
        <v/>
      </c>
      <c r="AL1079" t="n">
        <v>95.919956551</v>
      </c>
      <c r="AM1079" t="n">
        <v>76.7</v>
      </c>
      <c r="AN1079" t="n">
        <v>111.400229465</v>
      </c>
      <c r="AO1079" t="n">
        <v>85.5</v>
      </c>
      <c r="AP1079" t="n">
        <v>79.013168861</v>
      </c>
      <c r="AQ1079" t="n">
        <v>107.308942412</v>
      </c>
      <c r="AR1079" t="n">
        <v>110.090825765</v>
      </c>
      <c r="AS1079" t="n">
        <v>65.394550454</v>
      </c>
      <c r="AT1079" t="n">
        <v>93.78853235699999</v>
      </c>
      <c r="AU1079" t="n">
        <v/>
      </c>
    </row>
    <row r="1080">
      <c r="A1080" s="106" t="n">
        <v>39753</v>
      </c>
      <c r="B1080" t="n">
        <v>91.71410033799999</v>
      </c>
      <c r="C1080" t="n">
        <v>93.89217565200001</v>
      </c>
      <c r="D1080" t="n">
        <v>103.93614093</v>
      </c>
      <c r="E1080" t="n">
        <v>93.352666879</v>
      </c>
      <c r="F1080" t="n">
        <v/>
      </c>
      <c r="G1080" t="n">
        <v/>
      </c>
      <c r="H1080" t="n">
        <v>90.773451786</v>
      </c>
      <c r="I1080" t="n">
        <v>91.71410033799999</v>
      </c>
      <c r="J1080" t="n">
        <v>84.985835694</v>
      </c>
      <c r="K1080" t="n">
        <v>91.107592299</v>
      </c>
      <c r="L1080" t="n">
        <v>108</v>
      </c>
      <c r="M1080" t="n">
        <v>98.491792351</v>
      </c>
      <c r="N1080" t="n">
        <v>112.451093709</v>
      </c>
      <c r="O1080" t="n">
        <v>71.805983832</v>
      </c>
      <c r="P1080" t="n">
        <v/>
      </c>
      <c r="Q1080" t="n">
        <v>119.409950829</v>
      </c>
      <c r="R1080" t="n">
        <v>101.13</v>
      </c>
      <c r="S1080" t="n">
        <v>96.075015247</v>
      </c>
      <c r="T1080" t="n">
        <v>101.662539795</v>
      </c>
      <c r="U1080" t="n">
        <v/>
      </c>
      <c r="V1080" t="n">
        <v>130.358777991</v>
      </c>
      <c r="W1080" t="n">
        <v>84.60705058800001</v>
      </c>
      <c r="X1080" t="n">
        <v>78.96045080499999</v>
      </c>
      <c r="Y1080" t="n">
        <v/>
      </c>
      <c r="Z1080" t="n">
        <v>67.569319161</v>
      </c>
      <c r="AA1080" t="n">
        <v>77.231407705</v>
      </c>
      <c r="AB1080" t="n">
        <v>88.618266979</v>
      </c>
      <c r="AC1080" t="n">
        <v>113.890509124</v>
      </c>
      <c r="AD1080" t="n">
        <v>102.845505909</v>
      </c>
      <c r="AE1080" t="n">
        <v>71.625</v>
      </c>
      <c r="AF1080" t="n">
        <v>95.40795066299999</v>
      </c>
      <c r="AG1080" t="n">
        <v>83.40000000000001</v>
      </c>
      <c r="AH1080" t="n">
        <v>99.332569562</v>
      </c>
      <c r="AI1080" t="n">
        <v>101.591534039</v>
      </c>
      <c r="AJ1080" t="n">
        <v>113.227307991</v>
      </c>
      <c r="AK1080" t="n">
        <v/>
      </c>
      <c r="AL1080" t="n">
        <v>92.683348955</v>
      </c>
      <c r="AM1080" t="n">
        <v>72.59999999999999</v>
      </c>
      <c r="AN1080" t="n">
        <v>108.411239373</v>
      </c>
      <c r="AO1080" t="n">
        <v>79.40000000000001</v>
      </c>
      <c r="AP1080" t="n">
        <v>77.012835473</v>
      </c>
      <c r="AQ1080" t="n">
        <v>94.407867322</v>
      </c>
      <c r="AR1080" t="n">
        <v>106.09115907</v>
      </c>
      <c r="AS1080" t="n">
        <v>62.89475877</v>
      </c>
      <c r="AT1080" t="n">
        <v>92.559959054</v>
      </c>
      <c r="AU1080" t="n">
        <v/>
      </c>
    </row>
    <row r="1081">
      <c r="A1081" s="106" t="n">
        <v>39783</v>
      </c>
      <c r="B1081" t="n">
        <v>92.980869654</v>
      </c>
      <c r="C1081" t="n">
        <v>93.192233981</v>
      </c>
      <c r="D1081" t="n">
        <v>92.26534544499999</v>
      </c>
      <c r="E1081" t="n">
        <v>90.390835471</v>
      </c>
      <c r="F1081" t="n">
        <v/>
      </c>
      <c r="G1081" t="n">
        <v/>
      </c>
      <c r="H1081" t="n">
        <v>90.293818425</v>
      </c>
      <c r="I1081" t="n">
        <v>92.980869654</v>
      </c>
      <c r="J1081" t="n">
        <v>82.68621896400001</v>
      </c>
      <c r="K1081" t="n">
        <v>87.707308942</v>
      </c>
      <c r="L1081" t="n">
        <v>108</v>
      </c>
      <c r="M1081" t="n">
        <v>94.892092326</v>
      </c>
      <c r="N1081" t="n">
        <v>106.591088826</v>
      </c>
      <c r="O1081" t="n">
        <v>67.605633803</v>
      </c>
      <c r="P1081" t="n">
        <v/>
      </c>
      <c r="Q1081" t="n">
        <v>104.108675723</v>
      </c>
      <c r="R1081" t="n">
        <v>99.72</v>
      </c>
      <c r="S1081" t="n">
        <v>92.49677463099999</v>
      </c>
      <c r="T1081" t="n">
        <v>101.662539795</v>
      </c>
      <c r="U1081" t="n">
        <v/>
      </c>
      <c r="V1081" t="n">
        <v>129.160076584</v>
      </c>
      <c r="W1081" t="n">
        <v>75.306275523</v>
      </c>
      <c r="X1081" t="n">
        <v>76.89180979299999</v>
      </c>
      <c r="Y1081" t="n">
        <v/>
      </c>
      <c r="Z1081" t="n">
        <v>60.378564879</v>
      </c>
      <c r="AA1081" t="n">
        <v>75.752588972</v>
      </c>
      <c r="AB1081" t="n">
        <v>89.367681499</v>
      </c>
      <c r="AC1081" t="n">
        <v>109.190900758</v>
      </c>
      <c r="AD1081" t="n">
        <v>94.531647646</v>
      </c>
      <c r="AE1081" t="n">
        <v>63.915</v>
      </c>
      <c r="AF1081" t="n">
        <v>86.20718393200001</v>
      </c>
      <c r="AG1081" t="n">
        <v>82.59999999999999</v>
      </c>
      <c r="AH1081" t="n">
        <v>98.20205826999999</v>
      </c>
      <c r="AI1081" t="n">
        <v>97.59186734399999</v>
      </c>
      <c r="AJ1081" t="n">
        <v>113.692785105</v>
      </c>
      <c r="AK1081" t="n">
        <v/>
      </c>
      <c r="AL1081" t="n">
        <v>89.196857662</v>
      </c>
      <c r="AM1081" t="n">
        <v>72.40000000000001</v>
      </c>
      <c r="AN1081" t="n">
        <v>104.77436118</v>
      </c>
      <c r="AO1081" t="n">
        <v>76.3</v>
      </c>
      <c r="AP1081" t="n">
        <v>74.312385398</v>
      </c>
      <c r="AQ1081" t="n">
        <v>85.307108926</v>
      </c>
      <c r="AR1081" t="n">
        <v>98.591784018</v>
      </c>
      <c r="AS1081" t="n">
        <v>61.094908758</v>
      </c>
      <c r="AT1081" t="n">
        <v>89.95486802800001</v>
      </c>
      <c r="AU1081" t="n">
        <v/>
      </c>
    </row>
    <row r="1082">
      <c r="A1082" s="106" t="n">
        <v>39814</v>
      </c>
      <c r="B1082" t="n">
        <v>90.531782275</v>
      </c>
      <c r="C1082" t="n">
        <v>88.092658945</v>
      </c>
      <c r="D1082" t="n">
        <v>94.24717864</v>
      </c>
      <c r="E1082" t="n">
        <v>88.645733288</v>
      </c>
      <c r="F1082" t="n">
        <v/>
      </c>
      <c r="G1082" t="n">
        <v/>
      </c>
      <c r="H1082" t="n">
        <v>87.621191283</v>
      </c>
      <c r="I1082" t="n">
        <v>90.531782275</v>
      </c>
      <c r="J1082" t="n">
        <v>78.286952175</v>
      </c>
      <c r="K1082" t="n">
        <v>80.70672556</v>
      </c>
      <c r="L1082" t="n">
        <v>104.7</v>
      </c>
      <c r="M1082" t="n">
        <v>90.992417299</v>
      </c>
      <c r="N1082" t="n">
        <v>105.617088014</v>
      </c>
      <c r="O1082" t="n">
        <v>66.005500458</v>
      </c>
      <c r="P1082" t="n">
        <v/>
      </c>
      <c r="Q1082" t="n">
        <v>99.80831736</v>
      </c>
      <c r="R1082" t="n">
        <v>96.06999999999999</v>
      </c>
      <c r="S1082" t="n">
        <v>88.47355985199999</v>
      </c>
      <c r="T1082" t="n">
        <v>98.266713831</v>
      </c>
      <c r="U1082" t="n">
        <v/>
      </c>
      <c r="V1082" t="n">
        <v>123.666028469</v>
      </c>
      <c r="W1082" t="n">
        <v>74.30619218299999</v>
      </c>
      <c r="X1082" t="n">
        <v>75.375234053</v>
      </c>
      <c r="Y1082" t="n">
        <v/>
      </c>
      <c r="Z1082" t="n">
        <v>62.815101454</v>
      </c>
      <c r="AA1082" t="n">
        <v>70.57420292499999</v>
      </c>
      <c r="AB1082" t="n">
        <v>86.08899297400001</v>
      </c>
      <c r="AC1082" t="n">
        <v>104.991250729</v>
      </c>
      <c r="AD1082" t="n">
        <v>86.936270963</v>
      </c>
      <c r="AE1082" t="n">
        <v>65.203</v>
      </c>
      <c r="AF1082" t="n">
        <v>90.107508959</v>
      </c>
      <c r="AG1082" t="n">
        <v>75.09999999999999</v>
      </c>
      <c r="AH1082" t="n">
        <v>95.415792326</v>
      </c>
      <c r="AI1082" t="n">
        <v>100.491625698</v>
      </c>
      <c r="AJ1082" t="n">
        <v>111.481768813</v>
      </c>
      <c r="AK1082" t="n">
        <v/>
      </c>
      <c r="AL1082" t="n">
        <v>85.96916704</v>
      </c>
      <c r="AM1082" t="n">
        <v>71.3</v>
      </c>
      <c r="AN1082" t="n">
        <v>100.77724409</v>
      </c>
      <c r="AO1082" t="n">
        <v>76.09999999999999</v>
      </c>
      <c r="AP1082" t="n">
        <v>69.61160193400001</v>
      </c>
      <c r="AQ1082" t="n">
        <v>91.107592299</v>
      </c>
      <c r="AR1082" t="n">
        <v>95.292058995</v>
      </c>
      <c r="AS1082" t="n">
        <v>56.995250396</v>
      </c>
      <c r="AT1082" t="n">
        <v>87.723802707</v>
      </c>
      <c r="AU1082" t="n">
        <v/>
      </c>
    </row>
    <row r="1083">
      <c r="A1083" s="106" t="n">
        <v>39845</v>
      </c>
      <c r="B1083" t="n">
        <v>88.167146178</v>
      </c>
      <c r="C1083" t="n">
        <v>87.592700608</v>
      </c>
      <c r="D1083" t="n">
        <v>96.449215524</v>
      </c>
      <c r="E1083" t="n">
        <v>87.56704986</v>
      </c>
      <c r="F1083" t="n">
        <v/>
      </c>
      <c r="G1083" t="n">
        <v/>
      </c>
      <c r="H1083" t="n">
        <v>86.734193557</v>
      </c>
      <c r="I1083" t="n">
        <v>88.167146178</v>
      </c>
      <c r="J1083" t="n">
        <v>78.58690218300001</v>
      </c>
      <c r="K1083" t="n">
        <v>78.20651721</v>
      </c>
      <c r="L1083" t="n">
        <v>101.8</v>
      </c>
      <c r="M1083" t="n">
        <v>88.992583951</v>
      </c>
      <c r="N1083" t="n">
        <v>105.315087763</v>
      </c>
      <c r="O1083" t="n">
        <v>65.505458788</v>
      </c>
      <c r="P1083" t="n">
        <v/>
      </c>
      <c r="Q1083" t="n">
        <v>104.108675723</v>
      </c>
      <c r="R1083" t="n">
        <v>94.72</v>
      </c>
      <c r="S1083" t="n">
        <v>86.177654457</v>
      </c>
      <c r="T1083" t="n">
        <v>98.797311638</v>
      </c>
      <c r="U1083" t="n">
        <v/>
      </c>
      <c r="V1083" t="n">
        <v>129.160076584</v>
      </c>
      <c r="W1083" t="n">
        <v>71.705975498</v>
      </c>
      <c r="X1083" t="n">
        <v>76.243254927</v>
      </c>
      <c r="Y1083" t="n">
        <v/>
      </c>
      <c r="Z1083" t="n">
        <v>61.983113355</v>
      </c>
      <c r="AA1083" t="n">
        <v>61.896357305</v>
      </c>
      <c r="AB1083" t="n">
        <v>85.80796252899999</v>
      </c>
      <c r="AC1083" t="n">
        <v>101.191567369</v>
      </c>
      <c r="AD1083" t="n">
        <v>79.64881495500001</v>
      </c>
      <c r="AE1083" t="n">
        <v>70.605</v>
      </c>
      <c r="AF1083" t="n">
        <v>87.207267272</v>
      </c>
      <c r="AG1083" t="n">
        <v>74.90000000000001</v>
      </c>
      <c r="AH1083" t="n">
        <v>95.869237465</v>
      </c>
      <c r="AI1083" t="n">
        <v>96.691942338</v>
      </c>
      <c r="AJ1083" t="n">
        <v>114.507370054</v>
      </c>
      <c r="AK1083" t="n">
        <v/>
      </c>
      <c r="AL1083" t="n">
        <v>84.847066103</v>
      </c>
      <c r="AM1083" t="n">
        <v>72.7</v>
      </c>
      <c r="AN1083" t="n">
        <v>100.710498246</v>
      </c>
      <c r="AO1083" t="n">
        <v>76.90000000000001</v>
      </c>
      <c r="AP1083" t="n">
        <v>72.412068678</v>
      </c>
      <c r="AQ1083" t="n">
        <v>87.00725060400001</v>
      </c>
      <c r="AR1083" t="n">
        <v>97.891842346</v>
      </c>
      <c r="AS1083" t="n">
        <v>58.195150404</v>
      </c>
      <c r="AT1083" t="n">
        <v>87.195982231</v>
      </c>
      <c r="AU1083" t="n">
        <v/>
      </c>
    </row>
    <row r="1084">
      <c r="A1084" s="106" t="n">
        <v>39873</v>
      </c>
      <c r="B1084" t="n">
        <v>89.349464231</v>
      </c>
      <c r="C1084" t="n">
        <v>85.79285059599999</v>
      </c>
      <c r="D1084" t="n">
        <v>96.889622901</v>
      </c>
      <c r="E1084" t="n">
        <v>85.791716717</v>
      </c>
      <c r="F1084" t="n">
        <v/>
      </c>
      <c r="G1084" t="n">
        <v/>
      </c>
      <c r="H1084" t="n">
        <v>86.24703308700001</v>
      </c>
      <c r="I1084" t="n">
        <v>89.349464231</v>
      </c>
      <c r="J1084" t="n">
        <v>79.986668889</v>
      </c>
      <c r="K1084" t="n">
        <v>78.506542212</v>
      </c>
      <c r="L1084" t="n">
        <v>98.3</v>
      </c>
      <c r="M1084" t="n">
        <v>87.792683943</v>
      </c>
      <c r="N1084" t="n">
        <v>102.56408547</v>
      </c>
      <c r="O1084" t="n">
        <v>61.405117093</v>
      </c>
      <c r="P1084" t="n">
        <v/>
      </c>
      <c r="Q1084" t="n">
        <v>102.208517376</v>
      </c>
      <c r="R1084" t="n">
        <v>92.98</v>
      </c>
      <c r="S1084" t="n">
        <v>85.298061086</v>
      </c>
      <c r="T1084" t="n">
        <v>98.372833392</v>
      </c>
      <c r="U1084" t="n">
        <v/>
      </c>
      <c r="V1084" t="n">
        <v>125.064513444</v>
      </c>
      <c r="W1084" t="n">
        <v>75.10625885499999</v>
      </c>
      <c r="X1084" t="n">
        <v>75.690122296</v>
      </c>
      <c r="Y1084" t="n">
        <v/>
      </c>
      <c r="Z1084" t="n">
        <v>63.52823411</v>
      </c>
      <c r="AA1084" t="n">
        <v>63.9711584</v>
      </c>
      <c r="AB1084" t="n">
        <v>81.40515222499999</v>
      </c>
      <c r="AC1084" t="n">
        <v>97.191900675</v>
      </c>
      <c r="AD1084" t="n">
        <v>80.367296533</v>
      </c>
      <c r="AE1084" t="n">
        <v>73.459</v>
      </c>
      <c r="AF1084" t="n">
        <v>82.40686723899999</v>
      </c>
      <c r="AG1084" t="n">
        <v>72.3</v>
      </c>
      <c r="AH1084" t="n">
        <v>94.95345737300001</v>
      </c>
      <c r="AI1084" t="n">
        <v>94.792100658</v>
      </c>
      <c r="AJ1084" t="n">
        <v>110.89992242</v>
      </c>
      <c r="AK1084" t="n">
        <v/>
      </c>
      <c r="AL1084" t="n">
        <v>84.19714245500001</v>
      </c>
      <c r="AM1084" t="n">
        <v>74.5</v>
      </c>
      <c r="AN1084" t="n">
        <v>101.318766577</v>
      </c>
      <c r="AO1084" t="n">
        <v>76.7</v>
      </c>
      <c r="AP1084" t="n">
        <v>71.611935323</v>
      </c>
      <c r="AQ1084" t="n">
        <v>86.007167264</v>
      </c>
      <c r="AR1084" t="n">
        <v>93.79218398499999</v>
      </c>
      <c r="AS1084" t="n">
        <v>57.5952004</v>
      </c>
      <c r="AT1084" t="n">
        <v>85.821943469</v>
      </c>
      <c r="AU1084" t="n">
        <v/>
      </c>
    </row>
    <row r="1085">
      <c r="A1085" s="106" t="n">
        <v>39904</v>
      </c>
      <c r="B1085" t="n">
        <v>87.15373069899999</v>
      </c>
      <c r="C1085" t="n">
        <v>85.69285892800001</v>
      </c>
      <c r="D1085" t="n">
        <v>97.99064134299999</v>
      </c>
      <c r="E1085" t="n">
        <v>84.17716947300001</v>
      </c>
      <c r="F1085" t="n">
        <v/>
      </c>
      <c r="G1085" t="n">
        <v/>
      </c>
      <c r="H1085" t="n">
        <v>85.85951053300001</v>
      </c>
      <c r="I1085" t="n">
        <v>87.15373069899999</v>
      </c>
      <c r="J1085" t="n">
        <v>78.386935511</v>
      </c>
      <c r="K1085" t="n">
        <v>76.20635052900001</v>
      </c>
      <c r="L1085" t="n">
        <v>96.5</v>
      </c>
      <c r="M1085" t="n">
        <v>86.592783935</v>
      </c>
      <c r="N1085" t="n">
        <v>103.446086205</v>
      </c>
      <c r="O1085" t="n">
        <v>58.804900408</v>
      </c>
      <c r="P1085" t="n">
        <v/>
      </c>
      <c r="Q1085" t="n">
        <v>99.108259022</v>
      </c>
      <c r="R1085" t="n">
        <v>92.95</v>
      </c>
      <c r="S1085" t="n">
        <v>85.28353545900001</v>
      </c>
      <c r="T1085" t="n">
        <v>99.221789883</v>
      </c>
      <c r="U1085" t="n">
        <v/>
      </c>
      <c r="V1085" t="n">
        <v>123.466244901</v>
      </c>
      <c r="W1085" t="n">
        <v>71.805983832</v>
      </c>
      <c r="X1085" t="n">
        <v>78.059144649</v>
      </c>
      <c r="Y1085" t="n">
        <v/>
      </c>
      <c r="Z1085" t="n">
        <v>62.933956896</v>
      </c>
      <c r="AA1085" t="n">
        <v>65.096035133</v>
      </c>
      <c r="AB1085" t="n">
        <v>82.341920375</v>
      </c>
      <c r="AC1085" t="n">
        <v>97.69185901199999</v>
      </c>
      <c r="AD1085" t="n">
        <v>83.85706419900001</v>
      </c>
      <c r="AE1085" t="n">
        <v>76.137</v>
      </c>
      <c r="AF1085" t="n">
        <v>88.507375615</v>
      </c>
      <c r="AG1085" t="n">
        <v>74.3</v>
      </c>
      <c r="AH1085" t="n">
        <v>95.012823337</v>
      </c>
      <c r="AI1085" t="n">
        <v>91.392383968</v>
      </c>
      <c r="AJ1085" t="n">
        <v>109.736229635</v>
      </c>
      <c r="AK1085" t="n">
        <v/>
      </c>
      <c r="AL1085" t="n">
        <v>84.213352644</v>
      </c>
      <c r="AM1085" t="n">
        <v>73.3</v>
      </c>
      <c r="AN1085" t="n">
        <v>102.582418947</v>
      </c>
      <c r="AO1085" t="n">
        <v>76.90000000000001</v>
      </c>
      <c r="AP1085" t="n">
        <v>70.011668611</v>
      </c>
      <c r="AQ1085" t="n">
        <v>81.206767231</v>
      </c>
      <c r="AR1085" t="n">
        <v>93.59220065</v>
      </c>
      <c r="AS1085" t="n">
        <v>58.495125406</v>
      </c>
      <c r="AT1085" t="n">
        <v>85.137254312</v>
      </c>
      <c r="AU1085" t="n">
        <v/>
      </c>
    </row>
    <row r="1086">
      <c r="A1086" s="106" t="n">
        <v>39934</v>
      </c>
      <c r="B1086" t="n">
        <v>85.29580233599999</v>
      </c>
      <c r="C1086" t="n">
        <v>95.692025665</v>
      </c>
      <c r="D1086" t="n">
        <v>99.42196531800001</v>
      </c>
      <c r="E1086" t="n">
        <v>83.430759065</v>
      </c>
      <c r="F1086" t="n">
        <v/>
      </c>
      <c r="G1086" t="n">
        <v/>
      </c>
      <c r="H1086" t="n">
        <v>86.374600044</v>
      </c>
      <c r="I1086" t="n">
        <v>85.29580233599999</v>
      </c>
      <c r="J1086" t="n">
        <v>78.286952175</v>
      </c>
      <c r="K1086" t="n">
        <v>79.70664222000001</v>
      </c>
      <c r="L1086" t="n">
        <v>94.5</v>
      </c>
      <c r="M1086" t="n">
        <v>88.692608949</v>
      </c>
      <c r="N1086" t="n">
        <v>102.784085653</v>
      </c>
      <c r="O1086" t="n">
        <v>59.10492541</v>
      </c>
      <c r="P1086" t="n">
        <v/>
      </c>
      <c r="Q1086" t="n">
        <v>97.408117343</v>
      </c>
      <c r="R1086" t="n">
        <v>94.06999999999999</v>
      </c>
      <c r="S1086" t="n">
        <v>86.02123928100001</v>
      </c>
      <c r="T1086" t="n">
        <v>97.31163777899999</v>
      </c>
      <c r="U1086" t="n">
        <v/>
      </c>
      <c r="V1086" t="n">
        <v>124.265379173</v>
      </c>
      <c r="W1086" t="n">
        <v>72.50604217</v>
      </c>
      <c r="X1086" t="n">
        <v>78.975252555</v>
      </c>
      <c r="Y1086" t="n">
        <v/>
      </c>
      <c r="Z1086" t="n">
        <v>60.556848043</v>
      </c>
      <c r="AA1086" t="n">
        <v>66.518260872</v>
      </c>
      <c r="AB1086" t="n">
        <v>81.96721311500001</v>
      </c>
      <c r="AC1086" t="n">
        <v>99.391717357</v>
      </c>
      <c r="AD1086" t="n">
        <v>86.936270963</v>
      </c>
      <c r="AE1086" t="n">
        <v>77.313</v>
      </c>
      <c r="AF1086" t="n">
        <v>89.507458955</v>
      </c>
      <c r="AG1086" t="n">
        <v>73</v>
      </c>
      <c r="AH1086" t="n">
        <v>94.501937527</v>
      </c>
      <c r="AI1086" t="n">
        <v>96.091992334</v>
      </c>
      <c r="AJ1086" t="n">
        <v>105.314197052</v>
      </c>
      <c r="AK1086" t="n">
        <v/>
      </c>
      <c r="AL1086" t="n">
        <v>84.867603051</v>
      </c>
      <c r="AM1086" t="n">
        <v>73.90000000000001</v>
      </c>
      <c r="AN1086" t="n">
        <v>100.151825101</v>
      </c>
      <c r="AO1086" t="n">
        <v>77.09999999999999</v>
      </c>
      <c r="AP1086" t="n">
        <v>69.91165194200001</v>
      </c>
      <c r="AQ1086" t="n">
        <v>84.30702558500001</v>
      </c>
      <c r="AR1086" t="n">
        <v>90.992417299</v>
      </c>
      <c r="AS1086" t="n">
        <v>60.394967086</v>
      </c>
      <c r="AT1086" t="n">
        <v>84.283797458</v>
      </c>
      <c r="AU1086" t="n">
        <v/>
      </c>
    </row>
    <row r="1087">
      <c r="A1087" s="106" t="n">
        <v>39965</v>
      </c>
      <c r="B1087" t="n">
        <v>86.64702296500001</v>
      </c>
      <c r="C1087" t="n">
        <v>86.892758937</v>
      </c>
      <c r="D1087" t="n">
        <v>100.853289293</v>
      </c>
      <c r="E1087" t="n">
        <v>83.068790146</v>
      </c>
      <c r="F1087" t="n">
        <v/>
      </c>
      <c r="G1087" t="n">
        <v/>
      </c>
      <c r="H1087" t="n">
        <v>88.292389926</v>
      </c>
      <c r="I1087" t="n">
        <v>86.64702296500001</v>
      </c>
      <c r="J1087" t="n">
        <v>80.686552241</v>
      </c>
      <c r="K1087" t="n">
        <v>80.306692224</v>
      </c>
      <c r="L1087" t="n">
        <v>97.3</v>
      </c>
      <c r="M1087" t="n">
        <v>89.192567286</v>
      </c>
      <c r="N1087" t="n">
        <v>103.756086463</v>
      </c>
      <c r="O1087" t="n">
        <v>60.205017085</v>
      </c>
      <c r="P1087" t="n">
        <v/>
      </c>
      <c r="Q1087" t="n">
        <v>100.008334028</v>
      </c>
      <c r="R1087" t="n">
        <v>95.27</v>
      </c>
      <c r="S1087" t="n">
        <v>86.316631712</v>
      </c>
      <c r="T1087" t="n">
        <v>98.372833392</v>
      </c>
      <c r="U1087" t="n">
        <v/>
      </c>
      <c r="V1087" t="n">
        <v>123.366353117</v>
      </c>
      <c r="W1087" t="n">
        <v>74.106175515</v>
      </c>
      <c r="X1087" t="n">
        <v>79.588470818</v>
      </c>
      <c r="Y1087" t="n">
        <v/>
      </c>
      <c r="Z1087" t="n">
        <v>61.507691584</v>
      </c>
      <c r="AA1087" t="n">
        <v>68.643021717</v>
      </c>
      <c r="AB1087" t="n">
        <v>84.121779859</v>
      </c>
      <c r="AC1087" t="n">
        <v>98.691775685</v>
      </c>
      <c r="AD1087" t="n">
        <v>88.373234119</v>
      </c>
      <c r="AE1087" t="n">
        <v>80.232</v>
      </c>
      <c r="AF1087" t="n">
        <v>91.407617301</v>
      </c>
      <c r="AG1087" t="n">
        <v>74</v>
      </c>
      <c r="AH1087" t="n">
        <v>94.604367199</v>
      </c>
      <c r="AI1087" t="n">
        <v>97.091909008</v>
      </c>
      <c r="AJ1087" t="n">
        <v>106.710628394</v>
      </c>
      <c r="AK1087" t="n">
        <v/>
      </c>
      <c r="AL1087" t="n">
        <v>85.466333586</v>
      </c>
      <c r="AM1087" t="n">
        <v>74.90000000000001</v>
      </c>
      <c r="AN1087" t="n">
        <v>100.354065416</v>
      </c>
      <c r="AO1087" t="n">
        <v>77.59999999999999</v>
      </c>
      <c r="AP1087" t="n">
        <v>70.91181863600001</v>
      </c>
      <c r="AQ1087" t="n">
        <v>84.807067256</v>
      </c>
      <c r="AR1087" t="n">
        <v>93.292225648</v>
      </c>
      <c r="AS1087" t="n">
        <v>62.094825431</v>
      </c>
      <c r="AT1087" t="n">
        <v>84.014681401</v>
      </c>
      <c r="AU1087" t="n">
        <v/>
      </c>
    </row>
    <row r="1088">
      <c r="A1088" s="106" t="n">
        <v>39995</v>
      </c>
      <c r="B1088" t="n">
        <v>86.81592553999999</v>
      </c>
      <c r="C1088" t="n">
        <v>86.3928006</v>
      </c>
      <c r="D1088" t="n">
        <v>101.954307735</v>
      </c>
      <c r="E1088" t="n">
        <v>83.160553146</v>
      </c>
      <c r="F1088" t="n">
        <v/>
      </c>
      <c r="G1088" t="n">
        <v/>
      </c>
      <c r="H1088" t="n">
        <v>84.396809498</v>
      </c>
      <c r="I1088" t="n">
        <v>86.81592553999999</v>
      </c>
      <c r="J1088" t="n">
        <v>78.78686885499999</v>
      </c>
      <c r="K1088" t="n">
        <v>79.506625552</v>
      </c>
      <c r="L1088" t="n">
        <v>96.40000000000001</v>
      </c>
      <c r="M1088" t="n">
        <v>89.392550621</v>
      </c>
      <c r="N1088" t="n">
        <v>104.743087286</v>
      </c>
      <c r="O1088" t="n">
        <v>61.105092091</v>
      </c>
      <c r="P1088" t="n">
        <v/>
      </c>
      <c r="Q1088" t="n">
        <v>101.108425702</v>
      </c>
      <c r="R1088" t="n">
        <v>94.92</v>
      </c>
      <c r="S1088" t="n">
        <v>86.9448343</v>
      </c>
      <c r="T1088" t="n">
        <v>98.58507251499999</v>
      </c>
      <c r="U1088" t="n">
        <v/>
      </c>
      <c r="V1088" t="n">
        <v>124.46516274</v>
      </c>
      <c r="W1088" t="n">
        <v>74.006167181</v>
      </c>
      <c r="X1088" t="n">
        <v>80.455794363</v>
      </c>
      <c r="Y1088" t="n">
        <v/>
      </c>
      <c r="Z1088" t="n">
        <v>60.913414371</v>
      </c>
      <c r="AA1088" t="n">
        <v>72.107162077</v>
      </c>
      <c r="AB1088" t="n">
        <v>79.62529274000001</v>
      </c>
      <c r="AC1088" t="n">
        <v>100.891592367</v>
      </c>
      <c r="AD1088" t="n">
        <v>89.399636374</v>
      </c>
      <c r="AE1088" t="n">
        <v>82.077</v>
      </c>
      <c r="AF1088" t="n">
        <v>92.60771731</v>
      </c>
      <c r="AG1088" t="n">
        <v>72.3</v>
      </c>
      <c r="AH1088" t="n">
        <v>95.86392692699999</v>
      </c>
      <c r="AI1088" t="n">
        <v>99.19173402200001</v>
      </c>
      <c r="AJ1088" t="n">
        <v>107.408844065</v>
      </c>
      <c r="AK1088" t="n">
        <v/>
      </c>
      <c r="AL1088" t="n">
        <v>86.125809277</v>
      </c>
      <c r="AM1088" t="n">
        <v>75</v>
      </c>
      <c r="AN1088" t="n">
        <v>104.365510287</v>
      </c>
      <c r="AO1088" t="n">
        <v>78.59999999999999</v>
      </c>
      <c r="AP1088" t="n">
        <v>72.012002</v>
      </c>
      <c r="AQ1088" t="n">
        <v>84.00700058300001</v>
      </c>
      <c r="AR1088" t="n">
        <v>92.792267311</v>
      </c>
      <c r="AS1088" t="n">
        <v>63.194733772</v>
      </c>
      <c r="AT1088" t="n">
        <v>84.987822515</v>
      </c>
      <c r="AU1088" t="n">
        <v/>
      </c>
    </row>
    <row r="1089">
      <c r="A1089" s="106" t="n">
        <v>40026</v>
      </c>
      <c r="B1089" t="n">
        <v>86.309217805</v>
      </c>
      <c r="C1089" t="n">
        <v>90.692442296</v>
      </c>
      <c r="D1089" t="n">
        <v>103.495733554</v>
      </c>
      <c r="E1089" t="n">
        <v>82.91201720799999</v>
      </c>
      <c r="F1089" t="n">
        <v/>
      </c>
      <c r="G1089" t="n">
        <v/>
      </c>
      <c r="H1089" t="n">
        <v>89.139741575</v>
      </c>
      <c r="I1089" t="n">
        <v>86.309217805</v>
      </c>
      <c r="J1089" t="n">
        <v>81.38643559400001</v>
      </c>
      <c r="K1089" t="n">
        <v>80.50670889200001</v>
      </c>
      <c r="L1089" t="n">
        <v>97</v>
      </c>
      <c r="M1089" t="n">
        <v>89.492542288</v>
      </c>
      <c r="N1089" t="n">
        <v>105.20408767</v>
      </c>
      <c r="O1089" t="n">
        <v>62.005167097</v>
      </c>
      <c r="P1089" t="n">
        <v/>
      </c>
      <c r="Q1089" t="n">
        <v>101.708475706</v>
      </c>
      <c r="R1089" t="n">
        <v>96.47</v>
      </c>
      <c r="S1089" t="n">
        <v>87.515345027</v>
      </c>
      <c r="T1089" t="n">
        <v>96.03820304200001</v>
      </c>
      <c r="U1089" t="n">
        <v/>
      </c>
      <c r="V1089" t="n">
        <v>118.971114626</v>
      </c>
      <c r="W1089" t="n">
        <v>73.606133844</v>
      </c>
      <c r="X1089" t="n">
        <v>84.522788811</v>
      </c>
      <c r="Y1089" t="n">
        <v/>
      </c>
      <c r="Z1089" t="n">
        <v>54.376365024</v>
      </c>
      <c r="AA1089" t="n">
        <v>76.86979166899999</v>
      </c>
      <c r="AB1089" t="n">
        <v>85.714285714</v>
      </c>
      <c r="AC1089" t="n">
        <v>98.591784018</v>
      </c>
      <c r="AD1089" t="n">
        <v>90.733959305</v>
      </c>
      <c r="AE1089" t="n">
        <v>83.13500000000001</v>
      </c>
      <c r="AF1089" t="n">
        <v>95.10792566000001</v>
      </c>
      <c r="AG1089" t="n">
        <v>73.59999999999999</v>
      </c>
      <c r="AH1089" t="n">
        <v>94.913969193</v>
      </c>
      <c r="AI1089" t="n">
        <v>98.291809016</v>
      </c>
      <c r="AJ1089" t="n">
        <v>107.641582622</v>
      </c>
      <c r="AK1089" t="n">
        <v/>
      </c>
      <c r="AL1089" t="n">
        <v>86.599959297</v>
      </c>
      <c r="AM1089" t="n">
        <v>75.59999999999999</v>
      </c>
      <c r="AN1089" t="n">
        <v>102.086077583</v>
      </c>
      <c r="AO1089" t="n">
        <v>78.2</v>
      </c>
      <c r="AP1089" t="n">
        <v>76.81280213399999</v>
      </c>
      <c r="AQ1089" t="n">
        <v>87.40728394</v>
      </c>
      <c r="AR1089" t="n">
        <v>94.092158987</v>
      </c>
      <c r="AS1089" t="n">
        <v>62.394800433</v>
      </c>
      <c r="AT1089" t="n">
        <v>85.90424499</v>
      </c>
      <c r="AU1089" t="n">
        <v/>
      </c>
    </row>
    <row r="1090">
      <c r="A1090" s="106" t="n">
        <v>40057</v>
      </c>
      <c r="B1090" t="n">
        <v>88.082694885</v>
      </c>
      <c r="C1090" t="n">
        <v>89.092575619</v>
      </c>
      <c r="D1090" t="n">
        <v>105.257363061</v>
      </c>
      <c r="E1090" t="n">
        <v>84.33474500299999</v>
      </c>
      <c r="F1090" t="n">
        <v/>
      </c>
      <c r="G1090" t="n">
        <v/>
      </c>
      <c r="H1090" t="n">
        <v>89.614495722</v>
      </c>
      <c r="I1090" t="n">
        <v>88.082694885</v>
      </c>
      <c r="J1090" t="n">
        <v>81.48641893</v>
      </c>
      <c r="K1090" t="n">
        <v>84.107008917</v>
      </c>
      <c r="L1090" t="n">
        <v>93.7</v>
      </c>
      <c r="M1090" t="n">
        <v>91.592367303</v>
      </c>
      <c r="N1090" t="n">
        <v>106.258088548</v>
      </c>
      <c r="O1090" t="n">
        <v>60.505042087</v>
      </c>
      <c r="P1090" t="n">
        <v/>
      </c>
      <c r="Q1090" t="n">
        <v>99.908325694</v>
      </c>
      <c r="R1090" t="n">
        <v>96.97</v>
      </c>
      <c r="S1090" t="n">
        <v>89.279468956</v>
      </c>
      <c r="T1090" t="n">
        <v>97.736116024</v>
      </c>
      <c r="U1090" t="n">
        <v/>
      </c>
      <c r="V1090" t="n">
        <v>123.366353117</v>
      </c>
      <c r="W1090" t="n">
        <v>75.506292191</v>
      </c>
      <c r="X1090" t="n">
        <v>83.588318151</v>
      </c>
      <c r="Y1090" t="n">
        <v/>
      </c>
      <c r="Z1090" t="n">
        <v>59.54657678</v>
      </c>
      <c r="AA1090" t="n">
        <v>76.005396529</v>
      </c>
      <c r="AB1090" t="n">
        <v>86.276346604</v>
      </c>
      <c r="AC1090" t="n">
        <v>101.591534039</v>
      </c>
      <c r="AD1090" t="n">
        <v>93.50524539200001</v>
      </c>
      <c r="AE1090" t="n">
        <v>85.501</v>
      </c>
      <c r="AF1090" t="n">
        <v>105.408784065</v>
      </c>
      <c r="AG1090" t="n">
        <v>72.8</v>
      </c>
      <c r="AH1090" t="n">
        <v>95.214373442</v>
      </c>
      <c r="AI1090" t="n">
        <v>97.69185901199999</v>
      </c>
      <c r="AJ1090" t="n">
        <v>110.201706749</v>
      </c>
      <c r="AK1090" t="n">
        <v/>
      </c>
      <c r="AL1090" t="n">
        <v>88.111659375</v>
      </c>
      <c r="AM1090" t="n">
        <v>76.5</v>
      </c>
      <c r="AN1090" t="n">
        <v>105.509789952</v>
      </c>
      <c r="AO1090" t="n">
        <v>78.90000000000001</v>
      </c>
      <c r="AP1090" t="n">
        <v>75.71261877000001</v>
      </c>
      <c r="AQ1090" t="n">
        <v>89.607467289</v>
      </c>
      <c r="AR1090" t="n">
        <v>95.692025665</v>
      </c>
      <c r="AS1090" t="n">
        <v>63.094742105</v>
      </c>
      <c r="AT1090" t="n">
        <v>86.626316886</v>
      </c>
      <c r="AU1090" t="n">
        <v/>
      </c>
    </row>
    <row r="1091">
      <c r="A1091" s="106" t="n">
        <v>40087</v>
      </c>
      <c r="B1091" t="n">
        <v>88.58940262</v>
      </c>
      <c r="C1091" t="n">
        <v>89.89250895799999</v>
      </c>
      <c r="D1091" t="n">
        <v>107.129094412</v>
      </c>
      <c r="E1091" t="n">
        <v>84.338490432</v>
      </c>
      <c r="F1091" t="n">
        <v/>
      </c>
      <c r="G1091" t="n">
        <v/>
      </c>
      <c r="H1091" t="n">
        <v>90.169207683</v>
      </c>
      <c r="I1091" t="n">
        <v>88.58940262</v>
      </c>
      <c r="J1091" t="n">
        <v>82.38626895500001</v>
      </c>
      <c r="K1091" t="n">
        <v>82.306858905</v>
      </c>
      <c r="L1091" t="n">
        <v>93.59999999999999</v>
      </c>
      <c r="M1091" t="n">
        <v>91.29239230100001</v>
      </c>
      <c r="N1091" t="n">
        <v>105.981088318</v>
      </c>
      <c r="O1091" t="n">
        <v>61.205100425</v>
      </c>
      <c r="P1091" t="n">
        <v/>
      </c>
      <c r="Q1091" t="n">
        <v>101.208434036</v>
      </c>
      <c r="R1091" t="n">
        <v>96.33</v>
      </c>
      <c r="S1091" t="n">
        <v>89.63884215500001</v>
      </c>
      <c r="T1091" t="n">
        <v>97.736116024</v>
      </c>
      <c r="U1091" t="n">
        <v/>
      </c>
      <c r="V1091" t="n">
        <v>120.569383168</v>
      </c>
      <c r="W1091" t="n">
        <v>77.506458872</v>
      </c>
      <c r="X1091" t="n">
        <v>81.635926396</v>
      </c>
      <c r="Y1091" t="n">
        <v/>
      </c>
      <c r="Z1091" t="n">
        <v>59.665432223</v>
      </c>
      <c r="AA1091" t="n">
        <v>75.880603341</v>
      </c>
      <c r="AB1091" t="n">
        <v>88.43091334899999</v>
      </c>
      <c r="AC1091" t="n">
        <v>103.291392384</v>
      </c>
      <c r="AD1091" t="n">
        <v>96.07125102800001</v>
      </c>
      <c r="AE1091" t="n">
        <v>84.503</v>
      </c>
      <c r="AF1091" t="n">
        <v>97.80815067899999</v>
      </c>
      <c r="AG1091" t="n">
        <v>74.09999999999999</v>
      </c>
      <c r="AH1091" t="n">
        <v>96.10171237900001</v>
      </c>
      <c r="AI1091" t="n">
        <v>99.691692359</v>
      </c>
      <c r="AJ1091" t="n">
        <v>107.874321179</v>
      </c>
      <c r="AK1091" t="n">
        <v/>
      </c>
      <c r="AL1091" t="n">
        <v>88.446235531</v>
      </c>
      <c r="AM1091" t="n">
        <v>77.40000000000001</v>
      </c>
      <c r="AN1091" t="n">
        <v>105.890176082</v>
      </c>
      <c r="AO1091" t="n">
        <v>79.5</v>
      </c>
      <c r="AP1091" t="n">
        <v>74.612435406</v>
      </c>
      <c r="AQ1091" t="n">
        <v>86.807233936</v>
      </c>
      <c r="AR1091" t="n">
        <v>94.692108991</v>
      </c>
      <c r="AS1091" t="n">
        <v>64.29464211299999</v>
      </c>
      <c r="AT1091" t="n">
        <v>86.81204067900001</v>
      </c>
      <c r="AU1091" t="n">
        <v/>
      </c>
    </row>
    <row r="1092">
      <c r="A1092" s="106" t="n">
        <v>40118</v>
      </c>
      <c r="B1092" t="n">
        <v>89.096110354</v>
      </c>
      <c r="C1092" t="n">
        <v>91.592367303</v>
      </c>
      <c r="D1092" t="n">
        <v>108.89072392</v>
      </c>
      <c r="E1092" t="n">
        <v>85.646447595</v>
      </c>
      <c r="F1092" t="n">
        <v/>
      </c>
      <c r="G1092" t="n">
        <v/>
      </c>
      <c r="H1092" t="n">
        <v>88.237564315</v>
      </c>
      <c r="I1092" t="n">
        <v>89.096110354</v>
      </c>
      <c r="J1092" t="n">
        <v>81.08648558599999</v>
      </c>
      <c r="K1092" t="n">
        <v>83.306942245</v>
      </c>
      <c r="L1092" t="n">
        <v>95.2</v>
      </c>
      <c r="M1092" t="n">
        <v>91.492375635</v>
      </c>
      <c r="N1092" t="n">
        <v>105.542087952</v>
      </c>
      <c r="O1092" t="n">
        <v>63.105258772</v>
      </c>
      <c r="P1092" t="n">
        <v/>
      </c>
      <c r="Q1092" t="n">
        <v>101.008417368</v>
      </c>
      <c r="R1092" t="n">
        <v>97.26000000000001</v>
      </c>
      <c r="S1092" t="n">
        <v>90.439705188</v>
      </c>
      <c r="T1092" t="n">
        <v>97.629996463</v>
      </c>
      <c r="U1092" t="n">
        <v/>
      </c>
      <c r="V1092" t="n">
        <v>122.866894198</v>
      </c>
      <c r="W1092" t="n">
        <v>76.40636719699999</v>
      </c>
      <c r="X1092" t="n">
        <v>84.06257370199999</v>
      </c>
      <c r="Y1092" t="n">
        <v/>
      </c>
      <c r="Z1092" t="n">
        <v>56.812901599</v>
      </c>
      <c r="AA1092" t="n">
        <v>77.70114209</v>
      </c>
      <c r="AB1092" t="n">
        <v>87.962529274</v>
      </c>
      <c r="AC1092" t="n">
        <v>103.491375719</v>
      </c>
      <c r="AD1092" t="n">
        <v>98.021415312</v>
      </c>
      <c r="AE1092" t="n">
        <v>85.121</v>
      </c>
      <c r="AF1092" t="n">
        <v>97.30810900900001</v>
      </c>
      <c r="AG1092" t="n">
        <v>77.40000000000001</v>
      </c>
      <c r="AH1092" t="n">
        <v>97.700484598</v>
      </c>
      <c r="AI1092" t="n">
        <v>99.29172569000001</v>
      </c>
      <c r="AJ1092" t="n">
        <v>107.874321179</v>
      </c>
      <c r="AK1092" t="n">
        <v/>
      </c>
      <c r="AL1092" t="n">
        <v>89.18277815899999</v>
      </c>
      <c r="AM1092" t="n">
        <v>77.8</v>
      </c>
      <c r="AN1092" t="n">
        <v>102.85683666</v>
      </c>
      <c r="AO1092" t="n">
        <v>81</v>
      </c>
      <c r="AP1092" t="n">
        <v>76.81280213399999</v>
      </c>
      <c r="AQ1092" t="n">
        <v>89.907492291</v>
      </c>
      <c r="AR1092" t="n">
        <v>93.79218398499999</v>
      </c>
      <c r="AS1092" t="n">
        <v>66.994417132</v>
      </c>
      <c r="AT1092" t="n">
        <v>87.174564004</v>
      </c>
      <c r="AU1092" t="n">
        <v/>
      </c>
    </row>
    <row r="1093">
      <c r="A1093" s="106" t="n">
        <v>40148</v>
      </c>
      <c r="B1093" t="n">
        <v>89.433915524</v>
      </c>
      <c r="C1093" t="n">
        <v>90.392467294</v>
      </c>
      <c r="D1093" t="n">
        <v>109.110927608</v>
      </c>
      <c r="E1093" t="n">
        <v>85.14616535</v>
      </c>
      <c r="F1093" t="n">
        <v/>
      </c>
      <c r="G1093" t="n">
        <v/>
      </c>
      <c r="H1093" t="n">
        <v>87.595213614</v>
      </c>
      <c r="I1093" t="n">
        <v>89.433915524</v>
      </c>
      <c r="J1093" t="n">
        <v>82.68621896400001</v>
      </c>
      <c r="K1093" t="n">
        <v>83.306942245</v>
      </c>
      <c r="L1093" t="n">
        <v>89.8</v>
      </c>
      <c r="M1093" t="n">
        <v>91.492375635</v>
      </c>
      <c r="N1093" t="n">
        <v>104.962087468</v>
      </c>
      <c r="O1093" t="n">
        <v>63.105258772</v>
      </c>
      <c r="P1093" t="n">
        <v/>
      </c>
      <c r="Q1093" t="n">
        <v>102.908575715</v>
      </c>
      <c r="R1093" t="n">
        <v>96.93000000000001</v>
      </c>
      <c r="S1093" t="n">
        <v>90.57829694</v>
      </c>
      <c r="T1093" t="n">
        <v>97.41775733999999</v>
      </c>
      <c r="U1093" t="n">
        <v/>
      </c>
      <c r="V1093" t="n">
        <v>119.970032465</v>
      </c>
      <c r="W1093" t="n">
        <v>76.20635052900001</v>
      </c>
      <c r="X1093" t="n">
        <v>84.27238994699999</v>
      </c>
      <c r="Y1093" t="n">
        <v/>
      </c>
      <c r="Z1093" t="n">
        <v>57.882600583</v>
      </c>
      <c r="AA1093" t="n">
        <v>78.442483181</v>
      </c>
      <c r="AB1093" t="n">
        <v>85.152224824</v>
      </c>
      <c r="AC1093" t="n">
        <v>101.991500708</v>
      </c>
      <c r="AD1093" t="n">
        <v>98.842537116</v>
      </c>
      <c r="AE1093" t="n">
        <v>86.11199999999999</v>
      </c>
      <c r="AF1093" t="n">
        <v>97.908159013</v>
      </c>
      <c r="AG1093" t="n">
        <v>76.8</v>
      </c>
      <c r="AH1093" t="n">
        <v>97.335472603</v>
      </c>
      <c r="AI1093" t="n">
        <v>100.491625698</v>
      </c>
      <c r="AJ1093" t="n">
        <v>107.05973623</v>
      </c>
      <c r="AK1093" t="n">
        <v/>
      </c>
      <c r="AL1093" t="n">
        <v>89.175754924</v>
      </c>
      <c r="AM1093" t="n">
        <v>76.40000000000001</v>
      </c>
      <c r="AN1093" t="n">
        <v>105.547557037</v>
      </c>
      <c r="AO1093" t="n">
        <v>81.2</v>
      </c>
      <c r="AP1093" t="n">
        <v>81.31355225900001</v>
      </c>
      <c r="AQ1093" t="n">
        <v>87.707308942</v>
      </c>
      <c r="AR1093" t="n">
        <v>94.692108991</v>
      </c>
      <c r="AS1093" t="n">
        <v>64.194650446</v>
      </c>
      <c r="AT1093" t="n">
        <v>87.489292952</v>
      </c>
      <c r="AU1093" t="n">
        <v/>
      </c>
    </row>
    <row r="1094">
      <c r="A1094" s="106" t="n">
        <v>40179</v>
      </c>
      <c r="B1094" t="n">
        <v>87.972443723</v>
      </c>
      <c r="C1094" t="n">
        <v>93.59220065</v>
      </c>
      <c r="D1094" t="n">
        <v>110.872557115</v>
      </c>
      <c r="E1094" t="n">
        <v>86.08466273800001</v>
      </c>
      <c r="F1094" t="n">
        <v/>
      </c>
      <c r="G1094" t="n">
        <v/>
      </c>
      <c r="H1094" t="n">
        <v>87.14301528199999</v>
      </c>
      <c r="I1094" t="n">
        <v>87.972443723</v>
      </c>
      <c r="J1094" t="n">
        <v>81.986335611</v>
      </c>
      <c r="K1094" t="n">
        <v>84.107008917</v>
      </c>
      <c r="L1094" t="n">
        <v>95.3</v>
      </c>
      <c r="M1094" t="n">
        <v>93.092242313</v>
      </c>
      <c r="N1094" t="n">
        <v>104.051086709</v>
      </c>
      <c r="O1094" t="n">
        <v>67.80565047100001</v>
      </c>
      <c r="P1094" t="n">
        <v/>
      </c>
      <c r="Q1094" t="n">
        <v>102.508542379</v>
      </c>
      <c r="R1094" t="n">
        <v>97.93000000000001</v>
      </c>
      <c r="S1094" t="n">
        <v>91.811470875</v>
      </c>
      <c r="T1094" t="n">
        <v>96.568800849</v>
      </c>
      <c r="U1094" t="n">
        <v/>
      </c>
      <c r="V1094" t="n">
        <v>115.874469325</v>
      </c>
      <c r="W1094" t="n">
        <v>78.70655888</v>
      </c>
      <c r="X1094" t="n">
        <v>85.803337622</v>
      </c>
      <c r="Y1094" t="n">
        <v/>
      </c>
      <c r="Z1094" t="n">
        <v>63.291751553</v>
      </c>
      <c r="AA1094" t="n">
        <v>80.405377472</v>
      </c>
      <c r="AB1094" t="n">
        <v>90.398126464</v>
      </c>
      <c r="AC1094" t="n">
        <v>105.591200733</v>
      </c>
      <c r="AD1094" t="n">
        <v>101.100622076</v>
      </c>
      <c r="AE1094" t="n">
        <v>87.024</v>
      </c>
      <c r="AF1094" t="n">
        <v>100.708392366</v>
      </c>
      <c r="AG1094" t="n">
        <v>79.90000000000001</v>
      </c>
      <c r="AH1094" t="n">
        <v>97.95094646</v>
      </c>
      <c r="AI1094" t="n">
        <v>104.59128406</v>
      </c>
      <c r="AJ1094" t="n">
        <v>107.176105508</v>
      </c>
      <c r="AK1094" t="n">
        <v/>
      </c>
      <c r="AL1094" t="n">
        <v>90.253356772</v>
      </c>
      <c r="AM1094" t="n">
        <v>79.40000000000001</v>
      </c>
      <c r="AN1094" t="n">
        <v>103.169282856</v>
      </c>
      <c r="AO1094" t="n">
        <v>82.59999999999999</v>
      </c>
      <c r="AP1094" t="n">
        <v>80.513418903</v>
      </c>
      <c r="AQ1094" t="n">
        <v>86.107175598</v>
      </c>
      <c r="AR1094" t="n">
        <v>97.291892342</v>
      </c>
      <c r="AS1094" t="n">
        <v>63.594700442</v>
      </c>
      <c r="AT1094" t="n">
        <v>88.442999008</v>
      </c>
      <c r="AU1094" t="n">
        <v/>
      </c>
    </row>
    <row r="1095">
      <c r="A1095" s="106" t="n">
        <v>40210</v>
      </c>
      <c r="B1095" t="n">
        <v>89.167471697</v>
      </c>
      <c r="C1095" t="n">
        <v>95.09207566000001</v>
      </c>
      <c r="D1095" t="n">
        <v>110.652353427</v>
      </c>
      <c r="E1095" t="n">
        <v>87.21765488</v>
      </c>
      <c r="F1095" t="n">
        <v/>
      </c>
      <c r="G1095" t="n">
        <v/>
      </c>
      <c r="H1095" t="n">
        <v>88.700224101</v>
      </c>
      <c r="I1095" t="n">
        <v>89.167471697</v>
      </c>
      <c r="J1095" t="n">
        <v>81.88635227499999</v>
      </c>
      <c r="K1095" t="n">
        <v>83.306942245</v>
      </c>
      <c r="L1095" t="n">
        <v>96.40000000000001</v>
      </c>
      <c r="M1095" t="n">
        <v>92.592283976</v>
      </c>
      <c r="N1095" t="n">
        <v>104.055086713</v>
      </c>
      <c r="O1095" t="n">
        <v>68.405700475</v>
      </c>
      <c r="P1095" t="n">
        <v/>
      </c>
      <c r="Q1095" t="n">
        <v>102.008500708</v>
      </c>
      <c r="R1095" t="n">
        <v>97.3</v>
      </c>
      <c r="S1095" t="n">
        <v>91.989675037</v>
      </c>
      <c r="T1095" t="n">
        <v>98.47895295399999</v>
      </c>
      <c r="U1095" t="n">
        <v/>
      </c>
      <c r="V1095" t="n">
        <v>115.874469325</v>
      </c>
      <c r="W1095" t="n">
        <v>77.506458872</v>
      </c>
      <c r="X1095" t="n">
        <v>86.705397957</v>
      </c>
      <c r="Y1095" t="n">
        <v/>
      </c>
      <c r="Z1095" t="n">
        <v>63.606949519</v>
      </c>
      <c r="AA1095" t="n">
        <v>78.943641962</v>
      </c>
      <c r="AB1095" t="n">
        <v>90.117096019</v>
      </c>
      <c r="AC1095" t="n">
        <v>104.59128406</v>
      </c>
      <c r="AD1095" t="n">
        <v>101.408542752</v>
      </c>
      <c r="AE1095" t="n">
        <v>88.74299999999999</v>
      </c>
      <c r="AF1095" t="n">
        <v>96.908075673</v>
      </c>
      <c r="AG1095" t="n">
        <v>79</v>
      </c>
      <c r="AH1095" t="n">
        <v>98.16974086899999</v>
      </c>
      <c r="AI1095" t="n">
        <v>103.191400717</v>
      </c>
      <c r="AJ1095" t="n">
        <v>106.826997673</v>
      </c>
      <c r="AK1095" t="n">
        <v/>
      </c>
      <c r="AL1095" t="n">
        <v>90.540550645</v>
      </c>
      <c r="AM1095" t="n">
        <v>79.59999999999999</v>
      </c>
      <c r="AN1095" t="n">
        <v>102.865733986</v>
      </c>
      <c r="AO1095" t="n">
        <v>82.59999999999999</v>
      </c>
      <c r="AP1095" t="n">
        <v>77.41290214999999</v>
      </c>
      <c r="AQ1095" t="n">
        <v>89.007417285</v>
      </c>
      <c r="AR1095" t="n">
        <v>96.091992334</v>
      </c>
      <c r="AS1095" t="n">
        <v>65.094575452</v>
      </c>
      <c r="AT1095" t="n">
        <v>88.755645628</v>
      </c>
      <c r="AU1095" t="n">
        <v/>
      </c>
    </row>
    <row r="1096">
      <c r="A1096" s="106" t="n">
        <v>40238</v>
      </c>
      <c r="B1096" t="n">
        <v>89.62709784499999</v>
      </c>
      <c r="C1096" t="n">
        <v>94.892092326</v>
      </c>
      <c r="D1096" t="n">
        <v>113.404899532</v>
      </c>
      <c r="E1096" t="n">
        <v>88.335397778</v>
      </c>
      <c r="F1096" t="n">
        <v/>
      </c>
      <c r="G1096" t="n">
        <v/>
      </c>
      <c r="H1096" t="n">
        <v>82.167243614</v>
      </c>
      <c r="I1096" t="n">
        <v>89.62709784499999</v>
      </c>
      <c r="J1096" t="n">
        <v>84.785869022</v>
      </c>
      <c r="K1096" t="n">
        <v>86.107175598</v>
      </c>
      <c r="L1096" t="n">
        <v>98.2</v>
      </c>
      <c r="M1096" t="n">
        <v>94.292142321</v>
      </c>
      <c r="N1096" t="n">
        <v>106.345088621</v>
      </c>
      <c r="O1096" t="n">
        <v>69.805817151</v>
      </c>
      <c r="P1096" t="n">
        <v/>
      </c>
      <c r="Q1096" t="n">
        <v>103.208600717</v>
      </c>
      <c r="R1096" t="n">
        <v>99.23</v>
      </c>
      <c r="S1096" t="n">
        <v>92.996506708</v>
      </c>
      <c r="T1096" t="n">
        <v>99.64626812900001</v>
      </c>
      <c r="U1096" t="n">
        <v/>
      </c>
      <c r="V1096" t="n">
        <v>117.772413219</v>
      </c>
      <c r="W1096" t="n">
        <v>77.906492208</v>
      </c>
      <c r="X1096" t="n">
        <v>86.64749612999999</v>
      </c>
      <c r="Y1096" t="n">
        <v/>
      </c>
      <c r="Z1096" t="n">
        <v>65.56117690799999</v>
      </c>
      <c r="AA1096" t="n">
        <v>81.315882285</v>
      </c>
      <c r="AB1096" t="n">
        <v>91.990632319</v>
      </c>
      <c r="AC1096" t="n">
        <v>105.091242396</v>
      </c>
      <c r="AD1096" t="n">
        <v>101.716463429</v>
      </c>
      <c r="AE1096" t="n">
        <v>90.072</v>
      </c>
      <c r="AF1096" t="n">
        <v>100.408367364</v>
      </c>
      <c r="AG1096" t="n">
        <v>79.7</v>
      </c>
      <c r="AH1096" t="n">
        <v>98.983976125</v>
      </c>
      <c r="AI1096" t="n">
        <v>104.891259062</v>
      </c>
      <c r="AJ1096" t="n">
        <v>105.663304888</v>
      </c>
      <c r="AK1096" t="n">
        <v/>
      </c>
      <c r="AL1096" t="n">
        <v>91.56674720700001</v>
      </c>
      <c r="AM1096" t="n">
        <v>81.90000000000001</v>
      </c>
      <c r="AN1096" t="n">
        <v>105.165533221</v>
      </c>
      <c r="AO1096" t="n">
        <v>83.5</v>
      </c>
      <c r="AP1096" t="n">
        <v>81.31355225900001</v>
      </c>
      <c r="AQ1096" t="n">
        <v>90.707558963</v>
      </c>
      <c r="AR1096" t="n">
        <v>98.791767353</v>
      </c>
      <c r="AS1096" t="n">
        <v>66.29447546</v>
      </c>
      <c r="AT1096" t="n">
        <v>89.38629342500001</v>
      </c>
      <c r="AU1096" t="n">
        <v/>
      </c>
    </row>
    <row r="1097">
      <c r="A1097" s="106" t="n">
        <v>40269</v>
      </c>
      <c r="B1097" t="n">
        <v>89.535172616</v>
      </c>
      <c r="C1097" t="n">
        <v>94.292142321</v>
      </c>
      <c r="D1097" t="n">
        <v>113.62510322</v>
      </c>
      <c r="E1097" t="n">
        <v>88.16203794099999</v>
      </c>
      <c r="F1097" t="n">
        <v/>
      </c>
      <c r="G1097" t="n">
        <v/>
      </c>
      <c r="H1097" t="n">
        <v>89.973446032</v>
      </c>
      <c r="I1097" t="n">
        <v>89.535172616</v>
      </c>
      <c r="J1097" t="n">
        <v>85.785702383</v>
      </c>
      <c r="K1097" t="n">
        <v>87.707308942</v>
      </c>
      <c r="L1097" t="n">
        <v>100</v>
      </c>
      <c r="M1097" t="n">
        <v>94.692108991</v>
      </c>
      <c r="N1097" t="n">
        <v>106.707088923</v>
      </c>
      <c r="O1097" t="n">
        <v>70.705892158</v>
      </c>
      <c r="P1097" t="n">
        <v/>
      </c>
      <c r="Q1097" t="n">
        <v>102.30852571</v>
      </c>
      <c r="R1097" t="n">
        <v>98.84</v>
      </c>
      <c r="S1097" t="n">
        <v>93.51771258799999</v>
      </c>
      <c r="T1097" t="n">
        <v>98.266713831</v>
      </c>
      <c r="U1097" t="n">
        <v/>
      </c>
      <c r="V1097" t="n">
        <v>114.276200782</v>
      </c>
      <c r="W1097" t="n">
        <v>79.40661721799999</v>
      </c>
      <c r="X1097" t="n">
        <v>88.029764508</v>
      </c>
      <c r="Y1097" t="n">
        <v/>
      </c>
      <c r="Z1097" t="n">
        <v>61.085365792</v>
      </c>
      <c r="AA1097" t="n">
        <v>83.649449468</v>
      </c>
      <c r="AB1097" t="n">
        <v>94.800936768</v>
      </c>
      <c r="AC1097" t="n">
        <v>106.09115907</v>
      </c>
      <c r="AD1097" t="n">
        <v>102.948146134</v>
      </c>
      <c r="AE1097" t="n">
        <v>91.47799999999999</v>
      </c>
      <c r="AF1097" t="n">
        <v>102.808567381</v>
      </c>
      <c r="AG1097" t="n">
        <v>82</v>
      </c>
      <c r="AH1097" t="n">
        <v>99.789577408</v>
      </c>
      <c r="AI1097" t="n">
        <v>104.891259062</v>
      </c>
      <c r="AJ1097" t="n">
        <v>104.848719938</v>
      </c>
      <c r="AK1097" t="n">
        <v/>
      </c>
      <c r="AL1097" t="n">
        <v>92.116983788</v>
      </c>
      <c r="AM1097" t="n">
        <v>80.59999999999999</v>
      </c>
      <c r="AN1097" t="n">
        <v>102.972062999</v>
      </c>
      <c r="AO1097" t="n">
        <v>82.59999999999999</v>
      </c>
      <c r="AP1097" t="n">
        <v>82.21370228399999</v>
      </c>
      <c r="AQ1097" t="n">
        <v>90.00750062500001</v>
      </c>
      <c r="AR1097" t="n">
        <v>100.39163403</v>
      </c>
      <c r="AS1097" t="n">
        <v>66.994417132</v>
      </c>
      <c r="AT1097" t="n">
        <v>89.712623913</v>
      </c>
      <c r="AU1097" t="n">
        <v/>
      </c>
    </row>
    <row r="1098">
      <c r="A1098" s="106" t="n">
        <v>40299</v>
      </c>
      <c r="B1098" t="n">
        <v>91.741378095</v>
      </c>
      <c r="C1098" t="n">
        <v>96.59195067100001</v>
      </c>
      <c r="D1098" t="n">
        <v>113.404899532</v>
      </c>
      <c r="E1098" t="n">
        <v>90.34722798200001</v>
      </c>
      <c r="F1098" t="n">
        <v/>
      </c>
      <c r="G1098" t="n">
        <v/>
      </c>
      <c r="H1098" t="n">
        <v>88.009510858</v>
      </c>
      <c r="I1098" t="n">
        <v>91.741378095</v>
      </c>
      <c r="J1098" t="n">
        <v>84.785869022</v>
      </c>
      <c r="K1098" t="n">
        <v>90.407533961</v>
      </c>
      <c r="L1098" t="n">
        <v>99.8</v>
      </c>
      <c r="M1098" t="n">
        <v>96.49195900300001</v>
      </c>
      <c r="N1098" t="n">
        <v>106.229088524</v>
      </c>
      <c r="O1098" t="n">
        <v>72.0060005</v>
      </c>
      <c r="P1098" t="n">
        <v/>
      </c>
      <c r="Q1098" t="n">
        <v>105.908825735</v>
      </c>
      <c r="R1098" t="n">
        <v>99.62</v>
      </c>
      <c r="S1098" t="n">
        <v>94.60517319</v>
      </c>
      <c r="T1098" t="n">
        <v>98.266713831</v>
      </c>
      <c r="U1098" t="n">
        <v/>
      </c>
      <c r="V1098" t="n">
        <v>116.174144677</v>
      </c>
      <c r="W1098" t="n">
        <v>83.406950579</v>
      </c>
      <c r="X1098" t="n">
        <v>85.583396601</v>
      </c>
      <c r="Y1098" t="n">
        <v/>
      </c>
      <c r="Z1098" t="n">
        <v>62.093999283</v>
      </c>
      <c r="AA1098" t="n">
        <v>82.260679806</v>
      </c>
      <c r="AB1098" t="n">
        <v>95.644028103</v>
      </c>
      <c r="AC1098" t="n">
        <v>106.49112574</v>
      </c>
      <c r="AD1098" t="n">
        <v>102.537585232</v>
      </c>
      <c r="AE1098" t="n">
        <v>92.809</v>
      </c>
      <c r="AF1098" t="n">
        <v>102.30852571</v>
      </c>
      <c r="AG1098" t="n">
        <v>82.09999999999999</v>
      </c>
      <c r="AH1098" t="n">
        <v>99.70414524900001</v>
      </c>
      <c r="AI1098" t="n">
        <v>109.790850762</v>
      </c>
      <c r="AJ1098" t="n">
        <v>104.848719938</v>
      </c>
      <c r="AK1098" t="n">
        <v/>
      </c>
      <c r="AL1098" t="n">
        <v>93.23016383</v>
      </c>
      <c r="AM1098" t="n">
        <v>83.7</v>
      </c>
      <c r="AN1098" t="n">
        <v>103.622861776</v>
      </c>
      <c r="AO1098" t="n">
        <v>82.8</v>
      </c>
      <c r="AP1098" t="n">
        <v>82.01366894500001</v>
      </c>
      <c r="AQ1098" t="n">
        <v>93.20776731399999</v>
      </c>
      <c r="AR1098" t="n">
        <v>102.69144238</v>
      </c>
      <c r="AS1098" t="n">
        <v>68.894258812</v>
      </c>
      <c r="AT1098" t="n">
        <v>90.94129637499999</v>
      </c>
      <c r="AU1098" t="n">
        <v/>
      </c>
    </row>
    <row r="1099">
      <c r="A1099" s="106" t="n">
        <v>40330</v>
      </c>
      <c r="B1099" t="n">
        <v>93.212181758</v>
      </c>
      <c r="C1099" t="n">
        <v>97.39188401</v>
      </c>
      <c r="D1099" t="n">
        <v>112.634186623</v>
      </c>
      <c r="E1099" t="n">
        <v>90.928304471</v>
      </c>
      <c r="F1099" t="n">
        <v/>
      </c>
      <c r="G1099" t="n">
        <v/>
      </c>
      <c r="H1099" t="n">
        <v>90.773937926</v>
      </c>
      <c r="I1099" t="n">
        <v>93.212181758</v>
      </c>
      <c r="J1099" t="n">
        <v>86.68555240800001</v>
      </c>
      <c r="K1099" t="n">
        <v>90.107508959</v>
      </c>
      <c r="L1099" t="n">
        <v>99.5</v>
      </c>
      <c r="M1099" t="n">
        <v>96.59195067100001</v>
      </c>
      <c r="N1099" t="n">
        <v>106.3200886</v>
      </c>
      <c r="O1099" t="n">
        <v>74.206183849</v>
      </c>
      <c r="P1099" t="n">
        <v/>
      </c>
      <c r="Q1099" t="n">
        <v>114.509542462</v>
      </c>
      <c r="R1099" t="n">
        <v>99.23</v>
      </c>
      <c r="S1099" t="n">
        <v>94.651156016</v>
      </c>
      <c r="T1099" t="n">
        <v>96.67492041</v>
      </c>
      <c r="U1099" t="n">
        <v/>
      </c>
      <c r="V1099" t="n">
        <v>116.174144677</v>
      </c>
      <c r="W1099" t="n">
        <v>83.406950579</v>
      </c>
      <c r="X1099" t="n">
        <v>85.473830863</v>
      </c>
      <c r="Y1099" t="n">
        <v/>
      </c>
      <c r="Z1099" t="n">
        <v>64.111266265</v>
      </c>
      <c r="AA1099" t="n">
        <v>82.466433905</v>
      </c>
      <c r="AB1099" t="n">
        <v>96.018735363</v>
      </c>
      <c r="AC1099" t="n">
        <v>109.090909091</v>
      </c>
      <c r="AD1099" t="n">
        <v>101.921743879</v>
      </c>
      <c r="AE1099" t="n">
        <v>92.925</v>
      </c>
      <c r="AF1099" t="n">
        <v>104.408700725</v>
      </c>
      <c r="AG1099" t="n">
        <v>83.09999999999999</v>
      </c>
      <c r="AH1099" t="n">
        <v>99.73921442300001</v>
      </c>
      <c r="AI1099" t="n">
        <v>103.391384051</v>
      </c>
      <c r="AJ1099" t="n">
        <v>102.055857254</v>
      </c>
      <c r="AK1099" t="n">
        <v/>
      </c>
      <c r="AL1099" t="n">
        <v>93.378083784</v>
      </c>
      <c r="AM1099" t="n">
        <v>85.5</v>
      </c>
      <c r="AN1099" t="n">
        <v>104.052776894</v>
      </c>
      <c r="AO1099" t="n">
        <v>82.8</v>
      </c>
      <c r="AP1099" t="n">
        <v>81.51358559800001</v>
      </c>
      <c r="AQ1099" t="n">
        <v>93.00775064600001</v>
      </c>
      <c r="AR1099" t="n">
        <v>104.791267394</v>
      </c>
      <c r="AS1099" t="n">
        <v>69.294225481</v>
      </c>
      <c r="AT1099" t="n">
        <v>91.155082011</v>
      </c>
      <c r="AU1099" t="n">
        <v/>
      </c>
    </row>
    <row r="1100">
      <c r="A1100" s="106" t="n">
        <v>40360</v>
      </c>
      <c r="B1100" t="n">
        <v>92.201004243</v>
      </c>
      <c r="C1100" t="n">
        <v>97.891842346</v>
      </c>
      <c r="D1100" t="n">
        <v>112.083677402</v>
      </c>
      <c r="E1100" t="n">
        <v>90.9582679</v>
      </c>
      <c r="F1100" t="n">
        <v/>
      </c>
      <c r="G1100" t="n">
        <v/>
      </c>
      <c r="H1100" t="n">
        <v>91.46414983</v>
      </c>
      <c r="I1100" t="n">
        <v>92.201004243</v>
      </c>
      <c r="J1100" t="n">
        <v>87.085485752</v>
      </c>
      <c r="K1100" t="n">
        <v>89.507458955</v>
      </c>
      <c r="L1100" t="n">
        <v>99.59999999999999</v>
      </c>
      <c r="M1100" t="n">
        <v>96.19198400099999</v>
      </c>
      <c r="N1100" t="n">
        <v>105.121087601</v>
      </c>
      <c r="O1100" t="n">
        <v>77.80648387399999</v>
      </c>
      <c r="P1100" t="n">
        <v/>
      </c>
      <c r="Q1100" t="n">
        <v>103.808650721</v>
      </c>
      <c r="R1100" t="n">
        <v>99.94</v>
      </c>
      <c r="S1100" t="n">
        <v>94.877881378</v>
      </c>
      <c r="T1100" t="n">
        <v>95.613724797</v>
      </c>
      <c r="U1100" t="n">
        <v/>
      </c>
      <c r="V1100" t="n">
        <v>109.281611587</v>
      </c>
      <c r="W1100" t="n">
        <v>83.006917243</v>
      </c>
      <c r="X1100" t="n">
        <v>88.688855502</v>
      </c>
      <c r="Y1100" t="n">
        <v/>
      </c>
      <c r="Z1100" t="n">
        <v>63.41783074</v>
      </c>
      <c r="AA1100" t="n">
        <v>79.296380175</v>
      </c>
      <c r="AB1100" t="n">
        <v>96.955503513</v>
      </c>
      <c r="AC1100" t="n">
        <v>108.790934089</v>
      </c>
      <c r="AD1100" t="n">
        <v>103.153426585</v>
      </c>
      <c r="AE1100" t="n">
        <v>93.45399999999999</v>
      </c>
      <c r="AF1100" t="n">
        <v>98.008167347</v>
      </c>
      <c r="AG1100" t="n">
        <v>86.59999999999999</v>
      </c>
      <c r="AH1100" t="n">
        <v>100.088996771</v>
      </c>
      <c r="AI1100" t="n">
        <v>101.891509041</v>
      </c>
      <c r="AJ1100" t="n">
        <v>100.543056633</v>
      </c>
      <c r="AK1100" t="n">
        <v/>
      </c>
      <c r="AL1100" t="n">
        <v>93.428862713</v>
      </c>
      <c r="AM1100" t="n">
        <v>84.8</v>
      </c>
      <c r="AN1100" t="n">
        <v>102.730099016</v>
      </c>
      <c r="AO1100" t="n">
        <v>83</v>
      </c>
      <c r="AP1100" t="n">
        <v>82.81380230000001</v>
      </c>
      <c r="AQ1100" t="n">
        <v>92.10767564</v>
      </c>
      <c r="AR1100" t="n">
        <v>104.991250729</v>
      </c>
      <c r="AS1100" t="n">
        <v>69.79418381799999</v>
      </c>
      <c r="AT1100" t="n">
        <v>91.497178694</v>
      </c>
      <c r="AU1100" t="n">
        <v/>
      </c>
    </row>
    <row r="1101">
      <c r="A1101" s="106" t="n">
        <v>40391</v>
      </c>
      <c r="B1101" t="n">
        <v>93.579882666</v>
      </c>
      <c r="C1101" t="n">
        <v>96.091992334</v>
      </c>
      <c r="D1101" t="n">
        <v>111.643270025</v>
      </c>
      <c r="E1101" t="n">
        <v>90.982345655</v>
      </c>
      <c r="F1101" t="n">
        <v/>
      </c>
      <c r="G1101" t="n">
        <v/>
      </c>
      <c r="H1101" t="n">
        <v>93.013728681</v>
      </c>
      <c r="I1101" t="n">
        <v>93.579882666</v>
      </c>
      <c r="J1101" t="n">
        <v>89.085152475</v>
      </c>
      <c r="K1101" t="n">
        <v>91.00758396499999</v>
      </c>
      <c r="L1101" t="n">
        <v>93.5</v>
      </c>
      <c r="M1101" t="n">
        <v>96.99191734</v>
      </c>
      <c r="N1101" t="n">
        <v>104.22008685</v>
      </c>
      <c r="O1101" t="n">
        <v>77.106425535</v>
      </c>
      <c r="P1101" t="n">
        <v/>
      </c>
      <c r="Q1101" t="n">
        <v>107.308942412</v>
      </c>
      <c r="R1101" t="n">
        <v>98.8</v>
      </c>
      <c r="S1101" t="n">
        <v>95.52902419900001</v>
      </c>
      <c r="T1101" t="n">
        <v>96.03820304200001</v>
      </c>
      <c r="U1101" t="n">
        <v/>
      </c>
      <c r="V1101" t="n">
        <v>116.973278948</v>
      </c>
      <c r="W1101" t="n">
        <v>85.10709225799999</v>
      </c>
      <c r="X1101" t="n">
        <v>88.033060388</v>
      </c>
      <c r="Y1101" t="n">
        <v/>
      </c>
      <c r="Z1101" t="n">
        <v>58.878980031</v>
      </c>
      <c r="AA1101" t="n">
        <v>77.015397033</v>
      </c>
      <c r="AB1101" t="n">
        <v>90.960187354</v>
      </c>
      <c r="AC1101" t="n">
        <v>112.490625781</v>
      </c>
      <c r="AD1101" t="n">
        <v>103.666627712</v>
      </c>
      <c r="AE1101" t="n">
        <v>93.155</v>
      </c>
      <c r="AF1101" t="n">
        <v>97.508125677</v>
      </c>
      <c r="AG1101" t="n">
        <v>87.7</v>
      </c>
      <c r="AH1101" t="n">
        <v>101.44499476</v>
      </c>
      <c r="AI1101" t="n">
        <v>104.19131739</v>
      </c>
      <c r="AJ1101" t="n">
        <v>93.677269201</v>
      </c>
      <c r="AK1101" t="n">
        <v/>
      </c>
      <c r="AL1101" t="n">
        <v>93.924010013</v>
      </c>
      <c r="AM1101" t="n">
        <v>83.90000000000001</v>
      </c>
      <c r="AN1101" t="n">
        <v>103.216317364</v>
      </c>
      <c r="AO1101" t="n">
        <v>83.3</v>
      </c>
      <c r="AP1101" t="n">
        <v>83.11385230899999</v>
      </c>
      <c r="AQ1101" t="n">
        <v>95.10792566000001</v>
      </c>
      <c r="AR1101" t="n">
        <v>103.291392384</v>
      </c>
      <c r="AS1101" t="n">
        <v>71.494042163</v>
      </c>
      <c r="AT1101" t="n">
        <v>91.835606513</v>
      </c>
      <c r="AU1101" t="n">
        <v/>
      </c>
    </row>
    <row r="1102">
      <c r="A1102" s="106" t="n">
        <v>40422</v>
      </c>
      <c r="B1102" t="n">
        <v>93.76373312600001</v>
      </c>
      <c r="C1102" t="n">
        <v>97.69185901199999</v>
      </c>
      <c r="D1102" t="n">
        <v>111.863473713</v>
      </c>
      <c r="E1102" t="n">
        <v>90.54653828799999</v>
      </c>
      <c r="F1102" t="n">
        <v/>
      </c>
      <c r="G1102" t="n">
        <v/>
      </c>
      <c r="H1102" t="n">
        <v>90.19710307</v>
      </c>
      <c r="I1102" t="n">
        <v>93.76373312600001</v>
      </c>
      <c r="J1102" t="n">
        <v>90.784869188</v>
      </c>
      <c r="K1102" t="n">
        <v>92.40770064199999</v>
      </c>
      <c r="L1102" t="n">
        <v>102.4</v>
      </c>
      <c r="M1102" t="n">
        <v>97.191900675</v>
      </c>
      <c r="N1102" t="n">
        <v>104.85608738</v>
      </c>
      <c r="O1102" t="n">
        <v>79.906658888</v>
      </c>
      <c r="P1102" t="n">
        <v/>
      </c>
      <c r="Q1102" t="n">
        <v>108.309025752</v>
      </c>
      <c r="R1102" t="n">
        <v>100.09</v>
      </c>
      <c r="S1102" t="n">
        <v>95.791188065</v>
      </c>
      <c r="T1102" t="n">
        <v>95.825963919</v>
      </c>
      <c r="U1102" t="n">
        <v/>
      </c>
      <c r="V1102" t="n">
        <v>108.182801965</v>
      </c>
      <c r="W1102" t="n">
        <v>84.107008917</v>
      </c>
      <c r="X1102" t="n">
        <v>88.79896704399999</v>
      </c>
      <c r="Y1102" t="n">
        <v/>
      </c>
      <c r="Z1102" t="n">
        <v>64.489503824</v>
      </c>
      <c r="AA1102" t="n">
        <v>76.49810951000001</v>
      </c>
      <c r="AB1102" t="n">
        <v>88.14988290399999</v>
      </c>
      <c r="AC1102" t="n">
        <v>107.99100075</v>
      </c>
      <c r="AD1102" t="n">
        <v>105.000950643</v>
      </c>
      <c r="AE1102" t="n">
        <v>93.468</v>
      </c>
      <c r="AF1102" t="n">
        <v>101.508459038</v>
      </c>
      <c r="AG1102" t="n">
        <v>87.5</v>
      </c>
      <c r="AH1102" t="n">
        <v>101.011857805</v>
      </c>
      <c r="AI1102" t="n">
        <v>102.991417382</v>
      </c>
      <c r="AJ1102" t="n">
        <v>97.517455392</v>
      </c>
      <c r="AK1102" t="n">
        <v/>
      </c>
      <c r="AL1102" t="n">
        <v>94.206975958</v>
      </c>
      <c r="AM1102" t="n">
        <v>85.3</v>
      </c>
      <c r="AN1102" t="n">
        <v>103.430124082</v>
      </c>
      <c r="AO1102" t="n">
        <v>84</v>
      </c>
      <c r="AP1102" t="n">
        <v>83.11385230899999</v>
      </c>
      <c r="AQ1102" t="n">
        <v>94.207850654</v>
      </c>
      <c r="AR1102" t="n">
        <v>104.19131739</v>
      </c>
      <c r="AS1102" t="n">
        <v>71.594033831</v>
      </c>
      <c r="AT1102" t="n">
        <v>92.08528751199999</v>
      </c>
      <c r="AU1102" t="n">
        <v/>
      </c>
    </row>
    <row r="1103">
      <c r="A1103" s="106" t="n">
        <v>40452</v>
      </c>
      <c r="B1103" t="n">
        <v>94.223359273</v>
      </c>
      <c r="C1103" t="n">
        <v>100.39163403</v>
      </c>
      <c r="D1103" t="n">
        <v>111.533168181</v>
      </c>
      <c r="E1103" t="n">
        <v>91.310070655</v>
      </c>
      <c r="F1103" t="n">
        <v>94.3</v>
      </c>
      <c r="G1103" t="n">
        <v/>
      </c>
      <c r="H1103" t="n">
        <v>90.14144133400001</v>
      </c>
      <c r="I1103" t="n">
        <v>94.223359273</v>
      </c>
      <c r="J1103" t="n">
        <v>90.784869188</v>
      </c>
      <c r="K1103" t="n">
        <v>94.407867322</v>
      </c>
      <c r="L1103" t="n">
        <v>100.7</v>
      </c>
      <c r="M1103" t="n">
        <v>97.99183401400001</v>
      </c>
      <c r="N1103" t="n">
        <v>105.499087916</v>
      </c>
      <c r="O1103" t="n">
        <v>83.806983915</v>
      </c>
      <c r="P1103" t="n">
        <v/>
      </c>
      <c r="Q1103" t="n">
        <v>108.909075756</v>
      </c>
      <c r="R1103" t="n">
        <v>99.90000000000001</v>
      </c>
      <c r="S1103" t="n">
        <v>95.607213708</v>
      </c>
      <c r="T1103" t="n">
        <v>96.887159533</v>
      </c>
      <c r="U1103" t="n">
        <v/>
      </c>
      <c r="V1103" t="n">
        <v>115.574793973</v>
      </c>
      <c r="W1103" t="n">
        <v>85.007083924</v>
      </c>
      <c r="X1103" t="n">
        <v>91.138984463</v>
      </c>
      <c r="Y1103" t="n">
        <v/>
      </c>
      <c r="Z1103" t="n">
        <v>59.761534335</v>
      </c>
      <c r="AA1103" t="n">
        <v>76.90987077299999</v>
      </c>
      <c r="AB1103" t="n">
        <v>89.367681499</v>
      </c>
      <c r="AC1103" t="n">
        <v>108.390967419</v>
      </c>
      <c r="AD1103" t="n">
        <v>102.024384105</v>
      </c>
      <c r="AE1103" t="n">
        <v>93.56999999999999</v>
      </c>
      <c r="AF1103" t="n">
        <v>102.908575715</v>
      </c>
      <c r="AG1103" t="n">
        <v>90.09999999999999</v>
      </c>
      <c r="AH1103" t="n">
        <v>100.746733159</v>
      </c>
      <c r="AI1103" t="n">
        <v>105.691192401</v>
      </c>
      <c r="AJ1103" t="n">
        <v>104.965089216</v>
      </c>
      <c r="AK1103" t="n">
        <v/>
      </c>
      <c r="AL1103" t="n">
        <v>94.274628834</v>
      </c>
      <c r="AM1103" t="n">
        <v>85.5</v>
      </c>
      <c r="AN1103" t="n">
        <v>101.91117514</v>
      </c>
      <c r="AO1103" t="n">
        <v>85.7</v>
      </c>
      <c r="AP1103" t="n">
        <v>84.114019003</v>
      </c>
      <c r="AQ1103" t="n">
        <v>94.407867322</v>
      </c>
      <c r="AR1103" t="n">
        <v>104.19131739</v>
      </c>
      <c r="AS1103" t="n">
        <v>72.293975502</v>
      </c>
      <c r="AT1103" t="n">
        <v>91.834416612</v>
      </c>
      <c r="AU1103" t="n">
        <v/>
      </c>
    </row>
    <row r="1104">
      <c r="A1104" s="106" t="n">
        <v>40483</v>
      </c>
      <c r="B1104" t="n">
        <v>94.31528449299999</v>
      </c>
      <c r="C1104" t="n">
        <v>101.491542371</v>
      </c>
      <c r="D1104" t="n">
        <v>112.524084778</v>
      </c>
      <c r="E1104" t="n">
        <v>91.33816136900001</v>
      </c>
      <c r="F1104" t="n">
        <v>94.2</v>
      </c>
      <c r="G1104" t="n">
        <v/>
      </c>
      <c r="H1104" t="n">
        <v>91.065718577</v>
      </c>
      <c r="I1104" t="n">
        <v>94.31528449299999</v>
      </c>
      <c r="J1104" t="n">
        <v>90.284952508</v>
      </c>
      <c r="K1104" t="n">
        <v>93.907825652</v>
      </c>
      <c r="L1104" t="n">
        <v>99.40000000000001</v>
      </c>
      <c r="M1104" t="n">
        <v>98.89175901999999</v>
      </c>
      <c r="N1104" t="n">
        <v>108.026090022</v>
      </c>
      <c r="O1104" t="n">
        <v>84.107008917</v>
      </c>
      <c r="P1104" t="n">
        <v/>
      </c>
      <c r="Q1104" t="n">
        <v>109.00908409</v>
      </c>
      <c r="R1104" t="n">
        <v>101.22</v>
      </c>
      <c r="S1104" t="n">
        <v>95.82980836199999</v>
      </c>
      <c r="T1104" t="n">
        <v>94.76476830599999</v>
      </c>
      <c r="U1104" t="n">
        <v/>
      </c>
      <c r="V1104" t="n">
        <v>114.076417215</v>
      </c>
      <c r="W1104" t="n">
        <v>87.00725060400001</v>
      </c>
      <c r="X1104" t="n">
        <v>89.536689365</v>
      </c>
      <c r="Y1104" t="n">
        <v/>
      </c>
      <c r="Z1104" t="n">
        <v>65.750295687</v>
      </c>
      <c r="AA1104" t="n">
        <v>81.416952501</v>
      </c>
      <c r="AB1104" t="n">
        <v>88.99297423900001</v>
      </c>
      <c r="AC1104" t="n">
        <v>108.990917424</v>
      </c>
      <c r="AD1104" t="n">
        <v>103.769267938</v>
      </c>
      <c r="AE1104" t="n">
        <v>94.14100000000001</v>
      </c>
      <c r="AF1104" t="n">
        <v>103.608634053</v>
      </c>
      <c r="AG1104" t="n">
        <v>88</v>
      </c>
      <c r="AH1104" t="n">
        <v>100.790920476</v>
      </c>
      <c r="AI1104" t="n">
        <v>106.891092409</v>
      </c>
      <c r="AJ1104" t="n">
        <v>102.521334368</v>
      </c>
      <c r="AK1104" t="n">
        <v/>
      </c>
      <c r="AL1104" t="n">
        <v>94.717886565</v>
      </c>
      <c r="AM1104" t="n">
        <v>85.40000000000001</v>
      </c>
      <c r="AN1104" t="n">
        <v>104.191965134</v>
      </c>
      <c r="AO1104" t="n">
        <v>86.09999999999999</v>
      </c>
      <c r="AP1104" t="n">
        <v>85.114185698</v>
      </c>
      <c r="AQ1104" t="n">
        <v>95.207933994</v>
      </c>
      <c r="AR1104" t="n">
        <v>107.091075744</v>
      </c>
      <c r="AS1104" t="n">
        <v>74.593783851</v>
      </c>
      <c r="AT1104" t="n">
        <v>91.897283075</v>
      </c>
      <c r="AU1104" t="n">
        <v/>
      </c>
    </row>
    <row r="1105">
      <c r="A1105" s="106" t="n">
        <v>40513</v>
      </c>
      <c r="B1105" t="n">
        <v>93.947583585</v>
      </c>
      <c r="C1105" t="n">
        <v>98.791767353</v>
      </c>
      <c r="D1105" t="n">
        <v>112.964492155</v>
      </c>
      <c r="E1105" t="n">
        <v>93.066409124</v>
      </c>
      <c r="F1105" t="n">
        <v>94.90000000000001</v>
      </c>
      <c r="G1105" t="n">
        <v/>
      </c>
      <c r="H1105" t="n">
        <v>91.291325915</v>
      </c>
      <c r="I1105" t="n">
        <v>93.947583585</v>
      </c>
      <c r="J1105" t="n">
        <v>89.085152475</v>
      </c>
      <c r="K1105" t="n">
        <v>95.40795066299999</v>
      </c>
      <c r="L1105" t="n">
        <v>99.09999999999999</v>
      </c>
      <c r="M1105" t="n">
        <v>99.591700692</v>
      </c>
      <c r="N1105" t="n">
        <v>105.366087805</v>
      </c>
      <c r="O1105" t="n">
        <v>84.807067256</v>
      </c>
      <c r="P1105" t="n">
        <v/>
      </c>
      <c r="Q1105" t="n">
        <v>110.109175765</v>
      </c>
      <c r="R1105" t="n">
        <v>102.51</v>
      </c>
      <c r="S1105" t="n">
        <v>96.64212918699999</v>
      </c>
      <c r="T1105" t="n">
        <v>93.172974885</v>
      </c>
      <c r="U1105" t="n">
        <v/>
      </c>
      <c r="V1105" t="n">
        <v>114.176308999</v>
      </c>
      <c r="W1105" t="n">
        <v>81.306775565</v>
      </c>
      <c r="X1105" t="n">
        <v>91.17019205</v>
      </c>
      <c r="Y1105" t="n">
        <v/>
      </c>
      <c r="Z1105" t="n">
        <v>65.18293934899999</v>
      </c>
      <c r="AA1105" t="n">
        <v>85.02856034200001</v>
      </c>
      <c r="AB1105" t="n">
        <v>90.02341920400001</v>
      </c>
      <c r="AC1105" t="n">
        <v>109.89084243</v>
      </c>
      <c r="AD1105" t="n">
        <v>104.077188614</v>
      </c>
      <c r="AE1105" t="n">
        <v>95.598</v>
      </c>
      <c r="AF1105" t="n">
        <v>100.508375698</v>
      </c>
      <c r="AG1105" t="n">
        <v>89.8</v>
      </c>
      <c r="AH1105" t="n">
        <v>101.519213246</v>
      </c>
      <c r="AI1105" t="n">
        <v>107.291059078</v>
      </c>
      <c r="AJ1105" t="n">
        <v>103.568657874</v>
      </c>
      <c r="AK1105" t="n">
        <v/>
      </c>
      <c r="AL1105" t="n">
        <v>95.250133741</v>
      </c>
      <c r="AM1105" t="n">
        <v>83.40000000000001</v>
      </c>
      <c r="AN1105" t="n">
        <v>106.402722711</v>
      </c>
      <c r="AO1105" t="n">
        <v>86.09999999999999</v>
      </c>
      <c r="AP1105" t="n">
        <v>83.613935656</v>
      </c>
      <c r="AQ1105" t="n">
        <v>97.30810900900001</v>
      </c>
      <c r="AR1105" t="n">
        <v>105.991167403</v>
      </c>
      <c r="AS1105" t="n">
        <v>75.79368386</v>
      </c>
      <c r="AT1105" t="n">
        <v>92.786635291</v>
      </c>
      <c r="AU1105" t="n">
        <v/>
      </c>
    </row>
    <row r="1106">
      <c r="A1106" s="106" t="n">
        <v>40544</v>
      </c>
      <c r="B1106" t="n">
        <v>95.41838723799999</v>
      </c>
      <c r="C1106" t="n">
        <v>100.7916007</v>
      </c>
      <c r="D1106" t="n">
        <v>113.184695844</v>
      </c>
      <c r="E1106" t="n">
        <v>92.851582042</v>
      </c>
      <c r="F1106" t="n">
        <v>96.3</v>
      </c>
      <c r="G1106" t="n">
        <v/>
      </c>
      <c r="H1106" t="n">
        <v>94.387606713</v>
      </c>
      <c r="I1106" t="n">
        <v>95.41838723799999</v>
      </c>
      <c r="J1106" t="n">
        <v>92.184635894</v>
      </c>
      <c r="K1106" t="n">
        <v>95.207933994</v>
      </c>
      <c r="L1106" t="n">
        <v>100.3</v>
      </c>
      <c r="M1106" t="n">
        <v>99.09174235499999</v>
      </c>
      <c r="N1106" t="n">
        <v>105.851088209</v>
      </c>
      <c r="O1106" t="n">
        <v>88.90740895099999</v>
      </c>
      <c r="P1106" t="n">
        <v/>
      </c>
      <c r="Q1106" t="n">
        <v>111.709309109</v>
      </c>
      <c r="R1106" t="n">
        <v>103.74</v>
      </c>
      <c r="S1106" t="n">
        <v>96.551586367</v>
      </c>
      <c r="T1106" t="n">
        <v>93.066855324</v>
      </c>
      <c r="U1106" t="n">
        <v/>
      </c>
      <c r="V1106" t="n">
        <v>111.579122617</v>
      </c>
      <c r="W1106" t="n">
        <v>87.607300608</v>
      </c>
      <c r="X1106" t="n">
        <v>92.239473805</v>
      </c>
      <c r="Y1106" t="n">
        <v/>
      </c>
      <c r="Z1106" t="n">
        <v>62.598316028</v>
      </c>
      <c r="AA1106" t="n">
        <v>85.852824854</v>
      </c>
      <c r="AB1106" t="n">
        <v>93.676814988</v>
      </c>
      <c r="AC1106" t="n">
        <v>107.791017415</v>
      </c>
      <c r="AD1106" t="n">
        <v>104.795670192</v>
      </c>
      <c r="AE1106" t="n">
        <v>97.916</v>
      </c>
      <c r="AF1106" t="n">
        <v>105.708809067</v>
      </c>
      <c r="AG1106" t="n">
        <v>87.5</v>
      </c>
      <c r="AH1106" t="n">
        <v>101.757739661</v>
      </c>
      <c r="AI1106" t="n">
        <v>105.791184068</v>
      </c>
      <c r="AJ1106" t="n">
        <v>99.96121024</v>
      </c>
      <c r="AK1106" t="n">
        <v/>
      </c>
      <c r="AL1106" t="n">
        <v>95.630808325</v>
      </c>
      <c r="AM1106" t="n">
        <v>85.90000000000001</v>
      </c>
      <c r="AN1106" t="n">
        <v>102.885008625</v>
      </c>
      <c r="AO1106" t="n">
        <v>87.3</v>
      </c>
      <c r="AP1106" t="n">
        <v>87.81463577300001</v>
      </c>
      <c r="AQ1106" t="n">
        <v>94.207850654</v>
      </c>
      <c r="AR1106" t="n">
        <v>106.291142405</v>
      </c>
      <c r="AS1106" t="n">
        <v>78.99341721499999</v>
      </c>
      <c r="AT1106" t="n">
        <v>92.593474613</v>
      </c>
      <c r="AU1106" t="n">
        <v/>
      </c>
    </row>
    <row r="1107">
      <c r="A1107" s="106" t="n">
        <v>40575</v>
      </c>
      <c r="B1107" t="n">
        <v>95.78608815600001</v>
      </c>
      <c r="C1107" t="n">
        <v>102.69144238</v>
      </c>
      <c r="D1107" t="n">
        <v>114.726121663</v>
      </c>
      <c r="E1107" t="n">
        <v>92.475701532</v>
      </c>
      <c r="F1107" t="n">
        <v>97.90000000000001</v>
      </c>
      <c r="G1107" t="n">
        <v/>
      </c>
      <c r="H1107" t="n">
        <v>89.76985612999999</v>
      </c>
      <c r="I1107" t="n">
        <v>95.78608815600001</v>
      </c>
      <c r="J1107" t="n">
        <v>90.98483586099999</v>
      </c>
      <c r="K1107" t="n">
        <v>96.308025669</v>
      </c>
      <c r="L1107" t="n">
        <v>97.90000000000001</v>
      </c>
      <c r="M1107" t="n">
        <v>100.091659028</v>
      </c>
      <c r="N1107" t="n">
        <v>106.279088566</v>
      </c>
      <c r="O1107" t="n">
        <v>88.707392283</v>
      </c>
      <c r="P1107" t="n">
        <v/>
      </c>
      <c r="Q1107" t="n">
        <v>109.209100758</v>
      </c>
      <c r="R1107" t="n">
        <v>104.09</v>
      </c>
      <c r="S1107" t="n">
        <v>96.682255482</v>
      </c>
      <c r="T1107" t="n">
        <v>91.581181464</v>
      </c>
      <c r="U1107" t="n">
        <v/>
      </c>
      <c r="V1107" t="n">
        <v>110.979771914</v>
      </c>
      <c r="W1107" t="n">
        <v>88.807400617</v>
      </c>
      <c r="X1107" t="n">
        <v>92.42697620200001</v>
      </c>
      <c r="Y1107" t="n">
        <v/>
      </c>
      <c r="Z1107" t="n">
        <v>63.039593181</v>
      </c>
      <c r="AA1107" t="n">
        <v>85.62895781</v>
      </c>
      <c r="AB1107" t="n">
        <v>91.147540984</v>
      </c>
      <c r="AC1107" t="n">
        <v>110.590784101</v>
      </c>
      <c r="AD1107" t="n">
        <v>105.206231094</v>
      </c>
      <c r="AE1107" t="n">
        <v>95.605</v>
      </c>
      <c r="AF1107" t="n">
        <v>107.208934078</v>
      </c>
      <c r="AG1107" t="n">
        <v>89.09999999999999</v>
      </c>
      <c r="AH1107" t="n">
        <v>101.921559668</v>
      </c>
      <c r="AI1107" t="n">
        <v>106.791100742</v>
      </c>
      <c r="AJ1107" t="n">
        <v>100.193948798</v>
      </c>
      <c r="AK1107" t="n">
        <v/>
      </c>
      <c r="AL1107" t="n">
        <v>95.593371776</v>
      </c>
      <c r="AM1107" t="n">
        <v>88.09999999999999</v>
      </c>
      <c r="AN1107" t="n">
        <v>104.18523429</v>
      </c>
      <c r="AO1107" t="n">
        <v>87</v>
      </c>
      <c r="AP1107" t="n">
        <v>87.11451908700001</v>
      </c>
      <c r="AQ1107" t="n">
        <v>93.407783982</v>
      </c>
      <c r="AR1107" t="n">
        <v>107.791017415</v>
      </c>
      <c r="AS1107" t="n">
        <v>77.79351720699999</v>
      </c>
      <c r="AT1107" t="n">
        <v>92.22242366099999</v>
      </c>
      <c r="AU1107" t="n">
        <v/>
      </c>
    </row>
    <row r="1108">
      <c r="A1108" s="106" t="n">
        <v>40603</v>
      </c>
      <c r="B1108" t="n">
        <v>96.245714294</v>
      </c>
      <c r="C1108" t="n">
        <v>105.391217399</v>
      </c>
      <c r="D1108" t="n">
        <v>115.386732728</v>
      </c>
      <c r="E1108" t="n">
        <v>93.528166961</v>
      </c>
      <c r="F1108" t="n">
        <v>94.09999999999999</v>
      </c>
      <c r="G1108" t="n">
        <v/>
      </c>
      <c r="H1108" t="n">
        <v>92.817234955</v>
      </c>
      <c r="I1108" t="n">
        <v>96.245714294</v>
      </c>
      <c r="J1108" t="n">
        <v>90.584902516</v>
      </c>
      <c r="K1108" t="n">
        <v>96.908075673</v>
      </c>
      <c r="L1108" t="n">
        <v>100.3</v>
      </c>
      <c r="M1108" t="n">
        <v>100.191650696</v>
      </c>
      <c r="N1108" t="n">
        <v>105.416087847</v>
      </c>
      <c r="O1108" t="n">
        <v>90.407533961</v>
      </c>
      <c r="P1108" t="n">
        <v/>
      </c>
      <c r="Q1108" t="n">
        <v>108.309025752</v>
      </c>
      <c r="R1108" t="n">
        <v>102.79</v>
      </c>
      <c r="S1108" t="n">
        <v>94.273737426</v>
      </c>
      <c r="T1108" t="n">
        <v>91.368942342</v>
      </c>
      <c r="U1108" t="n">
        <v/>
      </c>
      <c r="V1108" t="n">
        <v>110.87988013</v>
      </c>
      <c r="W1108" t="n">
        <v>85.90715892999999</v>
      </c>
      <c r="X1108" t="n">
        <v>94.704831109</v>
      </c>
      <c r="Y1108" t="n">
        <v/>
      </c>
      <c r="Z1108" t="n">
        <v>62.472236842</v>
      </c>
      <c r="AA1108" t="n">
        <v>84.78339834099999</v>
      </c>
      <c r="AB1108" t="n">
        <v>92.927400468</v>
      </c>
      <c r="AC1108" t="n">
        <v>110.790767436</v>
      </c>
      <c r="AD1108" t="n">
        <v>88.57851457</v>
      </c>
      <c r="AE1108" t="n">
        <v>97.79600000000001</v>
      </c>
      <c r="AF1108" t="n">
        <v>106.108842404</v>
      </c>
      <c r="AG1108" t="n">
        <v>90.2</v>
      </c>
      <c r="AH1108" t="n">
        <v>102.567367602</v>
      </c>
      <c r="AI1108" t="n">
        <v>106.191150737</v>
      </c>
      <c r="AJ1108" t="n">
        <v>99.262994569</v>
      </c>
      <c r="AK1108" t="n">
        <v/>
      </c>
      <c r="AL1108" t="n">
        <v>94.09727051</v>
      </c>
      <c r="AM1108" t="n">
        <v>87.2</v>
      </c>
      <c r="AN1108" t="n">
        <v>108.115444538</v>
      </c>
      <c r="AO1108" t="n">
        <v>86.7</v>
      </c>
      <c r="AP1108" t="n">
        <v>85.314219037</v>
      </c>
      <c r="AQ1108" t="n">
        <v>95.10792566000001</v>
      </c>
      <c r="AR1108" t="n">
        <v>106.291142405</v>
      </c>
      <c r="AS1108" t="n">
        <v>77.493542205</v>
      </c>
      <c r="AT1108" t="n">
        <v>93.187136305</v>
      </c>
      <c r="AU1108" t="n">
        <v/>
      </c>
    </row>
    <row r="1109">
      <c r="A1109" s="106" t="n">
        <v>40634</v>
      </c>
      <c r="B1109" t="n">
        <v>96.33763952300001</v>
      </c>
      <c r="C1109" t="n">
        <v>102.69144238</v>
      </c>
      <c r="D1109" t="n">
        <v>112.413982934</v>
      </c>
      <c r="E1109" t="n">
        <v>93.89147353200001</v>
      </c>
      <c r="F1109" t="n">
        <v>95.3</v>
      </c>
      <c r="G1109" t="n">
        <v/>
      </c>
      <c r="H1109" t="n">
        <v>92.54297409</v>
      </c>
      <c r="I1109" t="n">
        <v>96.33763952300001</v>
      </c>
      <c r="J1109" t="n">
        <v>90.98483586099999</v>
      </c>
      <c r="K1109" t="n">
        <v>97.508125677</v>
      </c>
      <c r="L1109" t="n">
        <v>100.8</v>
      </c>
      <c r="M1109" t="n">
        <v>99.791684026</v>
      </c>
      <c r="N1109" t="n">
        <v>104.917087431</v>
      </c>
      <c r="O1109" t="n">
        <v>90.50754229499999</v>
      </c>
      <c r="P1109" t="n">
        <v/>
      </c>
      <c r="Q1109" t="n">
        <v>109.309109092</v>
      </c>
      <c r="R1109" t="n">
        <v>101.05</v>
      </c>
      <c r="S1109" t="n">
        <v>94.457773054</v>
      </c>
      <c r="T1109" t="n">
        <v>90.519985851</v>
      </c>
      <c r="U1109" t="n">
        <v/>
      </c>
      <c r="V1109" t="n">
        <v>107.383667693</v>
      </c>
      <c r="W1109" t="n">
        <v>86.307192266</v>
      </c>
      <c r="X1109" t="n">
        <v>92.845655075</v>
      </c>
      <c r="Y1109" t="n">
        <v/>
      </c>
      <c r="Z1109" t="n">
        <v>63.41783074</v>
      </c>
      <c r="AA1109" t="n">
        <v>85.595485865</v>
      </c>
      <c r="AB1109" t="n">
        <v>93.208430913</v>
      </c>
      <c r="AC1109" t="n">
        <v>111.890675777</v>
      </c>
      <c r="AD1109" t="n">
        <v>90.22075817699999</v>
      </c>
      <c r="AE1109" t="n">
        <v>96.587</v>
      </c>
      <c r="AF1109" t="n">
        <v>105.608800733</v>
      </c>
      <c r="AG1109" t="n">
        <v>92.09999999999999</v>
      </c>
      <c r="AH1109" t="n">
        <v>102.575348612</v>
      </c>
      <c r="AI1109" t="n">
        <v>102.791434047</v>
      </c>
      <c r="AJ1109" t="n">
        <v>96.12102405</v>
      </c>
      <c r="AK1109" t="n">
        <v/>
      </c>
      <c r="AL1109" t="n">
        <v>94.051588202</v>
      </c>
      <c r="AM1109" t="n">
        <v>88.09999999999999</v>
      </c>
      <c r="AN1109" t="n">
        <v>105.191416905</v>
      </c>
      <c r="AO1109" t="n">
        <v>87.7</v>
      </c>
      <c r="AP1109" t="n">
        <v>86.714452409</v>
      </c>
      <c r="AQ1109" t="n">
        <v>93.907825652</v>
      </c>
      <c r="AR1109" t="n">
        <v>105.791184068</v>
      </c>
      <c r="AS1109" t="n">
        <v>77.393550537</v>
      </c>
      <c r="AT1109" t="n">
        <v>92.864375522</v>
      </c>
      <c r="AU1109" t="n">
        <v/>
      </c>
    </row>
    <row r="1110">
      <c r="A1110" s="106" t="n">
        <v>40664</v>
      </c>
      <c r="B1110" t="n">
        <v>96.98111613</v>
      </c>
      <c r="C1110" t="n">
        <v>102.29147571</v>
      </c>
      <c r="D1110" t="n">
        <v>115.827140105</v>
      </c>
      <c r="E1110" t="n">
        <v>92.24723038899999</v>
      </c>
      <c r="F1110" t="n">
        <v>97.8</v>
      </c>
      <c r="G1110" t="n">
        <v/>
      </c>
      <c r="H1110" t="n">
        <v>92.29532079499999</v>
      </c>
      <c r="I1110" t="n">
        <v>96.98111613</v>
      </c>
      <c r="J1110" t="n">
        <v>92.884519247</v>
      </c>
      <c r="K1110" t="n">
        <v>98.708225685</v>
      </c>
      <c r="L1110" t="n">
        <v>105.7</v>
      </c>
      <c r="M1110" t="n">
        <v>100.39163403</v>
      </c>
      <c r="N1110" t="n">
        <v>104.056086713</v>
      </c>
      <c r="O1110" t="n">
        <v>90.50754229499999</v>
      </c>
      <c r="P1110" t="n">
        <v/>
      </c>
      <c r="Q1110" t="n">
        <v>110.209184099</v>
      </c>
      <c r="R1110" t="n">
        <v>104.36</v>
      </c>
      <c r="S1110" t="n">
        <v>95.723519361</v>
      </c>
      <c r="T1110" t="n">
        <v>91.793420587</v>
      </c>
      <c r="U1110" t="n">
        <v/>
      </c>
      <c r="V1110" t="n">
        <v>108.482477316</v>
      </c>
      <c r="W1110" t="n">
        <v>84.707058922</v>
      </c>
      <c r="X1110" t="n">
        <v>90.504117022</v>
      </c>
      <c r="Y1110" t="n">
        <v/>
      </c>
      <c r="Z1110" t="n">
        <v>63.41783074</v>
      </c>
      <c r="AA1110" t="n">
        <v>89.990011458</v>
      </c>
      <c r="AB1110" t="n">
        <v>92.646370023</v>
      </c>
      <c r="AC1110" t="n">
        <v>109.690859095</v>
      </c>
      <c r="AD1110" t="n">
        <v>96.173891254</v>
      </c>
      <c r="AE1110" t="n">
        <v>97.822</v>
      </c>
      <c r="AF1110" t="n">
        <v>105.608800733</v>
      </c>
      <c r="AG1110" t="n">
        <v>92</v>
      </c>
      <c r="AH1110" t="n">
        <v>103.412272424</v>
      </c>
      <c r="AI1110" t="n">
        <v>104.19131739</v>
      </c>
      <c r="AJ1110" t="n">
        <v>91.81536074500001</v>
      </c>
      <c r="AK1110" t="n">
        <v/>
      </c>
      <c r="AL1110" t="n">
        <v>95.060747792</v>
      </c>
      <c r="AM1110" t="n">
        <v>88.2</v>
      </c>
      <c r="AN1110" t="n">
        <v>103.518261748</v>
      </c>
      <c r="AO1110" t="n">
        <v>87.7</v>
      </c>
      <c r="AP1110" t="n">
        <v>85.414235706</v>
      </c>
      <c r="AQ1110" t="n">
        <v>96.20801733499999</v>
      </c>
      <c r="AR1110" t="n">
        <v>107.091075744</v>
      </c>
      <c r="AS1110" t="n">
        <v>78.193483876</v>
      </c>
      <c r="AT1110" t="n">
        <v>92.998536917</v>
      </c>
      <c r="AU1110" t="n">
        <v/>
      </c>
    </row>
    <row r="1111">
      <c r="A1111" s="106" t="n">
        <v>40695</v>
      </c>
      <c r="B1111" t="n">
        <v>96.88919090100001</v>
      </c>
      <c r="C1111" t="n">
        <v>100.291642363</v>
      </c>
      <c r="D1111" t="n">
        <v>113.074593999</v>
      </c>
      <c r="E1111" t="n">
        <v>92.821083552</v>
      </c>
      <c r="F1111" t="n">
        <v>95.09999999999999</v>
      </c>
      <c r="G1111" t="n">
        <v/>
      </c>
      <c r="H1111" t="n">
        <v>91.690558853</v>
      </c>
      <c r="I1111" t="n">
        <v>96.88919090100001</v>
      </c>
      <c r="J1111" t="n">
        <v>92.184635894</v>
      </c>
      <c r="K1111" t="n">
        <v>97.108092341</v>
      </c>
      <c r="L1111" t="n">
        <v>102.1</v>
      </c>
      <c r="M1111" t="n">
        <v>98.99175068700001</v>
      </c>
      <c r="N1111" t="n">
        <v>104.453087044</v>
      </c>
      <c r="O1111" t="n">
        <v>91.90765897199999</v>
      </c>
      <c r="P1111" t="n">
        <v/>
      </c>
      <c r="Q1111" t="n">
        <v>107.208934078</v>
      </c>
      <c r="R1111" t="n">
        <v>101.53</v>
      </c>
      <c r="S1111" t="n">
        <v>96.184611043</v>
      </c>
      <c r="T1111" t="n">
        <v>92.21789883300001</v>
      </c>
      <c r="U1111" t="n">
        <v/>
      </c>
      <c r="V1111" t="n">
        <v>103.987347041</v>
      </c>
      <c r="W1111" t="n">
        <v>85.007083924</v>
      </c>
      <c r="X1111" t="n">
        <v>93.74711023</v>
      </c>
      <c r="Y1111" t="n">
        <v/>
      </c>
      <c r="Z1111" t="n">
        <v>62.157038876</v>
      </c>
      <c r="AA1111" t="n">
        <v>96.350996534</v>
      </c>
      <c r="AB1111" t="n">
        <v>91.522248244</v>
      </c>
      <c r="AC1111" t="n">
        <v>108.890925756</v>
      </c>
      <c r="AD1111" t="n">
        <v>100.074219821</v>
      </c>
      <c r="AE1111" t="n">
        <v>98.413</v>
      </c>
      <c r="AF1111" t="n">
        <v>100.8084007</v>
      </c>
      <c r="AG1111" t="n">
        <v>93.40000000000001</v>
      </c>
      <c r="AH1111" t="n">
        <v>103.028382017</v>
      </c>
      <c r="AI1111" t="n">
        <v>103.391384051</v>
      </c>
      <c r="AJ1111" t="n">
        <v>97.284716835</v>
      </c>
      <c r="AK1111" t="n">
        <v/>
      </c>
      <c r="AL1111" t="n">
        <v>95.326873091</v>
      </c>
      <c r="AM1111" t="n">
        <v>87.7</v>
      </c>
      <c r="AN1111" t="n">
        <v>100.825742485</v>
      </c>
      <c r="AO1111" t="n">
        <v>88.2</v>
      </c>
      <c r="AP1111" t="n">
        <v>88.41473578900001</v>
      </c>
      <c r="AQ1111" t="n">
        <v>92.60771731</v>
      </c>
      <c r="AR1111" t="n">
        <v>103.491375719</v>
      </c>
      <c r="AS1111" t="n">
        <v>79.693358887</v>
      </c>
      <c r="AT1111" t="n">
        <v>93.246433064</v>
      </c>
      <c r="AU1111" t="n">
        <v/>
      </c>
    </row>
    <row r="1112">
      <c r="A1112" s="106" t="n">
        <v>40725</v>
      </c>
      <c r="B1112" t="n">
        <v>96.061863845</v>
      </c>
      <c r="C1112" t="n">
        <v>101.191567369</v>
      </c>
      <c r="D1112" t="n">
        <v>113.515001376</v>
      </c>
      <c r="E1112" t="n">
        <v>94.466396817</v>
      </c>
      <c r="F1112" t="n">
        <v>97.40000000000001</v>
      </c>
      <c r="G1112" t="n">
        <v/>
      </c>
      <c r="H1112" t="n">
        <v>87.02586508500001</v>
      </c>
      <c r="I1112" t="n">
        <v>96.061863845</v>
      </c>
      <c r="J1112" t="n">
        <v>90.784869188</v>
      </c>
      <c r="K1112" t="n">
        <v>100.108342362</v>
      </c>
      <c r="L1112" t="n">
        <v>97.09999999999999</v>
      </c>
      <c r="M1112" t="n">
        <v>99.991667361</v>
      </c>
      <c r="N1112" t="n">
        <v>104.674087228</v>
      </c>
      <c r="O1112" t="n">
        <v>94.407867322</v>
      </c>
      <c r="P1112" t="n">
        <v/>
      </c>
      <c r="Q1112" t="n">
        <v>104.608717393</v>
      </c>
      <c r="R1112" t="n">
        <v>102.61</v>
      </c>
      <c r="S1112" t="n">
        <v>97.082921388</v>
      </c>
      <c r="T1112" t="n">
        <v>91.899540149</v>
      </c>
      <c r="U1112" t="n">
        <v/>
      </c>
      <c r="V1112" t="n">
        <v>110.87988013</v>
      </c>
      <c r="W1112" t="n">
        <v>86.107175598</v>
      </c>
      <c r="X1112" t="n">
        <v>92.089444521</v>
      </c>
      <c r="Y1112" t="n">
        <v/>
      </c>
      <c r="Z1112" t="n">
        <v>58.437702878</v>
      </c>
      <c r="AA1112" t="n">
        <v>94.36375154</v>
      </c>
      <c r="AB1112" t="n">
        <v>93.302107728</v>
      </c>
      <c r="AC1112" t="n">
        <v>108.490959087</v>
      </c>
      <c r="AD1112" t="n">
        <v>100.99798185</v>
      </c>
      <c r="AE1112" t="n">
        <v>98.47799999999999</v>
      </c>
      <c r="AF1112" t="n">
        <v>102.608550713</v>
      </c>
      <c r="AG1112" t="n">
        <v>93.09999999999999</v>
      </c>
      <c r="AH1112" t="n">
        <v>103.369802092</v>
      </c>
      <c r="AI1112" t="n">
        <v>105.991167403</v>
      </c>
      <c r="AJ1112" t="n">
        <v>96.819239721</v>
      </c>
      <c r="AK1112" t="n">
        <v/>
      </c>
      <c r="AL1112" t="n">
        <v>95.98243623400001</v>
      </c>
      <c r="AM1112" t="n">
        <v>88.2</v>
      </c>
      <c r="AN1112" t="n">
        <v>100.866739444</v>
      </c>
      <c r="AO1112" t="n">
        <v>88.5</v>
      </c>
      <c r="AP1112" t="n">
        <v>87.11451908700001</v>
      </c>
      <c r="AQ1112" t="n">
        <v>93.60780065</v>
      </c>
      <c r="AR1112" t="n">
        <v>105.991167403</v>
      </c>
      <c r="AS1112" t="n">
        <v>81.193233897</v>
      </c>
      <c r="AT1112" t="n">
        <v>93.719220595</v>
      </c>
      <c r="AU1112" t="n">
        <v/>
      </c>
    </row>
    <row r="1113">
      <c r="A1113" s="106" t="n">
        <v>40756</v>
      </c>
      <c r="B1113" t="n">
        <v>96.70534044199999</v>
      </c>
      <c r="C1113" t="n">
        <v>104.791267394</v>
      </c>
      <c r="D1113" t="n">
        <v>112.413982934</v>
      </c>
      <c r="E1113" t="n">
        <v>95.46535612300001</v>
      </c>
      <c r="F1113" t="n">
        <v>95.5</v>
      </c>
      <c r="G1113" t="n">
        <v/>
      </c>
      <c r="H1113" t="n">
        <v>91.98765917199999</v>
      </c>
      <c r="I1113" t="n">
        <v>96.70534044199999</v>
      </c>
      <c r="J1113" t="n">
        <v>91.48475254100001</v>
      </c>
      <c r="K1113" t="n">
        <v>99.30827569</v>
      </c>
      <c r="L1113" t="n">
        <v>99</v>
      </c>
      <c r="M1113" t="n">
        <v>100.091659028</v>
      </c>
      <c r="N1113" t="n">
        <v>104.58008715</v>
      </c>
      <c r="O1113" t="n">
        <v>94.30785898800001</v>
      </c>
      <c r="P1113" t="n">
        <v/>
      </c>
      <c r="Q1113" t="n">
        <v>107.108925744</v>
      </c>
      <c r="R1113" t="n">
        <v>101.78</v>
      </c>
      <c r="S1113" t="n">
        <v>97.467255025</v>
      </c>
      <c r="T1113" t="n">
        <v>91.368942342</v>
      </c>
      <c r="U1113" t="n">
        <v/>
      </c>
      <c r="V1113" t="n">
        <v>105.785399151</v>
      </c>
      <c r="W1113" t="n">
        <v>85.607133928</v>
      </c>
      <c r="X1113" t="n">
        <v>90.649553036</v>
      </c>
      <c r="Y1113" t="n">
        <v/>
      </c>
      <c r="Z1113" t="n">
        <v>63.985187078</v>
      </c>
      <c r="AA1113" t="n">
        <v>93.485661349</v>
      </c>
      <c r="AB1113" t="n">
        <v>88.618266979</v>
      </c>
      <c r="AC1113" t="n">
        <v>107.791017415</v>
      </c>
      <c r="AD1113" t="n">
        <v>102.537585232</v>
      </c>
      <c r="AE1113" t="n">
        <v>98.11</v>
      </c>
      <c r="AF1113" t="n">
        <v>103.508625719</v>
      </c>
      <c r="AG1113" t="n">
        <v>92.59999999999999</v>
      </c>
      <c r="AH1113" t="n">
        <v>103.533981894</v>
      </c>
      <c r="AI1113" t="n">
        <v>106.291142405</v>
      </c>
      <c r="AJ1113" t="n">
        <v>100.077579519</v>
      </c>
      <c r="AK1113" t="n">
        <v/>
      </c>
      <c r="AL1113" t="n">
        <v>96.50921178999999</v>
      </c>
      <c r="AM1113" t="n">
        <v>90.40000000000001</v>
      </c>
      <c r="AN1113" t="n">
        <v>103.5599681</v>
      </c>
      <c r="AO1113" t="n">
        <v>88</v>
      </c>
      <c r="AP1113" t="n">
        <v>85.914319053</v>
      </c>
      <c r="AQ1113" t="n">
        <v>92.60771731</v>
      </c>
      <c r="AR1113" t="n">
        <v>103.391384051</v>
      </c>
      <c r="AS1113" t="n">
        <v>83.593033914</v>
      </c>
      <c r="AT1113" t="n">
        <v>94.325772886</v>
      </c>
      <c r="AU1113" t="n">
        <v/>
      </c>
    </row>
    <row r="1114">
      <c r="A1114" s="106" t="n">
        <v>40787</v>
      </c>
      <c r="B1114" t="n">
        <v>96.70534044199999</v>
      </c>
      <c r="C1114" t="n">
        <v>101.991500708</v>
      </c>
      <c r="D1114" t="n">
        <v>110.322047894</v>
      </c>
      <c r="E1114" t="n">
        <v>96.10769712299999</v>
      </c>
      <c r="F1114" t="n">
        <v>97.8</v>
      </c>
      <c r="G1114" t="n">
        <v/>
      </c>
      <c r="H1114" t="n">
        <v>93.885027912</v>
      </c>
      <c r="I1114" t="n">
        <v>96.70534044199999</v>
      </c>
      <c r="J1114" t="n">
        <v>91.284785869</v>
      </c>
      <c r="K1114" t="n">
        <v>97.80815067899999</v>
      </c>
      <c r="L1114" t="n">
        <v>98.7</v>
      </c>
      <c r="M1114" t="n">
        <v>99.09174235499999</v>
      </c>
      <c r="N1114" t="n">
        <v>103.157085964</v>
      </c>
      <c r="O1114" t="n">
        <v>89.807483957</v>
      </c>
      <c r="P1114" t="n">
        <v/>
      </c>
      <c r="Q1114" t="n">
        <v>107.208934078</v>
      </c>
      <c r="R1114" t="n">
        <v>101.05</v>
      </c>
      <c r="S1114" t="n">
        <v>97.098758438</v>
      </c>
      <c r="T1114" t="n">
        <v>91.26282277999999</v>
      </c>
      <c r="U1114" t="n">
        <v/>
      </c>
      <c r="V1114" t="n">
        <v>111.579122617</v>
      </c>
      <c r="W1114" t="n">
        <v>86.807233936</v>
      </c>
      <c r="X1114" t="n">
        <v>91.04016898</v>
      </c>
      <c r="Y1114" t="n">
        <v/>
      </c>
      <c r="Z1114" t="n">
        <v>65.68725609400001</v>
      </c>
      <c r="AA1114" t="n">
        <v>91.755065831</v>
      </c>
      <c r="AB1114" t="n">
        <v>91.241217799</v>
      </c>
      <c r="AC1114" t="n">
        <v>107.291059078</v>
      </c>
      <c r="AD1114" t="n">
        <v>101.921743879</v>
      </c>
      <c r="AE1114" t="n">
        <v>98.602</v>
      </c>
      <c r="AF1114" t="n">
        <v>99.608300692</v>
      </c>
      <c r="AG1114" t="n">
        <v>95.09999999999999</v>
      </c>
      <c r="AH1114" t="n">
        <v>104.158153016</v>
      </c>
      <c r="AI1114" t="n">
        <v>104.19131739</v>
      </c>
      <c r="AJ1114" t="n">
        <v>101.939487975</v>
      </c>
      <c r="AK1114" t="n">
        <v/>
      </c>
      <c r="AL1114" t="n">
        <v>96.23208212599999</v>
      </c>
      <c r="AM1114" t="n">
        <v>91.2</v>
      </c>
      <c r="AN1114" t="n">
        <v>101.277027725</v>
      </c>
      <c r="AO1114" t="n">
        <v>88.09999999999999</v>
      </c>
      <c r="AP1114" t="n">
        <v>85.514252375</v>
      </c>
      <c r="AQ1114" t="n">
        <v>95.507958997</v>
      </c>
      <c r="AR1114" t="n">
        <v>105.391217399</v>
      </c>
      <c r="AS1114" t="n">
        <v>79.19340055000001</v>
      </c>
      <c r="AT1114" t="n">
        <v>94.273119745</v>
      </c>
      <c r="AU1114" t="n">
        <v/>
      </c>
    </row>
    <row r="1115">
      <c r="A1115" s="106" t="n">
        <v>40817</v>
      </c>
      <c r="B1115" t="n">
        <v>96.70534044199999</v>
      </c>
      <c r="C1115" t="n">
        <v>99.791684026</v>
      </c>
      <c r="D1115" t="n">
        <v>109.221029452</v>
      </c>
      <c r="E1115" t="n">
        <v>95.470974266</v>
      </c>
      <c r="F1115" t="n">
        <v>97</v>
      </c>
      <c r="G1115" t="n">
        <v/>
      </c>
      <c r="H1115" t="n">
        <v>93.67853789599999</v>
      </c>
      <c r="I1115" t="n">
        <v>96.70534044199999</v>
      </c>
      <c r="J1115" t="n">
        <v>91.884685886</v>
      </c>
      <c r="K1115" t="n">
        <v>98.908242354</v>
      </c>
      <c r="L1115" t="n">
        <v>98.7</v>
      </c>
      <c r="M1115" t="n">
        <v>98.791767353</v>
      </c>
      <c r="N1115" t="n">
        <v>101.654084712</v>
      </c>
      <c r="O1115" t="n">
        <v>90.00750062500001</v>
      </c>
      <c r="P1115" t="n">
        <v/>
      </c>
      <c r="Q1115" t="n">
        <v>106.908909076</v>
      </c>
      <c r="R1115" t="n">
        <v>101.26</v>
      </c>
      <c r="S1115" t="n">
        <v>97.700836079</v>
      </c>
      <c r="T1115" t="n">
        <v>90.944464096</v>
      </c>
      <c r="U1115" t="n">
        <v/>
      </c>
      <c r="V1115" t="n">
        <v>101.989511363</v>
      </c>
      <c r="W1115" t="n">
        <v>87.40728394</v>
      </c>
      <c r="X1115" t="n">
        <v>86.542741558</v>
      </c>
      <c r="Y1115" t="n">
        <v/>
      </c>
      <c r="Z1115" t="n">
        <v>64.61558300999999</v>
      </c>
      <c r="AA1115" t="n">
        <v>91.468855222</v>
      </c>
      <c r="AB1115" t="n">
        <v>90.960187354</v>
      </c>
      <c r="AC1115" t="n">
        <v>105.991167403</v>
      </c>
      <c r="AD1115" t="n">
        <v>103.563987487</v>
      </c>
      <c r="AE1115" t="n">
        <v>99.559</v>
      </c>
      <c r="AF1115" t="n">
        <v>97.708142345</v>
      </c>
      <c r="AG1115" t="n">
        <v>94.3</v>
      </c>
      <c r="AH1115" t="n">
        <v>104.777356366</v>
      </c>
      <c r="AI1115" t="n">
        <v>102.29147571</v>
      </c>
      <c r="AJ1115" t="n">
        <v>98.44840962000001</v>
      </c>
      <c r="AK1115" t="n">
        <v/>
      </c>
      <c r="AL1115" t="n">
        <v>96.672794233</v>
      </c>
      <c r="AM1115" t="n">
        <v>90.7</v>
      </c>
      <c r="AN1115" t="n">
        <v>99.065296026</v>
      </c>
      <c r="AO1115" t="n">
        <v>88.8</v>
      </c>
      <c r="AP1115" t="n">
        <v>88.31471912000001</v>
      </c>
      <c r="AQ1115" t="n">
        <v>95.007917326</v>
      </c>
      <c r="AR1115" t="n">
        <v>105.291225731</v>
      </c>
      <c r="AS1115" t="n">
        <v>83.693025581</v>
      </c>
      <c r="AT1115" t="n">
        <v>94.92350007500001</v>
      </c>
      <c r="AU1115" t="n">
        <v/>
      </c>
    </row>
    <row r="1116">
      <c r="A1116" s="106" t="n">
        <v>40848</v>
      </c>
      <c r="B1116" t="n">
        <v>97.80844318600001</v>
      </c>
      <c r="C1116" t="n">
        <v>99.791684026</v>
      </c>
      <c r="D1116" t="n">
        <v>109.991742362</v>
      </c>
      <c r="E1116" t="n">
        <v>95.225648695</v>
      </c>
      <c r="F1116" t="n">
        <v>97.40000000000001</v>
      </c>
      <c r="G1116" t="n">
        <v/>
      </c>
      <c r="H1116" t="n">
        <v>93.644807743</v>
      </c>
      <c r="I1116" t="n">
        <v>97.80844318600001</v>
      </c>
      <c r="J1116" t="n">
        <v>94.484252625</v>
      </c>
      <c r="K1116" t="n">
        <v>98.208184015</v>
      </c>
      <c r="L1116" t="n">
        <v>98.90000000000001</v>
      </c>
      <c r="M1116" t="n">
        <v>99.09174235499999</v>
      </c>
      <c r="N1116" t="n">
        <v>101.111084259</v>
      </c>
      <c r="O1116" t="n">
        <v>91.407617301</v>
      </c>
      <c r="P1116" t="n">
        <v/>
      </c>
      <c r="Q1116" t="n">
        <v>109.609134095</v>
      </c>
      <c r="R1116" t="n">
        <v>103.29</v>
      </c>
      <c r="S1116" t="n">
        <v>97.353327128</v>
      </c>
      <c r="T1116" t="n">
        <v>90.519985851</v>
      </c>
      <c r="U1116" t="n">
        <v/>
      </c>
      <c r="V1116" t="n">
        <v>105.285940231</v>
      </c>
      <c r="W1116" t="n">
        <v>90.207517293</v>
      </c>
      <c r="X1116" t="n">
        <v>95.13274918</v>
      </c>
      <c r="Y1116" t="n">
        <v/>
      </c>
      <c r="Z1116" t="n">
        <v>62.03095969</v>
      </c>
      <c r="AA1116" t="n">
        <v>91.328986379</v>
      </c>
      <c r="AB1116" t="n">
        <v>89.180327869</v>
      </c>
      <c r="AC1116" t="n">
        <v>106.791100742</v>
      </c>
      <c r="AD1116" t="n">
        <v>101.511182978</v>
      </c>
      <c r="AE1116" t="n">
        <v>97.72</v>
      </c>
      <c r="AF1116" t="n">
        <v>102.808567381</v>
      </c>
      <c r="AG1116" t="n">
        <v>95.2</v>
      </c>
      <c r="AH1116" t="n">
        <v>104.919201137</v>
      </c>
      <c r="AI1116" t="n">
        <v>102.591450712</v>
      </c>
      <c r="AJ1116" t="n">
        <v>101.241272304</v>
      </c>
      <c r="AK1116" t="n">
        <v/>
      </c>
      <c r="AL1116" t="n">
        <v>96.41202551400001</v>
      </c>
      <c r="AM1116" t="n">
        <v>92.09999999999999</v>
      </c>
      <c r="AN1116" t="n">
        <v>99.159020985</v>
      </c>
      <c r="AO1116" t="n">
        <v>89.09999999999999</v>
      </c>
      <c r="AP1116" t="n">
        <v>87.414569095</v>
      </c>
      <c r="AQ1116" t="n">
        <v>95.907992333</v>
      </c>
      <c r="AR1116" t="n">
        <v>101.791517374</v>
      </c>
      <c r="AS1116" t="n">
        <v>82.89309224199999</v>
      </c>
      <c r="AT1116" t="n">
        <v>94.939762063</v>
      </c>
      <c r="AU1116" t="n">
        <v/>
      </c>
    </row>
    <row r="1117">
      <c r="A1117" s="106" t="n">
        <v>40878</v>
      </c>
      <c r="B1117" t="n">
        <v>98.084218865</v>
      </c>
      <c r="C1117" t="n">
        <v>99.591700692</v>
      </c>
      <c r="D1117" t="n">
        <v>112.854390311</v>
      </c>
      <c r="E1117" t="n">
        <v>96.138730674</v>
      </c>
      <c r="F1117" t="n">
        <v>97.8</v>
      </c>
      <c r="G1117" t="n">
        <v/>
      </c>
      <c r="H1117" t="n">
        <v>96.615463972</v>
      </c>
      <c r="I1117" t="n">
        <v>98.084218865</v>
      </c>
      <c r="J1117" t="n">
        <v>93.284452591</v>
      </c>
      <c r="K1117" t="n">
        <v>96.808067339</v>
      </c>
      <c r="L1117" t="n">
        <v>97.59999999999999</v>
      </c>
      <c r="M1117" t="n">
        <v>98.491792351</v>
      </c>
      <c r="N1117" t="n">
        <v>102.308085257</v>
      </c>
      <c r="O1117" t="n">
        <v>89.807483957</v>
      </c>
      <c r="P1117" t="n">
        <v/>
      </c>
      <c r="Q1117" t="n">
        <v>111.309275773</v>
      </c>
      <c r="R1117" t="n">
        <v>101.25</v>
      </c>
      <c r="S1117" t="n">
        <v>97.78527015</v>
      </c>
      <c r="T1117" t="n">
        <v>91.05058365799999</v>
      </c>
      <c r="U1117" t="n">
        <v/>
      </c>
      <c r="V1117" t="n">
        <v>99.692000333</v>
      </c>
      <c r="W1117" t="n">
        <v>86.90724227</v>
      </c>
      <c r="X1117" t="n">
        <v>93.924166769</v>
      </c>
      <c r="Y1117" t="n">
        <v/>
      </c>
      <c r="Z1117" t="n">
        <v>62.093999283</v>
      </c>
      <c r="AA1117" t="n">
        <v>90.473201432</v>
      </c>
      <c r="AB1117" t="n">
        <v>90.30444964900001</v>
      </c>
      <c r="AC1117" t="n">
        <v>107.691025748</v>
      </c>
      <c r="AD1117" t="n">
        <v>103.563987487</v>
      </c>
      <c r="AE1117" t="n">
        <v>95.88800000000001</v>
      </c>
      <c r="AF1117" t="n">
        <v>95.307942329</v>
      </c>
      <c r="AG1117" t="n">
        <v>92.5</v>
      </c>
      <c r="AH1117" t="n">
        <v>105.441634461</v>
      </c>
      <c r="AI1117" t="n">
        <v>102.491459045</v>
      </c>
      <c r="AJ1117" t="n">
        <v>98.215671063</v>
      </c>
      <c r="AK1117" t="n">
        <v/>
      </c>
      <c r="AL1117" t="n">
        <v>96.656344021</v>
      </c>
      <c r="AM1117" t="n">
        <v>94.09999999999999</v>
      </c>
      <c r="AN1117" t="n">
        <v>97.62126974900001</v>
      </c>
      <c r="AO1117" t="n">
        <v>89.7</v>
      </c>
      <c r="AP1117" t="n">
        <v>89.914985831</v>
      </c>
      <c r="AQ1117" t="n">
        <v>93.707808984</v>
      </c>
      <c r="AR1117" t="n">
        <v>101.491542371</v>
      </c>
      <c r="AS1117" t="n">
        <v>82.89309224199999</v>
      </c>
      <c r="AT1117" t="n">
        <v>95.405013551</v>
      </c>
      <c r="AU1117" t="n">
        <v/>
      </c>
    </row>
    <row r="1118">
      <c r="A1118" s="106" t="n">
        <v>40909</v>
      </c>
      <c r="B1118" t="n">
        <v>96.88919090100001</v>
      </c>
      <c r="C1118" t="n">
        <v>100.591617365</v>
      </c>
      <c r="D1118" t="n">
        <v>107.899807322</v>
      </c>
      <c r="E1118" t="n">
        <v>96.14969942899999</v>
      </c>
      <c r="F1118" t="n">
        <v>98.3</v>
      </c>
      <c r="G1118" t="n">
        <v/>
      </c>
      <c r="H1118" t="n">
        <v>94.67054607</v>
      </c>
      <c r="I1118" t="n">
        <v>96.88919090100001</v>
      </c>
      <c r="J1118" t="n">
        <v>92.184635894</v>
      </c>
      <c r="K1118" t="n">
        <v>97.30810900900001</v>
      </c>
      <c r="L1118" t="n">
        <v>98.09999999999999</v>
      </c>
      <c r="M1118" t="n">
        <v>97.69185901199999</v>
      </c>
      <c r="N1118" t="n">
        <v>100.691083909</v>
      </c>
      <c r="O1118" t="n">
        <v>91.207600633</v>
      </c>
      <c r="P1118" t="n">
        <v/>
      </c>
      <c r="Q1118" t="n">
        <v>106.50887574</v>
      </c>
      <c r="R1118" t="n">
        <v>100.87</v>
      </c>
      <c r="S1118" t="n">
        <v>97.861303768</v>
      </c>
      <c r="T1118" t="n">
        <v>90.413866289</v>
      </c>
      <c r="U1118" t="n">
        <v/>
      </c>
      <c r="V1118" t="n">
        <v>103.787563473</v>
      </c>
      <c r="W1118" t="n">
        <v>86.007167264</v>
      </c>
      <c r="X1118" t="n">
        <v>92.952301014</v>
      </c>
      <c r="Y1118" t="n">
        <v/>
      </c>
      <c r="Z1118" t="n">
        <v>62.409197249</v>
      </c>
      <c r="AA1118" t="n">
        <v>94.24214014499999</v>
      </c>
      <c r="AB1118" t="n">
        <v>92.646370023</v>
      </c>
      <c r="AC1118" t="n">
        <v>103.591367386</v>
      </c>
      <c r="AD1118" t="n">
        <v>103.871908163</v>
      </c>
      <c r="AE1118" t="n">
        <v>97.93300000000001</v>
      </c>
      <c r="AF1118" t="n">
        <v>99.80831736</v>
      </c>
      <c r="AG1118" t="n">
        <v>96.40000000000001</v>
      </c>
      <c r="AH1118" t="n">
        <v>105.467852243</v>
      </c>
      <c r="AI1118" t="n">
        <v>102.891425715</v>
      </c>
      <c r="AJ1118" t="n">
        <v>102.986811482</v>
      </c>
      <c r="AK1118" t="n">
        <v/>
      </c>
      <c r="AL1118" t="n">
        <v>96.75894295000001</v>
      </c>
      <c r="AM1118" t="n">
        <v>91</v>
      </c>
      <c r="AN1118" t="n">
        <v>97.042640961</v>
      </c>
      <c r="AO1118" t="n">
        <v>90.09999999999999</v>
      </c>
      <c r="AP1118" t="n">
        <v>89.71495249199999</v>
      </c>
      <c r="AQ1118" t="n">
        <v>94.30785898800001</v>
      </c>
      <c r="AR1118" t="n">
        <v>107.59103408</v>
      </c>
      <c r="AS1118" t="n">
        <v>81.99316723600001</v>
      </c>
      <c r="AT1118" t="n">
        <v>95.990445091</v>
      </c>
      <c r="AU1118" t="n">
        <v/>
      </c>
    </row>
    <row r="1119">
      <c r="A1119" s="106" t="n">
        <v>40940</v>
      </c>
      <c r="B1119" t="n">
        <v>95.78608815600001</v>
      </c>
      <c r="C1119" t="n">
        <v>102.491459045</v>
      </c>
      <c r="D1119" t="n">
        <v>109.000825764</v>
      </c>
      <c r="E1119" t="n">
        <v>94.06108793999999</v>
      </c>
      <c r="F1119" t="n">
        <v>97.7</v>
      </c>
      <c r="G1119" t="n">
        <v/>
      </c>
      <c r="H1119" t="n">
        <v>93.56802652499999</v>
      </c>
      <c r="I1119" t="n">
        <v>95.78608815600001</v>
      </c>
      <c r="J1119" t="n">
        <v>93.284452591</v>
      </c>
      <c r="K1119" t="n">
        <v>97.208100675</v>
      </c>
      <c r="L1119" t="n">
        <v>100.5</v>
      </c>
      <c r="M1119" t="n">
        <v>98.391800683</v>
      </c>
      <c r="N1119" t="n">
        <v>99.467082889</v>
      </c>
      <c r="O1119" t="n">
        <v>90.407533961</v>
      </c>
      <c r="P1119" t="n">
        <v/>
      </c>
      <c r="Q1119" t="n">
        <v>106.408867406</v>
      </c>
      <c r="R1119" t="n">
        <v>101.79</v>
      </c>
      <c r="S1119" t="n">
        <v>97.89280786899999</v>
      </c>
      <c r="T1119" t="n">
        <v>90.519985851</v>
      </c>
      <c r="U1119" t="n">
        <v/>
      </c>
      <c r="V1119" t="n">
        <v>102.18929493</v>
      </c>
      <c r="W1119" t="n">
        <v>86.607217268</v>
      </c>
      <c r="X1119" t="n">
        <v>93.06203981100001</v>
      </c>
      <c r="Y1119" t="n">
        <v/>
      </c>
      <c r="Z1119" t="n">
        <v>62.346157656</v>
      </c>
      <c r="AA1119" t="n">
        <v>98.195393063</v>
      </c>
      <c r="AB1119" t="n">
        <v>88.618266979</v>
      </c>
      <c r="AC1119" t="n">
        <v>103.891342388</v>
      </c>
      <c r="AD1119" t="n">
        <v>103.666627712</v>
      </c>
      <c r="AE1119" t="n">
        <v>101.075</v>
      </c>
      <c r="AF1119" t="n">
        <v>96.008000667</v>
      </c>
      <c r="AG1119" t="n">
        <v>97.59999999999999</v>
      </c>
      <c r="AH1119" t="n">
        <v>105.731929104</v>
      </c>
      <c r="AI1119" t="n">
        <v>106.891092409</v>
      </c>
      <c r="AJ1119" t="n">
        <v>103.452288596</v>
      </c>
      <c r="AK1119" t="n">
        <v/>
      </c>
      <c r="AL1119" t="n">
        <v>96.829693433</v>
      </c>
      <c r="AM1119" t="n">
        <v>88.7</v>
      </c>
      <c r="AN1119" t="n">
        <v>97.237890654</v>
      </c>
      <c r="AO1119" t="n">
        <v>90.8</v>
      </c>
      <c r="AP1119" t="n">
        <v>89.914985831</v>
      </c>
      <c r="AQ1119" t="n">
        <v>95.207933994</v>
      </c>
      <c r="AR1119" t="n">
        <v>101.691525706</v>
      </c>
      <c r="AS1119" t="n">
        <v>80.893258895</v>
      </c>
      <c r="AT1119" t="n">
        <v>96.28613561500001</v>
      </c>
      <c r="AU1119" t="n">
        <v/>
      </c>
    </row>
    <row r="1120">
      <c r="A1120" s="106" t="n">
        <v>40969</v>
      </c>
      <c r="B1120" t="n">
        <v>97.62459272700001</v>
      </c>
      <c r="C1120" t="n">
        <v>103.091409049</v>
      </c>
      <c r="D1120" t="n">
        <v>108.230112854</v>
      </c>
      <c r="E1120" t="n">
        <v>94.225886797</v>
      </c>
      <c r="F1120" t="n">
        <v>96.40000000000001</v>
      </c>
      <c r="G1120" t="n">
        <v/>
      </c>
      <c r="H1120" t="n">
        <v>95.398241918</v>
      </c>
      <c r="I1120" t="n">
        <v>97.62459272700001</v>
      </c>
      <c r="J1120" t="n">
        <v>92.384602566</v>
      </c>
      <c r="K1120" t="n">
        <v>98.408200683</v>
      </c>
      <c r="L1120" t="n">
        <v>98.40000000000001</v>
      </c>
      <c r="M1120" t="n">
        <v>98.191817349</v>
      </c>
      <c r="N1120" t="n">
        <v>97.916081597</v>
      </c>
      <c r="O1120" t="n">
        <v>89.507458955</v>
      </c>
      <c r="P1120" t="n">
        <v/>
      </c>
      <c r="Q1120" t="n">
        <v>107.00891741</v>
      </c>
      <c r="R1120" t="n">
        <v>100.65</v>
      </c>
      <c r="S1120" t="n">
        <v>97.798554498</v>
      </c>
      <c r="T1120" t="n">
        <v>91.05058365799999</v>
      </c>
      <c r="U1120" t="n">
        <v/>
      </c>
      <c r="V1120" t="n">
        <v>101.789727795</v>
      </c>
      <c r="W1120" t="n">
        <v>86.20718393200001</v>
      </c>
      <c r="X1120" t="n">
        <v>92.267273214</v>
      </c>
      <c r="Y1120" t="n">
        <v/>
      </c>
      <c r="Z1120" t="n">
        <v>63.102632774</v>
      </c>
      <c r="AA1120" t="n">
        <v>99.93846533599999</v>
      </c>
      <c r="AB1120" t="n">
        <v>94.14519906300001</v>
      </c>
      <c r="AC1120" t="n">
        <v>104.291309058</v>
      </c>
      <c r="AD1120" t="n">
        <v>103.461347261</v>
      </c>
      <c r="AE1120" t="n">
        <v>98.566</v>
      </c>
      <c r="AF1120" t="n">
        <v>98.408200683</v>
      </c>
      <c r="AG1120" t="n">
        <v>98.2</v>
      </c>
      <c r="AH1120" t="n">
        <v>105.892569549</v>
      </c>
      <c r="AI1120" t="n">
        <v>103.791350721</v>
      </c>
      <c r="AJ1120" t="n">
        <v>102.055857254</v>
      </c>
      <c r="AK1120" t="n">
        <v/>
      </c>
      <c r="AL1120" t="n">
        <v>96.71092699899999</v>
      </c>
      <c r="AM1120" t="n">
        <v>90.2</v>
      </c>
      <c r="AN1120" t="n">
        <v>97.510168255</v>
      </c>
      <c r="AO1120" t="n">
        <v>90.09999999999999</v>
      </c>
      <c r="AP1120" t="n">
        <v>90.615102517</v>
      </c>
      <c r="AQ1120" t="n">
        <v>94.60788399</v>
      </c>
      <c r="AR1120" t="n">
        <v>102.491459045</v>
      </c>
      <c r="AS1120" t="n">
        <v>82.693108908</v>
      </c>
      <c r="AT1120" t="n">
        <v>95.784393814</v>
      </c>
      <c r="AU1120" t="n">
        <v/>
      </c>
    </row>
    <row r="1121">
      <c r="A1121" s="106" t="n">
        <v>41000</v>
      </c>
      <c r="B1121" t="n">
        <v>97.90036841600001</v>
      </c>
      <c r="C1121" t="n">
        <v>99.09174235499999</v>
      </c>
      <c r="D1121" t="n">
        <v>108.450316543</v>
      </c>
      <c r="E1121" t="n">
        <v>95.07208612300001</v>
      </c>
      <c r="F1121" t="n">
        <v>99.59999999999999</v>
      </c>
      <c r="G1121" t="n">
        <v/>
      </c>
      <c r="H1121" t="n">
        <v>96.67200658599999</v>
      </c>
      <c r="I1121" t="n">
        <v>97.90036841600001</v>
      </c>
      <c r="J1121" t="n">
        <v>92.28461923</v>
      </c>
      <c r="K1121" t="n">
        <v>96.608050671</v>
      </c>
      <c r="L1121" t="n">
        <v>97</v>
      </c>
      <c r="M1121" t="n">
        <v>97.39188401</v>
      </c>
      <c r="N1121" t="n">
        <v>97.133080944</v>
      </c>
      <c r="O1121" t="n">
        <v>90.707558963</v>
      </c>
      <c r="P1121" t="n">
        <v/>
      </c>
      <c r="Q1121" t="n">
        <v>107.808984082</v>
      </c>
      <c r="R1121" t="n">
        <v>100.98</v>
      </c>
      <c r="S1121" t="n">
        <v>97.793013522</v>
      </c>
      <c r="T1121" t="n">
        <v>91.475061903</v>
      </c>
      <c r="U1121" t="n">
        <v/>
      </c>
      <c r="V1121" t="n">
        <v>102.788645634</v>
      </c>
      <c r="W1121" t="n">
        <v>84.107008917</v>
      </c>
      <c r="X1121" t="n">
        <v>90.605337193</v>
      </c>
      <c r="Y1121" t="n">
        <v/>
      </c>
      <c r="Z1121" t="n">
        <v>61.085365792</v>
      </c>
      <c r="AA1121" t="n">
        <v>104.27169029</v>
      </c>
      <c r="AB1121" t="n">
        <v>97.330210773</v>
      </c>
      <c r="AC1121" t="n">
        <v>102.791434047</v>
      </c>
      <c r="AD1121" t="n">
        <v>102.948146134</v>
      </c>
      <c r="AE1121" t="n">
        <v>99.95999999999999</v>
      </c>
      <c r="AF1121" t="n">
        <v>98.008167347</v>
      </c>
      <c r="AG1121" t="n">
        <v>96.40000000000001</v>
      </c>
      <c r="AH1121" t="n">
        <v>106.470885133</v>
      </c>
      <c r="AI1121" t="n">
        <v>106.791100742</v>
      </c>
      <c r="AJ1121" t="n">
        <v>103.10318076</v>
      </c>
      <c r="AK1121" t="n">
        <v/>
      </c>
      <c r="AL1121" t="n">
        <v>96.883450604</v>
      </c>
      <c r="AM1121" t="n">
        <v>90.40000000000001</v>
      </c>
      <c r="AN1121" t="n">
        <v>92.759628123</v>
      </c>
      <c r="AO1121" t="n">
        <v>90.2</v>
      </c>
      <c r="AP1121" t="n">
        <v>91.415235873</v>
      </c>
      <c r="AQ1121" t="n">
        <v>96.20801733499999</v>
      </c>
      <c r="AR1121" t="n">
        <v>102.69144238</v>
      </c>
      <c r="AS1121" t="n">
        <v>83.693025581</v>
      </c>
      <c r="AT1121" t="n">
        <v>96.481775254</v>
      </c>
      <c r="AU1121" t="n">
        <v/>
      </c>
    </row>
    <row r="1122">
      <c r="A1122" s="106" t="n">
        <v>41030</v>
      </c>
      <c r="B1122" t="n">
        <v>99.371172069</v>
      </c>
      <c r="C1122" t="n">
        <v>100.591617365</v>
      </c>
      <c r="D1122" t="n">
        <v>108.89072392</v>
      </c>
      <c r="E1122" t="n">
        <v>95.01804494</v>
      </c>
      <c r="F1122" t="n">
        <v>97.3</v>
      </c>
      <c r="G1122" t="n">
        <v/>
      </c>
      <c r="H1122" t="n">
        <v>96.11697413500001</v>
      </c>
      <c r="I1122" t="n">
        <v>99.371172069</v>
      </c>
      <c r="J1122" t="n">
        <v>92.48458590200001</v>
      </c>
      <c r="K1122" t="n">
        <v>98.508209017</v>
      </c>
      <c r="L1122" t="n">
        <v>100</v>
      </c>
      <c r="M1122" t="n">
        <v>98.291809016</v>
      </c>
      <c r="N1122" t="n">
        <v>97.625081354</v>
      </c>
      <c r="O1122" t="n">
        <v>91.30760896699999</v>
      </c>
      <c r="P1122" t="n">
        <v/>
      </c>
      <c r="Q1122" t="n">
        <v>107.00891741</v>
      </c>
      <c r="R1122" t="n">
        <v>99.65000000000001</v>
      </c>
      <c r="S1122" t="n">
        <v>97.897013828</v>
      </c>
      <c r="T1122" t="n">
        <v>92.00565971</v>
      </c>
      <c r="U1122" t="n">
        <v/>
      </c>
      <c r="V1122" t="n">
        <v>105.385832015</v>
      </c>
      <c r="W1122" t="n">
        <v>87.107258938</v>
      </c>
      <c r="X1122" t="n">
        <v>92.74928451300001</v>
      </c>
      <c r="Y1122" t="n">
        <v/>
      </c>
      <c r="Z1122" t="n">
        <v>63.733028706</v>
      </c>
      <c r="AA1122" t="n">
        <v>97.548970325</v>
      </c>
      <c r="AB1122" t="n">
        <v>96.48711943799999</v>
      </c>
      <c r="AC1122" t="n">
        <v>104.291309058</v>
      </c>
      <c r="AD1122" t="n">
        <v>101.100622076</v>
      </c>
      <c r="AE1122" t="n">
        <v>101.181</v>
      </c>
      <c r="AF1122" t="n">
        <v>96.908075673</v>
      </c>
      <c r="AG1122" t="n">
        <v>97.2</v>
      </c>
      <c r="AH1122" t="n">
        <v>106.575585079</v>
      </c>
      <c r="AI1122" t="n">
        <v>105.391217399</v>
      </c>
      <c r="AJ1122" t="n">
        <v>103.91776571</v>
      </c>
      <c r="AK1122" t="n">
        <v/>
      </c>
      <c r="AL1122" t="n">
        <v>97.15089834</v>
      </c>
      <c r="AM1122" t="n">
        <v>91.90000000000001</v>
      </c>
      <c r="AN1122" t="n">
        <v>96.506164512</v>
      </c>
      <c r="AO1122" t="n">
        <v>90.8</v>
      </c>
      <c r="AP1122" t="n">
        <v>90.815135856</v>
      </c>
      <c r="AQ1122" t="n">
        <v>93.307775648</v>
      </c>
      <c r="AR1122" t="n">
        <v>106.791100742</v>
      </c>
      <c r="AS1122" t="n">
        <v>83.993000583</v>
      </c>
      <c r="AT1122" t="n">
        <v>96.684058509</v>
      </c>
      <c r="AU1122" t="n">
        <v/>
      </c>
    </row>
    <row r="1123">
      <c r="A1123" s="106" t="n">
        <v>41061</v>
      </c>
      <c r="B1123" t="n">
        <v>98.72769547199999</v>
      </c>
      <c r="C1123" t="n">
        <v>99.791684026</v>
      </c>
      <c r="D1123" t="n">
        <v>109.000825764</v>
      </c>
      <c r="E1123" t="n">
        <v>94.47174742999999</v>
      </c>
      <c r="F1123" t="n">
        <v>98.8</v>
      </c>
      <c r="G1123" t="n">
        <v/>
      </c>
      <c r="H1123" t="n">
        <v>95.21572867099999</v>
      </c>
      <c r="I1123" t="n">
        <v>98.72769547199999</v>
      </c>
      <c r="J1123" t="n">
        <v>92.28461923</v>
      </c>
      <c r="K1123" t="n">
        <v>97.30810900900001</v>
      </c>
      <c r="L1123" t="n">
        <v>98.5</v>
      </c>
      <c r="M1123" t="n">
        <v>97.39188401</v>
      </c>
      <c r="N1123" t="n">
        <v>97.688081407</v>
      </c>
      <c r="O1123" t="n">
        <v>92.007667306</v>
      </c>
      <c r="P1123" t="n">
        <v/>
      </c>
      <c r="Q1123" t="n">
        <v>108.309025752</v>
      </c>
      <c r="R1123" t="n">
        <v>98.83</v>
      </c>
      <c r="S1123" t="n">
        <v>97.321176884</v>
      </c>
      <c r="T1123" t="n">
        <v>90.732224973</v>
      </c>
      <c r="U1123" t="n">
        <v/>
      </c>
      <c r="V1123" t="n">
        <v>103.787563473</v>
      </c>
      <c r="W1123" t="n">
        <v>84.60705058800001</v>
      </c>
      <c r="X1123" t="n">
        <v>91.551379048</v>
      </c>
      <c r="Y1123" t="n">
        <v/>
      </c>
      <c r="Z1123" t="n">
        <v>62.661355621</v>
      </c>
      <c r="AA1123" t="n">
        <v>93.30494420300001</v>
      </c>
      <c r="AB1123" t="n">
        <v>94.332552693</v>
      </c>
      <c r="AC1123" t="n">
        <v>102.191484043</v>
      </c>
      <c r="AD1123" t="n">
        <v>100.382140498</v>
      </c>
      <c r="AE1123" t="n">
        <v>99.188</v>
      </c>
      <c r="AF1123" t="n">
        <v>101.108425702</v>
      </c>
      <c r="AG1123" t="n">
        <v>98.09999999999999</v>
      </c>
      <c r="AH1123" t="n">
        <v>107.19918536</v>
      </c>
      <c r="AI1123" t="n">
        <v>105.391217399</v>
      </c>
      <c r="AJ1123" t="n">
        <v>103.452288596</v>
      </c>
      <c r="AK1123" t="n">
        <v/>
      </c>
      <c r="AL1123" t="n">
        <v>96.60661077499999</v>
      </c>
      <c r="AM1123" t="n">
        <v>90.7</v>
      </c>
      <c r="AN1123" t="n">
        <v>96.437127957</v>
      </c>
      <c r="AO1123" t="n">
        <v>90.90000000000001</v>
      </c>
      <c r="AP1123" t="n">
        <v>88.61476912800001</v>
      </c>
      <c r="AQ1123" t="n">
        <v>95.10792566000001</v>
      </c>
      <c r="AR1123" t="n">
        <v>104.391300725</v>
      </c>
      <c r="AS1123" t="n">
        <v>83.393050579</v>
      </c>
      <c r="AT1123" t="n">
        <v>96.66987885</v>
      </c>
      <c r="AU1123" t="n">
        <v/>
      </c>
    </row>
    <row r="1124">
      <c r="A1124" s="106" t="n">
        <v>41091</v>
      </c>
      <c r="B1124" t="n">
        <v>99.371172069</v>
      </c>
      <c r="C1124" t="n">
        <v>99.791684026</v>
      </c>
      <c r="D1124" t="n">
        <v>110.652353427</v>
      </c>
      <c r="E1124" t="n">
        <v>94.114861593</v>
      </c>
      <c r="F1124" t="n">
        <v>97.7</v>
      </c>
      <c r="G1124" t="n">
        <v/>
      </c>
      <c r="H1124" t="n">
        <v>92.74638515700001</v>
      </c>
      <c r="I1124" t="n">
        <v>99.371172069</v>
      </c>
      <c r="J1124" t="n">
        <v>92.384602566</v>
      </c>
      <c r="K1124" t="n">
        <v>98.408200683</v>
      </c>
      <c r="L1124" t="n">
        <v>101.6</v>
      </c>
      <c r="M1124" t="n">
        <v>97.69185901199999</v>
      </c>
      <c r="N1124" t="n">
        <v>96.953080794</v>
      </c>
      <c r="O1124" t="n">
        <v>90.207517293</v>
      </c>
      <c r="P1124" t="n">
        <v/>
      </c>
      <c r="Q1124" t="n">
        <v>107.408950746</v>
      </c>
      <c r="R1124" t="n">
        <v>99.5</v>
      </c>
      <c r="S1124" t="n">
        <v>97.76587342400001</v>
      </c>
      <c r="T1124" t="n">
        <v>93.80969225299999</v>
      </c>
      <c r="U1124" t="n">
        <v/>
      </c>
      <c r="V1124" t="n">
        <v>106.384749854</v>
      </c>
      <c r="W1124" t="n">
        <v>84.807067256</v>
      </c>
      <c r="X1124" t="n">
        <v>90.965094444</v>
      </c>
      <c r="Y1124" t="n">
        <v/>
      </c>
      <c r="Z1124" t="n">
        <v>61.778801317</v>
      </c>
      <c r="AA1124" t="n">
        <v>91.75529026300001</v>
      </c>
      <c r="AB1124" t="n">
        <v>97.236533958</v>
      </c>
      <c r="AC1124" t="n">
        <v>103.291392384</v>
      </c>
      <c r="AD1124" t="n">
        <v>99.86893937000001</v>
      </c>
      <c r="AE1124" t="n">
        <v>98.511</v>
      </c>
      <c r="AF1124" t="n">
        <v>101.208434036</v>
      </c>
      <c r="AG1124" t="n">
        <v>97.2</v>
      </c>
      <c r="AH1124" t="n">
        <v>106.823937301</v>
      </c>
      <c r="AI1124" t="n">
        <v>101.691525706</v>
      </c>
      <c r="AJ1124" t="n">
        <v>99.96121024</v>
      </c>
      <c r="AK1124" t="n">
        <v/>
      </c>
      <c r="AL1124" t="n">
        <v>96.765336035</v>
      </c>
      <c r="AM1124" t="n">
        <v>90.7</v>
      </c>
      <c r="AN1124" t="n">
        <v>97.800604175</v>
      </c>
      <c r="AO1124" t="n">
        <v>91.3</v>
      </c>
      <c r="AP1124" t="n">
        <v>92.215369228</v>
      </c>
      <c r="AQ1124" t="n">
        <v>93.80781731800001</v>
      </c>
      <c r="AR1124" t="n">
        <v>103.991334055</v>
      </c>
      <c r="AS1124" t="n">
        <v>84.192983918</v>
      </c>
      <c r="AT1124" t="n">
        <v>96.901017217</v>
      </c>
      <c r="AU1124" t="n">
        <v/>
      </c>
    </row>
    <row r="1125">
      <c r="A1125" s="106" t="n">
        <v>41122</v>
      </c>
      <c r="B1125" t="n">
        <v>100.658125223</v>
      </c>
      <c r="C1125" t="n">
        <v>100.991584035</v>
      </c>
      <c r="D1125" t="n">
        <v>112.854390311</v>
      </c>
      <c r="E1125" t="n">
        <v>93.168338287</v>
      </c>
      <c r="F1125" t="n">
        <v>99.3</v>
      </c>
      <c r="G1125" t="n">
        <v/>
      </c>
      <c r="H1125" t="n">
        <v>97.145814681</v>
      </c>
      <c r="I1125" t="n">
        <v>100.658125223</v>
      </c>
      <c r="J1125" t="n">
        <v>89.68505249099999</v>
      </c>
      <c r="K1125" t="n">
        <v>98.408200683</v>
      </c>
      <c r="L1125" t="n">
        <v>99.2</v>
      </c>
      <c r="M1125" t="n">
        <v>98.391800683</v>
      </c>
      <c r="N1125" t="n">
        <v>98.872082393</v>
      </c>
      <c r="O1125" t="n">
        <v>94.00783398599999</v>
      </c>
      <c r="P1125" t="n">
        <v/>
      </c>
      <c r="Q1125" t="n">
        <v>105.408784065</v>
      </c>
      <c r="R1125" t="n">
        <v>101.72</v>
      </c>
      <c r="S1125" t="n">
        <v>97.321234567</v>
      </c>
      <c r="T1125" t="n">
        <v>92.960735762</v>
      </c>
      <c r="U1125" t="n">
        <v/>
      </c>
      <c r="V1125" t="n">
        <v>106.384749854</v>
      </c>
      <c r="W1125" t="n">
        <v>87.80731727600001</v>
      </c>
      <c r="X1125" t="n">
        <v>91.21331084099999</v>
      </c>
      <c r="Y1125" t="n">
        <v/>
      </c>
      <c r="Z1125" t="n">
        <v>64.99382056899999</v>
      </c>
      <c r="AA1125" t="n">
        <v>91.204108104</v>
      </c>
      <c r="AB1125" t="n">
        <v>98.735362998</v>
      </c>
      <c r="AC1125" t="n">
        <v>102.591450712</v>
      </c>
      <c r="AD1125" t="n">
        <v>98.637256665</v>
      </c>
      <c r="AE1125" t="n">
        <v>96.809</v>
      </c>
      <c r="AF1125" t="n">
        <v>96.50804233700001</v>
      </c>
      <c r="AG1125" t="n">
        <v>100.3</v>
      </c>
      <c r="AH1125" t="n">
        <v>105.992023832</v>
      </c>
      <c r="AI1125" t="n">
        <v>103.291392384</v>
      </c>
      <c r="AJ1125" t="n">
        <v>101.241272304</v>
      </c>
      <c r="AK1125" t="n">
        <v/>
      </c>
      <c r="AL1125" t="n">
        <v>96.51370701</v>
      </c>
      <c r="AM1125" t="n">
        <v>90.59999999999999</v>
      </c>
      <c r="AN1125" t="n">
        <v>99.973732216</v>
      </c>
      <c r="AO1125" t="n">
        <v>92.09999999999999</v>
      </c>
      <c r="AP1125" t="n">
        <v>88.41473578900001</v>
      </c>
      <c r="AQ1125" t="n">
        <v>96.108009001</v>
      </c>
      <c r="AR1125" t="n">
        <v>107.891009083</v>
      </c>
      <c r="AS1125" t="n">
        <v>82.99308391</v>
      </c>
      <c r="AT1125" t="n">
        <v>96.49407090299999</v>
      </c>
      <c r="AU1125" t="n">
        <v/>
      </c>
    </row>
    <row r="1126">
      <c r="A1126" s="106" t="n">
        <v>41153</v>
      </c>
      <c r="B1126" t="n">
        <v>99.003471151</v>
      </c>
      <c r="C1126" t="n">
        <v>101.091575702</v>
      </c>
      <c r="D1126" t="n">
        <v>110.762455271</v>
      </c>
      <c r="E1126" t="n">
        <v>92.85505994</v>
      </c>
      <c r="F1126" t="n">
        <v>98.7</v>
      </c>
      <c r="G1126" t="n">
        <v/>
      </c>
      <c r="H1126" t="n">
        <v>96.55932204200001</v>
      </c>
      <c r="I1126" t="n">
        <v>99.003471151</v>
      </c>
      <c r="J1126" t="n">
        <v>90.184969172</v>
      </c>
      <c r="K1126" t="n">
        <v>97.108092341</v>
      </c>
      <c r="L1126" t="n">
        <v>100.2</v>
      </c>
      <c r="M1126" t="n">
        <v>96.59195067100001</v>
      </c>
      <c r="N1126" t="n">
        <v>95.75907979900001</v>
      </c>
      <c r="O1126" t="n">
        <v>94.80790065799999</v>
      </c>
      <c r="P1126" t="n">
        <v/>
      </c>
      <c r="Q1126" t="n">
        <v>105.508792399</v>
      </c>
      <c r="R1126" t="n">
        <v>99.44</v>
      </c>
      <c r="S1126" t="n">
        <v>96.47069370299999</v>
      </c>
      <c r="T1126" t="n">
        <v>90.732224973</v>
      </c>
      <c r="U1126" t="n">
        <v/>
      </c>
      <c r="V1126" t="n">
        <v>103.887455257</v>
      </c>
      <c r="W1126" t="n">
        <v>87.00725060400001</v>
      </c>
      <c r="X1126" t="n">
        <v>89.84103297</v>
      </c>
      <c r="Y1126" t="n">
        <v/>
      </c>
      <c r="Z1126" t="n">
        <v>56.546515083</v>
      </c>
      <c r="AA1126" t="n">
        <v>93.771965278</v>
      </c>
      <c r="AB1126" t="n">
        <v>97.985948478</v>
      </c>
      <c r="AC1126" t="n">
        <v>102.391467378</v>
      </c>
      <c r="AD1126" t="n">
        <v>96.48181193000001</v>
      </c>
      <c r="AE1126" t="n">
        <v>98.068</v>
      </c>
      <c r="AF1126" t="n">
        <v>99.80831736</v>
      </c>
      <c r="AG1126" t="n">
        <v>97.5</v>
      </c>
      <c r="AH1126" t="n">
        <v>107.276085322</v>
      </c>
      <c r="AI1126" t="n">
        <v>102.491459045</v>
      </c>
      <c r="AJ1126" t="n">
        <v>95.539177657</v>
      </c>
      <c r="AK1126" t="n">
        <v/>
      </c>
      <c r="AL1126" t="n">
        <v>95.847357628</v>
      </c>
      <c r="AM1126" t="n">
        <v>90.90000000000001</v>
      </c>
      <c r="AN1126" t="n">
        <v>96.130299374</v>
      </c>
      <c r="AO1126" t="n">
        <v>91.5</v>
      </c>
      <c r="AP1126" t="n">
        <v>89.51491915299999</v>
      </c>
      <c r="AQ1126" t="n">
        <v>94.507875656</v>
      </c>
      <c r="AR1126" t="n">
        <v>100.891592367</v>
      </c>
      <c r="AS1126" t="n">
        <v>84.89292559</v>
      </c>
      <c r="AT1126" t="n">
        <v>96.42218102</v>
      </c>
      <c r="AU1126" t="n">
        <v/>
      </c>
    </row>
    <row r="1127">
      <c r="A1127" s="106" t="n">
        <v>41183</v>
      </c>
      <c r="B1127" t="n">
        <v>100.382349604</v>
      </c>
      <c r="C1127" t="n">
        <v>96.791934005</v>
      </c>
      <c r="D1127" t="n">
        <v>112.413982934</v>
      </c>
      <c r="E1127" t="n">
        <v>92.831784777</v>
      </c>
      <c r="F1127" t="n">
        <v>98.8</v>
      </c>
      <c r="G1127" t="n">
        <v/>
      </c>
      <c r="H1127" t="n">
        <v>96.82288412600001</v>
      </c>
      <c r="I1127" t="n">
        <v>100.382349604</v>
      </c>
      <c r="J1127" t="n">
        <v>88.785202466</v>
      </c>
      <c r="K1127" t="n">
        <v>95.807983999</v>
      </c>
      <c r="L1127" t="n">
        <v>99.59999999999999</v>
      </c>
      <c r="M1127" t="n">
        <v>95.792017332</v>
      </c>
      <c r="N1127" t="n">
        <v>96.24308020300001</v>
      </c>
      <c r="O1127" t="n">
        <v>90.00750062500001</v>
      </c>
      <c r="P1127" t="n">
        <v/>
      </c>
      <c r="Q1127" t="n">
        <v>104.608717393</v>
      </c>
      <c r="R1127" t="n">
        <v>97.97</v>
      </c>
      <c r="S1127" t="n">
        <v>96.311902655</v>
      </c>
      <c r="T1127" t="n">
        <v>90.838344535</v>
      </c>
      <c r="U1127" t="n">
        <v/>
      </c>
      <c r="V1127" t="n">
        <v>105.285940231</v>
      </c>
      <c r="W1127" t="n">
        <v>84.60705058800001</v>
      </c>
      <c r="X1127" t="n">
        <v>92.141838773</v>
      </c>
      <c r="Y1127" t="n">
        <v/>
      </c>
      <c r="Z1127" t="n">
        <v>61.526642944</v>
      </c>
      <c r="AA1127" t="n">
        <v>97.52485104</v>
      </c>
      <c r="AB1127" t="n">
        <v>97.330210773</v>
      </c>
      <c r="AC1127" t="n">
        <v>100.491625698</v>
      </c>
      <c r="AD1127" t="n">
        <v>96.789732607</v>
      </c>
      <c r="AE1127" t="n">
        <v>99.91200000000001</v>
      </c>
      <c r="AF1127" t="n">
        <v>98.60821735099999</v>
      </c>
      <c r="AG1127" t="n">
        <v>97.09999999999999</v>
      </c>
      <c r="AH1127" t="n">
        <v>105.547158947</v>
      </c>
      <c r="AI1127" t="n">
        <v>102.391467378</v>
      </c>
      <c r="AJ1127" t="n">
        <v>100.543056633</v>
      </c>
      <c r="AK1127" t="n">
        <v/>
      </c>
      <c r="AL1127" t="n">
        <v>95.792698747</v>
      </c>
      <c r="AM1127" t="n">
        <v>90.7</v>
      </c>
      <c r="AN1127" t="n">
        <v>94.773439131</v>
      </c>
      <c r="AO1127" t="n">
        <v>90.7</v>
      </c>
      <c r="AP1127" t="n">
        <v>88.91481913699999</v>
      </c>
      <c r="AQ1127" t="n">
        <v>93.707808984</v>
      </c>
      <c r="AR1127" t="n">
        <v>102.491459045</v>
      </c>
      <c r="AS1127" t="n">
        <v>84.992917257</v>
      </c>
      <c r="AT1127" t="n">
        <v>96.73998388</v>
      </c>
      <c r="AU1127" t="n">
        <v/>
      </c>
    </row>
    <row r="1128">
      <c r="A1128" s="106" t="n">
        <v>41214</v>
      </c>
      <c r="B1128" t="n">
        <v>98.63577024200001</v>
      </c>
      <c r="C1128" t="n">
        <v>96.39196733599999</v>
      </c>
      <c r="D1128" t="n">
        <v>110.762455271</v>
      </c>
      <c r="E1128" t="n">
        <v>93.780180797</v>
      </c>
      <c r="F1128" t="n">
        <v>99.90000000000001</v>
      </c>
      <c r="G1128" t="n">
        <v/>
      </c>
      <c r="H1128" t="n">
        <v>97.248124914</v>
      </c>
      <c r="I1128" t="n">
        <v>98.63577024200001</v>
      </c>
      <c r="J1128" t="n">
        <v>88.085319113</v>
      </c>
      <c r="K1128" t="n">
        <v>95.10792566000001</v>
      </c>
      <c r="L1128" t="n">
        <v>101.8</v>
      </c>
      <c r="M1128" t="n">
        <v>95.09207566000001</v>
      </c>
      <c r="N1128" t="n">
        <v>93.96907830799999</v>
      </c>
      <c r="O1128" t="n">
        <v>93.20776731399999</v>
      </c>
      <c r="P1128" t="n">
        <v/>
      </c>
      <c r="Q1128" t="n">
        <v>103.708642387</v>
      </c>
      <c r="R1128" t="n">
        <v>97.95999999999999</v>
      </c>
      <c r="S1128" t="n">
        <v>96.267684073</v>
      </c>
      <c r="T1128" t="n">
        <v>91.15670321899999</v>
      </c>
      <c r="U1128" t="n">
        <v/>
      </c>
      <c r="V1128" t="n">
        <v>101.989511363</v>
      </c>
      <c r="W1128" t="n">
        <v>84.00700058300001</v>
      </c>
      <c r="X1128" t="n">
        <v>91.129276422</v>
      </c>
      <c r="Y1128" t="n">
        <v/>
      </c>
      <c r="Z1128" t="n">
        <v>60.139771894</v>
      </c>
      <c r="AA1128" t="n">
        <v>89.14941612299999</v>
      </c>
      <c r="AB1128" t="n">
        <v>95.831381733</v>
      </c>
      <c r="AC1128" t="n">
        <v>99.09174235499999</v>
      </c>
      <c r="AD1128" t="n">
        <v>96.07125102800001</v>
      </c>
      <c r="AE1128" t="n">
        <v>100.634</v>
      </c>
      <c r="AF1128" t="n">
        <v>90.607550629</v>
      </c>
      <c r="AG1128" t="n">
        <v>98.2</v>
      </c>
      <c r="AH1128" t="n">
        <v>107.168031589</v>
      </c>
      <c r="AI1128" t="n">
        <v>103.691359053</v>
      </c>
      <c r="AJ1128" t="n">
        <v>98.09930178400001</v>
      </c>
      <c r="AK1128" t="n">
        <v/>
      </c>
      <c r="AL1128" t="n">
        <v>95.6867302</v>
      </c>
      <c r="AM1128" t="n">
        <v>89.3</v>
      </c>
      <c r="AN1128" t="n">
        <v>94.796097733</v>
      </c>
      <c r="AO1128" t="n">
        <v>91.2</v>
      </c>
      <c r="AP1128" t="n">
        <v>86.314385731</v>
      </c>
      <c r="AQ1128" t="n">
        <v>91.507625635</v>
      </c>
      <c r="AR1128" t="n">
        <v>101.591534039</v>
      </c>
      <c r="AS1128" t="n">
        <v>83.793017249</v>
      </c>
      <c r="AT1128" t="n">
        <v>97.134535387</v>
      </c>
      <c r="AU1128" t="n">
        <v/>
      </c>
    </row>
    <row r="1129">
      <c r="A1129" s="106" t="n">
        <v>41244</v>
      </c>
      <c r="B1129" t="n">
        <v>98.45191978299999</v>
      </c>
      <c r="C1129" t="n">
        <v>97.99183401400001</v>
      </c>
      <c r="D1129" t="n">
        <v>111.533168181</v>
      </c>
      <c r="E1129" t="n">
        <v>93.372731675</v>
      </c>
      <c r="F1129" t="n">
        <v>98.90000000000001</v>
      </c>
      <c r="G1129" t="n">
        <v/>
      </c>
      <c r="H1129" t="n">
        <v>96.43529844299999</v>
      </c>
      <c r="I1129" t="n">
        <v>98.45191978299999</v>
      </c>
      <c r="J1129" t="n">
        <v>89.18513581099999</v>
      </c>
      <c r="K1129" t="n">
        <v>95.907992333</v>
      </c>
      <c r="L1129" t="n">
        <v>99.8</v>
      </c>
      <c r="M1129" t="n">
        <v>95.592033997</v>
      </c>
      <c r="N1129" t="n">
        <v>94.363078636</v>
      </c>
      <c r="O1129" t="n">
        <v>96.608050671</v>
      </c>
      <c r="P1129" t="n">
        <v/>
      </c>
      <c r="Q1129" t="n">
        <v>104.408700725</v>
      </c>
      <c r="R1129" t="n">
        <v>98.84</v>
      </c>
      <c r="S1129" t="n">
        <v>96.843190587</v>
      </c>
      <c r="T1129" t="n">
        <v>92.21789883300001</v>
      </c>
      <c r="U1129" t="n">
        <v/>
      </c>
      <c r="V1129" t="n">
        <v>100.491134604</v>
      </c>
      <c r="W1129" t="n">
        <v>85.807150596</v>
      </c>
      <c r="X1129" t="n">
        <v>91.372575563</v>
      </c>
      <c r="Y1129" t="n">
        <v/>
      </c>
      <c r="Z1129" t="n">
        <v>61.463603351</v>
      </c>
      <c r="AA1129" t="n">
        <v>80.456293372</v>
      </c>
      <c r="AB1129" t="n">
        <v>91.33489461400001</v>
      </c>
      <c r="AC1129" t="n">
        <v>99.891675694</v>
      </c>
      <c r="AD1129" t="n">
        <v>97.40557395899999</v>
      </c>
      <c r="AE1129" t="n">
        <v>100.685</v>
      </c>
      <c r="AF1129" t="n">
        <v>94.407867322</v>
      </c>
      <c r="AG1129" t="n">
        <v>101.4</v>
      </c>
      <c r="AH1129" t="n">
        <v>105.848857583</v>
      </c>
      <c r="AI1129" t="n">
        <v>102.591450712</v>
      </c>
      <c r="AJ1129" t="n">
        <v>99.262994569</v>
      </c>
      <c r="AK1129" t="n">
        <v/>
      </c>
      <c r="AL1129" t="n">
        <v>96.040464343</v>
      </c>
      <c r="AM1129" t="n">
        <v>89.09999999999999</v>
      </c>
      <c r="AN1129" t="n">
        <v>93.97554101</v>
      </c>
      <c r="AO1129" t="n">
        <v>91.59999999999999</v>
      </c>
      <c r="AP1129" t="n">
        <v>88.31471912000001</v>
      </c>
      <c r="AQ1129" t="n">
        <v>92.307692308</v>
      </c>
      <c r="AR1129" t="n">
        <v>102.491459045</v>
      </c>
      <c r="AS1129" t="n">
        <v>84.992917257</v>
      </c>
      <c r="AT1129" t="n">
        <v>97.379655097</v>
      </c>
      <c r="AU1129" t="n">
        <v/>
      </c>
    </row>
    <row r="1130">
      <c r="A1130" s="106" t="n">
        <v>41275</v>
      </c>
      <c r="B1130" t="n">
        <v>97.62459272700001</v>
      </c>
      <c r="C1130" t="n">
        <v>96.291975669</v>
      </c>
      <c r="D1130" t="n">
        <v>112.413982934</v>
      </c>
      <c r="E1130" t="n">
        <v>94.095599389</v>
      </c>
      <c r="F1130" t="n">
        <v>98.2</v>
      </c>
      <c r="G1130" t="n">
        <v/>
      </c>
      <c r="H1130" t="n">
        <v>100.52175977</v>
      </c>
      <c r="I1130" t="n">
        <v>97.62459272700001</v>
      </c>
      <c r="J1130" t="n">
        <v>87.385435761</v>
      </c>
      <c r="K1130" t="n">
        <v>94.707892324</v>
      </c>
      <c r="L1130" t="n">
        <v>101.2</v>
      </c>
      <c r="M1130" t="n">
        <v>95.19206732799999</v>
      </c>
      <c r="N1130" t="n">
        <v>95.141079284</v>
      </c>
      <c r="O1130" t="n">
        <v>96.908075673</v>
      </c>
      <c r="P1130" t="n">
        <v/>
      </c>
      <c r="Q1130" t="n">
        <v>104.408700725</v>
      </c>
      <c r="R1130" t="n">
        <v>98.7</v>
      </c>
      <c r="S1130" t="n">
        <v>96.298005285</v>
      </c>
      <c r="T1130" t="n">
        <v>90.838344535</v>
      </c>
      <c r="U1130" t="n">
        <v/>
      </c>
      <c r="V1130" t="n">
        <v>100.591026388</v>
      </c>
      <c r="W1130" t="n">
        <v>84.90707559000001</v>
      </c>
      <c r="X1130" t="n">
        <v>91.366183815</v>
      </c>
      <c r="Y1130" t="n">
        <v/>
      </c>
      <c r="Z1130" t="n">
        <v>59.635455149</v>
      </c>
      <c r="AA1130" t="n">
        <v>90.147097468</v>
      </c>
      <c r="AB1130" t="n">
        <v>93.395784543</v>
      </c>
      <c r="AC1130" t="n">
        <v>99.891675694</v>
      </c>
      <c r="AD1130" t="n">
        <v>95.392050662</v>
      </c>
      <c r="AE1130" t="n">
        <v>100.815</v>
      </c>
      <c r="AF1130" t="n">
        <v>93.00775064600001</v>
      </c>
      <c r="AG1130" t="n">
        <v>99.5</v>
      </c>
      <c r="AH1130" t="n">
        <v>105.333029457</v>
      </c>
      <c r="AI1130" t="n">
        <v>104.291309058</v>
      </c>
      <c r="AJ1130" t="n">
        <v>95.30643910000001</v>
      </c>
      <c r="AK1130" t="n">
        <v/>
      </c>
      <c r="AL1130" t="n">
        <v>95.67177460000001</v>
      </c>
      <c r="AM1130" t="n">
        <v>89.2</v>
      </c>
      <c r="AN1130" t="n">
        <v>96.073619427</v>
      </c>
      <c r="AO1130" t="n">
        <v>89.59999999999999</v>
      </c>
      <c r="AP1130" t="n">
        <v>88.21470245</v>
      </c>
      <c r="AQ1130" t="n">
        <v>93.50779231600001</v>
      </c>
      <c r="AR1130" t="n">
        <v>99.791684026</v>
      </c>
      <c r="AS1130" t="n">
        <v>85.392883926</v>
      </c>
      <c r="AT1130" t="n">
        <v>97.37261484699999</v>
      </c>
      <c r="AU1130" t="n">
        <v/>
      </c>
    </row>
    <row r="1131">
      <c r="A1131" s="106" t="n">
        <v>41306</v>
      </c>
      <c r="B1131" t="n">
        <v>97.348817039</v>
      </c>
      <c r="C1131" t="n">
        <v>96.291975669</v>
      </c>
      <c r="D1131" t="n">
        <v>109.771538673</v>
      </c>
      <c r="E1131" t="n">
        <v>95.097501532</v>
      </c>
      <c r="F1131" t="n">
        <v>100.2</v>
      </c>
      <c r="G1131" t="n">
        <v/>
      </c>
      <c r="H1131" t="n">
        <v>99.158851321</v>
      </c>
      <c r="I1131" t="n">
        <v>97.348817039</v>
      </c>
      <c r="J1131" t="n">
        <v>88.585235794</v>
      </c>
      <c r="K1131" t="n">
        <v>95.507958997</v>
      </c>
      <c r="L1131" t="n">
        <v>98.7</v>
      </c>
      <c r="M1131" t="n">
        <v>95.292058995</v>
      </c>
      <c r="N1131" t="n">
        <v>94.61007884199999</v>
      </c>
      <c r="O1131" t="n">
        <v>94.707892324</v>
      </c>
      <c r="P1131" t="n">
        <v/>
      </c>
      <c r="Q1131" t="n">
        <v>103.808650721</v>
      </c>
      <c r="R1131" t="n">
        <v>99.64</v>
      </c>
      <c r="S1131" t="n">
        <v>97.020276662</v>
      </c>
      <c r="T1131" t="n">
        <v>91.581181464</v>
      </c>
      <c r="U1131" t="n">
        <v/>
      </c>
      <c r="V1131" t="n">
        <v>99.09264963</v>
      </c>
      <c r="W1131" t="n">
        <v>84.507042254</v>
      </c>
      <c r="X1131" t="n">
        <v>91.151141314</v>
      </c>
      <c r="Y1131" t="n">
        <v/>
      </c>
      <c r="Z1131" t="n">
        <v>59.320257183</v>
      </c>
      <c r="AA1131" t="n">
        <v>101.726184807</v>
      </c>
      <c r="AB1131" t="n">
        <v>95.550351288</v>
      </c>
      <c r="AC1131" t="n">
        <v>99.29172569000001</v>
      </c>
      <c r="AD1131" t="n">
        <v>96.99191734</v>
      </c>
      <c r="AE1131" t="n">
        <v>99.717</v>
      </c>
      <c r="AF1131" t="n">
        <v>93.50779231600001</v>
      </c>
      <c r="AG1131" t="n">
        <v>97</v>
      </c>
      <c r="AH1131" t="n">
        <v>105.879786745</v>
      </c>
      <c r="AI1131" t="n">
        <v>105.291225731</v>
      </c>
      <c r="AJ1131" t="n">
        <v>93.21179208700001</v>
      </c>
      <c r="AK1131" t="n">
        <v/>
      </c>
      <c r="AL1131" t="n">
        <v>96.186233827</v>
      </c>
      <c r="AM1131" t="n">
        <v>90.2</v>
      </c>
      <c r="AN1131" t="n">
        <v>95.309575084</v>
      </c>
      <c r="AO1131" t="n">
        <v>90.2</v>
      </c>
      <c r="AP1131" t="n">
        <v>88.31471912000001</v>
      </c>
      <c r="AQ1131" t="n">
        <v>95.10792566000001</v>
      </c>
      <c r="AR1131" t="n">
        <v>99.591700692</v>
      </c>
      <c r="AS1131" t="n">
        <v>87.292725606</v>
      </c>
      <c r="AT1131" t="n">
        <v>97.853037579</v>
      </c>
      <c r="AU1131" t="n">
        <v/>
      </c>
    </row>
    <row r="1132">
      <c r="A1132" s="106" t="n">
        <v>41334</v>
      </c>
      <c r="B1132" t="n">
        <v>96.88919090100001</v>
      </c>
      <c r="C1132" t="n">
        <v>98.99175068700001</v>
      </c>
      <c r="D1132" t="n">
        <v>111.423066336</v>
      </c>
      <c r="E1132" t="n">
        <v>95.68820912299999</v>
      </c>
      <c r="F1132" t="n">
        <v>100.1</v>
      </c>
      <c r="G1132" t="n">
        <v/>
      </c>
      <c r="H1132" t="n">
        <v>99.953998977</v>
      </c>
      <c r="I1132" t="n">
        <v>96.88919090100001</v>
      </c>
      <c r="J1132" t="n">
        <v>87.985335777</v>
      </c>
      <c r="K1132" t="n">
        <v>96.808067339</v>
      </c>
      <c r="L1132" t="n">
        <v>98.3</v>
      </c>
      <c r="M1132" t="n">
        <v>96.39196733599999</v>
      </c>
      <c r="N1132" t="n">
        <v>95.40607950499999</v>
      </c>
      <c r="O1132" t="n">
        <v>97.80815067899999</v>
      </c>
      <c r="P1132" t="n">
        <v/>
      </c>
      <c r="Q1132" t="n">
        <v>105.408784065</v>
      </c>
      <c r="R1132" t="n">
        <v>99.91</v>
      </c>
      <c r="S1132" t="n">
        <v>97.641994032</v>
      </c>
      <c r="T1132" t="n">
        <v>92.960735762</v>
      </c>
      <c r="U1132" t="n">
        <v/>
      </c>
      <c r="V1132" t="n">
        <v>101.390160659</v>
      </c>
      <c r="W1132" t="n">
        <v>84.90707559000001</v>
      </c>
      <c r="X1132" t="n">
        <v>92.902530176</v>
      </c>
      <c r="Y1132" t="n">
        <v/>
      </c>
      <c r="Z1132" t="n">
        <v>60.45496986</v>
      </c>
      <c r="AA1132" t="n">
        <v>93.602910704</v>
      </c>
      <c r="AB1132" t="n">
        <v>93.770491803</v>
      </c>
      <c r="AC1132" t="n">
        <v>98.791767353</v>
      </c>
      <c r="AD1132" t="n">
        <v>97.891842346</v>
      </c>
      <c r="AE1132" t="n">
        <v>98.379</v>
      </c>
      <c r="AF1132" t="n">
        <v>90.207517293</v>
      </c>
      <c r="AG1132" t="n">
        <v>96.09999999999999</v>
      </c>
      <c r="AH1132" t="n">
        <v>106.310317502</v>
      </c>
      <c r="AI1132" t="n">
        <v>107.191067411</v>
      </c>
      <c r="AJ1132" t="n">
        <v>93.21179208700001</v>
      </c>
      <c r="AK1132" t="n">
        <v/>
      </c>
      <c r="AL1132" t="n">
        <v>96.64990330000001</v>
      </c>
      <c r="AM1132" t="n">
        <v>89.59999999999999</v>
      </c>
      <c r="AN1132" t="n">
        <v>98.24287273900001</v>
      </c>
      <c r="AO1132" t="n">
        <v>93.40000000000001</v>
      </c>
      <c r="AP1132" t="n">
        <v>90.315052509</v>
      </c>
      <c r="AQ1132" t="n">
        <v>91.207600633</v>
      </c>
      <c r="AR1132" t="n">
        <v>100.691609033</v>
      </c>
      <c r="AS1132" t="n">
        <v>86.99275060399999</v>
      </c>
      <c r="AT1132" t="n">
        <v>98.265437609</v>
      </c>
      <c r="AU1132" t="n">
        <v/>
      </c>
    </row>
    <row r="1133">
      <c r="A1133" s="106" t="n">
        <v>41365</v>
      </c>
      <c r="B1133" t="n">
        <v>99.371172069</v>
      </c>
      <c r="C1133" t="n">
        <v>99.491709024</v>
      </c>
      <c r="D1133" t="n">
        <v>113.404899532</v>
      </c>
      <c r="E1133" t="n">
        <v>95.024465674</v>
      </c>
      <c r="F1133" t="n">
        <v>98.59999999999999</v>
      </c>
      <c r="G1133" t="n">
        <v/>
      </c>
      <c r="H1133" t="n">
        <v>96.413901655</v>
      </c>
      <c r="I1133" t="n">
        <v>99.371172069</v>
      </c>
      <c r="J1133" t="n">
        <v>89.48508581900001</v>
      </c>
      <c r="K1133" t="n">
        <v>97.108092341</v>
      </c>
      <c r="L1133" t="n">
        <v>100.2</v>
      </c>
      <c r="M1133" t="n">
        <v>96.59195067100001</v>
      </c>
      <c r="N1133" t="n">
        <v>94.38007865</v>
      </c>
      <c r="O1133" t="n">
        <v>92.807733978</v>
      </c>
      <c r="P1133" t="n">
        <v/>
      </c>
      <c r="Q1133" t="n">
        <v>101.408450704</v>
      </c>
      <c r="R1133" t="n">
        <v>101.4</v>
      </c>
      <c r="S1133" t="n">
        <v>97.616040965</v>
      </c>
      <c r="T1133" t="n">
        <v>92.43013795500001</v>
      </c>
      <c r="U1133" t="n">
        <v/>
      </c>
      <c r="V1133" t="n">
        <v>103.088320986</v>
      </c>
      <c r="W1133" t="n">
        <v>85.307108926</v>
      </c>
      <c r="X1133" t="n">
        <v>93.641285697</v>
      </c>
      <c r="Y1133" t="n">
        <v/>
      </c>
      <c r="Z1133" t="n">
        <v>61.148405385</v>
      </c>
      <c r="AA1133" t="n">
        <v>89.32742415</v>
      </c>
      <c r="AB1133" t="n">
        <v>94.613583138</v>
      </c>
      <c r="AC1133" t="n">
        <v>97.99183401400001</v>
      </c>
      <c r="AD1133" t="n">
        <v>98.091825681</v>
      </c>
      <c r="AE1133" t="n">
        <v>99.21299999999999</v>
      </c>
      <c r="AF1133" t="n">
        <v>92.507708976</v>
      </c>
      <c r="AG1133" t="n">
        <v>95.8</v>
      </c>
      <c r="AH1133" t="n">
        <v>105.199888676</v>
      </c>
      <c r="AI1133" t="n">
        <v>107.291059078</v>
      </c>
      <c r="AJ1133" t="n">
        <v>96.70287044200001</v>
      </c>
      <c r="AK1133" t="n">
        <v/>
      </c>
      <c r="AL1133" t="n">
        <v>96.63331289200001</v>
      </c>
      <c r="AM1133" t="n">
        <v>90.8</v>
      </c>
      <c r="AN1133" t="n">
        <v>96.879186213</v>
      </c>
      <c r="AO1133" t="n">
        <v>92.40000000000001</v>
      </c>
      <c r="AP1133" t="n">
        <v>89.71495249199999</v>
      </c>
      <c r="AQ1133" t="n">
        <v>92.907742312</v>
      </c>
      <c r="AR1133" t="n">
        <v>98.491792351</v>
      </c>
      <c r="AS1133" t="n">
        <v>87.692692276</v>
      </c>
      <c r="AT1133" t="n">
        <v>98.15675993799999</v>
      </c>
      <c r="AU1133" t="n">
        <v/>
      </c>
    </row>
    <row r="1134">
      <c r="A1134" s="106" t="n">
        <v>41395</v>
      </c>
      <c r="B1134" t="n">
        <v>99.003471151</v>
      </c>
      <c r="C1134" t="n">
        <v>100.491625698</v>
      </c>
      <c r="D1134" t="n">
        <v>112.854390311</v>
      </c>
      <c r="E1134" t="n">
        <v>94.824620307</v>
      </c>
      <c r="F1134" t="n">
        <v>99.8</v>
      </c>
      <c r="G1134" t="n">
        <v/>
      </c>
      <c r="H1134" t="n">
        <v>96.554389965</v>
      </c>
      <c r="I1134" t="n">
        <v>99.003471151</v>
      </c>
      <c r="J1134" t="n">
        <v>90.284952508</v>
      </c>
      <c r="K1134" t="n">
        <v>96.50804233700001</v>
      </c>
      <c r="L1134" t="n">
        <v>98.2</v>
      </c>
      <c r="M1134" t="n">
        <v>96.791934005</v>
      </c>
      <c r="N1134" t="n">
        <v>94.942079118</v>
      </c>
      <c r="O1134" t="n">
        <v>97.208100675</v>
      </c>
      <c r="P1134" t="n">
        <v/>
      </c>
      <c r="Q1134" t="n">
        <v>102.508542379</v>
      </c>
      <c r="R1134" t="n">
        <v>101.12</v>
      </c>
      <c r="S1134" t="n">
        <v>97.967730394</v>
      </c>
      <c r="T1134" t="n">
        <v>92.854616201</v>
      </c>
      <c r="U1134" t="n">
        <v/>
      </c>
      <c r="V1134" t="n">
        <v>101.190377091</v>
      </c>
      <c r="W1134" t="n">
        <v>84.807067256</v>
      </c>
      <c r="X1134" t="n">
        <v>93.184517265</v>
      </c>
      <c r="Y1134" t="n">
        <v/>
      </c>
      <c r="Z1134" t="n">
        <v>63.480870333</v>
      </c>
      <c r="AA1134" t="n">
        <v>87.60362933899999</v>
      </c>
      <c r="AB1134" t="n">
        <v>92.83372365300001</v>
      </c>
      <c r="AC1134" t="n">
        <v>99.891675694</v>
      </c>
      <c r="AD1134" t="n">
        <v>99.591700692</v>
      </c>
      <c r="AE1134" t="n">
        <v>99.51000000000001</v>
      </c>
      <c r="AF1134" t="n">
        <v>93.60780065</v>
      </c>
      <c r="AG1134" t="n">
        <v>97.59999999999999</v>
      </c>
      <c r="AH1134" t="n">
        <v>105.271609051</v>
      </c>
      <c r="AI1134" t="n">
        <v>107.091075744</v>
      </c>
      <c r="AJ1134" t="n">
        <v>99.030256012</v>
      </c>
      <c r="AK1134" t="n">
        <v/>
      </c>
      <c r="AL1134" t="n">
        <v>96.972011632</v>
      </c>
      <c r="AM1134" t="n">
        <v>92.3</v>
      </c>
      <c r="AN1134" t="n">
        <v>96.656293641</v>
      </c>
      <c r="AO1134" t="n">
        <v>94.2</v>
      </c>
      <c r="AP1134" t="n">
        <v>90.715119187</v>
      </c>
      <c r="AQ1134" t="n">
        <v>90.907575631</v>
      </c>
      <c r="AR1134" t="n">
        <v>96.791934005</v>
      </c>
      <c r="AS1134" t="n">
        <v>87.89267561</v>
      </c>
      <c r="AT1134" t="n">
        <v>98.244416015</v>
      </c>
      <c r="AU1134" t="n">
        <v/>
      </c>
    </row>
    <row r="1135">
      <c r="A1135" s="106" t="n">
        <v>41426</v>
      </c>
      <c r="B1135" t="n">
        <v>98.54384501299999</v>
      </c>
      <c r="C1135" t="n">
        <v>100.39163403</v>
      </c>
      <c r="D1135" t="n">
        <v>113.62510322</v>
      </c>
      <c r="E1135" t="n">
        <v>94.534082062</v>
      </c>
      <c r="F1135" t="n">
        <v>100.4</v>
      </c>
      <c r="G1135" t="n">
        <v/>
      </c>
      <c r="H1135" t="n">
        <v>98.337414232</v>
      </c>
      <c r="I1135" t="n">
        <v>98.54384501299999</v>
      </c>
      <c r="J1135" t="n">
        <v>90.784869188</v>
      </c>
      <c r="K1135" t="n">
        <v>98.208184015</v>
      </c>
      <c r="L1135" t="n">
        <v>98</v>
      </c>
      <c r="M1135" t="n">
        <v>96.791934005</v>
      </c>
      <c r="N1135" t="n">
        <v>95.82507985399999</v>
      </c>
      <c r="O1135" t="n">
        <v>96.808067339</v>
      </c>
      <c r="P1135" t="n">
        <v/>
      </c>
      <c r="Q1135" t="n">
        <v>103.508625719</v>
      </c>
      <c r="R1135" t="n">
        <v>99.87</v>
      </c>
      <c r="S1135" t="n">
        <v>98.051797781</v>
      </c>
      <c r="T1135" t="n">
        <v>93.915811815</v>
      </c>
      <c r="U1135" t="n">
        <v/>
      </c>
      <c r="V1135" t="n">
        <v>106.184966287</v>
      </c>
      <c r="W1135" t="n">
        <v>85.40711726000001</v>
      </c>
      <c r="X1135" t="n">
        <v>90.843380788</v>
      </c>
      <c r="Y1135" t="n">
        <v/>
      </c>
      <c r="Z1135" t="n">
        <v>61.148405385</v>
      </c>
      <c r="AA1135" t="n">
        <v>87.680643929</v>
      </c>
      <c r="AB1135" t="n">
        <v>93.957845433</v>
      </c>
      <c r="AC1135" t="n">
        <v>99.691692359</v>
      </c>
      <c r="AD1135" t="n">
        <v>98.591784018</v>
      </c>
      <c r="AE1135" t="n">
        <v>99.70099999999999</v>
      </c>
      <c r="AF1135" t="n">
        <v>90.707558963</v>
      </c>
      <c r="AG1135" t="n">
        <v>97.90000000000001</v>
      </c>
      <c r="AH1135" t="n">
        <v>105.554799696</v>
      </c>
      <c r="AI1135" t="n">
        <v>103.191400717</v>
      </c>
      <c r="AJ1135" t="n">
        <v>97.40108611300001</v>
      </c>
      <c r="AK1135" t="n">
        <v/>
      </c>
      <c r="AL1135" t="n">
        <v>97.18208190199999</v>
      </c>
      <c r="AM1135" t="n">
        <v>93.09999999999999</v>
      </c>
      <c r="AN1135" t="n">
        <v>95.185316989</v>
      </c>
      <c r="AO1135" t="n">
        <v>92.7</v>
      </c>
      <c r="AP1135" t="n">
        <v>89.71495249199999</v>
      </c>
      <c r="AQ1135" t="n">
        <v>93.307775648</v>
      </c>
      <c r="AR1135" t="n">
        <v>97.891842346</v>
      </c>
      <c r="AS1135" t="n">
        <v>90.592450629</v>
      </c>
      <c r="AT1135" t="n">
        <v>98.379172361</v>
      </c>
      <c r="AU1135" t="n">
        <v/>
      </c>
    </row>
    <row r="1136">
      <c r="A1136" s="106" t="n">
        <v>41456</v>
      </c>
      <c r="B1136" t="n">
        <v>99.73887298699999</v>
      </c>
      <c r="C1136" t="n">
        <v>101.991500708</v>
      </c>
      <c r="D1136" t="n">
        <v>112.744288467</v>
      </c>
      <c r="E1136" t="n">
        <v>94.91772096</v>
      </c>
      <c r="F1136" t="n">
        <v>102.5</v>
      </c>
      <c r="G1136" t="n">
        <v/>
      </c>
      <c r="H1136" t="n">
        <v>100.763449628</v>
      </c>
      <c r="I1136" t="n">
        <v>99.73887298699999</v>
      </c>
      <c r="J1136" t="n">
        <v>92.78453591100001</v>
      </c>
      <c r="K1136" t="n">
        <v>96.50804233700001</v>
      </c>
      <c r="L1136" t="n">
        <v>100.1</v>
      </c>
      <c r="M1136" t="n">
        <v>95.992000667</v>
      </c>
      <c r="N1136" t="n">
        <v>95.83607986299999</v>
      </c>
      <c r="O1136" t="n">
        <v>98.60821735099999</v>
      </c>
      <c r="P1136" t="n">
        <v/>
      </c>
      <c r="Q1136" t="n">
        <v>102.808567381</v>
      </c>
      <c r="R1136" t="n">
        <v>99.11</v>
      </c>
      <c r="S1136" t="n">
        <v>97.947070999</v>
      </c>
      <c r="T1136" t="n">
        <v>94.128050937</v>
      </c>
      <c r="U1136" t="n">
        <v/>
      </c>
      <c r="V1136" t="n">
        <v>98.59319071</v>
      </c>
      <c r="W1136" t="n">
        <v>86.607217268</v>
      </c>
      <c r="X1136" t="n">
        <v>93.66382507100001</v>
      </c>
      <c r="Y1136" t="n">
        <v/>
      </c>
      <c r="Z1136" t="n">
        <v>60.076732301</v>
      </c>
      <c r="AA1136" t="n">
        <v>87.91201084399999</v>
      </c>
      <c r="AB1136" t="n">
        <v>94.707259953</v>
      </c>
      <c r="AC1136" t="n">
        <v>99.491709024</v>
      </c>
      <c r="AD1136" t="n">
        <v>100.091659028</v>
      </c>
      <c r="AE1136" t="n">
        <v>98.765</v>
      </c>
      <c r="AF1136" t="n">
        <v>95.907992333</v>
      </c>
      <c r="AG1136" t="n">
        <v>98.90000000000001</v>
      </c>
      <c r="AH1136" t="n">
        <v>105.783607748</v>
      </c>
      <c r="AI1136" t="n">
        <v>100.691609033</v>
      </c>
      <c r="AJ1136" t="n">
        <v>100.543056633</v>
      </c>
      <c r="AK1136" t="n">
        <v/>
      </c>
      <c r="AL1136" t="n">
        <v>97.170125462</v>
      </c>
      <c r="AM1136" t="n">
        <v>94.3</v>
      </c>
      <c r="AN1136" t="n">
        <v>93.561470321</v>
      </c>
      <c r="AO1136" t="n">
        <v>91.8</v>
      </c>
      <c r="AP1136" t="n">
        <v>91.015169195</v>
      </c>
      <c r="AQ1136" t="n">
        <v>91.507625635</v>
      </c>
      <c r="AR1136" t="n">
        <v>100.291642363</v>
      </c>
      <c r="AS1136" t="n">
        <v>90.092492292</v>
      </c>
      <c r="AT1136" t="n">
        <v>98.080804559</v>
      </c>
      <c r="AU1136" t="n">
        <v/>
      </c>
    </row>
    <row r="1137">
      <c r="A1137" s="106" t="n">
        <v>41487</v>
      </c>
      <c r="B1137" t="n">
        <v>99.73887298699999</v>
      </c>
      <c r="C1137" t="n">
        <v>99.691692359</v>
      </c>
      <c r="D1137" t="n">
        <v>113.294797688</v>
      </c>
      <c r="E1137" t="n">
        <v>95.744658083</v>
      </c>
      <c r="F1137" t="n">
        <v>101.4</v>
      </c>
      <c r="G1137" t="n">
        <v/>
      </c>
      <c r="H1137" t="n">
        <v>100.294044275</v>
      </c>
      <c r="I1137" t="n">
        <v>99.73887298699999</v>
      </c>
      <c r="J1137" t="n">
        <v>93.48441926300001</v>
      </c>
      <c r="K1137" t="n">
        <v>98.708225685</v>
      </c>
      <c r="L1137" t="n">
        <v>96.2</v>
      </c>
      <c r="M1137" t="n">
        <v>96.39196733599999</v>
      </c>
      <c r="N1137" t="n">
        <v>96.64808054</v>
      </c>
      <c r="O1137" t="n">
        <v>96.408034003</v>
      </c>
      <c r="P1137" t="n">
        <v/>
      </c>
      <c r="Q1137" t="n">
        <v>104.408700725</v>
      </c>
      <c r="R1137" t="n">
        <v>98.38</v>
      </c>
      <c r="S1137" t="n">
        <v>98.41024266700001</v>
      </c>
      <c r="T1137" t="n">
        <v>93.279094446</v>
      </c>
      <c r="U1137" t="n">
        <v/>
      </c>
      <c r="V1137" t="n">
        <v>100.091567469</v>
      </c>
      <c r="W1137" t="n">
        <v>88.707392283</v>
      </c>
      <c r="X1137" t="n">
        <v>95.03807607900001</v>
      </c>
      <c r="Y1137" t="n">
        <v/>
      </c>
      <c r="Z1137" t="n">
        <v>59.887613522</v>
      </c>
      <c r="AA1137" t="n">
        <v>89.14847248300001</v>
      </c>
      <c r="AB1137" t="n">
        <v>90.491803279</v>
      </c>
      <c r="AC1137" t="n">
        <v>97.891842346</v>
      </c>
      <c r="AD1137" t="n">
        <v>100.39163403</v>
      </c>
      <c r="AE1137" t="n">
        <v>100.173</v>
      </c>
      <c r="AF1137" t="n">
        <v>96.50804233700001</v>
      </c>
      <c r="AG1137" t="n">
        <v>97.8</v>
      </c>
      <c r="AH1137" t="n">
        <v>106.06008955</v>
      </c>
      <c r="AI1137" t="n">
        <v>103.091409049</v>
      </c>
      <c r="AJ1137" t="n">
        <v>96.935608999</v>
      </c>
      <c r="AK1137" t="n">
        <v/>
      </c>
      <c r="AL1137" t="n">
        <v>97.469274</v>
      </c>
      <c r="AM1137" t="n">
        <v>95</v>
      </c>
      <c r="AN1137" t="n">
        <v>96.01205306999999</v>
      </c>
      <c r="AO1137" t="n">
        <v>91.3</v>
      </c>
      <c r="AP1137" t="n">
        <v>91.515252542</v>
      </c>
      <c r="AQ1137" t="n">
        <v>93.00775064600001</v>
      </c>
      <c r="AR1137" t="n">
        <v>98.591784018</v>
      </c>
      <c r="AS1137" t="n">
        <v>87.592700608</v>
      </c>
      <c r="AT1137" t="n">
        <v>98.65185812199999</v>
      </c>
      <c r="AU1137" t="n">
        <v/>
      </c>
    </row>
    <row r="1138">
      <c r="A1138" s="106" t="n">
        <v>41518</v>
      </c>
      <c r="B1138" t="n">
        <v>100.933900942</v>
      </c>
      <c r="C1138" t="n">
        <v>98.491792351</v>
      </c>
      <c r="D1138" t="n">
        <v>113.955408753</v>
      </c>
      <c r="E1138" t="n">
        <v>96.533338327</v>
      </c>
      <c r="F1138" t="n">
        <v>101.6</v>
      </c>
      <c r="G1138" t="n">
        <v/>
      </c>
      <c r="H1138" t="n">
        <v>99.16049909</v>
      </c>
      <c r="I1138" t="n">
        <v>100.933900942</v>
      </c>
      <c r="J1138" t="n">
        <v>91.884685886</v>
      </c>
      <c r="K1138" t="n">
        <v>98.208184015</v>
      </c>
      <c r="L1138" t="n">
        <v>95.8</v>
      </c>
      <c r="M1138" t="n">
        <v>96.59195067100001</v>
      </c>
      <c r="N1138" t="n">
        <v>96.33108027599999</v>
      </c>
      <c r="O1138" t="n">
        <v>96.50804233700001</v>
      </c>
      <c r="P1138" t="n">
        <v/>
      </c>
      <c r="Q1138" t="n">
        <v>101.608467372</v>
      </c>
      <c r="R1138" t="n">
        <v>99.05</v>
      </c>
      <c r="S1138" t="n">
        <v>99.018001517</v>
      </c>
      <c r="T1138" t="n">
        <v>94.87088786699999</v>
      </c>
      <c r="U1138" t="n">
        <v/>
      </c>
      <c r="V1138" t="n">
        <v>101.090485308</v>
      </c>
      <c r="W1138" t="n">
        <v>89.507458955</v>
      </c>
      <c r="X1138" t="n">
        <v>95.510485734</v>
      </c>
      <c r="Y1138" t="n">
        <v/>
      </c>
      <c r="Z1138" t="n">
        <v>60.959286606</v>
      </c>
      <c r="AA1138" t="n">
        <v>89.223522903</v>
      </c>
      <c r="AB1138" t="n">
        <v>92.365339578</v>
      </c>
      <c r="AC1138" t="n">
        <v>99.691692359</v>
      </c>
      <c r="AD1138" t="n">
        <v>101.191567369</v>
      </c>
      <c r="AE1138" t="n">
        <v>98.938</v>
      </c>
      <c r="AF1138" t="n">
        <v>96.20801733499999</v>
      </c>
      <c r="AG1138" t="n">
        <v>97.8</v>
      </c>
      <c r="AH1138" t="n">
        <v>105.786815245</v>
      </c>
      <c r="AI1138" t="n">
        <v>104.791267394</v>
      </c>
      <c r="AJ1138" t="n">
        <v>95.30643910000001</v>
      </c>
      <c r="AK1138" t="n">
        <v/>
      </c>
      <c r="AL1138" t="n">
        <v>97.968564203</v>
      </c>
      <c r="AM1138" t="n">
        <v>94.5</v>
      </c>
      <c r="AN1138" t="n">
        <v>97.385516444</v>
      </c>
      <c r="AO1138" t="n">
        <v>92.7</v>
      </c>
      <c r="AP1138" t="n">
        <v>92.215369228</v>
      </c>
      <c r="AQ1138" t="n">
        <v>92.807733978</v>
      </c>
      <c r="AR1138" t="n">
        <v>99.19173402200001</v>
      </c>
      <c r="AS1138" t="n">
        <v>92.69227564400001</v>
      </c>
      <c r="AT1138" t="n">
        <v>99.17551394199999</v>
      </c>
      <c r="AU1138" t="n">
        <v/>
      </c>
    </row>
    <row r="1139">
      <c r="A1139" s="106" t="n">
        <v>41548</v>
      </c>
      <c r="B1139" t="n">
        <v>100.198499125</v>
      </c>
      <c r="C1139" t="n">
        <v>100.7916007</v>
      </c>
      <c r="D1139" t="n">
        <v>112.744288467</v>
      </c>
      <c r="E1139" t="n">
        <v>97.87714459199999</v>
      </c>
      <c r="F1139" t="n">
        <v>98.7</v>
      </c>
      <c r="G1139" t="n">
        <v/>
      </c>
      <c r="H1139" t="n">
        <v>99.89616029699999</v>
      </c>
      <c r="I1139" t="n">
        <v>100.198499125</v>
      </c>
      <c r="J1139" t="n">
        <v>93.5844026</v>
      </c>
      <c r="K1139" t="n">
        <v>97.508125677</v>
      </c>
      <c r="L1139" t="n">
        <v>102.7</v>
      </c>
      <c r="M1139" t="n">
        <v>96.091992334</v>
      </c>
      <c r="N1139" t="n">
        <v>95.598079665</v>
      </c>
      <c r="O1139" t="n">
        <v>97.608134011</v>
      </c>
      <c r="P1139" t="n">
        <v/>
      </c>
      <c r="Q1139" t="n">
        <v>102.408534045</v>
      </c>
      <c r="R1139" t="n">
        <v>98.92</v>
      </c>
      <c r="S1139" t="n">
        <v>99.02020493800001</v>
      </c>
      <c r="T1139" t="n">
        <v>94.658648744</v>
      </c>
      <c r="U1139" t="n">
        <v/>
      </c>
      <c r="V1139" t="n">
        <v>99.592108549</v>
      </c>
      <c r="W1139" t="n">
        <v>89.20743395300001</v>
      </c>
      <c r="X1139" t="n">
        <v>93.931292547</v>
      </c>
      <c r="Y1139" t="n">
        <v/>
      </c>
      <c r="Z1139" t="n">
        <v>56.861713049</v>
      </c>
      <c r="AA1139" t="n">
        <v>90.76049638400001</v>
      </c>
      <c r="AB1139" t="n">
        <v>94.14519906300001</v>
      </c>
      <c r="AC1139" t="n">
        <v>100.091659028</v>
      </c>
      <c r="AD1139" t="n">
        <v>101.491542371</v>
      </c>
      <c r="AE1139" t="n">
        <v>100.843</v>
      </c>
      <c r="AF1139" t="n">
        <v>98.508209017</v>
      </c>
      <c r="AG1139" t="n">
        <v>98.09999999999999</v>
      </c>
      <c r="AH1139" t="n">
        <v>106.108589724</v>
      </c>
      <c r="AI1139" t="n">
        <v>102.29147571</v>
      </c>
      <c r="AJ1139" t="n">
        <v>92.746314973</v>
      </c>
      <c r="AK1139" t="n">
        <v/>
      </c>
      <c r="AL1139" t="n">
        <v>97.948177038</v>
      </c>
      <c r="AM1139" t="n">
        <v>94.8</v>
      </c>
      <c r="AN1139" t="n">
        <v>97.92061653499999</v>
      </c>
      <c r="AO1139" t="n">
        <v>92.3</v>
      </c>
      <c r="AP1139" t="n">
        <v>92.515419237</v>
      </c>
      <c r="AQ1139" t="n">
        <v>92.60771731</v>
      </c>
      <c r="AR1139" t="n">
        <v>94.99208399299999</v>
      </c>
      <c r="AS1139" t="n">
        <v>91.69235897</v>
      </c>
      <c r="AT1139" t="n">
        <v>99.06306825</v>
      </c>
      <c r="AU1139" t="n">
        <v/>
      </c>
    </row>
    <row r="1140">
      <c r="A1140" s="106" t="n">
        <v>41579</v>
      </c>
      <c r="B1140" t="n">
        <v>99.55502252799999</v>
      </c>
      <c r="C1140" t="n">
        <v>103.691359053</v>
      </c>
      <c r="D1140" t="n">
        <v>113.404899532</v>
      </c>
      <c r="E1140" t="n">
        <v>97.541126143</v>
      </c>
      <c r="F1140" t="n">
        <v>101.3</v>
      </c>
      <c r="G1140" t="n">
        <v/>
      </c>
      <c r="H1140" t="n">
        <v>100.857424255</v>
      </c>
      <c r="I1140" t="n">
        <v>99.55502252799999</v>
      </c>
      <c r="J1140" t="n">
        <v>93.084485919</v>
      </c>
      <c r="K1140" t="n">
        <v>99.70830902599999</v>
      </c>
      <c r="L1140" t="n">
        <v>100.3</v>
      </c>
      <c r="M1140" t="n">
        <v>97.39188401</v>
      </c>
      <c r="N1140" t="n">
        <v>96.430080358</v>
      </c>
      <c r="O1140" t="n">
        <v>96.708059005</v>
      </c>
      <c r="P1140" t="n">
        <v/>
      </c>
      <c r="Q1140" t="n">
        <v>103.608634053</v>
      </c>
      <c r="R1140" t="n">
        <v>100.71</v>
      </c>
      <c r="S1140" t="n">
        <v>99.571786546</v>
      </c>
      <c r="T1140" t="n">
        <v>95.295366112</v>
      </c>
      <c r="U1140" t="n">
        <v/>
      </c>
      <c r="V1140" t="n">
        <v>96.29567968000001</v>
      </c>
      <c r="W1140" t="n">
        <v>89.107425619</v>
      </c>
      <c r="X1140" t="n">
        <v>94.502706158</v>
      </c>
      <c r="Y1140" t="n">
        <v/>
      </c>
      <c r="Z1140" t="n">
        <v>60.265851081</v>
      </c>
      <c r="AA1140" t="n">
        <v>89.84507805699999</v>
      </c>
      <c r="AB1140" t="n">
        <v>95.081967213</v>
      </c>
      <c r="AC1140" t="n">
        <v>99.691692359</v>
      </c>
      <c r="AD1140" t="n">
        <v>101.891509041</v>
      </c>
      <c r="AE1140" t="n">
        <v>100.125</v>
      </c>
      <c r="AF1140" t="n">
        <v>95.307942329</v>
      </c>
      <c r="AG1140" t="n">
        <v>98.40000000000001</v>
      </c>
      <c r="AH1140" t="n">
        <v>106.579359106</v>
      </c>
      <c r="AI1140" t="n">
        <v>104.991250729</v>
      </c>
      <c r="AJ1140" t="n">
        <v>96.470131885</v>
      </c>
      <c r="AK1140" t="n">
        <v/>
      </c>
      <c r="AL1140" t="n">
        <v>98.561077885</v>
      </c>
      <c r="AM1140" t="n">
        <v>96.09999999999999</v>
      </c>
      <c r="AN1140" t="n">
        <v>98.16278797699999</v>
      </c>
      <c r="AO1140" t="n">
        <v>95.40000000000001</v>
      </c>
      <c r="AP1140" t="n">
        <v>93.91565260900001</v>
      </c>
      <c r="AQ1140" t="n">
        <v>93.80781731800001</v>
      </c>
      <c r="AR1140" t="n">
        <v>99.791684026</v>
      </c>
      <c r="AS1140" t="n">
        <v>92.29230897399999</v>
      </c>
      <c r="AT1140" t="n">
        <v>99.30511404799999</v>
      </c>
      <c r="AU1140" t="n">
        <v/>
      </c>
    </row>
    <row r="1141">
      <c r="A1141" s="106" t="n">
        <v>41609</v>
      </c>
      <c r="B1141" t="n">
        <v>99.463097299</v>
      </c>
      <c r="C1141" t="n">
        <v>102.191484043</v>
      </c>
      <c r="D1141" t="n">
        <v>109.000825764</v>
      </c>
      <c r="E1141" t="n">
        <v>96.697869654</v>
      </c>
      <c r="F1141" t="n">
        <v>102.5</v>
      </c>
      <c r="G1141" t="n">
        <v/>
      </c>
      <c r="H1141" t="n">
        <v>98.69043629799999</v>
      </c>
      <c r="I1141" t="n">
        <v>99.463097299</v>
      </c>
      <c r="J1141" t="n">
        <v>94.684219297</v>
      </c>
      <c r="K1141" t="n">
        <v>99.80831736</v>
      </c>
      <c r="L1141" t="n">
        <v>101.5</v>
      </c>
      <c r="M1141" t="n">
        <v>97.191900675</v>
      </c>
      <c r="N1141" t="n">
        <v>96.676080563</v>
      </c>
      <c r="O1141" t="n">
        <v>90.607550629</v>
      </c>
      <c r="P1141" t="n">
        <v/>
      </c>
      <c r="Q1141" t="n">
        <v>98.708225685</v>
      </c>
      <c r="R1141" t="n">
        <v>99.45999999999999</v>
      </c>
      <c r="S1141" t="n">
        <v>99.49501574</v>
      </c>
      <c r="T1141" t="n">
        <v>95.189246551</v>
      </c>
      <c r="U1141" t="n">
        <v/>
      </c>
      <c r="V1141" t="n">
        <v>99.392324981</v>
      </c>
      <c r="W1141" t="n">
        <v>89.407450621</v>
      </c>
      <c r="X1141" t="n">
        <v>94.74144721099999</v>
      </c>
      <c r="Y1141" t="n">
        <v/>
      </c>
      <c r="Z1141" t="n">
        <v>62.220078469</v>
      </c>
      <c r="AA1141" t="n">
        <v>88.845140188</v>
      </c>
      <c r="AB1141" t="n">
        <v>94.988290398</v>
      </c>
      <c r="AC1141" t="n">
        <v>98.691775685</v>
      </c>
      <c r="AD1141" t="n">
        <v>101.891509041</v>
      </c>
      <c r="AE1141" t="n">
        <v>101.547</v>
      </c>
      <c r="AF1141" t="n">
        <v>100.208350696</v>
      </c>
      <c r="AG1141" t="n">
        <v>97.2</v>
      </c>
      <c r="AH1141" t="n">
        <v>106.750800533</v>
      </c>
      <c r="AI1141" t="n">
        <v>103.691359053</v>
      </c>
      <c r="AJ1141" t="n">
        <v>96.935608999</v>
      </c>
      <c r="AK1141" t="n">
        <v/>
      </c>
      <c r="AL1141" t="n">
        <v>98.502925347</v>
      </c>
      <c r="AM1141" t="n">
        <v>92.90000000000001</v>
      </c>
      <c r="AN1141" t="n">
        <v>98.703218083</v>
      </c>
      <c r="AO1141" t="n">
        <v>96</v>
      </c>
      <c r="AP1141" t="n">
        <v>92.815469245</v>
      </c>
      <c r="AQ1141" t="n">
        <v>96.308025669</v>
      </c>
      <c r="AR1141" t="n">
        <v>100.091659028</v>
      </c>
      <c r="AS1141" t="n">
        <v>91.792350637</v>
      </c>
      <c r="AT1141" t="n">
        <v>99.51304933599999</v>
      </c>
      <c r="AU1141" t="n">
        <v/>
      </c>
    </row>
    <row r="1142">
      <c r="A1142" s="106" t="n">
        <v>41640</v>
      </c>
      <c r="B1142" t="n">
        <v>100.841975702</v>
      </c>
      <c r="C1142" t="n">
        <v>100.091659028</v>
      </c>
      <c r="D1142" t="n">
        <v>110.762455271</v>
      </c>
      <c r="E1142" t="n">
        <v>97.052347715</v>
      </c>
      <c r="F1142" t="n">
        <v>100.7</v>
      </c>
      <c r="G1142" t="n">
        <v/>
      </c>
      <c r="H1142" t="n">
        <v>99.19100250300001</v>
      </c>
      <c r="I1142" t="n">
        <v>100.841975702</v>
      </c>
      <c r="J1142" t="n">
        <v>92.684552575</v>
      </c>
      <c r="K1142" t="n">
        <v>99.30827569</v>
      </c>
      <c r="L1142" t="n">
        <v>100.7</v>
      </c>
      <c r="M1142" t="n">
        <v>96.891925673</v>
      </c>
      <c r="N1142" t="n">
        <v>96.551080459</v>
      </c>
      <c r="O1142" t="n">
        <v>97.708142345</v>
      </c>
      <c r="P1142" t="n">
        <v/>
      </c>
      <c r="Q1142" t="n">
        <v>101.108425702</v>
      </c>
      <c r="R1142" t="n">
        <v>98.01000000000001</v>
      </c>
      <c r="S1142" t="n">
        <v>99.67508946700001</v>
      </c>
      <c r="T1142" t="n">
        <v>96.03820304200001</v>
      </c>
      <c r="U1142" t="n">
        <v/>
      </c>
      <c r="V1142" t="n">
        <v>97.394489303</v>
      </c>
      <c r="W1142" t="n">
        <v>90.107508959</v>
      </c>
      <c r="X1142" t="n">
        <v>95.96627759099999</v>
      </c>
      <c r="Y1142" t="n">
        <v/>
      </c>
      <c r="Z1142" t="n">
        <v>65.30901853500001</v>
      </c>
      <c r="AA1142" t="n">
        <v>87.93820209499999</v>
      </c>
      <c r="AB1142" t="n">
        <v>94.988290398</v>
      </c>
      <c r="AC1142" t="n">
        <v>100.291642363</v>
      </c>
      <c r="AD1142" t="n">
        <v>103.591367386</v>
      </c>
      <c r="AE1142" t="n">
        <v>101.318</v>
      </c>
      <c r="AF1142" t="n">
        <v>96.908075673</v>
      </c>
      <c r="AG1142" t="n">
        <v>97.2</v>
      </c>
      <c r="AH1142" t="n">
        <v>107.273191719</v>
      </c>
      <c r="AI1142" t="n">
        <v>101.091575702</v>
      </c>
      <c r="AJ1142" t="n">
        <v>98.681148177</v>
      </c>
      <c r="AK1142" t="n">
        <v/>
      </c>
      <c r="AL1142" t="n">
        <v>98.800836554</v>
      </c>
      <c r="AM1142" t="n">
        <v>94.90000000000001</v>
      </c>
      <c r="AN1142" t="n">
        <v>100.328847026</v>
      </c>
      <c r="AO1142" t="n">
        <v>90.3</v>
      </c>
      <c r="AP1142" t="n">
        <v>92.415402567</v>
      </c>
      <c r="AQ1142" t="n">
        <v>93.10775898</v>
      </c>
      <c r="AR1142" t="n">
        <v>100.091659028</v>
      </c>
      <c r="AS1142" t="n">
        <v>95.19206732799999</v>
      </c>
      <c r="AT1142" t="n">
        <v>99.14140343299999</v>
      </c>
      <c r="AU1142" t="n">
        <v/>
      </c>
    </row>
    <row r="1143">
      <c r="A1143" s="106" t="n">
        <v>41671</v>
      </c>
      <c r="B1143" t="n">
        <v>99.646947758</v>
      </c>
      <c r="C1143" t="n">
        <v>104.791267394</v>
      </c>
      <c r="D1143" t="n">
        <v>111.423066336</v>
      </c>
      <c r="E1143" t="n">
        <v>98.85577157199999</v>
      </c>
      <c r="F1143" t="n">
        <v>100.8</v>
      </c>
      <c r="G1143" t="n">
        <v/>
      </c>
      <c r="H1143" t="n">
        <v>100.521737433</v>
      </c>
      <c r="I1143" t="n">
        <v>99.646947758</v>
      </c>
      <c r="J1143" t="n">
        <v>94.08431928</v>
      </c>
      <c r="K1143" t="n">
        <v>99.408284024</v>
      </c>
      <c r="L1143" t="n">
        <v>102</v>
      </c>
      <c r="M1143" t="n">
        <v>97.59186734399999</v>
      </c>
      <c r="N1143" t="n">
        <v>97.115080929</v>
      </c>
      <c r="O1143" t="n">
        <v>97.30810900900001</v>
      </c>
      <c r="P1143" t="n">
        <v/>
      </c>
      <c r="Q1143" t="n">
        <v>101.80848404</v>
      </c>
      <c r="R1143" t="n">
        <v>99.37</v>
      </c>
      <c r="S1143" t="n">
        <v>100.034134608</v>
      </c>
      <c r="T1143" t="n">
        <v>95.93208348100001</v>
      </c>
      <c r="U1143" t="n">
        <v/>
      </c>
      <c r="V1143" t="n">
        <v>99.692000333</v>
      </c>
      <c r="W1143" t="n">
        <v>91.207600633</v>
      </c>
      <c r="X1143" t="n">
        <v>96.028334336</v>
      </c>
      <c r="Y1143" t="n">
        <v/>
      </c>
      <c r="Z1143" t="n">
        <v>68.839235753</v>
      </c>
      <c r="AA1143" t="n">
        <v>87.46317205</v>
      </c>
      <c r="AB1143" t="n">
        <v>99.203747073</v>
      </c>
      <c r="AC1143" t="n">
        <v>99.491709024</v>
      </c>
      <c r="AD1143" t="n">
        <v>102.891425715</v>
      </c>
      <c r="AE1143" t="n">
        <v>100.558</v>
      </c>
      <c r="AF1143" t="n">
        <v>99.908325694</v>
      </c>
      <c r="AG1143" t="n">
        <v>97.7</v>
      </c>
      <c r="AH1143" t="n">
        <v>107.403113971</v>
      </c>
      <c r="AI1143" t="n">
        <v>100.091659028</v>
      </c>
      <c r="AJ1143" t="n">
        <v>98.797517455</v>
      </c>
      <c r="AK1143" t="n">
        <v/>
      </c>
      <c r="AL1143" t="n">
        <v>99.111358862</v>
      </c>
      <c r="AM1143" t="n">
        <v>94.7</v>
      </c>
      <c r="AN1143" t="n">
        <v>99.94626750400001</v>
      </c>
      <c r="AO1143" t="n">
        <v>92.90000000000001</v>
      </c>
      <c r="AP1143" t="n">
        <v>93.015502584</v>
      </c>
      <c r="AQ1143" t="n">
        <v>91.107592299</v>
      </c>
      <c r="AR1143" t="n">
        <v>99.991667361</v>
      </c>
      <c r="AS1143" t="n">
        <v>94.292142321</v>
      </c>
      <c r="AT1143" t="n">
        <v>99.90065975100001</v>
      </c>
      <c r="AU1143" t="n">
        <v/>
      </c>
    </row>
    <row r="1144">
      <c r="A1144" s="106" t="n">
        <v>41699</v>
      </c>
      <c r="B1144" t="n">
        <v>98.359994554</v>
      </c>
      <c r="C1144" t="n">
        <v>101.091575702</v>
      </c>
      <c r="D1144" t="n">
        <v>111.202862648</v>
      </c>
      <c r="E1144" t="n">
        <v>99.16958498</v>
      </c>
      <c r="F1144" t="n">
        <v>100.7</v>
      </c>
      <c r="G1144" t="n">
        <v/>
      </c>
      <c r="H1144" t="n">
        <v>98.70652996699999</v>
      </c>
      <c r="I1144" t="n">
        <v>98.359994554</v>
      </c>
      <c r="J1144" t="n">
        <v>95.584069322</v>
      </c>
      <c r="K1144" t="n">
        <v>99.80831736</v>
      </c>
      <c r="L1144" t="n">
        <v>98.90000000000001</v>
      </c>
      <c r="M1144" t="n">
        <v>97.091909008</v>
      </c>
      <c r="N1144" t="n">
        <v>96.481080401</v>
      </c>
      <c r="O1144" t="n">
        <v>96.808067339</v>
      </c>
      <c r="P1144" t="n">
        <v/>
      </c>
      <c r="Q1144" t="n">
        <v>101.008417368</v>
      </c>
      <c r="R1144" t="n">
        <v>98.84999999999999</v>
      </c>
      <c r="S1144" t="n">
        <v>100.627773139</v>
      </c>
      <c r="T1144" t="n">
        <v>94.76476830599999</v>
      </c>
      <c r="U1144" t="n">
        <v/>
      </c>
      <c r="V1144" t="n">
        <v>97.594272871</v>
      </c>
      <c r="W1144" t="n">
        <v>92.10767564</v>
      </c>
      <c r="X1144" t="n">
        <v>95.873853537</v>
      </c>
      <c r="Y1144" t="n">
        <v/>
      </c>
      <c r="Z1144" t="n">
        <v>70.35218599</v>
      </c>
      <c r="AA1144" t="n">
        <v>84.49992574300001</v>
      </c>
      <c r="AB1144" t="n">
        <v>91.709601874</v>
      </c>
      <c r="AC1144" t="n">
        <v>98.491792351</v>
      </c>
      <c r="AD1144" t="n">
        <v>104.291309058</v>
      </c>
      <c r="AE1144" t="n">
        <v>101.428</v>
      </c>
      <c r="AF1144" t="n">
        <v>97.208100675</v>
      </c>
      <c r="AG1144" t="n">
        <v>94.59999999999999</v>
      </c>
      <c r="AH1144" t="n">
        <v>107.771609146</v>
      </c>
      <c r="AI1144" t="n">
        <v>98.791767353</v>
      </c>
      <c r="AJ1144" t="n">
        <v>100.193948798</v>
      </c>
      <c r="AK1144" t="n">
        <v/>
      </c>
      <c r="AL1144" t="n">
        <v>99.40682534699999</v>
      </c>
      <c r="AM1144" t="n">
        <v>94.40000000000001</v>
      </c>
      <c r="AN1144" t="n">
        <v>96.224031403</v>
      </c>
      <c r="AO1144" t="n">
        <v>92.2</v>
      </c>
      <c r="AP1144" t="n">
        <v>92.115352559</v>
      </c>
      <c r="AQ1144" t="n">
        <v>94.30785898800001</v>
      </c>
      <c r="AR1144" t="n">
        <v>97.59186734399999</v>
      </c>
      <c r="AS1144" t="n">
        <v>94.492125656</v>
      </c>
      <c r="AT1144" t="n">
        <v>100.882923443</v>
      </c>
      <c r="AU1144" t="n">
        <v/>
      </c>
    </row>
    <row r="1145">
      <c r="A1145" s="106" t="n">
        <v>41730</v>
      </c>
      <c r="B1145" t="n">
        <v>99.09539638</v>
      </c>
      <c r="C1145" t="n">
        <v>104.091325723</v>
      </c>
      <c r="D1145" t="n">
        <v>110.322047894</v>
      </c>
      <c r="E1145" t="n">
        <v>100.463898082</v>
      </c>
      <c r="F1145" t="n">
        <v>101.5</v>
      </c>
      <c r="G1145" t="n">
        <v/>
      </c>
      <c r="H1145" t="n">
        <v>100.583677863</v>
      </c>
      <c r="I1145" t="n">
        <v>99.09539638</v>
      </c>
      <c r="J1145" t="n">
        <v>95.684052658</v>
      </c>
      <c r="K1145" t="n">
        <v>99.408284024</v>
      </c>
      <c r="L1145" t="n">
        <v>99.59999999999999</v>
      </c>
      <c r="M1145" t="n">
        <v>98.591784018</v>
      </c>
      <c r="N1145" t="n">
        <v>97.51808126500001</v>
      </c>
      <c r="O1145" t="n">
        <v>100.008334028</v>
      </c>
      <c r="P1145" t="n">
        <v/>
      </c>
      <c r="Q1145" t="n">
        <v>102.608550713</v>
      </c>
      <c r="R1145" t="n">
        <v>99.09</v>
      </c>
      <c r="S1145" t="n">
        <v>100.013247338</v>
      </c>
      <c r="T1145" t="n">
        <v>94.97700742799999</v>
      </c>
      <c r="U1145" t="n">
        <v/>
      </c>
      <c r="V1145" t="n">
        <v>100.091567469</v>
      </c>
      <c r="W1145" t="n">
        <v>92.807733978</v>
      </c>
      <c r="X1145" t="n">
        <v>97.412075523</v>
      </c>
      <c r="Y1145" t="n">
        <v/>
      </c>
      <c r="Z1145" t="n">
        <v>81.88843154200001</v>
      </c>
      <c r="AA1145" t="n">
        <v>84.13186852</v>
      </c>
      <c r="AB1145" t="n">
        <v>90.30444964900001</v>
      </c>
      <c r="AC1145" t="n">
        <v>99.491709024</v>
      </c>
      <c r="AD1145" t="n">
        <v>99.791684026</v>
      </c>
      <c r="AE1145" t="n">
        <v>101.916</v>
      </c>
      <c r="AF1145" t="n">
        <v>97.608134011</v>
      </c>
      <c r="AG1145" t="n">
        <v>96.40000000000001</v>
      </c>
      <c r="AH1145" t="n">
        <v>108.508799971</v>
      </c>
      <c r="AI1145" t="n">
        <v>104.091325723</v>
      </c>
      <c r="AJ1145" t="n">
        <v>99.262994569</v>
      </c>
      <c r="AK1145" t="n">
        <v/>
      </c>
      <c r="AL1145" t="n">
        <v>99.40147158800001</v>
      </c>
      <c r="AM1145" t="n">
        <v>95.8</v>
      </c>
      <c r="AN1145" t="n">
        <v>98.737948794</v>
      </c>
      <c r="AO1145" t="n">
        <v>94.5</v>
      </c>
      <c r="AP1145" t="n">
        <v>94.015669278</v>
      </c>
      <c r="AQ1145" t="n">
        <v>93.307775648</v>
      </c>
      <c r="AR1145" t="n">
        <v>98.291809016</v>
      </c>
      <c r="AS1145" t="n">
        <v>93.59220065</v>
      </c>
      <c r="AT1145" t="n">
        <v>100.945591588</v>
      </c>
      <c r="AU1145" t="n">
        <v/>
      </c>
    </row>
    <row r="1146">
      <c r="A1146" s="106" t="n">
        <v>41760</v>
      </c>
      <c r="B1146" t="n">
        <v>97.44074226799999</v>
      </c>
      <c r="C1146" t="n">
        <v>101.191567369</v>
      </c>
      <c r="D1146" t="n">
        <v>108.780622075</v>
      </c>
      <c r="E1146" t="n">
        <v>100.729288449</v>
      </c>
      <c r="F1146" t="n">
        <v>99.8</v>
      </c>
      <c r="G1146" t="n">
        <v/>
      </c>
      <c r="H1146" t="n">
        <v>101.232073089</v>
      </c>
      <c r="I1146" t="n">
        <v>97.44074226799999</v>
      </c>
      <c r="J1146" t="n">
        <v>94.98416930499999</v>
      </c>
      <c r="K1146" t="n">
        <v>98.708225685</v>
      </c>
      <c r="L1146" t="n">
        <v>98.2</v>
      </c>
      <c r="M1146" t="n">
        <v>97.79185067900001</v>
      </c>
      <c r="N1146" t="n">
        <v>97.12808094</v>
      </c>
      <c r="O1146" t="n">
        <v>100.508375698</v>
      </c>
      <c r="P1146" t="n">
        <v/>
      </c>
      <c r="Q1146" t="n">
        <v>101.908492374</v>
      </c>
      <c r="R1146" t="n">
        <v>97.20999999999999</v>
      </c>
      <c r="S1146" t="n">
        <v>100.248711263</v>
      </c>
      <c r="T1146" t="n">
        <v>94.446409622</v>
      </c>
      <c r="U1146" t="n">
        <v/>
      </c>
      <c r="V1146" t="n">
        <v>105.585615583</v>
      </c>
      <c r="W1146" t="n">
        <v>92.40770064199999</v>
      </c>
      <c r="X1146" t="n">
        <v>97.283425826</v>
      </c>
      <c r="Y1146" t="n">
        <v/>
      </c>
      <c r="Z1146" t="n">
        <v>84.220896489</v>
      </c>
      <c r="AA1146" t="n">
        <v>84.74117009</v>
      </c>
      <c r="AB1146" t="n">
        <v>93.11475409800001</v>
      </c>
      <c r="AC1146" t="n">
        <v>97.99183401400001</v>
      </c>
      <c r="AD1146" t="n">
        <v>101.891509041</v>
      </c>
      <c r="AE1146" t="n">
        <v>99.405</v>
      </c>
      <c r="AF1146" t="n">
        <v>97.30810900900001</v>
      </c>
      <c r="AG1146" t="n">
        <v>96.59999999999999</v>
      </c>
      <c r="AH1146" t="n">
        <v>108.978120384</v>
      </c>
      <c r="AI1146" t="n">
        <v>103.691359053</v>
      </c>
      <c r="AJ1146" t="n">
        <v>94.60822342900001</v>
      </c>
      <c r="AK1146" t="n">
        <v/>
      </c>
      <c r="AL1146" t="n">
        <v>99.27260807099999</v>
      </c>
      <c r="AM1146" t="n">
        <v>94.2</v>
      </c>
      <c r="AN1146" t="n">
        <v>97.369710646</v>
      </c>
      <c r="AO1146" t="n">
        <v>94</v>
      </c>
      <c r="AP1146" t="n">
        <v>93.6156026</v>
      </c>
      <c r="AQ1146" t="n">
        <v>93.407783982</v>
      </c>
      <c r="AR1146" t="n">
        <v>95.392050662</v>
      </c>
      <c r="AS1146" t="n">
        <v>92.392300642</v>
      </c>
      <c r="AT1146" t="n">
        <v>101.35144716</v>
      </c>
      <c r="AU1146" t="n">
        <v/>
      </c>
    </row>
    <row r="1147">
      <c r="A1147" s="106" t="n">
        <v>41791</v>
      </c>
      <c r="B1147" t="n">
        <v>101.025826181</v>
      </c>
      <c r="C1147" t="n">
        <v>102.69144238</v>
      </c>
      <c r="D1147" t="n">
        <v>105.807872282</v>
      </c>
      <c r="E1147" t="n">
        <v>101.577092959</v>
      </c>
      <c r="F1147" t="n">
        <v>104.8</v>
      </c>
      <c r="G1147" t="n">
        <v/>
      </c>
      <c r="H1147" t="n">
        <v>100.871416786</v>
      </c>
      <c r="I1147" t="n">
        <v>101.025826181</v>
      </c>
      <c r="J1147" t="n">
        <v>95.484085986</v>
      </c>
      <c r="K1147" t="n">
        <v>98.80823402</v>
      </c>
      <c r="L1147" t="n">
        <v>97.40000000000001</v>
      </c>
      <c r="M1147" t="n">
        <v>97.291892342</v>
      </c>
      <c r="N1147" t="n">
        <v>96.64208053500001</v>
      </c>
      <c r="O1147" t="n">
        <v>100.008334028</v>
      </c>
      <c r="P1147" t="n">
        <v/>
      </c>
      <c r="Q1147" t="n">
        <v>99.80831736</v>
      </c>
      <c r="R1147" t="n">
        <v>99.11</v>
      </c>
      <c r="S1147" t="n">
        <v>100.470136754</v>
      </c>
      <c r="T1147" t="n">
        <v>94.34029006</v>
      </c>
      <c r="U1147" t="n">
        <v/>
      </c>
      <c r="V1147" t="n">
        <v>98.29351535799999</v>
      </c>
      <c r="W1147" t="n">
        <v>95.70797566500001</v>
      </c>
      <c r="X1147" t="n">
        <v>98.173922594</v>
      </c>
      <c r="Y1147" t="n">
        <v/>
      </c>
      <c r="Z1147" t="n">
        <v>63.985187078</v>
      </c>
      <c r="AA1147" t="n">
        <v>86.40221357599999</v>
      </c>
      <c r="AB1147" t="n">
        <v>92.927400468</v>
      </c>
      <c r="AC1147" t="n">
        <v>99.891675694</v>
      </c>
      <c r="AD1147" t="n">
        <v>100.591617365</v>
      </c>
      <c r="AE1147" t="n">
        <v>102.286</v>
      </c>
      <c r="AF1147" t="n">
        <v>97.708142345</v>
      </c>
      <c r="AG1147" t="n">
        <v>95.90000000000001</v>
      </c>
      <c r="AH1147" t="n">
        <v>108.762534563</v>
      </c>
      <c r="AI1147" t="n">
        <v>101.991500708</v>
      </c>
      <c r="AJ1147" t="n">
        <v>99.262994569</v>
      </c>
      <c r="AK1147" t="n">
        <v/>
      </c>
      <c r="AL1147" t="n">
        <v>99.56743672899999</v>
      </c>
      <c r="AM1147" t="n">
        <v>94.90000000000001</v>
      </c>
      <c r="AN1147" t="n">
        <v>96.84849599899999</v>
      </c>
      <c r="AO1147" t="n">
        <v>95.09999999999999</v>
      </c>
      <c r="AP1147" t="n">
        <v>95.915985998</v>
      </c>
      <c r="AQ1147" t="n">
        <v>95.907992333</v>
      </c>
      <c r="AR1147" t="n">
        <v>97.491875677</v>
      </c>
      <c r="AS1147" t="n">
        <v>94.192150654</v>
      </c>
      <c r="AT1147" t="n">
        <v>101.700584093</v>
      </c>
      <c r="AU1147" t="n">
        <v/>
      </c>
    </row>
    <row r="1148">
      <c r="A1148" s="106" t="n">
        <v>41821</v>
      </c>
      <c r="B1148" t="n">
        <v>98.176144095</v>
      </c>
      <c r="C1148" t="n">
        <v>100.991584035</v>
      </c>
      <c r="D1148" t="n">
        <v>108.230112854</v>
      </c>
      <c r="E1148" t="n">
        <v>100.987187959</v>
      </c>
      <c r="F1148" t="n">
        <v>100.4</v>
      </c>
      <c r="G1148" t="n">
        <v/>
      </c>
      <c r="H1148" t="n">
        <v>98.811815942</v>
      </c>
      <c r="I1148" t="n">
        <v>98.176144095</v>
      </c>
      <c r="J1148" t="n">
        <v>95.28411931300001</v>
      </c>
      <c r="K1148" t="n">
        <v>100.908409034</v>
      </c>
      <c r="L1148" t="n">
        <v>97.5</v>
      </c>
      <c r="M1148" t="n">
        <v>98.091825681</v>
      </c>
      <c r="N1148" t="n">
        <v>96.548080457</v>
      </c>
      <c r="O1148" t="n">
        <v>102.708559047</v>
      </c>
      <c r="P1148" t="n">
        <v/>
      </c>
      <c r="Q1148" t="n">
        <v>101.408450704</v>
      </c>
      <c r="R1148" t="n">
        <v>100.13</v>
      </c>
      <c r="S1148" t="n">
        <v>100.828874238</v>
      </c>
      <c r="T1148" t="n">
        <v>95.401485674</v>
      </c>
      <c r="U1148" t="n">
        <v/>
      </c>
      <c r="V1148" t="n">
        <v>97.594272871</v>
      </c>
      <c r="W1148" t="n">
        <v>97.408117343</v>
      </c>
      <c r="X1148" t="n">
        <v>98.973530199</v>
      </c>
      <c r="Y1148" t="n">
        <v/>
      </c>
      <c r="Z1148" t="n">
        <v>71.23474029400001</v>
      </c>
      <c r="AA1148" t="n">
        <v>89.438128264</v>
      </c>
      <c r="AB1148" t="n">
        <v>94.707259953</v>
      </c>
      <c r="AC1148" t="n">
        <v>98.491792351</v>
      </c>
      <c r="AD1148" t="n">
        <v>100.39163403</v>
      </c>
      <c r="AE1148" t="n">
        <v>102.927</v>
      </c>
      <c r="AF1148" t="n">
        <v>100.608384032</v>
      </c>
      <c r="AG1148" t="n">
        <v>96.5</v>
      </c>
      <c r="AH1148" t="n">
        <v>108.911273017</v>
      </c>
      <c r="AI1148" t="n">
        <v>102.69144238</v>
      </c>
      <c r="AJ1148" t="n">
        <v>97.866563227</v>
      </c>
      <c r="AK1148" t="n">
        <v/>
      </c>
      <c r="AL1148" t="n">
        <v>99.921131922</v>
      </c>
      <c r="AM1148" t="n">
        <v>96.7</v>
      </c>
      <c r="AN1148" t="n">
        <v>98.43776042499999</v>
      </c>
      <c r="AO1148" t="n">
        <v>94.5</v>
      </c>
      <c r="AP1148" t="n">
        <v>92.815469245</v>
      </c>
      <c r="AQ1148" t="n">
        <v>96.50804233700001</v>
      </c>
      <c r="AR1148" t="n">
        <v>95.692025665</v>
      </c>
      <c r="AS1148" t="n">
        <v>96.49195900300001</v>
      </c>
      <c r="AT1148" t="n">
        <v>101.977037876</v>
      </c>
      <c r="AU1148" t="n">
        <v/>
      </c>
    </row>
    <row r="1149">
      <c r="A1149" s="106" t="n">
        <v>41852</v>
      </c>
      <c r="B1149" t="n">
        <v>97.256891809</v>
      </c>
      <c r="C1149" t="n">
        <v>98.191817349</v>
      </c>
      <c r="D1149" t="n">
        <v>109.221029452</v>
      </c>
      <c r="E1149" t="n">
        <v>99.307898306</v>
      </c>
      <c r="F1149" t="n">
        <v>101.6</v>
      </c>
      <c r="G1149" t="n">
        <v/>
      </c>
      <c r="H1149" t="n">
        <v>97.880523005</v>
      </c>
      <c r="I1149" t="n">
        <v>97.256891809</v>
      </c>
      <c r="J1149" t="n">
        <v>95.584069322</v>
      </c>
      <c r="K1149" t="n">
        <v>96.708059005</v>
      </c>
      <c r="L1149" t="n">
        <v>102.8</v>
      </c>
      <c r="M1149" t="n">
        <v>96.39196733599999</v>
      </c>
      <c r="N1149" t="n">
        <v>97.02008085</v>
      </c>
      <c r="O1149" t="n">
        <v>100.8084007</v>
      </c>
      <c r="P1149" t="n">
        <v/>
      </c>
      <c r="Q1149" t="n">
        <v>102.008500708</v>
      </c>
      <c r="R1149" t="n">
        <v>98.31999999999999</v>
      </c>
      <c r="S1149" t="n">
        <v>99.679126121</v>
      </c>
      <c r="T1149" t="n">
        <v>94.34029006</v>
      </c>
      <c r="U1149" t="n">
        <v/>
      </c>
      <c r="V1149" t="n">
        <v>96.09589611299999</v>
      </c>
      <c r="W1149" t="n">
        <v>91.807650638</v>
      </c>
      <c r="X1149" t="n">
        <v>98.13538378200001</v>
      </c>
      <c r="Y1149" t="n">
        <v/>
      </c>
      <c r="Z1149" t="n">
        <v>74.954076292</v>
      </c>
      <c r="AA1149" t="n">
        <v>93.646691379</v>
      </c>
      <c r="AB1149" t="n">
        <v>95.831381733</v>
      </c>
      <c r="AC1149" t="n">
        <v>97.191900675</v>
      </c>
      <c r="AD1149" t="n">
        <v>99.491709024</v>
      </c>
      <c r="AE1149" t="n">
        <v>99.08799999999999</v>
      </c>
      <c r="AF1149" t="n">
        <v>97.708142345</v>
      </c>
      <c r="AG1149" t="n">
        <v>97</v>
      </c>
      <c r="AH1149" t="n">
        <v>109.04737239</v>
      </c>
      <c r="AI1149" t="n">
        <v>102.991417382</v>
      </c>
      <c r="AJ1149" t="n">
        <v>98.797517455</v>
      </c>
      <c r="AK1149" t="n">
        <v/>
      </c>
      <c r="AL1149" t="n">
        <v>98.798962174</v>
      </c>
      <c r="AM1149" t="n">
        <v>95.59999999999999</v>
      </c>
      <c r="AN1149" t="n">
        <v>96.917924111</v>
      </c>
      <c r="AO1149" t="n">
        <v>94.7</v>
      </c>
      <c r="AP1149" t="n">
        <v>94.515752625</v>
      </c>
      <c r="AQ1149" t="n">
        <v>95.10792566000001</v>
      </c>
      <c r="AR1149" t="n">
        <v>97.39188401</v>
      </c>
      <c r="AS1149" t="n">
        <v>91.792350637</v>
      </c>
      <c r="AT1149" t="n">
        <v>101.786058684</v>
      </c>
      <c r="AU1149" t="n">
        <v/>
      </c>
    </row>
    <row r="1150">
      <c r="A1150" s="106" t="n">
        <v>41883</v>
      </c>
      <c r="B1150" t="n">
        <v>98.54384501299999</v>
      </c>
      <c r="C1150" t="n">
        <v>102.491459045</v>
      </c>
      <c r="D1150" t="n">
        <v>109.441233141</v>
      </c>
      <c r="E1150" t="n">
        <v>101.212983796</v>
      </c>
      <c r="F1150" t="n">
        <v>101.3</v>
      </c>
      <c r="G1150" t="n">
        <v/>
      </c>
      <c r="H1150" t="n">
        <v>98.109069631</v>
      </c>
      <c r="I1150" t="n">
        <v>98.54384501299999</v>
      </c>
      <c r="J1150" t="n">
        <v>97.1838027</v>
      </c>
      <c r="K1150" t="n">
        <v>99.108259022</v>
      </c>
      <c r="L1150" t="n">
        <v>101.3</v>
      </c>
      <c r="M1150" t="n">
        <v>97.39188401</v>
      </c>
      <c r="N1150" t="n">
        <v>97.262081052</v>
      </c>
      <c r="O1150" t="n">
        <v>101.608467372</v>
      </c>
      <c r="P1150" t="n">
        <v/>
      </c>
      <c r="Q1150" t="n">
        <v>100.008334028</v>
      </c>
      <c r="R1150" t="n">
        <v>99.15000000000001</v>
      </c>
      <c r="S1150" t="n">
        <v>100.575457154</v>
      </c>
      <c r="T1150" t="n">
        <v>94.97700742799999</v>
      </c>
      <c r="U1150" t="n">
        <v/>
      </c>
      <c r="V1150" t="n">
        <v>97.194705735</v>
      </c>
      <c r="W1150" t="n">
        <v>93.907825652</v>
      </c>
      <c r="X1150" t="n">
        <v>98.95577928500001</v>
      </c>
      <c r="Y1150" t="n">
        <v/>
      </c>
      <c r="Z1150" t="n">
        <v>73.441126055</v>
      </c>
      <c r="AA1150" t="n">
        <v>96.76832083799999</v>
      </c>
      <c r="AB1150" t="n">
        <v>98.82903981299999</v>
      </c>
      <c r="AC1150" t="n">
        <v>97.891842346</v>
      </c>
      <c r="AD1150" t="n">
        <v>100.591617365</v>
      </c>
      <c r="AE1150" t="n">
        <v>99.2</v>
      </c>
      <c r="AF1150" t="n">
        <v>99.608300692</v>
      </c>
      <c r="AG1150" t="n">
        <v>98.40000000000001</v>
      </c>
      <c r="AH1150" t="n">
        <v>109.297127627</v>
      </c>
      <c r="AI1150" t="n">
        <v>101.291559037</v>
      </c>
      <c r="AJ1150" t="n">
        <v>101.823118697</v>
      </c>
      <c r="AK1150" t="n">
        <v/>
      </c>
      <c r="AL1150" t="n">
        <v>99.65832042300001</v>
      </c>
      <c r="AM1150" t="n">
        <v>96.5</v>
      </c>
      <c r="AN1150" t="n">
        <v>96.959881211</v>
      </c>
      <c r="AO1150" t="n">
        <v>96</v>
      </c>
      <c r="AP1150" t="n">
        <v>93.815635939</v>
      </c>
      <c r="AQ1150" t="n">
        <v>94.00783398599999</v>
      </c>
      <c r="AR1150" t="n">
        <v>95.392050662</v>
      </c>
      <c r="AS1150" t="n">
        <v>96.091992334</v>
      </c>
      <c r="AT1150" t="n">
        <v>102.098209512</v>
      </c>
      <c r="AU1150" t="n">
        <v/>
      </c>
    </row>
    <row r="1151">
      <c r="A1151" s="106" t="n">
        <v>41913</v>
      </c>
      <c r="B1151" t="n">
        <v>98.084218865</v>
      </c>
      <c r="C1151" t="n">
        <v>99.791684026</v>
      </c>
      <c r="D1151" t="n">
        <v>109.661436829</v>
      </c>
      <c r="E1151" t="n">
        <v>102.027079449</v>
      </c>
      <c r="F1151" t="n">
        <v>103.8</v>
      </c>
      <c r="G1151" t="n">
        <v/>
      </c>
      <c r="H1151" t="n">
        <v>99.03894875100001</v>
      </c>
      <c r="I1151" t="n">
        <v>98.084218865</v>
      </c>
      <c r="J1151" t="n">
        <v>96.683886019</v>
      </c>
      <c r="K1151" t="n">
        <v>99.30827569</v>
      </c>
      <c r="L1151" t="n">
        <v>100.4</v>
      </c>
      <c r="M1151" t="n">
        <v>97.091909008</v>
      </c>
      <c r="N1151" t="n">
        <v>96.81708068099999</v>
      </c>
      <c r="O1151" t="n">
        <v>100.8084007</v>
      </c>
      <c r="P1151" t="n">
        <v/>
      </c>
      <c r="Q1151" t="n">
        <v>101.30844237</v>
      </c>
      <c r="R1151" t="n">
        <v>97.59</v>
      </c>
      <c r="S1151" t="n">
        <v>100.557365966</v>
      </c>
      <c r="T1151" t="n">
        <v>94.87088786699999</v>
      </c>
      <c r="U1151" t="n">
        <v/>
      </c>
      <c r="V1151" t="n">
        <v>99.791892117</v>
      </c>
      <c r="W1151" t="n">
        <v>91.30760896699999</v>
      </c>
      <c r="X1151" t="n">
        <v>94.477847039</v>
      </c>
      <c r="Y1151" t="n">
        <v/>
      </c>
      <c r="Z1151" t="n">
        <v>76.530066121</v>
      </c>
      <c r="AA1151" t="n">
        <v>101.172380906</v>
      </c>
      <c r="AB1151" t="n">
        <v>97.79859484799999</v>
      </c>
      <c r="AC1151" t="n">
        <v>97.69185901199999</v>
      </c>
      <c r="AD1151" t="n">
        <v>100.591617365</v>
      </c>
      <c r="AE1151" t="n">
        <v>97.98</v>
      </c>
      <c r="AF1151" t="n">
        <v>100.208350696</v>
      </c>
      <c r="AG1151" t="n">
        <v>98.5</v>
      </c>
      <c r="AH1151" t="n">
        <v>109.360423129</v>
      </c>
      <c r="AI1151" t="n">
        <v>100.191650696</v>
      </c>
      <c r="AJ1151" t="n">
        <v>103.10318076</v>
      </c>
      <c r="AK1151" t="n">
        <v/>
      </c>
      <c r="AL1151" t="n">
        <v>99.57195056</v>
      </c>
      <c r="AM1151" t="n">
        <v>96.59999999999999</v>
      </c>
      <c r="AN1151" t="n">
        <v>98.861917951</v>
      </c>
      <c r="AO1151" t="n">
        <v>97.09999999999999</v>
      </c>
      <c r="AP1151" t="n">
        <v>93.91565260900001</v>
      </c>
      <c r="AQ1151" t="n">
        <v>95.807983999</v>
      </c>
      <c r="AR1151" t="n">
        <v>95.892008999</v>
      </c>
      <c r="AS1151" t="n">
        <v>94.892092326</v>
      </c>
      <c r="AT1151" t="n">
        <v>102.103861544</v>
      </c>
      <c r="AU1151" t="n">
        <v/>
      </c>
    </row>
    <row r="1152">
      <c r="A1152" s="106" t="n">
        <v>41944</v>
      </c>
      <c r="B1152" t="n">
        <v>97.348817039</v>
      </c>
      <c r="C1152" t="n">
        <v>99.19173402200001</v>
      </c>
      <c r="D1152" t="n">
        <v>108.560418387</v>
      </c>
      <c r="E1152" t="n">
        <v>101.658154734</v>
      </c>
      <c r="F1152" t="n">
        <v>103.7</v>
      </c>
      <c r="G1152" t="n">
        <v/>
      </c>
      <c r="H1152" t="n">
        <v>97.978520688</v>
      </c>
      <c r="I1152" t="n">
        <v>97.348817039</v>
      </c>
      <c r="J1152" t="n">
        <v>97.383769372</v>
      </c>
      <c r="K1152" t="n">
        <v>99.408284024</v>
      </c>
      <c r="L1152" t="n">
        <v>100.1</v>
      </c>
      <c r="M1152" t="n">
        <v>96.791934005</v>
      </c>
      <c r="N1152" t="n">
        <v>96.423080353</v>
      </c>
      <c r="O1152" t="n">
        <v>102.30852571</v>
      </c>
      <c r="P1152" t="n">
        <v/>
      </c>
      <c r="Q1152" t="n">
        <v>100.508375698</v>
      </c>
      <c r="R1152" t="n">
        <v>96.78</v>
      </c>
      <c r="S1152" t="n">
        <v>100.854573575</v>
      </c>
      <c r="T1152" t="n">
        <v>95.825963919</v>
      </c>
      <c r="U1152" t="n">
        <v/>
      </c>
      <c r="V1152" t="n">
        <v>99.192541413</v>
      </c>
      <c r="W1152" t="n">
        <v>95.207933994</v>
      </c>
      <c r="X1152" t="n">
        <v>101.362732786</v>
      </c>
      <c r="Y1152" t="n">
        <v/>
      </c>
      <c r="Z1152" t="n">
        <v>76.02574937599999</v>
      </c>
      <c r="AA1152" t="n">
        <v>99.58835414000001</v>
      </c>
      <c r="AB1152" t="n">
        <v>97.142857143</v>
      </c>
      <c r="AC1152" t="n">
        <v>97.79185067900001</v>
      </c>
      <c r="AD1152" t="n">
        <v>100.591617365</v>
      </c>
      <c r="AE1152" t="n">
        <v>98.49299999999999</v>
      </c>
      <c r="AF1152" t="n">
        <v>100.30835903</v>
      </c>
      <c r="AG1152" t="n">
        <v>96.40000000000001</v>
      </c>
      <c r="AH1152" t="n">
        <v>109.5572142</v>
      </c>
      <c r="AI1152" t="n">
        <v>100.691609033</v>
      </c>
      <c r="AJ1152" t="n">
        <v>100.77579519</v>
      </c>
      <c r="AK1152" t="n">
        <v/>
      </c>
      <c r="AL1152" t="n">
        <v>99.783764725</v>
      </c>
      <c r="AM1152" t="n">
        <v>96.40000000000001</v>
      </c>
      <c r="AN1152" t="n">
        <v>97.751337916</v>
      </c>
      <c r="AO1152" t="n">
        <v>97.7</v>
      </c>
      <c r="AP1152" t="n">
        <v>94.515752625</v>
      </c>
      <c r="AQ1152" t="n">
        <v>96.008000667</v>
      </c>
      <c r="AR1152" t="n">
        <v>95.392050662</v>
      </c>
      <c r="AS1152" t="n">
        <v>95.692025665</v>
      </c>
      <c r="AT1152" t="n">
        <v>102.729848894</v>
      </c>
      <c r="AU1152" t="n">
        <v/>
      </c>
    </row>
    <row r="1153">
      <c r="A1153" s="106" t="n">
        <v>41974</v>
      </c>
      <c r="B1153" t="n">
        <v>99.371172069</v>
      </c>
      <c r="C1153" t="n">
        <v>99.691692359</v>
      </c>
      <c r="D1153" t="n">
        <v>105.037159372</v>
      </c>
      <c r="E1153" t="n">
        <v>102.069616816</v>
      </c>
      <c r="F1153" t="n">
        <v>103</v>
      </c>
      <c r="G1153" t="n">
        <v/>
      </c>
      <c r="H1153" t="n">
        <v>99.627262105</v>
      </c>
      <c r="I1153" t="n">
        <v>99.371172069</v>
      </c>
      <c r="J1153" t="n">
        <v>99.08348608599999</v>
      </c>
      <c r="K1153" t="n">
        <v>101.108425702</v>
      </c>
      <c r="L1153" t="n">
        <v>100.2</v>
      </c>
      <c r="M1153" t="n">
        <v>98.191817349</v>
      </c>
      <c r="N1153" t="n">
        <v>96.65108054300001</v>
      </c>
      <c r="O1153" t="n">
        <v>101.908492374</v>
      </c>
      <c r="P1153" t="n">
        <v/>
      </c>
      <c r="Q1153" t="n">
        <v>98.508209017</v>
      </c>
      <c r="R1153" t="n">
        <v>99.65000000000001</v>
      </c>
      <c r="S1153" t="n">
        <v>101.365474595</v>
      </c>
      <c r="T1153" t="n">
        <v>97.736116024</v>
      </c>
      <c r="U1153" t="n">
        <v/>
      </c>
      <c r="V1153" t="n">
        <v>96.595355032</v>
      </c>
      <c r="W1153" t="n">
        <v>93.80781731800001</v>
      </c>
      <c r="X1153" t="n">
        <v>98.689780355</v>
      </c>
      <c r="Y1153" t="n">
        <v/>
      </c>
      <c r="Z1153" t="n">
        <v>70.16306720999999</v>
      </c>
      <c r="AA1153" t="n">
        <v>98.477595369</v>
      </c>
      <c r="AB1153" t="n">
        <v>95.925058548</v>
      </c>
      <c r="AC1153" t="n">
        <v>98.791767353</v>
      </c>
      <c r="AD1153" t="n">
        <v>100.191650696</v>
      </c>
      <c r="AE1153" t="n">
        <v>101.089</v>
      </c>
      <c r="AF1153" t="n">
        <v>101.408450704</v>
      </c>
      <c r="AG1153" t="n">
        <v>97.2</v>
      </c>
      <c r="AH1153" t="n">
        <v>109.599606574</v>
      </c>
      <c r="AI1153" t="n">
        <v>100.7916007</v>
      </c>
      <c r="AJ1153" t="n">
        <v>101.357641583</v>
      </c>
      <c r="AK1153" t="n">
        <v/>
      </c>
      <c r="AL1153" t="n">
        <v>100.312612499</v>
      </c>
      <c r="AM1153" t="n">
        <v>98.09999999999999</v>
      </c>
      <c r="AN1153" t="n">
        <v>97.35671430399999</v>
      </c>
      <c r="AO1153" t="n">
        <v>100.1</v>
      </c>
      <c r="AP1153" t="n">
        <v>96.416069345</v>
      </c>
      <c r="AQ1153" t="n">
        <v>96.608050671</v>
      </c>
      <c r="AR1153" t="n">
        <v>99.591700692</v>
      </c>
      <c r="AS1153" t="n">
        <v>95.592033997</v>
      </c>
      <c r="AT1153" t="n">
        <v>102.720230524</v>
      </c>
      <c r="AU1153" t="n">
        <v/>
      </c>
    </row>
    <row r="1154">
      <c r="A1154" s="106" t="n">
        <v>42005</v>
      </c>
      <c r="B1154" t="n">
        <v>100.591617365</v>
      </c>
      <c r="C1154" t="n">
        <v>101.291559037</v>
      </c>
      <c r="D1154" t="n">
        <v>105.697770438</v>
      </c>
      <c r="E1154" t="n">
        <v>101.386343632</v>
      </c>
      <c r="F1154" t="n">
        <v>103.5</v>
      </c>
      <c r="G1154" t="n">
        <v/>
      </c>
      <c r="H1154" t="n">
        <v>102.817657757</v>
      </c>
      <c r="I1154" t="n">
        <v>100.491625698</v>
      </c>
      <c r="J1154" t="n">
        <v>97.68371938</v>
      </c>
      <c r="K1154" t="n">
        <v>98.408200683</v>
      </c>
      <c r="L1154" t="n">
        <v>97.3</v>
      </c>
      <c r="M1154" t="n">
        <v>97.59186734399999</v>
      </c>
      <c r="N1154" t="n">
        <v>96.854080712</v>
      </c>
      <c r="O1154" t="n">
        <v>99.108259022</v>
      </c>
      <c r="P1154" t="n">
        <v/>
      </c>
      <c r="Q1154" t="n">
        <v>97.30810900900001</v>
      </c>
      <c r="R1154" t="n">
        <v>99.48999999999999</v>
      </c>
      <c r="S1154" t="n">
        <v>101.081748209</v>
      </c>
      <c r="T1154" t="n">
        <v>99.327909445</v>
      </c>
      <c r="U1154" t="n">
        <v/>
      </c>
      <c r="V1154" t="n">
        <v>97.993840007</v>
      </c>
      <c r="W1154" t="n">
        <v>97.608134011</v>
      </c>
      <c r="X1154" t="n">
        <v>98.09304271800001</v>
      </c>
      <c r="Y1154" t="n">
        <v/>
      </c>
      <c r="Z1154" t="n">
        <v>76.08731878</v>
      </c>
      <c r="AA1154" t="n">
        <v>99.28055435900001</v>
      </c>
      <c r="AB1154" t="n">
        <v>96.20608899299999</v>
      </c>
      <c r="AC1154" t="n">
        <v>98.291809016</v>
      </c>
      <c r="AD1154" t="n">
        <v>102.69144238</v>
      </c>
      <c r="AE1154" t="n">
        <v>97.7</v>
      </c>
      <c r="AF1154" t="n">
        <v>100.008334028</v>
      </c>
      <c r="AG1154" t="n">
        <v>96.5</v>
      </c>
      <c r="AH1154" t="n">
        <v>109.276523953</v>
      </c>
      <c r="AI1154" t="n">
        <v>102.891425715</v>
      </c>
      <c r="AJ1154" t="n">
        <v>98.564778898</v>
      </c>
      <c r="AK1154" t="n">
        <v/>
      </c>
      <c r="AL1154" t="n">
        <v>99.992116415</v>
      </c>
      <c r="AM1154" t="n">
        <v>98.5</v>
      </c>
      <c r="AN1154" t="n">
        <v>95.87920100700001</v>
      </c>
      <c r="AO1154" t="n">
        <v>101.2</v>
      </c>
      <c r="AP1154" t="n">
        <v>97.616269378</v>
      </c>
      <c r="AQ1154" t="n">
        <v>98.508209017</v>
      </c>
      <c r="AR1154" t="n">
        <v>94.692108991</v>
      </c>
      <c r="AS1154" t="n">
        <v>95.19206732799999</v>
      </c>
      <c r="AT1154" t="n">
        <v>101.932912362</v>
      </c>
      <c r="AU1154" t="n">
        <v/>
      </c>
    </row>
    <row r="1155">
      <c r="A1155" s="106" t="n">
        <v>42036</v>
      </c>
      <c r="B1155" t="n">
        <v>99.491709024</v>
      </c>
      <c r="C1155" t="n">
        <v>97.191900675</v>
      </c>
      <c r="D1155" t="n">
        <v>105.037159372</v>
      </c>
      <c r="E1155" t="n">
        <v>100.746142877</v>
      </c>
      <c r="F1155" t="n">
        <v>98.5</v>
      </c>
      <c r="G1155" t="n">
        <v/>
      </c>
      <c r="H1155" t="n">
        <v>100.559421476</v>
      </c>
      <c r="I1155" t="n">
        <v>99.691692359</v>
      </c>
      <c r="J1155" t="n">
        <v>98.58356940500001</v>
      </c>
      <c r="K1155" t="n">
        <v>99.30827569</v>
      </c>
      <c r="L1155" t="n">
        <v>98.5</v>
      </c>
      <c r="M1155" t="n">
        <v>100.291642363</v>
      </c>
      <c r="N1155" t="n">
        <v>98.111081759</v>
      </c>
      <c r="O1155" t="n">
        <v>102.408534045</v>
      </c>
      <c r="P1155" t="n">
        <v/>
      </c>
      <c r="Q1155" t="n">
        <v>98.80823402</v>
      </c>
      <c r="R1155" t="n">
        <v>100.02</v>
      </c>
      <c r="S1155" t="n">
        <v>100.519782476</v>
      </c>
      <c r="T1155" t="n">
        <v>100.389105058</v>
      </c>
      <c r="U1155" t="n">
        <v/>
      </c>
      <c r="V1155" t="n">
        <v>101.689836011</v>
      </c>
      <c r="W1155" t="n">
        <v>96.308025669</v>
      </c>
      <c r="X1155" t="n">
        <v>98.865118942</v>
      </c>
      <c r="Y1155" t="n">
        <v/>
      </c>
      <c r="Z1155" t="n">
        <v>111.981336444</v>
      </c>
      <c r="AA1155" t="n">
        <v>101.416981928</v>
      </c>
      <c r="AB1155" t="n">
        <v>97.79859484799999</v>
      </c>
      <c r="AC1155" t="n">
        <v>99.09174235499999</v>
      </c>
      <c r="AD1155" t="n">
        <v>99.791684026</v>
      </c>
      <c r="AE1155" t="n">
        <v>100.2</v>
      </c>
      <c r="AF1155" t="n">
        <v>100.30835903</v>
      </c>
      <c r="AG1155" t="n">
        <v>97.5</v>
      </c>
      <c r="AH1155" t="n">
        <v>109.590521705</v>
      </c>
      <c r="AI1155" t="n">
        <v>103.491375719</v>
      </c>
      <c r="AJ1155" t="n">
        <v>100.77579519</v>
      </c>
      <c r="AK1155" t="n">
        <v/>
      </c>
      <c r="AL1155" t="n">
        <v>100.09325061</v>
      </c>
      <c r="AM1155" t="n">
        <v>99.2</v>
      </c>
      <c r="AN1155" t="n">
        <v>97.79918500700001</v>
      </c>
      <c r="AO1155" t="n">
        <v>100.1</v>
      </c>
      <c r="AP1155" t="n">
        <v>95.915985998</v>
      </c>
      <c r="AQ1155" t="n">
        <v>97.108092341</v>
      </c>
      <c r="AR1155" t="n">
        <v>95.792017332</v>
      </c>
      <c r="AS1155" t="n">
        <v>95.19206732799999</v>
      </c>
      <c r="AT1155" t="n">
        <v>101.295720106</v>
      </c>
      <c r="AU1155" t="n">
        <v/>
      </c>
    </row>
    <row r="1156">
      <c r="A1156" s="106" t="n">
        <v>42064</v>
      </c>
      <c r="B1156" t="n">
        <v>100.191650696</v>
      </c>
      <c r="C1156" t="n">
        <v>100.291642363</v>
      </c>
      <c r="D1156" t="n">
        <v>104.596751996</v>
      </c>
      <c r="E1156" t="n">
        <v>100.143128878</v>
      </c>
      <c r="F1156" t="n">
        <v>97.90000000000001</v>
      </c>
      <c r="G1156" t="n">
        <v/>
      </c>
      <c r="H1156" t="n">
        <v>98.46035629799999</v>
      </c>
      <c r="I1156" t="n">
        <v>100.191650696</v>
      </c>
      <c r="J1156" t="n">
        <v>99.383436094</v>
      </c>
      <c r="K1156" t="n">
        <v>99.20826735599999</v>
      </c>
      <c r="L1156" t="n">
        <v>102.1</v>
      </c>
      <c r="M1156" t="n">
        <v>100.39163403</v>
      </c>
      <c r="N1156" t="n">
        <v>98.836082363</v>
      </c>
      <c r="O1156" t="n">
        <v>101.008417368</v>
      </c>
      <c r="P1156" t="n">
        <v/>
      </c>
      <c r="Q1156" t="n">
        <v>100.8084007</v>
      </c>
      <c r="R1156" t="n">
        <v>99.94</v>
      </c>
      <c r="S1156" t="n">
        <v>100.275977729</v>
      </c>
      <c r="T1156" t="n">
        <v>100.919702865</v>
      </c>
      <c r="U1156" t="n">
        <v/>
      </c>
      <c r="V1156" t="n">
        <v>101.689836011</v>
      </c>
      <c r="W1156" t="n">
        <v>99.30827569</v>
      </c>
      <c r="X1156" t="n">
        <v>98.18272757</v>
      </c>
      <c r="Y1156" t="n">
        <v/>
      </c>
      <c r="Z1156" t="n">
        <v>110.981503083</v>
      </c>
      <c r="AA1156" t="n">
        <v>103.551499004</v>
      </c>
      <c r="AB1156" t="n">
        <v>97.330210773</v>
      </c>
      <c r="AC1156" t="n">
        <v>99.391717357</v>
      </c>
      <c r="AD1156" t="n">
        <v>99.29172569000001</v>
      </c>
      <c r="AE1156" t="n">
        <v>98.5</v>
      </c>
      <c r="AF1156" t="n">
        <v>100.008334028</v>
      </c>
      <c r="AG1156" t="n">
        <v>101.1</v>
      </c>
      <c r="AH1156" t="n">
        <v>109.693842453</v>
      </c>
      <c r="AI1156" t="n">
        <v>100.7916007</v>
      </c>
      <c r="AJ1156" t="n">
        <v>102.172226532</v>
      </c>
      <c r="AK1156" t="n">
        <v/>
      </c>
      <c r="AL1156" t="n">
        <v>100.072127524</v>
      </c>
      <c r="AM1156" t="n">
        <v>100.1</v>
      </c>
      <c r="AN1156" t="n">
        <v>98.159182007</v>
      </c>
      <c r="AO1156" t="n">
        <v>99.59999999999999</v>
      </c>
      <c r="AP1156" t="n">
        <v>99.01650275</v>
      </c>
      <c r="AQ1156" t="n">
        <v>99.30827569</v>
      </c>
      <c r="AR1156" t="n">
        <v>96.091992334</v>
      </c>
      <c r="AS1156" t="n">
        <v>99.09174235499999</v>
      </c>
      <c r="AT1156" t="n">
        <v>100.950946145</v>
      </c>
      <c r="AU1156" t="n">
        <v/>
      </c>
    </row>
    <row r="1157">
      <c r="A1157" s="106" t="n">
        <v>42095</v>
      </c>
      <c r="B1157" t="n">
        <v>99.991667361</v>
      </c>
      <c r="C1157" t="n">
        <v>101.591534039</v>
      </c>
      <c r="D1157" t="n">
        <v>102.394715111</v>
      </c>
      <c r="E1157" t="n">
        <v>99.27606216300001</v>
      </c>
      <c r="F1157" t="n">
        <v>100.6</v>
      </c>
      <c r="G1157" t="n">
        <v/>
      </c>
      <c r="H1157" t="n">
        <v>100.695754714</v>
      </c>
      <c r="I1157" t="n">
        <v>100.091659028</v>
      </c>
      <c r="J1157" t="n">
        <v>100.383269455</v>
      </c>
      <c r="K1157" t="n">
        <v>100.108342362</v>
      </c>
      <c r="L1157" t="n">
        <v>101.1</v>
      </c>
      <c r="M1157" t="n">
        <v>99.391717357</v>
      </c>
      <c r="N1157" t="n">
        <v>99.75608312999999</v>
      </c>
      <c r="O1157" t="n">
        <v>101.30844237</v>
      </c>
      <c r="P1157" t="n">
        <v/>
      </c>
      <c r="Q1157" t="n">
        <v>100.208350696</v>
      </c>
      <c r="R1157" t="n">
        <v>99.26000000000001</v>
      </c>
      <c r="S1157" t="n">
        <v>100.139470827</v>
      </c>
      <c r="T1157" t="n">
        <v>100.813583304</v>
      </c>
      <c r="U1157" t="n">
        <v/>
      </c>
      <c r="V1157" t="n">
        <v>100.89070174</v>
      </c>
      <c r="W1157" t="n">
        <v>99.008250688</v>
      </c>
      <c r="X1157" t="n">
        <v>98.111696245</v>
      </c>
      <c r="Y1157" t="n">
        <v/>
      </c>
      <c r="Z1157" t="n">
        <v>90.884852525</v>
      </c>
      <c r="AA1157" t="n">
        <v>107.166310948</v>
      </c>
      <c r="AB1157" t="n">
        <v>95.362997658</v>
      </c>
      <c r="AC1157" t="n">
        <v>99.691692359</v>
      </c>
      <c r="AD1157" t="n">
        <v>99.691692359</v>
      </c>
      <c r="AE1157" t="n">
        <v>99.59999999999999</v>
      </c>
      <c r="AF1157" t="n">
        <v>100.8084007</v>
      </c>
      <c r="AG1157" t="n">
        <v>102.4</v>
      </c>
      <c r="AH1157" t="n">
        <v>110.453685118</v>
      </c>
      <c r="AI1157" t="n">
        <v>98.591784018</v>
      </c>
      <c r="AJ1157" t="n">
        <v>95.30643910000001</v>
      </c>
      <c r="AK1157" t="n">
        <v/>
      </c>
      <c r="AL1157" t="n">
        <v>99.92727103599999</v>
      </c>
      <c r="AM1157" t="n">
        <v>97.90000000000001</v>
      </c>
      <c r="AN1157" t="n">
        <v>99.849167924</v>
      </c>
      <c r="AO1157" t="n">
        <v>99.5</v>
      </c>
      <c r="AP1157" t="n">
        <v>98.016336056</v>
      </c>
      <c r="AQ1157" t="n">
        <v>98.10817568100001</v>
      </c>
      <c r="AR1157" t="n">
        <v>101.691525706</v>
      </c>
      <c r="AS1157" t="n">
        <v>99.391717357</v>
      </c>
      <c r="AT1157" t="n">
        <v>100.376620353</v>
      </c>
      <c r="AU1157" t="n">
        <v/>
      </c>
    </row>
    <row r="1158">
      <c r="A1158" s="106" t="n">
        <v>42125</v>
      </c>
      <c r="B1158" t="n">
        <v>99.29172569000001</v>
      </c>
      <c r="C1158" t="n">
        <v>101.591534039</v>
      </c>
      <c r="D1158" t="n">
        <v>101.513900358</v>
      </c>
      <c r="E1158" t="n">
        <v>98.35495426599999</v>
      </c>
      <c r="F1158" t="n">
        <v>101.1</v>
      </c>
      <c r="G1158" t="n">
        <v/>
      </c>
      <c r="H1158" t="n">
        <v>100.753067435</v>
      </c>
      <c r="I1158" t="n">
        <v>99.29172569000001</v>
      </c>
      <c r="J1158" t="n">
        <v>99.983336111</v>
      </c>
      <c r="K1158" t="n">
        <v>100.508375698</v>
      </c>
      <c r="L1158" t="n">
        <v>100.8</v>
      </c>
      <c r="M1158" t="n">
        <v>100.191650696</v>
      </c>
      <c r="N1158" t="n">
        <v>100.93208411</v>
      </c>
      <c r="O1158" t="n">
        <v>101.008417368</v>
      </c>
      <c r="P1158" t="n">
        <v/>
      </c>
      <c r="Q1158" t="n">
        <v>99.50829235800001</v>
      </c>
      <c r="R1158" t="n">
        <v>100.29</v>
      </c>
      <c r="S1158" t="n">
        <v>99.99860866100001</v>
      </c>
      <c r="T1158" t="n">
        <v>100.282985497</v>
      </c>
      <c r="U1158" t="n">
        <v/>
      </c>
      <c r="V1158" t="n">
        <v>96.195787896</v>
      </c>
      <c r="W1158" t="n">
        <v>98.208184015</v>
      </c>
      <c r="X1158" t="n">
        <v>98.91390895799999</v>
      </c>
      <c r="Y1158" t="n">
        <v/>
      </c>
      <c r="Z1158" t="n">
        <v>97.383769372</v>
      </c>
      <c r="AA1158" t="n">
        <v>105.742773571</v>
      </c>
      <c r="AB1158" t="n">
        <v>95.081967213</v>
      </c>
      <c r="AC1158" t="n">
        <v>100.491625698</v>
      </c>
      <c r="AD1158" t="n">
        <v>99.691692359</v>
      </c>
      <c r="AE1158" t="n">
        <v>98.09999999999999</v>
      </c>
      <c r="AF1158" t="n">
        <v>100.208350696</v>
      </c>
      <c r="AG1158" t="n">
        <v>99.59999999999999</v>
      </c>
      <c r="AH1158" t="n">
        <v>108.968089657</v>
      </c>
      <c r="AI1158" t="n">
        <v>97.891842346</v>
      </c>
      <c r="AJ1158" t="n">
        <v>99.030256012</v>
      </c>
      <c r="AK1158" t="n">
        <v/>
      </c>
      <c r="AL1158" t="n">
        <v>99.76399042200001</v>
      </c>
      <c r="AM1158" t="n">
        <v>99</v>
      </c>
      <c r="AN1158" t="n">
        <v>100.089165924</v>
      </c>
      <c r="AO1158" t="n">
        <v>100.1</v>
      </c>
      <c r="AP1158" t="n">
        <v>100.316719453</v>
      </c>
      <c r="AQ1158" t="n">
        <v>99.608300692</v>
      </c>
      <c r="AR1158" t="n">
        <v>100.291642363</v>
      </c>
      <c r="AS1158" t="n">
        <v>99.491709024</v>
      </c>
      <c r="AT1158" t="n">
        <v>99.905716832</v>
      </c>
      <c r="AU1158" t="n">
        <v/>
      </c>
    </row>
    <row r="1159">
      <c r="A1159" s="106" t="n">
        <v>42156</v>
      </c>
      <c r="B1159" t="n">
        <v>100.091659028</v>
      </c>
      <c r="C1159" t="n">
        <v>97.59186734399999</v>
      </c>
      <c r="D1159" t="n">
        <v>100.52298376</v>
      </c>
      <c r="E1159" t="n">
        <v>99.15647598</v>
      </c>
      <c r="F1159" t="n">
        <v>96.59999999999999</v>
      </c>
      <c r="G1159" t="n">
        <v/>
      </c>
      <c r="H1159" t="n">
        <v>103.19130143</v>
      </c>
      <c r="I1159" t="n">
        <v>100.191650696</v>
      </c>
      <c r="J1159" t="n">
        <v>100.483252791</v>
      </c>
      <c r="K1159" t="n">
        <v>100.208350696</v>
      </c>
      <c r="L1159" t="n">
        <v>105.2</v>
      </c>
      <c r="M1159" t="n">
        <v>100.39163403</v>
      </c>
      <c r="N1159" t="n">
        <v>101.123084269</v>
      </c>
      <c r="O1159" t="n">
        <v>101.608467372</v>
      </c>
      <c r="P1159" t="n">
        <v/>
      </c>
      <c r="Q1159" t="n">
        <v>101.408450704</v>
      </c>
      <c r="R1159" t="n">
        <v>100.21</v>
      </c>
      <c r="S1159" t="n">
        <v>99.98776977</v>
      </c>
      <c r="T1159" t="n">
        <v>100.49522462</v>
      </c>
      <c r="U1159" t="n">
        <v/>
      </c>
      <c r="V1159" t="n">
        <v>95.196870057</v>
      </c>
      <c r="W1159" t="n">
        <v>100.30835903</v>
      </c>
      <c r="X1159" t="n">
        <v>98.98512026500001</v>
      </c>
      <c r="Y1159" t="n">
        <v/>
      </c>
      <c r="Z1159" t="n">
        <v>101.383102816</v>
      </c>
      <c r="AA1159" t="n">
        <v>105.02693641</v>
      </c>
      <c r="AB1159" t="n">
        <v>97.04918032800001</v>
      </c>
      <c r="AC1159" t="n">
        <v>99.991667361</v>
      </c>
      <c r="AD1159" t="n">
        <v>100.491625698</v>
      </c>
      <c r="AE1159" t="n">
        <v>100.1</v>
      </c>
      <c r="AF1159" t="n">
        <v>99.30827569</v>
      </c>
      <c r="AG1159" t="n">
        <v>98.8</v>
      </c>
      <c r="AH1159" t="n">
        <v>109.433697179</v>
      </c>
      <c r="AI1159" t="n">
        <v>100.691609033</v>
      </c>
      <c r="AJ1159" t="n">
        <v>102.521334368</v>
      </c>
      <c r="AK1159" t="n">
        <v/>
      </c>
      <c r="AL1159" t="n">
        <v>100.086911507</v>
      </c>
      <c r="AM1159" t="n">
        <v>99.59999999999999</v>
      </c>
      <c r="AN1159" t="n">
        <v>100.599161674</v>
      </c>
      <c r="AO1159" t="n">
        <v>99.8</v>
      </c>
      <c r="AP1159" t="n">
        <v>99.616602767</v>
      </c>
      <c r="AQ1159" t="n">
        <v>100.30835903</v>
      </c>
      <c r="AR1159" t="n">
        <v>100.39163403</v>
      </c>
      <c r="AS1159" t="n">
        <v>100.39163403</v>
      </c>
      <c r="AT1159" t="n">
        <v>99.60754734699999</v>
      </c>
      <c r="AU1159" t="n">
        <v/>
      </c>
    </row>
    <row r="1160">
      <c r="A1160" s="106" t="n">
        <v>42186</v>
      </c>
      <c r="B1160" t="n">
        <v>99.991667361</v>
      </c>
      <c r="C1160" t="n">
        <v>98.591784018</v>
      </c>
      <c r="D1160" t="n">
        <v>98.54115056400001</v>
      </c>
      <c r="E1160" t="n">
        <v>100.617460653</v>
      </c>
      <c r="F1160" t="n">
        <v>100.7</v>
      </c>
      <c r="G1160" t="n">
        <v/>
      </c>
      <c r="H1160" t="n">
        <v>99.309269386</v>
      </c>
      <c r="I1160" t="n">
        <v>100.091659028</v>
      </c>
      <c r="J1160" t="n">
        <v>102.982836194</v>
      </c>
      <c r="K1160" t="n">
        <v>101.608467372</v>
      </c>
      <c r="L1160" t="n">
        <v>100.1</v>
      </c>
      <c r="M1160" t="n">
        <v>100.891592367</v>
      </c>
      <c r="N1160" t="n">
        <v>102.069085058</v>
      </c>
      <c r="O1160" t="n">
        <v>100.108342362</v>
      </c>
      <c r="P1160" t="n">
        <v/>
      </c>
      <c r="Q1160" t="n">
        <v>99.408284024</v>
      </c>
      <c r="R1160" t="n">
        <v>99.19</v>
      </c>
      <c r="S1160" t="n">
        <v>100.529187998</v>
      </c>
      <c r="T1160" t="n">
        <v>99.964626813</v>
      </c>
      <c r="U1160" t="n">
        <v/>
      </c>
      <c r="V1160" t="n">
        <v>97.394489303</v>
      </c>
      <c r="W1160" t="n">
        <v>101.30844237</v>
      </c>
      <c r="X1160" t="n">
        <v>100.451508616</v>
      </c>
      <c r="Y1160" t="n">
        <v/>
      </c>
      <c r="Z1160" t="n">
        <v>99.683386102</v>
      </c>
      <c r="AA1160" t="n">
        <v>100.226348699</v>
      </c>
      <c r="AB1160" t="n">
        <v>93.770491803</v>
      </c>
      <c r="AC1160" t="n">
        <v>100.991584035</v>
      </c>
      <c r="AD1160" t="n">
        <v>100.39163403</v>
      </c>
      <c r="AE1160" t="n">
        <v>99.2</v>
      </c>
      <c r="AF1160" t="n">
        <v>98.60821735099999</v>
      </c>
      <c r="AG1160" t="n">
        <v>101.4</v>
      </c>
      <c r="AH1160" t="n">
        <v>109.876633952</v>
      </c>
      <c r="AI1160" t="n">
        <v>100.491625698</v>
      </c>
      <c r="AJ1160" t="n">
        <v>99.262994569</v>
      </c>
      <c r="AK1160" t="n">
        <v/>
      </c>
      <c r="AL1160" t="n">
        <v>100.391549734</v>
      </c>
      <c r="AM1160" t="n">
        <v>100.8</v>
      </c>
      <c r="AN1160" t="n">
        <v>103.499137507</v>
      </c>
      <c r="AO1160" t="n">
        <v>100.1</v>
      </c>
      <c r="AP1160" t="n">
        <v>103.317219537</v>
      </c>
      <c r="AQ1160" t="n">
        <v>99.30827569</v>
      </c>
      <c r="AR1160" t="n">
        <v>98.491792351</v>
      </c>
      <c r="AS1160" t="n">
        <v>99.791684026</v>
      </c>
      <c r="AT1160" t="n">
        <v>100.259117579</v>
      </c>
      <c r="AU1160" t="n">
        <v/>
      </c>
    </row>
    <row r="1161">
      <c r="A1161" s="106" t="n">
        <v>42217</v>
      </c>
      <c r="B1161" t="n">
        <v>99.891675694</v>
      </c>
      <c r="C1161" t="n">
        <v>98.191817349</v>
      </c>
      <c r="D1161" t="n">
        <v>99.42196531800001</v>
      </c>
      <c r="E1161" t="n">
        <v>101.706577775</v>
      </c>
      <c r="F1161" t="n">
        <v>99.7</v>
      </c>
      <c r="G1161" t="n">
        <v/>
      </c>
      <c r="H1161" t="n">
        <v>94.89048899700001</v>
      </c>
      <c r="I1161" t="n">
        <v>99.891675694</v>
      </c>
      <c r="J1161" t="n">
        <v>100.7832028</v>
      </c>
      <c r="K1161" t="n">
        <v>99.008250688</v>
      </c>
      <c r="L1161" t="n">
        <v>103.5</v>
      </c>
      <c r="M1161" t="n">
        <v>99.691692359</v>
      </c>
      <c r="N1161" t="n">
        <v>99.78708315599999</v>
      </c>
      <c r="O1161" t="n">
        <v>100.908409034</v>
      </c>
      <c r="P1161" t="n">
        <v/>
      </c>
      <c r="Q1161" t="n">
        <v>100.008334028</v>
      </c>
      <c r="R1161" t="n">
        <v>100.09</v>
      </c>
      <c r="S1161" t="n">
        <v>99.76864640300001</v>
      </c>
      <c r="T1161" t="n">
        <v>100.282985497</v>
      </c>
      <c r="U1161" t="n">
        <v/>
      </c>
      <c r="V1161" t="n">
        <v>100.790809956</v>
      </c>
      <c r="W1161" t="n">
        <v>97.708142345</v>
      </c>
      <c r="X1161" t="n">
        <v>101.429210227</v>
      </c>
      <c r="Y1161" t="n">
        <v/>
      </c>
      <c r="Z1161" t="n">
        <v>105.682386269</v>
      </c>
      <c r="AA1161" t="n">
        <v>96.249366486</v>
      </c>
      <c r="AB1161" t="n">
        <v>96.20608899299999</v>
      </c>
      <c r="AC1161" t="n">
        <v>98.791767353</v>
      </c>
      <c r="AD1161" t="n">
        <v>98.791767353</v>
      </c>
      <c r="AE1161" t="n">
        <v>101.9</v>
      </c>
      <c r="AF1161" t="n">
        <v>101.508459038</v>
      </c>
      <c r="AG1161" t="n">
        <v>101.6</v>
      </c>
      <c r="AH1161" t="n">
        <v>110.309803085</v>
      </c>
      <c r="AI1161" t="n">
        <v>96.99191734</v>
      </c>
      <c r="AJ1161" t="n">
        <v>102.172226532</v>
      </c>
      <c r="AK1161" t="n">
        <v/>
      </c>
      <c r="AL1161" t="n">
        <v>100.008245087</v>
      </c>
      <c r="AM1161" t="n">
        <v>98.7</v>
      </c>
      <c r="AN1161" t="n">
        <v>98.259181173</v>
      </c>
      <c r="AO1161" t="n">
        <v>100.9</v>
      </c>
      <c r="AP1161" t="n">
        <v>96.616102684</v>
      </c>
      <c r="AQ1161" t="n">
        <v>99.908325694</v>
      </c>
      <c r="AR1161" t="n">
        <v>103.591367386</v>
      </c>
      <c r="AS1161" t="n">
        <v>102.591450712</v>
      </c>
      <c r="AT1161" t="n">
        <v>100.031251441</v>
      </c>
      <c r="AU1161" t="n">
        <v/>
      </c>
    </row>
    <row r="1162">
      <c r="A1162" s="106" t="n">
        <v>42248</v>
      </c>
      <c r="B1162" t="n">
        <v>99.791684026</v>
      </c>
      <c r="C1162" t="n">
        <v>100.991584035</v>
      </c>
      <c r="D1162" t="n">
        <v>97.10982659</v>
      </c>
      <c r="E1162" t="n">
        <v>99.55001351</v>
      </c>
      <c r="F1162" t="n">
        <v>100.5</v>
      </c>
      <c r="G1162" t="n">
        <v/>
      </c>
      <c r="H1162" t="n">
        <v>100.059974577</v>
      </c>
      <c r="I1162" t="n">
        <v>99.791684026</v>
      </c>
      <c r="J1162" t="n">
        <v>100.183302783</v>
      </c>
      <c r="K1162" t="n">
        <v>99.20826735599999</v>
      </c>
      <c r="L1162" t="n">
        <v>99.8</v>
      </c>
      <c r="M1162" t="n">
        <v>100.291642363</v>
      </c>
      <c r="N1162" t="n">
        <v>101.18408432</v>
      </c>
      <c r="O1162" t="n">
        <v>100.708392366</v>
      </c>
      <c r="P1162" t="n">
        <v/>
      </c>
      <c r="Q1162" t="n">
        <v>101.608467372</v>
      </c>
      <c r="R1162" t="n">
        <v>101.16</v>
      </c>
      <c r="S1162" t="n">
        <v>99.955074358</v>
      </c>
      <c r="T1162" t="n">
        <v>100.070746374</v>
      </c>
      <c r="U1162" t="n">
        <v/>
      </c>
      <c r="V1162" t="n">
        <v>100.39124282</v>
      </c>
      <c r="W1162" t="n">
        <v>101.408450704</v>
      </c>
      <c r="X1162" t="n">
        <v>100.793428957</v>
      </c>
      <c r="Y1162" t="n">
        <v/>
      </c>
      <c r="Z1162" t="n">
        <v>101.683052825</v>
      </c>
      <c r="AA1162" t="n">
        <v>93.741077686</v>
      </c>
      <c r="AB1162" t="n">
        <v>94.988290398</v>
      </c>
      <c r="AC1162" t="n">
        <v>99.791684026</v>
      </c>
      <c r="AD1162" t="n">
        <v>100.491625698</v>
      </c>
      <c r="AE1162" t="n">
        <v>103.1</v>
      </c>
      <c r="AF1162" t="n">
        <v>98.60821735099999</v>
      </c>
      <c r="AG1162" t="n">
        <v>100.8</v>
      </c>
      <c r="AH1162" t="n">
        <v>110.869408404</v>
      </c>
      <c r="AI1162" t="n">
        <v>98.591784018</v>
      </c>
      <c r="AJ1162" t="n">
        <v>104.615981381</v>
      </c>
      <c r="AK1162" t="n">
        <v/>
      </c>
      <c r="AL1162" t="n">
        <v>100.470774126</v>
      </c>
      <c r="AM1162" t="n">
        <v>100.8</v>
      </c>
      <c r="AN1162" t="n">
        <v>101.499154174</v>
      </c>
      <c r="AO1162" t="n">
        <v>99.8</v>
      </c>
      <c r="AP1162" t="n">
        <v>101.816969495</v>
      </c>
      <c r="AQ1162" t="n">
        <v>100.108342362</v>
      </c>
      <c r="AR1162" t="n">
        <v>102.891425715</v>
      </c>
      <c r="AS1162" t="n">
        <v>102.69144238</v>
      </c>
      <c r="AT1162" t="n">
        <v>99.76134211599999</v>
      </c>
      <c r="AU1162" t="n">
        <v/>
      </c>
    </row>
    <row r="1163">
      <c r="A1163" s="106" t="n">
        <v>42278</v>
      </c>
      <c r="B1163" t="n">
        <v>100.591617365</v>
      </c>
      <c r="C1163" t="n">
        <v>101.691525706</v>
      </c>
      <c r="D1163" t="n">
        <v>96.99972474499999</v>
      </c>
      <c r="E1163" t="n">
        <v>99.32662544900001</v>
      </c>
      <c r="F1163" t="n">
        <v>101.3</v>
      </c>
      <c r="G1163" t="n">
        <v/>
      </c>
      <c r="H1163" t="n">
        <v>100.398282759</v>
      </c>
      <c r="I1163" t="n">
        <v>100.491625698</v>
      </c>
      <c r="J1163" t="n">
        <v>102.282952841</v>
      </c>
      <c r="K1163" t="n">
        <v>100.30835903</v>
      </c>
      <c r="L1163" t="n">
        <v>96.8</v>
      </c>
      <c r="M1163" t="n">
        <v>100.691609033</v>
      </c>
      <c r="N1163" t="n">
        <v>100.562083802</v>
      </c>
      <c r="O1163" t="n">
        <v>101.30844237</v>
      </c>
      <c r="P1163" t="n">
        <v/>
      </c>
      <c r="Q1163" t="n">
        <v>99.908325694</v>
      </c>
      <c r="R1163" t="n">
        <v>101.29</v>
      </c>
      <c r="S1163" t="n">
        <v>99.91515332500001</v>
      </c>
      <c r="T1163" t="n">
        <v>100.070746374</v>
      </c>
      <c r="U1163" t="n">
        <v/>
      </c>
      <c r="V1163" t="n">
        <v>99.49221676499999</v>
      </c>
      <c r="W1163" t="n">
        <v>102.208517376</v>
      </c>
      <c r="X1163" t="n">
        <v>103.421754157</v>
      </c>
      <c r="Y1163" t="n">
        <v/>
      </c>
      <c r="Z1163" t="n">
        <v>100.483252791</v>
      </c>
      <c r="AA1163" t="n">
        <v>92.87555942199999</v>
      </c>
      <c r="AB1163" t="n">
        <v>94.14519906300001</v>
      </c>
      <c r="AC1163" t="n">
        <v>99.891675694</v>
      </c>
      <c r="AD1163" t="n">
        <v>100.591617365</v>
      </c>
      <c r="AE1163" t="n">
        <v>101.2</v>
      </c>
      <c r="AF1163" t="n">
        <v>100.208350696</v>
      </c>
      <c r="AG1163" t="n">
        <v>100.6</v>
      </c>
      <c r="AH1163" t="n">
        <v>110.012802271</v>
      </c>
      <c r="AI1163" t="n">
        <v>100.891592367</v>
      </c>
      <c r="AJ1163" t="n">
        <v>100.310318076</v>
      </c>
      <c r="AK1163" t="n">
        <v/>
      </c>
      <c r="AL1163" t="n">
        <v>100.218716752</v>
      </c>
      <c r="AM1163" t="n">
        <v>101.6</v>
      </c>
      <c r="AN1163" t="n">
        <v>104.239131341</v>
      </c>
      <c r="AO1163" t="n">
        <v>100.4</v>
      </c>
      <c r="AP1163" t="n">
        <v>101.616936156</v>
      </c>
      <c r="AQ1163" t="n">
        <v>99.20826735599999</v>
      </c>
      <c r="AR1163" t="n">
        <v>102.391467378</v>
      </c>
      <c r="AS1163" t="n">
        <v>100.291642363</v>
      </c>
      <c r="AT1163" t="n">
        <v>99.30818796</v>
      </c>
      <c r="AU1163" t="n">
        <v/>
      </c>
    </row>
    <row r="1164">
      <c r="A1164" s="106" t="n">
        <v>42309</v>
      </c>
      <c r="B1164" t="n">
        <v>101.091575702</v>
      </c>
      <c r="C1164" t="n">
        <v>101.091575702</v>
      </c>
      <c r="D1164" t="n">
        <v>95.127993394</v>
      </c>
      <c r="E1164" t="n">
        <v>99.64552193900001</v>
      </c>
      <c r="F1164" t="n">
        <v>100.7</v>
      </c>
      <c r="G1164" t="n">
        <v/>
      </c>
      <c r="H1164" t="n">
        <v>97.921916404</v>
      </c>
      <c r="I1164" t="n">
        <v>101.091575702</v>
      </c>
      <c r="J1164" t="n">
        <v>99.88335277500001</v>
      </c>
      <c r="K1164" t="n">
        <v>99.008250688</v>
      </c>
      <c r="L1164" t="n">
        <v>95.59999999999999</v>
      </c>
      <c r="M1164" t="n">
        <v>99.891675694</v>
      </c>
      <c r="N1164" t="n">
        <v>100.486083738</v>
      </c>
      <c r="O1164" t="n">
        <v>98.308192349</v>
      </c>
      <c r="P1164" t="n">
        <v/>
      </c>
      <c r="Q1164" t="n">
        <v>98.708225685</v>
      </c>
      <c r="R1164" t="n">
        <v>99.36</v>
      </c>
      <c r="S1164" t="n">
        <v>99.185087837</v>
      </c>
      <c r="T1164" t="n">
        <v>98.797311638</v>
      </c>
      <c r="U1164" t="n">
        <v/>
      </c>
      <c r="V1164" t="n">
        <v>102.588862066</v>
      </c>
      <c r="W1164" t="n">
        <v>101.508459038</v>
      </c>
      <c r="X1164" t="n">
        <v>101.627413943</v>
      </c>
      <c r="Y1164" t="n">
        <v/>
      </c>
      <c r="Z1164" t="n">
        <v>98.58356940500001</v>
      </c>
      <c r="AA1164" t="n">
        <v>95.571336367</v>
      </c>
      <c r="AB1164" t="n">
        <v>101.639344262</v>
      </c>
      <c r="AC1164" t="n">
        <v>100.591617365</v>
      </c>
      <c r="AD1164" t="n">
        <v>99.991667361</v>
      </c>
      <c r="AE1164" t="n">
        <v>100.5</v>
      </c>
      <c r="AF1164" t="n">
        <v>101.108425702</v>
      </c>
      <c r="AG1164" t="n">
        <v>100.3</v>
      </c>
      <c r="AH1164" t="n">
        <v>109.230842789</v>
      </c>
      <c r="AI1164" t="n">
        <v>101.091575702</v>
      </c>
      <c r="AJ1164" t="n">
        <v>99.262994569</v>
      </c>
      <c r="AK1164" t="n">
        <v/>
      </c>
      <c r="AL1164" t="n">
        <v>99.66267169</v>
      </c>
      <c r="AM1164" t="n">
        <v>101.7</v>
      </c>
      <c r="AN1164" t="n">
        <v>99.79916833999999</v>
      </c>
      <c r="AO1164" t="n">
        <v>100</v>
      </c>
      <c r="AP1164" t="n">
        <v>103.217202867</v>
      </c>
      <c r="AQ1164" t="n">
        <v>100.30835903</v>
      </c>
      <c r="AR1164" t="n">
        <v>102.69144238</v>
      </c>
      <c r="AS1164" t="n">
        <v>102.491459045</v>
      </c>
      <c r="AT1164" t="n">
        <v>98.545361937</v>
      </c>
      <c r="AU1164" t="n">
        <v/>
      </c>
    </row>
    <row r="1165">
      <c r="A1165" s="106" t="n">
        <v>42339</v>
      </c>
      <c r="B1165" t="n">
        <v>98.89175901999999</v>
      </c>
      <c r="C1165" t="n">
        <v>99.791684026</v>
      </c>
      <c r="D1165" t="n">
        <v>93.36636388700001</v>
      </c>
      <c r="E1165" t="n">
        <v>100.090692878</v>
      </c>
      <c r="F1165" t="n">
        <v>98.8</v>
      </c>
      <c r="G1165" t="n">
        <v/>
      </c>
      <c r="H1165" t="n">
        <v>98.652469876</v>
      </c>
      <c r="I1165" t="n">
        <v>98.591784018</v>
      </c>
      <c r="J1165" t="n">
        <v>99.283452758</v>
      </c>
      <c r="K1165" t="n">
        <v>99.908325694</v>
      </c>
      <c r="L1165" t="n">
        <v>99.2</v>
      </c>
      <c r="M1165" t="n">
        <v>100.191650696</v>
      </c>
      <c r="N1165" t="n">
        <v>100.300083583</v>
      </c>
      <c r="O1165" t="n">
        <v>96.008000667</v>
      </c>
      <c r="P1165" t="n">
        <v/>
      </c>
      <c r="Q1165" t="n">
        <v>102.30852571</v>
      </c>
      <c r="R1165" t="n">
        <v>99.7</v>
      </c>
      <c r="S1165" t="n">
        <v>98.643492408</v>
      </c>
      <c r="T1165" t="n">
        <v>98.58507251499999</v>
      </c>
      <c r="U1165" t="n">
        <v/>
      </c>
      <c r="V1165" t="n">
        <v>105.685507367</v>
      </c>
      <c r="W1165" t="n">
        <v>101.008417368</v>
      </c>
      <c r="X1165" t="n">
        <v>102.134422187</v>
      </c>
      <c r="Y1165" t="n">
        <v/>
      </c>
      <c r="Z1165" t="n">
        <v>105.582402933</v>
      </c>
      <c r="AA1165" t="n">
        <v>99.15125511700001</v>
      </c>
      <c r="AB1165" t="n">
        <v>98.173302108</v>
      </c>
      <c r="AC1165" t="n">
        <v>98.691775685</v>
      </c>
      <c r="AD1165" t="n">
        <v>98.091825681</v>
      </c>
      <c r="AE1165" t="n">
        <v>99.8</v>
      </c>
      <c r="AF1165" t="n">
        <v>99.50829235800001</v>
      </c>
      <c r="AG1165" t="n">
        <v>99.59999999999999</v>
      </c>
      <c r="AH1165" t="n">
        <v>109.746314749</v>
      </c>
      <c r="AI1165" t="n">
        <v>98.391800683</v>
      </c>
      <c r="AJ1165" t="n">
        <v>98.913886734</v>
      </c>
      <c r="AK1165" t="n">
        <v/>
      </c>
      <c r="AL1165" t="n">
        <v>99.312375097</v>
      </c>
      <c r="AM1165" t="n">
        <v>102.1</v>
      </c>
      <c r="AN1165" t="n">
        <v>100.30916409</v>
      </c>
      <c r="AO1165" t="n">
        <v>99.2</v>
      </c>
      <c r="AP1165" t="n">
        <v>102.117019503</v>
      </c>
      <c r="AQ1165" t="n">
        <v>98.708225685</v>
      </c>
      <c r="AR1165" t="n">
        <v>100.991584035</v>
      </c>
      <c r="AS1165" t="n">
        <v>103.291392384</v>
      </c>
      <c r="AT1165" t="n">
        <v>98.025275822</v>
      </c>
      <c r="AU1165" t="n">
        <v/>
      </c>
    </row>
    <row r="1166">
      <c r="A1166" s="106" t="n">
        <v>42370</v>
      </c>
      <c r="B1166" t="n">
        <v>102.29147571</v>
      </c>
      <c r="C1166" t="n">
        <v>104.991250729</v>
      </c>
      <c r="D1166" t="n">
        <v>94.797687861</v>
      </c>
      <c r="E1166" t="n">
        <v>100.697987367</v>
      </c>
      <c r="F1166" t="n">
        <v>99.7</v>
      </c>
      <c r="G1166" t="n">
        <v/>
      </c>
      <c r="H1166" t="n">
        <v>99.07520506900001</v>
      </c>
      <c r="I1166" t="n">
        <v>102.29147571</v>
      </c>
      <c r="J1166" t="n">
        <v>102.082986169</v>
      </c>
      <c r="K1166" t="n">
        <v>101.208434036</v>
      </c>
      <c r="L1166" t="n">
        <v>104.6</v>
      </c>
      <c r="M1166" t="n">
        <v>102.69144238</v>
      </c>
      <c r="N1166" t="n">
        <v>101.84408487</v>
      </c>
      <c r="O1166" t="n">
        <v>101.108425702</v>
      </c>
      <c r="P1166" t="n">
        <v/>
      </c>
      <c r="Q1166" t="n">
        <v>100.408367364</v>
      </c>
      <c r="R1166" t="n">
        <v>101.46</v>
      </c>
      <c r="S1166" t="n">
        <v>99.870114749</v>
      </c>
      <c r="T1166" t="n">
        <v>100.070746374</v>
      </c>
      <c r="U1166" t="n">
        <v/>
      </c>
      <c r="V1166" t="n">
        <v>102.089403147</v>
      </c>
      <c r="W1166" t="n">
        <v>99.80831736</v>
      </c>
      <c r="X1166" t="n">
        <v>102.458038265</v>
      </c>
      <c r="Y1166" t="n">
        <v/>
      </c>
      <c r="Z1166" t="n">
        <v>118.680219963</v>
      </c>
      <c r="AA1166" t="n">
        <v>94.680152081</v>
      </c>
      <c r="AB1166" t="n">
        <v>96.48711943799999</v>
      </c>
      <c r="AC1166" t="n">
        <v>101.691525706</v>
      </c>
      <c r="AD1166" t="n">
        <v>100.291642363</v>
      </c>
      <c r="AE1166" t="n">
        <v>99</v>
      </c>
      <c r="AF1166" t="n">
        <v>99.908325694</v>
      </c>
      <c r="AG1166" t="n">
        <v>102.7</v>
      </c>
      <c r="AH1166" t="n">
        <v>110.083003502</v>
      </c>
      <c r="AI1166" t="n">
        <v>100.691609033</v>
      </c>
      <c r="AJ1166" t="n">
        <v>99.495733126</v>
      </c>
      <c r="AK1166" t="n">
        <v/>
      </c>
      <c r="AL1166" t="n">
        <v>100.354666394</v>
      </c>
      <c r="AM1166" t="n">
        <v>101.9</v>
      </c>
      <c r="AN1166" t="n">
        <v>100.649161257</v>
      </c>
      <c r="AO1166" t="n">
        <v>100.5</v>
      </c>
      <c r="AP1166" t="n">
        <v>104.117352892</v>
      </c>
      <c r="AQ1166" t="n">
        <v>106.408867406</v>
      </c>
      <c r="AR1166" t="n">
        <v>101.191567369</v>
      </c>
      <c r="AS1166" t="n">
        <v>102.591450712</v>
      </c>
      <c r="AT1166" t="n">
        <v>98.572035563</v>
      </c>
      <c r="AU1166" t="n">
        <v/>
      </c>
    </row>
    <row r="1167">
      <c r="A1167" s="106" t="n">
        <v>42401</v>
      </c>
      <c r="B1167" t="n">
        <v>101.891509041</v>
      </c>
      <c r="C1167" t="n">
        <v>102.191484043</v>
      </c>
      <c r="D1167" t="n">
        <v>93.36636388700001</v>
      </c>
      <c r="E1167" t="n">
        <v>99.77340157099999</v>
      </c>
      <c r="F1167" t="n">
        <v>103.2</v>
      </c>
      <c r="G1167" t="n">
        <v/>
      </c>
      <c r="H1167" t="n">
        <v>99.428260253</v>
      </c>
      <c r="I1167" t="n">
        <v>101.991500708</v>
      </c>
      <c r="J1167" t="n">
        <v>103.882686219</v>
      </c>
      <c r="K1167" t="n">
        <v>101.208434036</v>
      </c>
      <c r="L1167" t="n">
        <v>100</v>
      </c>
      <c r="M1167" t="n">
        <v>101.091575702</v>
      </c>
      <c r="N1167" t="n">
        <v>101.449084541</v>
      </c>
      <c r="O1167" t="n">
        <v>98.708225685</v>
      </c>
      <c r="P1167" t="n">
        <v/>
      </c>
      <c r="Q1167" t="n">
        <v>102.408534045</v>
      </c>
      <c r="R1167" t="n">
        <v>100.83</v>
      </c>
      <c r="S1167" t="n">
        <v>99.285810387</v>
      </c>
      <c r="T1167" t="n">
        <v>99.434029006</v>
      </c>
      <c r="U1167" t="n">
        <v/>
      </c>
      <c r="V1167" t="n">
        <v>98.393407142</v>
      </c>
      <c r="W1167" t="n">
        <v>98.10817568100001</v>
      </c>
      <c r="X1167" t="n">
        <v>102.177911778</v>
      </c>
      <c r="Y1167" t="n">
        <v/>
      </c>
      <c r="Z1167" t="n">
        <v>99.88335277500001</v>
      </c>
      <c r="AA1167" t="n">
        <v>90.75860726400001</v>
      </c>
      <c r="AB1167" t="n">
        <v>95.362997658</v>
      </c>
      <c r="AC1167" t="n">
        <v>100.39163403</v>
      </c>
      <c r="AD1167" t="n">
        <v>99.491709024</v>
      </c>
      <c r="AE1167" t="n">
        <v>100.8</v>
      </c>
      <c r="AF1167" t="n">
        <v>102.108509042</v>
      </c>
      <c r="AG1167" t="n">
        <v>98.09999999999999</v>
      </c>
      <c r="AH1167" t="n">
        <v>110.007175544</v>
      </c>
      <c r="AI1167" t="n">
        <v>101.491542371</v>
      </c>
      <c r="AJ1167" t="n">
        <v>99.495733126</v>
      </c>
      <c r="AK1167" t="n">
        <v/>
      </c>
      <c r="AL1167" t="n">
        <v>100.007692795</v>
      </c>
      <c r="AM1167" t="n">
        <v>101.4</v>
      </c>
      <c r="AN1167" t="n">
        <v>102.309147424</v>
      </c>
      <c r="AO1167" t="n">
        <v>99.8</v>
      </c>
      <c r="AP1167" t="n">
        <v>105.717619603</v>
      </c>
      <c r="AQ1167" t="n">
        <v>107.50895908</v>
      </c>
      <c r="AR1167" t="n">
        <v>101.391550704</v>
      </c>
      <c r="AS1167" t="n">
        <v>103.691359053</v>
      </c>
      <c r="AT1167" t="n">
        <v>98.06236108500001</v>
      </c>
      <c r="AU1167" t="n">
        <v/>
      </c>
    </row>
    <row r="1168">
      <c r="A1168" s="106" t="n">
        <v>42430</v>
      </c>
      <c r="B1168" t="n">
        <v>102.491459045</v>
      </c>
      <c r="C1168" t="n">
        <v>103.691359053</v>
      </c>
      <c r="D1168" t="n">
        <v>94.24717864</v>
      </c>
      <c r="E1168" t="n">
        <v>98.756785245</v>
      </c>
      <c r="F1168" t="n">
        <v>101.8</v>
      </c>
      <c r="G1168" t="n">
        <v/>
      </c>
      <c r="H1168" t="n">
        <v>101.798635134</v>
      </c>
      <c r="I1168" t="n">
        <v>102.491459045</v>
      </c>
      <c r="J1168" t="n">
        <v>102.782869522</v>
      </c>
      <c r="K1168" t="n">
        <v>100.208350696</v>
      </c>
      <c r="L1168" t="n">
        <v>103.6</v>
      </c>
      <c r="M1168" t="n">
        <v>100.591617365</v>
      </c>
      <c r="N1168" t="n">
        <v>102.358085298</v>
      </c>
      <c r="O1168" t="n">
        <v>97.108092341</v>
      </c>
      <c r="P1168" t="n">
        <v/>
      </c>
      <c r="Q1168" t="n">
        <v>100.208350696</v>
      </c>
      <c r="R1168" t="n">
        <v>100.06</v>
      </c>
      <c r="S1168" t="n">
        <v>98.840017112</v>
      </c>
      <c r="T1168" t="n">
        <v>100.282985497</v>
      </c>
      <c r="U1168" t="n">
        <v/>
      </c>
      <c r="V1168" t="n">
        <v>99.791892117</v>
      </c>
      <c r="W1168" t="n">
        <v>96.50804233700001</v>
      </c>
      <c r="X1168" t="n">
        <v>103.030521832</v>
      </c>
      <c r="Y1168" t="n">
        <v/>
      </c>
      <c r="Z1168" t="n">
        <v>98.483586069</v>
      </c>
      <c r="AA1168" t="n">
        <v>88.77777442199999</v>
      </c>
      <c r="AB1168" t="n">
        <v>98.07962529300001</v>
      </c>
      <c r="AC1168" t="n">
        <v>100.491625698</v>
      </c>
      <c r="AD1168" t="n">
        <v>99.891675694</v>
      </c>
      <c r="AE1168" t="n">
        <v>101</v>
      </c>
      <c r="AF1168" t="n">
        <v>101.608467372</v>
      </c>
      <c r="AG1168" t="n">
        <v>103.1</v>
      </c>
      <c r="AH1168" t="n">
        <v>109.59574379</v>
      </c>
      <c r="AI1168" t="n">
        <v>102.591450712</v>
      </c>
      <c r="AJ1168" t="n">
        <v>100.310318076</v>
      </c>
      <c r="AK1168" t="n">
        <v/>
      </c>
      <c r="AL1168" t="n">
        <v>99.682601918</v>
      </c>
      <c r="AM1168" t="n">
        <v>100.5</v>
      </c>
      <c r="AN1168" t="n">
        <v>100.469162757</v>
      </c>
      <c r="AO1168" t="n">
        <v>100.7</v>
      </c>
      <c r="AP1168" t="n">
        <v>100.316719453</v>
      </c>
      <c r="AQ1168" t="n">
        <v>103.608634053</v>
      </c>
      <c r="AR1168" t="n">
        <v>101.091575702</v>
      </c>
      <c r="AS1168" t="n">
        <v>102.591450712</v>
      </c>
      <c r="AT1168" t="n">
        <v>97.31262397899999</v>
      </c>
      <c r="AU1168" t="n">
        <v/>
      </c>
    </row>
    <row r="1169">
      <c r="A1169" s="106" t="n">
        <v>42461</v>
      </c>
      <c r="B1169" t="n">
        <v>101.991500708</v>
      </c>
      <c r="C1169" t="n">
        <v>105.291225731</v>
      </c>
      <c r="D1169" t="n">
        <v>94.026974952</v>
      </c>
      <c r="E1169" t="n">
        <v>99.012009449</v>
      </c>
      <c r="F1169" t="n">
        <v>100.9</v>
      </c>
      <c r="G1169" t="n">
        <v/>
      </c>
      <c r="H1169" t="n">
        <v>97.88367039400001</v>
      </c>
      <c r="I1169" t="n">
        <v>102.191484043</v>
      </c>
      <c r="J1169" t="n">
        <v>102.682886186</v>
      </c>
      <c r="K1169" t="n">
        <v>101.008417368</v>
      </c>
      <c r="L1169" t="n">
        <v>102</v>
      </c>
      <c r="M1169" t="n">
        <v>101.591534039</v>
      </c>
      <c r="N1169" t="n">
        <v>102.553085461</v>
      </c>
      <c r="O1169" t="n">
        <v>102.108509042</v>
      </c>
      <c r="P1169" t="n">
        <v/>
      </c>
      <c r="Q1169" t="n">
        <v>105.308775731</v>
      </c>
      <c r="R1169" t="n">
        <v>101.14</v>
      </c>
      <c r="S1169" t="n">
        <v>99.31540515499999</v>
      </c>
      <c r="T1169" t="n">
        <v>103.466572338</v>
      </c>
      <c r="U1169" t="n">
        <v/>
      </c>
      <c r="V1169" t="n">
        <v>103.288104553</v>
      </c>
      <c r="W1169" t="n">
        <v>102.408534045</v>
      </c>
      <c r="X1169" t="n">
        <v>104.287762534</v>
      </c>
      <c r="Y1169" t="n">
        <v/>
      </c>
      <c r="Z1169" t="n">
        <v>98.78353607699999</v>
      </c>
      <c r="AA1169" t="n">
        <v>87.59031932000001</v>
      </c>
      <c r="AB1169" t="n">
        <v>97.51756440299999</v>
      </c>
      <c r="AC1169" t="n">
        <v>102.091492376</v>
      </c>
      <c r="AD1169" t="n">
        <v>99.19173402200001</v>
      </c>
      <c r="AE1169" t="n">
        <v>99.90000000000001</v>
      </c>
      <c r="AF1169" t="n">
        <v>98.908242354</v>
      </c>
      <c r="AG1169" t="n">
        <v>102.7</v>
      </c>
      <c r="AH1169" t="n">
        <v>109.27924983</v>
      </c>
      <c r="AI1169" t="n">
        <v>102.191484043</v>
      </c>
      <c r="AJ1169" t="n">
        <v>100.659425912</v>
      </c>
      <c r="AK1169" t="n">
        <v/>
      </c>
      <c r="AL1169" t="n">
        <v>100.065837632</v>
      </c>
      <c r="AM1169" t="n">
        <v>103.5</v>
      </c>
      <c r="AN1169" t="n">
        <v>103.799135007</v>
      </c>
      <c r="AO1169" t="n">
        <v>100.3</v>
      </c>
      <c r="AP1169" t="n">
        <v>104.51741957</v>
      </c>
      <c r="AQ1169" t="n">
        <v>104.508709059</v>
      </c>
      <c r="AR1169" t="n">
        <v>103.691359053</v>
      </c>
      <c r="AS1169" t="n">
        <v>102.791434047</v>
      </c>
      <c r="AT1169" t="n">
        <v>97.608017027</v>
      </c>
      <c r="AU1169" t="n">
        <v/>
      </c>
    </row>
    <row r="1170">
      <c r="A1170" s="106" t="n">
        <v>42491</v>
      </c>
      <c r="B1170" t="n">
        <v>101.191567369</v>
      </c>
      <c r="C1170" t="n">
        <v>101.391550704</v>
      </c>
      <c r="D1170" t="n">
        <v>94.467382329</v>
      </c>
      <c r="E1170" t="n">
        <v>95.21922796</v>
      </c>
      <c r="F1170" t="n">
        <v>99.90000000000001</v>
      </c>
      <c r="G1170" t="n">
        <v/>
      </c>
      <c r="H1170" t="n">
        <v>98.74044238899999</v>
      </c>
      <c r="I1170" t="n">
        <v>101.391550704</v>
      </c>
      <c r="J1170" t="n">
        <v>100.883186136</v>
      </c>
      <c r="K1170" t="n">
        <v>99.008250688</v>
      </c>
      <c r="L1170" t="n">
        <v>103.3</v>
      </c>
      <c r="M1170" t="n">
        <v>100.191650696</v>
      </c>
      <c r="N1170" t="n">
        <v>100.350083625</v>
      </c>
      <c r="O1170" t="n">
        <v>99.608300692</v>
      </c>
      <c r="P1170" t="n">
        <v/>
      </c>
      <c r="Q1170" t="n">
        <v>104.008667389</v>
      </c>
      <c r="R1170" t="n">
        <v>99.61</v>
      </c>
      <c r="S1170" t="n">
        <v>98.349598027</v>
      </c>
      <c r="T1170" t="n">
        <v>101.768659356</v>
      </c>
      <c r="U1170" t="n">
        <v/>
      </c>
      <c r="V1170" t="n">
        <v>101.090485308</v>
      </c>
      <c r="W1170" t="n">
        <v>101.608467372</v>
      </c>
      <c r="X1170" t="n">
        <v>105.643312468</v>
      </c>
      <c r="Y1170" t="n">
        <v/>
      </c>
      <c r="Z1170" t="n">
        <v>101.783036161</v>
      </c>
      <c r="AA1170" t="n">
        <v>89.61386866799999</v>
      </c>
      <c r="AB1170" t="n">
        <v>97.892271663</v>
      </c>
      <c r="AC1170" t="n">
        <v>100.39163403</v>
      </c>
      <c r="AD1170" t="n">
        <v>98.691775685</v>
      </c>
      <c r="AE1170" t="n">
        <v>103.4</v>
      </c>
      <c r="AF1170" t="n">
        <v>99.50829235800001</v>
      </c>
      <c r="AG1170" t="n">
        <v>104.2</v>
      </c>
      <c r="AH1170" t="n">
        <v>109.342396458</v>
      </c>
      <c r="AI1170" t="n">
        <v>100.39163403</v>
      </c>
      <c r="AJ1170" t="n">
        <v>100.77579519</v>
      </c>
      <c r="AK1170" t="n">
        <v/>
      </c>
      <c r="AL1170" t="n">
        <v>99.46105959</v>
      </c>
      <c r="AM1170" t="n">
        <v>102.1</v>
      </c>
      <c r="AN1170" t="n">
        <v>100.60916159</v>
      </c>
      <c r="AO1170" t="n">
        <v>100.4</v>
      </c>
      <c r="AP1170" t="n">
        <v>103.517252875</v>
      </c>
      <c r="AQ1170" t="n">
        <v>105.208767397</v>
      </c>
      <c r="AR1170" t="n">
        <v>99.891675694</v>
      </c>
      <c r="AS1170" t="n">
        <v>104.491292392</v>
      </c>
      <c r="AT1170" t="n">
        <v>97.383125643</v>
      </c>
      <c r="AU1170" t="n">
        <v/>
      </c>
    </row>
    <row r="1171">
      <c r="A1171" s="106" t="n">
        <v>42522</v>
      </c>
      <c r="B1171" t="n">
        <v>101.091575702</v>
      </c>
      <c r="C1171" t="n">
        <v>102.891425715</v>
      </c>
      <c r="D1171" t="n">
        <v>93.36636388700001</v>
      </c>
      <c r="E1171" t="n">
        <v>97.69629389799999</v>
      </c>
      <c r="F1171" t="n">
        <v>98.2</v>
      </c>
      <c r="G1171" t="n">
        <v/>
      </c>
      <c r="H1171" t="n">
        <v>98.505617972</v>
      </c>
      <c r="I1171" t="n">
        <v>101.091575702</v>
      </c>
      <c r="J1171" t="n">
        <v>104.482586236</v>
      </c>
      <c r="K1171" t="n">
        <v>101.208434036</v>
      </c>
      <c r="L1171" t="n">
        <v>101.9</v>
      </c>
      <c r="M1171" t="n">
        <v>101.191567369</v>
      </c>
      <c r="N1171" t="n">
        <v>100.660083883</v>
      </c>
      <c r="O1171" t="n">
        <v>99.80831736</v>
      </c>
      <c r="P1171" t="n">
        <v/>
      </c>
      <c r="Q1171" t="n">
        <v>105.308775731</v>
      </c>
      <c r="R1171" t="n">
        <v>99.31</v>
      </c>
      <c r="S1171" t="n">
        <v>98.93046725400001</v>
      </c>
      <c r="T1171" t="n">
        <v>100.601344181</v>
      </c>
      <c r="U1171" t="n">
        <v/>
      </c>
      <c r="V1171" t="n">
        <v>101.889619579</v>
      </c>
      <c r="W1171" t="n">
        <v>100.208350696</v>
      </c>
      <c r="X1171" t="n">
        <v>107.006420192</v>
      </c>
      <c r="Y1171" t="n">
        <v/>
      </c>
      <c r="Z1171" t="n">
        <v>106.18230295</v>
      </c>
      <c r="AA1171" t="n">
        <v>91.62723360699999</v>
      </c>
      <c r="AB1171" t="n">
        <v>98.922716628</v>
      </c>
      <c r="AC1171" t="n">
        <v>99.29172569000001</v>
      </c>
      <c r="AD1171" t="n">
        <v>99.19173402200001</v>
      </c>
      <c r="AE1171" t="n">
        <v>103.5</v>
      </c>
      <c r="AF1171" t="n">
        <v>99.20826735599999</v>
      </c>
      <c r="AG1171" t="n">
        <v>105.8</v>
      </c>
      <c r="AH1171" t="n">
        <v>109.536959112</v>
      </c>
      <c r="AI1171" t="n">
        <v>101.991500708</v>
      </c>
      <c r="AJ1171" t="n">
        <v>96.470131885</v>
      </c>
      <c r="AK1171" t="n">
        <v/>
      </c>
      <c r="AL1171" t="n">
        <v>99.912094289</v>
      </c>
      <c r="AM1171" t="n">
        <v>103.2</v>
      </c>
      <c r="AN1171" t="n">
        <v>102.449146257</v>
      </c>
      <c r="AO1171" t="n">
        <v>100.7</v>
      </c>
      <c r="AP1171" t="n">
        <v>103.917319553</v>
      </c>
      <c r="AQ1171" t="n">
        <v>105.908825735</v>
      </c>
      <c r="AR1171" t="n">
        <v>99.391717357</v>
      </c>
      <c r="AS1171" t="n">
        <v>103.991334055</v>
      </c>
      <c r="AT1171" t="n">
        <v>97.84619564499999</v>
      </c>
      <c r="AU1171" t="n">
        <v/>
      </c>
    </row>
    <row r="1172">
      <c r="A1172" s="106" t="n">
        <v>42552</v>
      </c>
      <c r="B1172" t="n">
        <v>100.691609033</v>
      </c>
      <c r="C1172" t="n">
        <v>107.791017415</v>
      </c>
      <c r="D1172" t="n">
        <v>94.137076796</v>
      </c>
      <c r="E1172" t="n">
        <v>100.257364449</v>
      </c>
      <c r="F1172" t="n">
        <v>98.90000000000001</v>
      </c>
      <c r="G1172" t="n">
        <v/>
      </c>
      <c r="H1172" t="n">
        <v>97.582783792</v>
      </c>
      <c r="I1172" t="n">
        <v>100.691609033</v>
      </c>
      <c r="J1172" t="n">
        <v>101.783036161</v>
      </c>
      <c r="K1172" t="n">
        <v>99.608300692</v>
      </c>
      <c r="L1172" t="n">
        <v>107.7</v>
      </c>
      <c r="M1172" t="n">
        <v>101.091575702</v>
      </c>
      <c r="N1172" t="n">
        <v>100.801084001</v>
      </c>
      <c r="O1172" t="n">
        <v>104.508709059</v>
      </c>
      <c r="P1172" t="n">
        <v/>
      </c>
      <c r="Q1172" t="n">
        <v>106.608884074</v>
      </c>
      <c r="R1172" t="n">
        <v>99.14</v>
      </c>
      <c r="S1172" t="n">
        <v>99.15994385099999</v>
      </c>
      <c r="T1172" t="n">
        <v>100.601344181</v>
      </c>
      <c r="U1172" t="n">
        <v/>
      </c>
      <c r="V1172" t="n">
        <v>102.988429202</v>
      </c>
      <c r="W1172" t="n">
        <v>101.708475706</v>
      </c>
      <c r="X1172" t="n">
        <v>105.690838869</v>
      </c>
      <c r="Y1172" t="n">
        <v/>
      </c>
      <c r="Z1172" t="n">
        <v>106.982169638</v>
      </c>
      <c r="AA1172" t="n">
        <v>93.90133833599999</v>
      </c>
      <c r="AB1172" t="n">
        <v>97.892271663</v>
      </c>
      <c r="AC1172" t="n">
        <v>101.291559037</v>
      </c>
      <c r="AD1172" t="n">
        <v>99.691692359</v>
      </c>
      <c r="AE1172" t="n">
        <v>102.7</v>
      </c>
      <c r="AF1172" t="n">
        <v>99.70830902599999</v>
      </c>
      <c r="AG1172" t="n">
        <v>104.2</v>
      </c>
      <c r="AH1172" t="n">
        <v>109.813602027</v>
      </c>
      <c r="AI1172" t="n">
        <v>100.491625698</v>
      </c>
      <c r="AJ1172" t="n">
        <v>99.612102405</v>
      </c>
      <c r="AK1172" t="n">
        <v/>
      </c>
      <c r="AL1172" t="n">
        <v>99.873259746</v>
      </c>
      <c r="AM1172" t="n">
        <v>102.3</v>
      </c>
      <c r="AN1172" t="n">
        <v>101.80915159</v>
      </c>
      <c r="AO1172" t="n">
        <v>102</v>
      </c>
      <c r="AP1172" t="n">
        <v>100.216702784</v>
      </c>
      <c r="AQ1172" t="n">
        <v>107.608967414</v>
      </c>
      <c r="AR1172" t="n">
        <v>101.991500708</v>
      </c>
      <c r="AS1172" t="n">
        <v>97.69185901199999</v>
      </c>
      <c r="AT1172" t="n">
        <v>98.005344971</v>
      </c>
      <c r="AU1172" t="n">
        <v/>
      </c>
    </row>
    <row r="1173">
      <c r="A1173" s="106" t="n">
        <v>42583</v>
      </c>
      <c r="B1173" t="n">
        <v>103.091409049</v>
      </c>
      <c r="C1173" t="n">
        <v>105.791184068</v>
      </c>
      <c r="D1173" t="n">
        <v>91.93503991199999</v>
      </c>
      <c r="E1173" t="n">
        <v>100.66427851</v>
      </c>
      <c r="F1173" t="n">
        <v>101.5</v>
      </c>
      <c r="G1173" t="n">
        <v/>
      </c>
      <c r="H1173" t="n">
        <v>97.239703365</v>
      </c>
      <c r="I1173" t="n">
        <v>103.191400717</v>
      </c>
      <c r="J1173" t="n">
        <v>104.082652891</v>
      </c>
      <c r="K1173" t="n">
        <v>101.30844237</v>
      </c>
      <c r="L1173" t="n">
        <v>106.8</v>
      </c>
      <c r="M1173" t="n">
        <v>101.191567369</v>
      </c>
      <c r="N1173" t="n">
        <v>102.142085118</v>
      </c>
      <c r="O1173" t="n">
        <v>103.508625719</v>
      </c>
      <c r="P1173" t="n">
        <v/>
      </c>
      <c r="Q1173" t="n">
        <v>103.708642387</v>
      </c>
      <c r="R1173" t="n">
        <v>101.06</v>
      </c>
      <c r="S1173" t="n">
        <v>99.65484122399999</v>
      </c>
      <c r="T1173" t="n">
        <v>100.389105058</v>
      </c>
      <c r="U1173" t="n">
        <v/>
      </c>
      <c r="V1173" t="n">
        <v>103.188212769</v>
      </c>
      <c r="W1173" t="n">
        <v>101.208434036</v>
      </c>
      <c r="X1173" t="n">
        <v>104.889580731</v>
      </c>
      <c r="Y1173" t="n">
        <v/>
      </c>
      <c r="Z1173" t="n">
        <v>89.18513581099999</v>
      </c>
      <c r="AA1173" t="n">
        <v>97.52727989</v>
      </c>
      <c r="AB1173" t="n">
        <v>96.955503513</v>
      </c>
      <c r="AC1173" t="n">
        <v>102.091492376</v>
      </c>
      <c r="AD1173" t="n">
        <v>100.591617365</v>
      </c>
      <c r="AE1173" t="n">
        <v>101.3</v>
      </c>
      <c r="AF1173" t="n">
        <v>97.30810900900001</v>
      </c>
      <c r="AG1173" t="n">
        <v>101.7</v>
      </c>
      <c r="AH1173" t="n">
        <v>109.419447884</v>
      </c>
      <c r="AI1173" t="n">
        <v>99.391717357</v>
      </c>
      <c r="AJ1173" t="n">
        <v>95.190069822</v>
      </c>
      <c r="AK1173" t="n">
        <v/>
      </c>
      <c r="AL1173" t="n">
        <v>100.297243602</v>
      </c>
      <c r="AM1173" t="n">
        <v>103.9</v>
      </c>
      <c r="AN1173" t="n">
        <v>103.219139841</v>
      </c>
      <c r="AO1173" t="n">
        <v>101.7</v>
      </c>
      <c r="AP1173" t="n">
        <v>108.418069678</v>
      </c>
      <c r="AQ1173" t="n">
        <v>106.908909076</v>
      </c>
      <c r="AR1173" t="n">
        <v>98.691775685</v>
      </c>
      <c r="AS1173" t="n">
        <v>104.991250729</v>
      </c>
      <c r="AT1173" t="n">
        <v>97.899344579</v>
      </c>
      <c r="AU1173" t="n">
        <v/>
      </c>
    </row>
    <row r="1174">
      <c r="A1174" s="106" t="n">
        <v>42614</v>
      </c>
      <c r="B1174" t="n">
        <v>102.791434047</v>
      </c>
      <c r="C1174" t="n">
        <v>102.991417382</v>
      </c>
      <c r="D1174" t="n">
        <v>92.92595651000001</v>
      </c>
      <c r="E1174" t="n">
        <v>101.849706653</v>
      </c>
      <c r="F1174" t="n">
        <v>100</v>
      </c>
      <c r="G1174" t="n">
        <v/>
      </c>
      <c r="H1174" t="n">
        <v>97.86378233000001</v>
      </c>
      <c r="I1174" t="n">
        <v>102.791434047</v>
      </c>
      <c r="J1174" t="n">
        <v>103.08281953</v>
      </c>
      <c r="K1174" t="n">
        <v>101.008417368</v>
      </c>
      <c r="L1174" t="n">
        <v>93.8</v>
      </c>
      <c r="M1174" t="n">
        <v>101.391550704</v>
      </c>
      <c r="N1174" t="n">
        <v>101.903084919</v>
      </c>
      <c r="O1174" t="n">
        <v>107.208934078</v>
      </c>
      <c r="P1174" t="n">
        <v/>
      </c>
      <c r="Q1174" t="n">
        <v>105.608800733</v>
      </c>
      <c r="R1174" t="n">
        <v>99.89</v>
      </c>
      <c r="S1174" t="n">
        <v>99.62633364</v>
      </c>
      <c r="T1174" t="n">
        <v>100.176865936</v>
      </c>
      <c r="U1174" t="n">
        <v/>
      </c>
      <c r="V1174" t="n">
        <v>101.589944227</v>
      </c>
      <c r="W1174" t="n">
        <v>99.30827569</v>
      </c>
      <c r="X1174" t="n">
        <v>105.728487948</v>
      </c>
      <c r="Y1174" t="n">
        <v/>
      </c>
      <c r="Z1174" t="n">
        <v>100.683219463</v>
      </c>
      <c r="AA1174" t="n">
        <v>92.278772641</v>
      </c>
      <c r="AB1174" t="n">
        <v>96.393442623</v>
      </c>
      <c r="AC1174" t="n">
        <v>101.891509041</v>
      </c>
      <c r="AD1174" t="n">
        <v>100.991584035</v>
      </c>
      <c r="AE1174" t="n">
        <v>101.8</v>
      </c>
      <c r="AF1174" t="n">
        <v>97.908159013</v>
      </c>
      <c r="AG1174" t="n">
        <v>103.7</v>
      </c>
      <c r="AH1174" t="n">
        <v>109.416771755</v>
      </c>
      <c r="AI1174" t="n">
        <v>99.29172569000001</v>
      </c>
      <c r="AJ1174" t="n">
        <v>90.76803723800001</v>
      </c>
      <c r="AK1174" t="n">
        <v/>
      </c>
      <c r="AL1174" t="n">
        <v>100.160570409</v>
      </c>
      <c r="AM1174" t="n">
        <v>104.3</v>
      </c>
      <c r="AN1174" t="n">
        <v>103.359138674</v>
      </c>
      <c r="AO1174" t="n">
        <v>102.2</v>
      </c>
      <c r="AP1174" t="n">
        <v>105.417569595</v>
      </c>
      <c r="AQ1174" t="n">
        <v>108.00900075</v>
      </c>
      <c r="AR1174" t="n">
        <v>105.691192401</v>
      </c>
      <c r="AS1174" t="n">
        <v>101.991500708</v>
      </c>
      <c r="AT1174" t="n">
        <v>97.79869874400001</v>
      </c>
      <c r="AU1174" t="n">
        <v/>
      </c>
    </row>
    <row r="1175">
      <c r="A1175" s="106" t="n">
        <v>42644</v>
      </c>
      <c r="B1175" t="n">
        <v>103.391384051</v>
      </c>
      <c r="C1175" t="n">
        <v>103.291392384</v>
      </c>
      <c r="D1175" t="n">
        <v>91.714836224</v>
      </c>
      <c r="E1175" t="n">
        <v>101.307422102</v>
      </c>
      <c r="F1175" t="n">
        <v>99.40000000000001</v>
      </c>
      <c r="G1175" t="n">
        <v/>
      </c>
      <c r="H1175" t="n">
        <v>96.353030279</v>
      </c>
      <c r="I1175" t="n">
        <v>103.291392384</v>
      </c>
      <c r="J1175" t="n">
        <v>103.882686219</v>
      </c>
      <c r="K1175" t="n">
        <v>101.80848404</v>
      </c>
      <c r="L1175" t="n">
        <v>108.6</v>
      </c>
      <c r="M1175" t="n">
        <v>102.791434047</v>
      </c>
      <c r="N1175" t="n">
        <v>102.174085145</v>
      </c>
      <c r="O1175" t="n">
        <v>107.208934078</v>
      </c>
      <c r="P1175" t="n">
        <v/>
      </c>
      <c r="Q1175" t="n">
        <v>106.408867406</v>
      </c>
      <c r="R1175" t="n">
        <v>99.59</v>
      </c>
      <c r="S1175" t="n">
        <v>99.682854908</v>
      </c>
      <c r="T1175" t="n">
        <v>98.69119207599999</v>
      </c>
      <c r="U1175" t="n">
        <v/>
      </c>
      <c r="V1175" t="n">
        <v>105.385832015</v>
      </c>
      <c r="W1175" t="n">
        <v>100.108342362</v>
      </c>
      <c r="X1175" t="n">
        <v>108.241520983</v>
      </c>
      <c r="Y1175" t="n">
        <v/>
      </c>
      <c r="Z1175" t="n">
        <v>117.180469922</v>
      </c>
      <c r="AA1175" t="n">
        <v>88.62806390199999</v>
      </c>
      <c r="AB1175" t="n">
        <v>94.332552693</v>
      </c>
      <c r="AC1175" t="n">
        <v>102.391467378</v>
      </c>
      <c r="AD1175" t="n">
        <v>101.091575702</v>
      </c>
      <c r="AE1175" t="n">
        <v>100.4</v>
      </c>
      <c r="AF1175" t="n">
        <v>98.008167347</v>
      </c>
      <c r="AG1175" t="n">
        <v>108.2</v>
      </c>
      <c r="AH1175" t="n">
        <v>109.703234965</v>
      </c>
      <c r="AI1175" t="n">
        <v>100.39163403</v>
      </c>
      <c r="AJ1175" t="n">
        <v>101.241272304</v>
      </c>
      <c r="AK1175" t="n">
        <v/>
      </c>
      <c r="AL1175" t="n">
        <v>100.527327971</v>
      </c>
      <c r="AM1175" t="n">
        <v>102.7</v>
      </c>
      <c r="AN1175" t="n">
        <v>101.279156007</v>
      </c>
      <c r="AO1175" t="n">
        <v>104.1</v>
      </c>
      <c r="AP1175" t="n">
        <v>106.21770295</v>
      </c>
      <c r="AQ1175" t="n">
        <v>108.309025752</v>
      </c>
      <c r="AR1175" t="n">
        <v>101.791517374</v>
      </c>
      <c r="AS1175" t="n">
        <v>106.49112574</v>
      </c>
      <c r="AT1175" t="n">
        <v>97.88189269</v>
      </c>
      <c r="AU1175" t="n">
        <v/>
      </c>
    </row>
    <row r="1176">
      <c r="A1176" s="106" t="n">
        <v>42675</v>
      </c>
      <c r="B1176" t="n">
        <v>104.59128406</v>
      </c>
      <c r="C1176" t="n">
        <v>103.991334055</v>
      </c>
      <c r="D1176" t="n">
        <v>92.48554913300001</v>
      </c>
      <c r="E1176" t="n">
        <v>102.579530163</v>
      </c>
      <c r="F1176" t="n">
        <v>99.40000000000001</v>
      </c>
      <c r="G1176" t="n">
        <v/>
      </c>
      <c r="H1176" t="n">
        <v>99.00035311400001</v>
      </c>
      <c r="I1176" t="n">
        <v>104.59128406</v>
      </c>
      <c r="J1176" t="n">
        <v>104.482586236</v>
      </c>
      <c r="K1176" t="n">
        <v>101.408450704</v>
      </c>
      <c r="L1176" t="n">
        <v>108.7</v>
      </c>
      <c r="M1176" t="n">
        <v>102.591450712</v>
      </c>
      <c r="N1176" t="n">
        <v>103.221086018</v>
      </c>
      <c r="O1176" t="n">
        <v>108.209017418</v>
      </c>
      <c r="P1176" t="n">
        <v/>
      </c>
      <c r="Q1176" t="n">
        <v>105.708809067</v>
      </c>
      <c r="R1176" t="n">
        <v>102.27</v>
      </c>
      <c r="S1176" t="n">
        <v>99.937899661</v>
      </c>
      <c r="T1176" t="n">
        <v>99.540148567</v>
      </c>
      <c r="U1176" t="n">
        <v/>
      </c>
      <c r="V1176" t="n">
        <v>104.786481312</v>
      </c>
      <c r="W1176" t="n">
        <v>102.30852571</v>
      </c>
      <c r="X1176" t="n">
        <v>106.264670681</v>
      </c>
      <c r="Y1176" t="n">
        <v/>
      </c>
      <c r="Z1176" t="n">
        <v>101.983002833</v>
      </c>
      <c r="AA1176" t="n">
        <v>88.013203205</v>
      </c>
      <c r="AB1176" t="n">
        <v>98.07962529300001</v>
      </c>
      <c r="AC1176" t="n">
        <v>103.291392384</v>
      </c>
      <c r="AD1176" t="n">
        <v>102.091492376</v>
      </c>
      <c r="AE1176" t="n">
        <v>104.8</v>
      </c>
      <c r="AF1176" t="n">
        <v>98.208184015</v>
      </c>
      <c r="AG1176" t="n">
        <v>110.9</v>
      </c>
      <c r="AH1176" t="n">
        <v>109.781576592</v>
      </c>
      <c r="AI1176" t="n">
        <v>103.091409049</v>
      </c>
      <c r="AJ1176" t="n">
        <v>100.543056633</v>
      </c>
      <c r="AK1176" t="n">
        <v/>
      </c>
      <c r="AL1176" t="n">
        <v>101.037309118</v>
      </c>
      <c r="AM1176" t="n">
        <v>104.8</v>
      </c>
      <c r="AN1176" t="n">
        <v>103.169140257</v>
      </c>
      <c r="AO1176" t="n">
        <v>104.7</v>
      </c>
      <c r="AP1176" t="n">
        <v>106.617769628</v>
      </c>
      <c r="AQ1176" t="n">
        <v>108.309025752</v>
      </c>
      <c r="AR1176" t="n">
        <v>102.29147571</v>
      </c>
      <c r="AS1176" t="n">
        <v>105.691192401</v>
      </c>
      <c r="AT1176" t="n">
        <v>97.47316152400001</v>
      </c>
      <c r="AU1176" t="n">
        <v/>
      </c>
    </row>
    <row r="1177">
      <c r="A1177" s="106" t="n">
        <v>42705</v>
      </c>
      <c r="B1177" t="n">
        <v>104.091325723</v>
      </c>
      <c r="C1177" t="n">
        <v>110.090825765</v>
      </c>
      <c r="D1177" t="n">
        <v>94.137076796</v>
      </c>
      <c r="E1177" t="n">
        <v>102.808803897</v>
      </c>
      <c r="F1177" t="n">
        <v>102</v>
      </c>
      <c r="G1177" t="n">
        <v/>
      </c>
      <c r="H1177" t="n">
        <v>97.88126656599999</v>
      </c>
      <c r="I1177" t="n">
        <v>103.691359053</v>
      </c>
      <c r="J1177" t="n">
        <v>103.682719547</v>
      </c>
      <c r="K1177" t="n">
        <v>99.50829235800001</v>
      </c>
      <c r="L1177" t="n">
        <v>109.6</v>
      </c>
      <c r="M1177" t="n">
        <v>102.491459045</v>
      </c>
      <c r="N1177" t="n">
        <v>103.254086045</v>
      </c>
      <c r="O1177" t="n">
        <v>106.108842404</v>
      </c>
      <c r="P1177" t="n">
        <v/>
      </c>
      <c r="Q1177" t="n">
        <v>104.308692391</v>
      </c>
      <c r="R1177" t="n">
        <v>100.76</v>
      </c>
      <c r="S1177" t="n">
        <v>100.001481394</v>
      </c>
      <c r="T1177" t="n">
        <v>101.025822427</v>
      </c>
      <c r="U1177" t="n">
        <v/>
      </c>
      <c r="V1177" t="n">
        <v>106.78431699</v>
      </c>
      <c r="W1177" t="n">
        <v>102.608550713</v>
      </c>
      <c r="X1177" t="n">
        <v>104.898740057</v>
      </c>
      <c r="Y1177" t="n">
        <v/>
      </c>
      <c r="Z1177" t="n">
        <v>104.582569572</v>
      </c>
      <c r="AA1177" t="n">
        <v>88.600286482</v>
      </c>
      <c r="AB1177" t="n">
        <v>98.173302108</v>
      </c>
      <c r="AC1177" t="n">
        <v>104.991250729</v>
      </c>
      <c r="AD1177" t="n">
        <v>101.491542371</v>
      </c>
      <c r="AE1177" t="n">
        <v>103.8</v>
      </c>
      <c r="AF1177" t="n">
        <v>103.308609051</v>
      </c>
      <c r="AG1177" t="n">
        <v>110</v>
      </c>
      <c r="AH1177" t="n">
        <v>109.638205471</v>
      </c>
      <c r="AI1177" t="n">
        <v>103.991334055</v>
      </c>
      <c r="AJ1177" t="n">
        <v>97.866563227</v>
      </c>
      <c r="AK1177" t="n">
        <v/>
      </c>
      <c r="AL1177" t="n">
        <v>101.096938566</v>
      </c>
      <c r="AM1177" t="n">
        <v>106.8</v>
      </c>
      <c r="AN1177" t="n">
        <v>104.669127757</v>
      </c>
      <c r="AO1177" t="n">
        <v>103.9</v>
      </c>
      <c r="AP1177" t="n">
        <v>106.117686281</v>
      </c>
      <c r="AQ1177" t="n">
        <v>110.409200767</v>
      </c>
      <c r="AR1177" t="n">
        <v>102.091492376</v>
      </c>
      <c r="AS1177" t="n">
        <v>104.991250729</v>
      </c>
      <c r="AT1177" t="n">
        <v>98.07396262499999</v>
      </c>
      <c r="AU1177" t="n">
        <v/>
      </c>
    </row>
    <row r="1178">
      <c r="A1178" s="106" t="n">
        <v>42736</v>
      </c>
      <c r="B1178" t="n">
        <v>102.391467378</v>
      </c>
      <c r="C1178" t="n">
        <v>102.891425715</v>
      </c>
      <c r="D1178" t="n">
        <v>95.127993394</v>
      </c>
      <c r="E1178" t="n">
        <v>103.534079387</v>
      </c>
      <c r="F1178" t="n">
        <v>105.4</v>
      </c>
      <c r="G1178" t="n">
        <v/>
      </c>
      <c r="H1178" t="n">
        <v>98.00043994000001</v>
      </c>
      <c r="I1178" t="n">
        <v>102.391467378</v>
      </c>
      <c r="J1178" t="n">
        <v>106.882186302</v>
      </c>
      <c r="K1178" t="n">
        <v>100.908409034</v>
      </c>
      <c r="L1178" t="n">
        <v>103</v>
      </c>
      <c r="M1178" t="n">
        <v>101.991500708</v>
      </c>
      <c r="N1178" t="n">
        <v>104.234086862</v>
      </c>
      <c r="O1178" t="n">
        <v>103.708642387</v>
      </c>
      <c r="P1178" t="n">
        <v/>
      </c>
      <c r="Q1178" t="n">
        <v>107.608967414</v>
      </c>
      <c r="R1178" t="n">
        <v>101.11</v>
      </c>
      <c r="S1178" t="n">
        <v>99.7566392</v>
      </c>
      <c r="T1178" t="n">
        <v>99.75238769000001</v>
      </c>
      <c r="U1178" t="n">
        <v/>
      </c>
      <c r="V1178" t="n">
        <v>107.183884126</v>
      </c>
      <c r="W1178" t="n">
        <v>101.708475706</v>
      </c>
      <c r="X1178" t="n">
        <v>105.758136383</v>
      </c>
      <c r="Y1178" t="n">
        <v/>
      </c>
      <c r="Z1178" t="n">
        <v>99.08348608599999</v>
      </c>
      <c r="AA1178" t="n">
        <v>86.844985057</v>
      </c>
      <c r="AB1178" t="n">
        <v>97.985948478</v>
      </c>
      <c r="AC1178" t="n">
        <v>102.091492376</v>
      </c>
      <c r="AD1178" t="n">
        <v>100.691609033</v>
      </c>
      <c r="AE1178" t="n">
        <v>106.3</v>
      </c>
      <c r="AF1178" t="n">
        <v>97.208100675</v>
      </c>
      <c r="AG1178" t="n">
        <v>109.4</v>
      </c>
      <c r="AH1178" t="n">
        <v>109.740365635</v>
      </c>
      <c r="AI1178" t="n">
        <v>101.191567369</v>
      </c>
      <c r="AJ1178" t="n">
        <v>100.659425912</v>
      </c>
      <c r="AK1178" t="n">
        <v/>
      </c>
      <c r="AL1178" t="n">
        <v>101.078450688</v>
      </c>
      <c r="AM1178" t="n">
        <v>106.3</v>
      </c>
      <c r="AN1178" t="n">
        <v>104.809126591</v>
      </c>
      <c r="AO1178" t="n">
        <v>105.6</v>
      </c>
      <c r="AP1178" t="n">
        <v>107.417902984</v>
      </c>
      <c r="AQ1178" t="n">
        <v>107.908992416</v>
      </c>
      <c r="AR1178" t="n">
        <v>103.491375719</v>
      </c>
      <c r="AS1178" t="n">
        <v>105.891175735</v>
      </c>
      <c r="AT1178" t="n">
        <v>97.904005027</v>
      </c>
      <c r="AU1178" t="n">
        <v/>
      </c>
    </row>
    <row r="1179">
      <c r="A1179" s="106" t="n">
        <v>42767</v>
      </c>
      <c r="B1179" t="n">
        <v>104.791267394</v>
      </c>
      <c r="C1179" t="n">
        <v>106.791100742</v>
      </c>
      <c r="D1179" t="n">
        <v>96.229011836</v>
      </c>
      <c r="E1179" t="n">
        <v>103.129305571</v>
      </c>
      <c r="F1179" t="n">
        <v>100.5</v>
      </c>
      <c r="G1179" t="n">
        <v/>
      </c>
      <c r="H1179" t="n">
        <v>93.856075265</v>
      </c>
      <c r="I1179" t="n">
        <v>104.991250729</v>
      </c>
      <c r="J1179" t="n">
        <v>107.582069655</v>
      </c>
      <c r="K1179" t="n">
        <v>102.108509042</v>
      </c>
      <c r="L1179" t="n">
        <v>106.9</v>
      </c>
      <c r="M1179" t="n">
        <v>102.791434047</v>
      </c>
      <c r="N1179" t="n">
        <v>103.487086239</v>
      </c>
      <c r="O1179" t="n">
        <v>105.508792399</v>
      </c>
      <c r="P1179" t="n">
        <v/>
      </c>
      <c r="Q1179" t="n">
        <v>106.208850738</v>
      </c>
      <c r="R1179" t="n">
        <v>100.09</v>
      </c>
      <c r="S1179" t="n">
        <v>99.840753456</v>
      </c>
      <c r="T1179" t="n">
        <v>99.221789883</v>
      </c>
      <c r="U1179" t="n">
        <v/>
      </c>
      <c r="V1179" t="n">
        <v>108.782152668</v>
      </c>
      <c r="W1179" t="n">
        <v>104.208684057</v>
      </c>
      <c r="X1179" t="n">
        <v>107.055279083</v>
      </c>
      <c r="Y1179" t="n">
        <v/>
      </c>
      <c r="Z1179" t="n">
        <v>103.182802866</v>
      </c>
      <c r="AA1179" t="n">
        <v>86.163810867</v>
      </c>
      <c r="AB1179" t="n">
        <v>94.613583138</v>
      </c>
      <c r="AC1179" t="n">
        <v>102.991417382</v>
      </c>
      <c r="AD1179" t="n">
        <v>101.391550704</v>
      </c>
      <c r="AE1179" t="n">
        <v>104.7</v>
      </c>
      <c r="AF1179" t="n">
        <v>101.408450704</v>
      </c>
      <c r="AG1179" t="n">
        <v>111.2</v>
      </c>
      <c r="AH1179" t="n">
        <v>109.618610586</v>
      </c>
      <c r="AI1179" t="n">
        <v>103.891342388</v>
      </c>
      <c r="AJ1179" t="n">
        <v>101.008533747</v>
      </c>
      <c r="AK1179" t="n">
        <v/>
      </c>
      <c r="AL1179" t="n">
        <v>101.140925635</v>
      </c>
      <c r="AM1179" t="n">
        <v>106.5</v>
      </c>
      <c r="AN1179" t="n">
        <v>103.119140674</v>
      </c>
      <c r="AO1179" t="n">
        <v>104.4</v>
      </c>
      <c r="AP1179" t="n">
        <v>106.817802967</v>
      </c>
      <c r="AQ1179" t="n">
        <v>111.709309109</v>
      </c>
      <c r="AR1179" t="n">
        <v>104.391300725</v>
      </c>
      <c r="AS1179" t="n">
        <v>107.491042413</v>
      </c>
      <c r="AT1179" t="n">
        <v>97.589573554</v>
      </c>
      <c r="AU1179" t="n">
        <v/>
      </c>
    </row>
    <row r="1180">
      <c r="A1180" s="106" t="n">
        <v>42795</v>
      </c>
      <c r="B1180" t="n">
        <v>105.691192401</v>
      </c>
      <c r="C1180" t="n">
        <v>105.891175735</v>
      </c>
      <c r="D1180" t="n">
        <v>94.24717864</v>
      </c>
      <c r="E1180" t="n">
        <v>103.363127326</v>
      </c>
      <c r="F1180" t="n">
        <v>103.9</v>
      </c>
      <c r="G1180" t="n">
        <v/>
      </c>
      <c r="H1180" t="n">
        <v>90.571684784</v>
      </c>
      <c r="I1180" t="n">
        <v>106.09115907</v>
      </c>
      <c r="J1180" t="n">
        <v>107.882019663</v>
      </c>
      <c r="K1180" t="n">
        <v>101.608467372</v>
      </c>
      <c r="L1180" t="n">
        <v>108.1</v>
      </c>
      <c r="M1180" t="n">
        <v>102.391467378</v>
      </c>
      <c r="N1180" t="n">
        <v>103.290086075</v>
      </c>
      <c r="O1180" t="n">
        <v>108.409034086</v>
      </c>
      <c r="P1180" t="n">
        <v/>
      </c>
      <c r="Q1180" t="n">
        <v>105.308775731</v>
      </c>
      <c r="R1180" t="n">
        <v>101.41</v>
      </c>
      <c r="S1180" t="n">
        <v>100.163985271</v>
      </c>
      <c r="T1180" t="n">
        <v>98.054474708</v>
      </c>
      <c r="U1180" t="n">
        <v/>
      </c>
      <c r="V1180" t="n">
        <v>107.683343045</v>
      </c>
      <c r="W1180" t="n">
        <v>104.908742395</v>
      </c>
      <c r="X1180" t="n">
        <v>107.444258608</v>
      </c>
      <c r="Y1180" t="n">
        <v/>
      </c>
      <c r="Z1180" t="n">
        <v>95.484085986</v>
      </c>
      <c r="AA1180" t="n">
        <v>87.56065388499999</v>
      </c>
      <c r="AB1180" t="n">
        <v>98.922716628</v>
      </c>
      <c r="AC1180" t="n">
        <v>103.791350721</v>
      </c>
      <c r="AD1180" t="n">
        <v>101.491542371</v>
      </c>
      <c r="AE1180" t="n">
        <v>106.3</v>
      </c>
      <c r="AF1180" t="n">
        <v>103.708642387</v>
      </c>
      <c r="AG1180" t="n">
        <v>113.5</v>
      </c>
      <c r="AH1180" t="n">
        <v>109.736496632</v>
      </c>
      <c r="AI1180" t="n">
        <v>102.891425715</v>
      </c>
      <c r="AJ1180" t="n">
        <v>101.474010861</v>
      </c>
      <c r="AK1180" t="n">
        <v/>
      </c>
      <c r="AL1180" t="n">
        <v>101.52656996</v>
      </c>
      <c r="AM1180" t="n">
        <v>108.9</v>
      </c>
      <c r="AN1180" t="n">
        <v>106.939108841</v>
      </c>
      <c r="AO1180" t="n">
        <v>104.2</v>
      </c>
      <c r="AP1180" t="n">
        <v>107.917986331</v>
      </c>
      <c r="AQ1180" t="n">
        <v>112.909409117</v>
      </c>
      <c r="AR1180" t="n">
        <v>105.291225731</v>
      </c>
      <c r="AS1180" t="n">
        <v>108.890925756</v>
      </c>
      <c r="AT1180" t="n">
        <v>98.238863142</v>
      </c>
      <c r="AU1180" t="n">
        <v/>
      </c>
    </row>
    <row r="1181">
      <c r="A1181" s="106" t="n">
        <v>42826</v>
      </c>
      <c r="B1181" t="n">
        <v>106.291142405</v>
      </c>
      <c r="C1181" t="n">
        <v>107.891009083</v>
      </c>
      <c r="D1181" t="n">
        <v>94.577484173</v>
      </c>
      <c r="E1181" t="n">
        <v>104.323027162</v>
      </c>
      <c r="F1181" t="n">
        <v>101.4</v>
      </c>
      <c r="G1181" t="n">
        <v/>
      </c>
      <c r="H1181" t="n">
        <v>96.502975507</v>
      </c>
      <c r="I1181" t="n">
        <v>106.291142405</v>
      </c>
      <c r="J1181" t="n">
        <v>110.381603066</v>
      </c>
      <c r="K1181" t="n">
        <v>103.208600717</v>
      </c>
      <c r="L1181" t="n">
        <v>106.5</v>
      </c>
      <c r="M1181" t="n">
        <v>103.191400717</v>
      </c>
      <c r="N1181" t="n">
        <v>103.301086084</v>
      </c>
      <c r="O1181" t="n">
        <v>110.009167431</v>
      </c>
      <c r="P1181" t="n">
        <v/>
      </c>
      <c r="Q1181" t="n">
        <v>106.00883407</v>
      </c>
      <c r="R1181" t="n">
        <v>101.05</v>
      </c>
      <c r="S1181" t="n">
        <v>101.292560112</v>
      </c>
      <c r="T1181" t="n">
        <v>98.903431199</v>
      </c>
      <c r="U1181" t="n">
        <v/>
      </c>
      <c r="V1181" t="n">
        <v>103.687671689</v>
      </c>
      <c r="W1181" t="n">
        <v>105.808817401</v>
      </c>
      <c r="X1181" t="n">
        <v>108.013680624</v>
      </c>
      <c r="Y1181" t="n">
        <v/>
      </c>
      <c r="Z1181" t="n">
        <v>101.483086152</v>
      </c>
      <c r="AA1181" t="n">
        <v>88.803067696</v>
      </c>
      <c r="AB1181" t="n">
        <v>100.515222482</v>
      </c>
      <c r="AC1181" t="n">
        <v>103.491375719</v>
      </c>
      <c r="AD1181" t="n">
        <v>103.791350721</v>
      </c>
      <c r="AE1181" t="n">
        <v>104.4</v>
      </c>
      <c r="AF1181" t="n">
        <v>102.708559047</v>
      </c>
      <c r="AG1181" t="n">
        <v>113.3</v>
      </c>
      <c r="AH1181" t="n">
        <v>109.497057723</v>
      </c>
      <c r="AI1181" t="n">
        <v>101.291559037</v>
      </c>
      <c r="AJ1181" t="n">
        <v>101.939487975</v>
      </c>
      <c r="AK1181" t="n">
        <v/>
      </c>
      <c r="AL1181" t="n">
        <v>102.316333024</v>
      </c>
      <c r="AM1181" t="n">
        <v>107.8</v>
      </c>
      <c r="AN1181" t="n">
        <v>101.879151007</v>
      </c>
      <c r="AO1181" t="n">
        <v>105.6</v>
      </c>
      <c r="AP1181" t="n">
        <v>106.517752959</v>
      </c>
      <c r="AQ1181" t="n">
        <v>113.309442454</v>
      </c>
      <c r="AR1181" t="n">
        <v>105.091242396</v>
      </c>
      <c r="AS1181" t="n">
        <v>111.890675777</v>
      </c>
      <c r="AT1181" t="n">
        <v>99.212500048</v>
      </c>
      <c r="AU1181" t="n">
        <v/>
      </c>
    </row>
    <row r="1182">
      <c r="A1182" s="106" t="n">
        <v>42856</v>
      </c>
      <c r="B1182" t="n">
        <v>106.791100742</v>
      </c>
      <c r="C1182" t="n">
        <v>106.49112574</v>
      </c>
      <c r="D1182" t="n">
        <v>94.907789705</v>
      </c>
      <c r="E1182" t="n">
        <v>105.473676325</v>
      </c>
      <c r="F1182" t="n">
        <v>103.5</v>
      </c>
      <c r="G1182" t="n">
        <v/>
      </c>
      <c r="H1182" t="n">
        <v>96.82013581299999</v>
      </c>
      <c r="I1182" t="n">
        <v>107.191067411</v>
      </c>
      <c r="J1182" t="n">
        <v>112.881186469</v>
      </c>
      <c r="K1182" t="n">
        <v>103.408617385</v>
      </c>
      <c r="L1182" t="n">
        <v>108.1</v>
      </c>
      <c r="M1182" t="n">
        <v>103.591367386</v>
      </c>
      <c r="N1182" t="n">
        <v>104.486087072</v>
      </c>
      <c r="O1182" t="n">
        <v>108.309025752</v>
      </c>
      <c r="P1182" t="n">
        <v/>
      </c>
      <c r="Q1182" t="n">
        <v>107.408950746</v>
      </c>
      <c r="R1182" t="n">
        <v>103.29</v>
      </c>
      <c r="S1182" t="n">
        <v>101.322805783</v>
      </c>
      <c r="T1182" t="n">
        <v>99.115670322</v>
      </c>
      <c r="U1182" t="n">
        <v/>
      </c>
      <c r="V1182" t="n">
        <v>107.483559477</v>
      </c>
      <c r="W1182" t="n">
        <v>107.408950746</v>
      </c>
      <c r="X1182" t="n">
        <v>108.272909491</v>
      </c>
      <c r="Y1182" t="n">
        <v/>
      </c>
      <c r="Z1182" t="n">
        <v>94.98416930499999</v>
      </c>
      <c r="AA1182" t="n">
        <v>86.686641804</v>
      </c>
      <c r="AB1182" t="n">
        <v>99.297423888</v>
      </c>
      <c r="AC1182" t="n">
        <v>104.291309058</v>
      </c>
      <c r="AD1182" t="n">
        <v>102.191484043</v>
      </c>
      <c r="AE1182" t="n">
        <v>105.5</v>
      </c>
      <c r="AF1182" t="n">
        <v>102.708559047</v>
      </c>
      <c r="AG1182" t="n">
        <v>114.9</v>
      </c>
      <c r="AH1182" t="n">
        <v>109.388121197</v>
      </c>
      <c r="AI1182" t="n">
        <v>101.391550704</v>
      </c>
      <c r="AJ1182" t="n">
        <v>101.008533747</v>
      </c>
      <c r="AK1182" t="n">
        <v/>
      </c>
      <c r="AL1182" t="n">
        <v>102.465759914</v>
      </c>
      <c r="AM1182" t="n">
        <v>108.7</v>
      </c>
      <c r="AN1182" t="n">
        <v>107.099107507</v>
      </c>
      <c r="AO1182" t="n">
        <v>106.6</v>
      </c>
      <c r="AP1182" t="n">
        <v>106.617769628</v>
      </c>
      <c r="AQ1182" t="n">
        <v>114.009500792</v>
      </c>
      <c r="AR1182" t="n">
        <v>105.991167403</v>
      </c>
      <c r="AS1182" t="n">
        <v>110.490792434</v>
      </c>
      <c r="AT1182" t="n">
        <v>99.296288945</v>
      </c>
      <c r="AU1182" t="n">
        <v/>
      </c>
    </row>
    <row r="1183">
      <c r="A1183" s="106" t="n">
        <v>42887</v>
      </c>
      <c r="B1183" t="n">
        <v>107.191067411</v>
      </c>
      <c r="C1183" t="n">
        <v>107.791017415</v>
      </c>
      <c r="D1183" t="n">
        <v>95.788604459</v>
      </c>
      <c r="E1183" t="n">
        <v>105.566241917</v>
      </c>
      <c r="F1183" t="n">
        <v>103.2</v>
      </c>
      <c r="G1183" t="n">
        <v/>
      </c>
      <c r="H1183" t="n">
        <v>97.316834955</v>
      </c>
      <c r="I1183" t="n">
        <v>107.391050746</v>
      </c>
      <c r="J1183" t="n">
        <v>108.881853024</v>
      </c>
      <c r="K1183" t="n">
        <v>103.508625719</v>
      </c>
      <c r="L1183" t="n">
        <v>108.3</v>
      </c>
      <c r="M1183" t="n">
        <v>103.191400717</v>
      </c>
      <c r="N1183" t="n">
        <v>104.492087077</v>
      </c>
      <c r="O1183" t="n">
        <v>108.409034086</v>
      </c>
      <c r="P1183" t="n">
        <v/>
      </c>
      <c r="Q1183" t="n">
        <v>107.708975748</v>
      </c>
      <c r="R1183" t="n">
        <v>102.03</v>
      </c>
      <c r="S1183" t="n">
        <v>101.585704811</v>
      </c>
      <c r="T1183" t="n">
        <v>99.009550761</v>
      </c>
      <c r="U1183" t="n">
        <v/>
      </c>
      <c r="V1183" t="n">
        <v>106.984100558</v>
      </c>
      <c r="W1183" t="n">
        <v>106.408867406</v>
      </c>
      <c r="X1183" t="n">
        <v>106.703517625</v>
      </c>
      <c r="Y1183" t="n">
        <v/>
      </c>
      <c r="Z1183" t="n">
        <v>85.485752375</v>
      </c>
      <c r="AA1183" t="n">
        <v>84.71560613600001</v>
      </c>
      <c r="AB1183" t="n">
        <v>98.173302108</v>
      </c>
      <c r="AC1183" t="n">
        <v>105.691192401</v>
      </c>
      <c r="AD1183" t="n">
        <v>102.991417382</v>
      </c>
      <c r="AE1183" t="n">
        <v>104.3</v>
      </c>
      <c r="AF1183" t="n">
        <v>104.108675723</v>
      </c>
      <c r="AG1183" t="n">
        <v>113.6</v>
      </c>
      <c r="AH1183" t="n">
        <v>109.42160856</v>
      </c>
      <c r="AI1183" t="n">
        <v>102.591450712</v>
      </c>
      <c r="AJ1183" t="n">
        <v>101.474010861</v>
      </c>
      <c r="AK1183" t="n">
        <v/>
      </c>
      <c r="AL1183" t="n">
        <v>102.578124244</v>
      </c>
      <c r="AM1183" t="n">
        <v>110.3</v>
      </c>
      <c r="AN1183" t="n">
        <v>106.329113924</v>
      </c>
      <c r="AO1183" t="n">
        <v>106.8</v>
      </c>
      <c r="AP1183" t="n">
        <v>106.31771962</v>
      </c>
      <c r="AQ1183" t="n">
        <v>113.409450788</v>
      </c>
      <c r="AR1183" t="n">
        <v>106.591117407</v>
      </c>
      <c r="AS1183" t="n">
        <v>111.190734105</v>
      </c>
      <c r="AT1183" t="n">
        <v>99.47060951500001</v>
      </c>
      <c r="AU1183" t="n">
        <v/>
      </c>
    </row>
    <row r="1184">
      <c r="A1184" s="106" t="n">
        <v>42917</v>
      </c>
      <c r="B1184" t="n">
        <v>108.390967419</v>
      </c>
      <c r="C1184" t="n">
        <v>111.79068411</v>
      </c>
      <c r="D1184" t="n">
        <v>96.118909992</v>
      </c>
      <c r="E1184" t="n">
        <v>106.106921284</v>
      </c>
      <c r="F1184" t="n">
        <v>109.2</v>
      </c>
      <c r="G1184" t="n">
        <v/>
      </c>
      <c r="H1184" t="n">
        <v>99.29179488</v>
      </c>
      <c r="I1184" t="n">
        <v>108.490959087</v>
      </c>
      <c r="J1184" t="n">
        <v>107.882019663</v>
      </c>
      <c r="K1184" t="n">
        <v>104.208684057</v>
      </c>
      <c r="L1184" t="n">
        <v>104.6</v>
      </c>
      <c r="M1184" t="n">
        <v>104.691275727</v>
      </c>
      <c r="N1184" t="n">
        <v>104.233086861</v>
      </c>
      <c r="O1184" t="n">
        <v>105.308775731</v>
      </c>
      <c r="P1184" t="n">
        <v/>
      </c>
      <c r="Q1184" t="n">
        <v>109.00908409</v>
      </c>
      <c r="R1184" t="n">
        <v>102.58</v>
      </c>
      <c r="S1184" t="n">
        <v>101.675085592</v>
      </c>
      <c r="T1184" t="n">
        <v>99.964626813</v>
      </c>
      <c r="U1184" t="n">
        <v/>
      </c>
      <c r="V1184" t="n">
        <v>105.485723799</v>
      </c>
      <c r="W1184" t="n">
        <v>102.908575715</v>
      </c>
      <c r="X1184" t="n">
        <v>106.910928765</v>
      </c>
      <c r="Y1184" t="n">
        <v/>
      </c>
      <c r="Z1184" t="n">
        <v>100.7832028</v>
      </c>
      <c r="AA1184" t="n">
        <v>91.538577065</v>
      </c>
      <c r="AB1184" t="n">
        <v>98.07962529300001</v>
      </c>
      <c r="AC1184" t="n">
        <v>106.49112574</v>
      </c>
      <c r="AD1184" t="n">
        <v>102.491459045</v>
      </c>
      <c r="AE1184" t="n">
        <v>105</v>
      </c>
      <c r="AF1184" t="n">
        <v>102.008500708</v>
      </c>
      <c r="AG1184" t="n">
        <v>113.5</v>
      </c>
      <c r="AH1184" t="n">
        <v>108.436185191</v>
      </c>
      <c r="AI1184" t="n">
        <v>101.791517374</v>
      </c>
      <c r="AJ1184" t="n">
        <v>101.241272304</v>
      </c>
      <c r="AK1184" t="n">
        <v/>
      </c>
      <c r="AL1184" t="n">
        <v>102.710255457</v>
      </c>
      <c r="AM1184" t="n">
        <v>109</v>
      </c>
      <c r="AN1184" t="n">
        <v>108.759093674</v>
      </c>
      <c r="AO1184" t="n">
        <v>106.7</v>
      </c>
      <c r="AP1184" t="n">
        <v>107.617936323</v>
      </c>
      <c r="AQ1184" t="n">
        <v>115.009584132</v>
      </c>
      <c r="AR1184" t="n">
        <v>106.49112574</v>
      </c>
      <c r="AS1184" t="n">
        <v>110.890759103</v>
      </c>
      <c r="AT1184" t="n">
        <v>99.29906538199999</v>
      </c>
      <c r="AU1184" t="n">
        <v/>
      </c>
    </row>
    <row r="1185">
      <c r="A1185" s="106" t="n">
        <v>42948</v>
      </c>
      <c r="B1185" t="n">
        <v>109.590867428</v>
      </c>
      <c r="C1185" t="n">
        <v>110.190817432</v>
      </c>
      <c r="D1185" t="n">
        <v>95.788604459</v>
      </c>
      <c r="E1185" t="n">
        <v>104.886981693</v>
      </c>
      <c r="F1185" t="n">
        <v>109.4</v>
      </c>
      <c r="G1185" t="n">
        <v/>
      </c>
      <c r="H1185" t="n">
        <v>100.785158814</v>
      </c>
      <c r="I1185" t="n">
        <v>109.590867428</v>
      </c>
      <c r="J1185" t="n">
        <v>111.081486419</v>
      </c>
      <c r="K1185" t="n">
        <v>106.408867406</v>
      </c>
      <c r="L1185" t="n">
        <v>108.3</v>
      </c>
      <c r="M1185" t="n">
        <v>105.491209066</v>
      </c>
      <c r="N1185" t="n">
        <v>104.639087199</v>
      </c>
      <c r="O1185" t="n">
        <v>104.508709059</v>
      </c>
      <c r="P1185" t="n">
        <v/>
      </c>
      <c r="Q1185" t="n">
        <v>107.50895908</v>
      </c>
      <c r="R1185" t="n">
        <v>102.87</v>
      </c>
      <c r="S1185" t="n">
        <v>102.063799107</v>
      </c>
      <c r="T1185" t="n">
        <v>100.070746374</v>
      </c>
      <c r="U1185" t="n">
        <v/>
      </c>
      <c r="V1185" t="n">
        <v>108.882044452</v>
      </c>
      <c r="W1185" t="n">
        <v>106.908909076</v>
      </c>
      <c r="X1185" t="n">
        <v>110.03015963</v>
      </c>
      <c r="Y1185" t="n">
        <v/>
      </c>
      <c r="Z1185" t="n">
        <v>91.78470255000001</v>
      </c>
      <c r="AA1185" t="n">
        <v>100.142881812</v>
      </c>
      <c r="AB1185" t="n">
        <v>98.36065573800001</v>
      </c>
      <c r="AC1185" t="n">
        <v>108.190984085</v>
      </c>
      <c r="AD1185" t="n">
        <v>103.791350721</v>
      </c>
      <c r="AE1185" t="n">
        <v>105</v>
      </c>
      <c r="AF1185" t="n">
        <v>104.908742395</v>
      </c>
      <c r="AG1185" t="n">
        <v>113.1</v>
      </c>
      <c r="AH1185" t="n">
        <v>108.791118573</v>
      </c>
      <c r="AI1185" t="n">
        <v>101.691525706</v>
      </c>
      <c r="AJ1185" t="n">
        <v>101.706749418</v>
      </c>
      <c r="AK1185" t="n">
        <v/>
      </c>
      <c r="AL1185" t="n">
        <v>103.307269248</v>
      </c>
      <c r="AM1185" t="n">
        <v>113.4</v>
      </c>
      <c r="AN1185" t="n">
        <v>113.609053258</v>
      </c>
      <c r="AO1185" t="n">
        <v>106.8</v>
      </c>
      <c r="AP1185" t="n">
        <v>108.918153026</v>
      </c>
      <c r="AQ1185" t="n">
        <v>116.009667472</v>
      </c>
      <c r="AR1185" t="n">
        <v>105.791184068</v>
      </c>
      <c r="AS1185" t="n">
        <v>114.390467461</v>
      </c>
      <c r="AT1185" t="n">
        <v>98.84888598000001</v>
      </c>
      <c r="AU1185" t="n">
        <v/>
      </c>
    </row>
    <row r="1186">
      <c r="A1186" s="106" t="n">
        <v>42979</v>
      </c>
      <c r="B1186" t="n">
        <v>109.390884093</v>
      </c>
      <c r="C1186" t="n">
        <v>107.891009083</v>
      </c>
      <c r="D1186" t="n">
        <v>96.229011836</v>
      </c>
      <c r="E1186" t="n">
        <v>105.332687693</v>
      </c>
      <c r="F1186" t="n">
        <v>107.3</v>
      </c>
      <c r="G1186" t="n">
        <v/>
      </c>
      <c r="H1186" t="n">
        <v>100.067984293</v>
      </c>
      <c r="I1186" t="n">
        <v>109.390884093</v>
      </c>
      <c r="J1186" t="n">
        <v>111.581403099</v>
      </c>
      <c r="K1186" t="n">
        <v>105.408784065</v>
      </c>
      <c r="L1186" t="n">
        <v>102.5</v>
      </c>
      <c r="M1186" t="n">
        <v>104.991250729</v>
      </c>
      <c r="N1186" t="n">
        <v>105.322087768</v>
      </c>
      <c r="O1186" t="n">
        <v>107.708975748</v>
      </c>
      <c r="P1186" t="n">
        <v/>
      </c>
      <c r="Q1186" t="n">
        <v>106.908909076</v>
      </c>
      <c r="R1186" t="n">
        <v>103.59</v>
      </c>
      <c r="S1186" t="n">
        <v>101.716912967</v>
      </c>
      <c r="T1186" t="n">
        <v>101.874778918</v>
      </c>
      <c r="U1186" t="n">
        <v/>
      </c>
      <c r="V1186" t="n">
        <v>104.087238825</v>
      </c>
      <c r="W1186" t="n">
        <v>106.408867406</v>
      </c>
      <c r="X1186" t="n">
        <v>110.555625348</v>
      </c>
      <c r="Y1186" t="n">
        <v/>
      </c>
      <c r="Z1186" t="n">
        <v>97.78370271599999</v>
      </c>
      <c r="AA1186" t="n">
        <v>95.64025556</v>
      </c>
      <c r="AB1186" t="n">
        <v>98.07962529300001</v>
      </c>
      <c r="AC1186" t="n">
        <v>105.191234064</v>
      </c>
      <c r="AD1186" t="n">
        <v>102.591450712</v>
      </c>
      <c r="AE1186" t="n">
        <v>105.3</v>
      </c>
      <c r="AF1186" t="n">
        <v>104.208684057</v>
      </c>
      <c r="AG1186" t="n">
        <v>116.4</v>
      </c>
      <c r="AH1186" t="n">
        <v>108.298839109</v>
      </c>
      <c r="AI1186" t="n">
        <v>102.491459045</v>
      </c>
      <c r="AJ1186" t="n">
        <v>102.055857254</v>
      </c>
      <c r="AK1186" t="n">
        <v/>
      </c>
      <c r="AL1186" t="n">
        <v>103.032892141</v>
      </c>
      <c r="AM1186" t="n">
        <v>111.8</v>
      </c>
      <c r="AN1186" t="n">
        <v>106.879109341</v>
      </c>
      <c r="AO1186" t="n">
        <v>107</v>
      </c>
      <c r="AP1186" t="n">
        <v>110.418403067</v>
      </c>
      <c r="AQ1186" t="n">
        <v>120.110009167</v>
      </c>
      <c r="AR1186" t="n">
        <v>107.691025748</v>
      </c>
      <c r="AS1186" t="n">
        <v>115.790350804</v>
      </c>
      <c r="AT1186" t="n">
        <v>98.94318567400001</v>
      </c>
      <c r="AU1186" t="n">
        <v/>
      </c>
    </row>
    <row r="1187">
      <c r="A1187" s="106" t="n">
        <v>43009</v>
      </c>
      <c r="B1187" t="n">
        <v>108.990917424</v>
      </c>
      <c r="C1187" t="n">
        <v>106.891092409</v>
      </c>
      <c r="D1187" t="n">
        <v>96.889622901</v>
      </c>
      <c r="E1187" t="n">
        <v>104.646739203</v>
      </c>
      <c r="F1187" t="n">
        <v>106.7</v>
      </c>
      <c r="G1187" t="n">
        <v/>
      </c>
      <c r="H1187" t="n">
        <v>100.305598311</v>
      </c>
      <c r="I1187" t="n">
        <v>109.090909091</v>
      </c>
      <c r="J1187" t="n">
        <v>109.781703049</v>
      </c>
      <c r="K1187" t="n">
        <v>103.808650721</v>
      </c>
      <c r="L1187" t="n">
        <v>105.3</v>
      </c>
      <c r="M1187" t="n">
        <v>105.691192401</v>
      </c>
      <c r="N1187" t="n">
        <v>106.40408867</v>
      </c>
      <c r="O1187" t="n">
        <v>109.109092424</v>
      </c>
      <c r="P1187" t="n">
        <v/>
      </c>
      <c r="Q1187" t="n">
        <v>108.409034086</v>
      </c>
      <c r="R1187" t="n">
        <v>104.13</v>
      </c>
      <c r="S1187" t="n">
        <v>102.218737106</v>
      </c>
      <c r="T1187" t="n">
        <v>102.08701804</v>
      </c>
      <c r="U1187" t="n">
        <v/>
      </c>
      <c r="V1187" t="n">
        <v>107.483559477</v>
      </c>
      <c r="W1187" t="n">
        <v>107.908992416</v>
      </c>
      <c r="X1187" t="n">
        <v>110.08141154</v>
      </c>
      <c r="Y1187" t="n">
        <v/>
      </c>
      <c r="Z1187" t="n">
        <v>115.080819863</v>
      </c>
      <c r="AA1187" t="n">
        <v>92.93480070699999</v>
      </c>
      <c r="AB1187" t="n">
        <v>99.953161593</v>
      </c>
      <c r="AC1187" t="n">
        <v>105.691192401</v>
      </c>
      <c r="AD1187" t="n">
        <v>103.191400717</v>
      </c>
      <c r="AE1187" t="n">
        <v>105.8</v>
      </c>
      <c r="AF1187" t="n">
        <v>101.908492374</v>
      </c>
      <c r="AG1187" t="n">
        <v>115.3</v>
      </c>
      <c r="AH1187" t="n">
        <v>108.808720649</v>
      </c>
      <c r="AI1187" t="n">
        <v>104.091325723</v>
      </c>
      <c r="AJ1187" t="n">
        <v>99.030256012</v>
      </c>
      <c r="AK1187" t="n">
        <v/>
      </c>
      <c r="AL1187" t="n">
        <v>103.610414727</v>
      </c>
      <c r="AM1187" t="n">
        <v>113</v>
      </c>
      <c r="AN1187" t="n">
        <v>105.929117257</v>
      </c>
      <c r="AO1187" t="n">
        <v>105.7</v>
      </c>
      <c r="AP1187" t="n">
        <v>110.418403067</v>
      </c>
      <c r="AQ1187" t="n">
        <v>118.909909159</v>
      </c>
      <c r="AR1187" t="n">
        <v>107.791017415</v>
      </c>
      <c r="AS1187" t="n">
        <v>116.290309141</v>
      </c>
      <c r="AT1187" t="n">
        <v>100.189805816</v>
      </c>
      <c r="AU1187" t="n">
        <v/>
      </c>
    </row>
    <row r="1188">
      <c r="A1188" s="106" t="n">
        <v>43040</v>
      </c>
      <c r="B1188" t="n">
        <v>111.690692442</v>
      </c>
      <c r="C1188" t="n">
        <v>108.390967419</v>
      </c>
      <c r="D1188" t="n">
        <v>97.330030278</v>
      </c>
      <c r="E1188" t="n">
        <v>105.794445529</v>
      </c>
      <c r="F1188" t="n">
        <v>108.6</v>
      </c>
      <c r="G1188" t="n">
        <v/>
      </c>
      <c r="H1188" t="n">
        <v>100.896354002</v>
      </c>
      <c r="I1188" t="n">
        <v>111.490709108</v>
      </c>
      <c r="J1188" t="n">
        <v>112.781203133</v>
      </c>
      <c r="K1188" t="n">
        <v>107.608967414</v>
      </c>
      <c r="L1188" t="n">
        <v>106.7</v>
      </c>
      <c r="M1188" t="n">
        <v>107.791017415</v>
      </c>
      <c r="N1188" t="n">
        <v>107.615089679</v>
      </c>
      <c r="O1188" t="n">
        <v>107.108925744</v>
      </c>
      <c r="P1188" t="n">
        <v/>
      </c>
      <c r="Q1188" t="n">
        <v>109.909159097</v>
      </c>
      <c r="R1188" t="n">
        <v>104.47</v>
      </c>
      <c r="S1188" t="n">
        <v>103.176736216</v>
      </c>
      <c r="T1188" t="n">
        <v>102.82985497</v>
      </c>
      <c r="U1188" t="n">
        <v/>
      </c>
      <c r="V1188" t="n">
        <v>106.28485807</v>
      </c>
      <c r="W1188" t="n">
        <v>106.208850738</v>
      </c>
      <c r="X1188" t="n">
        <v>115.103970041</v>
      </c>
      <c r="Y1188" t="n">
        <v/>
      </c>
      <c r="Z1188" t="n">
        <v>117.280453258</v>
      </c>
      <c r="AA1188" t="n">
        <v>96.896902149</v>
      </c>
      <c r="AB1188" t="n">
        <v>100.515222482</v>
      </c>
      <c r="AC1188" t="n">
        <v>107.291059078</v>
      </c>
      <c r="AD1188" t="n">
        <v>103.991334055</v>
      </c>
      <c r="AE1188" t="n">
        <v>105.4</v>
      </c>
      <c r="AF1188" t="n">
        <v>107.50895908</v>
      </c>
      <c r="AG1188" t="n">
        <v>115.5</v>
      </c>
      <c r="AH1188" t="n">
        <v>108.196862801</v>
      </c>
      <c r="AI1188" t="n">
        <v>104.491292392</v>
      </c>
      <c r="AJ1188" t="n">
        <v>98.681148177</v>
      </c>
      <c r="AK1188" t="n">
        <v/>
      </c>
      <c r="AL1188" t="n">
        <v>104.339779231</v>
      </c>
      <c r="AM1188" t="n">
        <v>111.9</v>
      </c>
      <c r="AN1188" t="n">
        <v>106.359113674</v>
      </c>
      <c r="AO1188" t="n">
        <v>105.5</v>
      </c>
      <c r="AP1188" t="n">
        <v>112.918819803</v>
      </c>
      <c r="AQ1188" t="n">
        <v>119.709975831</v>
      </c>
      <c r="AR1188" t="n">
        <v>109.190900758</v>
      </c>
      <c r="AS1188" t="n">
        <v>116.990250812</v>
      </c>
      <c r="AT1188" t="n">
        <v>100.374141391</v>
      </c>
      <c r="AU1188" t="n">
        <v/>
      </c>
    </row>
    <row r="1189">
      <c r="A1189" s="106" t="n">
        <v>43070</v>
      </c>
      <c r="B1189" t="n">
        <v>112.490625781</v>
      </c>
      <c r="C1189" t="n">
        <v>107.491042413</v>
      </c>
      <c r="D1189" t="n">
        <v>100.52298376</v>
      </c>
      <c r="E1189" t="n">
        <v>106.223297101</v>
      </c>
      <c r="F1189" t="n">
        <v>115.7</v>
      </c>
      <c r="G1189" t="n">
        <v/>
      </c>
      <c r="H1189" t="n">
        <v>99.37599547400001</v>
      </c>
      <c r="I1189" t="n">
        <v>111.490709108</v>
      </c>
      <c r="J1189" t="n">
        <v>113.581069822</v>
      </c>
      <c r="K1189" t="n">
        <v>107.00891741</v>
      </c>
      <c r="L1189" t="n">
        <v>106.9</v>
      </c>
      <c r="M1189" t="n">
        <v>108.090992417</v>
      </c>
      <c r="N1189" t="n">
        <v>109.397091164</v>
      </c>
      <c r="O1189" t="n">
        <v>109.209100758</v>
      </c>
      <c r="P1189" t="n">
        <v/>
      </c>
      <c r="Q1189" t="n">
        <v>111.209267439</v>
      </c>
      <c r="R1189" t="n">
        <v>105.67</v>
      </c>
      <c r="S1189" t="n">
        <v>103.764215461</v>
      </c>
      <c r="T1189" t="n">
        <v>103.148213654</v>
      </c>
      <c r="U1189" t="n">
        <v/>
      </c>
      <c r="V1189" t="n">
        <v>107.883126613</v>
      </c>
      <c r="W1189" t="n">
        <v>108.409034086</v>
      </c>
      <c r="X1189" t="n">
        <v>112.798416437</v>
      </c>
      <c r="Y1189" t="n">
        <v/>
      </c>
      <c r="Z1189" t="n">
        <v>110.981503083</v>
      </c>
      <c r="AA1189" t="n">
        <v>102.418191422</v>
      </c>
      <c r="AB1189" t="n">
        <v>100.702576112</v>
      </c>
      <c r="AC1189" t="n">
        <v>110.690775769</v>
      </c>
      <c r="AD1189" t="n">
        <v>105.491209066</v>
      </c>
      <c r="AE1189" t="n">
        <v>103.3</v>
      </c>
      <c r="AF1189" t="n">
        <v>108.409034086</v>
      </c>
      <c r="AG1189" t="n">
        <v>114.8</v>
      </c>
      <c r="AH1189" t="n">
        <v>109.726507421</v>
      </c>
      <c r="AI1189" t="n">
        <v>104.59128406</v>
      </c>
      <c r="AJ1189" t="n">
        <v>98.797517455</v>
      </c>
      <c r="AK1189" t="n">
        <v/>
      </c>
      <c r="AL1189" t="n">
        <v>104.987240221</v>
      </c>
      <c r="AM1189" t="n">
        <v>115.3</v>
      </c>
      <c r="AN1189" t="n">
        <v>104.459129507</v>
      </c>
      <c r="AO1189" t="n">
        <v>104.7</v>
      </c>
      <c r="AP1189" t="n">
        <v>109.91831972</v>
      </c>
      <c r="AQ1189" t="n">
        <v>123.110259188</v>
      </c>
      <c r="AR1189" t="n">
        <v>109.990834097</v>
      </c>
      <c r="AS1189" t="n">
        <v>120.089992501</v>
      </c>
      <c r="AT1189" t="n">
        <v>100.534579777</v>
      </c>
      <c r="AU1189" t="n">
        <v/>
      </c>
    </row>
    <row r="1190">
      <c r="A1190" s="106" t="n">
        <v>43101</v>
      </c>
      <c r="B1190" t="n">
        <v>109.990834097</v>
      </c>
      <c r="C1190" t="n">
        <v>108.190984085</v>
      </c>
      <c r="D1190" t="n">
        <v>97.88053949899999</v>
      </c>
      <c r="E1190" t="n">
        <v>105.853569795</v>
      </c>
      <c r="F1190" t="n">
        <v>110.6</v>
      </c>
      <c r="G1190" t="n">
        <v/>
      </c>
      <c r="H1190" t="n">
        <v>100.596948962</v>
      </c>
      <c r="I1190" t="n">
        <v>109.89084243</v>
      </c>
      <c r="J1190" t="n">
        <v>113.581069822</v>
      </c>
      <c r="K1190" t="n">
        <v>106.50887574</v>
      </c>
      <c r="L1190" t="n">
        <v>107.4</v>
      </c>
      <c r="M1190" t="n">
        <v>105.791184068</v>
      </c>
      <c r="N1190" t="n">
        <v>105.362087802</v>
      </c>
      <c r="O1190" t="n">
        <v>111.209267439</v>
      </c>
      <c r="P1190" t="n">
        <v/>
      </c>
      <c r="Q1190" t="n">
        <v>111.509292441</v>
      </c>
      <c r="R1190" t="n">
        <v>101.79</v>
      </c>
      <c r="S1190" t="n">
        <v>102.446713526</v>
      </c>
      <c r="T1190" t="n">
        <v>103.042094093</v>
      </c>
      <c r="U1190" t="n">
        <v/>
      </c>
      <c r="V1190" t="n">
        <v>107.683343045</v>
      </c>
      <c r="W1190" t="n">
        <v>108.809067422</v>
      </c>
      <c r="X1190" t="n">
        <v>113.241734336</v>
      </c>
      <c r="Y1190" t="n">
        <v/>
      </c>
      <c r="Z1190" t="n">
        <v>102.58290285</v>
      </c>
      <c r="AA1190" t="n">
        <v>99.97449935</v>
      </c>
      <c r="AB1190" t="n">
        <v>103.419203747</v>
      </c>
      <c r="AC1190" t="n">
        <v>106.591117407</v>
      </c>
      <c r="AD1190" t="n">
        <v>101.291559037</v>
      </c>
      <c r="AE1190" t="n">
        <v>105.2</v>
      </c>
      <c r="AF1190" t="n">
        <v>104.008667389</v>
      </c>
      <c r="AG1190" t="n">
        <v>116.5</v>
      </c>
      <c r="AH1190" t="n">
        <v>109.216625881</v>
      </c>
      <c r="AI1190" t="n">
        <v>105.191234064</v>
      </c>
      <c r="AJ1190" t="n">
        <v>101.939487975</v>
      </c>
      <c r="AK1190" t="n">
        <v/>
      </c>
      <c r="AL1190" t="n">
        <v>103.920460749</v>
      </c>
      <c r="AM1190" t="n">
        <v>112.9</v>
      </c>
      <c r="AN1190" t="n">
        <v>107.409104924</v>
      </c>
      <c r="AO1190" t="n">
        <v>108.2</v>
      </c>
      <c r="AP1190" t="n">
        <v>107.217869645</v>
      </c>
      <c r="AQ1190" t="n">
        <v>123.210267522</v>
      </c>
      <c r="AR1190" t="n">
        <v>109.190900758</v>
      </c>
      <c r="AS1190" t="n">
        <v>117.790184151</v>
      </c>
      <c r="AT1190" t="n">
        <v>100.492139957</v>
      </c>
      <c r="AU1190" t="n">
        <v/>
      </c>
    </row>
    <row r="1191">
      <c r="A1191" s="106" t="n">
        <v>43132</v>
      </c>
      <c r="B1191" t="n">
        <v>111.590700775</v>
      </c>
      <c r="C1191" t="n">
        <v>106.191150737</v>
      </c>
      <c r="D1191" t="n">
        <v>97.55023396599999</v>
      </c>
      <c r="E1191" t="n">
        <v>107.321777794</v>
      </c>
      <c r="F1191" t="n">
        <v>111.4</v>
      </c>
      <c r="G1191" t="n">
        <v/>
      </c>
      <c r="H1191" t="n">
        <v>103.494938768</v>
      </c>
      <c r="I1191" t="n">
        <v>111.890675777</v>
      </c>
      <c r="J1191" t="n">
        <v>110.981503083</v>
      </c>
      <c r="K1191" t="n">
        <v>104.608717393</v>
      </c>
      <c r="L1191" t="n">
        <v>107.2</v>
      </c>
      <c r="M1191" t="n">
        <v>104.991250729</v>
      </c>
      <c r="N1191" t="n">
        <v>106.557088798</v>
      </c>
      <c r="O1191" t="n">
        <v>107.00891741</v>
      </c>
      <c r="P1191" t="n">
        <v/>
      </c>
      <c r="Q1191" t="n">
        <v>111.309275773</v>
      </c>
      <c r="R1191" t="n">
        <v>103.28</v>
      </c>
      <c r="S1191" t="n">
        <v>102.946621628</v>
      </c>
      <c r="T1191" t="n">
        <v>103.360452777</v>
      </c>
      <c r="U1191" t="n">
        <v/>
      </c>
      <c r="V1191" t="n">
        <v>107.983018397</v>
      </c>
      <c r="W1191" t="n">
        <v>108.00900075</v>
      </c>
      <c r="X1191" t="n">
        <v>114.381722624</v>
      </c>
      <c r="Y1191" t="n">
        <v/>
      </c>
      <c r="Z1191" t="n">
        <v>97.383769372</v>
      </c>
      <c r="AA1191" t="n">
        <v>98.67519528699999</v>
      </c>
      <c r="AB1191" t="n">
        <v>100.421545667</v>
      </c>
      <c r="AC1191" t="n">
        <v>105.891175735</v>
      </c>
      <c r="AD1191" t="n">
        <v>103.791350721</v>
      </c>
      <c r="AE1191" t="n">
        <v>106.2</v>
      </c>
      <c r="AF1191" t="n">
        <v>101.508459038</v>
      </c>
      <c r="AG1191" t="n">
        <v>119.8</v>
      </c>
      <c r="AH1191" t="n">
        <v>110.338365269</v>
      </c>
      <c r="AI1191" t="n">
        <v>104.59128406</v>
      </c>
      <c r="AJ1191" t="n">
        <v>102.172226532</v>
      </c>
      <c r="AK1191" t="n">
        <v/>
      </c>
      <c r="AL1191" t="n">
        <v>104.365772956</v>
      </c>
      <c r="AM1191" t="n">
        <v>114</v>
      </c>
      <c r="AN1191" t="n">
        <v>105.079124341</v>
      </c>
      <c r="AO1191" t="n">
        <v>107.3</v>
      </c>
      <c r="AP1191" t="n">
        <v>109.518253042</v>
      </c>
      <c r="AQ1191" t="n">
        <v>119.809984165</v>
      </c>
      <c r="AR1191" t="n">
        <v>108.790934089</v>
      </c>
      <c r="AS1191" t="n">
        <v>116.990250812</v>
      </c>
      <c r="AT1191" t="n">
        <v>100.85089526</v>
      </c>
      <c r="AU1191" t="n">
        <v/>
      </c>
    </row>
    <row r="1192">
      <c r="A1192" s="106" t="n">
        <v>43160</v>
      </c>
      <c r="B1192" t="n">
        <v>109.790850762</v>
      </c>
      <c r="C1192" t="n">
        <v>109.89084243</v>
      </c>
      <c r="D1192" t="n">
        <v>98.76135425299999</v>
      </c>
      <c r="E1192" t="n">
        <v>108.526468141</v>
      </c>
      <c r="F1192" t="n">
        <v>110.5</v>
      </c>
      <c r="G1192" t="n">
        <v/>
      </c>
      <c r="H1192" t="n">
        <v>101.664358281</v>
      </c>
      <c r="I1192" t="n">
        <v>110.490792434</v>
      </c>
      <c r="J1192" t="n">
        <v>112.381269788</v>
      </c>
      <c r="K1192" t="n">
        <v>105.908825735</v>
      </c>
      <c r="L1192" t="n">
        <v>106.3</v>
      </c>
      <c r="M1192" t="n">
        <v>105.191234064</v>
      </c>
      <c r="N1192" t="n">
        <v>107.717089764</v>
      </c>
      <c r="O1192" t="n">
        <v>111.309275773</v>
      </c>
      <c r="P1192" t="n">
        <v/>
      </c>
      <c r="Q1192" t="n">
        <v>113.309442454</v>
      </c>
      <c r="R1192" t="n">
        <v>104.29</v>
      </c>
      <c r="S1192" t="n">
        <v>103.779675976</v>
      </c>
      <c r="T1192" t="n">
        <v>103.148213654</v>
      </c>
      <c r="U1192" t="n">
        <v/>
      </c>
      <c r="V1192" t="n">
        <v>108.682260884</v>
      </c>
      <c r="W1192" t="n">
        <v>107.608967414</v>
      </c>
      <c r="X1192" t="n">
        <v>113.140923519</v>
      </c>
      <c r="Y1192" t="n">
        <v/>
      </c>
      <c r="Z1192" t="n">
        <v>79.58673554400001</v>
      </c>
      <c r="AA1192" t="n">
        <v/>
      </c>
      <c r="AB1192" t="n">
        <v>100.983606557</v>
      </c>
      <c r="AC1192" t="n">
        <v>107.391050746</v>
      </c>
      <c r="AD1192" t="n">
        <v>104.891259062</v>
      </c>
      <c r="AE1192" t="n">
        <v>104.6</v>
      </c>
      <c r="AF1192" t="n">
        <v>101.708475706</v>
      </c>
      <c r="AG1192" t="n">
        <v>115</v>
      </c>
      <c r="AH1192" t="n">
        <v/>
      </c>
      <c r="AI1192" t="n">
        <v>105.191234064</v>
      </c>
      <c r="AJ1192" t="n">
        <v>101.939487975</v>
      </c>
      <c r="AK1192" t="n">
        <v/>
      </c>
      <c r="AL1192" t="n">
        <v>104.838565692</v>
      </c>
      <c r="AM1192" t="n">
        <v>113</v>
      </c>
      <c r="AN1192" t="n">
        <v>109.899084174</v>
      </c>
      <c r="AO1192" t="n">
        <v>107.9</v>
      </c>
      <c r="AP1192" t="n">
        <v>110.718453076</v>
      </c>
      <c r="AQ1192" t="n">
        <v>120.610050838</v>
      </c>
      <c r="AR1192" t="n">
        <v>110.290809099</v>
      </c>
      <c r="AS1192" t="n">
        <v>117.09024248</v>
      </c>
      <c r="AT1192" t="n">
        <v>101.417784169</v>
      </c>
      <c r="AU1192" t="n">
        <v/>
      </c>
    </row>
    <row r="1193">
      <c r="A1193" s="106" t="n">
        <v>43191</v>
      </c>
      <c r="B1193" t="n">
        <v>111.590700775</v>
      </c>
      <c r="C1193" t="n">
        <v>110.190817432</v>
      </c>
      <c r="D1193" t="n">
        <v>99.20176162999999</v>
      </c>
      <c r="E1193" t="n">
        <v>108.679495651</v>
      </c>
      <c r="F1193" t="n">
        <v>111</v>
      </c>
      <c r="G1193" t="n">
        <v/>
      </c>
      <c r="H1193" t="n">
        <v>100.372434197</v>
      </c>
      <c r="I1193" t="n">
        <v>111.890675777</v>
      </c>
      <c r="J1193" t="n">
        <v>110.181636394</v>
      </c>
      <c r="K1193" t="n">
        <v>105.408784065</v>
      </c>
      <c r="L1193" t="n">
        <v>107.8</v>
      </c>
      <c r="M1193" t="n">
        <v>104.891259062</v>
      </c>
      <c r="N1193" t="n">
        <v>105.308087757</v>
      </c>
      <c r="O1193" t="n">
        <v>113.809484124</v>
      </c>
      <c r="P1193" t="n">
        <v/>
      </c>
      <c r="Q1193" t="n">
        <v>107.908992416</v>
      </c>
      <c r="R1193" t="n">
        <v>103.26</v>
      </c>
      <c r="S1193" t="n">
        <v>103.983854063</v>
      </c>
      <c r="T1193" t="n">
        <v>103.042094093</v>
      </c>
      <c r="U1193" t="n">
        <v/>
      </c>
      <c r="V1193" t="n">
        <v>106.984100558</v>
      </c>
      <c r="W1193" t="n">
        <v>108.809067422</v>
      </c>
      <c r="X1193" t="n">
        <v>112.721647166</v>
      </c>
      <c r="Y1193" t="n">
        <v/>
      </c>
      <c r="Z1193" t="n">
        <v>93.084485919</v>
      </c>
      <c r="AA1193" t="n">
        <v/>
      </c>
      <c r="AB1193" t="n">
        <v>101.077283372</v>
      </c>
      <c r="AC1193" t="n">
        <v>105.791184068</v>
      </c>
      <c r="AD1193" t="n">
        <v>104.291309058</v>
      </c>
      <c r="AE1193" t="n">
        <v>107.1</v>
      </c>
      <c r="AF1193" t="n">
        <v>99.70830902599999</v>
      </c>
      <c r="AG1193" t="n">
        <v>115.9</v>
      </c>
      <c r="AH1193" t="n">
        <v/>
      </c>
      <c r="AI1193" t="n">
        <v>103.191400717</v>
      </c>
      <c r="AJ1193" t="n">
        <v>100.659425912</v>
      </c>
      <c r="AK1193" t="n">
        <v/>
      </c>
      <c r="AL1193" t="n">
        <v>105.083580533</v>
      </c>
      <c r="AM1193" t="n">
        <v>115</v>
      </c>
      <c r="AN1193" t="n">
        <v>106.759110341</v>
      </c>
      <c r="AO1193" t="n">
        <v>108.5</v>
      </c>
      <c r="AP1193" t="n">
        <v>109.518253042</v>
      </c>
      <c r="AQ1193" t="n">
        <v>120.710059172</v>
      </c>
      <c r="AR1193" t="n">
        <v>105.891175735</v>
      </c>
      <c r="AS1193" t="n">
        <v>118.490125823</v>
      </c>
      <c r="AT1193" t="n">
        <v>102.563560159</v>
      </c>
      <c r="AU1193" t="n">
        <v/>
      </c>
    </row>
    <row r="1194">
      <c r="A1194" s="106" t="n">
        <v>43221</v>
      </c>
      <c r="B1194" t="n">
        <v>114.79043413</v>
      </c>
      <c r="C1194" t="n">
        <v>110.390800767</v>
      </c>
      <c r="D1194" t="n">
        <v>88.301679053</v>
      </c>
      <c r="E1194" t="n">
        <v>108.349362876</v>
      </c>
      <c r="F1194" t="n">
        <v>112.6</v>
      </c>
      <c r="G1194" t="n">
        <v/>
      </c>
      <c r="H1194" t="n">
        <v>100.915982978</v>
      </c>
      <c r="I1194" t="n">
        <v>115.1904008</v>
      </c>
      <c r="J1194" t="n">
        <v>113.981003166</v>
      </c>
      <c r="K1194" t="n">
        <v>107.108925744</v>
      </c>
      <c r="L1194" t="n">
        <v>105</v>
      </c>
      <c r="M1194" t="n">
        <v>106.291142405</v>
      </c>
      <c r="N1194" t="n">
        <v>105.667088056</v>
      </c>
      <c r="O1194" t="n">
        <v>113.909492458</v>
      </c>
      <c r="P1194" t="n">
        <v/>
      </c>
      <c r="Q1194" t="n">
        <v>112.009334111</v>
      </c>
      <c r="R1194" t="n">
        <v>102.19</v>
      </c>
      <c r="S1194" t="n">
        <v>103.800268449</v>
      </c>
      <c r="T1194" t="n">
        <v>102.82985497</v>
      </c>
      <c r="U1194" t="n">
        <v/>
      </c>
      <c r="V1194" t="n">
        <v>108.882044452</v>
      </c>
      <c r="W1194" t="n">
        <v>110.809234103</v>
      </c>
      <c r="X1194" t="n">
        <v>112.485119253</v>
      </c>
      <c r="Y1194" t="n">
        <v/>
      </c>
      <c r="Z1194" t="n">
        <v>102.082986169</v>
      </c>
      <c r="AA1194" t="n">
        <v/>
      </c>
      <c r="AB1194" t="n">
        <v>101.358313817</v>
      </c>
      <c r="AC1194" t="n">
        <v>106.691109074</v>
      </c>
      <c r="AD1194" t="n">
        <v>104.59128406</v>
      </c>
      <c r="AE1194" t="n">
        <v>108</v>
      </c>
      <c r="AF1194" t="n">
        <v>101.408450704</v>
      </c>
      <c r="AG1194" t="n">
        <v>114.3</v>
      </c>
      <c r="AH1194" t="n">
        <v/>
      </c>
      <c r="AI1194" t="n">
        <v>103.391384051</v>
      </c>
      <c r="AJ1194" t="n">
        <v>99.14662529100001</v>
      </c>
      <c r="AK1194" t="n">
        <v/>
      </c>
      <c r="AL1194" t="n">
        <v>105.21029763</v>
      </c>
      <c r="AM1194" t="n">
        <v>116.7</v>
      </c>
      <c r="AN1194" t="n">
        <v>105.289122591</v>
      </c>
      <c r="AO1194" t="n">
        <v>110.6</v>
      </c>
      <c r="AP1194" t="n">
        <v>113.318886481</v>
      </c>
      <c r="AQ1194" t="n">
        <v>121.41011751</v>
      </c>
      <c r="AR1194" t="n">
        <v>110.090825765</v>
      </c>
      <c r="AS1194" t="n">
        <v>116.790267478</v>
      </c>
      <c r="AT1194" t="n">
        <v>101.611143163</v>
      </c>
      <c r="AU1194" t="n">
        <v/>
      </c>
    </row>
    <row r="1195">
      <c r="A1195" s="106" t="n">
        <v>43252</v>
      </c>
      <c r="B1195" t="n">
        <v>113.190567453</v>
      </c>
      <c r="C1195" t="n">
        <v>106.291142405</v>
      </c>
      <c r="D1195" t="n">
        <v>99.42196531800001</v>
      </c>
      <c r="E1195" t="n">
        <v>109.0941681</v>
      </c>
      <c r="F1195" t="n">
        <v>112.5</v>
      </c>
      <c r="G1195" t="n">
        <v/>
      </c>
      <c r="H1195" t="n">
        <v>102.307674789</v>
      </c>
      <c r="I1195" t="n">
        <v>113.590534122</v>
      </c>
      <c r="J1195" t="n">
        <v>116.280619897</v>
      </c>
      <c r="K1195" t="n">
        <v>107.00891741</v>
      </c>
      <c r="L1195" t="n">
        <v>106.7</v>
      </c>
      <c r="M1195" t="n">
        <v>106.09115907</v>
      </c>
      <c r="N1195" t="n">
        <v>104.53208711</v>
      </c>
      <c r="O1195" t="n">
        <v>111.709309109</v>
      </c>
      <c r="P1195" t="n">
        <v/>
      </c>
      <c r="Q1195" t="n">
        <v>111.309275773</v>
      </c>
      <c r="R1195" t="n">
        <v>103.93</v>
      </c>
      <c r="S1195" t="n">
        <v>104.238032098</v>
      </c>
      <c r="T1195" t="n">
        <v>104.633887513</v>
      </c>
      <c r="U1195" t="n">
        <v/>
      </c>
      <c r="V1195" t="n">
        <v>108.5823691</v>
      </c>
      <c r="W1195" t="n">
        <v>110.009167431</v>
      </c>
      <c r="X1195" t="n">
        <v>114.780645682</v>
      </c>
      <c r="Y1195" t="n">
        <v/>
      </c>
      <c r="Z1195" t="n">
        <v>98.383602733</v>
      </c>
      <c r="AA1195" t="n">
        <v/>
      </c>
      <c r="AB1195" t="n">
        <v>99.765807963</v>
      </c>
      <c r="AC1195" t="n">
        <v>107.291059078</v>
      </c>
      <c r="AD1195" t="n">
        <v>103.591367386</v>
      </c>
      <c r="AE1195" t="n">
        <v>108.5</v>
      </c>
      <c r="AF1195" t="n">
        <v>101.708475706</v>
      </c>
      <c r="AG1195" t="n">
        <v>113.5</v>
      </c>
      <c r="AH1195" t="n">
        <v/>
      </c>
      <c r="AI1195" t="n">
        <v>103.291392384</v>
      </c>
      <c r="AJ1195" t="n">
        <v>104.150504267</v>
      </c>
      <c r="AK1195" t="n">
        <v/>
      </c>
      <c r="AL1195" t="n">
        <v>105.459145539</v>
      </c>
      <c r="AM1195" t="n">
        <v>117.8</v>
      </c>
      <c r="AN1195" t="n">
        <v>106.319114007</v>
      </c>
      <c r="AO1195" t="n">
        <v>110.2</v>
      </c>
      <c r="AP1195" t="n">
        <v>112.718786464</v>
      </c>
      <c r="AQ1195" t="n">
        <v>122.010167514</v>
      </c>
      <c r="AR1195" t="n">
        <v>110.490792434</v>
      </c>
      <c r="AS1195" t="n">
        <v>113.490542455</v>
      </c>
      <c r="AT1195" t="n">
        <v>102.381901863</v>
      </c>
      <c r="AU1195" t="n">
        <v/>
      </c>
    </row>
    <row r="1196">
      <c r="A1196" s="106" t="n">
        <v>43282</v>
      </c>
      <c r="B1196" t="n">
        <v>112.890592451</v>
      </c>
      <c r="C1196" t="n">
        <v>109.190900758</v>
      </c>
      <c r="D1196" t="n">
        <v>99.20176162999999</v>
      </c>
      <c r="E1196" t="n">
        <v>110.266487243</v>
      </c>
      <c r="F1196" t="n">
        <v>110.9</v>
      </c>
      <c r="G1196" t="n">
        <v/>
      </c>
      <c r="H1196" t="n">
        <v>101.24314028</v>
      </c>
      <c r="I1196" t="n">
        <v>113.29055912</v>
      </c>
      <c r="J1196" t="n">
        <v>115.780703216</v>
      </c>
      <c r="K1196" t="n">
        <v>104.708725727</v>
      </c>
      <c r="L1196" t="n">
        <v>107.8</v>
      </c>
      <c r="M1196" t="n">
        <v>104.59128406</v>
      </c>
      <c r="N1196" t="n">
        <v>104.626087188</v>
      </c>
      <c r="O1196" t="n">
        <v>111.209267439</v>
      </c>
      <c r="P1196" t="n">
        <v/>
      </c>
      <c r="Q1196" t="n">
        <v>109.809150763</v>
      </c>
      <c r="R1196" t="n">
        <v>103.7</v>
      </c>
      <c r="S1196" t="n">
        <v>104.002443519</v>
      </c>
      <c r="T1196" t="n">
        <v>103.784931022</v>
      </c>
      <c r="U1196" t="n">
        <v/>
      </c>
      <c r="V1196" t="n">
        <v>109.181719804</v>
      </c>
      <c r="W1196" t="n">
        <v>106.908909076</v>
      </c>
      <c r="X1196" t="n">
        <v>113.573102923</v>
      </c>
      <c r="Y1196" t="n">
        <v/>
      </c>
      <c r="Z1196" t="n">
        <v>89.68505249099999</v>
      </c>
      <c r="AA1196" t="n">
        <v/>
      </c>
      <c r="AB1196" t="n">
        <v>101.826697892</v>
      </c>
      <c r="AC1196" t="n">
        <v>106.09115907</v>
      </c>
      <c r="AD1196" t="n">
        <v>103.791350721</v>
      </c>
      <c r="AE1196" t="n">
        <v>108.3</v>
      </c>
      <c r="AF1196" t="n">
        <v>102.108509042</v>
      </c>
      <c r="AG1196" t="n">
        <v>117.2</v>
      </c>
      <c r="AH1196" t="n">
        <v/>
      </c>
      <c r="AI1196" t="n">
        <v>101.791517374</v>
      </c>
      <c r="AJ1196" t="n">
        <v>101.939487975</v>
      </c>
      <c r="AK1196" t="n">
        <v/>
      </c>
      <c r="AL1196" t="n">
        <v>105.182385163</v>
      </c>
      <c r="AM1196" t="n">
        <v>117.7</v>
      </c>
      <c r="AN1196" t="n">
        <v>107.799101674</v>
      </c>
      <c r="AO1196" t="n">
        <v>109.9</v>
      </c>
      <c r="AP1196" t="n">
        <v>111.018503084</v>
      </c>
      <c r="AQ1196" t="n">
        <v>120.41003417</v>
      </c>
      <c r="AR1196" t="n">
        <v>105.791184068</v>
      </c>
      <c r="AS1196" t="n">
        <v>116.190317474</v>
      </c>
      <c r="AT1196" t="n">
        <v>102.588151457</v>
      </c>
      <c r="AU1196" t="n">
        <v/>
      </c>
    </row>
    <row r="1197">
      <c r="A1197" s="106" t="n">
        <v>43313</v>
      </c>
      <c r="B1197" t="n">
        <v>113.090575785</v>
      </c>
      <c r="C1197" t="n">
        <v>112.290642446</v>
      </c>
      <c r="D1197" t="n">
        <v>97.88053949899999</v>
      </c>
      <c r="E1197" t="n">
        <v>110.547126855</v>
      </c>
      <c r="F1197" t="n">
        <v>111.5</v>
      </c>
      <c r="G1197" t="n">
        <v/>
      </c>
      <c r="H1197" t="n">
        <v>100.412222277</v>
      </c>
      <c r="I1197" t="n">
        <v>112.790600783</v>
      </c>
      <c r="J1197" t="n">
        <v>113.481086486</v>
      </c>
      <c r="K1197" t="n">
        <v>105.708809067</v>
      </c>
      <c r="L1197" t="n">
        <v>106.4</v>
      </c>
      <c r="M1197" t="n">
        <v>106.191150737</v>
      </c>
      <c r="N1197" t="n">
        <v>105.417087848</v>
      </c>
      <c r="O1197" t="n">
        <v>111.809317443</v>
      </c>
      <c r="P1197" t="n">
        <v/>
      </c>
      <c r="Q1197" t="n">
        <v>110.209184099</v>
      </c>
      <c r="R1197" t="n">
        <v>104.02</v>
      </c>
      <c r="S1197" t="n">
        <v>104.572913841</v>
      </c>
      <c r="T1197" t="n">
        <v>104.527767952</v>
      </c>
      <c r="U1197" t="n">
        <v/>
      </c>
      <c r="V1197" t="n">
        <v>109.281611587</v>
      </c>
      <c r="W1197" t="n">
        <v>111.609300775</v>
      </c>
      <c r="X1197" t="n">
        <v>115.380214967</v>
      </c>
      <c r="Y1197" t="n">
        <v/>
      </c>
      <c r="Z1197" t="n">
        <v>100.683219463</v>
      </c>
      <c r="AA1197" t="n">
        <v/>
      </c>
      <c r="AB1197" t="n">
        <v>104.824355972</v>
      </c>
      <c r="AC1197" t="n">
        <v>106.891092409</v>
      </c>
      <c r="AD1197" t="n">
        <v>103.591367386</v>
      </c>
      <c r="AE1197" t="n">
        <v>109.1</v>
      </c>
      <c r="AF1197" t="n">
        <v>102.008500708</v>
      </c>
      <c r="AG1197" t="n">
        <v>118.3</v>
      </c>
      <c r="AH1197" t="n">
        <v/>
      </c>
      <c r="AI1197" t="n">
        <v>102.69144238</v>
      </c>
      <c r="AJ1197" t="n">
        <v>104.150504267</v>
      </c>
      <c r="AK1197" t="n">
        <v/>
      </c>
      <c r="AL1197" t="n">
        <v>105.906652734</v>
      </c>
      <c r="AM1197" t="n">
        <v>119.5</v>
      </c>
      <c r="AN1197" t="n">
        <v>109.339088841</v>
      </c>
      <c r="AO1197" t="n">
        <v>109.6</v>
      </c>
      <c r="AP1197" t="n">
        <v>116.219369895</v>
      </c>
      <c r="AQ1197" t="n">
        <v>122.210184182</v>
      </c>
      <c r="AR1197" t="n">
        <v>108.490959087</v>
      </c>
      <c r="AS1197" t="n">
        <v>115.890342471</v>
      </c>
      <c r="AT1197" t="n">
        <v>103.303480578</v>
      </c>
      <c r="AU1197" t="n">
        <v/>
      </c>
    </row>
    <row r="1198">
      <c r="A1198" s="106" t="n">
        <v>43344</v>
      </c>
      <c r="B1198" t="n">
        <v>114.390467461</v>
      </c>
      <c r="C1198" t="n">
        <v>106.49112574</v>
      </c>
      <c r="D1198" t="n">
        <v>95.238095238</v>
      </c>
      <c r="E1198" t="n">
        <v>110.176061896</v>
      </c>
      <c r="F1198" t="n">
        <v>110.4</v>
      </c>
      <c r="G1198" t="n">
        <v/>
      </c>
      <c r="H1198" t="n">
        <v>99.75798073999999</v>
      </c>
      <c r="I1198" t="n">
        <v>113.990500792</v>
      </c>
      <c r="J1198" t="n">
        <v>114.380936511</v>
      </c>
      <c r="K1198" t="n">
        <v>105.008750729</v>
      </c>
      <c r="L1198" t="n">
        <v>107.2</v>
      </c>
      <c r="M1198" t="n">
        <v>105.291225731</v>
      </c>
      <c r="N1198" t="n">
        <v>105.307087756</v>
      </c>
      <c r="O1198" t="n">
        <v>112.209350779</v>
      </c>
      <c r="P1198" t="n">
        <v/>
      </c>
      <c r="Q1198" t="n">
        <v>113.109425785</v>
      </c>
      <c r="R1198" t="n">
        <v>102.91</v>
      </c>
      <c r="S1198" t="n">
        <v>104.356580102</v>
      </c>
      <c r="T1198" t="n">
        <v>104.740007075</v>
      </c>
      <c r="U1198" t="n">
        <v/>
      </c>
      <c r="V1198" t="n">
        <v>107.783234829</v>
      </c>
      <c r="W1198" t="n">
        <v>108.609050754</v>
      </c>
      <c r="X1198" t="n">
        <v>116.272841183</v>
      </c>
      <c r="Y1198" t="n">
        <v/>
      </c>
      <c r="Z1198" t="n">
        <v>98.98350275</v>
      </c>
      <c r="AA1198" t="n">
        <v/>
      </c>
      <c r="AB1198" t="n">
        <v>100.608899297</v>
      </c>
      <c r="AC1198" t="n">
        <v>107.191067411</v>
      </c>
      <c r="AD1198" t="n">
        <v>103.291392384</v>
      </c>
      <c r="AE1198" t="n">
        <v>106.1</v>
      </c>
      <c r="AF1198" t="n">
        <v>100.30835903</v>
      </c>
      <c r="AG1198" t="n">
        <v>113.8</v>
      </c>
      <c r="AH1198" t="n">
        <v/>
      </c>
      <c r="AI1198" t="n">
        <v>102.791434047</v>
      </c>
      <c r="AJ1198" t="n">
        <v>102.055857254</v>
      </c>
      <c r="AK1198" t="n">
        <v/>
      </c>
      <c r="AL1198" t="n">
        <v>105.275721152</v>
      </c>
      <c r="AM1198" t="n">
        <v>117.9</v>
      </c>
      <c r="AN1198" t="n">
        <v>106.669111091</v>
      </c>
      <c r="AO1198" t="n">
        <v>110.1</v>
      </c>
      <c r="AP1198" t="n">
        <v>114.919153192</v>
      </c>
      <c r="AQ1198" t="n">
        <v>122.110175848</v>
      </c>
      <c r="AR1198" t="n">
        <v>108.590950754</v>
      </c>
      <c r="AS1198" t="n">
        <v>112.190650779</v>
      </c>
      <c r="AT1198" t="n">
        <v>103.289895869</v>
      </c>
      <c r="AU1198" t="n">
        <v/>
      </c>
    </row>
    <row r="1199">
      <c r="A1199" s="106" t="n">
        <v>43374</v>
      </c>
      <c r="B1199" t="n">
        <v>116.290309141</v>
      </c>
      <c r="C1199" t="n">
        <v>106.591117407</v>
      </c>
      <c r="D1199" t="n">
        <v>96.33911368</v>
      </c>
      <c r="E1199" t="n">
        <v>110.359052835</v>
      </c>
      <c r="F1199" t="n">
        <v>115.8</v>
      </c>
      <c r="G1199" t="n">
        <v/>
      </c>
      <c r="H1199" t="n">
        <v>99.93764349999999</v>
      </c>
      <c r="I1199" t="n">
        <v>116.290309141</v>
      </c>
      <c r="J1199" t="n">
        <v>112.981169805</v>
      </c>
      <c r="K1199" t="n">
        <v>105.008750729</v>
      </c>
      <c r="L1199" t="n">
        <v>109.7</v>
      </c>
      <c r="M1199" t="n">
        <v>105.991167403</v>
      </c>
      <c r="N1199" t="n">
        <v>106.240088533</v>
      </c>
      <c r="O1199" t="n">
        <v>112.409367447</v>
      </c>
      <c r="P1199" t="n">
        <v/>
      </c>
      <c r="Q1199" t="n">
        <v>111.109259105</v>
      </c>
      <c r="R1199" t="n">
        <v>104</v>
      </c>
      <c r="S1199" t="n">
        <v>104.648985194</v>
      </c>
      <c r="T1199" t="n">
        <v>103.678811461</v>
      </c>
      <c r="U1199" t="n">
        <v/>
      </c>
      <c r="V1199" t="n">
        <v>107.883126613</v>
      </c>
      <c r="W1199" t="n">
        <v>111.109259105</v>
      </c>
      <c r="X1199" t="n">
        <v>119.16063876</v>
      </c>
      <c r="Y1199" t="n">
        <v/>
      </c>
      <c r="Z1199" t="n">
        <v>107.082152975</v>
      </c>
      <c r="AA1199" t="n">
        <v/>
      </c>
      <c r="AB1199" t="n">
        <v>99.578454333</v>
      </c>
      <c r="AC1199" t="n">
        <v>106.691109074</v>
      </c>
      <c r="AD1199" t="n">
        <v>105.291225731</v>
      </c>
      <c r="AE1199" t="n">
        <v>107.7</v>
      </c>
      <c r="AF1199" t="n">
        <v>104.408700725</v>
      </c>
      <c r="AG1199" t="n">
        <v>114.6</v>
      </c>
      <c r="AH1199" t="n">
        <v/>
      </c>
      <c r="AI1199" t="n">
        <v>103.191400717</v>
      </c>
      <c r="AJ1199" t="n">
        <v>103.335919317</v>
      </c>
      <c r="AK1199" t="n">
        <v/>
      </c>
      <c r="AL1199" t="n">
        <v>105.766255647</v>
      </c>
      <c r="AM1199" t="n">
        <v>118.6</v>
      </c>
      <c r="AN1199" t="n">
        <v>106.469112757</v>
      </c>
      <c r="AO1199" t="n">
        <v>110.3</v>
      </c>
      <c r="AP1199" t="n">
        <v>116.819469912</v>
      </c>
      <c r="AQ1199" t="n">
        <v>123.010250854</v>
      </c>
      <c r="AR1199" t="n">
        <v>111.590700775</v>
      </c>
      <c r="AS1199" t="n">
        <v>109.89084243</v>
      </c>
      <c r="AT1199" t="n">
        <v>103.171996461</v>
      </c>
      <c r="AU1199" t="n">
        <v/>
      </c>
    </row>
    <row r="1200">
      <c r="A1200" s="106" t="n">
        <v>43405</v>
      </c>
      <c r="B1200" t="n">
        <v>115.390384135</v>
      </c>
      <c r="C1200" t="n">
        <v>112.390634114</v>
      </c>
      <c r="D1200" t="n">
        <v>96.33911368</v>
      </c>
      <c r="E1200" t="n">
        <v>109.392999794</v>
      </c>
      <c r="F1200" t="n">
        <v>115.1</v>
      </c>
      <c r="G1200" t="n">
        <v/>
      </c>
      <c r="H1200" t="n">
        <v>103.90324723</v>
      </c>
      <c r="I1200" t="n">
        <v>115.1904008</v>
      </c>
      <c r="J1200" t="n">
        <v>114.180969838</v>
      </c>
      <c r="K1200" t="n">
        <v>103.008584049</v>
      </c>
      <c r="L1200" t="n">
        <v>110.4</v>
      </c>
      <c r="M1200" t="n">
        <v>104.291309058</v>
      </c>
      <c r="N1200" t="n">
        <v>104.587087156</v>
      </c>
      <c r="O1200" t="n">
        <v>116.409700808</v>
      </c>
      <c r="P1200" t="n">
        <v/>
      </c>
      <c r="Q1200" t="n">
        <v>111.009250771</v>
      </c>
      <c r="R1200" t="n">
        <v>102.88</v>
      </c>
      <c r="S1200" t="n">
        <v>103.903857139</v>
      </c>
      <c r="T1200" t="n">
        <v>103.5726919</v>
      </c>
      <c r="U1200" t="n">
        <v/>
      </c>
      <c r="V1200" t="n">
        <v>112.178473321</v>
      </c>
      <c r="W1200" t="n">
        <v>110.109175765</v>
      </c>
      <c r="X1200" t="n">
        <v>115.2903867</v>
      </c>
      <c r="Y1200" t="n">
        <v/>
      </c>
      <c r="Z1200" t="n">
        <v>96.083986002</v>
      </c>
      <c r="AA1200" t="n">
        <v/>
      </c>
      <c r="AB1200" t="n">
        <v>98.07962529300001</v>
      </c>
      <c r="AC1200" t="n">
        <v>104.891259062</v>
      </c>
      <c r="AD1200" t="n">
        <v>104.091325723</v>
      </c>
      <c r="AE1200" t="n">
        <v>105.7</v>
      </c>
      <c r="AF1200" t="n">
        <v>103.008584049</v>
      </c>
      <c r="AG1200" t="n">
        <v>115.9</v>
      </c>
      <c r="AH1200" t="n">
        <v/>
      </c>
      <c r="AI1200" t="n">
        <v>103.491375719</v>
      </c>
      <c r="AJ1200" t="n">
        <v>100.77579519</v>
      </c>
      <c r="AK1200" t="n">
        <v/>
      </c>
      <c r="AL1200" t="n">
        <v>104.992605507</v>
      </c>
      <c r="AM1200" t="n">
        <v>117.7</v>
      </c>
      <c r="AN1200" t="n">
        <v>103.12914059</v>
      </c>
      <c r="AO1200" t="n">
        <v>110.2</v>
      </c>
      <c r="AP1200" t="n">
        <v>114.319053176</v>
      </c>
      <c r="AQ1200" t="n">
        <v>122.610217518</v>
      </c>
      <c r="AR1200" t="n">
        <v>110.090825765</v>
      </c>
      <c r="AS1200" t="n">
        <v>109.690859095</v>
      </c>
      <c r="AT1200" t="n">
        <v>103.085431127</v>
      </c>
      <c r="AU1200" t="n">
        <v/>
      </c>
    </row>
    <row r="1201">
      <c r="A1201" s="106" t="n">
        <v>43435</v>
      </c>
      <c r="B1201" t="n">
        <v>118.790100825</v>
      </c>
      <c r="C1201" t="n">
        <v>107.191067411</v>
      </c>
      <c r="D1201" t="n">
        <v>96.669419213</v>
      </c>
      <c r="E1201" t="n">
        <v>108.653277651</v>
      </c>
      <c r="F1201" t="n">
        <v>116.9</v>
      </c>
      <c r="G1201" t="n">
        <v/>
      </c>
      <c r="H1201" t="n">
        <v>102.516009496</v>
      </c>
      <c r="I1201" t="n">
        <v>117.490209149</v>
      </c>
      <c r="J1201" t="n">
        <v>113.981003166</v>
      </c>
      <c r="K1201" t="n">
        <v>103.908659055</v>
      </c>
      <c r="L1201" t="n">
        <v>118.9</v>
      </c>
      <c r="M1201" t="n">
        <v>104.691275727</v>
      </c>
      <c r="N1201" t="n">
        <v>104.274086895</v>
      </c>
      <c r="O1201" t="n">
        <v>116.909742479</v>
      </c>
      <c r="P1201" t="n">
        <v/>
      </c>
      <c r="Q1201" t="n">
        <v>112.709392449</v>
      </c>
      <c r="R1201" t="n">
        <v>104.28</v>
      </c>
      <c r="S1201" t="n">
        <v>104.091106749</v>
      </c>
      <c r="T1201" t="n">
        <v>103.784931022</v>
      </c>
      <c r="U1201" t="n">
        <v/>
      </c>
      <c r="V1201" t="n">
        <v>110.280529426</v>
      </c>
      <c r="W1201" t="n">
        <v>116.109675806</v>
      </c>
      <c r="X1201" t="n">
        <v>115.451915323</v>
      </c>
      <c r="Y1201" t="n">
        <v/>
      </c>
      <c r="Z1201" t="n">
        <v>94.08431928</v>
      </c>
      <c r="AA1201" t="n">
        <v/>
      </c>
      <c r="AB1201" t="n">
        <v>100.234192037</v>
      </c>
      <c r="AC1201" t="n">
        <v>105.491209066</v>
      </c>
      <c r="AD1201" t="n">
        <v>104.391300725</v>
      </c>
      <c r="AE1201" t="n">
        <v>103.9</v>
      </c>
      <c r="AF1201" t="n">
        <v>105.408784065</v>
      </c>
      <c r="AG1201" t="n">
        <v>119</v>
      </c>
      <c r="AH1201" t="n">
        <v/>
      </c>
      <c r="AI1201" t="n">
        <v>100.7916007</v>
      </c>
      <c r="AJ1201" t="n">
        <v>100.310318076</v>
      </c>
      <c r="AK1201" t="n">
        <v/>
      </c>
      <c r="AL1201" t="n">
        <v>105.017031951</v>
      </c>
      <c r="AM1201" t="n">
        <v>118.9</v>
      </c>
      <c r="AN1201" t="n">
        <v>103.06914109</v>
      </c>
      <c r="AO1201" t="n">
        <v>111.2</v>
      </c>
      <c r="AP1201" t="n">
        <v>117.11951992</v>
      </c>
      <c r="AQ1201" t="n">
        <v>121.91015918</v>
      </c>
      <c r="AR1201" t="n">
        <v>111.490709108</v>
      </c>
      <c r="AS1201" t="n">
        <v>107.891009083</v>
      </c>
      <c r="AT1201" t="n">
        <v>102.994899454</v>
      </c>
      <c r="AU1201" t="n">
        <v/>
      </c>
    </row>
    <row r="1202">
      <c r="A1202" s="106" t="n">
        <v>43466</v>
      </c>
      <c r="B1202" t="n">
        <v>117.990167486</v>
      </c>
      <c r="C1202" t="n">
        <v>112.090659112</v>
      </c>
      <c r="D1202" t="n">
        <v>95.678502615</v>
      </c>
      <c r="E1202" t="n">
        <v>107.505838856</v>
      </c>
      <c r="F1202" t="n">
        <v>115.8</v>
      </c>
      <c r="G1202" t="n">
        <v/>
      </c>
      <c r="H1202" t="n">
        <v>99.78929618399999</v>
      </c>
      <c r="I1202" t="n">
        <v>117.290225815</v>
      </c>
      <c r="J1202" t="n">
        <v>113.081153141</v>
      </c>
      <c r="K1202" t="n">
        <v>103.608634053</v>
      </c>
      <c r="L1202" t="n">
        <v>110</v>
      </c>
      <c r="M1202" t="n">
        <v>105.691192401</v>
      </c>
      <c r="N1202" t="n">
        <v>107.354089462</v>
      </c>
      <c r="O1202" t="n">
        <v>127.810650888</v>
      </c>
      <c r="P1202" t="n">
        <v/>
      </c>
      <c r="Q1202" t="n">
        <v>113.509459122</v>
      </c>
      <c r="R1202" t="n">
        <v>104.59</v>
      </c>
      <c r="S1202" t="n">
        <v>103.47068493</v>
      </c>
      <c r="T1202" t="n">
        <v>104.846126636</v>
      </c>
      <c r="U1202" t="n">
        <v/>
      </c>
      <c r="V1202" t="n">
        <v>111.279447265</v>
      </c>
      <c r="W1202" t="n">
        <v>114.409534128</v>
      </c>
      <c r="X1202" t="n">
        <v>114.726965092</v>
      </c>
      <c r="Y1202" t="n">
        <v/>
      </c>
      <c r="Z1202" t="n">
        <v>97.983669388</v>
      </c>
      <c r="AA1202" t="n">
        <v/>
      </c>
      <c r="AB1202" t="n">
        <v>102.201405152</v>
      </c>
      <c r="AC1202" t="n">
        <v>106.191150737</v>
      </c>
      <c r="AD1202" t="n">
        <v>102.391467378</v>
      </c>
      <c r="AE1202" t="n">
        <v>105.4</v>
      </c>
      <c r="AF1202" t="n">
        <v>101.408450704</v>
      </c>
      <c r="AG1202" t="n">
        <v>117.1</v>
      </c>
      <c r="AH1202" t="n">
        <v/>
      </c>
      <c r="AI1202" t="n">
        <v>103.991334055</v>
      </c>
      <c r="AJ1202" t="n">
        <v>98.44840962000001</v>
      </c>
      <c r="AK1202" t="n">
        <v/>
      </c>
      <c r="AL1202" t="n">
        <v>104.850698629</v>
      </c>
      <c r="AM1202" t="n">
        <v>119.4</v>
      </c>
      <c r="AN1202" t="n">
        <v>104.649127924</v>
      </c>
      <c r="AO1202" t="n">
        <v>111.2</v>
      </c>
      <c r="AP1202" t="n">
        <v>114.219036506</v>
      </c>
      <c r="AQ1202" t="n">
        <v>127.310609217</v>
      </c>
      <c r="AR1202" t="n">
        <v>112.690609116</v>
      </c>
      <c r="AS1202" t="n">
        <v>109.690859095</v>
      </c>
      <c r="AT1202" t="n">
        <v>102.399353751</v>
      </c>
      <c r="AU1202" t="n">
        <v/>
      </c>
    </row>
    <row r="1203">
      <c r="A1203" s="106" t="n">
        <v>43497</v>
      </c>
      <c r="B1203" t="n">
        <v>117.390217482</v>
      </c>
      <c r="C1203" t="n">
        <v>111.79068411</v>
      </c>
      <c r="D1203" t="n">
        <v>96.229011836</v>
      </c>
      <c r="E1203" t="n">
        <v>107.151093264</v>
      </c>
      <c r="F1203" t="n">
        <v>114.8</v>
      </c>
      <c r="G1203" t="n">
        <v/>
      </c>
      <c r="H1203" t="n">
        <v>99.521110292</v>
      </c>
      <c r="I1203" t="n">
        <v>117.590200817</v>
      </c>
      <c r="J1203" t="n">
        <v>113.181136477</v>
      </c>
      <c r="K1203" t="n">
        <v>103.608634053</v>
      </c>
      <c r="L1203" t="n">
        <v>109.6</v>
      </c>
      <c r="M1203" t="n">
        <v>105.491209066</v>
      </c>
      <c r="N1203" t="n">
        <v>106.634088862</v>
      </c>
      <c r="O1203" t="n">
        <v>122.91024252</v>
      </c>
      <c r="P1203" t="n">
        <v/>
      </c>
      <c r="Q1203" t="n">
        <v>111.409284107</v>
      </c>
      <c r="R1203" t="n">
        <v>104.68</v>
      </c>
      <c r="S1203" t="n">
        <v>103.383035995</v>
      </c>
      <c r="T1203" t="n">
        <v>105.482844004</v>
      </c>
      <c r="U1203" t="n">
        <v/>
      </c>
      <c r="V1203" t="n">
        <v>110.080745859</v>
      </c>
      <c r="W1203" t="n">
        <v>114.109509126</v>
      </c>
      <c r="X1203" t="n">
        <v>114.48993487</v>
      </c>
      <c r="Y1203" t="n">
        <v/>
      </c>
      <c r="Z1203" t="n">
        <v>100.683219463</v>
      </c>
      <c r="AA1203" t="n">
        <v/>
      </c>
      <c r="AB1203" t="n">
        <v>102.388758782</v>
      </c>
      <c r="AC1203" t="n">
        <v>106.49112574</v>
      </c>
      <c r="AD1203" t="n">
        <v>102.891425715</v>
      </c>
      <c r="AE1203" t="n">
        <v>102.2</v>
      </c>
      <c r="AF1203" t="n">
        <v>100.408367364</v>
      </c>
      <c r="AG1203" t="n">
        <v>116.4</v>
      </c>
      <c r="AH1203" t="n">
        <v/>
      </c>
      <c r="AI1203" t="n">
        <v>102.891425715</v>
      </c>
      <c r="AJ1203" t="n">
        <v>96.237393328</v>
      </c>
      <c r="AK1203" t="n">
        <v/>
      </c>
      <c r="AL1203" t="n">
        <v>104.57050004</v>
      </c>
      <c r="AM1203" t="n">
        <v>121.3</v>
      </c>
      <c r="AN1203" t="n">
        <v>103.109140757</v>
      </c>
      <c r="AO1203" t="n">
        <v>110.9</v>
      </c>
      <c r="AP1203" t="n">
        <v>115.419236539</v>
      </c>
      <c r="AQ1203" t="n">
        <v>124.410367531</v>
      </c>
      <c r="AR1203" t="n">
        <v>111.990667444</v>
      </c>
      <c r="AS1203" t="n">
        <v>110.990750771</v>
      </c>
      <c r="AT1203" t="n">
        <v>101.950463409</v>
      </c>
      <c r="AU1203" t="n">
        <v/>
      </c>
    </row>
    <row r="1204">
      <c r="A1204" s="106" t="n">
        <v>43525</v>
      </c>
      <c r="B1204" t="n">
        <v>116.590284143</v>
      </c>
      <c r="C1204" t="n">
        <v>110.690775769</v>
      </c>
      <c r="D1204" t="n">
        <v>96.008808148</v>
      </c>
      <c r="E1204" t="n">
        <v>108.826637488</v>
      </c>
      <c r="F1204" t="n">
        <v>114.6</v>
      </c>
      <c r="G1204" t="n">
        <v/>
      </c>
      <c r="H1204" t="n">
        <v>99.516058578</v>
      </c>
      <c r="I1204" t="n">
        <v>117.590200817</v>
      </c>
      <c r="J1204" t="n">
        <v>113.481086486</v>
      </c>
      <c r="K1204" t="n">
        <v>104.408700725</v>
      </c>
      <c r="L1204" t="n">
        <v>112.3</v>
      </c>
      <c r="M1204" t="n">
        <v>105.491209066</v>
      </c>
      <c r="N1204" t="n">
        <v>106.314088595</v>
      </c>
      <c r="O1204" t="n">
        <v>125.410450871</v>
      </c>
      <c r="P1204" t="n">
        <v/>
      </c>
      <c r="Q1204" t="n">
        <v>111.509292441</v>
      </c>
      <c r="R1204" t="n">
        <v>104.48</v>
      </c>
      <c r="S1204" t="n">
        <v>103.54870196</v>
      </c>
      <c r="T1204" t="n">
        <v>106.437920057</v>
      </c>
      <c r="U1204" t="n">
        <v/>
      </c>
      <c r="V1204" t="n">
        <v>107.883126613</v>
      </c>
      <c r="W1204" t="n">
        <v>115.909659138</v>
      </c>
      <c r="X1204" t="n">
        <v>116.268834953</v>
      </c>
      <c r="Y1204" t="n">
        <v/>
      </c>
      <c r="Z1204" t="n">
        <v>101.28311948</v>
      </c>
      <c r="AA1204" t="n">
        <v/>
      </c>
      <c r="AB1204" t="n">
        <v>103.325526932</v>
      </c>
      <c r="AC1204" t="n">
        <v>105.591200733</v>
      </c>
      <c r="AD1204" t="n">
        <v>102.491459045</v>
      </c>
      <c r="AE1204" t="n">
        <v>104.1</v>
      </c>
      <c r="AF1204" t="n">
        <v>102.30852571</v>
      </c>
      <c r="AG1204" t="n">
        <v>117.9</v>
      </c>
      <c r="AH1204" t="n">
        <v/>
      </c>
      <c r="AI1204" t="n">
        <v>103.391384051</v>
      </c>
      <c r="AJ1204" t="n">
        <v>95.422808379</v>
      </c>
      <c r="AK1204" t="n">
        <v/>
      </c>
      <c r="AL1204" t="n">
        <v>104.927048407</v>
      </c>
      <c r="AM1204" t="n">
        <v>121.5</v>
      </c>
      <c r="AN1204" t="n">
        <v>102.809143257</v>
      </c>
      <c r="AO1204" t="n">
        <v>111.2</v>
      </c>
      <c r="AP1204" t="n">
        <v>118.219703284</v>
      </c>
      <c r="AQ1204" t="n">
        <v>124.910409201</v>
      </c>
      <c r="AR1204" t="n">
        <v>110.190817432</v>
      </c>
      <c r="AS1204" t="n">
        <v>114.290475794</v>
      </c>
      <c r="AT1204" t="n">
        <v>102.034053989</v>
      </c>
      <c r="AU1204" t="n">
        <v/>
      </c>
    </row>
    <row r="1205">
      <c r="A1205" s="106" t="n">
        <v>43556</v>
      </c>
      <c r="B1205" t="n">
        <v>114.390467461</v>
      </c>
      <c r="C1205" t="n">
        <v>116.990250812</v>
      </c>
      <c r="D1205" t="n">
        <v>96.33911368</v>
      </c>
      <c r="E1205" t="n">
        <v>111.055970079</v>
      </c>
      <c r="F1205" t="n">
        <v>115.7</v>
      </c>
      <c r="G1205" t="n">
        <v/>
      </c>
      <c r="H1205" t="n">
        <v>101.610960276</v>
      </c>
      <c r="I1205" t="n">
        <v>115.090409133</v>
      </c>
      <c r="J1205" t="n">
        <v>114.580903183</v>
      </c>
      <c r="K1205" t="n">
        <v>102.808567381</v>
      </c>
      <c r="L1205" t="n">
        <v>113</v>
      </c>
      <c r="M1205" t="n">
        <v>104.891259062</v>
      </c>
      <c r="N1205" t="n">
        <v>106.511088759</v>
      </c>
      <c r="O1205" t="n">
        <v>124.710392533</v>
      </c>
      <c r="P1205" t="n">
        <v/>
      </c>
      <c r="Q1205" t="n">
        <v>114.809567464</v>
      </c>
      <c r="R1205" t="n">
        <v>104.81</v>
      </c>
      <c r="S1205" t="n">
        <v>103.057740396</v>
      </c>
      <c r="T1205" t="n">
        <v>103.997170145</v>
      </c>
      <c r="U1205" t="n">
        <v/>
      </c>
      <c r="V1205" t="n">
        <v>109.880962291</v>
      </c>
      <c r="W1205" t="n">
        <v>115.70964247</v>
      </c>
      <c r="X1205" t="n">
        <v>116.125935703</v>
      </c>
      <c r="Y1205" t="n">
        <v/>
      </c>
      <c r="Z1205" t="n">
        <v>100.883186136</v>
      </c>
      <c r="AA1205" t="n">
        <v/>
      </c>
      <c r="AB1205" t="n">
        <v>104.449648712</v>
      </c>
      <c r="AC1205" t="n">
        <v>104.091325723</v>
      </c>
      <c r="AD1205" t="n">
        <v>102.69144238</v>
      </c>
      <c r="AE1205" t="n">
        <v>106.1</v>
      </c>
      <c r="AF1205" t="n">
        <v>100.608384032</v>
      </c>
      <c r="AG1205" t="n">
        <v>114</v>
      </c>
      <c r="AH1205" t="n">
        <v/>
      </c>
      <c r="AI1205" t="n">
        <v>102.29147571</v>
      </c>
      <c r="AJ1205" t="n">
        <v>96.470131885</v>
      </c>
      <c r="AK1205" t="n">
        <v/>
      </c>
      <c r="AL1205" t="n">
        <v>104.842605139</v>
      </c>
      <c r="AM1205" t="n">
        <v>122.4</v>
      </c>
      <c r="AN1205" t="n">
        <v>105.839118007</v>
      </c>
      <c r="AO1205" t="n">
        <v>113.3</v>
      </c>
      <c r="AP1205" t="n">
        <v>117.319553259</v>
      </c>
      <c r="AQ1205" t="n">
        <v>126.010500875</v>
      </c>
      <c r="AR1205" t="n">
        <v>111.590700775</v>
      </c>
      <c r="AS1205" t="n">
        <v>113.790517457</v>
      </c>
      <c r="AT1205" t="n">
        <v>101.521008124</v>
      </c>
      <c r="AU1205" t="n">
        <v/>
      </c>
    </row>
    <row r="1206">
      <c r="A1206" s="106" t="n">
        <v>43586</v>
      </c>
      <c r="B1206" t="n">
        <v>114.490459128</v>
      </c>
      <c r="C1206" t="n">
        <v>112.590617449</v>
      </c>
      <c r="D1206" t="n">
        <v>96.229011836</v>
      </c>
      <c r="E1206" t="n">
        <v>111.160307018</v>
      </c>
      <c r="F1206" t="n">
        <v>116.4</v>
      </c>
      <c r="G1206" t="n">
        <v/>
      </c>
      <c r="H1206" t="n">
        <v>101.853946568</v>
      </c>
      <c r="I1206" t="n">
        <v>115.490375802</v>
      </c>
      <c r="J1206" t="n">
        <v>117.680386602</v>
      </c>
      <c r="K1206" t="n">
        <v>103.508625719</v>
      </c>
      <c r="L1206" t="n">
        <v>118.3</v>
      </c>
      <c r="M1206" t="n">
        <v>105.391217399</v>
      </c>
      <c r="N1206" t="n">
        <v>106.779088983</v>
      </c>
      <c r="O1206" t="n">
        <v>126.010500875</v>
      </c>
      <c r="P1206" t="n">
        <v/>
      </c>
      <c r="Q1206" t="n">
        <v>111.909325777</v>
      </c>
      <c r="R1206" t="n">
        <v>106.24</v>
      </c>
      <c r="S1206" t="n">
        <v>103.754780106</v>
      </c>
      <c r="T1206" t="n">
        <v>105.270604882</v>
      </c>
      <c r="U1206" t="n">
        <v/>
      </c>
      <c r="V1206" t="n">
        <v>108.5823691</v>
      </c>
      <c r="W1206" t="n">
        <v>118.709892491</v>
      </c>
      <c r="X1206" t="n">
        <v>117.852248102</v>
      </c>
      <c r="Y1206" t="n">
        <v/>
      </c>
      <c r="Z1206" t="n">
        <v>99.183469422</v>
      </c>
      <c r="AA1206" t="n">
        <v/>
      </c>
      <c r="AB1206" t="n">
        <v>102.857142857</v>
      </c>
      <c r="AC1206" t="n">
        <v>106.391134072</v>
      </c>
      <c r="AD1206" t="n">
        <v>103.891342388</v>
      </c>
      <c r="AE1206" t="n">
        <v>105.9</v>
      </c>
      <c r="AF1206" t="n">
        <v>100.708392366</v>
      </c>
      <c r="AG1206" t="n">
        <v>116.5</v>
      </c>
      <c r="AH1206" t="n">
        <v/>
      </c>
      <c r="AI1206" t="n">
        <v>102.69144238</v>
      </c>
      <c r="AJ1206" t="n">
        <v>96.586501164</v>
      </c>
      <c r="AK1206" t="n">
        <v/>
      </c>
      <c r="AL1206" t="n">
        <v>105.381094206</v>
      </c>
      <c r="AM1206" t="n">
        <v>122.5</v>
      </c>
      <c r="AN1206" t="n">
        <v>106.369113591</v>
      </c>
      <c r="AO1206" t="n">
        <v>112.9</v>
      </c>
      <c r="AP1206" t="n">
        <v>117.219536589</v>
      </c>
      <c r="AQ1206" t="n">
        <v>125.110425869</v>
      </c>
      <c r="AR1206" t="n">
        <v>112.290642446</v>
      </c>
      <c r="AS1206" t="n">
        <v>114.690442463</v>
      </c>
      <c r="AT1206" t="n">
        <v>101.712383949</v>
      </c>
      <c r="AU1206" t="n">
        <v/>
      </c>
    </row>
    <row r="1207">
      <c r="A1207" s="106" t="n">
        <v>43617</v>
      </c>
      <c r="B1207" t="n">
        <v>115.590367469</v>
      </c>
      <c r="C1207" t="n">
        <v>116.790267478</v>
      </c>
      <c r="D1207" t="n">
        <v>95.348197082</v>
      </c>
      <c r="E1207" t="n">
        <v>110.269965141</v>
      </c>
      <c r="F1207" t="n">
        <v>119.4</v>
      </c>
      <c r="G1207" t="n">
        <v/>
      </c>
      <c r="H1207" t="n">
        <v>100.213217844</v>
      </c>
      <c r="I1207" t="n">
        <v>115.890342471</v>
      </c>
      <c r="J1207" t="n">
        <v>112.781203133</v>
      </c>
      <c r="K1207" t="n">
        <v>102.608550713</v>
      </c>
      <c r="L1207" t="n">
        <v>110.7</v>
      </c>
      <c r="M1207" t="n">
        <v>104.491292392</v>
      </c>
      <c r="N1207" t="n">
        <v>106.06808839</v>
      </c>
      <c r="O1207" t="n">
        <v>117.609800817</v>
      </c>
      <c r="P1207" t="n">
        <v/>
      </c>
      <c r="Q1207" t="n">
        <v>114.20951746</v>
      </c>
      <c r="R1207" t="n">
        <v>103.66</v>
      </c>
      <c r="S1207" t="n">
        <v>103.023126584</v>
      </c>
      <c r="T1207" t="n">
        <v>105.588963566</v>
      </c>
      <c r="U1207" t="n">
        <v/>
      </c>
      <c r="V1207" t="n">
        <v>108.082910181</v>
      </c>
      <c r="W1207" t="n">
        <v>114.809567464</v>
      </c>
      <c r="X1207" t="n">
        <v>116.797166247</v>
      </c>
      <c r="Y1207" t="n">
        <v/>
      </c>
      <c r="Z1207" t="n">
        <v>99.683386102</v>
      </c>
      <c r="AA1207" t="n">
        <v/>
      </c>
      <c r="AB1207" t="n">
        <v>102.388758782</v>
      </c>
      <c r="AC1207" t="n">
        <v>106.09115907</v>
      </c>
      <c r="AD1207" t="n">
        <v>101.391550704</v>
      </c>
      <c r="AE1207" t="n">
        <v>106.4</v>
      </c>
      <c r="AF1207" t="n">
        <v>98.408200683</v>
      </c>
      <c r="AG1207" t="n">
        <v>116.7</v>
      </c>
      <c r="AH1207" t="n">
        <v/>
      </c>
      <c r="AI1207" t="n">
        <v>101.591534039</v>
      </c>
      <c r="AJ1207" t="n">
        <v>95.65554693599999</v>
      </c>
      <c r="AK1207" t="n">
        <v/>
      </c>
      <c r="AL1207" t="n">
        <v>104.489184255</v>
      </c>
      <c r="AM1207" t="n">
        <v>120.2</v>
      </c>
      <c r="AN1207" t="n">
        <v>100.72916059</v>
      </c>
      <c r="AO1207" t="n">
        <v>114.7</v>
      </c>
      <c r="AP1207" t="n">
        <v>112.518753126</v>
      </c>
      <c r="AQ1207" t="n">
        <v>123.91032586</v>
      </c>
      <c r="AR1207" t="n">
        <v>111.990667444</v>
      </c>
      <c r="AS1207" t="n">
        <v>109.790850762</v>
      </c>
      <c r="AT1207" t="n">
        <v>101.729439204</v>
      </c>
      <c r="AU1207" t="n">
        <v/>
      </c>
    </row>
    <row r="1208">
      <c r="A1208" s="106" t="n">
        <v>43647</v>
      </c>
      <c r="B1208" t="n">
        <v>114.990417465</v>
      </c>
      <c r="C1208" t="n">
        <v>109.190900758</v>
      </c>
      <c r="D1208" t="n">
        <v>94.687586017</v>
      </c>
      <c r="E1208" t="n">
        <v>108.403939121</v>
      </c>
      <c r="F1208" t="n">
        <v>118.6</v>
      </c>
      <c r="G1208" t="n">
        <v/>
      </c>
      <c r="H1208" t="n">
        <v>100.996355325</v>
      </c>
      <c r="I1208" t="n">
        <v>115.590367469</v>
      </c>
      <c r="J1208" t="n">
        <v>112.581236461</v>
      </c>
      <c r="K1208" t="n">
        <v>102.008500708</v>
      </c>
      <c r="L1208" t="n">
        <v>113.4</v>
      </c>
      <c r="M1208" t="n">
        <v>103.991334055</v>
      </c>
      <c r="N1208" t="n">
        <v>105.287087739</v>
      </c>
      <c r="O1208" t="n">
        <v>114.309525794</v>
      </c>
      <c r="P1208" t="n">
        <v/>
      </c>
      <c r="Q1208" t="n">
        <v>115.109592466</v>
      </c>
      <c r="R1208" t="n">
        <v>104.11</v>
      </c>
      <c r="S1208" t="n">
        <v>102.775194227</v>
      </c>
      <c r="T1208" t="n">
        <v>106.013441811</v>
      </c>
      <c r="U1208" t="n">
        <v/>
      </c>
      <c r="V1208" t="n">
        <v>106.384749854</v>
      </c>
      <c r="W1208" t="n">
        <v>116.809734145</v>
      </c>
      <c r="X1208" t="n">
        <v>118.547379374</v>
      </c>
      <c r="Y1208" t="n">
        <v/>
      </c>
      <c r="Z1208" t="n">
        <v>98.183636061</v>
      </c>
      <c r="AA1208" t="n">
        <v/>
      </c>
      <c r="AB1208" t="n">
        <v>106.323185012</v>
      </c>
      <c r="AC1208" t="n">
        <v>106.291142405</v>
      </c>
      <c r="AD1208" t="n">
        <v>101.791517374</v>
      </c>
      <c r="AE1208" t="n">
        <v>108.6</v>
      </c>
      <c r="AF1208" t="n">
        <v>97.908159013</v>
      </c>
      <c r="AG1208" t="n">
        <v>114.9</v>
      </c>
      <c r="AH1208" t="n">
        <v/>
      </c>
      <c r="AI1208" t="n">
        <v>101.691525706</v>
      </c>
      <c r="AJ1208" t="n">
        <v>96.35376260699999</v>
      </c>
      <c r="AK1208" t="n">
        <v/>
      </c>
      <c r="AL1208" t="n">
        <v>104.625226585</v>
      </c>
      <c r="AM1208" t="n">
        <v>121.8</v>
      </c>
      <c r="AN1208" t="n">
        <v>106.409113257</v>
      </c>
      <c r="AO1208" t="n">
        <v>114.1</v>
      </c>
      <c r="AP1208" t="n">
        <v>111.418569762</v>
      </c>
      <c r="AQ1208" t="n">
        <v>125.510459205</v>
      </c>
      <c r="AR1208" t="n">
        <v>112.190650779</v>
      </c>
      <c r="AS1208" t="n">
        <v>114.890425798</v>
      </c>
      <c r="AT1208" t="n">
        <v>101.34113468</v>
      </c>
      <c r="AU1208" t="n">
        <v/>
      </c>
    </row>
    <row r="1209">
      <c r="A1209" s="106" t="n">
        <v>43678</v>
      </c>
      <c r="B1209" t="n">
        <v>113.890509124</v>
      </c>
      <c r="C1209" t="n">
        <v>117.390217482</v>
      </c>
      <c r="D1209" t="n">
        <v>95.788604459</v>
      </c>
      <c r="E1209" t="n">
        <v>108.656755549</v>
      </c>
      <c r="F1209" t="n">
        <v>119.2</v>
      </c>
      <c r="G1209" t="n">
        <v/>
      </c>
      <c r="H1209" t="n">
        <v>102.275004537</v>
      </c>
      <c r="I1209" t="n">
        <v>113.390550787</v>
      </c>
      <c r="J1209" t="n">
        <v>113.081153141</v>
      </c>
      <c r="K1209" t="n">
        <v>102.208517376</v>
      </c>
      <c r="L1209" t="n">
        <v>110.3</v>
      </c>
      <c r="M1209" t="n">
        <v>104.391300725</v>
      </c>
      <c r="N1209" t="n">
        <v>106.050088375</v>
      </c>
      <c r="O1209" t="n">
        <v>119.009917493</v>
      </c>
      <c r="P1209" t="n">
        <v/>
      </c>
      <c r="Q1209" t="n">
        <v>113.909492458</v>
      </c>
      <c r="R1209" t="n">
        <v>102.93</v>
      </c>
      <c r="S1209" t="n">
        <v>102.780457203</v>
      </c>
      <c r="T1209" t="n">
        <v>105.376724443</v>
      </c>
      <c r="U1209" t="n">
        <v/>
      </c>
      <c r="V1209" t="n">
        <v>109.08182802</v>
      </c>
      <c r="W1209" t="n">
        <v>115.2096008</v>
      </c>
      <c r="X1209" t="n">
        <v>114.054283523</v>
      </c>
      <c r="Y1209" t="n">
        <v/>
      </c>
      <c r="Z1209" t="n">
        <v>102.58290285</v>
      </c>
      <c r="AA1209" t="n">
        <v/>
      </c>
      <c r="AB1209" t="n">
        <v>105.199063232</v>
      </c>
      <c r="AC1209" t="n">
        <v>105.391217399</v>
      </c>
      <c r="AD1209" t="n">
        <v>100.491625698</v>
      </c>
      <c r="AE1209" t="n">
        <v>106.6</v>
      </c>
      <c r="AF1209" t="n">
        <v>101.108425702</v>
      </c>
      <c r="AG1209" t="n">
        <v>119.3</v>
      </c>
      <c r="AH1209" t="n">
        <v/>
      </c>
      <c r="AI1209" t="n">
        <v>101.891509041</v>
      </c>
      <c r="AJ1209" t="n">
        <v>94.491854151</v>
      </c>
      <c r="AK1209" t="n">
        <v/>
      </c>
      <c r="AL1209" t="n">
        <v>104.475532807</v>
      </c>
      <c r="AM1209" t="n">
        <v>121</v>
      </c>
      <c r="AN1209" t="n">
        <v>103.529137257</v>
      </c>
      <c r="AO1209" t="n">
        <v>114.7</v>
      </c>
      <c r="AP1209" t="n">
        <v>109.518253042</v>
      </c>
      <c r="AQ1209" t="n">
        <v>123.210267522</v>
      </c>
      <c r="AR1209" t="n">
        <v>112.890592451</v>
      </c>
      <c r="AS1209" t="n">
        <v>111.690692442</v>
      </c>
      <c r="AT1209" t="n">
        <v>102.042581617</v>
      </c>
      <c r="AU1209" t="n">
        <v/>
      </c>
    </row>
    <row r="1210">
      <c r="A1210" s="106" t="n">
        <v>43709</v>
      </c>
      <c r="B1210" t="n">
        <v>115.090409133</v>
      </c>
      <c r="C1210" t="n">
        <v>114.990417465</v>
      </c>
      <c r="D1210" t="n">
        <v>95.678502615</v>
      </c>
      <c r="E1210" t="n">
        <v>108.279537386</v>
      </c>
      <c r="F1210" t="n">
        <v>121.6</v>
      </c>
      <c r="G1210" t="n">
        <v/>
      </c>
      <c r="H1210" t="n">
        <v>100.701580973</v>
      </c>
      <c r="I1210" t="n">
        <v>114.490459128</v>
      </c>
      <c r="J1210" t="n">
        <v>113.081153141</v>
      </c>
      <c r="K1210" t="n">
        <v>101.408450704</v>
      </c>
      <c r="L1210" t="n">
        <v>112.2</v>
      </c>
      <c r="M1210" t="n">
        <v>104.491292392</v>
      </c>
      <c r="N1210" t="n">
        <v>105.535087946</v>
      </c>
      <c r="O1210" t="n">
        <v>117.109759147</v>
      </c>
      <c r="P1210" t="n">
        <v/>
      </c>
      <c r="Q1210" t="n">
        <v>114.109509126</v>
      </c>
      <c r="R1210" t="n">
        <v>103.88</v>
      </c>
      <c r="S1210" t="n">
        <v>102.947928659</v>
      </c>
      <c r="T1210" t="n">
        <v>106.968517863</v>
      </c>
      <c r="U1210" t="n">
        <v/>
      </c>
      <c r="V1210" t="n">
        <v>109.181719804</v>
      </c>
      <c r="W1210" t="n">
        <v>118.509875823</v>
      </c>
      <c r="X1210" t="n">
        <v>111.000832485</v>
      </c>
      <c r="Y1210" t="n">
        <v/>
      </c>
      <c r="Z1210" t="n">
        <v>108.781869688</v>
      </c>
      <c r="AA1210" t="n">
        <v/>
      </c>
      <c r="AB1210" t="n">
        <v>104.449648712</v>
      </c>
      <c r="AC1210" t="n">
        <v>105.091242396</v>
      </c>
      <c r="AD1210" t="n">
        <v>102.491459045</v>
      </c>
      <c r="AE1210" t="n">
        <v>108</v>
      </c>
      <c r="AF1210" t="n">
        <v>98.708225685</v>
      </c>
      <c r="AG1210" t="n">
        <v>120.4</v>
      </c>
      <c r="AH1210" t="n">
        <v/>
      </c>
      <c r="AI1210" t="n">
        <v>103.091409049</v>
      </c>
      <c r="AJ1210" t="n">
        <v>93.677269201</v>
      </c>
      <c r="AK1210" t="n">
        <v/>
      </c>
      <c r="AL1210" t="n">
        <v>104.881372865</v>
      </c>
      <c r="AM1210" t="n">
        <v>122</v>
      </c>
      <c r="AN1210" t="n">
        <v>100.84915959</v>
      </c>
      <c r="AO1210" t="n">
        <v>114.6</v>
      </c>
      <c r="AP1210" t="n">
        <v>111.418569762</v>
      </c>
      <c r="AQ1210" t="n">
        <v>124.910409201</v>
      </c>
      <c r="AR1210" t="n">
        <v>112.490625781</v>
      </c>
      <c r="AS1210" t="n">
        <v>115.890342471</v>
      </c>
      <c r="AT1210" t="n">
        <v>101.715755337</v>
      </c>
      <c r="AU1210" t="n">
        <v/>
      </c>
    </row>
    <row r="1211">
      <c r="A1211" s="106" t="n">
        <v>43739</v>
      </c>
      <c r="B1211" t="n">
        <v>114.590450796</v>
      </c>
      <c r="C1211" t="n">
        <v>111.79068411</v>
      </c>
      <c r="D1211" t="n">
        <v>97.55023396599999</v>
      </c>
      <c r="E1211" t="n">
        <v>108.672272325</v>
      </c>
      <c r="F1211" t="n">
        <v>120.2</v>
      </c>
      <c r="G1211" t="n">
        <v/>
      </c>
      <c r="H1211" t="n">
        <v>97.690851327</v>
      </c>
      <c r="I1211" t="n">
        <v>114.590450796</v>
      </c>
      <c r="J1211" t="n">
        <v>112.781203133</v>
      </c>
      <c r="K1211" t="n">
        <v>100.708392366</v>
      </c>
      <c r="L1211" t="n">
        <v>109.8</v>
      </c>
      <c r="M1211" t="n">
        <v>104.791267394</v>
      </c>
      <c r="N1211" t="n">
        <v>105.200087667</v>
      </c>
      <c r="O1211" t="n">
        <v>116.309692474</v>
      </c>
      <c r="P1211" t="n">
        <v/>
      </c>
      <c r="Q1211" t="n">
        <v>112.709392449</v>
      </c>
      <c r="R1211" t="n">
        <v>103.69</v>
      </c>
      <c r="S1211" t="n">
        <v>101.768603605</v>
      </c>
      <c r="T1211" t="n">
        <v>107.923593916</v>
      </c>
      <c r="U1211" t="n">
        <v/>
      </c>
      <c r="V1211" t="n">
        <v>106.984100558</v>
      </c>
      <c r="W1211" t="n">
        <v>117.709809151</v>
      </c>
      <c r="X1211" t="n">
        <v>111.20680017</v>
      </c>
      <c r="Y1211" t="n">
        <v/>
      </c>
      <c r="Z1211" t="n">
        <v>124.279286786</v>
      </c>
      <c r="AA1211" t="n">
        <v/>
      </c>
      <c r="AB1211" t="n">
        <v>108.290398126</v>
      </c>
      <c r="AC1211" t="n">
        <v>104.19131739</v>
      </c>
      <c r="AD1211" t="n">
        <v>98.291809016</v>
      </c>
      <c r="AE1211" t="n">
        <v>106.9</v>
      </c>
      <c r="AF1211" t="n">
        <v>97.408117343</v>
      </c>
      <c r="AG1211" t="n">
        <v>118.5</v>
      </c>
      <c r="AH1211" t="n">
        <v/>
      </c>
      <c r="AI1211" t="n">
        <v>102.891425715</v>
      </c>
      <c r="AJ1211" t="n">
        <v>97.284716835</v>
      </c>
      <c r="AK1211" t="n">
        <v/>
      </c>
      <c r="AL1211" t="n">
        <v>103.983349758</v>
      </c>
      <c r="AM1211" t="n">
        <v>123</v>
      </c>
      <c r="AN1211" t="n">
        <v>104.269131091</v>
      </c>
      <c r="AO1211" t="n">
        <v>114.9</v>
      </c>
      <c r="AP1211" t="n">
        <v>112.318719787</v>
      </c>
      <c r="AQ1211" t="n">
        <v>126.210517543</v>
      </c>
      <c r="AR1211" t="n">
        <v>111.190734105</v>
      </c>
      <c r="AS1211" t="n">
        <v>114.290475794</v>
      </c>
      <c r="AT1211" t="n">
        <v>100.921000291</v>
      </c>
      <c r="AU1211" t="n">
        <v/>
      </c>
    </row>
    <row r="1212">
      <c r="A1212" s="106" t="n">
        <v>43770</v>
      </c>
      <c r="B1212" t="n">
        <v>113.990500792</v>
      </c>
      <c r="C1212" t="n">
        <v>115.090409133</v>
      </c>
      <c r="D1212" t="n">
        <v>95.568400771</v>
      </c>
      <c r="E1212" t="n">
        <v>107.709429651</v>
      </c>
      <c r="F1212" t="n">
        <v>117.6</v>
      </c>
      <c r="G1212" t="n">
        <v/>
      </c>
      <c r="H1212" t="n">
        <v>100.542829128</v>
      </c>
      <c r="I1212" t="n">
        <v>113.69052579</v>
      </c>
      <c r="J1212" t="n">
        <v>110.581569738</v>
      </c>
      <c r="K1212" t="n">
        <v>100.8084007</v>
      </c>
      <c r="L1212" t="n">
        <v>104.7</v>
      </c>
      <c r="M1212" t="n">
        <v>103.791350721</v>
      </c>
      <c r="N1212" t="n">
        <v>106.161088468</v>
      </c>
      <c r="O1212" t="n">
        <v>118.609884157</v>
      </c>
      <c r="P1212" t="n">
        <v/>
      </c>
      <c r="Q1212" t="n">
        <v>112.209350779</v>
      </c>
      <c r="R1212" t="n">
        <v>103.25</v>
      </c>
      <c r="S1212" t="n">
        <v>101.740099007</v>
      </c>
      <c r="T1212" t="n">
        <v>107.605235232</v>
      </c>
      <c r="U1212" t="n">
        <v/>
      </c>
      <c r="V1212" t="n">
        <v>101.290268875</v>
      </c>
      <c r="W1212" t="n">
        <v>115.909659138</v>
      </c>
      <c r="X1212" t="n">
        <v>117.999924452</v>
      </c>
      <c r="Y1212" t="n">
        <v/>
      </c>
      <c r="Z1212" t="n">
        <v>105.182469588</v>
      </c>
      <c r="AA1212" t="n">
        <v/>
      </c>
      <c r="AB1212" t="n">
        <v>107.259953162</v>
      </c>
      <c r="AC1212" t="n">
        <v>104.391300725</v>
      </c>
      <c r="AD1212" t="n">
        <v>97.69185901199999</v>
      </c>
      <c r="AE1212" t="n">
        <v>107.5</v>
      </c>
      <c r="AF1212" t="n">
        <v>96.408034003</v>
      </c>
      <c r="AG1212" t="n">
        <v>116.4</v>
      </c>
      <c r="AH1212" t="n">
        <v/>
      </c>
      <c r="AI1212" t="n">
        <v>101.691525706</v>
      </c>
      <c r="AJ1212" t="n">
        <v>99.84484096200001</v>
      </c>
      <c r="AK1212" t="n">
        <v/>
      </c>
      <c r="AL1212" t="n">
        <v>103.885647351</v>
      </c>
      <c r="AM1212" t="n">
        <v>123.8</v>
      </c>
      <c r="AN1212" t="n">
        <v>103.12914059</v>
      </c>
      <c r="AO1212" t="n">
        <v>112.9</v>
      </c>
      <c r="AP1212" t="n">
        <v>111.918653109</v>
      </c>
      <c r="AQ1212" t="n">
        <v>124.810400867</v>
      </c>
      <c r="AR1212" t="n">
        <v>112.490625781</v>
      </c>
      <c r="AS1212" t="n">
        <v>114.890425798</v>
      </c>
      <c r="AT1212" t="n">
        <v>101.238703992</v>
      </c>
      <c r="AU1212" t="n">
        <v/>
      </c>
    </row>
    <row r="1213">
      <c r="A1213" s="106" t="n">
        <v>43800</v>
      </c>
      <c r="B1213" t="n">
        <v>115.090409133</v>
      </c>
      <c r="C1213" t="n">
        <v>118.290142488</v>
      </c>
      <c r="D1213" t="n">
        <v>94.467382329</v>
      </c>
      <c r="E1213" t="n">
        <v>107.174903488</v>
      </c>
      <c r="F1213" t="n">
        <v>115.6</v>
      </c>
      <c r="G1213" t="n">
        <v/>
      </c>
      <c r="H1213" t="n">
        <v>104.212478125</v>
      </c>
      <c r="I1213" t="n">
        <v>113.490542455</v>
      </c>
      <c r="J1213" t="n">
        <v>110.381603066</v>
      </c>
      <c r="K1213" t="n">
        <v>98.508209017</v>
      </c>
      <c r="L1213" t="n">
        <v>111.6</v>
      </c>
      <c r="M1213" t="n">
        <v>101.791517374</v>
      </c>
      <c r="N1213" t="n">
        <v>105.010087508</v>
      </c>
      <c r="O1213" t="n">
        <v>116.409700808</v>
      </c>
      <c r="P1213" t="n">
        <v/>
      </c>
      <c r="Q1213" t="n">
        <v>111.509292441</v>
      </c>
      <c r="R1213" t="n">
        <v>101.23</v>
      </c>
      <c r="S1213" t="n">
        <v>100.989328045</v>
      </c>
      <c r="T1213" t="n">
        <v>107.711354793</v>
      </c>
      <c r="U1213" t="n">
        <v/>
      </c>
      <c r="V1213" t="n">
        <v>105.685507367</v>
      </c>
      <c r="W1213" t="n">
        <v>112.509375781</v>
      </c>
      <c r="X1213" t="n">
        <v>115.456562736</v>
      </c>
      <c r="Y1213" t="n">
        <v/>
      </c>
      <c r="Z1213" t="n">
        <v>95.684052658</v>
      </c>
      <c r="AA1213" t="n">
        <v/>
      </c>
      <c r="AB1213" t="n">
        <v>106.978922717</v>
      </c>
      <c r="AC1213" t="n">
        <v>101.791517374</v>
      </c>
      <c r="AD1213" t="n">
        <v>97.79185067900001</v>
      </c>
      <c r="AE1213" t="n">
        <v>110.5</v>
      </c>
      <c r="AF1213" t="n">
        <v>93.10775898</v>
      </c>
      <c r="AG1213" t="n">
        <v>114.9</v>
      </c>
      <c r="AH1213" t="n">
        <v/>
      </c>
      <c r="AI1213" t="n">
        <v>100.191650696</v>
      </c>
      <c r="AJ1213" t="n">
        <v>100.77579519</v>
      </c>
      <c r="AK1213" t="n">
        <v/>
      </c>
      <c r="AL1213" t="n">
        <v>103.518238782</v>
      </c>
      <c r="AM1213" t="n">
        <v>120.7</v>
      </c>
      <c r="AN1213" t="n">
        <v>106.439113007</v>
      </c>
      <c r="AO1213" t="n">
        <v>112.3</v>
      </c>
      <c r="AP1213" t="n">
        <v>109.818303051</v>
      </c>
      <c r="AQ1213" t="n">
        <v>123.210267522</v>
      </c>
      <c r="AR1213" t="n">
        <v>110.790767436</v>
      </c>
      <c r="AS1213" t="n">
        <v>117.290225815</v>
      </c>
      <c r="AT1213" t="n">
        <v>100.906820631</v>
      </c>
      <c r="AU1213" t="n">
        <v/>
      </c>
    </row>
    <row r="1214">
      <c r="A1214" s="106" t="n">
        <v>43831</v>
      </c>
      <c r="B1214" t="n">
        <v>118.290142488</v>
      </c>
      <c r="C1214" t="n">
        <v>112.390634114</v>
      </c>
      <c r="D1214" t="n">
        <v>95.348197082</v>
      </c>
      <c r="E1214" t="n">
        <v>107.897503672</v>
      </c>
      <c r="F1214" t="n">
        <v>119.7</v>
      </c>
      <c r="G1214" t="n">
        <v/>
      </c>
      <c r="H1214" t="n">
        <v>102.372661775</v>
      </c>
      <c r="I1214" t="n">
        <v>117.590200817</v>
      </c>
      <c r="J1214" t="n">
        <v>112.281286452</v>
      </c>
      <c r="K1214" t="n">
        <v>101.508459038</v>
      </c>
      <c r="L1214" t="n">
        <v>106.7</v>
      </c>
      <c r="M1214" t="n">
        <v>104.19131739</v>
      </c>
      <c r="N1214" t="n">
        <v>105.646088038</v>
      </c>
      <c r="O1214" t="n">
        <v>117.409784149</v>
      </c>
      <c r="P1214" t="n">
        <v/>
      </c>
      <c r="Q1214" t="n">
        <v>110.709225769</v>
      </c>
      <c r="R1214" t="n">
        <v>101.28</v>
      </c>
      <c r="S1214" t="n">
        <v>101.659209696</v>
      </c>
      <c r="T1214" t="n">
        <v>110.045985143</v>
      </c>
      <c r="U1214" t="n">
        <v/>
      </c>
      <c r="V1214" t="n">
        <v>111.379339049</v>
      </c>
      <c r="W1214" t="n">
        <v>117.909825819</v>
      </c>
      <c r="X1214" t="n">
        <v>117.092451048</v>
      </c>
      <c r="Y1214" t="n">
        <v/>
      </c>
      <c r="Z1214" t="n">
        <v>106.082319613</v>
      </c>
      <c r="AA1214" t="n">
        <v/>
      </c>
      <c r="AB1214" t="n">
        <v>107.634660422</v>
      </c>
      <c r="AC1214" t="n">
        <v>105.691192401</v>
      </c>
      <c r="AD1214" t="n">
        <v>98.091825681</v>
      </c>
      <c r="AE1214" t="n">
        <v>108.3</v>
      </c>
      <c r="AF1214" t="n">
        <v>96.408034003</v>
      </c>
      <c r="AG1214" t="n">
        <v>114.4</v>
      </c>
      <c r="AH1214" t="n">
        <v/>
      </c>
      <c r="AI1214" t="n">
        <v>102.69144238</v>
      </c>
      <c r="AJ1214" t="n">
        <v>98.564778898</v>
      </c>
      <c r="AK1214" t="n">
        <v/>
      </c>
      <c r="AL1214" t="n">
        <v>104.120295728</v>
      </c>
      <c r="AM1214" t="n">
        <v>123</v>
      </c>
      <c r="AN1214" t="n">
        <v>107.049107924</v>
      </c>
      <c r="AO1214" t="n">
        <v>112.8</v>
      </c>
      <c r="AP1214" t="n">
        <v>115.219203201</v>
      </c>
      <c r="AQ1214" t="n">
        <v>123.310275856</v>
      </c>
      <c r="AR1214" t="n">
        <v>112.090659112</v>
      </c>
      <c r="AS1214" t="n">
        <v>117.590200817</v>
      </c>
      <c r="AT1214" t="n">
        <v>100.450493404</v>
      </c>
      <c r="AU1214" t="n">
        <v/>
      </c>
    </row>
    <row r="1215">
      <c r="A1215" s="106" t="n">
        <v>43862</v>
      </c>
      <c r="B1215" t="n">
        <v>116.490292476</v>
      </c>
      <c r="C1215" t="n">
        <v>114.190484126</v>
      </c>
      <c r="D1215" t="n">
        <v>96.33911368</v>
      </c>
      <c r="E1215" t="n">
        <v>108.769118406</v>
      </c>
      <c r="F1215" t="n">
        <v>116.6</v>
      </c>
      <c r="G1215" t="n">
        <v/>
      </c>
      <c r="H1215" t="n">
        <v>101.485338824</v>
      </c>
      <c r="I1215" t="n">
        <v>115.590367469</v>
      </c>
      <c r="J1215" t="n">
        <v>113.581069822</v>
      </c>
      <c r="K1215" t="n">
        <v>102.808567381</v>
      </c>
      <c r="L1215" t="n">
        <v>108.6</v>
      </c>
      <c r="M1215" t="n">
        <v>103.991334055</v>
      </c>
      <c r="N1215" t="n">
        <v>105.401087834</v>
      </c>
      <c r="O1215" t="n">
        <v>127.710642554</v>
      </c>
      <c r="P1215" t="n">
        <v/>
      </c>
      <c r="Q1215" t="n">
        <v>110.009167431</v>
      </c>
      <c r="R1215" t="n">
        <v>103.47</v>
      </c>
      <c r="S1215" t="n">
        <v>102.120237974</v>
      </c>
      <c r="T1215" t="n">
        <v>111.001061196</v>
      </c>
      <c r="U1215" t="n">
        <v/>
      </c>
      <c r="V1215" t="n">
        <v>106.984100558</v>
      </c>
      <c r="W1215" t="n">
        <v>116.009667472</v>
      </c>
      <c r="X1215" t="n">
        <v>116.476266524</v>
      </c>
      <c r="Y1215" t="n">
        <v/>
      </c>
      <c r="Z1215" t="n">
        <v>97.1838027</v>
      </c>
      <c r="AA1215" t="n">
        <v/>
      </c>
      <c r="AB1215" t="n">
        <v>108.477751756</v>
      </c>
      <c r="AC1215" t="n">
        <v>103.191400717</v>
      </c>
      <c r="AD1215" t="n">
        <v>98.391800683</v>
      </c>
      <c r="AE1215" t="n">
        <v>105.5</v>
      </c>
      <c r="AF1215" t="n">
        <v>97.208100675</v>
      </c>
      <c r="AG1215" t="n">
        <v>117.3</v>
      </c>
      <c r="AH1215" t="n">
        <v/>
      </c>
      <c r="AI1215" t="n">
        <v>102.69144238</v>
      </c>
      <c r="AJ1215" t="n">
        <v>100.77579519</v>
      </c>
      <c r="AK1215" t="n">
        <v/>
      </c>
      <c r="AL1215" t="n">
        <v>104.313325829</v>
      </c>
      <c r="AM1215" t="n">
        <v>124.7</v>
      </c>
      <c r="AN1215" t="n">
        <v>104.579128507</v>
      </c>
      <c r="AO1215" t="n">
        <v>113.9</v>
      </c>
      <c r="AP1215" t="n">
        <v>114.519086514</v>
      </c>
      <c r="AQ1215" t="n">
        <v>128.410700892</v>
      </c>
      <c r="AR1215" t="n">
        <v>111.590700775</v>
      </c>
      <c r="AS1215" t="n">
        <v>119.690025831</v>
      </c>
      <c r="AT1215" t="n">
        <v>100.847920507</v>
      </c>
      <c r="AU1215" t="n">
        <v/>
      </c>
    </row>
    <row r="1216">
      <c r="A1216" s="106" t="n">
        <v>43891</v>
      </c>
      <c r="B1216" t="n">
        <v>105.591200733</v>
      </c>
      <c r="C1216" t="n">
        <v>107.391050746</v>
      </c>
      <c r="D1216" t="n">
        <v>88.852188274</v>
      </c>
      <c r="E1216" t="n">
        <v>102.07577002</v>
      </c>
      <c r="F1216" t="n">
        <v>111.5</v>
      </c>
      <c r="G1216" t="n">
        <v/>
      </c>
      <c r="H1216" t="n">
        <v>100.27592309</v>
      </c>
      <c r="I1216" t="n">
        <v>107.091075744</v>
      </c>
      <c r="J1216" t="n">
        <v>99.88335277500001</v>
      </c>
      <c r="K1216" t="n">
        <v>91.507625635</v>
      </c>
      <c r="L1216" t="n">
        <v>108</v>
      </c>
      <c r="M1216" t="n">
        <v>92.69227564400001</v>
      </c>
      <c r="N1216" t="n">
        <v>91.47807623200001</v>
      </c>
      <c r="O1216" t="n">
        <v>117.409784149</v>
      </c>
      <c r="P1216" t="n">
        <v/>
      </c>
      <c r="Q1216" t="n">
        <v>113.909492458</v>
      </c>
      <c r="R1216" t="n">
        <v>85.76000000000001</v>
      </c>
      <c r="S1216" t="n">
        <v>95.026466939</v>
      </c>
      <c r="T1216" t="n">
        <v>105.376724443</v>
      </c>
      <c r="U1216" t="n">
        <v/>
      </c>
      <c r="V1216" t="n">
        <v>107.883126613</v>
      </c>
      <c r="W1216" t="n">
        <v>103.908659055</v>
      </c>
      <c r="X1216" t="n">
        <v>94.19591444700001</v>
      </c>
      <c r="Y1216" t="n">
        <v/>
      </c>
      <c r="Z1216" t="n">
        <v>133.377770372</v>
      </c>
      <c r="AA1216" t="n">
        <v/>
      </c>
      <c r="AB1216" t="n">
        <v>97.611241218</v>
      </c>
      <c r="AC1216" t="n">
        <v>74.09382551500001</v>
      </c>
      <c r="AD1216" t="n">
        <v>96.291975669</v>
      </c>
      <c r="AE1216" t="n">
        <v>109.7</v>
      </c>
      <c r="AF1216" t="n">
        <v>80.006667222</v>
      </c>
      <c r="AG1216" t="n">
        <v>114.8</v>
      </c>
      <c r="AH1216" t="n">
        <v/>
      </c>
      <c r="AI1216" t="n">
        <v>100.591617365</v>
      </c>
      <c r="AJ1216" t="n">
        <v>102.404965089</v>
      </c>
      <c r="AK1216" t="n">
        <v/>
      </c>
      <c r="AL1216" t="n">
        <v>98.162327017</v>
      </c>
      <c r="AM1216" t="n">
        <v>115.2</v>
      </c>
      <c r="AN1216" t="n">
        <v>95.979200173</v>
      </c>
      <c r="AO1216" t="n">
        <v>113</v>
      </c>
      <c r="AP1216" t="n">
        <v>92.915485914</v>
      </c>
      <c r="AQ1216" t="n">
        <v>113.909492458</v>
      </c>
      <c r="AR1216" t="n">
        <v>109.990834097</v>
      </c>
      <c r="AS1216" t="n">
        <v>112.890592451</v>
      </c>
      <c r="AT1216" t="n">
        <v>97.05094480699999</v>
      </c>
      <c r="AU1216" t="n">
        <v/>
      </c>
    </row>
    <row r="1217">
      <c r="A1217" s="106" t="n">
        <v>43922</v>
      </c>
      <c r="B1217" t="n">
        <v>89.89250895799999</v>
      </c>
      <c r="C1217" t="n">
        <v>94.892092326</v>
      </c>
      <c r="D1217" t="n">
        <v>71.45609689</v>
      </c>
      <c r="E1217" t="n">
        <v>88.644930696</v>
      </c>
      <c r="F1217" t="n">
        <v>107.2</v>
      </c>
      <c r="G1217" t="n">
        <v/>
      </c>
      <c r="H1217" t="n">
        <v>97.04885217</v>
      </c>
      <c r="I1217" t="n">
        <v>91.19240063300001</v>
      </c>
      <c r="J1217" t="n">
        <v>75.487418764</v>
      </c>
      <c r="K1217" t="n">
        <v>71.105925494</v>
      </c>
      <c r="L1217" t="n">
        <v>103.2</v>
      </c>
      <c r="M1217" t="n">
        <v>74.793767186</v>
      </c>
      <c r="N1217" t="n">
        <v>70.181058484</v>
      </c>
      <c r="O1217" t="n">
        <v>106.608884074</v>
      </c>
      <c r="P1217" t="n">
        <v/>
      </c>
      <c r="Q1217" t="n">
        <v>109.609134095</v>
      </c>
      <c r="R1217" t="n">
        <v>68.16</v>
      </c>
      <c r="S1217" t="n">
        <v>81.045041888</v>
      </c>
      <c r="T1217" t="n">
        <v>86.16908383400001</v>
      </c>
      <c r="U1217" t="n">
        <v/>
      </c>
      <c r="V1217" t="n">
        <v>98.49329892599999</v>
      </c>
      <c r="W1217" t="n">
        <v>73.306108842</v>
      </c>
      <c r="X1217" t="n">
        <v>49.610620345</v>
      </c>
      <c r="Y1217" t="n">
        <v/>
      </c>
      <c r="Z1217" t="n">
        <v>108.581903016</v>
      </c>
      <c r="AA1217" t="n">
        <v/>
      </c>
      <c r="AB1217" t="n">
        <v>99.297423888</v>
      </c>
      <c r="AC1217" t="n">
        <v>58.195150404</v>
      </c>
      <c r="AD1217" t="n">
        <v>87.09274227100001</v>
      </c>
      <c r="AE1217" t="n">
        <v>103.9</v>
      </c>
      <c r="AF1217" t="n">
        <v>67.80565047100001</v>
      </c>
      <c r="AG1217" t="n">
        <v>103.1</v>
      </c>
      <c r="AH1217" t="n">
        <v/>
      </c>
      <c r="AI1217" t="n">
        <v>94.292142321</v>
      </c>
      <c r="AJ1217" t="n">
        <v>101.939487975</v>
      </c>
      <c r="AK1217" t="n">
        <v/>
      </c>
      <c r="AL1217" t="n">
        <v>83.962844058</v>
      </c>
      <c r="AM1217" t="n">
        <v>91.59999999999999</v>
      </c>
      <c r="AN1217" t="n">
        <v>74.449379589</v>
      </c>
      <c r="AO1217" t="n">
        <v>108.4</v>
      </c>
      <c r="AP1217" t="n">
        <v>68.111351892</v>
      </c>
      <c r="AQ1217" t="n">
        <v>94.80790065799999</v>
      </c>
      <c r="AR1217" t="n">
        <v>93.092242313</v>
      </c>
      <c r="AS1217" t="n">
        <v>79.39338388500001</v>
      </c>
      <c r="AT1217" t="n">
        <v>84.244034916</v>
      </c>
      <c r="AU1217" t="n">
        <v/>
      </c>
    </row>
    <row r="1218">
      <c r="A1218" s="106" t="n">
        <v>43952</v>
      </c>
      <c r="B1218" t="n">
        <v>98.491792351</v>
      </c>
      <c r="C1218" t="n">
        <v>107.291059078</v>
      </c>
      <c r="D1218" t="n">
        <v>77.181392788</v>
      </c>
      <c r="E1218" t="n">
        <v>92.631671879</v>
      </c>
      <c r="F1218" t="n">
        <v>103.2</v>
      </c>
      <c r="G1218" t="n">
        <v/>
      </c>
      <c r="H1218" t="n">
        <v>97.224918996</v>
      </c>
      <c r="I1218" t="n">
        <v>98.99175068700001</v>
      </c>
      <c r="J1218" t="n">
        <v>89.385102483</v>
      </c>
      <c r="K1218" t="n">
        <v>79.806650554</v>
      </c>
      <c r="L1218" t="n">
        <v>100.7</v>
      </c>
      <c r="M1218" t="n">
        <v>85.292892259</v>
      </c>
      <c r="N1218" t="n">
        <v>81.105067588</v>
      </c>
      <c r="O1218" t="n">
        <v>106.108842404</v>
      </c>
      <c r="P1218" t="n">
        <v/>
      </c>
      <c r="Q1218" t="n">
        <v>106.708892408</v>
      </c>
      <c r="R1218" t="n">
        <v>81.34</v>
      </c>
      <c r="S1218" t="n">
        <v>84.16128057100001</v>
      </c>
      <c r="T1218" t="n">
        <v>92.642377078</v>
      </c>
      <c r="U1218" t="n">
        <v/>
      </c>
      <c r="V1218" t="n">
        <v>99.991675685</v>
      </c>
      <c r="W1218" t="n">
        <v>86.20718393200001</v>
      </c>
      <c r="X1218" t="n">
        <v>79.076804216</v>
      </c>
      <c r="Y1218" t="n">
        <v/>
      </c>
      <c r="Z1218" t="n">
        <v>101.783036161</v>
      </c>
      <c r="AA1218" t="n">
        <v/>
      </c>
      <c r="AB1218" t="n">
        <v>103.419203747</v>
      </c>
      <c r="AC1218" t="n">
        <v>84.49295892000001</v>
      </c>
      <c r="AD1218" t="n">
        <v>78.293475544</v>
      </c>
      <c r="AE1218" t="n">
        <v>96.3</v>
      </c>
      <c r="AF1218" t="n">
        <v>78.506542212</v>
      </c>
      <c r="AG1218" t="n">
        <v>109</v>
      </c>
      <c r="AH1218" t="n">
        <v/>
      </c>
      <c r="AI1218" t="n">
        <v>94.192150654</v>
      </c>
      <c r="AJ1218" t="n">
        <v>100.659425912</v>
      </c>
      <c r="AK1218" t="n">
        <v/>
      </c>
      <c r="AL1218" t="n">
        <v>87.212644876</v>
      </c>
      <c r="AM1218" t="n">
        <v>103.7</v>
      </c>
      <c r="AN1218" t="n">
        <v>76.839359672</v>
      </c>
      <c r="AO1218" t="n">
        <v>105.5</v>
      </c>
      <c r="AP1218" t="n">
        <v>81.81363560600001</v>
      </c>
      <c r="AQ1218" t="n">
        <v>104.608717393</v>
      </c>
      <c r="AR1218" t="n">
        <v>93.192233981</v>
      </c>
      <c r="AS1218" t="n">
        <v>94.492125656</v>
      </c>
      <c r="AT1218" t="n">
        <v>85.60795951599999</v>
      </c>
      <c r="AU1218" t="n">
        <v/>
      </c>
    </row>
    <row r="1219">
      <c r="A1219" s="106" t="n">
        <v>43983</v>
      </c>
      <c r="B1219" t="n">
        <v>104.791267394</v>
      </c>
      <c r="C1219" t="n">
        <v>103.891342388</v>
      </c>
      <c r="D1219" t="n">
        <v>84.55821635</v>
      </c>
      <c r="E1219" t="n">
        <v>96.572130266</v>
      </c>
      <c r="F1219" t="n">
        <v>108.6</v>
      </c>
      <c r="G1219" t="n">
        <v/>
      </c>
      <c r="H1219" t="n">
        <v>96.139480541</v>
      </c>
      <c r="I1219" t="n">
        <v>105.091242396</v>
      </c>
      <c r="J1219" t="n">
        <v>102.082986169</v>
      </c>
      <c r="K1219" t="n">
        <v>89.507458955</v>
      </c>
      <c r="L1219" t="n">
        <v>106.2</v>
      </c>
      <c r="M1219" t="n">
        <v>93.89217565200001</v>
      </c>
      <c r="N1219" t="n">
        <v>90.182075152</v>
      </c>
      <c r="O1219" t="n">
        <v>115.109592466</v>
      </c>
      <c r="P1219" t="n">
        <v/>
      </c>
      <c r="Q1219" t="n">
        <v>107.108925744</v>
      </c>
      <c r="R1219" t="n">
        <v>91.42</v>
      </c>
      <c r="S1219" t="n">
        <v>90.381009487</v>
      </c>
      <c r="T1219" t="n">
        <v>103.466572338</v>
      </c>
      <c r="U1219" t="n">
        <v/>
      </c>
      <c r="V1219" t="n">
        <v>102.888537418</v>
      </c>
      <c r="W1219" t="n">
        <v>101.408450704</v>
      </c>
      <c r="X1219" t="n">
        <v>97.291537975</v>
      </c>
      <c r="Y1219" t="n">
        <v/>
      </c>
      <c r="Z1219" t="n">
        <v>120.179970005</v>
      </c>
      <c r="AA1219" t="n">
        <v/>
      </c>
      <c r="AB1219" t="n">
        <v>108.665105386</v>
      </c>
      <c r="AC1219" t="n">
        <v>91.592367303</v>
      </c>
      <c r="AD1219" t="n">
        <v>82.093158903</v>
      </c>
      <c r="AE1219" t="n">
        <v>103.6</v>
      </c>
      <c r="AF1219" t="n">
        <v>85.507125594</v>
      </c>
      <c r="AG1219" t="n">
        <v>114.4</v>
      </c>
      <c r="AH1219" t="n">
        <v/>
      </c>
      <c r="AI1219" t="n">
        <v>95.292058995</v>
      </c>
      <c r="AJ1219" t="n">
        <v>99.84484096200001</v>
      </c>
      <c r="AK1219" t="n">
        <v/>
      </c>
      <c r="AL1219" t="n">
        <v>93.78255446999999</v>
      </c>
      <c r="AM1219" t="n">
        <v>115.2</v>
      </c>
      <c r="AN1219" t="n">
        <v>85.83928467299999</v>
      </c>
      <c r="AO1219" t="n">
        <v>106.4</v>
      </c>
      <c r="AP1219" t="n">
        <v>99.01650275</v>
      </c>
      <c r="AQ1219" t="n">
        <v>109.209100758</v>
      </c>
      <c r="AR1219" t="n">
        <v>99.491709024</v>
      </c>
      <c r="AS1219" t="n">
        <v>109.49087576</v>
      </c>
      <c r="AT1219" t="n">
        <v>90.98016649</v>
      </c>
      <c r="AU1219" t="n">
        <v/>
      </c>
    </row>
    <row r="1220">
      <c r="A1220" s="106" t="n">
        <v>44013</v>
      </c>
      <c r="B1220" t="n">
        <v>110.490792434</v>
      </c>
      <c r="C1220" t="n">
        <v>109.390884093</v>
      </c>
      <c r="D1220" t="n">
        <v>92.37544728899999</v>
      </c>
      <c r="E1220" t="n">
        <v>99.238340347</v>
      </c>
      <c r="F1220" t="n">
        <v>111.8</v>
      </c>
      <c r="G1220" t="n">
        <v/>
      </c>
      <c r="H1220" t="n">
        <v>97.432855183</v>
      </c>
      <c r="I1220" t="n">
        <v>110.690775769</v>
      </c>
      <c r="J1220" t="n">
        <v>107.282119647</v>
      </c>
      <c r="K1220" t="n">
        <v>91.60763396900001</v>
      </c>
      <c r="L1220" t="n">
        <v>100.9</v>
      </c>
      <c r="M1220" t="n">
        <v>97.99183401400001</v>
      </c>
      <c r="N1220" t="n">
        <v>97.301081084</v>
      </c>
      <c r="O1220" t="n">
        <v>116.609717476</v>
      </c>
      <c r="P1220" t="n">
        <v/>
      </c>
      <c r="Q1220" t="n">
        <v>108.909075756</v>
      </c>
      <c r="R1220" t="n">
        <v>94.91</v>
      </c>
      <c r="S1220" t="n">
        <v>94.289656889</v>
      </c>
      <c r="T1220" t="n">
        <v>109.197028652</v>
      </c>
      <c r="U1220" t="n">
        <v/>
      </c>
      <c r="V1220" t="n">
        <v>106.184966287</v>
      </c>
      <c r="W1220" t="n">
        <v>108.409034086</v>
      </c>
      <c r="X1220" t="n">
        <v>105.683224633</v>
      </c>
      <c r="Y1220" t="n">
        <v/>
      </c>
      <c r="Z1220" t="n">
        <v>127.478753541</v>
      </c>
      <c r="AA1220" t="n">
        <v/>
      </c>
      <c r="AB1220" t="n">
        <v>105.667447307</v>
      </c>
      <c r="AC1220" t="n">
        <v>97.99183401400001</v>
      </c>
      <c r="AD1220" t="n">
        <v>87.39271727400001</v>
      </c>
      <c r="AE1220" t="n">
        <v>105.5</v>
      </c>
      <c r="AF1220" t="n">
        <v>90.50754229499999</v>
      </c>
      <c r="AG1220" t="n">
        <v>114.8</v>
      </c>
      <c r="AH1220" t="n">
        <v/>
      </c>
      <c r="AI1220" t="n">
        <v>97.79185067900001</v>
      </c>
      <c r="AJ1220" t="n">
        <v>101.706749418</v>
      </c>
      <c r="AK1220" t="n">
        <v/>
      </c>
      <c r="AL1220" t="n">
        <v>97.97835748999999</v>
      </c>
      <c r="AM1220" t="n">
        <v>123.1</v>
      </c>
      <c r="AN1220" t="n">
        <v>97.919184007</v>
      </c>
      <c r="AO1220" t="n">
        <v>108.2</v>
      </c>
      <c r="AP1220" t="n">
        <v>103.317219537</v>
      </c>
      <c r="AQ1220" t="n">
        <v>118.809900825</v>
      </c>
      <c r="AR1220" t="n">
        <v>102.891425715</v>
      </c>
      <c r="AS1220" t="n">
        <v>121.489875844</v>
      </c>
      <c r="AT1220" t="n">
        <v>94.442383234</v>
      </c>
      <c r="AU1220" t="n">
        <v/>
      </c>
    </row>
    <row r="1221">
      <c r="A1221" s="106" t="n">
        <v>44044</v>
      </c>
      <c r="B1221" t="n">
        <v>110.990750771</v>
      </c>
      <c r="C1221" t="n">
        <v>110.190817432</v>
      </c>
      <c r="D1221" t="n">
        <v>95.01789155</v>
      </c>
      <c r="E1221" t="n">
        <v>98.896168694</v>
      </c>
      <c r="F1221" t="n">
        <v>113.6</v>
      </c>
      <c r="G1221" t="n">
        <v/>
      </c>
      <c r="H1221" t="n">
        <v>97.826695904</v>
      </c>
      <c r="I1221" t="n">
        <v>110.490792434</v>
      </c>
      <c r="J1221" t="n">
        <v>110.581569738</v>
      </c>
      <c r="K1221" t="n">
        <v>90.707558963</v>
      </c>
      <c r="L1221" t="n">
        <v>104.8</v>
      </c>
      <c r="M1221" t="n">
        <v>98.091825681</v>
      </c>
      <c r="N1221" t="n">
        <v>100.175083479</v>
      </c>
      <c r="O1221" t="n">
        <v>116.809734145</v>
      </c>
      <c r="P1221" t="n">
        <v/>
      </c>
      <c r="Q1221" t="n">
        <v>110.409200767</v>
      </c>
      <c r="R1221" t="n">
        <v>95.3</v>
      </c>
      <c r="S1221" t="n">
        <v>95.63845227199999</v>
      </c>
      <c r="T1221" t="n">
        <v>111.31941988</v>
      </c>
      <c r="U1221" t="n">
        <v/>
      </c>
      <c r="V1221" t="n">
        <v>105.285940231</v>
      </c>
      <c r="W1221" t="n">
        <v>115.409617468</v>
      </c>
      <c r="X1221" t="n">
        <v>106.158262462</v>
      </c>
      <c r="Y1221" t="n">
        <v/>
      </c>
      <c r="Z1221" t="n">
        <v>105.282452925</v>
      </c>
      <c r="AA1221" t="n">
        <v/>
      </c>
      <c r="AB1221" t="n">
        <v>108.758782201</v>
      </c>
      <c r="AC1221" t="n">
        <v>104.491292392</v>
      </c>
      <c r="AD1221" t="n">
        <v>89.89250895799999</v>
      </c>
      <c r="AE1221" t="n">
        <v>106.3</v>
      </c>
      <c r="AF1221" t="n">
        <v>90.80756729700001</v>
      </c>
      <c r="AG1221" t="n">
        <v>116.3</v>
      </c>
      <c r="AH1221" t="n">
        <v/>
      </c>
      <c r="AI1221" t="n">
        <v>97.79185067900001</v>
      </c>
      <c r="AJ1221" t="n">
        <v>102.986811482</v>
      </c>
      <c r="AK1221" t="n">
        <v/>
      </c>
      <c r="AL1221" t="n">
        <v>99.363542224</v>
      </c>
      <c r="AM1221" t="n">
        <v>123.4</v>
      </c>
      <c r="AN1221" t="n">
        <v>106.979108507</v>
      </c>
      <c r="AO1221" t="n">
        <v>111</v>
      </c>
      <c r="AP1221" t="n">
        <v>109.318219703</v>
      </c>
      <c r="AQ1221" t="n">
        <v>120.41003417</v>
      </c>
      <c r="AR1221" t="n">
        <v>111.290725773</v>
      </c>
      <c r="AS1221" t="n">
        <v>123.489709191</v>
      </c>
      <c r="AT1221" t="n">
        <v>95.308433212</v>
      </c>
      <c r="AU1221" t="n">
        <v/>
      </c>
    </row>
    <row r="1222">
      <c r="A1222" s="106" t="n">
        <v>44075</v>
      </c>
      <c r="B1222" t="n">
        <v>114.190484126</v>
      </c>
      <c r="C1222" t="n">
        <v>110.090825765</v>
      </c>
      <c r="D1222" t="n">
        <v>97.55023396599999</v>
      </c>
      <c r="E1222" t="n">
        <v>100.288398</v>
      </c>
      <c r="F1222" t="n">
        <v>116.4</v>
      </c>
      <c r="G1222" t="n">
        <v/>
      </c>
      <c r="H1222" t="n">
        <v>99.846850442</v>
      </c>
      <c r="I1222" t="n">
        <v>112.990584118</v>
      </c>
      <c r="J1222" t="n">
        <v>111.581403099</v>
      </c>
      <c r="K1222" t="n">
        <v>93.60780065</v>
      </c>
      <c r="L1222" t="n">
        <v>107</v>
      </c>
      <c r="M1222" t="n">
        <v>98.89175901999999</v>
      </c>
      <c r="N1222" t="n">
        <v>101.951084959</v>
      </c>
      <c r="O1222" t="n">
        <v>119.209934161</v>
      </c>
      <c r="P1222" t="n">
        <v/>
      </c>
      <c r="Q1222" t="n">
        <v>107.908992416</v>
      </c>
      <c r="R1222" t="n">
        <v>97.03</v>
      </c>
      <c r="S1222" t="n">
        <v>96.32357408199999</v>
      </c>
      <c r="T1222" t="n">
        <v>113.017332862</v>
      </c>
      <c r="U1222" t="n">
        <v/>
      </c>
      <c r="V1222" t="n">
        <v>106.484641638</v>
      </c>
      <c r="W1222" t="n">
        <v>117.309775815</v>
      </c>
      <c r="X1222" t="n">
        <v>112.184622476</v>
      </c>
      <c r="Y1222" t="n">
        <v/>
      </c>
      <c r="Z1222" t="n">
        <v>103.782702883</v>
      </c>
      <c r="AA1222" t="n">
        <v/>
      </c>
      <c r="AB1222" t="n">
        <v>110.070257611</v>
      </c>
      <c r="AC1222" t="n">
        <v>100.291642363</v>
      </c>
      <c r="AD1222" t="n">
        <v>91.992333972</v>
      </c>
      <c r="AE1222" t="n">
        <v>109.6</v>
      </c>
      <c r="AF1222" t="n">
        <v>93.407783982</v>
      </c>
      <c r="AG1222" t="n">
        <v>116.9</v>
      </c>
      <c r="AH1222" t="n">
        <v/>
      </c>
      <c r="AI1222" t="n">
        <v>98.491792351</v>
      </c>
      <c r="AJ1222" t="n">
        <v>101.124903026</v>
      </c>
      <c r="AK1222" t="n">
        <v/>
      </c>
      <c r="AL1222" t="n">
        <v>100.294463994</v>
      </c>
      <c r="AM1222" t="n">
        <v>126.4</v>
      </c>
      <c r="AN1222" t="n">
        <v>103.919134007</v>
      </c>
      <c r="AO1222" t="n">
        <v>110</v>
      </c>
      <c r="AP1222" t="n">
        <v>112.718786464</v>
      </c>
      <c r="AQ1222" t="n">
        <v>121.110092508</v>
      </c>
      <c r="AR1222" t="n">
        <v>110.090825765</v>
      </c>
      <c r="AS1222" t="n">
        <v>125.589534205</v>
      </c>
      <c r="AT1222" t="n">
        <v>95.26262200399999</v>
      </c>
      <c r="AU1222" t="n">
        <v/>
      </c>
    </row>
    <row r="1223">
      <c r="A1223" s="106" t="n">
        <v>44105</v>
      </c>
      <c r="B1223" t="n">
        <v>115.1904008</v>
      </c>
      <c r="C1223" t="n">
        <v>117.290225815</v>
      </c>
      <c r="D1223" t="n">
        <v>98.651252408</v>
      </c>
      <c r="E1223" t="n">
        <v>100.537469</v>
      </c>
      <c r="F1223" t="n">
        <v>113.2</v>
      </c>
      <c r="G1223" t="n">
        <v/>
      </c>
      <c r="H1223" t="n">
        <v>101.372772249</v>
      </c>
      <c r="I1223" t="n">
        <v>114.590450796</v>
      </c>
      <c r="J1223" t="n">
        <v>114.280953174</v>
      </c>
      <c r="K1223" t="n">
        <v>97.208100675</v>
      </c>
      <c r="L1223" t="n">
        <v>100.3</v>
      </c>
      <c r="M1223" t="n">
        <v>101.291559037</v>
      </c>
      <c r="N1223" t="n">
        <v>103.300086083</v>
      </c>
      <c r="O1223" t="n">
        <v>121.810150846</v>
      </c>
      <c r="P1223" t="n">
        <v/>
      </c>
      <c r="Q1223" t="n">
        <v>109.709142429</v>
      </c>
      <c r="R1223" t="n">
        <v>99.56999999999999</v>
      </c>
      <c r="S1223" t="n">
        <v>97.74954452</v>
      </c>
      <c r="T1223" t="n">
        <v>114.184648037</v>
      </c>
      <c r="U1223" t="n">
        <v/>
      </c>
      <c r="V1223" t="n">
        <v>103.387996337</v>
      </c>
      <c r="W1223" t="n">
        <v>120.210017501</v>
      </c>
      <c r="X1223" t="n">
        <v>116.368108823</v>
      </c>
      <c r="Y1223" t="n">
        <v/>
      </c>
      <c r="Z1223" t="n">
        <v>102.58290285</v>
      </c>
      <c r="AA1223" t="n">
        <v/>
      </c>
      <c r="AB1223" t="n">
        <v>108.758782201</v>
      </c>
      <c r="AC1223" t="n">
        <v>102.191484043</v>
      </c>
      <c r="AD1223" t="n">
        <v>93.69219231700001</v>
      </c>
      <c r="AE1223" t="n">
        <v>109</v>
      </c>
      <c r="AF1223" t="n">
        <v>94.507875656</v>
      </c>
      <c r="AG1223" t="n">
        <v>118.5</v>
      </c>
      <c r="AH1223" t="n">
        <v/>
      </c>
      <c r="AI1223" t="n">
        <v>100.691609033</v>
      </c>
      <c r="AJ1223" t="n">
        <v>97.517455392</v>
      </c>
      <c r="AK1223" t="n">
        <v/>
      </c>
      <c r="AL1223" t="n">
        <v>101.40871662</v>
      </c>
      <c r="AM1223" t="n">
        <v>127.2</v>
      </c>
      <c r="AN1223" t="n">
        <v>105.619119841</v>
      </c>
      <c r="AO1223" t="n">
        <v>109.9</v>
      </c>
      <c r="AP1223" t="n">
        <v>110.118353059</v>
      </c>
      <c r="AQ1223" t="n">
        <v>125.410450871</v>
      </c>
      <c r="AR1223" t="n">
        <v>110.190817432</v>
      </c>
      <c r="AS1223" t="n">
        <v>125.889509208</v>
      </c>
      <c r="AT1223" t="n">
        <v>96.01017762399999</v>
      </c>
      <c r="AU1223" t="n">
        <v/>
      </c>
    </row>
    <row r="1224">
      <c r="A1224" s="106" t="n">
        <v>44136</v>
      </c>
      <c r="B1224" t="n">
        <v>114.890425798</v>
      </c>
      <c r="C1224" t="n">
        <v>115.790350804</v>
      </c>
      <c r="D1224" t="n">
        <v>99.091659785</v>
      </c>
      <c r="E1224" t="n">
        <v>102.688950183</v>
      </c>
      <c r="F1224" t="n">
        <v>116.6</v>
      </c>
      <c r="G1224" t="n">
        <v/>
      </c>
      <c r="H1224" t="n">
        <v>99.64135083399999</v>
      </c>
      <c r="I1224" t="n">
        <v>114.190484126</v>
      </c>
      <c r="J1224" t="n">
        <v>112.781203133</v>
      </c>
      <c r="K1224" t="n">
        <v>98.60821735099999</v>
      </c>
      <c r="L1224" t="n">
        <v>107.6</v>
      </c>
      <c r="M1224" t="n">
        <v>105.391217399</v>
      </c>
      <c r="N1224" t="n">
        <v>102.160085133</v>
      </c>
      <c r="O1224" t="n">
        <v>120.710059172</v>
      </c>
      <c r="P1224" t="n">
        <v/>
      </c>
      <c r="Q1224" t="n">
        <v>110.309192433</v>
      </c>
      <c r="R1224" t="n">
        <v>98.44</v>
      </c>
      <c r="S1224" t="n">
        <v>98.16207664300001</v>
      </c>
      <c r="T1224" t="n">
        <v>115.98868058</v>
      </c>
      <c r="U1224" t="n">
        <v/>
      </c>
      <c r="V1224" t="n">
        <v>110.180637643</v>
      </c>
      <c r="W1224" t="n">
        <v>117.909825819</v>
      </c>
      <c r="X1224" t="n">
        <v>116.110796552</v>
      </c>
      <c r="Y1224" t="n">
        <v/>
      </c>
      <c r="Z1224" t="n">
        <v>175.470754874</v>
      </c>
      <c r="AA1224" t="n">
        <v/>
      </c>
      <c r="AB1224" t="n">
        <v>109.227166276</v>
      </c>
      <c r="AC1224" t="n">
        <v>100.091659028</v>
      </c>
      <c r="AD1224" t="n">
        <v>93.992167319</v>
      </c>
      <c r="AE1224" t="n">
        <v>109.4</v>
      </c>
      <c r="AF1224" t="n">
        <v>94.407867322</v>
      </c>
      <c r="AG1224" t="n">
        <v>120.6</v>
      </c>
      <c r="AH1224" t="n">
        <v/>
      </c>
      <c r="AI1224" t="n">
        <v>99.991667361</v>
      </c>
      <c r="AJ1224" t="n">
        <v>99.030256012</v>
      </c>
      <c r="AK1224" t="n">
        <v/>
      </c>
      <c r="AL1224" t="n">
        <v>102.204207613</v>
      </c>
      <c r="AM1224" t="n">
        <v>127.1</v>
      </c>
      <c r="AN1224" t="n">
        <v>100.03916634</v>
      </c>
      <c r="AO1224" t="n">
        <v>111.7</v>
      </c>
      <c r="AP1224" t="n">
        <v>114.719119853</v>
      </c>
      <c r="AQ1224" t="n">
        <v>123.710309192</v>
      </c>
      <c r="AR1224" t="n">
        <v>110.590784101</v>
      </c>
      <c r="AS1224" t="n">
        <v>127.189400883</v>
      </c>
      <c r="AT1224" t="n">
        <v>96.301009384</v>
      </c>
      <c r="AU1224" t="n">
        <v/>
      </c>
    </row>
    <row r="1225">
      <c r="A1225" s="106" t="n">
        <v>44166</v>
      </c>
      <c r="B1225" t="n">
        <v>113.090575785</v>
      </c>
      <c r="C1225" t="n">
        <v>113.69052579</v>
      </c>
      <c r="D1225" t="n">
        <v>99.42196531800001</v>
      </c>
      <c r="E1225" t="n">
        <v>104.144851775</v>
      </c>
      <c r="F1225" t="n">
        <v>116.7</v>
      </c>
      <c r="G1225" t="n">
        <v/>
      </c>
      <c r="H1225" t="n">
        <v>99.566728205</v>
      </c>
      <c r="I1225" t="n">
        <v>110.290809099</v>
      </c>
      <c r="J1225" t="n">
        <v>113.581069822</v>
      </c>
      <c r="K1225" t="n">
        <v>98.708225685</v>
      </c>
      <c r="L1225" t="n">
        <v>108.3</v>
      </c>
      <c r="M1225" t="n">
        <v>104.291309058</v>
      </c>
      <c r="N1225" t="n">
        <v>103.443086203</v>
      </c>
      <c r="O1225" t="n">
        <v>120.710059172</v>
      </c>
      <c r="P1225" t="n">
        <v/>
      </c>
      <c r="Q1225" t="n">
        <v>108.209017418</v>
      </c>
      <c r="R1225" t="n">
        <v>97.92</v>
      </c>
      <c r="S1225" t="n">
        <v>98.79320097999999</v>
      </c>
      <c r="T1225" t="n">
        <v>116.837637071</v>
      </c>
      <c r="U1225" t="n">
        <v/>
      </c>
      <c r="V1225" t="n">
        <v>110.280529426</v>
      </c>
      <c r="W1225" t="n">
        <v>116.009667472</v>
      </c>
      <c r="X1225" t="n">
        <v>117.465286742</v>
      </c>
      <c r="Y1225" t="n">
        <v/>
      </c>
      <c r="Z1225" t="n">
        <v>156.073987669</v>
      </c>
      <c r="AA1225" t="n">
        <v/>
      </c>
      <c r="AB1225" t="n">
        <v>108.852459016</v>
      </c>
      <c r="AC1225" t="n">
        <v>100.691609033</v>
      </c>
      <c r="AD1225" t="n">
        <v>94.092158987</v>
      </c>
      <c r="AE1225" t="n">
        <v>111.3</v>
      </c>
      <c r="AF1225" t="n">
        <v>90.307525627</v>
      </c>
      <c r="AG1225" t="n">
        <v>119.3</v>
      </c>
      <c r="AH1225" t="n">
        <v/>
      </c>
      <c r="AI1225" t="n">
        <v>100.191650696</v>
      </c>
      <c r="AJ1225" t="n">
        <v>102.288595811</v>
      </c>
      <c r="AK1225" t="n">
        <v/>
      </c>
      <c r="AL1225" t="n">
        <v>102.7740998</v>
      </c>
      <c r="AM1225" t="n">
        <v>128.1</v>
      </c>
      <c r="AN1225" t="n">
        <v>101.639153007</v>
      </c>
      <c r="AO1225" t="n">
        <v>115.3</v>
      </c>
      <c r="AP1225" t="n">
        <v>113.118853142</v>
      </c>
      <c r="AQ1225" t="n">
        <v>121.610134178</v>
      </c>
      <c r="AR1225" t="n">
        <v>111.690692442</v>
      </c>
      <c r="AS1225" t="n">
        <v>128.289309224</v>
      </c>
      <c r="AT1225" t="n">
        <v>97.312128187</v>
      </c>
      <c r="AU1225" t="n">
        <v/>
      </c>
    </row>
    <row r="1226">
      <c r="A1226" s="106" t="n">
        <v>44197</v>
      </c>
      <c r="B1226" t="n">
        <v>113.790517457</v>
      </c>
      <c r="C1226" t="n">
        <v>120.289975835</v>
      </c>
      <c r="D1226" t="n">
        <v>99.862372695</v>
      </c>
      <c r="E1226" t="n">
        <v>104.666001407</v>
      </c>
      <c r="F1226" t="n">
        <v>119.4</v>
      </c>
      <c r="G1226" t="n">
        <v/>
      </c>
      <c r="H1226" t="n">
        <v>101.231496499</v>
      </c>
      <c r="I1226" t="n">
        <v>113.29055912</v>
      </c>
      <c r="J1226" t="n">
        <v>112.08131978</v>
      </c>
      <c r="K1226" t="n">
        <v>98.208184015</v>
      </c>
      <c r="L1226" t="n">
        <v>109.2</v>
      </c>
      <c r="M1226" t="n">
        <v>105.791184068</v>
      </c>
      <c r="N1226" t="n">
        <v>103.209086008</v>
      </c>
      <c r="O1226" t="n">
        <v>120.810067506</v>
      </c>
      <c r="P1226" t="n">
        <v/>
      </c>
      <c r="Q1226" t="n">
        <v>110.609217435</v>
      </c>
      <c r="R1226" t="n">
        <v>100.71</v>
      </c>
      <c r="S1226" t="n">
        <v>99.92762803799999</v>
      </c>
      <c r="T1226" t="n">
        <v>114.927484966</v>
      </c>
      <c r="U1226" t="n">
        <v/>
      </c>
      <c r="V1226" t="n">
        <v>115.375010405</v>
      </c>
      <c r="W1226" t="n">
        <v>114.909575798</v>
      </c>
      <c r="X1226" t="n">
        <v>116.757568583</v>
      </c>
      <c r="Y1226" t="n">
        <v/>
      </c>
      <c r="Z1226" t="n">
        <v>159.773371105</v>
      </c>
      <c r="AA1226" t="n">
        <v/>
      </c>
      <c r="AB1226" t="n">
        <v>106.885245902</v>
      </c>
      <c r="AC1226" t="n">
        <v>104.091325723</v>
      </c>
      <c r="AD1226" t="n">
        <v>96.19198400099999</v>
      </c>
      <c r="AE1226" t="n">
        <v>111.8</v>
      </c>
      <c r="AF1226" t="n">
        <v>96.408034003</v>
      </c>
      <c r="AG1226" t="n">
        <v>118.8</v>
      </c>
      <c r="AH1226" t="n">
        <v/>
      </c>
      <c r="AI1226" t="n">
        <v>102.191484043</v>
      </c>
      <c r="AJ1226" t="n">
        <v>103.685027153</v>
      </c>
      <c r="AK1226" t="n">
        <v/>
      </c>
      <c r="AL1226" t="n">
        <v>103.905256992</v>
      </c>
      <c r="AM1226" t="n">
        <v>129.1</v>
      </c>
      <c r="AN1226" t="n">
        <v>100.569161924</v>
      </c>
      <c r="AO1226" t="n">
        <v>111.5</v>
      </c>
      <c r="AP1226" t="n">
        <v>114.219036506</v>
      </c>
      <c r="AQ1226" t="n">
        <v>124.310359197</v>
      </c>
      <c r="AR1226" t="n">
        <v>111.590700775</v>
      </c>
      <c r="AS1226" t="n">
        <v>130.989084243</v>
      </c>
      <c r="AT1226" t="n">
        <v>98.429148224</v>
      </c>
      <c r="AU1226" t="n">
        <v/>
      </c>
    </row>
    <row r="1227">
      <c r="A1227" s="106" t="n">
        <v>44228</v>
      </c>
      <c r="B1227" t="n">
        <v>116.290309141</v>
      </c>
      <c r="C1227" t="n">
        <v>118.290142488</v>
      </c>
      <c r="D1227" t="n">
        <v>98.76135425299999</v>
      </c>
      <c r="E1227" t="n">
        <v>103.533276795</v>
      </c>
      <c r="F1227" t="n">
        <v>116.7</v>
      </c>
      <c r="G1227" t="n">
        <v/>
      </c>
      <c r="H1227" t="n">
        <v>102.427084002</v>
      </c>
      <c r="I1227" t="n">
        <v>117.390217482</v>
      </c>
      <c r="J1227" t="n">
        <v>111.081486419</v>
      </c>
      <c r="K1227" t="n">
        <v>97.00808400699999</v>
      </c>
      <c r="L1227" t="n">
        <v>107.3</v>
      </c>
      <c r="M1227" t="n">
        <v>104.291309058</v>
      </c>
      <c r="N1227" t="n">
        <v>103.074085895</v>
      </c>
      <c r="O1227" t="n">
        <v>121.010084174</v>
      </c>
      <c r="P1227" t="n">
        <v/>
      </c>
      <c r="Q1227" t="n">
        <v>113.009417451</v>
      </c>
      <c r="R1227" t="n">
        <v>96.34</v>
      </c>
      <c r="S1227" t="n">
        <v>97.97514895899999</v>
      </c>
      <c r="T1227" t="n">
        <v>115.351963212</v>
      </c>
      <c r="U1227" t="n">
        <v/>
      </c>
      <c r="V1227" t="n">
        <v>111.479230833</v>
      </c>
      <c r="W1227" t="n">
        <v>119.609967497</v>
      </c>
      <c r="X1227" t="n">
        <v>116.608977787</v>
      </c>
      <c r="Y1227" t="n">
        <v/>
      </c>
      <c r="Z1227" t="n">
        <v>160.67322113</v>
      </c>
      <c r="AA1227" t="n">
        <v/>
      </c>
      <c r="AB1227" t="n">
        <v>105.854800937</v>
      </c>
      <c r="AC1227" t="n">
        <v>102.591450712</v>
      </c>
      <c r="AD1227" t="n">
        <v>96.091992334</v>
      </c>
      <c r="AE1227" t="n">
        <v>115.4</v>
      </c>
      <c r="AF1227" t="n">
        <v>94.907908992</v>
      </c>
      <c r="AG1227" t="n">
        <v>121.7</v>
      </c>
      <c r="AH1227" t="n">
        <v/>
      </c>
      <c r="AI1227" t="n">
        <v>99.691692359</v>
      </c>
      <c r="AJ1227" t="n">
        <v>102.055857254</v>
      </c>
      <c r="AK1227" t="n">
        <v/>
      </c>
      <c r="AL1227" t="n">
        <v>102.739560587</v>
      </c>
      <c r="AM1227" t="n">
        <v>129.7</v>
      </c>
      <c r="AN1227" t="n">
        <v>102.07914934</v>
      </c>
      <c r="AO1227" t="n">
        <v>112.6</v>
      </c>
      <c r="AP1227" t="n">
        <v>114.119019837</v>
      </c>
      <c r="AQ1227" t="n">
        <v>126.710559213</v>
      </c>
      <c r="AR1227" t="n">
        <v>112.990584118</v>
      </c>
      <c r="AS1227" t="n">
        <v>134.288809266</v>
      </c>
      <c r="AT1227" t="n">
        <v>95.413342861</v>
      </c>
      <c r="AU1227" t="n">
        <v/>
      </c>
    </row>
    <row r="1228">
      <c r="A1228" s="106" t="n">
        <v>44256</v>
      </c>
      <c r="B1228" t="n">
        <v>119.190067494</v>
      </c>
      <c r="C1228" t="n">
        <v>122.789767519</v>
      </c>
      <c r="D1228" t="n">
        <v>96.33911368</v>
      </c>
      <c r="E1228" t="n">
        <v>104.12987006</v>
      </c>
      <c r="F1228" t="n">
        <v>124.2</v>
      </c>
      <c r="G1228" t="n">
        <v/>
      </c>
      <c r="H1228" t="n">
        <v>102.085612418</v>
      </c>
      <c r="I1228" t="n">
        <v>121.489875844</v>
      </c>
      <c r="J1228" t="n">
        <v>113.88101983</v>
      </c>
      <c r="K1228" t="n">
        <v>98.508209017</v>
      </c>
      <c r="L1228" t="n">
        <v>113.8</v>
      </c>
      <c r="M1228" t="n">
        <v>105.091242396</v>
      </c>
      <c r="N1228" t="n">
        <v>104.161086801</v>
      </c>
      <c r="O1228" t="n">
        <v>119.809984165</v>
      </c>
      <c r="P1228" t="n">
        <v/>
      </c>
      <c r="Q1228" t="n">
        <v>111.709309109</v>
      </c>
      <c r="R1228" t="n">
        <v>98.06999999999999</v>
      </c>
      <c r="S1228" t="n">
        <v>99.81088336400001</v>
      </c>
      <c r="T1228" t="n">
        <v>116.413158826</v>
      </c>
      <c r="U1228" t="n">
        <v/>
      </c>
      <c r="V1228" t="n">
        <v>113.976525431</v>
      </c>
      <c r="W1228" t="n">
        <v>120.010000833</v>
      </c>
      <c r="X1228" t="n">
        <v>116.704631591</v>
      </c>
      <c r="Y1228" t="n">
        <v/>
      </c>
      <c r="Z1228" t="n">
        <v>150.074987502</v>
      </c>
      <c r="AA1228" t="n">
        <v/>
      </c>
      <c r="AB1228" t="n">
        <v>111.194379391</v>
      </c>
      <c r="AC1228" t="n">
        <v>102.891425715</v>
      </c>
      <c r="AD1228" t="n">
        <v>97.291892342</v>
      </c>
      <c r="AE1228" t="n">
        <v>114.8</v>
      </c>
      <c r="AF1228" t="n">
        <v>96.308025669</v>
      </c>
      <c r="AG1228" t="n">
        <v>119.9</v>
      </c>
      <c r="AH1228" t="n">
        <v/>
      </c>
      <c r="AI1228" t="n">
        <v>103.291392384</v>
      </c>
      <c r="AJ1228" t="n">
        <v>103.335919317</v>
      </c>
      <c r="AK1228" t="n">
        <v/>
      </c>
      <c r="AL1228" t="n">
        <v>104.363108565</v>
      </c>
      <c r="AM1228" t="n">
        <v>133.2</v>
      </c>
      <c r="AN1228" t="n">
        <v>101.699152507</v>
      </c>
      <c r="AO1228" t="n">
        <v>113.9</v>
      </c>
      <c r="AP1228" t="n">
        <v>116.519419903</v>
      </c>
      <c r="AQ1228" t="n">
        <v>125.810484207</v>
      </c>
      <c r="AR1228" t="n">
        <v>114.390467461</v>
      </c>
      <c r="AS1228" t="n">
        <v>131.689025915</v>
      </c>
      <c r="AT1228" t="n">
        <v>98.030134586</v>
      </c>
      <c r="AU1228" t="n">
        <v/>
      </c>
    </row>
    <row r="1229">
      <c r="A1229" s="106" t="n">
        <v>44287</v>
      </c>
      <c r="B1229" t="n">
        <v>119.590034164</v>
      </c>
      <c r="C1229" t="n">
        <v>128.489292559</v>
      </c>
      <c r="D1229" t="n">
        <v>94.797687861</v>
      </c>
      <c r="E1229" t="n">
        <v>102.684669693</v>
      </c>
      <c r="F1229" t="n">
        <v>126.9</v>
      </c>
      <c r="G1229" t="n">
        <v/>
      </c>
      <c r="H1229" t="n">
        <v>102.312363157</v>
      </c>
      <c r="I1229" t="n">
        <v>121.789850846</v>
      </c>
      <c r="J1229" t="n">
        <v>115.780703216</v>
      </c>
      <c r="K1229" t="n">
        <v>98.008167347</v>
      </c>
      <c r="L1229" t="n">
        <v>111.2</v>
      </c>
      <c r="M1229" t="n">
        <v>105.791184068</v>
      </c>
      <c r="N1229" t="n">
        <v>103.817086514</v>
      </c>
      <c r="O1229" t="n">
        <v>125.510459205</v>
      </c>
      <c r="P1229" t="n">
        <v/>
      </c>
      <c r="Q1229" t="n">
        <v>111.409284107</v>
      </c>
      <c r="R1229" t="n">
        <v>98.23</v>
      </c>
      <c r="S1229" t="n">
        <v>99.995628333</v>
      </c>
      <c r="T1229" t="n">
        <v>115.776441457</v>
      </c>
      <c r="U1229" t="n">
        <v/>
      </c>
      <c r="V1229" t="n">
        <v>120.269707817</v>
      </c>
      <c r="W1229" t="n">
        <v>117.109759147</v>
      </c>
      <c r="X1229" t="n">
        <v>115.891885611</v>
      </c>
      <c r="Y1229" t="n">
        <v/>
      </c>
      <c r="Z1229" t="n">
        <v>156.273954341</v>
      </c>
      <c r="AA1229" t="n">
        <v/>
      </c>
      <c r="AB1229" t="n">
        <v>109.789227166</v>
      </c>
      <c r="AC1229" t="n">
        <v>103.991334055</v>
      </c>
      <c r="AD1229" t="n">
        <v>98.491792351</v>
      </c>
      <c r="AE1229" t="n">
        <v>112.9</v>
      </c>
      <c r="AF1229" t="n">
        <v>96.708059005</v>
      </c>
      <c r="AG1229" t="n">
        <v>122.6</v>
      </c>
      <c r="AH1229" t="n">
        <v/>
      </c>
      <c r="AI1229" t="n">
        <v>101.991500708</v>
      </c>
      <c r="AJ1229" t="n">
        <v>103.335919317</v>
      </c>
      <c r="AK1229" t="n">
        <v/>
      </c>
      <c r="AL1229" t="n">
        <v>104.479913601</v>
      </c>
      <c r="AM1229" t="n">
        <v>132.7</v>
      </c>
      <c r="AN1229" t="n">
        <v>102.179148507</v>
      </c>
      <c r="AO1229" t="n">
        <v>115.9</v>
      </c>
      <c r="AP1229" t="n">
        <v>114.919153192</v>
      </c>
      <c r="AQ1229" t="n">
        <v>127.710642554</v>
      </c>
      <c r="AR1229" t="n">
        <v>114.490459128</v>
      </c>
      <c r="AS1229" t="n">
        <v>130.889092576</v>
      </c>
      <c r="AT1229" t="n">
        <v>98.19126708100001</v>
      </c>
      <c r="AU1229" t="n">
        <v/>
      </c>
    </row>
    <row r="1230">
      <c r="A1230" s="106" t="n">
        <v>44317</v>
      </c>
      <c r="B1230" t="n">
        <v>118.790100825</v>
      </c>
      <c r="C1230" t="n">
        <v>128.389300892</v>
      </c>
      <c r="D1230" t="n">
        <v>95.898706303</v>
      </c>
      <c r="E1230" t="n">
        <v>102.713562999</v>
      </c>
      <c r="F1230" t="n">
        <v>122.5</v>
      </c>
      <c r="G1230" t="n">
        <v/>
      </c>
      <c r="H1230" t="n">
        <v>100.415584229</v>
      </c>
      <c r="I1230" t="n">
        <v>119.690025831</v>
      </c>
      <c r="J1230" t="n">
        <v>111.581403099</v>
      </c>
      <c r="K1230" t="n">
        <v>97.00808400699999</v>
      </c>
      <c r="L1230" t="n">
        <v>111.3</v>
      </c>
      <c r="M1230" t="n">
        <v>104.091325723</v>
      </c>
      <c r="N1230" t="n">
        <v>101.939084949</v>
      </c>
      <c r="O1230" t="n">
        <v>124.110342529</v>
      </c>
      <c r="P1230" t="n">
        <v/>
      </c>
      <c r="Q1230" t="n">
        <v>113.70947579</v>
      </c>
      <c r="R1230" t="n">
        <v>98.03</v>
      </c>
      <c r="S1230" t="n">
        <v>99.11821219300001</v>
      </c>
      <c r="T1230" t="n">
        <v>117.686593562</v>
      </c>
      <c r="U1230" t="n">
        <v/>
      </c>
      <c r="V1230" t="n">
        <v>113.876633647</v>
      </c>
      <c r="W1230" t="n">
        <v>120.510042504</v>
      </c>
      <c r="X1230" t="n">
        <v>101.10321678</v>
      </c>
      <c r="Y1230" t="n">
        <v/>
      </c>
      <c r="Z1230" t="n">
        <v>141.076487252</v>
      </c>
      <c r="AA1230" t="n">
        <v/>
      </c>
      <c r="AB1230" t="n">
        <v>107.259953162</v>
      </c>
      <c r="AC1230" t="n">
        <v>102.791434047</v>
      </c>
      <c r="AD1230" t="n">
        <v>92.592283976</v>
      </c>
      <c r="AE1230" t="n">
        <v>112.7</v>
      </c>
      <c r="AF1230" t="n">
        <v>95.207933994</v>
      </c>
      <c r="AG1230" t="n">
        <v>119.9</v>
      </c>
      <c r="AH1230" t="n">
        <v/>
      </c>
      <c r="AI1230" t="n">
        <v>102.991417382</v>
      </c>
      <c r="AJ1230" t="n">
        <v>102.870442203</v>
      </c>
      <c r="AK1230" t="n">
        <v/>
      </c>
      <c r="AL1230" t="n">
        <v>103.620941151</v>
      </c>
      <c r="AM1230" t="n">
        <v>134.7</v>
      </c>
      <c r="AN1230" t="n">
        <v>97.33918884000001</v>
      </c>
      <c r="AO1230" t="n">
        <v>116.8</v>
      </c>
      <c r="AP1230" t="n">
        <v>110.518419737</v>
      </c>
      <c r="AQ1230" t="n">
        <v>127.010584215</v>
      </c>
      <c r="AR1230" t="n">
        <v>112.890592451</v>
      </c>
      <c r="AS1230" t="n">
        <v>133.588867594</v>
      </c>
      <c r="AT1230" t="n">
        <v>98.938822702</v>
      </c>
      <c r="AU1230" t="n">
        <v/>
      </c>
    </row>
    <row r="1231">
      <c r="A1231" s="106" t="n">
        <v>44348</v>
      </c>
      <c r="B1231" t="n">
        <v>118.490125823</v>
      </c>
      <c r="C1231" t="n">
        <v>139.588367636</v>
      </c>
      <c r="D1231" t="n">
        <v>95.458298927</v>
      </c>
      <c r="E1231" t="n">
        <v>104.734489244</v>
      </c>
      <c r="F1231" t="n">
        <v>122.2</v>
      </c>
      <c r="G1231" t="n">
        <v/>
      </c>
      <c r="H1231" t="n">
        <v>102.275539332</v>
      </c>
      <c r="I1231" t="n">
        <v>122.189817515</v>
      </c>
      <c r="J1231" t="n">
        <v>112.281286452</v>
      </c>
      <c r="K1231" t="n">
        <v>96.308025669</v>
      </c>
      <c r="L1231" t="n">
        <v>107.1</v>
      </c>
      <c r="M1231" t="n">
        <v>104.091325723</v>
      </c>
      <c r="N1231" t="n">
        <v>100.573083811</v>
      </c>
      <c r="O1231" t="n">
        <v>127.310609217</v>
      </c>
      <c r="P1231" t="n">
        <v/>
      </c>
      <c r="Q1231" t="n">
        <v>111.309275773</v>
      </c>
      <c r="R1231" t="n">
        <v>97.84</v>
      </c>
      <c r="S1231" t="n">
        <v>100.489328227</v>
      </c>
      <c r="T1231" t="n">
        <v>115.458082773</v>
      </c>
      <c r="U1231" t="n">
        <v/>
      </c>
      <c r="V1231" t="n">
        <v>112.378256888</v>
      </c>
      <c r="W1231" t="n">
        <v>119.709975831</v>
      </c>
      <c r="X1231" t="n">
        <v>110.954936013</v>
      </c>
      <c r="Y1231" t="n">
        <v/>
      </c>
      <c r="Z1231" t="n">
        <v>136.277287119</v>
      </c>
      <c r="AA1231" t="n">
        <v/>
      </c>
      <c r="AB1231" t="n">
        <v>112.224824356</v>
      </c>
      <c r="AC1231" t="n">
        <v>105.091242396</v>
      </c>
      <c r="AD1231" t="n">
        <v>98.691775685</v>
      </c>
      <c r="AE1231" t="n">
        <v>114.3</v>
      </c>
      <c r="AF1231" t="n">
        <v>96.808067339</v>
      </c>
      <c r="AG1231" t="n">
        <v>122.6</v>
      </c>
      <c r="AH1231" t="n">
        <v/>
      </c>
      <c r="AI1231" t="n">
        <v>104.691275727</v>
      </c>
      <c r="AJ1231" t="n">
        <v>104.499612102</v>
      </c>
      <c r="AK1231" t="n">
        <v/>
      </c>
      <c r="AL1231" t="n">
        <v>104.882294212</v>
      </c>
      <c r="AM1231" t="n">
        <v>136.2</v>
      </c>
      <c r="AN1231" t="n">
        <v>95.20920658999999</v>
      </c>
      <c r="AO1231" t="n">
        <v>116.4</v>
      </c>
      <c r="AP1231" t="n">
        <v>111.918653109</v>
      </c>
      <c r="AQ1231" t="n">
        <v>128.910742562</v>
      </c>
      <c r="AR1231" t="n">
        <v>114.390467461</v>
      </c>
      <c r="AS1231" t="n">
        <v>135.388717607</v>
      </c>
      <c r="AT1231" t="n">
        <v>99.349140404</v>
      </c>
      <c r="AU1231" t="n">
        <v/>
      </c>
    </row>
    <row r="1232">
      <c r="A1232" s="106" t="n">
        <v>44378</v>
      </c>
      <c r="B1232" t="n">
        <v>119.590034164</v>
      </c>
      <c r="C1232" t="n">
        <v>133.188900925</v>
      </c>
      <c r="D1232" t="n">
        <v>94.026974952</v>
      </c>
      <c r="E1232" t="n">
        <v>104.96456557</v>
      </c>
      <c r="F1232" t="n">
        <v>123.8</v>
      </c>
      <c r="G1232" t="n">
        <v/>
      </c>
      <c r="H1232" t="n">
        <v>102.844289103</v>
      </c>
      <c r="I1232" t="n">
        <v>120.789934172</v>
      </c>
      <c r="J1232" t="n">
        <v>113.381103149</v>
      </c>
      <c r="K1232" t="n">
        <v>97.508125677</v>
      </c>
      <c r="L1232" t="n">
        <v>115.8</v>
      </c>
      <c r="M1232" t="n">
        <v>106.291142405</v>
      </c>
      <c r="N1232" t="n">
        <v>100.989084158</v>
      </c>
      <c r="O1232" t="n">
        <v>126.010500875</v>
      </c>
      <c r="P1232" t="n">
        <v/>
      </c>
      <c r="Q1232" t="n">
        <v>113.409450788</v>
      </c>
      <c r="R1232" t="n">
        <v>98.48999999999999</v>
      </c>
      <c r="S1232" t="n">
        <v>100.969798314</v>
      </c>
      <c r="T1232" t="n">
        <v>115.670321896</v>
      </c>
      <c r="U1232" t="n">
        <v/>
      </c>
      <c r="V1232" t="n">
        <v>115.375010405</v>
      </c>
      <c r="W1232" t="n">
        <v>119.209934161</v>
      </c>
      <c r="X1232" t="n">
        <v>117.843570669</v>
      </c>
      <c r="Y1232" t="n">
        <v/>
      </c>
      <c r="Z1232" t="n">
        <v>161.473087819</v>
      </c>
      <c r="AA1232" t="n">
        <v/>
      </c>
      <c r="AB1232" t="n">
        <v>114.941451991</v>
      </c>
      <c r="AC1232" t="n">
        <v>105.891175735</v>
      </c>
      <c r="AD1232" t="n">
        <v>98.191817349</v>
      </c>
      <c r="AE1232" t="n">
        <v>114.7</v>
      </c>
      <c r="AF1232" t="n">
        <v>93.80781731800001</v>
      </c>
      <c r="AG1232" t="n">
        <v>125</v>
      </c>
      <c r="AH1232" t="n">
        <v/>
      </c>
      <c r="AI1232" t="n">
        <v>105.591200733</v>
      </c>
      <c r="AJ1232" t="n">
        <v>103.91776571</v>
      </c>
      <c r="AK1232" t="n">
        <v/>
      </c>
      <c r="AL1232" t="n">
        <v>105.429642909</v>
      </c>
      <c r="AM1232" t="n">
        <v>138</v>
      </c>
      <c r="AN1232" t="n">
        <v>98.649177924</v>
      </c>
      <c r="AO1232" t="n">
        <v>116.5</v>
      </c>
      <c r="AP1232" t="n">
        <v>113.118853142</v>
      </c>
      <c r="AQ1232" t="n">
        <v>126.810567547</v>
      </c>
      <c r="AR1232" t="n">
        <v>113.990500792</v>
      </c>
      <c r="AS1232" t="n">
        <v>133.688859262</v>
      </c>
      <c r="AT1232" t="n">
        <v>100.023517081</v>
      </c>
      <c r="AU1232" t="n">
        <v/>
      </c>
    </row>
    <row r="1233">
      <c r="A1233" s="106" t="n">
        <v>44409</v>
      </c>
      <c r="B1233" t="n">
        <v>119.790017499</v>
      </c>
      <c r="C1233" t="n">
        <v>131.08907591</v>
      </c>
      <c r="D1233" t="n">
        <v>93.586567575</v>
      </c>
      <c r="E1233" t="n">
        <v>105.280786754</v>
      </c>
      <c r="F1233" t="n">
        <v>123.5</v>
      </c>
      <c r="G1233" t="n">
        <v/>
      </c>
      <c r="H1233" t="n">
        <v>101.784048342</v>
      </c>
      <c r="I1233" t="n">
        <v>119.390050829</v>
      </c>
      <c r="J1233" t="n">
        <v>110.381603066</v>
      </c>
      <c r="K1233" t="n">
        <v>92.907742312</v>
      </c>
      <c r="L1233" t="n">
        <v>119.6</v>
      </c>
      <c r="M1233" t="n">
        <v>102.891425715</v>
      </c>
      <c r="N1233" t="n">
        <v>101.4000845</v>
      </c>
      <c r="O1233" t="n">
        <v>122.810234186</v>
      </c>
      <c r="P1233" t="n">
        <v/>
      </c>
      <c r="Q1233" t="n">
        <v>114.609550796</v>
      </c>
      <c r="R1233" t="n">
        <v>98.34999999999999</v>
      </c>
      <c r="S1233" t="n">
        <v>99.919042894</v>
      </c>
      <c r="T1233" t="n">
        <v>116.094800141</v>
      </c>
      <c r="U1233" t="n">
        <v/>
      </c>
      <c r="V1233" t="n">
        <v>116.573711812</v>
      </c>
      <c r="W1233" t="n">
        <v>115.909659138</v>
      </c>
      <c r="X1233" t="n">
        <v>119.632557431</v>
      </c>
      <c r="Y1233" t="n">
        <v/>
      </c>
      <c r="Z1233" t="n">
        <v>138.076987169</v>
      </c>
      <c r="AA1233" t="n">
        <v/>
      </c>
      <c r="AB1233" t="n">
        <v>110.819672131</v>
      </c>
      <c r="AC1233" t="n">
        <v>104.291309058</v>
      </c>
      <c r="AD1233" t="n">
        <v>95.792017332</v>
      </c>
      <c r="AE1233" t="n">
        <v>115.7</v>
      </c>
      <c r="AF1233" t="n">
        <v>95.70797566500001</v>
      </c>
      <c r="AG1233" t="n">
        <v>122.3</v>
      </c>
      <c r="AH1233" t="n">
        <v/>
      </c>
      <c r="AI1233" t="n">
        <v>102.69144238</v>
      </c>
      <c r="AJ1233" t="n">
        <v>106.361520559</v>
      </c>
      <c r="AK1233" t="n">
        <v/>
      </c>
      <c r="AL1233" t="n">
        <v>104.687392731</v>
      </c>
      <c r="AM1233" t="n">
        <v>136.8</v>
      </c>
      <c r="AN1233" t="n">
        <v>96.729193923</v>
      </c>
      <c r="AO1233" t="n">
        <v>115.8</v>
      </c>
      <c r="AP1233" t="n">
        <v>108.918153026</v>
      </c>
      <c r="AQ1233" t="n">
        <v>127.61063422</v>
      </c>
      <c r="AR1233" t="n">
        <v>112.990584118</v>
      </c>
      <c r="AS1233" t="n">
        <v>139.988334305</v>
      </c>
      <c r="AT1233" t="n">
        <v>99.988414987</v>
      </c>
      <c r="AU1233" t="n">
        <v/>
      </c>
    </row>
    <row r="1234">
      <c r="A1234" s="106" t="n">
        <v>44440</v>
      </c>
      <c r="B1234" t="n">
        <v>120.389967503</v>
      </c>
      <c r="C1234" t="n">
        <v>129.489209233</v>
      </c>
      <c r="D1234" t="n">
        <v>93.146160198</v>
      </c>
      <c r="E1234" t="n">
        <v>105.51059555</v>
      </c>
      <c r="F1234" t="n">
        <v>123.9</v>
      </c>
      <c r="G1234" t="n">
        <v/>
      </c>
      <c r="H1234" t="n">
        <v>99.41044404100001</v>
      </c>
      <c r="I1234" t="n">
        <v>116.590284143</v>
      </c>
      <c r="J1234" t="n">
        <v>107.282119647</v>
      </c>
      <c r="K1234" t="n">
        <v>92.70772564400001</v>
      </c>
      <c r="L1234" t="n">
        <v>110.5</v>
      </c>
      <c r="M1234" t="n">
        <v>102.591450712</v>
      </c>
      <c r="N1234" t="n">
        <v>102.752085627</v>
      </c>
      <c r="O1234" t="n">
        <v>129.010750896</v>
      </c>
      <c r="P1234" t="n">
        <v/>
      </c>
      <c r="Q1234" t="n">
        <v>114.809567464</v>
      </c>
      <c r="R1234" t="n">
        <v>97.25</v>
      </c>
      <c r="S1234" t="n">
        <v>98.269471305</v>
      </c>
      <c r="T1234" t="n">
        <v>114.927484966</v>
      </c>
      <c r="U1234" t="n">
        <v/>
      </c>
      <c r="V1234" t="n">
        <v>118.271872139</v>
      </c>
      <c r="W1234" t="n">
        <v>115.109592466</v>
      </c>
      <c r="X1234" t="n">
        <v>117.324508183</v>
      </c>
      <c r="Y1234" t="n">
        <v/>
      </c>
      <c r="Z1234" t="n">
        <v>128.778536911</v>
      </c>
      <c r="AA1234" t="n">
        <v/>
      </c>
      <c r="AB1234" t="n">
        <v>112.693208431</v>
      </c>
      <c r="AC1234" t="n">
        <v>105.591200733</v>
      </c>
      <c r="AD1234" t="n">
        <v>90.092492292</v>
      </c>
      <c r="AE1234" t="n">
        <v>112.8</v>
      </c>
      <c r="AF1234" t="n">
        <v>94.80790065799999</v>
      </c>
      <c r="AG1234" t="n">
        <v>124.5</v>
      </c>
      <c r="AH1234" t="n">
        <v/>
      </c>
      <c r="AI1234" t="n">
        <v>103.691359053</v>
      </c>
      <c r="AJ1234" t="n">
        <v>109.619860357</v>
      </c>
      <c r="AK1234" t="n">
        <v/>
      </c>
      <c r="AL1234" t="n">
        <v>103.235930288</v>
      </c>
      <c r="AM1234" t="n">
        <v>137.7</v>
      </c>
      <c r="AN1234" t="n">
        <v>98.57917850699999</v>
      </c>
      <c r="AO1234" t="n">
        <v>117.9</v>
      </c>
      <c r="AP1234" t="n">
        <v>107.817969662</v>
      </c>
      <c r="AQ1234" t="n">
        <v>129.010750896</v>
      </c>
      <c r="AR1234" t="n">
        <v>112.490625781</v>
      </c>
      <c r="AS1234" t="n">
        <v>137.588534289</v>
      </c>
      <c r="AT1234" t="n">
        <v>99.009522683</v>
      </c>
      <c r="AU1234" t="n">
        <v/>
      </c>
    </row>
    <row r="1235">
      <c r="A1235" s="106" t="n">
        <v>44470</v>
      </c>
      <c r="B1235" t="n">
        <v>121.189900842</v>
      </c>
      <c r="C1235" t="n">
        <v>132.188984251</v>
      </c>
      <c r="D1235" t="n">
        <v>92.59565097700001</v>
      </c>
      <c r="E1235" t="n">
        <v>106.612554142</v>
      </c>
      <c r="F1235" t="n">
        <v>117.9</v>
      </c>
      <c r="G1235" t="n">
        <v/>
      </c>
      <c r="H1235" t="n">
        <v>103.155045361</v>
      </c>
      <c r="I1235" t="n">
        <v>120.989917507</v>
      </c>
      <c r="J1235" t="n">
        <v>108.081986336</v>
      </c>
      <c r="K1235" t="n">
        <v>95.907992333</v>
      </c>
      <c r="L1235" t="n">
        <v>118</v>
      </c>
      <c r="M1235" t="n">
        <v>101.791517374</v>
      </c>
      <c r="N1235" t="n">
        <v>103.167085973</v>
      </c>
      <c r="O1235" t="n">
        <v>125.010417535</v>
      </c>
      <c r="P1235" t="n">
        <v/>
      </c>
      <c r="Q1235" t="n">
        <v>115.2096008</v>
      </c>
      <c r="R1235" t="n">
        <v>98.95999999999999</v>
      </c>
      <c r="S1235" t="n">
        <v>99.85408092199999</v>
      </c>
      <c r="T1235" t="n">
        <v>114.078528475</v>
      </c>
      <c r="U1235" t="n">
        <v/>
      </c>
      <c r="V1235" t="n">
        <v>120.86905852</v>
      </c>
      <c r="W1235" t="n">
        <v>117.409784149</v>
      </c>
      <c r="X1235" t="n">
        <v>121.342649286</v>
      </c>
      <c r="Y1235" t="n">
        <v/>
      </c>
      <c r="Z1235" t="n">
        <v>91.68471921299999</v>
      </c>
      <c r="AA1235" t="n">
        <v/>
      </c>
      <c r="AB1235" t="n">
        <v>114.941451991</v>
      </c>
      <c r="AC1235" t="n">
        <v>104.691275727</v>
      </c>
      <c r="AD1235" t="n">
        <v>92.192317307</v>
      </c>
      <c r="AE1235" t="n">
        <v>113.2</v>
      </c>
      <c r="AF1235" t="n">
        <v>95.40795066299999</v>
      </c>
      <c r="AG1235" t="n">
        <v>123</v>
      </c>
      <c r="AH1235" t="n">
        <v/>
      </c>
      <c r="AI1235" t="n">
        <v>103.091409049</v>
      </c>
      <c r="AJ1235" t="n">
        <v>104.266873545</v>
      </c>
      <c r="AK1235" t="n">
        <v/>
      </c>
      <c r="AL1235" t="n">
        <v>104.417880346</v>
      </c>
      <c r="AM1235" t="n">
        <v>140.3</v>
      </c>
      <c r="AN1235" t="n">
        <v>99.01917484000001</v>
      </c>
      <c r="AO1235" t="n">
        <v>119.2</v>
      </c>
      <c r="AP1235" t="n">
        <v>111.018503084</v>
      </c>
      <c r="AQ1235" t="n">
        <v>129.810817568</v>
      </c>
      <c r="AR1235" t="n">
        <v>114.890425798</v>
      </c>
      <c r="AS1235" t="n">
        <v>138.188484293</v>
      </c>
      <c r="AT1235" t="n">
        <v>100.507212043</v>
      </c>
      <c r="AU1235" t="n">
        <v/>
      </c>
    </row>
    <row r="1236">
      <c r="A1236" s="106" t="n">
        <v>44501</v>
      </c>
      <c r="B1236" t="n">
        <v>124.389634197</v>
      </c>
      <c r="C1236" t="n">
        <v>125.389550871</v>
      </c>
      <c r="D1236" t="n">
        <v>92.59565097700001</v>
      </c>
      <c r="E1236" t="n">
        <v>105.95202106</v>
      </c>
      <c r="F1236" t="n">
        <v>127.1</v>
      </c>
      <c r="G1236" t="n">
        <v/>
      </c>
      <c r="H1236" t="n">
        <v>102.170977609</v>
      </c>
      <c r="I1236" t="n">
        <v>123.389717524</v>
      </c>
      <c r="J1236" t="n">
        <v>114.580903183</v>
      </c>
      <c r="K1236" t="n">
        <v>96.608050671</v>
      </c>
      <c r="L1236" t="n">
        <v>120</v>
      </c>
      <c r="M1236" t="n">
        <v>104.491292392</v>
      </c>
      <c r="N1236" t="n">
        <v>105.469087891</v>
      </c>
      <c r="O1236" t="n">
        <v>128.61071756</v>
      </c>
      <c r="P1236" t="n">
        <v/>
      </c>
      <c r="Q1236" t="n">
        <v>116.009667472</v>
      </c>
      <c r="R1236" t="n">
        <v>97.94</v>
      </c>
      <c r="S1236" t="n">
        <v>101.182542482</v>
      </c>
      <c r="T1236" t="n">
        <v>114.184648037</v>
      </c>
      <c r="U1236" t="n">
        <v/>
      </c>
      <c r="V1236" t="n">
        <v>120.069924249</v>
      </c>
      <c r="W1236" t="n">
        <v>120.510042504</v>
      </c>
      <c r="X1236" t="n">
        <v>116.987741757</v>
      </c>
      <c r="Y1236" t="n">
        <v/>
      </c>
      <c r="Z1236" t="n">
        <v>125.979003499</v>
      </c>
      <c r="AA1236" t="n">
        <v/>
      </c>
      <c r="AB1236" t="n">
        <v>110.725995316</v>
      </c>
      <c r="AC1236" t="n">
        <v>106.691109074</v>
      </c>
      <c r="AD1236" t="n">
        <v>97.091909008</v>
      </c>
      <c r="AE1236" t="n">
        <v>115</v>
      </c>
      <c r="AF1236" t="n">
        <v>95.40795066299999</v>
      </c>
      <c r="AG1236" t="n">
        <v>122.7</v>
      </c>
      <c r="AH1236" t="n">
        <v/>
      </c>
      <c r="AI1236" t="n">
        <v>104.091325723</v>
      </c>
      <c r="AJ1236" t="n">
        <v>101.124903026</v>
      </c>
      <c r="AK1236" t="n">
        <v/>
      </c>
      <c r="AL1236" t="n">
        <v>106.090191431</v>
      </c>
      <c r="AM1236" t="n">
        <v>145.8</v>
      </c>
      <c r="AN1236" t="n">
        <v>101.039158007</v>
      </c>
      <c r="AO1236" t="n">
        <v>119.9</v>
      </c>
      <c r="AP1236" t="n">
        <v>120.320053342</v>
      </c>
      <c r="AQ1236" t="n">
        <v>134.111175931</v>
      </c>
      <c r="AR1236" t="n">
        <v>114.890425798</v>
      </c>
      <c r="AS1236" t="n">
        <v>142.08815932</v>
      </c>
      <c r="AT1236" t="n">
        <v>101.102956062</v>
      </c>
      <c r="AU1236" t="n">
        <v/>
      </c>
    </row>
    <row r="1237">
      <c r="A1237" s="106" t="n">
        <v>44531</v>
      </c>
      <c r="B1237" t="n">
        <v>124.489625865</v>
      </c>
      <c r="C1237" t="n">
        <v>128.08932589</v>
      </c>
      <c r="D1237" t="n">
        <v>95.238095238</v>
      </c>
      <c r="E1237" t="n">
        <v>106.201627121</v>
      </c>
      <c r="F1237" t="n">
        <v>126.2</v>
      </c>
      <c r="G1237" t="n">
        <v/>
      </c>
      <c r="H1237" t="n">
        <v>101.134042179</v>
      </c>
      <c r="I1237" t="n">
        <v>118.490125823</v>
      </c>
      <c r="J1237" t="n">
        <v>110.381603066</v>
      </c>
      <c r="K1237" t="n">
        <v>97.80815067899999</v>
      </c>
      <c r="L1237" t="n">
        <v>120.1</v>
      </c>
      <c r="M1237" t="n">
        <v>105.791184068</v>
      </c>
      <c r="N1237" t="n">
        <v>105.400087833</v>
      </c>
      <c r="O1237" t="n">
        <v>130.410867572</v>
      </c>
      <c r="P1237" t="n">
        <v/>
      </c>
      <c r="Q1237" t="n">
        <v>119.809984165</v>
      </c>
      <c r="R1237" t="n">
        <v>97.86</v>
      </c>
      <c r="S1237" t="n">
        <v>101.185467014</v>
      </c>
      <c r="T1237" t="n">
        <v>114.290767598</v>
      </c>
      <c r="U1237" t="n">
        <v/>
      </c>
      <c r="V1237" t="n">
        <v>120.569383168</v>
      </c>
      <c r="W1237" t="n">
        <v>121.41011751</v>
      </c>
      <c r="X1237" t="n">
        <v>118.586253902</v>
      </c>
      <c r="Y1237" t="n">
        <v/>
      </c>
      <c r="Z1237" t="n">
        <v>138.076987169</v>
      </c>
      <c r="AA1237" t="n">
        <v/>
      </c>
      <c r="AB1237" t="n">
        <v>118.220140515</v>
      </c>
      <c r="AC1237" t="n">
        <v>105.591200733</v>
      </c>
      <c r="AD1237" t="n">
        <v>96.99191734</v>
      </c>
      <c r="AE1237" t="n">
        <v>118.9</v>
      </c>
      <c r="AF1237" t="n">
        <v>97.108092341</v>
      </c>
      <c r="AG1237" t="n">
        <v>126.6</v>
      </c>
      <c r="AH1237" t="n">
        <v/>
      </c>
      <c r="AI1237" t="n">
        <v>106.09115907</v>
      </c>
      <c r="AJ1237" t="n">
        <v>103.91776571</v>
      </c>
      <c r="AK1237" t="n">
        <v/>
      </c>
      <c r="AL1237" t="n">
        <v>106.531276196</v>
      </c>
      <c r="AM1237" t="n">
        <v>145.8</v>
      </c>
      <c r="AN1237" t="n">
        <v>102.369146924</v>
      </c>
      <c r="AO1237" t="n">
        <v>121.7</v>
      </c>
      <c r="AP1237" t="n">
        <v>119.019836639</v>
      </c>
      <c r="AQ1237" t="n">
        <v>136.511375948</v>
      </c>
      <c r="AR1237" t="n">
        <v>115.1904008</v>
      </c>
      <c r="AS1237" t="n">
        <v>144.387967669</v>
      </c>
      <c r="AT1237" t="n">
        <v>100.9023585</v>
      </c>
      <c r="AU1237" t="n">
        <v/>
      </c>
    </row>
    <row r="1238">
      <c r="A1238" s="106" t="n">
        <v>44562</v>
      </c>
      <c r="B1238" t="n">
        <v>127.089409216</v>
      </c>
      <c r="C1238" t="n">
        <v>128.989250896</v>
      </c>
      <c r="D1238" t="n">
        <v>92.92595651000001</v>
      </c>
      <c r="E1238" t="n">
        <v>105.929816019</v>
      </c>
      <c r="F1238" t="n">
        <v>126.7</v>
      </c>
      <c r="G1238" t="n">
        <v/>
      </c>
      <c r="H1238" t="n">
        <v>99.813124895</v>
      </c>
      <c r="I1238" t="n">
        <v>126.789434214</v>
      </c>
      <c r="J1238" t="n">
        <v>114.180969838</v>
      </c>
      <c r="K1238" t="n">
        <v>98.10817568100001</v>
      </c>
      <c r="L1238" t="n">
        <v>120.4</v>
      </c>
      <c r="M1238" t="n">
        <v>105.091242396</v>
      </c>
      <c r="N1238" t="n">
        <v>105.068087557</v>
      </c>
      <c r="O1238" t="n">
        <v>123.710309192</v>
      </c>
      <c r="P1238" t="n">
        <v/>
      </c>
      <c r="Q1238" t="n">
        <v>116.20968414</v>
      </c>
      <c r="R1238" t="n">
        <v>99.58</v>
      </c>
      <c r="S1238" t="n">
        <v>100.805871233</v>
      </c>
      <c r="T1238" t="n">
        <v>113.760169791</v>
      </c>
      <c r="U1238" t="n">
        <v/>
      </c>
      <c r="V1238" t="n">
        <v>115.375010405</v>
      </c>
      <c r="W1238" t="n">
        <v>122.710225852</v>
      </c>
      <c r="X1238" t="n">
        <v>119.009911134</v>
      </c>
      <c r="Y1238" t="n">
        <v/>
      </c>
      <c r="Z1238" t="n">
        <v>130.578236961</v>
      </c>
      <c r="AA1238" t="n">
        <v/>
      </c>
      <c r="AB1238" t="n">
        <v>122.62295082</v>
      </c>
      <c r="AC1238" t="n">
        <v>101.991500708</v>
      </c>
      <c r="AD1238" t="n">
        <v>94.892092326</v>
      </c>
      <c r="AE1238" t="n">
        <v>119.4</v>
      </c>
      <c r="AF1238" t="n">
        <v>97.508125677</v>
      </c>
      <c r="AG1238" t="n">
        <v>125.4</v>
      </c>
      <c r="AH1238" t="n">
        <v/>
      </c>
      <c r="AI1238" t="n">
        <v>104.891259062</v>
      </c>
      <c r="AJ1238" t="n">
        <v>104.965089216</v>
      </c>
      <c r="AK1238" t="n">
        <v/>
      </c>
      <c r="AL1238" t="n">
        <v>106.208990901</v>
      </c>
      <c r="AM1238" t="n">
        <v>149.3</v>
      </c>
      <c r="AN1238" t="n">
        <v>97.139190507</v>
      </c>
      <c r="AO1238" t="n">
        <v/>
      </c>
      <c r="AP1238" t="n">
        <v>115.919319887</v>
      </c>
      <c r="AQ1238" t="n">
        <v>137.611467622</v>
      </c>
      <c r="AR1238" t="n">
        <v>114.290475794</v>
      </c>
      <c r="AS1238" t="n">
        <v>141.088242646</v>
      </c>
      <c r="AT1238" t="n">
        <v>101.286399211</v>
      </c>
      <c r="AU1238" t="n">
        <v/>
      </c>
    </row>
    <row r="1239">
      <c r="A1239" s="106" t="n">
        <v>44593</v>
      </c>
      <c r="B1239" t="n">
        <v>126.289475877</v>
      </c>
      <c r="C1239" t="n">
        <v>128.08932589</v>
      </c>
      <c r="D1239" t="n">
        <v>94.24717864</v>
      </c>
      <c r="E1239" t="n">
        <v>106.686660121</v>
      </c>
      <c r="F1239" t="n">
        <v>130</v>
      </c>
      <c r="G1239" t="n">
        <v/>
      </c>
      <c r="H1239" t="n">
        <v>99.181146568</v>
      </c>
      <c r="I1239" t="n">
        <v>130.378270288</v>
      </c>
      <c r="J1239" t="n">
        <v>110.381603066</v>
      </c>
      <c r="K1239" t="n">
        <v>98.208184015</v>
      </c>
      <c r="L1239" t="n">
        <v>122.7</v>
      </c>
      <c r="M1239" t="n">
        <v>105.691192401</v>
      </c>
      <c r="N1239" t="n">
        <v>106.211088509</v>
      </c>
      <c r="O1239" t="n">
        <v>123.010250854</v>
      </c>
      <c r="P1239" t="n">
        <v/>
      </c>
      <c r="Q1239" t="n">
        <v>116.609717476</v>
      </c>
      <c r="R1239" t="n">
        <v>98.22</v>
      </c>
      <c r="S1239" t="n">
        <v>101.815858953</v>
      </c>
      <c r="T1239" t="n">
        <v>113.441811107</v>
      </c>
      <c r="U1239" t="n">
        <v/>
      </c>
      <c r="V1239" t="n">
        <v>118.171980355</v>
      </c>
      <c r="W1239" t="n">
        <v>125.310442537</v>
      </c>
      <c r="X1239" t="n">
        <v>117.988724047</v>
      </c>
      <c r="Y1239" t="n">
        <v/>
      </c>
      <c r="Z1239" t="n">
        <v>135.777370438</v>
      </c>
      <c r="AA1239" t="n">
        <v/>
      </c>
      <c r="AB1239" t="n">
        <v>126.463700234</v>
      </c>
      <c r="AC1239" t="n">
        <v>105.991167403</v>
      </c>
      <c r="AD1239" t="n">
        <v>97.091909008</v>
      </c>
      <c r="AE1239" t="n">
        <v>119.8</v>
      </c>
      <c r="AF1239" t="n">
        <v>97.408117343</v>
      </c>
      <c r="AG1239" t="n">
        <v>122.2</v>
      </c>
      <c r="AH1239" t="n">
        <v/>
      </c>
      <c r="AI1239" t="n">
        <v>103.291392384</v>
      </c>
      <c r="AJ1239" t="n">
        <v>104.150504267</v>
      </c>
      <c r="AK1239" t="n">
        <v/>
      </c>
      <c r="AL1239" t="n">
        <v>107.211348649</v>
      </c>
      <c r="AM1239" t="n">
        <v>152.2</v>
      </c>
      <c r="AN1239" t="n">
        <v>97.979183507</v>
      </c>
      <c r="AO1239" t="n">
        <v/>
      </c>
      <c r="AP1239" t="n">
        <v>113.418903151</v>
      </c>
      <c r="AQ1239" t="n">
        <v>126.810567547</v>
      </c>
      <c r="AR1239" t="n">
        <v>113.990500792</v>
      </c>
      <c r="AS1239" t="n">
        <v>146.987751021</v>
      </c>
      <c r="AT1239" t="n">
        <v>102.03276493</v>
      </c>
      <c r="AU1239" t="n">
        <v/>
      </c>
    </row>
    <row r="1240">
      <c r="A1240" s="106" t="n">
        <v>44621</v>
      </c>
      <c r="B1240" t="n">
        <v>127.789350887</v>
      </c>
      <c r="C1240" t="n">
        <v>127.889342555</v>
      </c>
      <c r="D1240" t="n">
        <v>94.797687861</v>
      </c>
      <c r="E1240" t="n">
        <v>107.814569182</v>
      </c>
      <c r="F1240" t="n">
        <v>129.4</v>
      </c>
      <c r="G1240" t="n">
        <v/>
      </c>
      <c r="H1240" t="n">
        <v>102.365534814</v>
      </c>
      <c r="I1240" t="n">
        <v>125.3</v>
      </c>
      <c r="J1240" t="n">
        <v>112.781203133</v>
      </c>
      <c r="K1240" t="n">
        <v>93.50779231600001</v>
      </c>
      <c r="L1240" t="n">
        <v>127.1</v>
      </c>
      <c r="M1240" t="n">
        <v>103.891342388</v>
      </c>
      <c r="N1240" t="n">
        <v>104.042086702</v>
      </c>
      <c r="O1240" t="n">
        <v>129.310775898</v>
      </c>
      <c r="P1240" t="n">
        <v/>
      </c>
      <c r="Q1240" t="n">
        <v>115.109592466</v>
      </c>
      <c r="R1240" t="n">
        <v>97.79000000000001</v>
      </c>
      <c r="S1240" t="n">
        <v>101.450557036</v>
      </c>
      <c r="T1240" t="n">
        <v>113.441811107</v>
      </c>
      <c r="U1240" t="n">
        <v/>
      </c>
      <c r="V1240" t="n">
        <v>124.365270956</v>
      </c>
      <c r="W1240" t="n">
        <v>124.910409201</v>
      </c>
      <c r="X1240" t="n">
        <v>119.245587782</v>
      </c>
      <c r="Y1240" t="n">
        <v/>
      </c>
      <c r="Z1240" t="n">
        <v>137.077153808</v>
      </c>
      <c r="AA1240" t="n">
        <v/>
      </c>
      <c r="AB1240" t="n">
        <v>122.43559719</v>
      </c>
      <c r="AC1240" t="n">
        <v>106.09115907</v>
      </c>
      <c r="AD1240" t="n">
        <v>96.691942338</v>
      </c>
      <c r="AE1240" t="n">
        <v>121.2</v>
      </c>
      <c r="AF1240" t="n">
        <v>93.10775898</v>
      </c>
      <c r="AG1240" t="n">
        <v>126.2</v>
      </c>
      <c r="AH1240" t="n">
        <v/>
      </c>
      <c r="AI1240" t="n">
        <v>103.791350721</v>
      </c>
      <c r="AJ1240" t="n">
        <v>106.710628394</v>
      </c>
      <c r="AK1240" t="n">
        <v/>
      </c>
      <c r="AL1240" t="n">
        <v>107.112167742</v>
      </c>
      <c r="AM1240" t="n">
        <v>153.1</v>
      </c>
      <c r="AN1240" t="n">
        <v>102.989141757</v>
      </c>
      <c r="AO1240" t="n">
        <v/>
      </c>
      <c r="AP1240" t="n">
        <v>107.517919653</v>
      </c>
      <c r="AQ1240" t="n">
        <v>131.010917576</v>
      </c>
      <c r="AR1240" t="n">
        <v>115.890342471</v>
      </c>
      <c r="AS1240" t="n">
        <v>144.387967669</v>
      </c>
      <c r="AT1240" t="n">
        <v>102.700101356</v>
      </c>
      <c r="AU1240" t="n">
        <v/>
      </c>
    </row>
    <row r="1241">
      <c r="A1241" s="106" t="n">
        <v>44652</v>
      </c>
      <c r="B1241" t="n">
        <v>128.689275894</v>
      </c>
      <c r="C1241" t="n">
        <v>126.18948421</v>
      </c>
      <c r="D1241" t="n">
        <v>95.01789155</v>
      </c>
      <c r="E1241" t="n">
        <v>109.256826712</v>
      </c>
      <c r="F1241" t="n">
        <v>127.5</v>
      </c>
      <c r="G1241" t="n">
        <v/>
      </c>
      <c r="H1241" t="n">
        <v>99.15847167299999</v>
      </c>
      <c r="I1241" t="n">
        <v/>
      </c>
      <c r="J1241" t="n">
        <v>111.381436427</v>
      </c>
      <c r="K1241" t="n">
        <v>94.907908992</v>
      </c>
      <c r="L1241" t="n">
        <v>127.9</v>
      </c>
      <c r="M1241" t="n">
        <v>103.591367386</v>
      </c>
      <c r="N1241" t="n">
        <v>106.439088699</v>
      </c>
      <c r="O1241" t="n">
        <v>130.61088424</v>
      </c>
      <c r="P1241" t="n">
        <v/>
      </c>
      <c r="Q1241" t="n">
        <v>119.009917493</v>
      </c>
      <c r="R1241" t="n">
        <v>97.45999999999999</v>
      </c>
      <c r="S1241" t="n">
        <v>101.869504774</v>
      </c>
      <c r="T1241" t="n">
        <v>113.229571984</v>
      </c>
      <c r="U1241" t="n">
        <v/>
      </c>
      <c r="V1241" t="n">
        <v>114.97544327</v>
      </c>
      <c r="W1241" t="n">
        <v>123.010250854</v>
      </c>
      <c r="X1241" t="n">
        <v>123.88628268</v>
      </c>
      <c r="Y1241" t="n">
        <v/>
      </c>
      <c r="Z1241" t="n">
        <v>111.981336444</v>
      </c>
      <c r="AA1241" t="n">
        <v/>
      </c>
      <c r="AB1241" t="n">
        <v>121.49882904</v>
      </c>
      <c r="AC1241" t="n">
        <v>107.391050746</v>
      </c>
      <c r="AD1241" t="n">
        <v>95.392050662</v>
      </c>
      <c r="AE1241" t="n">
        <v>117.3</v>
      </c>
      <c r="AF1241" t="n">
        <v>96.108009001</v>
      </c>
      <c r="AG1241" t="n">
        <v>125.8</v>
      </c>
      <c r="AH1241" t="n">
        <v/>
      </c>
      <c r="AI1241" t="n">
        <v>109.290892426</v>
      </c>
      <c r="AJ1241" t="n">
        <v>106.477889837</v>
      </c>
      <c r="AK1241" t="n">
        <v/>
      </c>
      <c r="AL1241" t="n">
        <v>107.077943817</v>
      </c>
      <c r="AM1241" t="n">
        <v>152.5</v>
      </c>
      <c r="AN1241" t="n">
        <v>100.809159924</v>
      </c>
      <c r="AO1241" t="n">
        <v/>
      </c>
      <c r="AP1241" t="n">
        <v>106.31771962</v>
      </c>
      <c r="AQ1241" t="n">
        <v>130.61088424</v>
      </c>
      <c r="AR1241" t="n">
        <v>113.890509124</v>
      </c>
      <c r="AS1241" t="n">
        <v>144.287976002</v>
      </c>
      <c r="AT1241" t="n">
        <v>103.3934173</v>
      </c>
      <c r="AU1241" t="n">
        <v/>
      </c>
    </row>
    <row r="1242">
      <c r="A1242" s="106" t="n">
        <v>44682</v>
      </c>
      <c r="B1242" t="n">
        <v>129.389217565</v>
      </c>
      <c r="C1242" t="n">
        <v>126.989417549</v>
      </c>
      <c r="D1242" t="n">
        <v>95.348197082</v>
      </c>
      <c r="E1242" t="n">
        <v>108.712401917</v>
      </c>
      <c r="F1242" t="n">
        <v>129</v>
      </c>
      <c r="G1242" t="n">
        <v/>
      </c>
      <c r="H1242" t="n">
        <v>100.682889551</v>
      </c>
      <c r="I1242" t="n">
        <v/>
      </c>
      <c r="J1242" t="n">
        <v>113.481086486</v>
      </c>
      <c r="K1242" t="n">
        <v>95.507958997</v>
      </c>
      <c r="L1242" t="n">
        <v>131.3</v>
      </c>
      <c r="M1242" t="n">
        <v>105.291225731</v>
      </c>
      <c r="N1242" t="n">
        <v>106.374088645</v>
      </c>
      <c r="O1242" t="n">
        <v>130.010834236</v>
      </c>
      <c r="P1242" t="n">
        <v/>
      </c>
      <c r="Q1242" t="n">
        <v>119.009917493</v>
      </c>
      <c r="R1242" t="n">
        <v>97.61</v>
      </c>
      <c r="S1242" t="n">
        <v>100.556932901</v>
      </c>
      <c r="T1242" t="n">
        <v>113.65405023</v>
      </c>
      <c r="U1242" t="n">
        <v/>
      </c>
      <c r="V1242" t="n">
        <v>118.57154749</v>
      </c>
      <c r="W1242" t="n">
        <v>124.610384199</v>
      </c>
      <c r="X1242" t="n">
        <v>120.85707069</v>
      </c>
      <c r="Y1242" t="n">
        <v/>
      </c>
      <c r="Z1242" t="n">
        <v>143.376103983</v>
      </c>
      <c r="AA1242" t="n">
        <v/>
      </c>
      <c r="AB1242" t="n">
        <v>125.620608899</v>
      </c>
      <c r="AC1242" t="n">
        <v>106.291142405</v>
      </c>
      <c r="AD1242" t="n">
        <v>88.692608949</v>
      </c>
      <c r="AE1242" t="n">
        <v>117.6</v>
      </c>
      <c r="AF1242" t="n">
        <v>94.00783398599999</v>
      </c>
      <c r="AG1242" t="n">
        <v>126.1</v>
      </c>
      <c r="AH1242" t="n">
        <v/>
      </c>
      <c r="AI1242" t="n">
        <v>107.391050746</v>
      </c>
      <c r="AJ1242" t="n">
        <v>107.292474787</v>
      </c>
      <c r="AK1242" t="n">
        <v/>
      </c>
      <c r="AL1242" t="n">
        <v>106.322387161</v>
      </c>
      <c r="AM1242" t="n">
        <v>151.5</v>
      </c>
      <c r="AN1242" t="n">
        <v>100.329163924</v>
      </c>
      <c r="AO1242" t="n">
        <v/>
      </c>
      <c r="AP1242" t="n">
        <v>108.518086348</v>
      </c>
      <c r="AQ1242" t="n">
        <v>131.510959247</v>
      </c>
      <c r="AR1242" t="n">
        <v>114.490459128</v>
      </c>
      <c r="AS1242" t="n">
        <v>144.887926006</v>
      </c>
      <c r="AT1242" t="n">
        <v>103.288011858</v>
      </c>
      <c r="AU1242" t="n">
        <v/>
      </c>
    </row>
    <row r="1243">
      <c r="A1243" s="106" t="n">
        <v>44713</v>
      </c>
      <c r="B1243" t="n">
        <v>128.789267561</v>
      </c>
      <c r="C1243" t="n">
        <v>123.989667528</v>
      </c>
      <c r="D1243" t="n">
        <v/>
      </c>
      <c r="E1243" t="n">
        <v>109.289197916</v>
      </c>
      <c r="F1243" t="n">
        <v>134</v>
      </c>
      <c r="G1243" t="n">
        <v/>
      </c>
      <c r="H1243" t="n">
        <v>100.532276778</v>
      </c>
      <c r="I1243" t="n">
        <v/>
      </c>
      <c r="J1243" t="n">
        <v>115.480753208</v>
      </c>
      <c r="K1243" t="n">
        <v>96.808067339</v>
      </c>
      <c r="L1243" t="n">
        <v>133.2</v>
      </c>
      <c r="M1243" t="n">
        <v>106.391134072</v>
      </c>
      <c r="N1243" t="n">
        <v>107.569089641</v>
      </c>
      <c r="O1243" t="n">
        <v>127.310609217</v>
      </c>
      <c r="P1243" t="n">
        <v/>
      </c>
      <c r="Q1243" t="n">
        <v>120.310025835</v>
      </c>
      <c r="R1243" t="n">
        <v>98.86</v>
      </c>
      <c r="S1243" t="n">
        <v>102.079236867</v>
      </c>
      <c r="T1243" t="n">
        <v>113.335691546</v>
      </c>
      <c r="U1243" t="n">
        <v/>
      </c>
      <c r="V1243" t="n">
        <v>122.66711063</v>
      </c>
      <c r="W1243" t="n">
        <v>125.310442537</v>
      </c>
      <c r="X1243" t="n">
        <v>125.166519424</v>
      </c>
      <c r="Y1243" t="n">
        <v/>
      </c>
      <c r="Z1243" t="n">
        <v>157.57373771</v>
      </c>
      <c r="AA1243" t="n">
        <v/>
      </c>
      <c r="AB1243" t="n">
        <v>127.587822014</v>
      </c>
      <c r="AC1243" t="n">
        <v>104.19131739</v>
      </c>
      <c r="AD1243" t="n">
        <v>96.49195900300001</v>
      </c>
      <c r="AE1243" t="n">
        <v>119.7</v>
      </c>
      <c r="AF1243" t="n">
        <v>93.50779231600001</v>
      </c>
      <c r="AG1243" t="n">
        <v>123.2</v>
      </c>
      <c r="AH1243" t="n">
        <v/>
      </c>
      <c r="AI1243" t="n">
        <v>106.291142405</v>
      </c>
      <c r="AJ1243" t="n">
        <v>105.546935609</v>
      </c>
      <c r="AK1243" t="n">
        <v/>
      </c>
      <c r="AL1243" t="n">
        <v>107.768621417</v>
      </c>
      <c r="AM1243" t="n">
        <v>151.2</v>
      </c>
      <c r="AN1243" t="n">
        <v>99.22917309</v>
      </c>
      <c r="AO1243" t="n">
        <v/>
      </c>
      <c r="AP1243" t="n">
        <v>106.517752959</v>
      </c>
      <c r="AQ1243" t="n">
        <v>131.310942579</v>
      </c>
      <c r="AR1243" t="n">
        <v>116.490292476</v>
      </c>
      <c r="AS1243" t="n">
        <v>146.887759353</v>
      </c>
      <c r="AT1243" t="n">
        <v>103.071648101</v>
      </c>
      <c r="AU1243" t="n">
        <v/>
      </c>
    </row>
    <row r="1244">
      <c r="A1244" s="106" t="n">
        <v>44743</v>
      </c>
      <c r="B1244" t="n">
        <v>123.489709191</v>
      </c>
      <c r="C1244" t="n">
        <v>126.089492542</v>
      </c>
      <c r="D1244" t="n">
        <v/>
      </c>
      <c r="E1244" t="n">
        <v>109.78439708</v>
      </c>
      <c r="F1244" t="n">
        <v>123.8</v>
      </c>
      <c r="G1244" t="n">
        <v/>
      </c>
      <c r="H1244" t="n">
        <v>98.423500627</v>
      </c>
      <c r="I1244" t="n">
        <v/>
      </c>
      <c r="J1244" t="n">
        <v>114.780869855</v>
      </c>
      <c r="K1244" t="n">
        <v>96.20801733499999</v>
      </c>
      <c r="L1244" t="n">
        <v>130.1</v>
      </c>
      <c r="M1244" t="n">
        <v>103.891342388</v>
      </c>
      <c r="N1244" t="n">
        <v>106.349088624</v>
      </c>
      <c r="O1244" t="n">
        <v>117.809817485</v>
      </c>
      <c r="P1244" t="n">
        <v/>
      </c>
      <c r="Q1244" t="n">
        <v>117.209767481</v>
      </c>
      <c r="R1244" t="n">
        <v>97.18000000000001</v>
      </c>
      <c r="S1244" t="n">
        <v>102.389627835</v>
      </c>
      <c r="T1244" t="n">
        <v>112.592854616</v>
      </c>
      <c r="U1244" t="n">
        <v/>
      </c>
      <c r="V1244" t="n">
        <v>123.666028469</v>
      </c>
      <c r="W1244" t="n">
        <v>126.010500875</v>
      </c>
      <c r="X1244" t="n">
        <v>120.576078088</v>
      </c>
      <c r="Y1244" t="n">
        <v/>
      </c>
      <c r="Z1244" t="n">
        <v>123.879353441</v>
      </c>
      <c r="AA1244" t="n">
        <v/>
      </c>
      <c r="AB1244" t="n">
        <v>124.964871194</v>
      </c>
      <c r="AC1244" t="n">
        <v>104.59128406</v>
      </c>
      <c r="AD1244" t="n">
        <v>97.191900675</v>
      </c>
      <c r="AE1244" t="n">
        <v>118.2</v>
      </c>
      <c r="AF1244" t="n">
        <v>93.907825652</v>
      </c>
      <c r="AG1244" t="n">
        <v>121.4</v>
      </c>
      <c r="AH1244" t="n">
        <v/>
      </c>
      <c r="AI1244" t="n">
        <v>106.591117407</v>
      </c>
      <c r="AJ1244" t="n">
        <v>107.874321179</v>
      </c>
      <c r="AK1244" t="n">
        <v/>
      </c>
      <c r="AL1244" t="n">
        <v>107.512155639</v>
      </c>
      <c r="AM1244" t="n">
        <v>151.9</v>
      </c>
      <c r="AN1244" t="n">
        <v>99.119174007</v>
      </c>
      <c r="AO1244" t="n">
        <v/>
      </c>
      <c r="AP1244" t="n">
        <v>107.817969662</v>
      </c>
      <c r="AQ1244" t="n">
        <v>131.910992583</v>
      </c>
      <c r="AR1244" t="n">
        <v>125.589534205</v>
      </c>
      <c r="AS1244" t="n">
        <v>137.888509291</v>
      </c>
      <c r="AT1244" t="n">
        <v>103.605913877</v>
      </c>
      <c r="AU1244" t="n">
        <v/>
      </c>
    </row>
    <row r="1245">
      <c r="A1245" s="106" t="n">
        <v>44774</v>
      </c>
      <c r="B1245" t="n">
        <v>128.789267561</v>
      </c>
      <c r="C1245" t="n">
        <v>121.789850846</v>
      </c>
      <c r="D1245" t="n">
        <v/>
      </c>
      <c r="E1245" t="n">
        <v>109.303377039</v>
      </c>
      <c r="F1245" t="n">
        <v>130.1</v>
      </c>
      <c r="G1245" t="n">
        <v/>
      </c>
      <c r="H1245" t="n">
        <v>96.52439325100001</v>
      </c>
      <c r="I1245" t="n">
        <v/>
      </c>
      <c r="J1245" t="n">
        <v>115.980669888</v>
      </c>
      <c r="K1245" t="n">
        <v>95.807983999</v>
      </c>
      <c r="L1245" t="n">
        <v>131.6</v>
      </c>
      <c r="M1245" t="n">
        <v>105.991167403</v>
      </c>
      <c r="N1245" t="n">
        <v>106.685088904</v>
      </c>
      <c r="O1245" t="n">
        <v>123.510292524</v>
      </c>
      <c r="P1245" t="n">
        <v/>
      </c>
      <c r="Q1245" t="n">
        <v>117.909825819</v>
      </c>
      <c r="R1245" t="n">
        <v>99.63</v>
      </c>
      <c r="S1245" t="n">
        <v>102.706690656</v>
      </c>
      <c r="T1245" t="n">
        <v>111.001061196</v>
      </c>
      <c r="U1245" t="n">
        <v/>
      </c>
      <c r="V1245" t="n">
        <v>122.367435278</v>
      </c>
      <c r="W1245" t="n">
        <v>126.410534211</v>
      </c>
      <c r="X1245" t="n">
        <v>118.469498122</v>
      </c>
      <c r="Y1245" t="n">
        <v/>
      </c>
      <c r="Z1245" t="n">
        <v>148.175304116</v>
      </c>
      <c r="AA1245" t="n">
        <v/>
      </c>
      <c r="AB1245" t="n">
        <v>130.117096019</v>
      </c>
      <c r="AC1245" t="n">
        <v>106.991084076</v>
      </c>
      <c r="AD1245" t="n">
        <v>99.691692359</v>
      </c>
      <c r="AE1245" t="n">
        <v>116.6</v>
      </c>
      <c r="AF1245" t="n">
        <v>94.10784232</v>
      </c>
      <c r="AG1245" t="n">
        <v>121.8</v>
      </c>
      <c r="AH1245" t="n">
        <v/>
      </c>
      <c r="AI1245" t="n">
        <v>104.891259062</v>
      </c>
      <c r="AJ1245" t="n">
        <v>111.249030256</v>
      </c>
      <c r="AK1245" t="n">
        <v/>
      </c>
      <c r="AL1245" t="n">
        <v>107.808939091</v>
      </c>
      <c r="AM1245" t="n">
        <v>152.3</v>
      </c>
      <c r="AN1245" t="n">
        <v>100.99915834</v>
      </c>
      <c r="AO1245" t="n">
        <v/>
      </c>
      <c r="AP1245" t="n">
        <v>106.817802967</v>
      </c>
      <c r="AQ1245" t="n">
        <v>132.911075923</v>
      </c>
      <c r="AR1245" t="n">
        <v>116.69027581</v>
      </c>
      <c r="AS1245" t="n">
        <v>141.288225981</v>
      </c>
      <c r="AT1245" t="n">
        <v>103.534817262</v>
      </c>
      <c r="AU1245" t="n">
        <v/>
      </c>
    </row>
    <row r="1246">
      <c r="A1246" s="106" t="n">
        <v>44805</v>
      </c>
      <c r="B1246" t="n">
        <v>126.789434214</v>
      </c>
      <c r="C1246" t="n">
        <v>131.08907591</v>
      </c>
      <c r="D1246" t="n">
        <v/>
      </c>
      <c r="E1246" t="n">
        <v>109.351265019</v>
      </c>
      <c r="F1246" t="n">
        <v>138</v>
      </c>
      <c r="G1246" t="n">
        <v/>
      </c>
      <c r="H1246" t="n">
        <v>98.453152319</v>
      </c>
      <c r="I1246" t="n">
        <v/>
      </c>
      <c r="J1246" t="n">
        <v>115.980669888</v>
      </c>
      <c r="K1246" t="n">
        <v>97.108092341</v>
      </c>
      <c r="L1246" t="n">
        <v>134.7</v>
      </c>
      <c r="M1246" t="n">
        <v>106.991084076</v>
      </c>
      <c r="N1246" t="n">
        <v>106.412088677</v>
      </c>
      <c r="O1246" t="n">
        <v>118.909909159</v>
      </c>
      <c r="P1246" t="n">
        <v/>
      </c>
      <c r="Q1246" t="n">
        <v>119.409950829</v>
      </c>
      <c r="R1246" t="n">
        <v>98.77</v>
      </c>
      <c r="S1246" t="n">
        <v/>
      </c>
      <c r="T1246" t="n">
        <v>111.31941988</v>
      </c>
      <c r="U1246" t="n">
        <v/>
      </c>
      <c r="V1246" t="n">
        <v>116.873387164</v>
      </c>
      <c r="W1246" t="n">
        <v>128.210684224</v>
      </c>
      <c r="X1246" t="n">
        <v>121.087491985</v>
      </c>
      <c r="Y1246" t="n">
        <v/>
      </c>
      <c r="Z1246" t="n">
        <v>165.872354608</v>
      </c>
      <c r="AA1246" t="n">
        <v/>
      </c>
      <c r="AB1246" t="n">
        <v>131.053864169</v>
      </c>
      <c r="AC1246" t="n">
        <v>105.091242396</v>
      </c>
      <c r="AD1246" t="n">
        <v>98.391800683</v>
      </c>
      <c r="AE1246" t="n">
        <v>114.4</v>
      </c>
      <c r="AF1246" t="n">
        <v>95.907992333</v>
      </c>
      <c r="AG1246" t="n">
        <v>120.6</v>
      </c>
      <c r="AH1246" t="n">
        <v/>
      </c>
      <c r="AI1246" t="n">
        <v>106.791100742</v>
      </c>
      <c r="AJ1246" t="n">
        <v>108.456167572</v>
      </c>
      <c r="AK1246" t="n">
        <v/>
      </c>
      <c r="AL1246" t="n">
        <v/>
      </c>
      <c r="AM1246" t="n">
        <v>152</v>
      </c>
      <c r="AN1246" t="n">
        <v>98.829176424</v>
      </c>
      <c r="AO1246" t="n">
        <v/>
      </c>
      <c r="AP1246" t="n">
        <v>105.917652942</v>
      </c>
      <c r="AQ1246" t="n">
        <v>130.61088424</v>
      </c>
      <c r="AR1246" t="n">
        <v>118.690109158</v>
      </c>
      <c r="AS1246" t="n">
        <v>138.988417632</v>
      </c>
      <c r="AT1246" t="n">
        <v>103.930856146</v>
      </c>
      <c r="AU1246" t="n">
        <v/>
      </c>
    </row>
    <row r="1247">
      <c r="A1247" s="106" t="n">
        <v>44835</v>
      </c>
      <c r="B1247" t="n">
        <v/>
      </c>
      <c r="C1247" t="n">
        <v>128.489292559</v>
      </c>
      <c r="D1247" t="n">
        <v/>
      </c>
      <c r="E1247" t="n">
        <v/>
      </c>
      <c r="F1247" t="n">
        <v/>
      </c>
      <c r="G1247" t="n">
        <v/>
      </c>
      <c r="H1247" t="n">
        <v>99.59152018100001</v>
      </c>
      <c r="I1247" t="n">
        <v/>
      </c>
      <c r="J1247" t="n">
        <v>111.681386436</v>
      </c>
      <c r="K1247" t="n">
        <v>96.708059005</v>
      </c>
      <c r="L1247" t="n">
        <v>131.5</v>
      </c>
      <c r="M1247" t="n">
        <v/>
      </c>
      <c r="N1247" t="n">
        <v/>
      </c>
      <c r="O1247" t="n">
        <v>117.809817485</v>
      </c>
      <c r="P1247" t="n">
        <v/>
      </c>
      <c r="Q1247" t="n">
        <v/>
      </c>
      <c r="R1247" t="n">
        <v>96.25</v>
      </c>
      <c r="S1247" t="n">
        <v/>
      </c>
      <c r="T1247" t="n">
        <v/>
      </c>
      <c r="U1247" t="n">
        <v/>
      </c>
      <c r="V1247" t="n">
        <v/>
      </c>
      <c r="W1247" t="n">
        <v>123.710309192</v>
      </c>
      <c r="X1247" t="n">
        <v/>
      </c>
      <c r="Y1247" t="n">
        <v/>
      </c>
      <c r="Z1247" t="n">
        <v/>
      </c>
      <c r="AA1247" t="n">
        <v/>
      </c>
      <c r="AB1247" t="n">
        <v/>
      </c>
      <c r="AC1247" t="n">
        <v/>
      </c>
      <c r="AD1247" t="n">
        <v/>
      </c>
      <c r="AE1247" t="n">
        <v>110.4</v>
      </c>
      <c r="AF1247" t="n">
        <v>91.707642304</v>
      </c>
      <c r="AG1247" t="n">
        <v>120.6</v>
      </c>
      <c r="AH1247" t="n">
        <v/>
      </c>
      <c r="AI1247" t="n">
        <v>105.091242396</v>
      </c>
      <c r="AJ1247" t="n">
        <v>107.176105508</v>
      </c>
      <c r="AK1247" t="n">
        <v/>
      </c>
      <c r="AL1247" t="n">
        <v/>
      </c>
      <c r="AM1247" t="n">
        <v>151.2</v>
      </c>
      <c r="AN1247" t="n">
        <v>97.03919134</v>
      </c>
      <c r="AO1247" t="n">
        <v/>
      </c>
      <c r="AP1247" t="n">
        <v/>
      </c>
      <c r="AQ1247" t="n">
        <v>130.210850904</v>
      </c>
      <c r="AR1247" t="n">
        <v>117.09024248</v>
      </c>
      <c r="AS1247" t="n">
        <v/>
      </c>
      <c r="AT1247" t="n">
        <v>103.865907355</v>
      </c>
      <c r="AU1247" t="n">
        <v/>
      </c>
    </row>
    <row r="1248">
      <c r="A1248" s="106" t="n">
        <v>44866</v>
      </c>
      <c r="B1248" t="n">
        <v/>
      </c>
      <c r="C1248" t="n">
        <v/>
      </c>
      <c r="D1248" t="n">
        <v/>
      </c>
      <c r="E1248" t="n">
        <v/>
      </c>
      <c r="F1248" t="n">
        <v/>
      </c>
      <c r="G1248" t="n">
        <v/>
      </c>
      <c r="H1248" t="n">
        <v/>
      </c>
      <c r="I1248" t="n">
        <v/>
      </c>
      <c r="J1248" t="n">
        <v/>
      </c>
      <c r="K1248" t="n">
        <v/>
      </c>
      <c r="L1248" t="n">
        <v/>
      </c>
      <c r="M1248" t="n">
        <v/>
      </c>
      <c r="N1248" t="n">
        <v/>
      </c>
      <c r="O1248" t="n">
        <v/>
      </c>
      <c r="P1248" t="n">
        <v/>
      </c>
      <c r="Q1248" t="n">
        <v/>
      </c>
      <c r="R1248" t="n">
        <v/>
      </c>
      <c r="S1248" t="n">
        <v/>
      </c>
      <c r="T1248" t="n">
        <v/>
      </c>
      <c r="U1248" t="n">
        <v/>
      </c>
      <c r="V1248" t="n">
        <v/>
      </c>
      <c r="W1248" t="n">
        <v/>
      </c>
      <c r="X1248" t="n">
        <v/>
      </c>
      <c r="Y1248" t="n">
        <v/>
      </c>
      <c r="Z1248" t="n">
        <v/>
      </c>
      <c r="AA1248" t="n">
        <v/>
      </c>
      <c r="AB1248" t="n">
        <v/>
      </c>
      <c r="AC1248" t="n">
        <v/>
      </c>
      <c r="AD1248" t="n">
        <v/>
      </c>
      <c r="AE1248" t="n">
        <v/>
      </c>
      <c r="AF1248" t="n">
        <v/>
      </c>
      <c r="AG1248" t="n">
        <v/>
      </c>
      <c r="AH1248" t="n">
        <v/>
      </c>
      <c r="AI1248" t="n">
        <v/>
      </c>
      <c r="AJ1248" t="n">
        <v/>
      </c>
      <c r="AK1248" t="n">
        <v/>
      </c>
      <c r="AL1248" t="n">
        <v/>
      </c>
      <c r="AM1248" t="n">
        <v/>
      </c>
      <c r="AN1248" t="n">
        <v/>
      </c>
      <c r="AO1248" t="n">
        <v/>
      </c>
      <c r="AP1248" t="n">
        <v/>
      </c>
      <c r="AQ1248" t="n">
        <v/>
      </c>
      <c r="AR1248" t="n">
        <v/>
      </c>
      <c r="AS1248" t="n">
        <v/>
      </c>
      <c r="AT1248" t="n">
        <v>103.637942059</v>
      </c>
      <c r="AU1248" t="n">
        <v/>
      </c>
    </row>
    <row r="1249">
      <c r="A1249" s="106" t="n">
        <v>44896</v>
      </c>
      <c r="B1249" t="n">
        <v/>
      </c>
      <c r="C1249" t="n">
        <v/>
      </c>
      <c r="D1249" t="n">
        <v/>
      </c>
      <c r="E1249" t="n">
        <v/>
      </c>
      <c r="F1249" t="n">
        <v/>
      </c>
      <c r="G1249" t="n">
        <v/>
      </c>
      <c r="H1249" t="n">
        <v/>
      </c>
      <c r="I1249" t="n">
        <v/>
      </c>
      <c r="J1249" t="n">
        <v/>
      </c>
      <c r="K1249" t="n">
        <v/>
      </c>
      <c r="L1249" t="n">
        <v/>
      </c>
      <c r="M1249" t="n">
        <v/>
      </c>
      <c r="N1249" t="n">
        <v/>
      </c>
      <c r="O1249" t="n">
        <v/>
      </c>
      <c r="P1249" t="n">
        <v/>
      </c>
      <c r="Q1249" t="n">
        <v/>
      </c>
      <c r="R1249" t="n">
        <v/>
      </c>
      <c r="S1249" t="n">
        <v/>
      </c>
      <c r="T1249" t="n">
        <v/>
      </c>
      <c r="U1249" t="n">
        <v/>
      </c>
      <c r="V1249" t="n">
        <v/>
      </c>
      <c r="W1249" t="n">
        <v/>
      </c>
      <c r="X1249" t="n">
        <v/>
      </c>
      <c r="Y1249" t="n">
        <v/>
      </c>
      <c r="Z1249" t="n">
        <v/>
      </c>
      <c r="AA1249" t="n">
        <v/>
      </c>
      <c r="AB1249" t="n">
        <v/>
      </c>
      <c r="AC1249" t="n">
        <v/>
      </c>
      <c r="AD1249" t="n">
        <v/>
      </c>
      <c r="AE1249" t="n">
        <v/>
      </c>
      <c r="AF1249" t="n">
        <v/>
      </c>
      <c r="AG1249" t="n">
        <v/>
      </c>
      <c r="AH1249" t="n">
        <v/>
      </c>
      <c r="AI1249" t="n">
        <v/>
      </c>
      <c r="AJ1249" t="n">
        <v/>
      </c>
      <c r="AK1249" t="n">
        <v/>
      </c>
      <c r="AL1249" t="n">
        <v/>
      </c>
      <c r="AM1249" t="n">
        <v/>
      </c>
      <c r="AN1249" t="n">
        <v/>
      </c>
      <c r="AO1249" t="n">
        <v/>
      </c>
      <c r="AP1249" t="n">
        <v/>
      </c>
      <c r="AQ1249" t="n">
        <v/>
      </c>
      <c r="AR1249" t="n">
        <v/>
      </c>
      <c r="AS1249" t="n">
        <v/>
      </c>
      <c r="AT1249" t="n">
        <v/>
      </c>
      <c r="AU1249" t="n">
        <v/>
      </c>
    </row>
    <row r="1250">
      <c r="A1250" s="106" t="n">
        <v>44927</v>
      </c>
      <c r="B1250" t="n">
        <v/>
      </c>
      <c r="C1250" t="n">
        <v/>
      </c>
      <c r="D1250" t="n">
        <v/>
      </c>
      <c r="E1250" t="n">
        <v/>
      </c>
      <c r="F1250" t="n">
        <v/>
      </c>
      <c r="G1250" t="n">
        <v/>
      </c>
      <c r="H1250" t="n">
        <v/>
      </c>
      <c r="I1250" t="n">
        <v/>
      </c>
      <c r="J1250" t="n">
        <v/>
      </c>
      <c r="K1250" t="n">
        <v/>
      </c>
      <c r="L1250" t="n">
        <v/>
      </c>
      <c r="M1250" t="n">
        <v/>
      </c>
      <c r="N1250" t="n">
        <v/>
      </c>
      <c r="O1250" t="n">
        <v/>
      </c>
      <c r="P1250" t="n">
        <v/>
      </c>
      <c r="Q1250" t="n">
        <v/>
      </c>
      <c r="R1250" t="n">
        <v/>
      </c>
      <c r="S1250" t="n">
        <v/>
      </c>
      <c r="T1250" t="n">
        <v/>
      </c>
      <c r="U1250" t="n">
        <v/>
      </c>
      <c r="V1250" t="n">
        <v/>
      </c>
      <c r="W1250" t="n">
        <v/>
      </c>
      <c r="X1250" t="n">
        <v/>
      </c>
      <c r="Y1250" t="n">
        <v/>
      </c>
      <c r="Z1250" t="n">
        <v/>
      </c>
      <c r="AA1250" t="n">
        <v/>
      </c>
      <c r="AB1250" t="n">
        <v/>
      </c>
      <c r="AC1250" t="n">
        <v/>
      </c>
      <c r="AD1250" t="n">
        <v/>
      </c>
      <c r="AE1250" t="n">
        <v/>
      </c>
      <c r="AF1250" t="n">
        <v/>
      </c>
      <c r="AG1250" t="n">
        <v/>
      </c>
      <c r="AH1250" t="n">
        <v/>
      </c>
      <c r="AI1250" t="n">
        <v/>
      </c>
      <c r="AJ1250" t="n">
        <v/>
      </c>
      <c r="AK1250" t="n">
        <v/>
      </c>
      <c r="AL1250" t="n">
        <v/>
      </c>
      <c r="AM1250" t="n">
        <v/>
      </c>
      <c r="AN1250" t="n">
        <v/>
      </c>
      <c r="AO1250" t="n">
        <v/>
      </c>
      <c r="AP1250" t="n">
        <v/>
      </c>
      <c r="AQ1250" t="n">
        <v/>
      </c>
      <c r="AR1250" t="n">
        <v/>
      </c>
      <c r="AS1250" t="n">
        <v/>
      </c>
      <c r="AT1250" t="n">
        <v/>
      </c>
      <c r="AU1250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 codeName="Sheet2">
    <tabColor theme="6"/>
    <outlinePr summaryBelow="1" summaryRight="1"/>
    <pageSetUpPr/>
  </sheetPr>
  <dimension ref="A1:D182"/>
  <sheetViews>
    <sheetView zoomScale="190" zoomScaleNormal="190" workbookViewId="0">
      <selection activeCell="A4" sqref="A4"/>
    </sheetView>
  </sheetViews>
  <sheetFormatPr baseColWidth="8" defaultColWidth="10.90625" defaultRowHeight="14.5"/>
  <cols>
    <col width="21.1796875" customWidth="1" style="80" min="3" max="3"/>
  </cols>
  <sheetData>
    <row r="1">
      <c r="A1" t="inlineStr">
        <is>
          <t>COUNTRY</t>
        </is>
      </c>
      <c r="B1" t="inlineStr">
        <is>
          <t>GDP</t>
        </is>
      </c>
      <c r="C1" t="inlineStr">
        <is>
          <t>INVESTMENT_PERCENTAGE</t>
        </is>
      </c>
      <c r="D1" t="inlineStr">
        <is>
          <t>CODE</t>
        </is>
      </c>
    </row>
    <row r="2">
      <c r="A2" t="inlineStr">
        <is>
          <t>United States</t>
        </is>
      </c>
      <c r="B2" t="n">
        <v>22996</v>
      </c>
      <c r="C2" t="n">
        <v>21.0918277690625</v>
      </c>
      <c r="D2" t="inlineStr">
        <is>
          <t>USA</t>
        </is>
      </c>
    </row>
    <row r="3">
      <c r="A3" t="inlineStr">
        <is>
          <t>China</t>
        </is>
      </c>
      <c r="B3" t="n">
        <v>17734</v>
      </c>
      <c r="C3" t="n">
        <v>43.5439575852507</v>
      </c>
      <c r="D3" t="inlineStr">
        <is>
          <t>CHN</t>
        </is>
      </c>
    </row>
    <row r="4">
      <c r="A4" t="inlineStr">
        <is>
          <t>Euro Area</t>
        </is>
      </c>
      <c r="B4" t="n">
        <v>14493</v>
      </c>
    </row>
    <row r="5">
      <c r="A5" t="inlineStr">
        <is>
          <t>Japan</t>
        </is>
      </c>
      <c r="B5" t="n">
        <v>4937</v>
      </c>
      <c r="C5" t="n">
        <v>25.5064392440487</v>
      </c>
      <c r="D5" t="inlineStr">
        <is>
          <t>JPN</t>
        </is>
      </c>
    </row>
    <row r="6">
      <c r="A6" t="inlineStr">
        <is>
          <t>Germany</t>
        </is>
      </c>
      <c r="B6" t="n">
        <v>4223</v>
      </c>
      <c r="C6" t="n">
        <v>22.6502400143392</v>
      </c>
      <c r="D6" t="inlineStr">
        <is>
          <t>DEU</t>
        </is>
      </c>
    </row>
    <row r="7">
      <c r="A7" t="inlineStr">
        <is>
          <t>United Kingdom</t>
        </is>
      </c>
      <c r="B7" t="n">
        <v>3187</v>
      </c>
      <c r="C7" t="n">
        <v>17.4297621030843</v>
      </c>
      <c r="D7" t="inlineStr">
        <is>
          <t>GBR</t>
        </is>
      </c>
    </row>
    <row r="8">
      <c r="A8" t="inlineStr">
        <is>
          <t>India</t>
        </is>
      </c>
      <c r="B8" t="n">
        <v>3173</v>
      </c>
      <c r="C8" t="n">
        <v>31.1973628091831</v>
      </c>
      <c r="D8" t="inlineStr">
        <is>
          <t>IND</t>
        </is>
      </c>
    </row>
    <row r="9">
      <c r="A9" t="inlineStr">
        <is>
          <t>France</t>
        </is>
      </c>
      <c r="B9" t="n">
        <v>2937</v>
      </c>
      <c r="C9" t="n">
        <v>25.3531141690181</v>
      </c>
      <c r="D9" t="inlineStr">
        <is>
          <t>FRA</t>
        </is>
      </c>
    </row>
    <row r="10">
      <c r="A10" t="inlineStr">
        <is>
          <t>Italy</t>
        </is>
      </c>
      <c r="B10" t="n">
        <v>2100</v>
      </c>
      <c r="C10" t="n">
        <v>20.0072500484951</v>
      </c>
      <c r="D10" t="inlineStr">
        <is>
          <t>ITA</t>
        </is>
      </c>
    </row>
    <row r="11">
      <c r="A11" t="inlineStr">
        <is>
          <t>Canada</t>
        </is>
      </c>
      <c r="B11" t="n">
        <v>1991</v>
      </c>
      <c r="C11" t="n">
        <v>23.6920161687706</v>
      </c>
      <c r="D11" t="inlineStr">
        <is>
          <t>CAN</t>
        </is>
      </c>
    </row>
    <row r="12">
      <c r="A12" t="inlineStr">
        <is>
          <t>South Korea</t>
        </is>
      </c>
      <c r="B12" t="n">
        <v>1799</v>
      </c>
      <c r="C12" t="n">
        <v>31.816938441889</v>
      </c>
      <c r="D12" t="inlineStr">
        <is>
          <t>KOR</t>
        </is>
      </c>
    </row>
    <row r="13">
      <c r="A13" t="inlineStr">
        <is>
          <t>Russia</t>
        </is>
      </c>
      <c r="B13" t="n">
        <v>1776</v>
      </c>
      <c r="C13" t="n">
        <v>22.462198565239</v>
      </c>
      <c r="D13" t="inlineStr">
        <is>
          <t>RUS</t>
        </is>
      </c>
    </row>
    <row r="14">
      <c r="A14" t="inlineStr">
        <is>
          <t>Brazil</t>
        </is>
      </c>
      <c r="B14" t="n">
        <v>1609</v>
      </c>
      <c r="C14" t="n">
        <v>18.9197501560449</v>
      </c>
      <c r="D14" t="inlineStr">
        <is>
          <t>BRA</t>
        </is>
      </c>
    </row>
    <row r="15">
      <c r="A15" t="inlineStr">
        <is>
          <t>Australia</t>
        </is>
      </c>
      <c r="B15" t="n">
        <v>1543</v>
      </c>
      <c r="C15" t="n">
        <v>22.6819899274798</v>
      </c>
      <c r="D15" t="inlineStr">
        <is>
          <t>AUS</t>
        </is>
      </c>
    </row>
    <row r="16">
      <c r="A16" t="inlineStr">
        <is>
          <t>Spain</t>
        </is>
      </c>
      <c r="B16" t="n">
        <v>1425</v>
      </c>
      <c r="C16" t="n">
        <v>21.4968014120424</v>
      </c>
      <c r="D16" t="inlineStr">
        <is>
          <t>ESP</t>
        </is>
      </c>
    </row>
    <row r="17">
      <c r="A17" t="inlineStr">
        <is>
          <t>Mexico</t>
        </is>
      </c>
      <c r="B17" t="n">
        <v>1293</v>
      </c>
      <c r="C17" t="n">
        <v>20.2173118575997</v>
      </c>
      <c r="D17" t="inlineStr">
        <is>
          <t>MEX</t>
        </is>
      </c>
    </row>
    <row r="18">
      <c r="A18" t="inlineStr">
        <is>
          <t>Indonesia</t>
        </is>
      </c>
      <c r="B18" t="n">
        <v>1186</v>
      </c>
      <c r="C18" t="n">
        <v>31.4599211451255</v>
      </c>
      <c r="D18" t="inlineStr">
        <is>
          <t>IDN</t>
        </is>
      </c>
    </row>
    <row r="19">
      <c r="A19" t="inlineStr">
        <is>
          <t>Netherlands</t>
        </is>
      </c>
      <c r="B19" t="n">
        <v>1018</v>
      </c>
      <c r="C19" t="n">
        <v>21.2049460973907</v>
      </c>
      <c r="D19" t="inlineStr">
        <is>
          <t>NLD</t>
        </is>
      </c>
    </row>
    <row r="20">
      <c r="A20" t="inlineStr">
        <is>
          <t>Saudi Arabia</t>
        </is>
      </c>
      <c r="B20" t="n">
        <v>834</v>
      </c>
    </row>
    <row r="21">
      <c r="A21" t="inlineStr">
        <is>
          <t>Turkey</t>
        </is>
      </c>
      <c r="B21" t="n">
        <v>815</v>
      </c>
    </row>
    <row r="22">
      <c r="A22" t="inlineStr">
        <is>
          <t>Switzerland</t>
        </is>
      </c>
      <c r="B22" t="n">
        <v>813</v>
      </c>
    </row>
    <row r="23">
      <c r="A23" t="inlineStr">
        <is>
          <t>Taiwan</t>
        </is>
      </c>
      <c r="B23" t="n">
        <v>775</v>
      </c>
    </row>
    <row r="24">
      <c r="A24" t="inlineStr">
        <is>
          <t>Poland</t>
        </is>
      </c>
      <c r="B24" t="n">
        <v>674</v>
      </c>
    </row>
    <row r="25">
      <c r="A25" t="inlineStr">
        <is>
          <t>Sweden</t>
        </is>
      </c>
      <c r="B25" t="n">
        <v>627</v>
      </c>
    </row>
    <row r="26">
      <c r="A26" t="inlineStr">
        <is>
          <t>Belgium</t>
        </is>
      </c>
      <c r="B26" t="n">
        <v>600</v>
      </c>
    </row>
    <row r="27">
      <c r="A27" t="inlineStr">
        <is>
          <t>Thailand</t>
        </is>
      </c>
      <c r="B27" t="n">
        <v>506</v>
      </c>
    </row>
    <row r="28">
      <c r="A28" t="inlineStr">
        <is>
          <t>Ireland</t>
        </is>
      </c>
      <c r="B28" t="n">
        <v>499</v>
      </c>
    </row>
    <row r="29">
      <c r="A29" t="inlineStr">
        <is>
          <t>Argentina</t>
        </is>
      </c>
      <c r="B29" t="n">
        <v>491</v>
      </c>
    </row>
    <row r="30">
      <c r="A30" t="inlineStr">
        <is>
          <t>Israel</t>
        </is>
      </c>
      <c r="B30" t="n">
        <v>482</v>
      </c>
    </row>
    <row r="31">
      <c r="A31" t="inlineStr">
        <is>
          <t>Norway</t>
        </is>
      </c>
      <c r="B31" t="n">
        <v>482</v>
      </c>
    </row>
    <row r="32">
      <c r="A32" t="inlineStr">
        <is>
          <t>Austria</t>
        </is>
      </c>
      <c r="B32" t="n">
        <v>477</v>
      </c>
    </row>
    <row r="33">
      <c r="A33" t="inlineStr">
        <is>
          <t>Nigeria</t>
        </is>
      </c>
      <c r="B33" t="n">
        <v>441</v>
      </c>
    </row>
    <row r="34">
      <c r="A34" t="inlineStr">
        <is>
          <t>South Africa</t>
        </is>
      </c>
      <c r="B34" t="n">
        <v>420</v>
      </c>
    </row>
    <row r="35">
      <c r="A35" t="inlineStr">
        <is>
          <t>Bangladesh</t>
        </is>
      </c>
      <c r="B35" t="n">
        <v>416</v>
      </c>
    </row>
    <row r="36">
      <c r="A36" t="inlineStr">
        <is>
          <t>Egypt</t>
        </is>
      </c>
      <c r="B36" t="n">
        <v>404</v>
      </c>
    </row>
    <row r="37">
      <c r="A37" t="inlineStr">
        <is>
          <t>Denmark</t>
        </is>
      </c>
      <c r="B37" t="n">
        <v>397</v>
      </c>
    </row>
    <row r="38">
      <c r="A38" t="inlineStr">
        <is>
          <t>Singapore</t>
        </is>
      </c>
      <c r="B38" t="n">
        <v>397</v>
      </c>
    </row>
    <row r="39">
      <c r="A39" t="inlineStr">
        <is>
          <t>Philippines</t>
        </is>
      </c>
      <c r="B39" t="n">
        <v>394</v>
      </c>
    </row>
    <row r="40">
      <c r="A40" t="inlineStr">
        <is>
          <t>Malaysia</t>
        </is>
      </c>
      <c r="B40" t="n">
        <v>373</v>
      </c>
    </row>
    <row r="41">
      <c r="A41" t="inlineStr">
        <is>
          <t>Hong Kong</t>
        </is>
      </c>
      <c r="B41" t="n">
        <v>368</v>
      </c>
    </row>
    <row r="42">
      <c r="A42" t="inlineStr">
        <is>
          <t>Vietnam</t>
        </is>
      </c>
      <c r="B42" t="n">
        <v>363</v>
      </c>
    </row>
    <row r="43">
      <c r="A43" t="inlineStr">
        <is>
          <t>United Arab Emirates</t>
        </is>
      </c>
      <c r="B43" t="n">
        <v>359</v>
      </c>
    </row>
    <row r="44">
      <c r="A44" t="inlineStr">
        <is>
          <t>Pakistan</t>
        </is>
      </c>
      <c r="B44" t="n">
        <v>346</v>
      </c>
    </row>
    <row r="45">
      <c r="A45" t="inlineStr">
        <is>
          <t>Chile</t>
        </is>
      </c>
      <c r="B45" t="n">
        <v>317</v>
      </c>
    </row>
    <row r="46">
      <c r="A46" t="inlineStr">
        <is>
          <t>Colombia</t>
        </is>
      </c>
      <c r="B46" t="n">
        <v>314</v>
      </c>
    </row>
    <row r="47">
      <c r="A47" t="inlineStr">
        <is>
          <t>Finland</t>
        </is>
      </c>
      <c r="B47" t="n">
        <v>299</v>
      </c>
    </row>
    <row r="48">
      <c r="A48" t="inlineStr">
        <is>
          <t>Romania</t>
        </is>
      </c>
      <c r="B48" t="n">
        <v>284</v>
      </c>
    </row>
    <row r="49">
      <c r="A49" t="inlineStr">
        <is>
          <t>Czech Republic</t>
        </is>
      </c>
      <c r="B49" t="n">
        <v>282</v>
      </c>
    </row>
    <row r="50">
      <c r="A50" t="inlineStr">
        <is>
          <t>Portugal</t>
        </is>
      </c>
      <c r="B50" t="n">
        <v>250</v>
      </c>
    </row>
    <row r="51">
      <c r="A51" t="inlineStr">
        <is>
          <t>New Zealand</t>
        </is>
      </c>
      <c r="B51" t="n">
        <v>250</v>
      </c>
    </row>
    <row r="52">
      <c r="A52" t="inlineStr">
        <is>
          <t>Iran</t>
        </is>
      </c>
      <c r="B52" t="n">
        <v>232</v>
      </c>
    </row>
    <row r="53">
      <c r="A53" t="inlineStr">
        <is>
          <t>Peru</t>
        </is>
      </c>
      <c r="B53" t="n">
        <v>223</v>
      </c>
    </row>
    <row r="54">
      <c r="A54" t="inlineStr">
        <is>
          <t>Greece</t>
        </is>
      </c>
      <c r="B54" t="n">
        <v>216</v>
      </c>
    </row>
    <row r="55">
      <c r="A55" t="inlineStr">
        <is>
          <t>Iraq</t>
        </is>
      </c>
      <c r="B55" t="n">
        <v>208</v>
      </c>
    </row>
    <row r="56">
      <c r="A56" t="inlineStr">
        <is>
          <t>Ukraine</t>
        </is>
      </c>
      <c r="B56" t="n">
        <v>200</v>
      </c>
    </row>
    <row r="57">
      <c r="A57" t="inlineStr">
        <is>
          <t>Kazakhstan</t>
        </is>
      </c>
      <c r="B57" t="n">
        <v>191</v>
      </c>
    </row>
    <row r="58">
      <c r="A58" t="inlineStr">
        <is>
          <t>Hungary</t>
        </is>
      </c>
      <c r="B58" t="n">
        <v>182</v>
      </c>
    </row>
    <row r="59">
      <c r="A59" t="inlineStr">
        <is>
          <t>Qatar</t>
        </is>
      </c>
      <c r="B59" t="n">
        <v>180</v>
      </c>
    </row>
    <row r="60">
      <c r="A60" t="inlineStr">
        <is>
          <t>Algeria</t>
        </is>
      </c>
      <c r="B60" t="n">
        <v>168</v>
      </c>
    </row>
    <row r="61">
      <c r="A61" t="inlineStr">
        <is>
          <t>Morocco</t>
        </is>
      </c>
      <c r="B61" t="n">
        <v>133</v>
      </c>
    </row>
    <row r="62">
      <c r="A62" t="inlineStr">
        <is>
          <t>Slovakia</t>
        </is>
      </c>
      <c r="B62" t="n">
        <v>115</v>
      </c>
    </row>
    <row r="63">
      <c r="A63" t="inlineStr">
        <is>
          <t>Ethiopia</t>
        </is>
      </c>
      <c r="B63" t="n">
        <v>111</v>
      </c>
    </row>
    <row r="64">
      <c r="A64" t="inlineStr">
        <is>
          <t>Kenya</t>
        </is>
      </c>
      <c r="B64" t="n">
        <v>110</v>
      </c>
    </row>
    <row r="65">
      <c r="A65" t="inlineStr">
        <is>
          <t>Cuba</t>
        </is>
      </c>
      <c r="B65" t="n">
        <v>107</v>
      </c>
    </row>
    <row r="66">
      <c r="A66" t="inlineStr">
        <is>
          <t>Ecuador</t>
        </is>
      </c>
      <c r="B66" t="n">
        <v>106</v>
      </c>
    </row>
    <row r="67">
      <c r="A67" t="inlineStr">
        <is>
          <t>Kuwait</t>
        </is>
      </c>
      <c r="B67" t="n">
        <v>106</v>
      </c>
    </row>
    <row r="68">
      <c r="A68" t="inlineStr">
        <is>
          <t>Venezuela</t>
        </is>
      </c>
      <c r="B68" t="n">
        <v>106</v>
      </c>
    </row>
    <row r="69">
      <c r="A69" t="inlineStr">
        <is>
          <t>Puerto Rico</t>
        </is>
      </c>
      <c r="B69" t="n">
        <v>103</v>
      </c>
    </row>
    <row r="70">
      <c r="A70" t="inlineStr">
        <is>
          <t>Dominican Republic</t>
        </is>
      </c>
      <c r="B70" t="n">
        <v>94</v>
      </c>
    </row>
    <row r="71">
      <c r="A71" t="inlineStr">
        <is>
          <t>Luxembourg</t>
        </is>
      </c>
      <c r="B71" t="n">
        <v>87</v>
      </c>
    </row>
    <row r="72">
      <c r="A72" t="inlineStr">
        <is>
          <t>Oman</t>
        </is>
      </c>
      <c r="B72" t="n">
        <v>86</v>
      </c>
    </row>
    <row r="73">
      <c r="A73" t="inlineStr">
        <is>
          <t>Guatemala</t>
        </is>
      </c>
      <c r="B73" t="n">
        <v>86</v>
      </c>
    </row>
    <row r="74">
      <c r="A74" t="inlineStr">
        <is>
          <t>Sri Lanka</t>
        </is>
      </c>
      <c r="B74" t="n">
        <v>85</v>
      </c>
    </row>
    <row r="75">
      <c r="A75" t="inlineStr">
        <is>
          <t>Bulgaria</t>
        </is>
      </c>
      <c r="B75" t="n">
        <v>80</v>
      </c>
    </row>
    <row r="76">
      <c r="A76" t="inlineStr">
        <is>
          <t>Ghana</t>
        </is>
      </c>
      <c r="B76" t="n">
        <v>78</v>
      </c>
    </row>
    <row r="77">
      <c r="A77" t="inlineStr">
        <is>
          <t>Angola</t>
        </is>
      </c>
      <c r="B77" t="n">
        <v>73</v>
      </c>
    </row>
    <row r="78">
      <c r="A78" t="inlineStr">
        <is>
          <t>Ivory Coast</t>
        </is>
      </c>
      <c r="B78" t="n">
        <v>70</v>
      </c>
    </row>
    <row r="79">
      <c r="A79" t="inlineStr">
        <is>
          <t>Uzbekistan</t>
        </is>
      </c>
      <c r="B79" t="n">
        <v>69</v>
      </c>
    </row>
    <row r="80">
      <c r="A80" t="inlineStr">
        <is>
          <t>Tanzania</t>
        </is>
      </c>
      <c r="B80" t="n">
        <v>68</v>
      </c>
    </row>
    <row r="81">
      <c r="A81" t="inlineStr">
        <is>
          <t>Belarus</t>
        </is>
      </c>
      <c r="B81" t="n">
        <v>68</v>
      </c>
    </row>
    <row r="82">
      <c r="A82" t="inlineStr">
        <is>
          <t>Croatia</t>
        </is>
      </c>
      <c r="B82" t="n">
        <v>68</v>
      </c>
    </row>
    <row r="83">
      <c r="A83" t="inlineStr">
        <is>
          <t>Lithuania</t>
        </is>
      </c>
      <c r="B83" t="n">
        <v>66</v>
      </c>
    </row>
    <row r="84">
      <c r="A84" t="inlineStr">
        <is>
          <t>Myanmar</t>
        </is>
      </c>
      <c r="B84" t="n">
        <v>65</v>
      </c>
    </row>
    <row r="85">
      <c r="A85" t="inlineStr">
        <is>
          <t>Syria</t>
        </is>
      </c>
      <c r="B85" t="n">
        <v>65</v>
      </c>
    </row>
    <row r="86">
      <c r="A86" t="inlineStr">
        <is>
          <t>Panama</t>
        </is>
      </c>
      <c r="B86" t="n">
        <v>64</v>
      </c>
    </row>
    <row r="87">
      <c r="A87" t="inlineStr">
        <is>
          <t>Costa Rica</t>
        </is>
      </c>
      <c r="B87" t="n">
        <v>64</v>
      </c>
    </row>
    <row r="88">
      <c r="A88" t="inlineStr">
        <is>
          <t>Serbia</t>
        </is>
      </c>
      <c r="B88" t="n">
        <v>63</v>
      </c>
    </row>
    <row r="89">
      <c r="A89" t="inlineStr">
        <is>
          <t>Slovenia</t>
        </is>
      </c>
      <c r="B89" t="n">
        <v>62</v>
      </c>
    </row>
    <row r="90">
      <c r="A90" t="inlineStr">
        <is>
          <t>Uruguay</t>
        </is>
      </c>
      <c r="B90" t="n">
        <v>59</v>
      </c>
    </row>
    <row r="91">
      <c r="A91" t="inlineStr">
        <is>
          <t>Azerbaijan</t>
        </is>
      </c>
      <c r="B91" t="n">
        <v>55</v>
      </c>
    </row>
    <row r="92">
      <c r="A92" t="inlineStr">
        <is>
          <t>Congo</t>
        </is>
      </c>
      <c r="B92" t="n">
        <v>54</v>
      </c>
    </row>
    <row r="93">
      <c r="A93" t="inlineStr">
        <is>
          <t>Tunisia</t>
        </is>
      </c>
      <c r="B93" t="n">
        <v>47</v>
      </c>
    </row>
    <row r="94">
      <c r="A94" t="inlineStr">
        <is>
          <t>Turkmenistan</t>
        </is>
      </c>
      <c r="B94" t="n">
        <v>45</v>
      </c>
    </row>
    <row r="95">
      <c r="A95" t="inlineStr">
        <is>
          <t>Cameroon</t>
        </is>
      </c>
      <c r="B95" t="n">
        <v>45</v>
      </c>
    </row>
    <row r="96">
      <c r="A96" t="inlineStr">
        <is>
          <t>Jordan</t>
        </is>
      </c>
      <c r="B96" t="n">
        <v>45</v>
      </c>
    </row>
    <row r="97">
      <c r="A97" t="inlineStr">
        <is>
          <t>Libya</t>
        </is>
      </c>
      <c r="B97" t="n">
        <v>42</v>
      </c>
    </row>
    <row r="98">
      <c r="A98" t="inlineStr">
        <is>
          <t>Bolivia</t>
        </is>
      </c>
      <c r="B98" t="n">
        <v>40</v>
      </c>
    </row>
    <row r="99">
      <c r="A99" t="inlineStr">
        <is>
          <t>Uganda</t>
        </is>
      </c>
      <c r="B99" t="n">
        <v>40</v>
      </c>
    </row>
    <row r="100">
      <c r="A100" t="inlineStr">
        <is>
          <t>Bahrain</t>
        </is>
      </c>
      <c r="B100" t="n">
        <v>39</v>
      </c>
    </row>
    <row r="101">
      <c r="A101" t="inlineStr">
        <is>
          <t>Latvia</t>
        </is>
      </c>
      <c r="B101" t="n">
        <v>39</v>
      </c>
    </row>
    <row r="102">
      <c r="A102" t="inlineStr">
        <is>
          <t>Paraguay</t>
        </is>
      </c>
      <c r="B102" t="n">
        <v>39</v>
      </c>
    </row>
    <row r="103">
      <c r="A103" t="inlineStr">
        <is>
          <t>Nepal</t>
        </is>
      </c>
      <c r="B103" t="n">
        <v>36</v>
      </c>
    </row>
    <row r="104">
      <c r="A104" t="inlineStr">
        <is>
          <t>Estonia</t>
        </is>
      </c>
      <c r="B104" t="n">
        <v>36</v>
      </c>
    </row>
    <row r="105">
      <c r="A105" t="inlineStr">
        <is>
          <t>Sudan</t>
        </is>
      </c>
      <c r="B105" t="n">
        <v>34</v>
      </c>
    </row>
    <row r="106">
      <c r="A106" t="inlineStr">
        <is>
          <t>Macau</t>
        </is>
      </c>
      <c r="B106" t="n">
        <v>30</v>
      </c>
    </row>
    <row r="107">
      <c r="A107" t="inlineStr">
        <is>
          <t>El Salvador</t>
        </is>
      </c>
      <c r="B107" t="n">
        <v>29</v>
      </c>
    </row>
    <row r="108">
      <c r="A108" t="inlineStr">
        <is>
          <t>Cyprus</t>
        </is>
      </c>
      <c r="B108" t="n">
        <v>28</v>
      </c>
    </row>
    <row r="109">
      <c r="A109" t="inlineStr">
        <is>
          <t>Honduras</t>
        </is>
      </c>
      <c r="B109" t="n">
        <v>28</v>
      </c>
    </row>
    <row r="110">
      <c r="A110" t="inlineStr">
        <is>
          <t>Senegal</t>
        </is>
      </c>
      <c r="B110" t="n">
        <v>28</v>
      </c>
    </row>
    <row r="111">
      <c r="A111" t="inlineStr">
        <is>
          <t>Papua New Guinea</t>
        </is>
      </c>
      <c r="B111" t="n">
        <v>27</v>
      </c>
    </row>
    <row r="112">
      <c r="A112" t="inlineStr">
        <is>
          <t>Cambodia</t>
        </is>
      </c>
      <c r="B112" t="n">
        <v>27</v>
      </c>
    </row>
    <row r="113">
      <c r="A113" t="inlineStr">
        <is>
          <t>Zimbabwe</t>
        </is>
      </c>
      <c r="B113" t="n">
        <v>26</v>
      </c>
    </row>
    <row r="114">
      <c r="A114" t="inlineStr">
        <is>
          <t>Iceland</t>
        </is>
      </c>
      <c r="B114" t="n">
        <v>25</v>
      </c>
    </row>
    <row r="115">
      <c r="A115" t="inlineStr">
        <is>
          <t>Bosniaand Herzegovina</t>
        </is>
      </c>
      <c r="B115" t="n">
        <v>23</v>
      </c>
    </row>
    <row r="116">
      <c r="A116" t="inlineStr">
        <is>
          <t>Haiti</t>
        </is>
      </c>
      <c r="B116" t="n">
        <v>21</v>
      </c>
    </row>
    <row r="117">
      <c r="A117" t="inlineStr">
        <is>
          <t>Yemen</t>
        </is>
      </c>
      <c r="B117" t="n">
        <v>21</v>
      </c>
    </row>
    <row r="118">
      <c r="A118" t="inlineStr">
        <is>
          <t>Zambia</t>
        </is>
      </c>
      <c r="B118" t="n">
        <v>21</v>
      </c>
    </row>
    <row r="119">
      <c r="A119" t="inlineStr">
        <is>
          <t>Trinidadand Tobago</t>
        </is>
      </c>
      <c r="B119" t="n">
        <v>21</v>
      </c>
    </row>
    <row r="120">
      <c r="A120" t="inlineStr">
        <is>
          <t>Afghanistan</t>
        </is>
      </c>
      <c r="B120" t="n">
        <v>20</v>
      </c>
    </row>
    <row r="121">
      <c r="A121" t="inlineStr">
        <is>
          <t>Burkina Faso</t>
        </is>
      </c>
      <c r="B121" t="n">
        <v>20</v>
      </c>
    </row>
    <row r="122">
      <c r="A122" t="inlineStr">
        <is>
          <t>Georgia</t>
        </is>
      </c>
      <c r="B122" t="n">
        <v>19</v>
      </c>
    </row>
    <row r="123">
      <c r="A123" t="inlineStr">
        <is>
          <t>Laos</t>
        </is>
      </c>
      <c r="B123" t="n">
        <v>19</v>
      </c>
    </row>
    <row r="124">
      <c r="A124" t="inlineStr">
        <is>
          <t>Mali</t>
        </is>
      </c>
      <c r="B124" t="n">
        <v>19</v>
      </c>
    </row>
    <row r="125">
      <c r="A125" t="inlineStr">
        <is>
          <t>Lebanon</t>
        </is>
      </c>
      <c r="B125" t="n">
        <v>18</v>
      </c>
    </row>
    <row r="126">
      <c r="A126" t="inlineStr">
        <is>
          <t>Gabon</t>
        </is>
      </c>
      <c r="B126" t="n">
        <v>18</v>
      </c>
    </row>
    <row r="127">
      <c r="A127" t="inlineStr">
        <is>
          <t>Albania</t>
        </is>
      </c>
      <c r="B127" t="n">
        <v>18</v>
      </c>
    </row>
    <row r="128">
      <c r="A128" t="inlineStr">
        <is>
          <t>Botswana</t>
        </is>
      </c>
      <c r="B128" t="n">
        <v>18</v>
      </c>
    </row>
    <row r="129">
      <c r="A129" t="inlineStr">
        <is>
          <t>Benin</t>
        </is>
      </c>
      <c r="B129" t="n">
        <v>18</v>
      </c>
    </row>
    <row r="130">
      <c r="A130" t="inlineStr">
        <is>
          <t>Malta</t>
        </is>
      </c>
      <c r="B130" t="n">
        <v>17</v>
      </c>
    </row>
    <row r="131">
      <c r="A131" t="inlineStr">
        <is>
          <t>Palestine</t>
        </is>
      </c>
      <c r="B131" t="n">
        <v>16</v>
      </c>
    </row>
    <row r="132">
      <c r="A132" t="inlineStr">
        <is>
          <t>Mozambique</t>
        </is>
      </c>
      <c r="B132" t="n">
        <v>16</v>
      </c>
    </row>
    <row r="133">
      <c r="A133" t="inlineStr">
        <is>
          <t>Guinea</t>
        </is>
      </c>
      <c r="B133" t="n">
        <v>16</v>
      </c>
    </row>
    <row r="134">
      <c r="A134" t="inlineStr">
        <is>
          <t>Mongolia</t>
        </is>
      </c>
      <c r="B134" t="n">
        <v>15</v>
      </c>
    </row>
    <row r="135">
      <c r="A135" t="inlineStr">
        <is>
          <t>Niger</t>
        </is>
      </c>
      <c r="B135" t="n">
        <v>15</v>
      </c>
    </row>
    <row r="136">
      <c r="A136" t="inlineStr">
        <is>
          <t>Madagascar</t>
        </is>
      </c>
      <c r="B136" t="n">
        <v>15</v>
      </c>
    </row>
    <row r="137">
      <c r="A137" t="inlineStr">
        <is>
          <t>Macedonia</t>
        </is>
      </c>
      <c r="B137" t="n">
        <v>14</v>
      </c>
    </row>
    <row r="138">
      <c r="A138" t="inlineStr">
        <is>
          <t>Jamaica</t>
        </is>
      </c>
      <c r="B138" t="n">
        <v>14</v>
      </c>
    </row>
    <row r="139">
      <c r="A139" t="inlineStr">
        <is>
          <t>Nicaragua</t>
        </is>
      </c>
      <c r="B139" t="n">
        <v>14</v>
      </c>
    </row>
    <row r="140">
      <c r="A140" t="inlineStr">
        <is>
          <t>Moldova</t>
        </is>
      </c>
      <c r="B140" t="n">
        <v>14</v>
      </c>
    </row>
    <row r="141">
      <c r="A141" t="inlineStr">
        <is>
          <t>Armenia</t>
        </is>
      </c>
      <c r="B141" t="n">
        <v>14</v>
      </c>
    </row>
    <row r="142">
      <c r="A142" t="inlineStr">
        <is>
          <t>Brunei</t>
        </is>
      </c>
      <c r="B142" t="n">
        <v>14</v>
      </c>
    </row>
    <row r="143">
      <c r="A143" t="inlineStr">
        <is>
          <t>Republicofthe Congo</t>
        </is>
      </c>
      <c r="B143" t="n">
        <v>13</v>
      </c>
    </row>
    <row r="144">
      <c r="A144" t="inlineStr">
        <is>
          <t>Malawi</t>
        </is>
      </c>
      <c r="B144" t="n">
        <v>13</v>
      </c>
    </row>
    <row r="145">
      <c r="A145" t="inlineStr">
        <is>
          <t>Namibia</t>
        </is>
      </c>
      <c r="B145" t="n">
        <v>12</v>
      </c>
    </row>
    <row r="146">
      <c r="A146" t="inlineStr">
        <is>
          <t>Chad</t>
        </is>
      </c>
      <c r="B146" t="n">
        <v>12</v>
      </c>
    </row>
    <row r="147">
      <c r="A147" t="inlineStr">
        <is>
          <t>Equatorial Guinea</t>
        </is>
      </c>
      <c r="B147" t="n">
        <v>12</v>
      </c>
    </row>
    <row r="148">
      <c r="A148" t="inlineStr">
        <is>
          <t>Bahamas</t>
        </is>
      </c>
      <c r="B148" t="n">
        <v>11</v>
      </c>
    </row>
    <row r="149">
      <c r="A149" t="inlineStr">
        <is>
          <t>Rwanda</t>
        </is>
      </c>
      <c r="B149" t="n">
        <v>11</v>
      </c>
    </row>
    <row r="150">
      <c r="A150" t="inlineStr">
        <is>
          <t>Mauritius</t>
        </is>
      </c>
      <c r="B150" t="n">
        <v>11</v>
      </c>
    </row>
    <row r="151">
      <c r="A151" t="inlineStr">
        <is>
          <t>Kyrgyzstan</t>
        </is>
      </c>
      <c r="B151" t="n">
        <v>9</v>
      </c>
    </row>
    <row r="152">
      <c r="A152" t="inlineStr">
        <is>
          <t>Kosovo</t>
        </is>
      </c>
      <c r="B152" t="n">
        <v>9</v>
      </c>
    </row>
    <row r="153">
      <c r="A153" t="inlineStr">
        <is>
          <t>New Caledonia</t>
        </is>
      </c>
      <c r="B153" t="n">
        <v>9</v>
      </c>
    </row>
    <row r="154">
      <c r="A154" t="inlineStr">
        <is>
          <t>Tajikistan</t>
        </is>
      </c>
      <c r="B154" t="n">
        <v>9</v>
      </c>
    </row>
    <row r="155">
      <c r="A155" t="inlineStr">
        <is>
          <t>Togo</t>
        </is>
      </c>
      <c r="B155" t="n">
        <v>8</v>
      </c>
    </row>
    <row r="156">
      <c r="A156" t="inlineStr">
        <is>
          <t>Mauritania</t>
        </is>
      </c>
      <c r="B156" t="n">
        <v>8</v>
      </c>
    </row>
    <row r="157">
      <c r="A157" t="inlineStr">
        <is>
          <t>Monaco</t>
        </is>
      </c>
      <c r="B157" t="n">
        <v>7</v>
      </c>
    </row>
    <row r="158">
      <c r="A158" t="inlineStr">
        <is>
          <t>Guyana</t>
        </is>
      </c>
      <c r="B158" t="n">
        <v>7</v>
      </c>
    </row>
    <row r="159">
      <c r="A159" t="inlineStr">
        <is>
          <t>Somalia</t>
        </is>
      </c>
      <c r="B159" t="n">
        <v>7</v>
      </c>
    </row>
    <row r="160">
      <c r="A160" t="inlineStr">
        <is>
          <t>Cayman Islands</t>
        </is>
      </c>
      <c r="B160" t="n">
        <v>6</v>
      </c>
    </row>
    <row r="161">
      <c r="A161" t="inlineStr">
        <is>
          <t>Montenegro</t>
        </is>
      </c>
      <c r="B161" t="n">
        <v>6</v>
      </c>
    </row>
    <row r="162">
      <c r="A162" t="inlineStr">
        <is>
          <t>Liechtenstein</t>
        </is>
      </c>
      <c r="B162" t="n">
        <v>6</v>
      </c>
    </row>
    <row r="163">
      <c r="A163" t="inlineStr">
        <is>
          <t>Maldives</t>
        </is>
      </c>
      <c r="B163" t="n">
        <v>5</v>
      </c>
    </row>
    <row r="164">
      <c r="A164" t="inlineStr">
        <is>
          <t>Fiji</t>
        </is>
      </c>
      <c r="B164" t="n">
        <v>5</v>
      </c>
    </row>
    <row r="165">
      <c r="A165" t="inlineStr">
        <is>
          <t>Swaziland</t>
        </is>
      </c>
      <c r="B165" t="n">
        <v>5</v>
      </c>
    </row>
    <row r="166">
      <c r="A166" t="inlineStr">
        <is>
          <t>Sierra Leone</t>
        </is>
      </c>
      <c r="B166" t="n">
        <v>4</v>
      </c>
    </row>
    <row r="167">
      <c r="A167" t="inlineStr">
        <is>
          <t>Suriname</t>
        </is>
      </c>
      <c r="B167" t="n">
        <v>3</v>
      </c>
    </row>
    <row r="168">
      <c r="A168" t="inlineStr">
        <is>
          <t>Djibouti</t>
        </is>
      </c>
      <c r="B168" t="n">
        <v>3</v>
      </c>
    </row>
    <row r="169">
      <c r="A169" t="inlineStr">
        <is>
          <t>Central African Republic</t>
        </is>
      </c>
      <c r="B169" t="n">
        <v>3</v>
      </c>
    </row>
    <row r="170">
      <c r="A170" t="inlineStr">
        <is>
          <t>Burundi</t>
        </is>
      </c>
      <c r="B170" t="n">
        <v>3</v>
      </c>
    </row>
    <row r="171">
      <c r="A171" t="inlineStr">
        <is>
          <t>Lesotho</t>
        </is>
      </c>
      <c r="B171" t="n">
        <v>3</v>
      </c>
    </row>
    <row r="172">
      <c r="A172" t="inlineStr">
        <is>
          <t>Liberia</t>
        </is>
      </c>
      <c r="B172" t="n">
        <v>3</v>
      </c>
    </row>
    <row r="173">
      <c r="A173" t="inlineStr">
        <is>
          <t>Cape Verde</t>
        </is>
      </c>
      <c r="B173" t="n">
        <v>2</v>
      </c>
    </row>
    <row r="174">
      <c r="A174" t="inlineStr">
        <is>
          <t>Bhutan</t>
        </is>
      </c>
      <c r="B174" t="n">
        <v>2</v>
      </c>
    </row>
    <row r="175">
      <c r="A175" t="inlineStr">
        <is>
          <t>East Timor</t>
        </is>
      </c>
      <c r="B175" t="n">
        <v>2</v>
      </c>
    </row>
    <row r="176">
      <c r="A176" t="inlineStr">
        <is>
          <t>Eritrea</t>
        </is>
      </c>
      <c r="B176" t="n">
        <v>2</v>
      </c>
    </row>
    <row r="177">
      <c r="A177" t="inlineStr">
        <is>
          <t>Gambia</t>
        </is>
      </c>
      <c r="B177" t="n">
        <v>2</v>
      </c>
    </row>
    <row r="178">
      <c r="A178" t="inlineStr">
        <is>
          <t>Guinea Bissau</t>
        </is>
      </c>
      <c r="B178" t="n">
        <v>2</v>
      </c>
    </row>
    <row r="179">
      <c r="A179" t="inlineStr">
        <is>
          <t>Comoros</t>
        </is>
      </c>
      <c r="B179" t="n">
        <v>1</v>
      </c>
    </row>
    <row r="180">
      <c r="A180" t="inlineStr">
        <is>
          <t>Sao Tomeand Principe</t>
        </is>
      </c>
      <c r="B180" t="n">
        <v>1</v>
      </c>
    </row>
    <row r="181">
      <c r="A181" t="inlineStr">
        <is>
          <t>South Sudan</t>
        </is>
      </c>
      <c r="B181" t="n">
        <v>1</v>
      </c>
    </row>
    <row r="182">
      <c r="A182" t="inlineStr">
        <is>
          <t>Seychelles</t>
        </is>
      </c>
      <c r="B182" t="n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 codeName="Sheet3">
    <tabColor theme="6"/>
    <outlinePr summaryBelow="1" summaryRight="1"/>
    <pageSetUpPr/>
  </sheetPr>
  <dimension ref="A1:C390"/>
  <sheetViews>
    <sheetView zoomScale="120" zoomScaleNormal="120" workbookViewId="0">
      <pane ySplit="1" topLeftCell="A363" activePane="bottomLeft" state="frozen"/>
      <selection activeCell="P16" sqref="P16"/>
      <selection pane="bottomLeft" activeCell="P16" sqref="P16"/>
    </sheetView>
  </sheetViews>
  <sheetFormatPr baseColWidth="8" defaultColWidth="10.90625" defaultRowHeight="14.5"/>
  <cols>
    <col width="20.1796875" customWidth="1" style="80" min="1" max="1"/>
    <col width="19.6328125" customWidth="1" style="80" min="2" max="2"/>
  </cols>
  <sheetData>
    <row r="1">
      <c r="A1" t="inlineStr">
        <is>
          <t>Date</t>
        </is>
      </c>
      <c r="B1" t="inlineStr">
        <is>
          <t>HSBC China PMI</t>
        </is>
      </c>
      <c r="C1" t="inlineStr">
        <is>
          <t>YoY</t>
        </is>
      </c>
    </row>
    <row r="2">
      <c r="A2" s="106" t="n">
        <v>122</v>
      </c>
      <c r="B2" t="n">
        <v>48.1</v>
      </c>
      <c r="C2" t="n">
        <v>0.006999999999999999</v>
      </c>
    </row>
    <row r="3">
      <c r="A3" s="106" t="n">
        <v>153</v>
      </c>
      <c r="B3" t="n">
        <v>51.7</v>
      </c>
      <c r="C3" t="n">
        <v>0.039</v>
      </c>
    </row>
    <row r="4">
      <c r="A4" s="106" t="n">
        <v>183</v>
      </c>
      <c r="B4" t="n">
        <v>50.4</v>
      </c>
      <c r="C4" t="n">
        <v>0.038</v>
      </c>
    </row>
    <row r="5">
      <c r="A5" s="106" t="n">
        <v>214</v>
      </c>
      <c r="B5" t="n">
        <v>49.5</v>
      </c>
      <c r="C5" t="n">
        <v>0.042</v>
      </c>
    </row>
    <row r="6">
      <c r="A6" s="106" t="n">
        <v>245</v>
      </c>
      <c r="B6" t="n">
        <v>48.1</v>
      </c>
      <c r="C6" t="n">
        <v>0.063</v>
      </c>
    </row>
    <row r="7">
      <c r="A7" s="106" t="n">
        <v>275</v>
      </c>
      <c r="B7" t="n">
        <v>49.2</v>
      </c>
      <c r="C7" t="n">
        <v>0.05</v>
      </c>
    </row>
    <row r="8">
      <c r="A8" s="106" t="n">
        <v>306</v>
      </c>
      <c r="B8" t="n">
        <v>49.4</v>
      </c>
      <c r="C8" t="n">
        <v>0.022</v>
      </c>
    </row>
    <row r="9">
      <c r="A9" s="106" t="n">
        <v>32963</v>
      </c>
      <c r="C9" t="n">
        <v>0.05</v>
      </c>
    </row>
    <row r="10">
      <c r="A10" s="106" t="n">
        <v>32993</v>
      </c>
      <c r="C10" t="n">
        <v>0.008</v>
      </c>
    </row>
    <row r="11">
      <c r="A11" s="106" t="n">
        <v>33024</v>
      </c>
      <c r="C11" t="n">
        <v>0.017</v>
      </c>
    </row>
    <row r="12">
      <c r="A12" s="106" t="n">
        <v>33054</v>
      </c>
      <c r="C12" t="n">
        <v>0.033</v>
      </c>
    </row>
    <row r="13">
      <c r="A13" s="106" t="n">
        <v>33085</v>
      </c>
      <c r="C13" t="n">
        <v>0.05</v>
      </c>
    </row>
    <row r="14">
      <c r="A14" s="106" t="n">
        <v>33116</v>
      </c>
      <c r="C14" t="n">
        <v>0.025</v>
      </c>
    </row>
    <row r="15">
      <c r="A15" s="106" t="n">
        <v>33146</v>
      </c>
      <c r="C15" t="n">
        <v>0.042</v>
      </c>
    </row>
    <row r="16">
      <c r="A16" s="106" t="n">
        <v>33177</v>
      </c>
      <c r="C16" t="n">
        <v>0.067</v>
      </c>
    </row>
    <row r="17">
      <c r="A17" s="106" t="n">
        <v>33207</v>
      </c>
      <c r="C17" t="n">
        <v>0.109</v>
      </c>
    </row>
    <row r="18">
      <c r="A18" s="106" t="n">
        <v>33238</v>
      </c>
      <c r="C18" t="n">
        <v>0.126</v>
      </c>
    </row>
    <row r="19">
      <c r="A19" s="106" t="n">
        <v>33269</v>
      </c>
      <c r="C19" t="n">
        <v>0.126</v>
      </c>
    </row>
    <row r="20">
      <c r="A20" s="106" t="n">
        <v>33297</v>
      </c>
      <c r="C20" t="n">
        <v>0.235</v>
      </c>
    </row>
    <row r="21">
      <c r="A21" s="106" t="n">
        <v>33328</v>
      </c>
      <c r="C21" t="n">
        <v>0.092</v>
      </c>
    </row>
    <row r="22">
      <c r="A22" s="106" t="n">
        <v>33358</v>
      </c>
      <c r="C22" t="n">
        <v>0.109</v>
      </c>
    </row>
    <row r="23">
      <c r="A23" s="106" t="n">
        <v>33389</v>
      </c>
      <c r="C23" t="n">
        <v>0.109</v>
      </c>
    </row>
    <row r="24">
      <c r="A24" s="106" t="n">
        <v>33419</v>
      </c>
      <c r="C24" t="n">
        <v>0.109</v>
      </c>
    </row>
    <row r="25">
      <c r="A25" s="106" t="n">
        <v>33450</v>
      </c>
      <c r="C25" t="n">
        <v>0.092</v>
      </c>
    </row>
    <row r="26">
      <c r="A26" s="106" t="n">
        <v>33481</v>
      </c>
      <c r="C26" t="n">
        <v>0.109</v>
      </c>
    </row>
    <row r="27">
      <c r="A27" s="106" t="n">
        <v>33511</v>
      </c>
      <c r="C27" t="n">
        <v>0.118</v>
      </c>
    </row>
    <row r="28">
      <c r="A28" s="106" t="n">
        <v>33542</v>
      </c>
      <c r="C28" t="n">
        <v>0.126</v>
      </c>
    </row>
    <row r="29">
      <c r="A29" s="106" t="n">
        <v>33572</v>
      </c>
      <c r="C29" t="n">
        <v>0.118</v>
      </c>
    </row>
    <row r="30">
      <c r="A30" s="106" t="n">
        <v>33603</v>
      </c>
      <c r="C30" t="n">
        <v>0.076</v>
      </c>
    </row>
    <row r="31">
      <c r="A31" s="106" t="n">
        <v>33634</v>
      </c>
      <c r="C31" t="n">
        <v>0.05</v>
      </c>
    </row>
    <row r="32">
      <c r="A32" s="106" t="n">
        <v>33663</v>
      </c>
      <c r="C32" t="n">
        <v>0.109</v>
      </c>
    </row>
    <row r="33">
      <c r="A33" s="106" t="n">
        <v>33694</v>
      </c>
      <c r="C33" t="n">
        <v>0.185</v>
      </c>
    </row>
    <row r="34">
      <c r="A34" s="106" t="n">
        <v>33724</v>
      </c>
      <c r="C34" t="n">
        <v>0.168</v>
      </c>
    </row>
    <row r="35">
      <c r="A35" s="106" t="n">
        <v>33755</v>
      </c>
      <c r="C35" t="n">
        <v>0.151</v>
      </c>
    </row>
    <row r="36">
      <c r="A36" s="106" t="n">
        <v>33785</v>
      </c>
      <c r="C36" t="n">
        <v>0.143</v>
      </c>
    </row>
    <row r="37">
      <c r="A37" s="106" t="n">
        <v>33816</v>
      </c>
      <c r="C37" t="n">
        <v>0.168</v>
      </c>
    </row>
    <row r="38">
      <c r="A38" s="106" t="n">
        <v>33847</v>
      </c>
      <c r="C38" t="n">
        <v>0.193</v>
      </c>
    </row>
    <row r="39">
      <c r="A39" s="106" t="n">
        <v>33877</v>
      </c>
      <c r="C39" t="n">
        <v>0.176</v>
      </c>
    </row>
    <row r="40">
      <c r="A40" s="106" t="n">
        <v>33908</v>
      </c>
      <c r="C40" t="n">
        <v>0.176</v>
      </c>
    </row>
    <row r="41">
      <c r="A41" s="106" t="n">
        <v>33938</v>
      </c>
      <c r="C41" t="n">
        <v>0.185</v>
      </c>
    </row>
    <row r="42">
      <c r="A42" s="106" t="n">
        <v>33969</v>
      </c>
      <c r="C42" t="n">
        <v>0.218</v>
      </c>
    </row>
    <row r="43">
      <c r="A43" s="106" t="n">
        <v>34000</v>
      </c>
      <c r="C43" t="n">
        <v>0.269</v>
      </c>
    </row>
    <row r="44">
      <c r="A44" s="106" t="n">
        <v>34028</v>
      </c>
      <c r="C44" t="n">
        <v>0.08400000000000001</v>
      </c>
    </row>
    <row r="45">
      <c r="A45" s="106" t="n">
        <v>34059</v>
      </c>
      <c r="C45" t="n">
        <v>0.277</v>
      </c>
    </row>
    <row r="46">
      <c r="A46" s="106" t="n">
        <v>34089</v>
      </c>
      <c r="C46" t="n">
        <v>0.218</v>
      </c>
    </row>
    <row r="47">
      <c r="A47" s="106" t="n">
        <v>34120</v>
      </c>
      <c r="C47" t="n">
        <v>0.21</v>
      </c>
    </row>
    <row r="48">
      <c r="A48" s="106" t="n">
        <v>34150</v>
      </c>
      <c r="C48" t="n">
        <v>0.227</v>
      </c>
    </row>
    <row r="49">
      <c r="A49" s="106" t="n">
        <v>34181</v>
      </c>
      <c r="C49" t="n">
        <v>0.252</v>
      </c>
    </row>
    <row r="50">
      <c r="A50" s="106" t="n">
        <v>34212</v>
      </c>
      <c r="C50" t="n">
        <v>0.21</v>
      </c>
    </row>
    <row r="51">
      <c r="A51" s="106" t="n">
        <v>34242</v>
      </c>
      <c r="C51" t="n">
        <v>0.193</v>
      </c>
    </row>
    <row r="52">
      <c r="A52" s="106" t="n">
        <v>34273</v>
      </c>
      <c r="C52" t="n">
        <v>0.16</v>
      </c>
    </row>
    <row r="53">
      <c r="A53" s="106" t="n">
        <v>34303</v>
      </c>
      <c r="C53" t="n">
        <v>0.134</v>
      </c>
    </row>
    <row r="54">
      <c r="A54" s="106" t="n">
        <v>34334</v>
      </c>
      <c r="C54" t="n">
        <v>0.16</v>
      </c>
    </row>
    <row r="55">
      <c r="A55" s="106" t="n">
        <v>34365</v>
      </c>
      <c r="C55" t="n">
        <v>0.252</v>
      </c>
    </row>
    <row r="56">
      <c r="A56" s="106" t="n">
        <v>34393</v>
      </c>
      <c r="C56" t="n">
        <v>0.277</v>
      </c>
    </row>
    <row r="57">
      <c r="A57" s="106" t="n">
        <v>34424</v>
      </c>
      <c r="C57" t="n">
        <v>0.034</v>
      </c>
    </row>
    <row r="58">
      <c r="A58" s="106" t="n">
        <v>34454</v>
      </c>
      <c r="C58" t="n">
        <v>0.16</v>
      </c>
    </row>
    <row r="59">
      <c r="A59" s="106" t="n">
        <v>34485</v>
      </c>
      <c r="C59" t="n">
        <v>0.168</v>
      </c>
    </row>
    <row r="60">
      <c r="A60" s="106" t="n">
        <v>34515</v>
      </c>
      <c r="C60" t="n">
        <v>0.176</v>
      </c>
    </row>
    <row r="61">
      <c r="A61" s="106" t="n">
        <v>34546</v>
      </c>
      <c r="C61" t="n">
        <v>0.151</v>
      </c>
    </row>
    <row r="62">
      <c r="A62" s="106" t="n">
        <v>34577</v>
      </c>
      <c r="C62" t="n">
        <v>0.151</v>
      </c>
    </row>
    <row r="63">
      <c r="A63" s="106" t="n">
        <v>34607</v>
      </c>
      <c r="C63" t="n">
        <v>0.294</v>
      </c>
    </row>
    <row r="64">
      <c r="A64" s="106" t="n">
        <v>34638</v>
      </c>
      <c r="C64" t="n">
        <v>0.218</v>
      </c>
    </row>
    <row r="65">
      <c r="A65" s="106" t="n">
        <v>34668</v>
      </c>
      <c r="C65" t="n">
        <v>0.244</v>
      </c>
    </row>
    <row r="66">
      <c r="A66" s="106" t="n">
        <v>34699</v>
      </c>
      <c r="C66" t="n">
        <v>0.235</v>
      </c>
    </row>
    <row r="67">
      <c r="A67" s="106" t="n">
        <v>34730</v>
      </c>
      <c r="C67" t="n">
        <v>0.185</v>
      </c>
    </row>
    <row r="68">
      <c r="A68" s="106" t="n">
        <v>34758</v>
      </c>
      <c r="C68" t="n">
        <v>0.114</v>
      </c>
    </row>
    <row r="69">
      <c r="A69" s="106" t="n">
        <v>34789</v>
      </c>
      <c r="C69" t="n">
        <v>0.155</v>
      </c>
    </row>
    <row r="70">
      <c r="A70" s="106" t="n">
        <v>34819</v>
      </c>
      <c r="C70" t="n">
        <v>0.164</v>
      </c>
    </row>
    <row r="71">
      <c r="A71" s="106" t="n">
        <v>34850</v>
      </c>
      <c r="C71" t="n">
        <v>0.154</v>
      </c>
    </row>
    <row r="72">
      <c r="A72" s="106" t="n">
        <v>34880</v>
      </c>
      <c r="C72" t="n">
        <v>0.131</v>
      </c>
    </row>
    <row r="73">
      <c r="A73" s="106" t="n">
        <v>34911</v>
      </c>
      <c r="C73" t="n">
        <v>0.139</v>
      </c>
    </row>
    <row r="74">
      <c r="A74" s="106" t="n">
        <v>34942</v>
      </c>
      <c r="C74" t="n">
        <v>0.136</v>
      </c>
    </row>
    <row r="75">
      <c r="A75" s="106" t="n">
        <v>34972</v>
      </c>
      <c r="C75" t="n">
        <v>0.118</v>
      </c>
    </row>
    <row r="76">
      <c r="A76" s="106" t="n">
        <v>35003</v>
      </c>
      <c r="C76" t="n">
        <v>0.114</v>
      </c>
    </row>
    <row r="77">
      <c r="A77" s="106" t="n">
        <v>35033</v>
      </c>
      <c r="C77" t="n">
        <v>0.129</v>
      </c>
    </row>
    <row r="78">
      <c r="A78" s="106" t="n">
        <v>35064</v>
      </c>
      <c r="C78" t="n">
        <v>0.121</v>
      </c>
    </row>
    <row r="79">
      <c r="A79" s="106" t="n">
        <v>35095</v>
      </c>
      <c r="C79" t="n">
        <v>0.149</v>
      </c>
    </row>
    <row r="80">
      <c r="A80" s="106" t="n">
        <v>35124</v>
      </c>
      <c r="C80" t="n">
        <v>0.169</v>
      </c>
    </row>
    <row r="81">
      <c r="A81" s="106" t="n">
        <v>35155</v>
      </c>
      <c r="C81" t="n">
        <v>0.122</v>
      </c>
    </row>
    <row r="82">
      <c r="A82" s="106" t="n">
        <v>35185</v>
      </c>
      <c r="C82" t="n">
        <v>0.122</v>
      </c>
    </row>
    <row r="83">
      <c r="A83" s="106" t="n">
        <v>35216</v>
      </c>
      <c r="C83" t="n">
        <v>0.137</v>
      </c>
    </row>
    <row r="84">
      <c r="A84" s="106" t="n">
        <v>35246</v>
      </c>
      <c r="C84" t="n">
        <v>0.131</v>
      </c>
    </row>
    <row r="85">
      <c r="A85" s="106" t="n">
        <v>35277</v>
      </c>
      <c r="C85" t="n">
        <v>0.138</v>
      </c>
    </row>
    <row r="86">
      <c r="A86" s="106" t="n">
        <v>35308</v>
      </c>
      <c r="C86" t="n">
        <v>0.122</v>
      </c>
    </row>
    <row r="87">
      <c r="A87" s="106" t="n">
        <v>35338</v>
      </c>
      <c r="C87" t="n">
        <v>0.106</v>
      </c>
    </row>
    <row r="88">
      <c r="A88" s="106" t="n">
        <v>35369</v>
      </c>
      <c r="C88" t="n">
        <v>0.137</v>
      </c>
    </row>
    <row r="89">
      <c r="A89" s="106" t="n">
        <v>35399</v>
      </c>
      <c r="C89" t="n">
        <v>0.133</v>
      </c>
    </row>
    <row r="90">
      <c r="A90" s="106" t="n">
        <v>35430</v>
      </c>
      <c r="C90" t="n">
        <v>0.134</v>
      </c>
    </row>
    <row r="91">
      <c r="A91" s="106" t="n">
        <v>35461</v>
      </c>
      <c r="C91" t="n">
        <v>0.14</v>
      </c>
    </row>
    <row r="92">
      <c r="A92" s="106" t="n">
        <v>35489</v>
      </c>
      <c r="C92" t="n">
        <v>0.103</v>
      </c>
    </row>
    <row r="93">
      <c r="A93" s="106" t="n">
        <v>35520</v>
      </c>
      <c r="C93" t="n">
        <v>0.104</v>
      </c>
    </row>
    <row r="94">
      <c r="A94" s="106" t="n">
        <v>35550</v>
      </c>
      <c r="C94" t="n">
        <v>0.135</v>
      </c>
    </row>
    <row r="95">
      <c r="A95" s="106" t="n">
        <v>35581</v>
      </c>
      <c r="C95" t="n">
        <v>0.119</v>
      </c>
    </row>
    <row r="96">
      <c r="A96" s="106" t="n">
        <v>35611</v>
      </c>
      <c r="C96" t="n">
        <v>0.119</v>
      </c>
    </row>
    <row r="97">
      <c r="A97" s="106" t="n">
        <v>35642</v>
      </c>
      <c r="C97" t="n">
        <v>0.121</v>
      </c>
    </row>
    <row r="98">
      <c r="A98" s="106" t="n">
        <v>35673</v>
      </c>
      <c r="C98" t="n">
        <v>0.08400000000000001</v>
      </c>
    </row>
    <row r="99">
      <c r="A99" s="106" t="n">
        <v>35703</v>
      </c>
      <c r="C99" t="n">
        <v>0.109</v>
      </c>
    </row>
    <row r="100">
      <c r="A100" s="106" t="n">
        <v>35734</v>
      </c>
      <c r="C100" t="n">
        <v>0.111</v>
      </c>
    </row>
    <row r="101">
      <c r="A101" s="106" t="n">
        <v>35764</v>
      </c>
      <c r="C101" t="n">
        <v>0.118</v>
      </c>
    </row>
    <row r="102">
      <c r="A102" s="106" t="n">
        <v>35795</v>
      </c>
      <c r="C102" t="n">
        <v>0.116</v>
      </c>
    </row>
    <row r="103">
      <c r="A103" s="106" t="n">
        <v>35826</v>
      </c>
      <c r="C103" t="n">
        <v>0.092</v>
      </c>
    </row>
    <row r="104">
      <c r="A104" s="106" t="n">
        <v>35854</v>
      </c>
      <c r="C104" t="n">
        <v>0.018</v>
      </c>
    </row>
    <row r="105">
      <c r="A105" s="106" t="n">
        <v>35885</v>
      </c>
      <c r="C105" t="n">
        <v>0.095</v>
      </c>
    </row>
    <row r="106">
      <c r="A106" s="106" t="n">
        <v>35915</v>
      </c>
      <c r="C106" t="n">
        <v>0.09</v>
      </c>
    </row>
    <row r="107">
      <c r="A107" s="106" t="n">
        <v>35946</v>
      </c>
      <c r="C107" t="n">
        <v>0.07199999999999999</v>
      </c>
    </row>
    <row r="108">
      <c r="A108" s="106" t="n">
        <v>35976</v>
      </c>
      <c r="C108" t="n">
        <v>0.08</v>
      </c>
    </row>
    <row r="109">
      <c r="A109" s="106" t="n">
        <v>36007</v>
      </c>
      <c r="C109" t="n">
        <v>0.079</v>
      </c>
    </row>
    <row r="110">
      <c r="A110" s="106" t="n">
        <v>36038</v>
      </c>
      <c r="C110" t="n">
        <v>0.076</v>
      </c>
    </row>
    <row r="111">
      <c r="A111" s="106" t="n">
        <v>36068</v>
      </c>
      <c r="C111" t="n">
        <v>0.079</v>
      </c>
    </row>
    <row r="112">
      <c r="A112" s="106" t="n">
        <v>36099</v>
      </c>
      <c r="C112" t="n">
        <v>0.102</v>
      </c>
    </row>
    <row r="113">
      <c r="A113" s="106" t="n">
        <v>36129</v>
      </c>
      <c r="C113" t="n">
        <v>0.106</v>
      </c>
    </row>
    <row r="114">
      <c r="A114" s="106" t="n">
        <v>36160</v>
      </c>
      <c r="C114" t="n">
        <v>0.11</v>
      </c>
    </row>
    <row r="115">
      <c r="A115" s="106" t="n">
        <v>36191</v>
      </c>
      <c r="C115" t="n">
        <v>0.115</v>
      </c>
    </row>
    <row r="116">
      <c r="A116" s="106" t="n">
        <v>36219</v>
      </c>
      <c r="C116" t="n">
        <v>0.179</v>
      </c>
    </row>
    <row r="117">
      <c r="A117" s="106" t="n">
        <v>36250</v>
      </c>
      <c r="C117" t="n">
        <v>0.021</v>
      </c>
    </row>
    <row r="118">
      <c r="A118" s="106" t="n">
        <v>36280</v>
      </c>
      <c r="C118" t="n">
        <v>0.09</v>
      </c>
    </row>
    <row r="119">
      <c r="A119" s="106" t="n">
        <v>36311</v>
      </c>
      <c r="C119" t="n">
        <v>0.091</v>
      </c>
    </row>
    <row r="120">
      <c r="A120" s="106" t="n">
        <v>36341</v>
      </c>
      <c r="C120" t="n">
        <v>0.089</v>
      </c>
    </row>
    <row r="121">
      <c r="A121" s="106" t="n">
        <v>36372</v>
      </c>
      <c r="C121" t="n">
        <v>0.091</v>
      </c>
    </row>
    <row r="122">
      <c r="A122" s="106" t="n">
        <v>36403</v>
      </c>
      <c r="C122" t="n">
        <v>0.093</v>
      </c>
    </row>
    <row r="123">
      <c r="A123" s="106" t="n">
        <v>36433</v>
      </c>
      <c r="C123" t="n">
        <v>0.095</v>
      </c>
    </row>
    <row r="124">
      <c r="A124" s="106" t="n">
        <v>36464</v>
      </c>
      <c r="C124" t="n">
        <v>0.082</v>
      </c>
    </row>
    <row r="125">
      <c r="A125" s="106" t="n">
        <v>36494</v>
      </c>
      <c r="C125" t="n">
        <v>0.07000000000000001</v>
      </c>
    </row>
    <row r="126">
      <c r="A126" s="106" t="n">
        <v>36525</v>
      </c>
      <c r="C126" t="n">
        <v>0.076</v>
      </c>
    </row>
    <row r="127">
      <c r="A127" s="106" t="n">
        <v>36556</v>
      </c>
      <c r="C127" t="n">
        <v>0.074</v>
      </c>
    </row>
    <row r="128">
      <c r="A128" s="106" t="n">
        <v>36585</v>
      </c>
      <c r="C128" t="n">
        <v>0.089</v>
      </c>
    </row>
    <row r="129">
      <c r="A129" s="106" t="n">
        <v>36616</v>
      </c>
      <c r="C129" t="n">
        <v>0.12</v>
      </c>
    </row>
    <row r="130">
      <c r="A130" s="106" t="n">
        <v>36646</v>
      </c>
      <c r="C130" t="n">
        <v>0.119</v>
      </c>
    </row>
    <row r="131">
      <c r="A131" s="106" t="n">
        <v>36677</v>
      </c>
      <c r="C131" t="n">
        <v>0.114</v>
      </c>
    </row>
    <row r="132">
      <c r="A132" s="106" t="n">
        <v>36707</v>
      </c>
      <c r="C132" t="n">
        <v>0.115</v>
      </c>
    </row>
    <row r="133">
      <c r="A133" s="106" t="n">
        <v>36738</v>
      </c>
      <c r="C133" t="n">
        <v>0.122</v>
      </c>
    </row>
    <row r="134">
      <c r="A134" s="106" t="n">
        <v>36769</v>
      </c>
      <c r="C134" t="n">
        <v>0.128</v>
      </c>
    </row>
    <row r="135">
      <c r="A135" s="106" t="n">
        <v>36799</v>
      </c>
      <c r="C135" t="n">
        <v>0.128</v>
      </c>
    </row>
    <row r="136">
      <c r="A136" s="106" t="n">
        <v>36830</v>
      </c>
      <c r="C136" t="n">
        <v>0.12</v>
      </c>
    </row>
    <row r="137">
      <c r="A137" s="106" t="n">
        <v>36860</v>
      </c>
      <c r="C137" t="n">
        <v>0.114</v>
      </c>
    </row>
    <row r="138">
      <c r="A138" s="106" t="n">
        <v>36891</v>
      </c>
      <c r="C138" t="n">
        <v>0.106</v>
      </c>
    </row>
    <row r="139">
      <c r="A139" s="106" t="n">
        <v>36922</v>
      </c>
      <c r="C139" t="n">
        <v>0.104</v>
      </c>
    </row>
    <row r="140">
      <c r="A140" s="106" t="n">
        <v>36950</v>
      </c>
      <c r="C140" t="n">
        <v>0.023</v>
      </c>
    </row>
    <row r="141">
      <c r="A141" s="106" t="n">
        <v>36981</v>
      </c>
      <c r="C141" t="n">
        <v>0.19</v>
      </c>
    </row>
    <row r="142">
      <c r="A142" s="106" t="n">
        <v>37011</v>
      </c>
      <c r="C142" t="n">
        <v>0.121</v>
      </c>
    </row>
    <row r="143">
      <c r="A143" s="106" t="n">
        <v>37042</v>
      </c>
      <c r="C143" t="n">
        <v>0.115</v>
      </c>
    </row>
    <row r="144">
      <c r="A144" s="106" t="n">
        <v>37072</v>
      </c>
      <c r="C144" t="n">
        <v>0.102</v>
      </c>
    </row>
    <row r="145">
      <c r="A145" s="106" t="n">
        <v>37103</v>
      </c>
      <c r="C145" t="n">
        <v>0.101</v>
      </c>
    </row>
    <row r="146">
      <c r="A146" s="106" t="n">
        <v>37134</v>
      </c>
      <c r="C146" t="n">
        <v>0.081</v>
      </c>
    </row>
    <row r="147">
      <c r="A147" s="106" t="n">
        <v>37164</v>
      </c>
      <c r="C147" t="n">
        <v>0.081</v>
      </c>
    </row>
    <row r="148">
      <c r="A148" s="106" t="n">
        <v>37195</v>
      </c>
      <c r="C148" t="n">
        <v>0.095</v>
      </c>
    </row>
    <row r="149">
      <c r="A149" s="106" t="n">
        <v>37225</v>
      </c>
      <c r="C149" t="n">
        <v>0.08799999999999999</v>
      </c>
    </row>
    <row r="150">
      <c r="A150" s="106" t="n">
        <v>37256</v>
      </c>
      <c r="C150" t="n">
        <v>0.079</v>
      </c>
    </row>
    <row r="151">
      <c r="A151" s="106" t="n">
        <v>37287</v>
      </c>
      <c r="C151" t="n">
        <v>0.08699999999999999</v>
      </c>
    </row>
    <row r="152">
      <c r="A152" s="106" t="n">
        <v>37315</v>
      </c>
      <c r="C152" t="n">
        <v>0.186</v>
      </c>
    </row>
    <row r="153">
      <c r="A153" s="106" t="n">
        <v>37346</v>
      </c>
      <c r="C153" t="n">
        <v>0.027</v>
      </c>
    </row>
    <row r="154">
      <c r="A154" s="106" t="n">
        <v>37376</v>
      </c>
      <c r="C154" t="n">
        <v>0.109</v>
      </c>
    </row>
    <row r="155">
      <c r="A155" s="106" t="n">
        <v>37407</v>
      </c>
      <c r="C155" t="n">
        <v>0.121</v>
      </c>
    </row>
    <row r="156">
      <c r="A156" s="106" t="n">
        <v>37437</v>
      </c>
      <c r="C156" t="n">
        <v>0.129</v>
      </c>
    </row>
    <row r="157">
      <c r="A157" s="106" t="n">
        <v>37468</v>
      </c>
      <c r="C157" t="n">
        <v>0.124</v>
      </c>
    </row>
    <row r="158">
      <c r="A158" s="106" t="n">
        <v>37499</v>
      </c>
      <c r="C158" t="n">
        <v>0.128</v>
      </c>
    </row>
    <row r="159">
      <c r="A159" s="106" t="n">
        <v>37529</v>
      </c>
      <c r="C159" t="n">
        <v>0.127</v>
      </c>
    </row>
    <row r="160">
      <c r="A160" s="106" t="n">
        <v>37560</v>
      </c>
      <c r="C160" t="n">
        <v>0.138</v>
      </c>
    </row>
    <row r="161">
      <c r="A161" s="106" t="n">
        <v>37590</v>
      </c>
      <c r="C161" t="n">
        <v>0.142</v>
      </c>
    </row>
    <row r="162">
      <c r="A162" s="106" t="n">
        <v>37621</v>
      </c>
      <c r="C162" t="n">
        <v>0.145</v>
      </c>
    </row>
    <row r="163">
      <c r="A163" s="106" t="n">
        <v>37652</v>
      </c>
      <c r="C163" t="n">
        <v>0.149</v>
      </c>
    </row>
    <row r="164">
      <c r="A164" s="106" t="n">
        <v>37680</v>
      </c>
      <c r="C164" t="n">
        <v>0.148</v>
      </c>
    </row>
    <row r="165">
      <c r="A165" s="106" t="n">
        <v>37711</v>
      </c>
      <c r="C165" t="n">
        <v>0.198</v>
      </c>
    </row>
    <row r="166">
      <c r="A166" s="106" t="n">
        <v>37741</v>
      </c>
      <c r="C166" t="n">
        <v>0.169</v>
      </c>
    </row>
    <row r="167">
      <c r="A167" s="106" t="n">
        <v>37772</v>
      </c>
      <c r="C167" t="n">
        <v>0.149</v>
      </c>
    </row>
    <row r="168">
      <c r="A168" s="106" t="n">
        <v>37802</v>
      </c>
      <c r="C168" t="n">
        <v>0.137</v>
      </c>
    </row>
    <row r="169">
      <c r="A169" s="106" t="n">
        <v>37833</v>
      </c>
      <c r="C169" t="n">
        <v>0.169</v>
      </c>
    </row>
    <row r="170">
      <c r="A170" s="106" t="n">
        <v>37864</v>
      </c>
      <c r="C170" t="n">
        <v>0.165</v>
      </c>
    </row>
    <row r="171">
      <c r="A171" s="106" t="n">
        <v>37894</v>
      </c>
      <c r="C171" t="n">
        <v>0.171</v>
      </c>
    </row>
    <row r="172">
      <c r="A172" s="106" t="n">
        <v>37925</v>
      </c>
      <c r="C172" t="n">
        <v>0.163</v>
      </c>
    </row>
    <row r="173">
      <c r="A173" s="106" t="n">
        <v>37955</v>
      </c>
      <c r="C173" t="n">
        <v>0.172</v>
      </c>
    </row>
    <row r="174">
      <c r="A174" s="106" t="n">
        <v>37986</v>
      </c>
      <c r="C174" t="n">
        <v>0.179</v>
      </c>
    </row>
    <row r="175">
      <c r="A175" s="106" t="n">
        <v>38017</v>
      </c>
      <c r="C175" t="n">
        <v>0.181</v>
      </c>
    </row>
    <row r="176">
      <c r="A176" s="106" t="n">
        <v>38046</v>
      </c>
      <c r="C176" t="n">
        <v>0.07199999999999999</v>
      </c>
    </row>
    <row r="177">
      <c r="A177" s="106" t="n">
        <v>38077</v>
      </c>
      <c r="C177" t="n">
        <v>0.232</v>
      </c>
    </row>
    <row r="178">
      <c r="A178" s="106" t="n">
        <v>38107</v>
      </c>
      <c r="C178" t="n">
        <v>0.194</v>
      </c>
    </row>
    <row r="179">
      <c r="A179" s="106" t="n">
        <v>38138</v>
      </c>
      <c r="C179" t="n">
        <v>0.191</v>
      </c>
    </row>
    <row r="180">
      <c r="A180" s="106" t="n">
        <v>38168</v>
      </c>
      <c r="C180" t="n">
        <v>0.175</v>
      </c>
    </row>
    <row r="181">
      <c r="A181" s="106" t="n">
        <v>38199</v>
      </c>
      <c r="C181" t="n">
        <v>0.162</v>
      </c>
    </row>
    <row r="182">
      <c r="A182" s="106" t="n">
        <v>38230</v>
      </c>
      <c r="C182" t="n">
        <v>0.155</v>
      </c>
    </row>
    <row r="183">
      <c r="A183" s="106" t="n">
        <v>38260</v>
      </c>
      <c r="C183" t="n">
        <v>0.159</v>
      </c>
    </row>
    <row r="184">
      <c r="A184" s="106" t="n">
        <v>38291</v>
      </c>
      <c r="C184" t="n">
        <v>0.161</v>
      </c>
    </row>
    <row r="185">
      <c r="A185" s="106" t="n">
        <v>38321</v>
      </c>
      <c r="C185" t="n">
        <v>0.157</v>
      </c>
    </row>
    <row r="186">
      <c r="A186" s="106" t="n">
        <v>38352</v>
      </c>
      <c r="C186" t="n">
        <v>0.148</v>
      </c>
    </row>
    <row r="187">
      <c r="A187" s="106" t="n">
        <v>38383</v>
      </c>
      <c r="B187" t="n">
        <v>52.1</v>
      </c>
      <c r="C187" t="n">
        <v>0.144</v>
      </c>
    </row>
    <row r="188">
      <c r="A188" s="106" t="n">
        <v>38411</v>
      </c>
      <c r="B188" t="n">
        <v>52.9</v>
      </c>
      <c r="C188" t="n">
        <v>0.209</v>
      </c>
    </row>
    <row r="189">
      <c r="A189" s="106" t="n">
        <v>38442</v>
      </c>
      <c r="B189" t="n">
        <v>55.2</v>
      </c>
      <c r="C189" t="n">
        <v>0.076</v>
      </c>
    </row>
    <row r="190">
      <c r="A190" s="106" t="n">
        <v>38472</v>
      </c>
      <c r="B190" t="n">
        <v>54.4</v>
      </c>
      <c r="C190" t="n">
        <v>0.151</v>
      </c>
    </row>
    <row r="191">
      <c r="A191" s="106" t="n">
        <v>38503</v>
      </c>
      <c r="B191" t="n">
        <v>53.3</v>
      </c>
      <c r="C191" t="n">
        <v>0.16</v>
      </c>
    </row>
    <row r="192">
      <c r="A192" s="106" t="n">
        <v>38533</v>
      </c>
      <c r="B192" t="n">
        <v>51</v>
      </c>
      <c r="C192" t="n">
        <v>0.166</v>
      </c>
    </row>
    <row r="193">
      <c r="A193" s="106" t="n">
        <v>38564</v>
      </c>
      <c r="B193" t="n">
        <v>51.5</v>
      </c>
      <c r="C193" t="n">
        <v>0.168</v>
      </c>
    </row>
    <row r="194">
      <c r="A194" s="106" t="n">
        <v>38595</v>
      </c>
      <c r="B194" t="n">
        <v>50.6</v>
      </c>
      <c r="C194" t="n">
        <v>0.161</v>
      </c>
    </row>
    <row r="195">
      <c r="A195" s="106" t="n">
        <v>38625</v>
      </c>
      <c r="B195" t="n">
        <v>50.9</v>
      </c>
      <c r="C195" t="n">
        <v>0.16</v>
      </c>
    </row>
    <row r="196">
      <c r="A196" s="106" t="n">
        <v>38656</v>
      </c>
      <c r="B196" t="n">
        <v>50.1</v>
      </c>
      <c r="C196" t="n">
        <v>0.165</v>
      </c>
    </row>
    <row r="197">
      <c r="A197" s="106" t="n">
        <v>38686</v>
      </c>
      <c r="B197" t="n">
        <v>49.8</v>
      </c>
      <c r="C197" t="n">
        <v>0.161</v>
      </c>
    </row>
    <row r="198">
      <c r="A198" s="106" t="n">
        <v>38717</v>
      </c>
      <c r="B198" t="n">
        <v>50.1</v>
      </c>
      <c r="C198" t="n">
        <v>0.166</v>
      </c>
    </row>
    <row r="199">
      <c r="A199" s="106" t="n">
        <v>38776</v>
      </c>
      <c r="B199" t="n">
        <v>50.7</v>
      </c>
      <c r="C199" t="n">
        <v>0.165</v>
      </c>
    </row>
    <row r="200">
      <c r="A200" s="106" t="n">
        <v>38807</v>
      </c>
      <c r="B200" t="n">
        <v>51</v>
      </c>
      <c r="C200" t="n">
        <v>0.201</v>
      </c>
    </row>
    <row r="201">
      <c r="A201" s="106" t="n">
        <v>38837</v>
      </c>
      <c r="B201" t="n">
        <v>52.7</v>
      </c>
      <c r="C201" t="n">
        <v>0.178</v>
      </c>
    </row>
    <row r="202">
      <c r="A202" s="106" t="n">
        <v>38868</v>
      </c>
      <c r="B202" t="n">
        <v>52.8</v>
      </c>
      <c r="C202" t="n">
        <v>0.166</v>
      </c>
    </row>
    <row r="203">
      <c r="A203" s="106" t="n">
        <v>38898</v>
      </c>
      <c r="B203" t="n">
        <v>52.9</v>
      </c>
      <c r="C203" t="n">
        <v>0.179</v>
      </c>
    </row>
    <row r="204">
      <c r="A204" s="106" t="n">
        <v>38929</v>
      </c>
      <c r="B204" t="n">
        <v>53</v>
      </c>
      <c r="C204" t="n">
        <v>0.195</v>
      </c>
    </row>
    <row r="205">
      <c r="A205" s="106" t="n">
        <v>38960</v>
      </c>
      <c r="B205" t="n">
        <v>52.6</v>
      </c>
      <c r="C205" t="n">
        <v>0.167</v>
      </c>
    </row>
    <row r="206">
      <c r="A206" s="106" t="n">
        <v>38990</v>
      </c>
      <c r="B206" t="n">
        <v>52.4</v>
      </c>
      <c r="C206" t="n">
        <v>0.157</v>
      </c>
    </row>
    <row r="207">
      <c r="A207" s="106" t="n">
        <v>39021</v>
      </c>
      <c r="B207" t="n">
        <v>52.1</v>
      </c>
      <c r="C207" t="n">
        <v>0.161</v>
      </c>
    </row>
    <row r="208">
      <c r="A208" s="106" t="n">
        <v>39051</v>
      </c>
      <c r="B208" t="n">
        <v>53</v>
      </c>
      <c r="C208" t="n">
        <v>0.147</v>
      </c>
    </row>
    <row r="209">
      <c r="A209" s="106" t="n">
        <v>39082</v>
      </c>
      <c r="B209" t="n">
        <v>52.4</v>
      </c>
      <c r="C209" t="n">
        <v>0.149</v>
      </c>
    </row>
    <row r="210">
      <c r="A210" s="106" t="n">
        <v>39141</v>
      </c>
      <c r="B210" t="n">
        <v>53</v>
      </c>
      <c r="C210" t="n">
        <v>0.147</v>
      </c>
    </row>
    <row r="211">
      <c r="A211" s="106" t="n">
        <v>39172</v>
      </c>
      <c r="B211" t="n">
        <v>52.3</v>
      </c>
      <c r="C211" t="n">
        <v>0.126</v>
      </c>
    </row>
    <row r="212">
      <c r="A212" s="106" t="n">
        <v>39202</v>
      </c>
      <c r="B212" t="n">
        <v>53.3</v>
      </c>
      <c r="C212" t="n">
        <v>0.176</v>
      </c>
    </row>
    <row r="213">
      <c r="A213" s="106" t="n">
        <v>39233</v>
      </c>
      <c r="B213" t="n">
        <v>54.1</v>
      </c>
      <c r="C213" t="n">
        <v>0.174</v>
      </c>
    </row>
    <row r="214">
      <c r="A214" s="106" t="n">
        <v>39263</v>
      </c>
      <c r="B214" t="n">
        <v>55</v>
      </c>
      <c r="C214" t="n">
        <v>0.181</v>
      </c>
    </row>
    <row r="215">
      <c r="A215" s="106" t="n">
        <v>39294</v>
      </c>
      <c r="B215" t="n">
        <v>53.2</v>
      </c>
      <c r="C215" t="n">
        <v>0.194</v>
      </c>
    </row>
    <row r="216">
      <c r="A216" s="106" t="n">
        <v>39325</v>
      </c>
      <c r="B216" t="n">
        <v>53.4</v>
      </c>
      <c r="C216" t="n">
        <v>0.18</v>
      </c>
    </row>
    <row r="217">
      <c r="A217" s="106" t="n">
        <v>39355</v>
      </c>
      <c r="B217" t="n">
        <v>55</v>
      </c>
      <c r="C217" t="n">
        <v>0.175</v>
      </c>
    </row>
    <row r="218">
      <c r="A218" s="106" t="n">
        <v>39386</v>
      </c>
      <c r="B218" t="n">
        <v>55.2</v>
      </c>
      <c r="C218" t="n">
        <v>0.189</v>
      </c>
    </row>
    <row r="219">
      <c r="A219" s="106" t="n">
        <v>39416</v>
      </c>
      <c r="B219" t="n">
        <v>52.8</v>
      </c>
      <c r="C219" t="n">
        <v>0.179</v>
      </c>
    </row>
    <row r="220">
      <c r="A220" s="106" t="n">
        <v>39447</v>
      </c>
      <c r="B220" t="n">
        <v>53.3</v>
      </c>
      <c r="C220" t="n">
        <v>0.173</v>
      </c>
    </row>
    <row r="221">
      <c r="A221" s="106" t="n">
        <v>39507</v>
      </c>
      <c r="B221" t="n">
        <v>52.8</v>
      </c>
      <c r="C221" t="n">
        <v>0.174</v>
      </c>
    </row>
    <row r="222">
      <c r="A222" s="106" t="n">
        <v>39538</v>
      </c>
      <c r="B222" t="n">
        <v>54.4</v>
      </c>
      <c r="C222" t="n">
        <v>0.154</v>
      </c>
    </row>
    <row r="223">
      <c r="A223" s="106" t="n">
        <v>39568</v>
      </c>
      <c r="B223" t="n">
        <v>55.4</v>
      </c>
      <c r="C223" t="n">
        <v>0.178</v>
      </c>
    </row>
    <row r="224">
      <c r="A224" s="106" t="n">
        <v>39599</v>
      </c>
      <c r="B224" t="n">
        <v>54.7</v>
      </c>
      <c r="C224" t="n">
        <v>0.157</v>
      </c>
    </row>
    <row r="225">
      <c r="A225" s="106" t="n">
        <v>39629</v>
      </c>
      <c r="B225" t="n">
        <v>53.3</v>
      </c>
      <c r="C225" t="n">
        <v>0.16</v>
      </c>
    </row>
    <row r="226">
      <c r="A226" s="106" t="n">
        <v>39660</v>
      </c>
      <c r="B226" t="n">
        <v>53.3</v>
      </c>
      <c r="C226" t="n">
        <v>0.16</v>
      </c>
    </row>
    <row r="227">
      <c r="A227" s="106" t="n">
        <v>39691</v>
      </c>
      <c r="B227" t="n">
        <v>49.2</v>
      </c>
      <c r="C227" t="n">
        <v>0.147</v>
      </c>
    </row>
    <row r="228">
      <c r="A228" s="106" t="n">
        <v>39721</v>
      </c>
      <c r="B228" t="n">
        <v>47.7</v>
      </c>
      <c r="C228" t="n">
        <v>0.128</v>
      </c>
    </row>
    <row r="229">
      <c r="A229" s="106" t="n">
        <v>39752</v>
      </c>
      <c r="B229" t="n">
        <v>45.2</v>
      </c>
      <c r="C229" t="n">
        <v>0.114</v>
      </c>
    </row>
    <row r="230">
      <c r="A230" s="106" t="n">
        <v>39782</v>
      </c>
      <c r="B230" t="n">
        <v>40.9</v>
      </c>
      <c r="C230" t="n">
        <v>0.082</v>
      </c>
    </row>
    <row r="231">
      <c r="A231" s="106" t="n">
        <v>39813</v>
      </c>
      <c r="B231" t="n">
        <v>41.2</v>
      </c>
      <c r="C231" t="n">
        <v>0.054</v>
      </c>
    </row>
    <row r="232">
      <c r="A232" s="106" t="n">
        <v>39872</v>
      </c>
      <c r="B232" t="n">
        <v>45.1</v>
      </c>
      <c r="C232" t="n">
        <v>0.057</v>
      </c>
    </row>
    <row r="233">
      <c r="A233" s="106" t="n">
        <v>39903</v>
      </c>
      <c r="B233" t="n">
        <v>44.8</v>
      </c>
      <c r="C233" t="n">
        <v>0.11</v>
      </c>
    </row>
    <row r="234">
      <c r="A234" s="106" t="n">
        <v>39933</v>
      </c>
      <c r="B234" t="n">
        <v>50.1</v>
      </c>
      <c r="C234" t="n">
        <v>0.083</v>
      </c>
    </row>
    <row r="235">
      <c r="A235" s="106" t="n">
        <v>39964</v>
      </c>
      <c r="B235" t="n">
        <v>51.2</v>
      </c>
      <c r="C235" t="n">
        <v>0.073</v>
      </c>
    </row>
    <row r="236">
      <c r="A236" s="106" t="n">
        <v>39994</v>
      </c>
      <c r="B236" t="n">
        <v>51.8</v>
      </c>
      <c r="C236" t="n">
        <v>0.089</v>
      </c>
    </row>
    <row r="237">
      <c r="A237" s="106" t="n">
        <v>40025</v>
      </c>
      <c r="B237" t="n">
        <v>52.8</v>
      </c>
      <c r="C237" t="n">
        <v>0.107</v>
      </c>
    </row>
    <row r="238">
      <c r="A238" s="106" t="n">
        <v>40056</v>
      </c>
      <c r="B238" t="n">
        <v>55.1</v>
      </c>
      <c r="C238" t="n">
        <v>0.108</v>
      </c>
    </row>
    <row r="239">
      <c r="A239" s="106" t="n">
        <v>40086</v>
      </c>
      <c r="B239" t="n">
        <v>55</v>
      </c>
      <c r="C239" t="n">
        <v>0.123</v>
      </c>
    </row>
    <row r="240">
      <c r="A240" s="106" t="n">
        <v>40117</v>
      </c>
      <c r="B240" t="n">
        <v>55.4</v>
      </c>
      <c r="C240" t="n">
        <v>0.139</v>
      </c>
    </row>
    <row r="241">
      <c r="A241" s="106" t="n">
        <v>40147</v>
      </c>
      <c r="B241" t="n">
        <v>55.7</v>
      </c>
      <c r="C241" t="n">
        <v>0.161</v>
      </c>
    </row>
    <row r="242">
      <c r="A242" s="106" t="n">
        <v>40178</v>
      </c>
      <c r="B242" t="n">
        <v>56.1</v>
      </c>
      <c r="C242" t="n">
        <v>0.192</v>
      </c>
    </row>
    <row r="243">
      <c r="A243" s="106" t="n">
        <v>40237</v>
      </c>
      <c r="B243" t="n">
        <v>55.8</v>
      </c>
      <c r="C243" t="n">
        <v>0.185</v>
      </c>
    </row>
    <row r="244">
      <c r="A244" s="106" t="n">
        <v>40268</v>
      </c>
      <c r="B244" t="n">
        <v>57</v>
      </c>
      <c r="C244" t="n">
        <v>0.128</v>
      </c>
    </row>
    <row r="245">
      <c r="A245" s="106" t="n">
        <v>40298</v>
      </c>
      <c r="B245" t="n">
        <v>55.4</v>
      </c>
      <c r="C245" t="n">
        <v>0.181</v>
      </c>
    </row>
    <row r="246">
      <c r="A246" s="106" t="n">
        <v>40329</v>
      </c>
      <c r="B246" t="n">
        <v>52.7</v>
      </c>
      <c r="C246" t="n">
        <v>0.178</v>
      </c>
    </row>
    <row r="247">
      <c r="A247" s="106" t="n">
        <v>40359</v>
      </c>
      <c r="B247" t="n">
        <v>50.4</v>
      </c>
      <c r="C247" t="n">
        <v>0.165</v>
      </c>
    </row>
    <row r="248">
      <c r="A248" s="106" t="n">
        <v>40390</v>
      </c>
      <c r="B248" t="n">
        <v>49.4</v>
      </c>
      <c r="C248" t="n">
        <v>0.137</v>
      </c>
    </row>
    <row r="249">
      <c r="A249" s="106" t="n">
        <v>40421</v>
      </c>
      <c r="B249" t="n">
        <v>51.9</v>
      </c>
      <c r="C249" t="n">
        <v>0.134</v>
      </c>
    </row>
    <row r="250">
      <c r="A250" s="106" t="n">
        <v>40451</v>
      </c>
      <c r="B250" t="n">
        <v>52.9</v>
      </c>
      <c r="C250" t="n">
        <v>0.139</v>
      </c>
    </row>
    <row r="251">
      <c r="A251" s="106" t="n">
        <v>40482</v>
      </c>
      <c r="B251" t="n">
        <v>54.8</v>
      </c>
      <c r="C251" t="n">
        <v>0.133</v>
      </c>
    </row>
    <row r="252">
      <c r="A252" s="106" t="n">
        <v>40512</v>
      </c>
      <c r="B252" t="n">
        <v>55.3</v>
      </c>
      <c r="C252" t="n">
        <v>0.131</v>
      </c>
    </row>
    <row r="253">
      <c r="A253" s="106" t="n">
        <v>40543</v>
      </c>
      <c r="B253" t="n">
        <v>54.4</v>
      </c>
      <c r="C253" t="n">
        <v>0.133</v>
      </c>
    </row>
    <row r="254">
      <c r="A254" s="106" t="n">
        <v>40602</v>
      </c>
      <c r="B254" t="n">
        <v>51.7</v>
      </c>
      <c r="C254" t="n">
        <v>0.135</v>
      </c>
    </row>
    <row r="255">
      <c r="A255" s="106" t="n">
        <v>40633</v>
      </c>
      <c r="B255" t="n">
        <v>51.8</v>
      </c>
      <c r="C255" t="n">
        <v>0.141</v>
      </c>
    </row>
    <row r="256">
      <c r="A256" s="106" t="n">
        <v>40663</v>
      </c>
      <c r="B256" t="n">
        <v>51.8</v>
      </c>
      <c r="C256" t="n">
        <v>0.148</v>
      </c>
    </row>
    <row r="257">
      <c r="A257" s="106" t="n">
        <v>40694</v>
      </c>
      <c r="B257" t="n">
        <v>51.6</v>
      </c>
      <c r="C257" t="n">
        <v>0.134</v>
      </c>
    </row>
    <row r="258">
      <c r="A258" s="106" t="n">
        <v>40724</v>
      </c>
      <c r="B258" t="n">
        <v>50.1</v>
      </c>
      <c r="C258" t="n">
        <v>0.133</v>
      </c>
    </row>
    <row r="259">
      <c r="A259" s="106" t="n">
        <v>40755</v>
      </c>
      <c r="B259" t="n">
        <v>49.3</v>
      </c>
      <c r="C259" t="n">
        <v>0.151</v>
      </c>
    </row>
    <row r="260">
      <c r="A260" s="106" t="n">
        <v>40786</v>
      </c>
      <c r="B260" t="n">
        <v>49.9</v>
      </c>
      <c r="C260" t="n">
        <v>0.14</v>
      </c>
    </row>
    <row r="261">
      <c r="A261" s="106" t="n">
        <v>40816</v>
      </c>
      <c r="B261" t="n">
        <v>49.9</v>
      </c>
      <c r="C261" t="n">
        <v>0.135</v>
      </c>
    </row>
    <row r="262">
      <c r="A262" s="106" t="n">
        <v>40847</v>
      </c>
      <c r="B262" t="n">
        <v>51</v>
      </c>
      <c r="C262" t="n">
        <v>0.138</v>
      </c>
    </row>
    <row r="263">
      <c r="A263" s="106" t="n">
        <v>40877</v>
      </c>
      <c r="B263" t="n">
        <v>47.7</v>
      </c>
      <c r="C263" t="n">
        <v>0.132</v>
      </c>
    </row>
    <row r="264">
      <c r="A264" s="106" t="n">
        <v>40908</v>
      </c>
      <c r="B264" t="n">
        <v>48.7</v>
      </c>
      <c r="C264" t="n">
        <v>0.124</v>
      </c>
    </row>
    <row r="265">
      <c r="A265" s="106" t="n">
        <v>40968</v>
      </c>
      <c r="B265" t="n">
        <v>49.6</v>
      </c>
      <c r="C265" t="n">
        <v>0.128</v>
      </c>
    </row>
    <row r="266">
      <c r="A266" s="106" t="n">
        <v>40999</v>
      </c>
      <c r="B266" t="n">
        <v>48.3</v>
      </c>
      <c r="C266" t="n">
        <v>0.114</v>
      </c>
    </row>
    <row r="267">
      <c r="A267" s="106" t="n">
        <v>41029</v>
      </c>
      <c r="B267" t="n">
        <v>49.3</v>
      </c>
      <c r="C267" t="n">
        <v>0.119</v>
      </c>
    </row>
    <row r="268">
      <c r="A268" s="106" t="n">
        <v>41060</v>
      </c>
      <c r="B268" t="n">
        <v>48.4</v>
      </c>
      <c r="C268" t="n">
        <v>0.093</v>
      </c>
    </row>
    <row r="269">
      <c r="A269" s="106" t="n">
        <v>41090</v>
      </c>
      <c r="B269" t="n">
        <v>48.2</v>
      </c>
      <c r="C269" t="n">
        <v>0.096</v>
      </c>
    </row>
    <row r="270">
      <c r="A270" s="106" t="n">
        <v>41121</v>
      </c>
      <c r="B270" t="n">
        <v>49.3</v>
      </c>
      <c r="C270" t="n">
        <v>0.095</v>
      </c>
    </row>
    <row r="271">
      <c r="A271" s="106" t="n">
        <v>41152</v>
      </c>
      <c r="B271" t="n">
        <v>47.7</v>
      </c>
      <c r="C271" t="n">
        <v>0.092</v>
      </c>
    </row>
    <row r="272">
      <c r="A272" s="106" t="n">
        <v>41182</v>
      </c>
      <c r="B272" t="n">
        <v>47.9</v>
      </c>
      <c r="C272" t="n">
        <v>0.089</v>
      </c>
    </row>
    <row r="273">
      <c r="A273" s="106" t="n">
        <v>41213</v>
      </c>
      <c r="B273" t="n">
        <v>49.5</v>
      </c>
      <c r="C273" t="n">
        <v>0.092</v>
      </c>
    </row>
    <row r="274">
      <c r="A274" s="106" t="n">
        <v>41243</v>
      </c>
      <c r="B274" t="n">
        <v>50.5</v>
      </c>
      <c r="C274" t="n">
        <v>0.096</v>
      </c>
    </row>
    <row r="275">
      <c r="A275" s="106" t="n">
        <v>41274</v>
      </c>
      <c r="B275" t="n">
        <v>51.5</v>
      </c>
      <c r="C275" t="n">
        <v>0.101</v>
      </c>
    </row>
    <row r="276">
      <c r="A276" s="106" t="n">
        <v>41333</v>
      </c>
      <c r="B276" t="n">
        <v>50.4</v>
      </c>
      <c r="C276" t="n">
        <v>0.103</v>
      </c>
    </row>
    <row r="277">
      <c r="A277" s="106" t="n">
        <v>41364</v>
      </c>
      <c r="B277" t="n">
        <v>51.6</v>
      </c>
      <c r="C277" t="n">
        <v>0.099</v>
      </c>
    </row>
    <row r="278">
      <c r="A278" s="106" t="n">
        <v>41394</v>
      </c>
      <c r="B278" t="n">
        <v>50.4</v>
      </c>
      <c r="C278" t="n">
        <v>0.089</v>
      </c>
    </row>
    <row r="279">
      <c r="A279" s="106" t="n">
        <v>41425</v>
      </c>
      <c r="B279" t="n">
        <v>49.2</v>
      </c>
      <c r="C279" t="n">
        <v>0.093</v>
      </c>
    </row>
    <row r="280">
      <c r="A280" s="106" t="n">
        <v>41455</v>
      </c>
      <c r="B280" t="n">
        <v>48.2</v>
      </c>
      <c r="C280" t="n">
        <v>0.092</v>
      </c>
    </row>
    <row r="281">
      <c r="A281" s="106" t="n">
        <v>41486</v>
      </c>
      <c r="B281" t="n">
        <v>47.7</v>
      </c>
      <c r="C281" t="n">
        <v>0.089</v>
      </c>
    </row>
    <row r="282">
      <c r="A282" s="106" t="n">
        <v>41517</v>
      </c>
      <c r="B282" t="n">
        <v>50.1</v>
      </c>
      <c r="C282" t="n">
        <v>0.097</v>
      </c>
    </row>
    <row r="283">
      <c r="A283" s="106" t="n">
        <v>41547</v>
      </c>
      <c r="B283" t="n">
        <v>50.2</v>
      </c>
      <c r="C283" t="n">
        <v>0.104</v>
      </c>
    </row>
    <row r="284">
      <c r="A284" s="106" t="n">
        <v>41578</v>
      </c>
      <c r="B284" t="n">
        <v>50.9</v>
      </c>
      <c r="C284" t="n">
        <v>0.102</v>
      </c>
    </row>
    <row r="285">
      <c r="A285" s="106" t="n">
        <v>41608</v>
      </c>
      <c r="B285" t="n">
        <v>50.8</v>
      </c>
      <c r="C285" t="n">
        <v>0.103</v>
      </c>
    </row>
    <row r="286">
      <c r="A286" s="106" t="n">
        <v>41639</v>
      </c>
      <c r="B286" t="n">
        <v>50.5</v>
      </c>
      <c r="C286" t="n">
        <v>0.1</v>
      </c>
    </row>
    <row r="287">
      <c r="A287" s="106" t="n">
        <v>41698</v>
      </c>
      <c r="B287" t="n">
        <v>48.5</v>
      </c>
      <c r="C287" t="n">
        <v>0.097</v>
      </c>
    </row>
    <row r="288">
      <c r="A288" s="106" t="n">
        <v>41729</v>
      </c>
      <c r="B288" t="n">
        <v>48</v>
      </c>
      <c r="C288" t="n">
        <v>0.08599999999999999</v>
      </c>
    </row>
    <row r="289">
      <c r="A289" s="106" t="n">
        <v>41759</v>
      </c>
      <c r="B289" t="n">
        <v>48.1</v>
      </c>
      <c r="C289" t="n">
        <v>0.08799999999999999</v>
      </c>
    </row>
    <row r="290">
      <c r="A290" s="106" t="n">
        <v>41790</v>
      </c>
      <c r="B290" t="n">
        <v>49.4</v>
      </c>
      <c r="C290" t="n">
        <v>0.08699999999999999</v>
      </c>
    </row>
    <row r="291">
      <c r="A291" s="106" t="n">
        <v>41820</v>
      </c>
      <c r="B291" t="n">
        <v>50.7</v>
      </c>
      <c r="C291" t="n">
        <v>0.08799999999999999</v>
      </c>
    </row>
    <row r="292">
      <c r="A292" s="106" t="n">
        <v>41851</v>
      </c>
      <c r="B292" t="n">
        <v>51.7</v>
      </c>
      <c r="C292" t="n">
        <v>0.092</v>
      </c>
    </row>
    <row r="293">
      <c r="A293" s="106" t="n">
        <v>41882</v>
      </c>
      <c r="B293" t="n">
        <v>50.2</v>
      </c>
      <c r="C293" t="n">
        <v>0.09</v>
      </c>
    </row>
    <row r="294">
      <c r="A294" s="106" t="n">
        <v>41912</v>
      </c>
      <c r="B294" t="n">
        <v>51.1</v>
      </c>
      <c r="C294" t="n">
        <v>0.06900000000000001</v>
      </c>
    </row>
    <row r="295">
      <c r="A295" s="106" t="n">
        <v>41943</v>
      </c>
      <c r="B295" t="n">
        <v>50.8</v>
      </c>
      <c r="C295" t="n">
        <v>0.08</v>
      </c>
    </row>
    <row r="296">
      <c r="A296" s="106" t="n">
        <v>41973</v>
      </c>
      <c r="B296" t="n">
        <v>50.3</v>
      </c>
      <c r="C296" t="n">
        <v>0.077</v>
      </c>
    </row>
    <row r="297">
      <c r="A297" s="106" t="n">
        <v>42004</v>
      </c>
      <c r="B297" t="n">
        <v>50.1</v>
      </c>
      <c r="C297" t="n">
        <v>0.07199999999999999</v>
      </c>
    </row>
    <row r="298">
      <c r="A298" s="106" t="n">
        <v>42063</v>
      </c>
      <c r="B298" t="n">
        <v>49.9</v>
      </c>
      <c r="C298" t="n">
        <v>0.079</v>
      </c>
    </row>
    <row r="299">
      <c r="A299" s="106" t="n">
        <v>42094</v>
      </c>
      <c r="B299" t="n">
        <v>50.1</v>
      </c>
      <c r="C299" t="n">
        <v>0.068</v>
      </c>
    </row>
    <row r="300">
      <c r="A300" s="106" t="n">
        <v>42124</v>
      </c>
      <c r="B300" t="n">
        <v>50.1</v>
      </c>
      <c r="C300" t="n">
        <v>0.056</v>
      </c>
    </row>
    <row r="301">
      <c r="A301" s="106" t="n">
        <v>42155</v>
      </c>
      <c r="B301" t="n">
        <v>50.2</v>
      </c>
      <c r="C301" t="n">
        <v>0.059</v>
      </c>
    </row>
    <row r="302">
      <c r="A302" s="106" t="n">
        <v>42185</v>
      </c>
      <c r="B302" t="n">
        <v>50.2</v>
      </c>
      <c r="C302" t="n">
        <v>0.061</v>
      </c>
    </row>
    <row r="303">
      <c r="A303" s="106" t="n">
        <v>42216</v>
      </c>
      <c r="B303" t="n">
        <v>50</v>
      </c>
      <c r="C303" t="n">
        <v>0.068</v>
      </c>
    </row>
    <row r="304">
      <c r="A304" s="106" t="n">
        <v>42247</v>
      </c>
      <c r="B304" t="n">
        <v>47.3</v>
      </c>
      <c r="C304" t="n">
        <v>0.06</v>
      </c>
    </row>
    <row r="305">
      <c r="A305" s="106" t="n">
        <v>42277</v>
      </c>
      <c r="B305" t="n">
        <v>47.2</v>
      </c>
      <c r="C305" t="n">
        <v>0.061</v>
      </c>
    </row>
    <row r="306">
      <c r="A306" s="106" t="n">
        <v>42308</v>
      </c>
      <c r="B306" t="n">
        <v>48.3</v>
      </c>
      <c r="C306" t="n">
        <v>0.057</v>
      </c>
    </row>
    <row r="307">
      <c r="A307" s="106" t="n">
        <v>42338</v>
      </c>
      <c r="B307" t="n">
        <v>48.6</v>
      </c>
      <c r="C307" t="n">
        <v>0.056</v>
      </c>
    </row>
    <row r="308">
      <c r="A308" s="106" t="n">
        <v>42369</v>
      </c>
      <c r="B308" t="n">
        <v>48.2</v>
      </c>
      <c r="C308" t="n">
        <v>0.062</v>
      </c>
    </row>
    <row r="309">
      <c r="A309" s="106" t="n">
        <v>42400</v>
      </c>
      <c r="B309" t="n">
        <v>48.4</v>
      </c>
      <c r="C309" t="n">
        <v>0.059</v>
      </c>
    </row>
    <row r="310">
      <c r="A310" s="106" t="n">
        <v>42460</v>
      </c>
      <c r="B310" t="n">
        <v>49.7</v>
      </c>
      <c r="C310" t="n">
        <v>0.054</v>
      </c>
    </row>
    <row r="311">
      <c r="A311" s="106" t="n">
        <v>42490</v>
      </c>
      <c r="B311" t="n">
        <v>49.4</v>
      </c>
      <c r="C311" t="n">
        <v>0.068</v>
      </c>
    </row>
    <row r="312">
      <c r="A312" s="106" t="n">
        <v>42521</v>
      </c>
      <c r="B312" t="n">
        <v>49.2</v>
      </c>
      <c r="C312" t="n">
        <v>0.06</v>
      </c>
    </row>
    <row r="313">
      <c r="A313" s="106" t="n">
        <v>42551</v>
      </c>
      <c r="B313" t="n">
        <v>48.6</v>
      </c>
      <c r="C313" t="n">
        <v>0.06</v>
      </c>
    </row>
    <row r="314">
      <c r="A314" s="106" t="n">
        <v>42582</v>
      </c>
      <c r="B314" t="n">
        <v>50.6</v>
      </c>
      <c r="C314" t="n">
        <v>0.062</v>
      </c>
    </row>
    <row r="315">
      <c r="A315" s="106" t="n">
        <v>42613</v>
      </c>
      <c r="B315" t="n">
        <v>50</v>
      </c>
      <c r="C315" t="n">
        <v>0.06</v>
      </c>
    </row>
    <row r="316">
      <c r="A316" s="106" t="n">
        <v>42643</v>
      </c>
      <c r="B316" t="n">
        <v>50.1</v>
      </c>
      <c r="C316" t="n">
        <v>0.063</v>
      </c>
    </row>
    <row r="317">
      <c r="A317" s="106" t="n">
        <v>42674</v>
      </c>
      <c r="B317" t="n">
        <v>51.2</v>
      </c>
      <c r="C317" t="n">
        <v>0.061</v>
      </c>
    </row>
    <row r="318">
      <c r="A318" s="106" t="n">
        <v>42704</v>
      </c>
      <c r="B318" t="n">
        <v>50.9</v>
      </c>
      <c r="C318" t="n">
        <v>0.061</v>
      </c>
    </row>
    <row r="319">
      <c r="A319" s="106" t="n">
        <v>42735</v>
      </c>
      <c r="B319" t="n">
        <v>51.9</v>
      </c>
      <c r="C319" t="n">
        <v>0.062</v>
      </c>
    </row>
    <row r="320">
      <c r="A320" s="106" t="n">
        <v>42766</v>
      </c>
      <c r="B320" t="n">
        <v>51</v>
      </c>
      <c r="C320" t="n">
        <v>0.06</v>
      </c>
    </row>
    <row r="321">
      <c r="A321" s="106" t="n">
        <v>42825</v>
      </c>
      <c r="B321" t="n">
        <v>51.2</v>
      </c>
      <c r="C321" t="n">
        <v>0.063</v>
      </c>
    </row>
    <row r="322">
      <c r="A322" s="106" t="n">
        <v>42855</v>
      </c>
      <c r="B322" t="n">
        <v>50.3</v>
      </c>
      <c r="C322" t="n">
        <v>0.076</v>
      </c>
    </row>
    <row r="323">
      <c r="A323" s="106" t="n">
        <v>42886</v>
      </c>
      <c r="B323" t="n">
        <v>49.6</v>
      </c>
      <c r="C323" t="n">
        <v>0.065</v>
      </c>
    </row>
    <row r="324">
      <c r="A324" s="106" t="n">
        <v>42916</v>
      </c>
      <c r="B324" t="n">
        <v>50.4</v>
      </c>
      <c r="C324" t="n">
        <v>0.065</v>
      </c>
    </row>
    <row r="325">
      <c r="A325" s="106" t="n">
        <v>42947</v>
      </c>
      <c r="B325" t="n">
        <v>51.1</v>
      </c>
      <c r="C325" t="n">
        <v>0.076</v>
      </c>
    </row>
    <row r="326">
      <c r="A326" s="106" t="n">
        <v>42978</v>
      </c>
      <c r="B326" t="n">
        <v>51.6</v>
      </c>
      <c r="C326" t="n">
        <v>0.064</v>
      </c>
    </row>
    <row r="327">
      <c r="A327" s="106" t="n">
        <v>43008</v>
      </c>
      <c r="B327" t="n">
        <v>51</v>
      </c>
      <c r="C327" t="n">
        <v>0.06</v>
      </c>
    </row>
    <row r="328">
      <c r="A328" s="106" t="n">
        <v>43039</v>
      </c>
      <c r="B328" t="n">
        <v>51</v>
      </c>
      <c r="C328" t="n">
        <v>0.066</v>
      </c>
    </row>
    <row r="329">
      <c r="A329" s="106" t="n">
        <v>43069</v>
      </c>
      <c r="B329" t="n">
        <v>50.8</v>
      </c>
      <c r="C329" t="n">
        <v>0.062</v>
      </c>
    </row>
    <row r="330">
      <c r="A330" s="106" t="n">
        <v>43100</v>
      </c>
      <c r="B330" t="n">
        <v>51.5</v>
      </c>
      <c r="C330" t="n">
        <v>0.061</v>
      </c>
    </row>
    <row r="331">
      <c r="A331" s="106" t="n">
        <v>43159</v>
      </c>
      <c r="B331" t="n">
        <v>51.5</v>
      </c>
      <c r="C331" t="n">
        <v>0.062</v>
      </c>
    </row>
    <row r="332">
      <c r="A332" s="106" t="n">
        <v>43190</v>
      </c>
      <c r="B332" t="n">
        <v>51</v>
      </c>
      <c r="C332" t="n">
        <v>0.07199999999999999</v>
      </c>
    </row>
    <row r="333">
      <c r="A333" s="106" t="n">
        <v>43220</v>
      </c>
      <c r="B333" t="n">
        <v>51.1</v>
      </c>
      <c r="C333" t="n">
        <v>0.06</v>
      </c>
    </row>
    <row r="334">
      <c r="A334" s="106" t="n">
        <v>43251</v>
      </c>
      <c r="B334" t="n">
        <v>51.1</v>
      </c>
      <c r="C334" t="n">
        <v>0.07000000000000001</v>
      </c>
    </row>
    <row r="335">
      <c r="A335" s="106" t="n">
        <v>43281</v>
      </c>
      <c r="B335" t="n">
        <v>51</v>
      </c>
      <c r="C335" t="n">
        <v>0.068</v>
      </c>
    </row>
    <row r="336">
      <c r="A336" s="106" t="n">
        <v>43312</v>
      </c>
      <c r="B336" t="n">
        <v>50.8</v>
      </c>
      <c r="C336" t="n">
        <v>0.06</v>
      </c>
    </row>
    <row r="337">
      <c r="A337" s="106" t="n">
        <v>43343</v>
      </c>
      <c r="B337" t="n">
        <v>50.6</v>
      </c>
      <c r="C337" t="n">
        <v>0.06</v>
      </c>
    </row>
    <row r="338">
      <c r="A338" s="106" t="n">
        <v>43373</v>
      </c>
      <c r="B338" t="n">
        <v>50</v>
      </c>
      <c r="C338" t="n">
        <v>0.061</v>
      </c>
    </row>
    <row r="339">
      <c r="A339" s="106" t="n">
        <v>43404</v>
      </c>
      <c r="B339" t="n">
        <v>50.1</v>
      </c>
      <c r="C339" t="n">
        <v>0.058</v>
      </c>
    </row>
    <row r="340">
      <c r="A340" s="106" t="n">
        <v>43434</v>
      </c>
      <c r="B340" t="n">
        <v>50.2</v>
      </c>
      <c r="C340" t="n">
        <v>0.059</v>
      </c>
    </row>
    <row r="341">
      <c r="A341" s="106" t="n">
        <v>43465</v>
      </c>
      <c r="B341" t="n">
        <v>49.7</v>
      </c>
      <c r="C341" t="n">
        <v>0.054</v>
      </c>
    </row>
    <row r="342">
      <c r="A342" s="106" t="n">
        <v>43496</v>
      </c>
      <c r="B342" t="n">
        <v>48.3</v>
      </c>
      <c r="C342" t="n">
        <v>0.057</v>
      </c>
    </row>
    <row r="343">
      <c r="A343" s="106" t="n">
        <v>43524</v>
      </c>
      <c r="B343" t="n">
        <v>49.9</v>
      </c>
      <c r="C343" t="n">
        <v>0.053</v>
      </c>
    </row>
    <row r="344">
      <c r="A344" s="106" t="n">
        <v>43555</v>
      </c>
      <c r="B344" t="n">
        <v>50.8</v>
      </c>
      <c r="C344" t="n">
        <v>0.08500000000000001</v>
      </c>
    </row>
    <row r="345">
      <c r="A345" s="106" t="n">
        <v>43585</v>
      </c>
      <c r="B345" t="n">
        <v>50.2</v>
      </c>
      <c r="C345" t="n">
        <v>0.054</v>
      </c>
    </row>
    <row r="346">
      <c r="A346" s="106" t="n">
        <v>43616</v>
      </c>
      <c r="B346" t="n">
        <v>50.2</v>
      </c>
      <c r="C346" t="n">
        <v>0.054</v>
      </c>
    </row>
    <row r="347">
      <c r="A347" s="106" t="n">
        <v>43646</v>
      </c>
      <c r="B347" t="n">
        <v>49.4</v>
      </c>
      <c r="C347" t="n">
        <v>0.05</v>
      </c>
    </row>
    <row r="348">
      <c r="A348" s="106" t="n">
        <v>43677</v>
      </c>
      <c r="B348" t="n">
        <v>49.9</v>
      </c>
      <c r="C348" t="n">
        <v>0.063</v>
      </c>
    </row>
    <row r="349">
      <c r="A349" s="106" t="n">
        <v>43708</v>
      </c>
      <c r="B349" t="n">
        <v>50.4</v>
      </c>
      <c r="C349" t="n">
        <v>0.048</v>
      </c>
    </row>
    <row r="350">
      <c r="A350" s="106" t="n">
        <v>43738</v>
      </c>
      <c r="B350" t="n">
        <v>51.4</v>
      </c>
      <c r="C350" t="n">
        <v>0.044</v>
      </c>
    </row>
    <row r="351">
      <c r="A351" s="106" t="n">
        <v>43769</v>
      </c>
      <c r="B351" t="n">
        <v>51.7</v>
      </c>
      <c r="C351" t="n">
        <v>0.058</v>
      </c>
    </row>
    <row r="352">
      <c r="A352" s="106" t="n">
        <v>43799</v>
      </c>
      <c r="B352" t="n">
        <v>51.8</v>
      </c>
      <c r="C352" t="n">
        <v>0.047</v>
      </c>
    </row>
    <row r="353">
      <c r="A353" s="106" t="n">
        <v>43830</v>
      </c>
      <c r="B353" t="n">
        <v>51.5</v>
      </c>
      <c r="C353" t="n">
        <v>0.062</v>
      </c>
    </row>
    <row r="354">
      <c r="A354" s="106" t="n">
        <v>43890</v>
      </c>
      <c r="B354" t="n">
        <v>51.1</v>
      </c>
      <c r="C354" t="n">
        <v>0.06900000000000001</v>
      </c>
    </row>
    <row r="355">
      <c r="A355" s="106" t="n">
        <v>43921</v>
      </c>
      <c r="B355" t="n">
        <v>40.3</v>
      </c>
      <c r="C355" t="n">
        <v>-0.135</v>
      </c>
    </row>
    <row r="356">
      <c r="A356" s="106" t="n">
        <v>43951</v>
      </c>
      <c r="B356" t="n">
        <v>50.1</v>
      </c>
      <c r="C356" t="n">
        <v>-0.011</v>
      </c>
    </row>
    <row r="357" ht="16" customHeight="1" s="80">
      <c r="A357" s="106" t="n">
        <v>43982</v>
      </c>
      <c r="B357" t="n">
        <v>49.4</v>
      </c>
      <c r="C357" t="n">
        <v>0.039</v>
      </c>
    </row>
    <row r="358" ht="16" customHeight="1" s="80">
      <c r="A358" s="106" t="n">
        <v>44012</v>
      </c>
      <c r="B358" t="n">
        <v>50.7</v>
      </c>
      <c r="C358" t="n">
        <v>0.044</v>
      </c>
    </row>
    <row r="359" ht="16" customHeight="1" s="80">
      <c r="A359" s="106" t="n">
        <v>44043</v>
      </c>
      <c r="B359" t="n">
        <v>51.2</v>
      </c>
      <c r="C359" t="n">
        <v>0.048</v>
      </c>
    </row>
    <row r="360" ht="16" customHeight="1" s="80">
      <c r="A360" s="106" t="n">
        <v>44074</v>
      </c>
      <c r="B360" t="n">
        <v>52.8</v>
      </c>
      <c r="C360" t="n">
        <v>0.048</v>
      </c>
    </row>
    <row r="361" ht="16" customHeight="1" s="80">
      <c r="A361" s="106" t="n">
        <v>44104</v>
      </c>
      <c r="B361" t="n">
        <v>53.1</v>
      </c>
      <c r="C361" t="n">
        <v>0.056</v>
      </c>
    </row>
    <row r="362" ht="16" customHeight="1" s="80">
      <c r="A362" s="106" t="n">
        <v>44135</v>
      </c>
      <c r="B362" t="n">
        <v>53</v>
      </c>
      <c r="C362" t="n">
        <v>0.06900000000000001</v>
      </c>
    </row>
    <row r="363" ht="16" customHeight="1" s="80">
      <c r="A363" s="106" t="n">
        <v>44165</v>
      </c>
      <c r="B363" t="n">
        <v>53.6</v>
      </c>
      <c r="C363" t="n">
        <v>0.06900000000000001</v>
      </c>
    </row>
    <row r="364" ht="16" customHeight="1" s="80">
      <c r="A364" s="106" t="n">
        <v>44196</v>
      </c>
      <c r="B364" t="n">
        <v>49.9</v>
      </c>
      <c r="C364" t="n">
        <v>0.07000000000000001</v>
      </c>
    </row>
    <row r="365" ht="16" customHeight="1" s="80">
      <c r="A365" s="106" t="n">
        <v>44227</v>
      </c>
      <c r="B365" t="n">
        <v>51.5</v>
      </c>
      <c r="C365" t="n">
        <v>0.038</v>
      </c>
    </row>
    <row r="366" ht="16" customHeight="1" s="80">
      <c r="A366" s="106" t="n">
        <v>44255</v>
      </c>
      <c r="B366" t="n">
        <v>50.9</v>
      </c>
      <c r="C366" t="n">
        <v>0.351</v>
      </c>
    </row>
    <row r="367" ht="16" customHeight="1" s="80">
      <c r="A367" s="106" t="n">
        <v>44286</v>
      </c>
      <c r="B367" t="n">
        <v>50.6</v>
      </c>
      <c r="C367" t="n">
        <v>0.141</v>
      </c>
    </row>
    <row r="368">
      <c r="A368" s="106" t="n">
        <v>44316</v>
      </c>
      <c r="B368" t="n">
        <v>51.9</v>
      </c>
      <c r="C368" t="n">
        <v>0.098</v>
      </c>
    </row>
    <row r="369">
      <c r="A369" s="106" t="n">
        <v>44347</v>
      </c>
      <c r="B369" t="n">
        <v>52</v>
      </c>
      <c r="C369" t="n">
        <v>0.08799999999999999</v>
      </c>
    </row>
    <row r="370">
      <c r="A370" s="106" t="n">
        <v>44377</v>
      </c>
      <c r="B370" t="n">
        <v>51.3</v>
      </c>
      <c r="C370" t="n">
        <v>0.083</v>
      </c>
    </row>
    <row r="371">
      <c r="A371" s="106" t="n">
        <v>44408</v>
      </c>
      <c r="B371" t="n">
        <v>50.3</v>
      </c>
      <c r="C371" t="n">
        <v>0.064</v>
      </c>
    </row>
    <row r="372">
      <c r="A372" s="106" t="n">
        <v>44439</v>
      </c>
      <c r="B372" t="n">
        <v>49.2</v>
      </c>
      <c r="C372" t="n">
        <v>0.053</v>
      </c>
    </row>
    <row r="373">
      <c r="A373" s="106" t="n">
        <v>44468</v>
      </c>
      <c r="B373" t="n">
        <v>50</v>
      </c>
    </row>
    <row r="374">
      <c r="A374" s="106" t="n">
        <v>44469</v>
      </c>
      <c r="B374" t="n">
        <v>50</v>
      </c>
      <c r="C374" t="n">
        <v>0.031</v>
      </c>
    </row>
    <row r="375">
      <c r="A375" s="106" t="n">
        <v>44500</v>
      </c>
      <c r="B375" t="n">
        <v>50.6</v>
      </c>
      <c r="C375" t="n">
        <v>0.035</v>
      </c>
    </row>
    <row r="376">
      <c r="A376" s="106" t="n">
        <v>44530</v>
      </c>
      <c r="B376" t="n">
        <v>49.9</v>
      </c>
      <c r="C376" t="n">
        <v>0.038</v>
      </c>
    </row>
    <row r="377">
      <c r="A377" s="106" t="n">
        <v>44561</v>
      </c>
      <c r="B377" t="n">
        <v>50.9</v>
      </c>
      <c r="C377" t="n">
        <v>0.043</v>
      </c>
    </row>
    <row r="378">
      <c r="A378" s="106" t="n">
        <v>44590</v>
      </c>
      <c r="B378" t="n">
        <v>49.1</v>
      </c>
      <c r="C378" t="n">
        <v>0.075</v>
      </c>
    </row>
    <row r="379">
      <c r="A379" s="106" t="n">
        <v>44620</v>
      </c>
      <c r="B379" t="n">
        <v>50.4</v>
      </c>
      <c r="C379" t="n">
        <v>0.075</v>
      </c>
    </row>
    <row r="380">
      <c r="A380" s="106" t="n">
        <v>44651</v>
      </c>
      <c r="B380" t="n">
        <v>48.1</v>
      </c>
      <c r="C380" t="n">
        <v>0.05</v>
      </c>
    </row>
    <row r="381">
      <c r="A381" s="106" t="n">
        <v>44679</v>
      </c>
    </row>
    <row r="382">
      <c r="A382" s="106" t="n">
        <v>44680</v>
      </c>
      <c r="B382" t="n">
        <v>46</v>
      </c>
      <c r="C382" t="n">
        <v>-0.029</v>
      </c>
    </row>
    <row r="383">
      <c r="A383" s="106" t="n">
        <v>44712</v>
      </c>
      <c r="B383" t="n">
        <v>48.1</v>
      </c>
      <c r="C383" t="n">
        <v>0.006999999999999999</v>
      </c>
    </row>
    <row r="384">
      <c r="A384" s="106" t="n">
        <v>44742</v>
      </c>
      <c r="B384" t="n">
        <v>51.7</v>
      </c>
      <c r="C384" t="n">
        <v>0.039</v>
      </c>
    </row>
    <row r="385">
      <c r="A385" s="106" t="n">
        <v>44773</v>
      </c>
      <c r="B385" t="n">
        <v>50.4</v>
      </c>
    </row>
    <row r="386">
      <c r="A386" s="106" t="n">
        <v>44804</v>
      </c>
      <c r="B386" t="n">
        <v>49.5</v>
      </c>
    </row>
    <row r="387">
      <c r="A387" s="106" t="n">
        <v>44833</v>
      </c>
      <c r="B387" t="n">
        <v>48.1</v>
      </c>
    </row>
    <row r="388">
      <c r="A388" s="106" t="n">
        <v>44834</v>
      </c>
      <c r="B388" t="n">
        <v>48.1</v>
      </c>
    </row>
    <row r="389">
      <c r="A389" s="106" t="n">
        <v>44865</v>
      </c>
      <c r="B389" t="n">
        <v>49.2</v>
      </c>
    </row>
    <row r="390">
      <c r="A390" s="106" t="n">
        <v>44895</v>
      </c>
      <c r="B390" t="n">
        <v>49.4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B1:M221"/>
  <sheetViews>
    <sheetView showGridLines="0" topLeftCell="A6" zoomScale="90" zoomScaleNormal="90" workbookViewId="0">
      <selection activeCell="I17" sqref="I17"/>
    </sheetView>
  </sheetViews>
  <sheetFormatPr baseColWidth="8" defaultColWidth="9.1796875" defaultRowHeight="14.5"/>
  <cols>
    <col width="9.1796875" customWidth="1" style="86" min="1" max="1"/>
    <col width="2.1796875" customWidth="1" style="86" min="2" max="2"/>
    <col width="27.36328125" customWidth="1" style="86" min="3" max="3"/>
    <col width="32.6328125" customWidth="1" style="102" min="4" max="6"/>
    <col width="9.1796875" customWidth="1" style="86" min="7" max="50"/>
    <col width="9.1796875" customWidth="1" style="86" min="51" max="16384"/>
  </cols>
  <sheetData>
    <row r="1">
      <c r="B1" s="101" t="inlineStr">
        <is>
          <t>https://www.theglobaleconomy.com/rankings/Capital_investment/</t>
        </is>
      </c>
    </row>
    <row r="2" ht="16" customHeight="1" s="80" thickBot="1">
      <c r="B2" s="93" t="n"/>
      <c r="C2" s="93" t="n"/>
      <c r="D2" s="93" t="n"/>
      <c r="E2" s="93" t="n"/>
      <c r="F2" s="93" t="n"/>
    </row>
    <row r="3" ht="16" customHeight="1" s="80" thickBot="1">
      <c r="B3" s="94" t="inlineStr">
        <is>
          <t>Global Industrial Production</t>
        </is>
      </c>
      <c r="C3" s="95" t="n"/>
      <c r="D3" s="95" t="n"/>
      <c r="E3" s="95" t="n"/>
      <c r="F3" s="96" t="n"/>
    </row>
    <row r="7" ht="20" customHeight="1" s="80">
      <c r="D7" s="65" t="inlineStr">
        <is>
          <t>% World GDP</t>
        </is>
      </c>
      <c r="E7" s="65" t="inlineStr">
        <is>
          <t>Investment as % of GDP</t>
        </is>
      </c>
      <c r="F7" s="65" t="inlineStr">
        <is>
          <t>Industrial Production yoy %</t>
        </is>
      </c>
    </row>
    <row r="8" ht="19" customHeight="1" s="80">
      <c r="C8" s="66" t="inlineStr">
        <is>
          <t>United States</t>
        </is>
      </c>
      <c r="D8" s="11">
        <f>VLOOKUP(C8,'Data World GDP'!A:D,2,FALSE)/$D$28</f>
        <v/>
      </c>
      <c r="E8" s="12">
        <f>VLOOKUP(C8,'Data World GDP'!A:D,3,FALSE)</f>
        <v/>
      </c>
      <c r="F8" s="12">
        <f>VLOOKUP(C8,'World Production data'!$A$2:$C$115,2,)</f>
        <v/>
      </c>
    </row>
    <row r="9" ht="19" customHeight="1" s="80">
      <c r="C9" s="66" t="inlineStr">
        <is>
          <t>Euro Area</t>
        </is>
      </c>
      <c r="D9" s="11">
        <f>VLOOKUP(C9,'Data World GDP'!A:D,2,FALSE)/$D$28</f>
        <v/>
      </c>
      <c r="E9" s="12">
        <f>VLOOKUP(C9,'Data World GDP'!A:D,3,FALSE)</f>
        <v/>
      </c>
      <c r="F9" s="12">
        <f>VLOOKUP(C9,'World Production data'!$A$2:$C$115,2,)</f>
        <v/>
      </c>
    </row>
    <row r="10" ht="19" customHeight="1" s="80">
      <c r="C10" s="66" t="inlineStr">
        <is>
          <t>China</t>
        </is>
      </c>
      <c r="D10" s="11">
        <f>VLOOKUP(C10,'Data World GDP'!A:D,2,FALSE)/$D$28</f>
        <v/>
      </c>
      <c r="E10" s="12">
        <f>VLOOKUP(C10,'Data World GDP'!A:D,3,FALSE)</f>
        <v/>
      </c>
      <c r="F10" s="12">
        <f>VLOOKUP(C10,'World Production data'!$A$2:$C$115,2,)</f>
        <v/>
      </c>
    </row>
    <row r="11" ht="19" customHeight="1" s="80">
      <c r="C11" s="66" t="inlineStr">
        <is>
          <t>Japan</t>
        </is>
      </c>
      <c r="D11" s="11">
        <f>VLOOKUP(C11,'Data World GDP'!A:D,2,FALSE)/$D$28</f>
        <v/>
      </c>
      <c r="E11" s="12">
        <f>VLOOKUP(C11,'Data World GDP'!A:D,3,FALSE)</f>
        <v/>
      </c>
      <c r="F11" s="12">
        <f>VLOOKUP(C11,'World Production data'!$A$2:$C$115,2,)</f>
        <v/>
      </c>
    </row>
    <row r="12" ht="19" customHeight="1" s="80">
      <c r="C12" s="66" t="inlineStr">
        <is>
          <t>Germany</t>
        </is>
      </c>
      <c r="D12" s="11">
        <f>VLOOKUP(C12,'Data World GDP'!A:D,2,FALSE)/$D$28</f>
        <v/>
      </c>
      <c r="E12" s="12">
        <f>VLOOKUP(C12,'Data World GDP'!A:D,3,FALSE)</f>
        <v/>
      </c>
      <c r="F12" s="12">
        <f>VLOOKUP(C12,'World Production data'!$A$2:$C$115,2,)</f>
        <v/>
      </c>
    </row>
    <row r="13" ht="19" customHeight="1" s="80">
      <c r="C13" s="66" t="inlineStr">
        <is>
          <t>United Kingdom</t>
        </is>
      </c>
      <c r="D13" s="11">
        <f>VLOOKUP(C13,'Data World GDP'!A:D,2,FALSE)/$D$28</f>
        <v/>
      </c>
      <c r="E13" s="12">
        <f>VLOOKUP(C13,'Data World GDP'!A:D,3,FALSE)</f>
        <v/>
      </c>
      <c r="F13" s="12">
        <f>VLOOKUP(C13,'World Production data'!$A$2:$C$115,2,)</f>
        <v/>
      </c>
    </row>
    <row r="14" ht="19" customHeight="1" s="80">
      <c r="C14" s="66" t="inlineStr">
        <is>
          <t>India</t>
        </is>
      </c>
      <c r="D14" s="11">
        <f>VLOOKUP(C14,'Data World GDP'!A:D,2,FALSE)/$D$28</f>
        <v/>
      </c>
      <c r="E14" s="12">
        <f>VLOOKUP(C14,'Data World GDP'!A:D,3,FALSE)</f>
        <v/>
      </c>
      <c r="F14" s="12">
        <f>VLOOKUP(C14,'World Production data'!$A$2:$C$115,2,)</f>
        <v/>
      </c>
    </row>
    <row r="15" ht="19" customHeight="1" s="80">
      <c r="C15" s="66" t="inlineStr">
        <is>
          <t>France</t>
        </is>
      </c>
      <c r="D15" s="11">
        <f>VLOOKUP(C15,'Data World GDP'!A:D,2,FALSE)/$D$28</f>
        <v/>
      </c>
      <c r="E15" s="12">
        <f>VLOOKUP(C15,'Data World GDP'!A:D,3,FALSE)</f>
        <v/>
      </c>
      <c r="F15" s="12">
        <f>VLOOKUP(C15,'World Production data'!$A$2:$C$115,2,)</f>
        <v/>
      </c>
    </row>
    <row r="16" ht="19" customHeight="1" s="80">
      <c r="C16" s="66" t="inlineStr">
        <is>
          <t>Brazil</t>
        </is>
      </c>
      <c r="D16" s="11">
        <f>VLOOKUP(C16,'Data World GDP'!A:D,2,FALSE)/$D$28</f>
        <v/>
      </c>
      <c r="E16" s="12">
        <f>VLOOKUP(C16,'Data World GDP'!A:D,3,FALSE)</f>
        <v/>
      </c>
      <c r="F16" s="12">
        <f>VLOOKUP(C16,'World Production data'!$A$2:$C$115,2,)</f>
        <v/>
      </c>
    </row>
    <row r="17" ht="19" customHeight="1" s="80">
      <c r="C17" s="66" t="inlineStr">
        <is>
          <t>Italy</t>
        </is>
      </c>
      <c r="D17" s="11">
        <f>VLOOKUP(C17,'Data World GDP'!A:D,2,FALSE)/$D$28</f>
        <v/>
      </c>
      <c r="E17" s="12">
        <f>VLOOKUP(C17,'Data World GDP'!A:D,3,FALSE)</f>
        <v/>
      </c>
      <c r="F17" s="12">
        <f>VLOOKUP(C17,'World Production data'!$A$2:$C$115,2,)</f>
        <v/>
      </c>
    </row>
    <row r="18" ht="19" customHeight="1" s="80">
      <c r="C18" s="66" t="inlineStr">
        <is>
          <t>Canada</t>
        </is>
      </c>
      <c r="D18" s="11">
        <f>VLOOKUP(C18,'Data World GDP'!A:D,2,FALSE)/$D$28</f>
        <v/>
      </c>
      <c r="E18" s="12">
        <f>VLOOKUP(C18,'Data World GDP'!A:D,3,FALSE)</f>
        <v/>
      </c>
      <c r="F18" s="12">
        <f>VLOOKUP(C18,'World Production data'!$A$2:$C$115,2,)</f>
        <v/>
      </c>
    </row>
    <row r="19" ht="19" customHeight="1" s="80">
      <c r="C19" s="66" t="inlineStr">
        <is>
          <t>Russia</t>
        </is>
      </c>
      <c r="D19" s="11">
        <f>VLOOKUP(C19,'Data World GDP'!A:D,2,FALSE)/$D$28</f>
        <v/>
      </c>
      <c r="E19" s="12">
        <f>VLOOKUP(C19,'Data World GDP'!A:D,3,FALSE)</f>
        <v/>
      </c>
      <c r="F19" s="12">
        <f>VLOOKUP(C19,'World Production data'!$A$2:$C$115,2,)</f>
        <v/>
      </c>
    </row>
    <row r="20" ht="19" customHeight="1" s="80">
      <c r="C20" s="66" t="inlineStr">
        <is>
          <t>South Korea</t>
        </is>
      </c>
      <c r="D20" s="11">
        <f>VLOOKUP(C20,'Data World GDP'!A:D,2,FALSE)/$D$28</f>
        <v/>
      </c>
      <c r="E20" s="12">
        <f>VLOOKUP(C20,'Data World GDP'!A:D,3,FALSE)</f>
        <v/>
      </c>
      <c r="F20" s="12">
        <f>VLOOKUP(C20,'World Production data'!$A$2:$C$115,2,)</f>
        <v/>
      </c>
    </row>
    <row r="21" ht="19" customHeight="1" s="80">
      <c r="C21" s="66" t="inlineStr">
        <is>
          <t>Australia</t>
        </is>
      </c>
      <c r="D21" s="11">
        <f>VLOOKUP(C21,'Data World GDP'!A:D,2,FALSE)/$D$28</f>
        <v/>
      </c>
      <c r="E21" s="12">
        <f>VLOOKUP(C21,'Data World GDP'!A:D,3,FALSE)</f>
        <v/>
      </c>
      <c r="F21" s="12">
        <f>VLOOKUP(C21,'World Production data'!$A$2:$C$115,2,)</f>
        <v/>
      </c>
    </row>
    <row r="22" ht="19" customHeight="1" s="80">
      <c r="C22" s="66" t="inlineStr">
        <is>
          <t>Spain</t>
        </is>
      </c>
      <c r="D22" s="11">
        <f>VLOOKUP(C22,'Data World GDP'!A:D,2,FALSE)/$D$28</f>
        <v/>
      </c>
      <c r="E22" s="12">
        <f>VLOOKUP(C22,'Data World GDP'!A:D,3,FALSE)</f>
        <v/>
      </c>
      <c r="F22" s="12">
        <f>VLOOKUP(C22,'World Production data'!$A$2:$C$115,2,)</f>
        <v/>
      </c>
    </row>
    <row r="23" ht="19" customHeight="1" s="80">
      <c r="C23" s="66" t="inlineStr">
        <is>
          <t>Mexico</t>
        </is>
      </c>
      <c r="D23" s="11">
        <f>VLOOKUP(C23,'Data World GDP'!A:D,2,FALSE)/$D$28</f>
        <v/>
      </c>
      <c r="E23" s="12">
        <f>VLOOKUP(C23,'Data World GDP'!A:D,3,FALSE)</f>
        <v/>
      </c>
      <c r="F23" s="12">
        <f>VLOOKUP(C23,'World Production data'!$A$2:$C$115,2,)</f>
        <v/>
      </c>
    </row>
    <row r="24" ht="19" customHeight="1" s="80">
      <c r="C24" s="66" t="inlineStr">
        <is>
          <t>Indonesia</t>
        </is>
      </c>
      <c r="D24" s="11">
        <f>VLOOKUP(C24,'Data World GDP'!A:D,2,FALSE)/$D$28</f>
        <v/>
      </c>
      <c r="E24" s="12">
        <f>VLOOKUP(C24,'Data World GDP'!A:D,3,FALSE)</f>
        <v/>
      </c>
      <c r="F24" s="12">
        <f>VLOOKUP(C24,'World Production data'!$A$2:$C$115,2,)</f>
        <v/>
      </c>
    </row>
    <row r="25" ht="19" customHeight="1" s="80">
      <c r="C25" s="66" t="inlineStr">
        <is>
          <t>Turkey</t>
        </is>
      </c>
      <c r="D25" s="11">
        <f>VLOOKUP(C25,'Data World GDP'!A:D,2,FALSE)/$D$28</f>
        <v/>
      </c>
      <c r="E25" s="12">
        <f>VLOOKUP(C25,'Data World GDP'!A:D,3,FALSE)</f>
        <v/>
      </c>
      <c r="F25" s="12">
        <f>VLOOKUP(C25,'World Production data'!$A$2:$C$115,2,)</f>
        <v/>
      </c>
    </row>
    <row r="26" ht="19" customHeight="1" s="80">
      <c r="C26" s="66" t="inlineStr">
        <is>
          <t>Netherlands</t>
        </is>
      </c>
      <c r="D26" s="11">
        <f>VLOOKUP(C26,'Data World GDP'!A:D,2,FALSE)/$D$28</f>
        <v/>
      </c>
      <c r="E26" s="12">
        <f>VLOOKUP(C26,'Data World GDP'!A:D,3,FALSE)</f>
        <v/>
      </c>
      <c r="F26" s="12">
        <f>VLOOKUP(C26,'World Production data'!$A$2:$C$115,2,)</f>
        <v/>
      </c>
    </row>
    <row r="28">
      <c r="C28" s="63" t="inlineStr">
        <is>
          <t>World GDP</t>
        </is>
      </c>
      <c r="D28" s="104">
        <f>SUM('Data World GDP'!B2:B178)</f>
        <v/>
      </c>
      <c r="E28" s="69" t="n"/>
      <c r="F28" s="69" t="n"/>
    </row>
    <row r="29">
      <c r="C29" s="63" t="inlineStr">
        <is>
          <t>Euro GDP</t>
        </is>
      </c>
      <c r="D29" s="86">
        <f>D28-VLOOKUP("Euro Area",'Data World GDP'!$A:$D,2,)</f>
        <v/>
      </c>
    </row>
    <row r="30">
      <c r="C30" s="103" t="n"/>
      <c r="D30" s="104" t="n"/>
      <c r="E30" s="102" t="n"/>
      <c r="F30" s="102" t="n"/>
      <c r="G30" s="86" t="n"/>
      <c r="H30" s="86" t="n"/>
      <c r="I30" s="86" t="n"/>
      <c r="J30" s="86" t="n"/>
      <c r="K30" s="86" t="n"/>
      <c r="L30" s="86" t="n"/>
      <c r="M30" s="86" t="n"/>
    </row>
    <row r="31"/>
    <row r="92">
      <c r="F92" s="70" t="n"/>
    </row>
    <row r="94">
      <c r="F94" s="71" t="n"/>
    </row>
    <row r="96">
      <c r="F96" s="71" t="n"/>
    </row>
    <row r="97">
      <c r="F97" s="71" t="n"/>
      <c r="G97" s="71" t="n"/>
      <c r="J97" s="71" t="n"/>
      <c r="K97" s="71" t="n"/>
      <c r="L97" s="71" t="n"/>
    </row>
    <row r="101">
      <c r="F101" s="70" t="n"/>
    </row>
    <row r="103">
      <c r="F103" s="71" t="n"/>
    </row>
    <row r="104">
      <c r="F104" s="71" t="n"/>
    </row>
    <row r="108">
      <c r="F108" s="71" t="n"/>
      <c r="G108" s="71" t="n"/>
    </row>
    <row r="111">
      <c r="F111" s="70" t="n"/>
    </row>
    <row r="112">
      <c r="F112" s="71" t="n"/>
    </row>
    <row r="113">
      <c r="F113" s="71" t="n"/>
    </row>
    <row r="120">
      <c r="F120" s="71" t="n"/>
    </row>
    <row r="123">
      <c r="F123" s="71" t="n"/>
      <c r="G123" s="71" t="n"/>
    </row>
    <row r="124">
      <c r="F124" s="71" t="n"/>
    </row>
    <row r="126">
      <c r="F126" s="70" t="n"/>
    </row>
    <row r="132">
      <c r="F132" s="71" t="n"/>
    </row>
    <row r="134">
      <c r="F134" s="71" t="n"/>
    </row>
    <row r="139">
      <c r="F139" s="71" t="n"/>
    </row>
    <row r="141">
      <c r="F141" s="71" t="n"/>
    </row>
    <row r="144">
      <c r="F144" s="71" t="n"/>
    </row>
    <row r="145">
      <c r="F145" s="70" t="n"/>
    </row>
    <row r="147">
      <c r="F147" s="70" t="n"/>
    </row>
    <row r="148">
      <c r="F148" s="71" t="n"/>
    </row>
    <row r="149">
      <c r="F149" s="71" t="n"/>
    </row>
    <row r="150">
      <c r="F150" s="71" t="n"/>
    </row>
    <row r="151">
      <c r="F151" s="71" t="n"/>
    </row>
    <row r="152">
      <c r="F152" s="71" t="n"/>
      <c r="K152" s="71" t="n"/>
    </row>
    <row r="153">
      <c r="F153" s="71" t="n"/>
    </row>
    <row r="155">
      <c r="F155" s="71" t="n"/>
    </row>
    <row r="156">
      <c r="F156" s="71" t="n"/>
    </row>
    <row r="157">
      <c r="F157" s="71" t="n"/>
    </row>
    <row r="159">
      <c r="F159" s="71" t="n"/>
      <c r="G159" s="71" t="n"/>
    </row>
    <row r="162">
      <c r="F162" s="71" t="n"/>
    </row>
    <row r="167">
      <c r="F167" s="71" t="n"/>
      <c r="G167" s="70" t="n"/>
    </row>
    <row r="169">
      <c r="F169" s="71" t="n"/>
    </row>
    <row r="170">
      <c r="F170" s="71" t="n"/>
    </row>
    <row r="176">
      <c r="F176" s="71" t="n"/>
    </row>
    <row r="177">
      <c r="F177" s="71" t="n"/>
    </row>
    <row r="178">
      <c r="F178" s="71" t="n"/>
    </row>
    <row r="179">
      <c r="F179" s="71" t="n"/>
    </row>
    <row r="181">
      <c r="E181" s="70" t="n"/>
      <c r="F181" s="71" t="n"/>
      <c r="J181" s="71" t="n"/>
      <c r="K181" s="71" t="n"/>
      <c r="L181" s="71" t="n"/>
    </row>
    <row r="182">
      <c r="F182" s="71" t="n"/>
    </row>
    <row r="183">
      <c r="F183" s="71" t="n"/>
    </row>
    <row r="184">
      <c r="F184" s="71" t="n"/>
      <c r="G184" s="71" t="n"/>
      <c r="K184" s="70" t="n"/>
    </row>
    <row r="185">
      <c r="F185" s="71" t="n"/>
    </row>
    <row r="186">
      <c r="F186" s="71" t="n"/>
    </row>
    <row r="187">
      <c r="F187" s="71" t="n"/>
      <c r="G187" s="71" t="n"/>
      <c r="H187" s="71" t="n"/>
      <c r="I187" s="71" t="n"/>
      <c r="J187" s="71" t="n"/>
      <c r="K187" s="71" t="n"/>
      <c r="L187" s="71" t="n"/>
    </row>
    <row r="188">
      <c r="F188" s="71" t="n"/>
      <c r="G188" s="71" t="n"/>
      <c r="I188" s="70" t="n"/>
      <c r="J188" s="71" t="n"/>
      <c r="K188" s="71" t="n"/>
      <c r="L188" s="71" t="n"/>
    </row>
    <row r="189">
      <c r="F189" s="71" t="n"/>
      <c r="G189" s="71" t="n"/>
    </row>
    <row r="190">
      <c r="F190" s="71" t="n"/>
      <c r="G190" s="71" t="n"/>
    </row>
    <row r="191">
      <c r="F191" s="71" t="n"/>
      <c r="J191" s="70" t="n"/>
      <c r="K191" s="70" t="n"/>
    </row>
    <row r="192">
      <c r="F192" s="71" t="n"/>
      <c r="G192" s="71" t="n"/>
    </row>
    <row r="193">
      <c r="F193" s="71" t="n"/>
      <c r="G193" s="71" t="n"/>
      <c r="I193" s="71" t="n"/>
      <c r="J193" s="71" t="n"/>
      <c r="K193" s="71" t="n"/>
      <c r="L193" s="71" t="n"/>
    </row>
    <row r="194">
      <c r="F194" s="71" t="n"/>
    </row>
    <row r="195">
      <c r="F195" s="71" t="n"/>
    </row>
    <row r="196">
      <c r="F196" s="71" t="n"/>
    </row>
    <row r="197">
      <c r="F197" s="71" t="n"/>
    </row>
    <row r="198">
      <c r="F198" s="71" t="n"/>
    </row>
    <row r="199">
      <c r="F199" s="71" t="n"/>
    </row>
    <row r="200">
      <c r="F200" s="71" t="n"/>
    </row>
    <row r="201">
      <c r="F201" s="71" t="n"/>
    </row>
    <row r="202">
      <c r="F202" s="71" t="n"/>
    </row>
    <row r="203">
      <c r="F203" s="70" t="n"/>
    </row>
    <row r="204">
      <c r="F204" s="71" t="n"/>
    </row>
    <row r="205">
      <c r="F205" s="71" t="n"/>
    </row>
    <row r="206">
      <c r="F206" s="71" t="n"/>
      <c r="G206" s="71" t="n"/>
      <c r="K206" s="71" t="n"/>
    </row>
    <row r="207">
      <c r="F207" s="71" t="n"/>
    </row>
    <row r="208">
      <c r="F208" s="71" t="n"/>
    </row>
    <row r="209">
      <c r="F209" s="71" t="n"/>
    </row>
    <row r="211">
      <c r="F211" s="71" t="n"/>
      <c r="G211" s="70" t="n"/>
      <c r="J211" s="71" t="n"/>
      <c r="K211" s="71" t="n"/>
      <c r="L211" s="71" t="n"/>
    </row>
    <row r="212">
      <c r="F212" s="71" t="n"/>
    </row>
    <row r="213">
      <c r="E213" s="69" t="n"/>
      <c r="F213" s="69" t="n"/>
    </row>
    <row r="214">
      <c r="E214" s="69" t="n"/>
      <c r="F214" s="69" t="n"/>
    </row>
    <row r="215">
      <c r="E215" s="69" t="n"/>
      <c r="F215" s="69" t="n"/>
    </row>
    <row r="216">
      <c r="E216" s="69" t="n"/>
      <c r="F216" s="69" t="n"/>
    </row>
    <row r="217">
      <c r="E217" s="69" t="n"/>
      <c r="F217" s="69" t="n"/>
    </row>
    <row r="218">
      <c r="E218" s="69" t="n"/>
      <c r="F218" s="69" t="n"/>
    </row>
    <row r="219">
      <c r="E219" s="69" t="n"/>
      <c r="F219" s="69" t="n"/>
    </row>
    <row r="220">
      <c r="E220" s="69" t="n"/>
      <c r="F220" s="69" t="n"/>
    </row>
    <row r="221">
      <c r="E221" s="69" t="n"/>
      <c r="F221" s="69" t="n"/>
    </row>
  </sheetData>
  <mergeCells count="13">
    <mergeCell ref="L30:L31"/>
    <mergeCell ref="M30:M31"/>
    <mergeCell ref="G30:G31"/>
    <mergeCell ref="H30:H31"/>
    <mergeCell ref="I30:I31"/>
    <mergeCell ref="J30:J31"/>
    <mergeCell ref="K30:K31"/>
    <mergeCell ref="B1:F2"/>
    <mergeCell ref="B3:F3"/>
    <mergeCell ref="C30:C31"/>
    <mergeCell ref="D30:D31"/>
    <mergeCell ref="E30:E31"/>
    <mergeCell ref="F30:F31"/>
  </mergeCells>
  <conditionalFormatting sqref="D8:D26">
    <cfRule type="dataBar" priority="3">
      <dataBar>
        <cfvo type="min"/>
        <cfvo type="max"/>
        <color rgb="FF638EC6"/>
      </dataBar>
    </cfRule>
  </conditionalFormatting>
  <conditionalFormatting sqref="E8:E2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8:F2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B1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>
  <sheetPr codeName="Sheet5">
    <tabColor theme="4" tint="0.5999938962981048"/>
    <outlinePr summaryBelow="1" summaryRight="1"/>
    <pageSetUpPr/>
  </sheetPr>
  <dimension ref="A1:Z417"/>
  <sheetViews>
    <sheetView zoomScale="90" zoomScaleNormal="90" workbookViewId="0">
      <pane xSplit="2" ySplit="9" topLeftCell="C406" activePane="bottomRight" state="frozen"/>
      <selection activeCell="H30" sqref="H30:H31"/>
      <selection pane="topRight" activeCell="H30" sqref="H30:H31"/>
      <selection pane="bottomLeft" activeCell="H30" sqref="H30:H31"/>
      <selection pane="bottomRight" activeCell="Y407" sqref="Y407"/>
    </sheetView>
  </sheetViews>
  <sheetFormatPr baseColWidth="8" defaultColWidth="8.81640625" defaultRowHeight="14.5"/>
  <cols>
    <col width="10.6328125" bestFit="1" customWidth="1" style="86" min="1" max="1"/>
    <col width="13.6328125" customWidth="1" style="80" min="2" max="2"/>
    <col width="7.1796875" customWidth="1" style="80" min="3" max="3"/>
    <col width="7" customWidth="1" style="80" min="4" max="4"/>
    <col width="6.1796875" customWidth="1" style="80" min="5" max="11"/>
    <col hidden="1" width="6.36328125" customWidth="1" style="80" min="12" max="13"/>
    <col hidden="1" width="6.1796875" customWidth="1" style="80" min="14" max="14"/>
    <col width="7.6328125" customWidth="1" style="80" min="15" max="15"/>
    <col width="6.1796875" customWidth="1" style="80" min="16" max="16"/>
    <col width="7" customWidth="1" style="80" min="17" max="17"/>
    <col width="6.1796875" customWidth="1" style="80" min="18" max="20"/>
    <col width="6.6328125" customWidth="1" style="80" min="21" max="21"/>
    <col width="6.1796875" customWidth="1" style="80" min="22" max="22"/>
    <col width="6.1796875" customWidth="1" style="86" min="23" max="23"/>
    <col width="15.36328125" customWidth="1" style="86" min="24" max="25"/>
    <col width="10.6328125" bestFit="1" customWidth="1" style="86" min="26" max="26"/>
    <col width="9.1796875" customWidth="1" style="86" min="27" max="67"/>
  </cols>
  <sheetData>
    <row r="1">
      <c r="C1" t="inlineStr">
        <is>
          <t>USA</t>
        </is>
      </c>
      <c r="D1" t="inlineStr">
        <is>
          <t>EA19</t>
        </is>
      </c>
      <c r="E1" t="inlineStr">
        <is>
          <t>JPN</t>
        </is>
      </c>
      <c r="F1" t="inlineStr">
        <is>
          <t>DEU</t>
        </is>
      </c>
      <c r="G1" t="inlineStr">
        <is>
          <t>FRA</t>
        </is>
      </c>
      <c r="H1" t="inlineStr">
        <is>
          <t>GBR</t>
        </is>
      </c>
      <c r="I1" t="inlineStr">
        <is>
          <t>ITA</t>
        </is>
      </c>
      <c r="J1" t="inlineStr">
        <is>
          <t>ESP</t>
        </is>
      </c>
      <c r="K1" t="inlineStr">
        <is>
          <t>SWE</t>
        </is>
      </c>
      <c r="L1" t="inlineStr">
        <is>
          <t>MEX</t>
        </is>
      </c>
      <c r="M1" t="inlineStr">
        <is>
          <t>RUS</t>
        </is>
      </c>
      <c r="N1" t="inlineStr">
        <is>
          <t>IND</t>
        </is>
      </c>
      <c r="O1" t="inlineStr">
        <is>
          <t>CAN</t>
        </is>
      </c>
      <c r="P1" t="inlineStr">
        <is>
          <t>KOR</t>
        </is>
      </c>
      <c r="Q1" t="inlineStr">
        <is>
          <t>BRA</t>
        </is>
      </c>
      <c r="R1" t="inlineStr">
        <is>
          <t>GRC</t>
        </is>
      </c>
      <c r="S1" t="inlineStr">
        <is>
          <t>IRL</t>
        </is>
      </c>
      <c r="T1" t="inlineStr">
        <is>
          <t>TUR</t>
        </is>
      </c>
      <c r="U1" t="inlineStr">
        <is>
          <t>CZE</t>
        </is>
      </c>
      <c r="V1" t="inlineStr">
        <is>
          <t>POL</t>
        </is>
      </c>
      <c r="Z1" s="15" t="inlineStr">
        <is>
          <t>modify max/min/avg</t>
        </is>
      </c>
    </row>
    <row r="2" ht="16" customFormat="1" customHeight="1" s="86" thickBot="1">
      <c r="Y2" s="86" t="inlineStr">
        <is>
          <t>Last month</t>
        </is>
      </c>
      <c r="Z2" s="14" t="n">
        <v>44805</v>
      </c>
    </row>
    <row r="3" ht="75.75" customHeight="1" s="80">
      <c r="B3" s="49" t="n"/>
      <c r="C3" s="50" t="inlineStr">
        <is>
          <t>US</t>
        </is>
      </c>
      <c r="D3" s="51" t="inlineStr">
        <is>
          <t>Eurozone</t>
        </is>
      </c>
      <c r="E3" s="52" t="inlineStr">
        <is>
          <t xml:space="preserve">Japan </t>
        </is>
      </c>
      <c r="F3" s="53" t="inlineStr">
        <is>
          <t>Germany</t>
        </is>
      </c>
      <c r="G3" s="53" t="inlineStr">
        <is>
          <t>France</t>
        </is>
      </c>
      <c r="H3" s="53" t="inlineStr">
        <is>
          <t>UK</t>
        </is>
      </c>
      <c r="I3" s="53" t="inlineStr">
        <is>
          <t xml:space="preserve">Italy </t>
        </is>
      </c>
      <c r="J3" s="53" t="inlineStr">
        <is>
          <t>Spain</t>
        </is>
      </c>
      <c r="K3" s="53" t="inlineStr">
        <is>
          <t>Sweden</t>
        </is>
      </c>
      <c r="L3" s="53" t="inlineStr">
        <is>
          <t>Mexico</t>
        </is>
      </c>
      <c r="M3" s="53" t="inlineStr">
        <is>
          <t>Russia</t>
        </is>
      </c>
      <c r="N3" s="53" t="inlineStr">
        <is>
          <t>India</t>
        </is>
      </c>
      <c r="O3" s="53" t="inlineStr">
        <is>
          <t>Canada</t>
        </is>
      </c>
      <c r="P3" s="53" t="inlineStr">
        <is>
          <t xml:space="preserve">S Korea </t>
        </is>
      </c>
      <c r="Q3" s="53" t="inlineStr">
        <is>
          <t>Brazil</t>
        </is>
      </c>
      <c r="R3" s="53" t="inlineStr">
        <is>
          <t>Greece</t>
        </is>
      </c>
      <c r="S3" s="53" t="inlineStr">
        <is>
          <t>Ireland</t>
        </is>
      </c>
      <c r="T3" s="53" t="inlineStr">
        <is>
          <t>Turkey</t>
        </is>
      </c>
      <c r="U3" s="53" t="inlineStr">
        <is>
          <t xml:space="preserve">Czech </t>
        </is>
      </c>
      <c r="V3" s="54" t="inlineStr">
        <is>
          <t>Poland</t>
        </is>
      </c>
      <c r="Z3" s="16">
        <f>EDATE(Z2,-1)</f>
        <v/>
      </c>
    </row>
    <row r="4">
      <c r="B4" s="55" t="inlineStr">
        <is>
          <t>max 1y</t>
        </is>
      </c>
      <c r="C4" s="3">
        <f>MAX(OFFSET(C$24,COUNT(C$24:C$435),0,-13,1))</f>
        <v/>
      </c>
      <c r="D4" s="3">
        <f>MAX(OFFSET(D$24,COUNT(D$24:D$435),0,-13,1))</f>
        <v/>
      </c>
      <c r="E4" s="3">
        <f>MAX(OFFSET(E$24,COUNT(E$24:E$435),0,-13,1))</f>
        <v/>
      </c>
      <c r="F4" s="3">
        <f>MAX(OFFSET(F$24,COUNT(F$24:F$435),0,-13,1))</f>
        <v/>
      </c>
      <c r="G4" s="3">
        <f>MAX(OFFSET(G$24,COUNT(G$24:G$435),0,-13,1))</f>
        <v/>
      </c>
      <c r="H4" s="3">
        <f>MAX(OFFSET(H$24,COUNT(H$24:H$435),0,-13,1))</f>
        <v/>
      </c>
      <c r="I4" s="3">
        <f>MAX(OFFSET(I$24,COUNT(I$24:I$435),0,-13,1))</f>
        <v/>
      </c>
      <c r="J4" s="3">
        <f>MAX(OFFSET(J$24,COUNT(J$24:J$435),0,-13,1))</f>
        <v/>
      </c>
      <c r="K4" s="3">
        <f>MAX(OFFSET(K$24,COUNT(K$24:K$435),0,-13,1))</f>
        <v/>
      </c>
      <c r="L4" s="3">
        <f>MAX(OFFSET(L$24,COUNT(L$24:L$435),0,-13,1))</f>
        <v/>
      </c>
      <c r="M4" s="3">
        <f>MAX(OFFSET(M$24,COUNT(M$24:M$435),0,-13,1))</f>
        <v/>
      </c>
      <c r="N4" s="3">
        <f>MAX(OFFSET(N$24,COUNT(N$24:N$435),0,-13,1))</f>
        <v/>
      </c>
      <c r="O4" s="3">
        <f>MAX(OFFSET(O$24,COUNT(O$24:O$435),0,-13,1))</f>
        <v/>
      </c>
      <c r="P4" s="3">
        <f>MAX(OFFSET(P$24,COUNT(P$24:P$435),0,-13,1))</f>
        <v/>
      </c>
      <c r="Q4" s="3">
        <f>MAX(OFFSET(Q$24,COUNT(Q$24:Q$435),0,-13,1))</f>
        <v/>
      </c>
      <c r="R4" s="3">
        <f>MAX(OFFSET(R$24,COUNT(R$24:R$435),0,-13,1))</f>
        <v/>
      </c>
      <c r="S4" s="3">
        <f>MAX(OFFSET(S$24,COUNT(S$24:S$435),0,-13,1))</f>
        <v/>
      </c>
      <c r="T4" s="3">
        <f>MAX(OFFSET(T$24,COUNT(T$24:T$435),0,-13,1))</f>
        <v/>
      </c>
      <c r="U4" s="3">
        <f>MAX(OFFSET(U$24,COUNT(U$24:U$435),0,-13,1))</f>
        <v/>
      </c>
      <c r="V4" s="3">
        <f>MAX(OFFSET(V$24,COUNT(V$24:V$435),0,-13,1))</f>
        <v/>
      </c>
      <c r="Z4" s="16">
        <f>EDATE(Z2,-12)</f>
        <v/>
      </c>
    </row>
    <row r="5">
      <c r="B5" s="55" t="inlineStr">
        <is>
          <t>min 1y</t>
        </is>
      </c>
      <c r="C5" s="3">
        <f>MIN(OFFSET(C$24,COUNT(C$24:C$435),0,-13,1))</f>
        <v/>
      </c>
      <c r="D5" s="3">
        <f>MIN(OFFSET(D$24,COUNT(D$24:D$435),0,-13,1))</f>
        <v/>
      </c>
      <c r="E5" s="3">
        <f>MIN(OFFSET(E$24,COUNT(E$24:E$435),0,-13,1))</f>
        <v/>
      </c>
      <c r="F5" s="3">
        <f>MIN(OFFSET(F$24,COUNT(F$24:F$435),0,-13,1))</f>
        <v/>
      </c>
      <c r="G5" s="3">
        <f>MIN(OFFSET(G$24,COUNT(G$24:G$435),0,-13,1))</f>
        <v/>
      </c>
      <c r="H5" s="3">
        <f>MIN(OFFSET(H$24,COUNT(H$24:H$435),0,-13,1))</f>
        <v/>
      </c>
      <c r="I5" s="3">
        <f>MIN(OFFSET(I$24,COUNT(I$24:I$435),0,-13,1))</f>
        <v/>
      </c>
      <c r="J5" s="3">
        <f>MIN(OFFSET(J$24,COUNT(J$24:J$435),0,-13,1))</f>
        <v/>
      </c>
      <c r="K5" s="3">
        <f>MIN(OFFSET(K$24,COUNT(K$24:K$435),0,-13,1))</f>
        <v/>
      </c>
      <c r="L5" s="3">
        <f>MIN(OFFSET(L$24,COUNT(L$24:L$435),0,-13,1))</f>
        <v/>
      </c>
      <c r="M5" s="3">
        <f>MIN(OFFSET(M$24,COUNT(M$24:M$435),0,-13,1))</f>
        <v/>
      </c>
      <c r="N5" s="3">
        <f>MIN(OFFSET(N$24,COUNT(N$24:N$435),0,-13,1))</f>
        <v/>
      </c>
      <c r="O5" s="3">
        <f>MIN(OFFSET(O$24,COUNT(O$24:O$435),0,-13,1))</f>
        <v/>
      </c>
      <c r="P5" s="3">
        <f>MIN(OFFSET(P$24,COUNT(P$24:P$435),0,-13,1))</f>
        <v/>
      </c>
      <c r="Q5" s="3">
        <f>MIN(OFFSET(Q$24,COUNT(Q$24:Q$435),0,-13,1))</f>
        <v/>
      </c>
      <c r="R5" s="3">
        <f>MIN(OFFSET(R$24,COUNT(R$24:R$435),0,-13,1))</f>
        <v/>
      </c>
      <c r="S5" s="3">
        <f>MIN(OFFSET(S$24,COUNT(S$24:S$435),0,-13,1))</f>
        <v/>
      </c>
      <c r="T5" s="3">
        <f>MIN(OFFSET(T$24,COUNT(T$24:T$435),0,-13,1))</f>
        <v/>
      </c>
      <c r="U5" s="3">
        <f>MIN(OFFSET(U$24,COUNT(U$24:U$435),0,-13,1))</f>
        <v/>
      </c>
      <c r="V5" s="3">
        <f>MIN(OFFSET(V$24,COUNT(V$24:V$435),0,-13,1))</f>
        <v/>
      </c>
    </row>
    <row r="6">
      <c r="B6" s="55" t="inlineStr">
        <is>
          <t>1y avg</t>
        </is>
      </c>
      <c r="C6" s="3">
        <f>AVERAGE(OFFSET(C$24,COUNT(C$24:C$435),0,-13,1))</f>
        <v/>
      </c>
      <c r="D6" s="3">
        <f>AVERAGE(OFFSET(D$24,COUNT(D$24:D$435),0,-13,1))</f>
        <v/>
      </c>
      <c r="E6" s="3">
        <f>AVERAGE(OFFSET(E$24,COUNT(E$24:E$435),0,-13,1))</f>
        <v/>
      </c>
      <c r="F6" s="3">
        <f>AVERAGE(OFFSET(F$24,COUNT(F$24:F$435),0,-13,1))</f>
        <v/>
      </c>
      <c r="G6" s="3">
        <f>AVERAGE(OFFSET(G$24,COUNT(G$24:G$435),0,-13,1))</f>
        <v/>
      </c>
      <c r="H6" s="3">
        <f>AVERAGE(OFFSET(H$24,COUNT(H$24:H$435),0,-13,1))</f>
        <v/>
      </c>
      <c r="I6" s="3">
        <f>AVERAGE(OFFSET(I$24,COUNT(I$24:I$435),0,-13,1))</f>
        <v/>
      </c>
      <c r="J6" s="3">
        <f>AVERAGE(OFFSET(J$24,COUNT(J$24:J$435),0,-13,1))</f>
        <v/>
      </c>
      <c r="K6" s="3">
        <f>AVERAGE(OFFSET(K$24,COUNT(K$24:K$435),0,-13,1))</f>
        <v/>
      </c>
      <c r="L6" s="3">
        <f>AVERAGE(OFFSET(L$24,COUNT(L$24:L$435),0,-13,1))</f>
        <v/>
      </c>
      <c r="M6" s="3">
        <f>AVERAGE(OFFSET(M$24,COUNT(M$24:M$435),0,-13,1))</f>
        <v/>
      </c>
      <c r="N6" s="3">
        <f>AVERAGE(OFFSET(N$24,COUNT(N$24:N$435),0,-13,1))</f>
        <v/>
      </c>
      <c r="O6" s="3">
        <f>AVERAGE(OFFSET(O$24,COUNT(O$24:O$435),0,-13,1))</f>
        <v/>
      </c>
      <c r="P6" s="3">
        <f>AVERAGE(OFFSET(P$24,COUNT(P$24:P$435),0,-13,1))</f>
        <v/>
      </c>
      <c r="Q6" s="3">
        <f>AVERAGE(OFFSET(Q$24,COUNT(Q$24:Q$435),0,-13,1))</f>
        <v/>
      </c>
      <c r="R6" s="3">
        <f>AVERAGE(OFFSET(R$24,COUNT(R$24:R$435),0,-13,1))</f>
        <v/>
      </c>
      <c r="S6" s="3">
        <f>AVERAGE(OFFSET(S$24,COUNT(S$24:S$435),0,-13,1))</f>
        <v/>
      </c>
      <c r="T6" s="3">
        <f>AVERAGE(OFFSET(T$24,COUNT(T$24:T$435),0,-13,1))</f>
        <v/>
      </c>
      <c r="U6" s="3">
        <f>AVERAGE(OFFSET(U$24,COUNT(U$24:U$435),0,-13,1))</f>
        <v/>
      </c>
      <c r="V6" s="3">
        <f>AVERAGE(OFFSET(V$24,COUNT(V$24:V$435),0,-13,1))</f>
        <v/>
      </c>
    </row>
    <row r="7">
      <c r="B7" s="55" t="inlineStr">
        <is>
          <t>Last vs 12m avg</t>
        </is>
      </c>
      <c r="C7" s="4">
        <f>IF((VLOOKUP($Z$2,$B:$V,MATCH(C3,$B$3:$V$3,),))&gt;C6,"above","below")</f>
        <v/>
      </c>
      <c r="D7" s="4">
        <f>IF((VLOOKUP($Z$2,$B:$V,MATCH(D3,$B$3:$V$3,),))&gt;D6,"above","below")</f>
        <v/>
      </c>
      <c r="E7" s="4">
        <f>IF((VLOOKUP($Z$2,$B:$V,MATCH(E3,$B$3:$V$3,),))&gt;E6,"above","below")</f>
        <v/>
      </c>
      <c r="F7" s="4">
        <f>IF((VLOOKUP($Z$2,$B:$V,MATCH(F3,$B$3:$V$3,),))&gt;F6,"above","below")</f>
        <v/>
      </c>
      <c r="G7" s="4">
        <f>IF((VLOOKUP($Z$2,$B:$V,MATCH(G3,$B$3:$V$3,),))&gt;G6,"above","below")</f>
        <v/>
      </c>
      <c r="H7" s="4">
        <f>IF((VLOOKUP($Z$2,$B:$V,MATCH(H3,$B$3:$V$3,),))&gt;H6,"above","below")</f>
        <v/>
      </c>
      <c r="I7" s="4">
        <f>IF((VLOOKUP($Z$2,$B:$V,MATCH(I3,$B$3:$V$3,),))&gt;I6,"above","below")</f>
        <v/>
      </c>
      <c r="J7" s="4">
        <f>IF((VLOOKUP($Z$2,$B:$V,MATCH(J3,$B$3:$V$3,),))&gt;J6,"above","below")</f>
        <v/>
      </c>
      <c r="K7" s="4">
        <f>IF((VLOOKUP($Z$2,$B:$V,MATCH(K3,$B$3:$V$3,),))&gt;K6,"above","below")</f>
        <v/>
      </c>
      <c r="L7" s="4">
        <f>IF((VLOOKUP($Z$2,$B:$V,MATCH(L3,$B$3:$V$3,),))&gt;L6,"above","below")</f>
        <v/>
      </c>
      <c r="M7" s="4">
        <f>IF((VLOOKUP($Z$2,$B:$V,MATCH(M3,$B$3:$V$3,),))&gt;M6,"above","below")</f>
        <v/>
      </c>
      <c r="N7" s="4">
        <f>IF((VLOOKUP($Z$2,$B:$V,MATCH(N3,$B$3:$V$3,),))&gt;N6,"above","below")</f>
        <v/>
      </c>
      <c r="O7" s="4">
        <f>IF((VLOOKUP($Z$2,$B:$V,MATCH(O3,$B$3:$V$3,),))&gt;O6,"above","below")</f>
        <v/>
      </c>
      <c r="P7" s="4">
        <f>IF((VLOOKUP($Z$2,$B:$V,MATCH(P3,$B$3:$V$3,),))&gt;P6,"above","below")</f>
        <v/>
      </c>
      <c r="Q7" s="4">
        <f>IF((VLOOKUP($Z$2,$B:$V,MATCH(Q3,$B$3:$V$3,),))&gt;Q6,"above","below")</f>
        <v/>
      </c>
      <c r="R7" s="4">
        <f>IF((VLOOKUP($Z$2,$B:$V,MATCH(R3,$B$3:$V$3,),))&gt;R6,"above","below")</f>
        <v/>
      </c>
      <c r="S7" s="4">
        <f>IF((VLOOKUP($Z$2,$B:$V,MATCH(S3,$B$3:$V$3,),))&gt;S6,"above","below")</f>
        <v/>
      </c>
      <c r="T7" s="4">
        <f>IF((VLOOKUP($Z$2,$B:$V,MATCH(T3,$B$3:$V$3,),))&gt;T6,"above","below")</f>
        <v/>
      </c>
      <c r="U7" s="4">
        <f>IF((VLOOKUP($Z$2,$B:$V,MATCH(U3,$B$3:$V$3,),))&gt;U6,"above","below")</f>
        <v/>
      </c>
      <c r="V7" s="56">
        <f>IF((VLOOKUP($Z$2,$B:$V,MATCH(V3,$B$3:$V$3,),))&gt;V6,"above","below")</f>
        <v/>
      </c>
    </row>
    <row r="8">
      <c r="B8" s="55" t="inlineStr">
        <is>
          <t>Y/Y</t>
        </is>
      </c>
      <c r="C8" s="17">
        <f>VLOOKUP($Z$2,$B:$V,MATCH(C3,$B$3:$V$3,),)-VLOOKUP($Z$4,$B:$V,MATCH(C3,$B$3:$V$3,),)</f>
        <v/>
      </c>
      <c r="D8" s="17">
        <f>VLOOKUP($Z$2,$B:$V,MATCH(D3,$B$3:$V$3,),)-VLOOKUP($Z$4,$B:$V,MATCH(D3,$B$3:$V$3,),)</f>
        <v/>
      </c>
      <c r="E8" s="17">
        <f>VLOOKUP($Z$2,$B:$V,MATCH(E3,$B$3:$V$3,),)-VLOOKUP($Z$4,$B:$V,MATCH(E3,$B$3:$V$3,),)</f>
        <v/>
      </c>
      <c r="F8" s="17">
        <f>VLOOKUP($Z$2,$B:$V,MATCH(F3,$B$3:$V$3,),)-VLOOKUP($Z$4,$B:$V,MATCH(F3,$B$3:$V$3,),)</f>
        <v/>
      </c>
      <c r="G8" s="17">
        <f>VLOOKUP($Z$2,$B:$V,MATCH(G3,$B$3:$V$3,),)-VLOOKUP($Z$4,$B:$V,MATCH(G3,$B$3:$V$3,),)</f>
        <v/>
      </c>
      <c r="H8" s="17">
        <f>VLOOKUP($Z$2,$B:$V,MATCH(H3,$B$3:$V$3,),)-VLOOKUP($Z$4,$B:$V,MATCH(H3,$B$3:$V$3,),)</f>
        <v/>
      </c>
      <c r="I8" s="17">
        <f>VLOOKUP($Z$2,$B:$V,MATCH(I3,$B$3:$V$3,),)-VLOOKUP($Z$4,$B:$V,MATCH(I3,$B$3:$V$3,),)</f>
        <v/>
      </c>
      <c r="J8" s="17">
        <f>VLOOKUP($Z$2,$B:$V,MATCH(J3,$B$3:$V$3,),)-VLOOKUP($Z$4,$B:$V,MATCH(J3,$B$3:$V$3,),)</f>
        <v/>
      </c>
      <c r="K8" s="17">
        <f>VLOOKUP($Z$2,$B:$V,MATCH(K3,$B$3:$V$3,),)-VLOOKUP($Z$4,$B:$V,MATCH(K3,$B$3:$V$3,),)</f>
        <v/>
      </c>
      <c r="L8" s="17">
        <f>VLOOKUP($Z$2,$B:$V,MATCH(L3,$B$3:$V$3,),)-VLOOKUP($Z$4,$B:$V,MATCH(L3,$B$3:$V$3,),)</f>
        <v/>
      </c>
      <c r="M8" s="17">
        <f>VLOOKUP($Z$2,$B:$V,MATCH(M3,$B$3:$V$3,),)-VLOOKUP($Z$4,$B:$V,MATCH(M3,$B$3:$V$3,),)</f>
        <v/>
      </c>
      <c r="N8" s="17">
        <f>VLOOKUP($Z$2,$B:$V,MATCH(N3,$B$3:$V$3,),)-VLOOKUP($Z$4,$B:$V,MATCH(N3,$B$3:$V$3,),)</f>
        <v/>
      </c>
      <c r="O8" s="17">
        <f>VLOOKUP($Z$2,$B:$V,MATCH(O3,$B$3:$V$3,),)-VLOOKUP($Z$4,$B:$V,MATCH(O3,$B$3:$V$3,),)</f>
        <v/>
      </c>
      <c r="P8" s="17">
        <f>VLOOKUP($Z$2,$B:$V,MATCH(P3,$B$3:$V$3,),)-VLOOKUP($Z$4,$B:$V,MATCH(P3,$B$3:$V$3,),)</f>
        <v/>
      </c>
      <c r="Q8" s="17">
        <f>VLOOKUP($Z$2,$B:$V,MATCH(Q3,$B$3:$V$3,),)-VLOOKUP($Z$4,$B:$V,MATCH(Q3,$B$3:$V$3,),)</f>
        <v/>
      </c>
      <c r="R8" s="17">
        <f>VLOOKUP($Z$2,$B:$V,MATCH(R3,$B$3:$V$3,),)-VLOOKUP($Z$4,$B:$V,MATCH(R3,$B$3:$V$3,),)</f>
        <v/>
      </c>
      <c r="S8" s="17">
        <f>VLOOKUP($Z$2,$B:$V,MATCH(S3,$B$3:$V$3,),)-VLOOKUP($Z$4,$B:$V,MATCH(S3,$B$3:$V$3,),)</f>
        <v/>
      </c>
      <c r="T8" s="17">
        <f>VLOOKUP($Z$2,$B:$V,MATCH(T3,$B$3:$V$3,),)-VLOOKUP($Z$4,$B:$V,MATCH(T3,$B$3:$V$3,),)</f>
        <v/>
      </c>
      <c r="U8" s="17">
        <f>VLOOKUP($Z$2,$B:$V,MATCH(U3,$B$3:$V$3,),)-VLOOKUP($Z$4,$B:$V,MATCH(U3,$B$3:$V$3,),)</f>
        <v/>
      </c>
      <c r="V8" s="57">
        <f>VLOOKUP($Z$2,$B:$V,MATCH(V3,$B$3:$V$3,),)-VLOOKUP($Z$4,$B:$V,MATCH(V3,$B$3:$V$3,),)</f>
        <v/>
      </c>
    </row>
    <row r="9" ht="16" customHeight="1" s="80" thickBot="1">
      <c r="B9" s="58" t="inlineStr">
        <is>
          <t>M/M</t>
        </is>
      </c>
      <c r="C9" s="59">
        <f>VLOOKUP($Z$2,$B:$V,MATCH(C3,$B$3:$V$3,),)-VLOOKUP($Z$3,$B:$V,MATCH(C3,$B$3:$V$3,),)</f>
        <v/>
      </c>
      <c r="D9" s="59">
        <f>VLOOKUP($Z$2,$B:$V,MATCH(D3,$B$3:$V$3,),)-VLOOKUP($Z$3,$B:$V,MATCH(D3,$B$3:$V$3,),)</f>
        <v/>
      </c>
      <c r="E9" s="59">
        <f>VLOOKUP($Z$2,$B:$V,MATCH(E3,$B$3:$V$3,),)-VLOOKUP($Z$3,$B:$V,MATCH(E3,$B$3:$V$3,),)</f>
        <v/>
      </c>
      <c r="F9" s="59">
        <f>VLOOKUP($Z$2,$B:$V,MATCH(F3,$B$3:$V$3,),)-VLOOKUP($Z$3,$B:$V,MATCH(F3,$B$3:$V$3,),)</f>
        <v/>
      </c>
      <c r="G9" s="59">
        <f>VLOOKUP($Z$2,$B:$V,MATCH(G3,$B$3:$V$3,),)-VLOOKUP($Z$3,$B:$V,MATCH(G3,$B$3:$V$3,),)</f>
        <v/>
      </c>
      <c r="H9" s="59">
        <f>VLOOKUP($Z$2,$B:$V,MATCH(H3,$B$3:$V$3,),)-VLOOKUP($Z$3,$B:$V,MATCH(H3,$B$3:$V$3,),)</f>
        <v/>
      </c>
      <c r="I9" s="59">
        <f>VLOOKUP($Z$2,$B:$V,MATCH(I3,$B$3:$V$3,),)-VLOOKUP($Z$3,$B:$V,MATCH(I3,$B$3:$V$3,),)</f>
        <v/>
      </c>
      <c r="J9" s="59">
        <f>VLOOKUP($Z$2,$B:$V,MATCH(J3,$B$3:$V$3,),)-VLOOKUP($Z$3,$B:$V,MATCH(J3,$B$3:$V$3,),)</f>
        <v/>
      </c>
      <c r="K9" s="59">
        <f>VLOOKUP($Z$2,$B:$V,MATCH(K3,$B$3:$V$3,),)-VLOOKUP($Z$3,$B:$V,MATCH(K3,$B$3:$V$3,),)</f>
        <v/>
      </c>
      <c r="L9" s="59">
        <f>VLOOKUP($Z$2,$B:$V,MATCH(L3,$B$3:$V$3,),)-VLOOKUP($Z$3,$B:$V,MATCH(L3,$B$3:$V$3,),)</f>
        <v/>
      </c>
      <c r="M9" s="59">
        <f>VLOOKUP($Z$2,$B:$V,MATCH(M3,$B$3:$V$3,),)-VLOOKUP($Z$3,$B:$V,MATCH(M3,$B$3:$V$3,),)</f>
        <v/>
      </c>
      <c r="N9" s="59">
        <f>VLOOKUP($Z$2,$B:$V,MATCH(N3,$B$3:$V$3,),)-VLOOKUP($Z$3,$B:$V,MATCH(N3,$B$3:$V$3,),)</f>
        <v/>
      </c>
      <c r="O9" s="59">
        <f>VLOOKUP($Z$2,$B:$V,MATCH(O3,$B$3:$V$3,),)-VLOOKUP($Z$3,$B:$V,MATCH(O3,$B$3:$V$3,),)</f>
        <v/>
      </c>
      <c r="P9" s="59">
        <f>VLOOKUP($Z$2,$B:$V,MATCH(P3,$B$3:$V$3,),)-VLOOKUP($Z$3,$B:$V,MATCH(P3,$B$3:$V$3,),)</f>
        <v/>
      </c>
      <c r="Q9" s="59">
        <f>VLOOKUP($Z$2,$B:$V,MATCH(Q3,$B$3:$V$3,),)-VLOOKUP($Z$3,$B:$V,MATCH(Q3,$B$3:$V$3,),)</f>
        <v/>
      </c>
      <c r="R9" s="59">
        <f>VLOOKUP($Z$2,$B:$V,MATCH(R3,$B$3:$V$3,),)-VLOOKUP($Z$3,$B:$V,MATCH(R3,$B$3:$V$3,),)</f>
        <v/>
      </c>
      <c r="S9" s="59">
        <f>VLOOKUP($Z$2,$B:$V,MATCH(S3,$B$3:$V$3,),)-VLOOKUP($Z$3,$B:$V,MATCH(S3,$B$3:$V$3,),)</f>
        <v/>
      </c>
      <c r="T9" s="59">
        <f>VLOOKUP($Z$2,$B:$V,MATCH(T3,$B$3:$V$3,),)-VLOOKUP($Z$3,$B:$V,MATCH(T3,$B$3:$V$3,),)</f>
        <v/>
      </c>
      <c r="U9" s="59">
        <f>VLOOKUP($Z$2,$B:$V,MATCH(U3,$B$3:$V$3,),)-VLOOKUP($Z$3,$B:$V,MATCH(U3,$B$3:$V$3,),)</f>
        <v/>
      </c>
      <c r="V9" s="60">
        <f>VLOOKUP($Z$2,$B:$V,MATCH(V3,$B$3:$V$3,),)-VLOOKUP($Z$3,$B:$V,MATCH(V3,$B$3:$V$3,),)</f>
        <v/>
      </c>
    </row>
    <row r="10">
      <c r="B10" s="47" t="n"/>
      <c r="C10" s="48" t="n"/>
      <c r="D10" s="48" t="n"/>
      <c r="E10" s="48" t="n"/>
      <c r="F10" s="48" t="n"/>
      <c r="G10" s="48" t="n"/>
      <c r="H10" s="48" t="n"/>
      <c r="I10" s="48" t="n"/>
      <c r="J10" s="48" t="n"/>
      <c r="K10" s="48" t="n"/>
      <c r="L10" s="48" t="n"/>
      <c r="M10" s="48" t="n"/>
      <c r="N10" s="48" t="n"/>
      <c r="O10" s="48" t="n"/>
      <c r="P10" s="48" t="n"/>
      <c r="Q10" s="48" t="n"/>
      <c r="R10" s="48" t="n"/>
      <c r="S10" s="48" t="n"/>
      <c r="T10" s="48" t="n"/>
      <c r="U10" s="48" t="n"/>
      <c r="V10" s="48" t="n"/>
    </row>
    <row r="11" hidden="1" s="80">
      <c r="B11" s="18" t="n">
        <v>42064</v>
      </c>
      <c r="C11" s="5" t="n">
        <v>55.3</v>
      </c>
      <c r="D11" s="5" t="n">
        <v>52.2</v>
      </c>
      <c r="E11" s="5" t="n">
        <v>50.3</v>
      </c>
      <c r="F11" s="5" t="n">
        <v>52.8</v>
      </c>
      <c r="G11" s="5" t="n">
        <v>48.8</v>
      </c>
      <c r="H11" s="5" t="n">
        <v>54.4</v>
      </c>
      <c r="I11" s="5" t="n">
        <v>53.3</v>
      </c>
      <c r="J11" s="5" t="n">
        <v>54.3</v>
      </c>
      <c r="K11" s="5" t="n">
        <v>0.09999999999999432</v>
      </c>
      <c r="L11" s="5" t="n">
        <v>53.8</v>
      </c>
      <c r="M11" s="5" t="n">
        <v>48.1</v>
      </c>
      <c r="N11" s="5" t="n">
        <v>52.1</v>
      </c>
      <c r="O11" s="5" t="n">
        <v>48.9</v>
      </c>
      <c r="P11" s="5" t="n">
        <v>49.2</v>
      </c>
      <c r="Q11" s="5" t="n">
        <v>51</v>
      </c>
      <c r="R11" s="5" t="n">
        <v>48.9</v>
      </c>
      <c r="S11" s="5" t="n">
        <v>56.8</v>
      </c>
      <c r="T11" s="5" t="n">
        <v>48</v>
      </c>
      <c r="U11" s="5" t="n">
        <v>56.1</v>
      </c>
      <c r="V11" s="5" t="n">
        <v>54.8</v>
      </c>
    </row>
    <row r="12" hidden="1" s="80">
      <c r="B12" s="18" t="n">
        <v>42095</v>
      </c>
      <c r="C12" s="5" t="n">
        <v>54.1</v>
      </c>
      <c r="D12" s="5" t="n">
        <v>52</v>
      </c>
      <c r="E12" s="5" t="n">
        <v>49.9</v>
      </c>
      <c r="F12" s="5" t="n">
        <v>52.1</v>
      </c>
      <c r="G12" s="5" t="n">
        <v>48</v>
      </c>
      <c r="H12" s="5" t="n">
        <v>51.9</v>
      </c>
      <c r="I12" s="5" t="n">
        <v>53.8</v>
      </c>
      <c r="J12" s="5" t="n">
        <v>54.2</v>
      </c>
      <c r="K12" s="5" t="n">
        <v>-0.09999999999999432</v>
      </c>
      <c r="L12" s="5" t="n">
        <v>53.8</v>
      </c>
      <c r="M12" s="5" t="n">
        <v>48.9</v>
      </c>
      <c r="N12" s="5" t="n">
        <v>51.3</v>
      </c>
      <c r="O12" s="5" t="n">
        <v>49</v>
      </c>
      <c r="P12" s="5" t="n">
        <v>48.8</v>
      </c>
      <c r="Q12" s="5" t="n">
        <v>49.2</v>
      </c>
      <c r="R12" s="5" t="n">
        <v>46.5</v>
      </c>
      <c r="S12" s="5" t="n">
        <v>55.8</v>
      </c>
      <c r="T12" s="5" t="n">
        <v>48.5</v>
      </c>
      <c r="U12" s="5" t="n">
        <v>54.7</v>
      </c>
      <c r="V12" s="5" t="n">
        <v>54</v>
      </c>
    </row>
    <row r="13" hidden="1" s="80">
      <c r="B13" s="18" t="n">
        <v>42125</v>
      </c>
      <c r="C13" s="5" t="n">
        <v>53.8</v>
      </c>
      <c r="D13" s="5" t="n">
        <v>52.2</v>
      </c>
      <c r="E13" s="5" t="n">
        <v>50.9</v>
      </c>
      <c r="F13" s="5" t="n">
        <v>51.1</v>
      </c>
      <c r="G13" s="5" t="n">
        <v>49.4</v>
      </c>
      <c r="H13" s="5" t="n">
        <v>52.2</v>
      </c>
      <c r="I13" s="5" t="n">
        <v>54.8</v>
      </c>
      <c r="J13" s="5" t="n">
        <v>55.8</v>
      </c>
      <c r="K13" s="5" t="n">
        <v>1.599999999999994</v>
      </c>
      <c r="L13" s="5" t="n">
        <v>53.3</v>
      </c>
      <c r="M13" s="5" t="n">
        <v>47.6</v>
      </c>
      <c r="N13" s="5" t="n">
        <v>52.6</v>
      </c>
      <c r="O13" s="5" t="n">
        <v>49.8</v>
      </c>
      <c r="P13" s="5" t="n">
        <v>47.8</v>
      </c>
      <c r="Q13" s="5" t="n">
        <v>49.3</v>
      </c>
      <c r="R13" s="5" t="n">
        <v>48</v>
      </c>
      <c r="S13" s="5" t="n">
        <v>57.1</v>
      </c>
      <c r="T13" s="5" t="n">
        <v>50.2</v>
      </c>
      <c r="U13" s="5" t="n">
        <v>55.5</v>
      </c>
      <c r="V13" s="5" t="n">
        <v>52.4</v>
      </c>
    </row>
    <row r="14" hidden="1" s="80">
      <c r="B14" s="18" t="n">
        <v>42156</v>
      </c>
      <c r="C14" s="5" t="n">
        <v>53.6</v>
      </c>
      <c r="D14" s="5" t="n">
        <v>52.5</v>
      </c>
      <c r="E14" s="5" t="n">
        <v>50.1</v>
      </c>
      <c r="F14" s="5" t="n">
        <v>51.9</v>
      </c>
      <c r="G14" s="5" t="n">
        <v>50.7</v>
      </c>
      <c r="H14" s="5" t="n">
        <v>51.9</v>
      </c>
      <c r="I14" s="5" t="n">
        <v>54.1</v>
      </c>
      <c r="J14" s="5" t="n">
        <v>54.5</v>
      </c>
      <c r="K14" s="5" t="n">
        <v>-1.299999999999997</v>
      </c>
      <c r="L14" s="5" t="n">
        <v>52</v>
      </c>
      <c r="M14" s="5" t="n">
        <v>48.7</v>
      </c>
      <c r="N14" s="5" t="n">
        <v>51.3</v>
      </c>
      <c r="O14" s="5" t="n">
        <v>51.3</v>
      </c>
      <c r="P14" s="5" t="n">
        <v>46.1</v>
      </c>
      <c r="Q14" s="5" t="n">
        <v>46.3</v>
      </c>
      <c r="R14" s="5" t="n">
        <v>46.9</v>
      </c>
      <c r="S14" s="5" t="n">
        <v>54.6</v>
      </c>
      <c r="T14" s="5" t="n">
        <v>49</v>
      </c>
      <c r="U14" s="5" t="n">
        <v>56.9</v>
      </c>
      <c r="V14" s="5" t="n">
        <v>54.3</v>
      </c>
    </row>
    <row r="15" hidden="1" s="80">
      <c r="B15" s="18" t="n">
        <v>42186</v>
      </c>
      <c r="C15" s="5" t="n">
        <v>53.8</v>
      </c>
      <c r="D15" s="5" t="n">
        <v>52.4</v>
      </c>
      <c r="E15" s="5" t="n">
        <v>51.2</v>
      </c>
      <c r="F15" s="5" t="n">
        <v>51.8</v>
      </c>
      <c r="G15" s="5" t="n">
        <v>49.6</v>
      </c>
      <c r="H15" s="5" t="n">
        <v>52.5</v>
      </c>
      <c r="I15" s="5" t="n">
        <v>55.3</v>
      </c>
      <c r="J15" s="5" t="n">
        <v>53.6</v>
      </c>
      <c r="K15" s="5" t="n">
        <v>-0.8999999999999986</v>
      </c>
      <c r="L15" s="5" t="n">
        <v>52.9</v>
      </c>
      <c r="M15" s="5" t="n">
        <v>48.3</v>
      </c>
      <c r="N15" s="5" t="n">
        <v>52.7</v>
      </c>
      <c r="O15" s="5" t="n">
        <v>50.8</v>
      </c>
      <c r="P15" s="5" t="n">
        <v>47.6</v>
      </c>
      <c r="Q15" s="5" t="n">
        <v>47.1</v>
      </c>
      <c r="R15" s="5" t="n">
        <v>30.2</v>
      </c>
      <c r="S15" s="5" t="n">
        <v>56.7</v>
      </c>
      <c r="T15" s="5" t="n">
        <v>50.1</v>
      </c>
      <c r="U15" s="5" t="n">
        <v>57.5</v>
      </c>
      <c r="V15" s="5" t="n">
        <v>54.5</v>
      </c>
    </row>
    <row r="16" hidden="1" s="80">
      <c r="B16" s="18" t="n">
        <v>42217</v>
      </c>
      <c r="C16" s="5" t="n">
        <v>53</v>
      </c>
      <c r="D16" s="5" t="n">
        <v>52.3</v>
      </c>
      <c r="E16" s="5" t="n">
        <v>51.7</v>
      </c>
      <c r="F16" s="5" t="n">
        <v>53.3</v>
      </c>
      <c r="G16" s="5" t="n">
        <v>48.3</v>
      </c>
      <c r="H16" s="5" t="n">
        <v>51.6</v>
      </c>
      <c r="I16" s="5" t="n">
        <v>53.8</v>
      </c>
      <c r="J16" s="5" t="n">
        <v>53.2</v>
      </c>
      <c r="K16" s="5" t="n">
        <v>-0.3999999999999986</v>
      </c>
      <c r="L16" s="5" t="n">
        <v>52.4</v>
      </c>
      <c r="M16" s="5" t="n">
        <v>47.9</v>
      </c>
      <c r="N16" s="5" t="n">
        <v>52.3</v>
      </c>
      <c r="O16" s="5" t="n">
        <v>49.4</v>
      </c>
      <c r="P16" s="5" t="n">
        <v>47.9</v>
      </c>
      <c r="Q16" s="5" t="n">
        <v>46.1</v>
      </c>
      <c r="R16" s="5" t="n">
        <v>39.1</v>
      </c>
      <c r="S16" s="5" t="n">
        <v>53.6</v>
      </c>
      <c r="T16" s="5" t="n">
        <v>49.3</v>
      </c>
      <c r="U16" s="5" t="n">
        <v>56.6</v>
      </c>
      <c r="V16" s="5" t="n">
        <v>51.1</v>
      </c>
    </row>
    <row r="17" hidden="1" s="80">
      <c r="B17" s="18" t="n">
        <v>42248</v>
      </c>
      <c r="C17" s="5" t="n">
        <v>53.1</v>
      </c>
      <c r="D17" s="5" t="n">
        <v>52</v>
      </c>
      <c r="E17" s="5" t="n">
        <v>51</v>
      </c>
      <c r="F17" s="5" t="n">
        <v>52.3</v>
      </c>
      <c r="G17" s="5" t="n">
        <v>50.6</v>
      </c>
      <c r="H17" s="5" t="n">
        <v>51.6</v>
      </c>
      <c r="I17" s="5" t="n">
        <v>52.7</v>
      </c>
      <c r="J17" s="5" t="n">
        <v>51.7</v>
      </c>
      <c r="K17" s="5" t="n">
        <v>-1.5</v>
      </c>
      <c r="L17" s="5" t="n">
        <v>52.1</v>
      </c>
      <c r="M17" s="5" t="n">
        <v>49.1</v>
      </c>
      <c r="N17" s="5" t="n">
        <v>51.2</v>
      </c>
      <c r="O17" s="5" t="n">
        <v>48.6</v>
      </c>
      <c r="P17" s="5" t="n">
        <v>49.2</v>
      </c>
      <c r="Q17" s="5" t="n">
        <v>46.9</v>
      </c>
      <c r="R17" s="5" t="n">
        <v>43.3</v>
      </c>
      <c r="S17" s="5" t="n">
        <v>53.8</v>
      </c>
      <c r="T17" s="5" t="n">
        <v>48.8</v>
      </c>
      <c r="U17" s="5" t="n">
        <v>55.5</v>
      </c>
      <c r="V17" s="5" t="n">
        <v>50.9</v>
      </c>
    </row>
    <row r="18" hidden="1" s="80">
      <c r="B18" s="18" t="n">
        <v>42278</v>
      </c>
      <c r="C18" s="5" t="n">
        <v>54.1</v>
      </c>
      <c r="D18" s="5" t="n">
        <v>52.3</v>
      </c>
      <c r="E18" s="5" t="n">
        <v>52.4</v>
      </c>
      <c r="F18" s="5" t="n">
        <v>52.1</v>
      </c>
      <c r="G18" s="5" t="n">
        <v>50.6</v>
      </c>
      <c r="H18" s="5" t="n">
        <v>54.3</v>
      </c>
      <c r="I18" s="5" t="n">
        <v>54.1</v>
      </c>
      <c r="J18" s="5" t="n">
        <v>51.3</v>
      </c>
      <c r="K18" s="5" t="n">
        <v>-0.4000000000000057</v>
      </c>
      <c r="L18" s="5" t="n">
        <v>53</v>
      </c>
      <c r="M18" s="5" t="n">
        <v>50.2</v>
      </c>
      <c r="N18" s="5" t="n">
        <v>50.7</v>
      </c>
      <c r="O18" s="5" t="n">
        <v>48</v>
      </c>
      <c r="P18" s="5" t="n">
        <v>49.1</v>
      </c>
      <c r="Q18" s="5" t="n">
        <v>47.8</v>
      </c>
      <c r="R18" s="5" t="n">
        <v>47.3</v>
      </c>
      <c r="S18" s="5" t="n">
        <v>53.6</v>
      </c>
      <c r="T18" s="5" t="n">
        <v>49.5</v>
      </c>
      <c r="U18" s="5" t="n">
        <v>54</v>
      </c>
      <c r="V18" s="5" t="n">
        <v>52.2</v>
      </c>
    </row>
    <row r="19" hidden="1" s="80">
      <c r="B19" s="18" t="n">
        <v>42309</v>
      </c>
      <c r="C19" s="5" t="n">
        <v>52.8</v>
      </c>
      <c r="D19" s="5" t="n">
        <v>52.8</v>
      </c>
      <c r="E19" s="5" t="n">
        <v>52.6</v>
      </c>
      <c r="F19" s="5" t="n">
        <v>52.9</v>
      </c>
      <c r="G19" s="5" t="n">
        <v>50.6</v>
      </c>
      <c r="H19" s="5" t="n">
        <v>52.3</v>
      </c>
      <c r="I19" s="5" t="n">
        <v>54.9</v>
      </c>
      <c r="J19" s="5" t="n">
        <v>53.1</v>
      </c>
      <c r="K19" s="5" t="n">
        <v>1.800000000000004</v>
      </c>
      <c r="L19" s="5" t="n">
        <v>53</v>
      </c>
      <c r="M19" s="5" t="n">
        <v>50.1</v>
      </c>
      <c r="N19" s="5" t="n">
        <v>50.3</v>
      </c>
      <c r="O19" s="5" t="n">
        <v>48.6</v>
      </c>
      <c r="P19" s="5" t="n">
        <v>49.1</v>
      </c>
      <c r="Q19" s="5" t="n">
        <v>49.5</v>
      </c>
      <c r="R19" s="5" t="n">
        <v>48.1</v>
      </c>
      <c r="S19" s="5" t="n">
        <v>53.3</v>
      </c>
      <c r="T19" s="5" t="n">
        <v>50.9</v>
      </c>
      <c r="U19" s="5" t="n">
        <v>54.2</v>
      </c>
      <c r="V19" s="5" t="n">
        <v>52.1</v>
      </c>
    </row>
    <row r="20" hidden="1" s="80">
      <c r="B20" s="18" t="n">
        <v>42339</v>
      </c>
      <c r="C20" s="5" t="n">
        <v>51.2</v>
      </c>
      <c r="D20" s="5" t="n">
        <v>53.2</v>
      </c>
      <c r="E20" s="5" t="n">
        <v>52.6</v>
      </c>
      <c r="F20" s="5" t="n">
        <v>53.2</v>
      </c>
      <c r="G20" s="5" t="n">
        <v>51.4</v>
      </c>
      <c r="H20" s="5" t="n">
        <v>51</v>
      </c>
      <c r="I20" s="5" t="n">
        <v>55.6</v>
      </c>
      <c r="J20" s="5" t="n">
        <v>53</v>
      </c>
      <c r="K20" s="5" t="n">
        <v>-0.1000000000000014</v>
      </c>
      <c r="L20" s="5" t="n">
        <v>52.4</v>
      </c>
      <c r="M20" s="5" t="n">
        <v>48.7</v>
      </c>
      <c r="N20" s="5" t="n">
        <v>49.1</v>
      </c>
      <c r="O20" s="5" t="n">
        <v>47.5</v>
      </c>
      <c r="P20" s="5" t="n">
        <v>50.7</v>
      </c>
      <c r="Q20" s="5" t="n">
        <v>51.7</v>
      </c>
      <c r="R20" s="5" t="n">
        <v>50.2</v>
      </c>
      <c r="S20" s="5" t="n">
        <v>54.2</v>
      </c>
      <c r="T20" s="5" t="n">
        <v>52.2</v>
      </c>
      <c r="U20" s="5" t="n">
        <v>55.6</v>
      </c>
      <c r="V20" s="5" t="n">
        <v>52.1</v>
      </c>
    </row>
    <row r="21" hidden="1" s="80">
      <c r="B21" s="18" t="n">
        <v>42370</v>
      </c>
      <c r="C21" s="5" t="n">
        <v>52.4</v>
      </c>
      <c r="D21" s="5" t="n">
        <v>52.3</v>
      </c>
      <c r="E21" s="5" t="n">
        <v>52.3</v>
      </c>
      <c r="F21" s="5" t="n">
        <v>52.3</v>
      </c>
      <c r="G21" s="5" t="n">
        <v>50</v>
      </c>
      <c r="H21" s="5" t="n">
        <v>52.2</v>
      </c>
      <c r="I21" s="5" t="n">
        <v>53.2</v>
      </c>
      <c r="J21" s="5" t="n">
        <v>55.4</v>
      </c>
      <c r="K21" s="5" t="n">
        <v>2.399999999999999</v>
      </c>
      <c r="L21" s="5" t="n">
        <v>52.2</v>
      </c>
      <c r="M21" s="5" t="n">
        <v>49.8</v>
      </c>
      <c r="N21" s="5" t="n">
        <v>51.1</v>
      </c>
      <c r="O21" s="5" t="n">
        <v>49.3</v>
      </c>
      <c r="P21" s="5" t="n">
        <v>49.5</v>
      </c>
      <c r="Q21" s="5" t="n">
        <v>50.6</v>
      </c>
      <c r="R21" s="5" t="n">
        <v>50</v>
      </c>
      <c r="S21" s="5" t="n">
        <v>54.3</v>
      </c>
      <c r="T21" s="5" t="n">
        <v>50.9</v>
      </c>
      <c r="U21" s="5" t="n">
        <v>56.9</v>
      </c>
      <c r="V21" s="5" t="n">
        <v>50.9</v>
      </c>
    </row>
    <row r="22" hidden="1" s="80">
      <c r="B22" s="18" t="n">
        <v>42401</v>
      </c>
      <c r="C22" s="5" t="n">
        <v>51.3</v>
      </c>
      <c r="D22" s="5" t="n">
        <v>51.2</v>
      </c>
      <c r="E22" s="5" t="n">
        <v>50.1</v>
      </c>
      <c r="F22" s="5" t="n">
        <v>50.5</v>
      </c>
      <c r="G22" s="5" t="n">
        <v>50.2</v>
      </c>
      <c r="H22" s="5" t="n">
        <v>50.8</v>
      </c>
      <c r="I22" s="5" t="n">
        <v>52.2</v>
      </c>
      <c r="J22" s="5" t="n">
        <v>54.1</v>
      </c>
      <c r="K22" s="5" t="n">
        <v>-1.299999999999997</v>
      </c>
      <c r="L22" s="5" t="n">
        <v>53.1</v>
      </c>
      <c r="M22" s="5" t="n">
        <v>49.3</v>
      </c>
      <c r="N22" s="5" t="n">
        <v>51.1</v>
      </c>
      <c r="O22" s="5" t="n">
        <v>49.4</v>
      </c>
      <c r="P22" s="5" t="n">
        <v>48.7</v>
      </c>
      <c r="Q22" s="5" t="n">
        <v>49.4</v>
      </c>
      <c r="R22" s="5" t="n">
        <v>48.4</v>
      </c>
      <c r="S22" s="5" t="n">
        <v>52.9</v>
      </c>
      <c r="T22" s="5" t="n">
        <v>50.3</v>
      </c>
      <c r="U22" s="5" t="n">
        <v>55.5</v>
      </c>
      <c r="V22" s="5" t="n">
        <v>52.8</v>
      </c>
    </row>
    <row r="23" hidden="1" s="80">
      <c r="B23" s="18" t="n">
        <v>42430</v>
      </c>
      <c r="C23" s="5" t="n">
        <v>51.5</v>
      </c>
      <c r="D23" s="5" t="n">
        <v>51.6</v>
      </c>
      <c r="E23" s="5" t="n">
        <v>49.1</v>
      </c>
      <c r="F23" s="5" t="n">
        <v>50.7</v>
      </c>
      <c r="G23" s="5" t="n">
        <v>49.6</v>
      </c>
      <c r="H23" s="5" t="n">
        <v>51.1</v>
      </c>
      <c r="I23" s="5" t="n">
        <v>53.5</v>
      </c>
      <c r="J23" s="5" t="n">
        <v>53.4</v>
      </c>
      <c r="K23" s="5" t="n">
        <v>-0.7000000000000028</v>
      </c>
      <c r="L23" s="5" t="n">
        <v>53.2</v>
      </c>
      <c r="M23" s="5" t="n">
        <v>48.3</v>
      </c>
      <c r="N23" s="5" t="n">
        <v>52.4</v>
      </c>
      <c r="O23" s="5" t="n">
        <v>51.5</v>
      </c>
      <c r="P23" s="5" t="n">
        <v>49.5</v>
      </c>
      <c r="Q23" s="5" t="n">
        <v>51.1</v>
      </c>
      <c r="R23" s="5" t="n">
        <v>49</v>
      </c>
      <c r="S23" s="5" t="n">
        <v>54.9</v>
      </c>
      <c r="T23" s="5" t="n">
        <v>49.2</v>
      </c>
      <c r="U23" s="5" t="n">
        <v>54.3</v>
      </c>
      <c r="V23" s="5" t="n">
        <v>53.8</v>
      </c>
    </row>
    <row r="24" customFormat="1" s="86">
      <c r="A24" s="43" t="n"/>
      <c r="B24" s="75" t="n">
        <v>32874</v>
      </c>
      <c r="C24" s="13">
        <f>IF(VLOOKUP(B24,Database!$A:$AU,MATCH($C$1,Database!$A$1:$AU$1,),)=0,"#N/A",((((VLOOKUP(B24,Database!$A:$AU,MATCH($C$1,Database!$A$1:$AU$1,),))))-(((VLOOKUP(EDATE(B24,-12),Database!$A:$AU,MATCH($C$1,Database!$A$1:$AU$1,),)))))/(((VLOOKUP(EDATE(B24,-12),Database!$A:$AU,MATCH($C$1,Database!$A$1:$AU$1,),)))))</f>
        <v/>
      </c>
      <c r="D24" s="13">
        <f>IF(VLOOKUP(B24,Database!$A:$AV,MATCH($D$1,Database!$A$1:$AV$1,),)=0,"#N/A",((((VLOOKUP(B24,Database!$A:$AS,MATCH($D$1,Database!$A$1:$AS$1,),))))-(((VLOOKUP(EDATE(B24,-12),Database!$A:$AS,MATCH($D$1,Database!$A$1:$AS$1,),)))))/(((VLOOKUP(EDATE(B24,-12),Database!$A:$AS,MATCH($D$1,Database!$A$1:$AS$1,),)))))</f>
        <v/>
      </c>
      <c r="E24" s="13">
        <f>IF(VLOOKUP(B24,Database!$A:$AV,MATCH($E$1,Database!$A$1:$AV$1,),)=0,"#N/A",((((VLOOKUP(B24,Database!$A:$AS,MATCH($E$1,Database!$A$1:$AS$1,),))))-(((VLOOKUP(EDATE(B24,-12),Database!$A:$AS,MATCH($E$1,Database!$A$1:$AS$1,),)))))/(((VLOOKUP(EDATE(B24,-12),Database!$A:$AS,MATCH($E$1,Database!$A$1:$AS$1,),)))))</f>
        <v/>
      </c>
      <c r="F24" s="13">
        <f>IF(VLOOKUP(B24,Database!$A:$AV,MATCH($F$1,Database!$A$1:$AV$1,),)=0,"#N/A",((((VLOOKUP(B24,Database!$A:$AS,MATCH($F$1,Database!$A$1:$AS$1,),))))-(((VLOOKUP(EDATE(B24,-12),Database!$A:$AS,MATCH($F$1,Database!$A$1:$AS$1,),)))))/(((VLOOKUP(EDATE(B24,-12),Database!$A:$AS,MATCH($F$1,Database!$A$1:$AS$1,),)))))</f>
        <v/>
      </c>
      <c r="G24" s="13">
        <f>IF(VLOOKUP(B24,Database!$A:$AV,MATCH($G$1,Database!$A$1:$AV$1,),)=0,"#N/A",((((VLOOKUP(B24,Database!$A:$AS,MATCH($G$1,Database!$A$1:$AS$1,),))))-(((VLOOKUP(EDATE(B24,-12),Database!$A:$AS,MATCH($G$1,Database!$A$1:$AS$1,),)))))/(((VLOOKUP(EDATE(B24,-12),Database!$A:$AS,MATCH($G$1,Database!$A$1:$AS$1,),)))))</f>
        <v/>
      </c>
      <c r="H24" s="13">
        <f>IF(VLOOKUP(B24,Database!$A:$AV,MATCH($H$1,Database!$A$1:$AV$1,),)=0,"#N/A",((((VLOOKUP(B24,Database!$A:$AS,MATCH($H$1,Database!$A$1:$AS$1,),))))-(((VLOOKUP(EDATE(B24,-12),Database!$A:$AS,MATCH($H$1,Database!$A$1:$AS$1,),)))))/(((VLOOKUP(EDATE(B24,-12),Database!$A:$AS,MATCH($H$1,Database!$A$1:$AS$1,),)))))</f>
        <v/>
      </c>
      <c r="I24" s="13">
        <f>IF(VLOOKUP(B24,Database!$A:$AV,MATCH($I$1,Database!$A$1:$AV$1,),)=0,"#N/A",((((VLOOKUP(B24,Database!$A:$AS,MATCH($I$1,Database!$A$1:$AS$1,),))))-(((VLOOKUP(EDATE(B24,-12),Database!$A:$AS,MATCH($I$1,Database!$A$1:$AS$1,),)))))/(((VLOOKUP(EDATE(B24,-12),Database!$A:$AS,MATCH($I$1,Database!$A$1:$AS$1,),)))))</f>
        <v/>
      </c>
      <c r="J24" s="13">
        <f>IF(VLOOKUP(B24,Database!$A:$AV,MATCH($J$1,Database!$A$1:$AV$1,),)=0,"#N/A",((((VLOOKUP(B24,Database!$A:$AS,MATCH($J$1,Database!$A$1:$AS$1,),))))-(((VLOOKUP(EDATE(B24,-12),Database!$A:$AS,MATCH($J$1,Database!$A$1:$AS$1,),)))))/(((VLOOKUP(EDATE(B24,-12),Database!$A:$AS,MATCH($J$1,Database!$A$1:$AS$1,),)))))</f>
        <v/>
      </c>
      <c r="K24" s="13">
        <f>IF(VLOOKUP(B24,Database!$A:$AV,MATCH($K$1,Database!$A$1:$AV$1,),)=0,"#N/A",((((VLOOKUP(B24,Database!$A:$AS,MATCH($K$1,Database!$A$1:$AS$1,),))))-(((VLOOKUP(EDATE(B24,-12),Database!$A:$AS,MATCH($K$1,Database!$A$1:$AS$1,),)))))/(((VLOOKUP(EDATE(B24,-12),Database!$A:$AS,MATCH($K$1,Database!$A$1:$AS$1,),)))))</f>
        <v/>
      </c>
      <c r="L24" s="13">
        <f>((((VLOOKUP(B24,Database!$A:$AS,MATCH($L$1,Database!$A$1:$AS$1,),))))-(((VLOOKUP(EDATE(B24,-12),Database!$A:$AS,MATCH($L$1,Database!$A$1:$AS$1,),)))))/(((VLOOKUP(EDATE(B24,-12),Database!$A:$AS,MATCH($L$1,Database!$A$1:$AS$1,),))))</f>
        <v/>
      </c>
      <c r="M24" s="13">
        <f>((((VLOOKUP(B24,Database!$A:$AS,MATCH($M$1,Database!$A$1:$AS$1,),))))-(((VLOOKUP(EDATE(B24,-12),Database!$A:$AS,MATCH($M$1,Database!$A$1:$AS$1,),)))))/(((VLOOKUP(EDATE(B24,-12),Database!$A:$AS,MATCH($M$1,Database!$A$1:$AS$1,),))))</f>
        <v/>
      </c>
      <c r="N24" s="13">
        <f>((((VLOOKUP(B24,Database!$A:$AS,MATCH($N$1,Database!$A$1:$AS$1,),))))-(((VLOOKUP(EDATE(B24,-12),Database!$A:$AS,MATCH($N$1,Database!$A$1:$AS$1,),)))))/(((VLOOKUP(EDATE(B24,-12),Database!$A:$AS,MATCH($N$1,Database!$A$1:$AS$1,),))))</f>
        <v/>
      </c>
      <c r="O24" s="13">
        <f>IF(VLOOKUP(B24,Database!$A:$AV,MATCH($O$1,Database!$A$1:$AV$1,),)=0,"#N/A",((((VLOOKUP(B24,Database!$A:$AS,MATCH($O$1,Database!$A$1:$AS$1,),))))-(((VLOOKUP(EDATE(B24,-12),Database!$A:$AS,MATCH($O$1,Database!$A$1:$AS$1,),)))))/(((VLOOKUP(EDATE(B24,-12),Database!$A:$AS,MATCH($O$1,Database!$A$1:$AS$1,),)))))</f>
        <v/>
      </c>
      <c r="P24" s="13">
        <f>IF(VLOOKUP(B24,Database!$A:$AV,MATCH($P$1,Database!$A$1:$AV$1,),)=0,"#N/A",((((VLOOKUP(B24,Database!$A:$AS,MATCH($P$1,Database!$A$1:$AS$1,),))))-(((VLOOKUP(EDATE(B24,-12),Database!$A:$AS,MATCH($P$1,Database!$A$1:$AS$1,),)))))/(((VLOOKUP(EDATE(B24,-12),Database!$A:$AS,MATCH($P$1,Database!$A$1:$AS$1,),)))))</f>
        <v/>
      </c>
      <c r="Q24" s="13">
        <f>IF(VLOOKUP(B24,Database!$A:$AV,MATCH($Q$1,Database!$A$1:$AV$1,),)=0,"#N/A",((((VLOOKUP(B24,Database!$A:$AS,MATCH($Q$1,Database!$A$1:$AS$1,),))))-(((VLOOKUP(EDATE(B24,-12),Database!$A:$AS,MATCH($Q$1,Database!$A$1:$AS$1,),)))))/(((VLOOKUP(EDATE(B24,-12),Database!$A:$AS,MATCH($Q$1,Database!$A$1:$AS$1,),)))))</f>
        <v/>
      </c>
      <c r="R24" s="13">
        <f>IF(VLOOKUP(B24,Database!$A:$AV,MATCH($R$1,Database!$A$1:$AV$1,),)=0,"#N/A",((((VLOOKUP(B24,Database!$A:$AS,MATCH($R$1,Database!$A$1:$AS$1,),))))-(((VLOOKUP(EDATE(B24,-12),Database!$A:$AS,MATCH($R$1,Database!$A$1:$AS$1,),)))))/(((VLOOKUP(EDATE(B24,-12),Database!$A:$AS,MATCH($R$1,Database!$A$1:$AS$1,),)))))</f>
        <v/>
      </c>
      <c r="S24" s="13">
        <f>IF(VLOOKUP(B24,Database!$A:$AV,MATCH($S$1,Database!$A$1:$AV$1,),)=0,"#N/A",((((VLOOKUP(B24,Database!$A:$AS,MATCH($S$1,Database!$A$1:$AS$1,),))))-(((VLOOKUP(EDATE(B24,-12),Database!$A:$AS,MATCH($S$1,Database!$A$1:$AS$1,),)))))/(((VLOOKUP(EDATE(B24,-12),Database!$A:$AS,MATCH($S$1,Database!$A$1:$AS$1,),)))))</f>
        <v/>
      </c>
      <c r="T24" s="13">
        <f>IF(VLOOKUP(B24,Database!$A:$AV,MATCH($T$1,Database!$A$1:$AV$1,),)=0,"#N/A",((((VLOOKUP(B24,Database!$A:$AS,MATCH($T$1,Database!$A$1:$AS$1,),))))-(((VLOOKUP(EDATE(B24,-12),Database!$A:$AS,MATCH($T$1,Database!$A$1:$AS$1,),)))))/(((VLOOKUP(EDATE(B24,-12),Database!$A:$AS,MATCH($T$1,Database!$A$1:$AS$1,),)))))</f>
        <v/>
      </c>
      <c r="U24" s="13">
        <f>IF(VLOOKUP(B24,Database!$A:$AV,MATCH($U$1,Database!$A$1:$AV$1,),)=0,"#N/A",((((VLOOKUP(B24,Database!$A:$AS,MATCH($U$1,Database!$A$1:$AS$1,),))))-(((VLOOKUP(EDATE(B24,-12),Database!$A:$AS,MATCH($U$1,Database!$A$1:$AS$1,),)))))/(((VLOOKUP(EDATE(B24,-12),Database!$A:$AS,MATCH($U$1,Database!$A$1:$AS$1,),)))))</f>
        <v/>
      </c>
      <c r="V24" s="13">
        <f>IF(VLOOKUP(B24,Database!$A:$AV,MATCH($V$1,Database!$A$1:$AV$1,),)=0,"#N/A",((((VLOOKUP(B24,Database!$A:$AS,MATCH($V$1,Database!$A$1:$AS$1,),))))-(((VLOOKUP(EDATE(B24,-12),Database!$A:$AS,MATCH($V$1,Database!$A$1:$AS$1,),)))))/(((VLOOKUP(EDATE(B24,-12),Database!$A:$AS,MATCH($V$1,Database!$A$1:$AS$1,),)))))</f>
        <v/>
      </c>
      <c r="X24" s="43" t="n"/>
    </row>
    <row r="25" customFormat="1" s="86">
      <c r="A25" s="43" t="n"/>
      <c r="B25" s="75" t="n">
        <v>32905</v>
      </c>
      <c r="C25" s="13">
        <f>IF(VLOOKUP(B25,Database!$A:$AU,MATCH($C$1,Database!$A$1:$AU$1,),)=0,"#N/A",((((VLOOKUP(B25,Database!$A:$AU,MATCH($C$1,Database!$A$1:$AU$1,),))))-(((VLOOKUP(EDATE(B25,-12),Database!$A:$AU,MATCH($C$1,Database!$A$1:$AU$1,),)))))/(((VLOOKUP(EDATE(B25,-12),Database!$A:$AU,MATCH($C$1,Database!$A$1:$AU$1,),)))))</f>
        <v/>
      </c>
      <c r="D25" s="13">
        <f>IF(VLOOKUP(B25,Database!$A:$AV,MATCH($D$1,Database!$A$1:$AV$1,),)=0,"#N/A",((((VLOOKUP(B25,Database!$A:$AS,MATCH($D$1,Database!$A$1:$AS$1,),))))-(((VLOOKUP(EDATE(B25,-12),Database!$A:$AS,MATCH($D$1,Database!$A$1:$AS$1,),)))))/(((VLOOKUP(EDATE(B25,-12),Database!$A:$AS,MATCH($D$1,Database!$A$1:$AS$1,),)))))</f>
        <v/>
      </c>
      <c r="E25" s="13">
        <f>IF(VLOOKUP(B25,Database!$A:$AV,MATCH($E$1,Database!$A$1:$AV$1,),)=0,"#N/A",((((VLOOKUP(B25,Database!$A:$AS,MATCH($E$1,Database!$A$1:$AS$1,),))))-(((VLOOKUP(EDATE(B25,-12),Database!$A:$AS,MATCH($E$1,Database!$A$1:$AS$1,),)))))/(((VLOOKUP(EDATE(B25,-12),Database!$A:$AS,MATCH($E$1,Database!$A$1:$AS$1,),)))))</f>
        <v/>
      </c>
      <c r="F25" s="13">
        <f>IF(VLOOKUP(B25,Database!$A:$AV,MATCH($F$1,Database!$A$1:$AV$1,),)=0,"#N/A",((((VLOOKUP(B25,Database!$A:$AS,MATCH($F$1,Database!$A$1:$AS$1,),))))-(((VLOOKUP(EDATE(B25,-12),Database!$A:$AS,MATCH($F$1,Database!$A$1:$AS$1,),)))))/(((VLOOKUP(EDATE(B25,-12),Database!$A:$AS,MATCH($F$1,Database!$A$1:$AS$1,),)))))</f>
        <v/>
      </c>
      <c r="G25" s="13">
        <f>IF(VLOOKUP(B25,Database!$A:$AV,MATCH($G$1,Database!$A$1:$AV$1,),)=0,"#N/A",((((VLOOKUP(B25,Database!$A:$AS,MATCH($G$1,Database!$A$1:$AS$1,),))))-(((VLOOKUP(EDATE(B25,-12),Database!$A:$AS,MATCH($G$1,Database!$A$1:$AS$1,),)))))/(((VLOOKUP(EDATE(B25,-12),Database!$A:$AS,MATCH($G$1,Database!$A$1:$AS$1,),)))))</f>
        <v/>
      </c>
      <c r="H25" s="13">
        <f>IF(VLOOKUP(B25,Database!$A:$AV,MATCH($H$1,Database!$A$1:$AV$1,),)=0,"#N/A",((((VLOOKUP(B25,Database!$A:$AS,MATCH($H$1,Database!$A$1:$AS$1,),))))-(((VLOOKUP(EDATE(B25,-12),Database!$A:$AS,MATCH($H$1,Database!$A$1:$AS$1,),)))))/(((VLOOKUP(EDATE(B25,-12),Database!$A:$AS,MATCH($H$1,Database!$A$1:$AS$1,),)))))</f>
        <v/>
      </c>
      <c r="I25" s="13">
        <f>IF(VLOOKUP(B25,Database!$A:$AV,MATCH($I$1,Database!$A$1:$AV$1,),)=0,"#N/A",((((VLOOKUP(B25,Database!$A:$AS,MATCH($I$1,Database!$A$1:$AS$1,),))))-(((VLOOKUP(EDATE(B25,-12),Database!$A:$AS,MATCH($I$1,Database!$A$1:$AS$1,),)))))/(((VLOOKUP(EDATE(B25,-12),Database!$A:$AS,MATCH($I$1,Database!$A$1:$AS$1,),)))))</f>
        <v/>
      </c>
      <c r="J25" s="13">
        <f>IF(VLOOKUP(B25,Database!$A:$AV,MATCH($J$1,Database!$A$1:$AV$1,),)=0,"#N/A",((((VLOOKUP(B25,Database!$A:$AS,MATCH($J$1,Database!$A$1:$AS$1,),))))-(((VLOOKUP(EDATE(B25,-12),Database!$A:$AS,MATCH($J$1,Database!$A$1:$AS$1,),)))))/(((VLOOKUP(EDATE(B25,-12),Database!$A:$AS,MATCH($J$1,Database!$A$1:$AS$1,),)))))</f>
        <v/>
      </c>
      <c r="K25" s="13">
        <f>IF(VLOOKUP(B25,Database!$A:$AV,MATCH($K$1,Database!$A$1:$AV$1,),)=0,"#N/A",((((VLOOKUP(B25,Database!$A:$AS,MATCH($K$1,Database!$A$1:$AS$1,),))))-(((VLOOKUP(EDATE(B25,-12),Database!$A:$AS,MATCH($K$1,Database!$A$1:$AS$1,),)))))/(((VLOOKUP(EDATE(B25,-12),Database!$A:$AS,MATCH($K$1,Database!$A$1:$AS$1,),)))))</f>
        <v/>
      </c>
      <c r="L25" s="13">
        <f>((((VLOOKUP(B25,Database!$A:$AS,MATCH($L$1,Database!$A$1:$AS$1,),))))-(((VLOOKUP(EDATE(B25,-12),Database!$A:$AS,MATCH($L$1,Database!$A$1:$AS$1,),)))))/(((VLOOKUP(EDATE(B25,-12),Database!$A:$AS,MATCH($L$1,Database!$A$1:$AS$1,),))))</f>
        <v/>
      </c>
      <c r="M25" s="13">
        <f>((((VLOOKUP(B25,Database!$A:$AS,MATCH($M$1,Database!$A$1:$AS$1,),))))-(((VLOOKUP(EDATE(B25,-12),Database!$A:$AS,MATCH($M$1,Database!$A$1:$AS$1,),)))))/(((VLOOKUP(EDATE(B25,-12),Database!$A:$AS,MATCH($M$1,Database!$A$1:$AS$1,),))))</f>
        <v/>
      </c>
      <c r="N25" s="13">
        <f>((((VLOOKUP(B25,Database!$A:$AS,MATCH($N$1,Database!$A$1:$AS$1,),))))-(((VLOOKUP(EDATE(B25,-12),Database!$A:$AS,MATCH($N$1,Database!$A$1:$AS$1,),)))))/(((VLOOKUP(EDATE(B25,-12),Database!$A:$AS,MATCH($N$1,Database!$A$1:$AS$1,),))))</f>
        <v/>
      </c>
      <c r="O25" s="13">
        <f>IF(VLOOKUP(B25,Database!$A:$AV,MATCH($O$1,Database!$A$1:$AV$1,),)=0,"#N/A",((((VLOOKUP(B25,Database!$A:$AS,MATCH($O$1,Database!$A$1:$AS$1,),))))-(((VLOOKUP(EDATE(B25,-12),Database!$A:$AS,MATCH($O$1,Database!$A$1:$AS$1,),)))))/(((VLOOKUP(EDATE(B25,-12),Database!$A:$AS,MATCH($O$1,Database!$A$1:$AS$1,),)))))</f>
        <v/>
      </c>
      <c r="P25" s="13">
        <f>IF(VLOOKUP(B25,Database!$A:$AV,MATCH($P$1,Database!$A$1:$AV$1,),)=0,"#N/A",((((VLOOKUP(B25,Database!$A:$AS,MATCH($P$1,Database!$A$1:$AS$1,),))))-(((VLOOKUP(EDATE(B25,-12),Database!$A:$AS,MATCH($P$1,Database!$A$1:$AS$1,),)))))/(((VLOOKUP(EDATE(B25,-12),Database!$A:$AS,MATCH($P$1,Database!$A$1:$AS$1,),)))))</f>
        <v/>
      </c>
      <c r="Q25" s="13">
        <f>IF(VLOOKUP(B25,Database!$A:$AV,MATCH($Q$1,Database!$A$1:$AV$1,),)=0,"#N/A",((((VLOOKUP(B25,Database!$A:$AS,MATCH($Q$1,Database!$A$1:$AS$1,),))))-(((VLOOKUP(EDATE(B25,-12),Database!$A:$AS,MATCH($Q$1,Database!$A$1:$AS$1,),)))))/(((VLOOKUP(EDATE(B25,-12),Database!$A:$AS,MATCH($Q$1,Database!$A$1:$AS$1,),)))))</f>
        <v/>
      </c>
      <c r="R25" s="13">
        <f>IF(VLOOKUP(B25,Database!$A:$AV,MATCH($R$1,Database!$A$1:$AV$1,),)=0,"#N/A",((((VLOOKUP(B25,Database!$A:$AS,MATCH($R$1,Database!$A$1:$AS$1,),))))-(((VLOOKUP(EDATE(B25,-12),Database!$A:$AS,MATCH($R$1,Database!$A$1:$AS$1,),)))))/(((VLOOKUP(EDATE(B25,-12),Database!$A:$AS,MATCH($R$1,Database!$A$1:$AS$1,),)))))</f>
        <v/>
      </c>
      <c r="S25" s="13">
        <f>IF(VLOOKUP(B25,Database!$A:$AV,MATCH($S$1,Database!$A$1:$AV$1,),)=0,"#N/A",((((VLOOKUP(B25,Database!$A:$AS,MATCH($S$1,Database!$A$1:$AS$1,),))))-(((VLOOKUP(EDATE(B25,-12),Database!$A:$AS,MATCH($S$1,Database!$A$1:$AS$1,),)))))/(((VLOOKUP(EDATE(B25,-12),Database!$A:$AS,MATCH($S$1,Database!$A$1:$AS$1,),)))))</f>
        <v/>
      </c>
      <c r="T25" s="13">
        <f>IF(VLOOKUP(B25,Database!$A:$AV,MATCH($T$1,Database!$A$1:$AV$1,),)=0,"#N/A",((((VLOOKUP(B25,Database!$A:$AS,MATCH($T$1,Database!$A$1:$AS$1,),))))-(((VLOOKUP(EDATE(B25,-12),Database!$A:$AS,MATCH($T$1,Database!$A$1:$AS$1,),)))))/(((VLOOKUP(EDATE(B25,-12),Database!$A:$AS,MATCH($T$1,Database!$A$1:$AS$1,),)))))</f>
        <v/>
      </c>
      <c r="U25" s="13">
        <f>IF(VLOOKUP(B25,Database!$A:$AV,MATCH($U$1,Database!$A$1:$AV$1,),)=0,"#N/A",((((VLOOKUP(B25,Database!$A:$AS,MATCH($U$1,Database!$A$1:$AS$1,),))))-(((VLOOKUP(EDATE(B25,-12),Database!$A:$AS,MATCH($U$1,Database!$A$1:$AS$1,),)))))/(((VLOOKUP(EDATE(B25,-12),Database!$A:$AS,MATCH($U$1,Database!$A$1:$AS$1,),)))))</f>
        <v/>
      </c>
      <c r="V25" s="13">
        <f>IF(VLOOKUP(B25,Database!$A:$AV,MATCH($V$1,Database!$A$1:$AV$1,),)=0,"#N/A",((((VLOOKUP(B25,Database!$A:$AS,MATCH($V$1,Database!$A$1:$AS$1,),))))-(((VLOOKUP(EDATE(B25,-12),Database!$A:$AS,MATCH($V$1,Database!$A$1:$AS$1,),)))))/(((VLOOKUP(EDATE(B25,-12),Database!$A:$AS,MATCH($V$1,Database!$A$1:$AS$1,),)))))</f>
        <v/>
      </c>
      <c r="X25" s="43" t="n"/>
    </row>
    <row r="26" customFormat="1" s="86">
      <c r="A26" s="43" t="n"/>
      <c r="B26" s="75" t="n">
        <v>32933</v>
      </c>
      <c r="C26" s="13">
        <f>IF(VLOOKUP(B26,Database!$A:$AU,MATCH($C$1,Database!$A$1:$AU$1,),)=0,"#N/A",((((VLOOKUP(B26,Database!$A:$AU,MATCH($C$1,Database!$A$1:$AU$1,),))))-(((VLOOKUP(EDATE(B26,-12),Database!$A:$AU,MATCH($C$1,Database!$A$1:$AU$1,),)))))/(((VLOOKUP(EDATE(B26,-12),Database!$A:$AU,MATCH($C$1,Database!$A$1:$AU$1,),)))))</f>
        <v/>
      </c>
      <c r="D26" s="13">
        <f>IF(VLOOKUP(B26,Database!$A:$AV,MATCH($D$1,Database!$A$1:$AV$1,),)=0,"#N/A",((((VLOOKUP(B26,Database!$A:$AS,MATCH($D$1,Database!$A$1:$AS$1,),))))-(((VLOOKUP(EDATE(B26,-12),Database!$A:$AS,MATCH($D$1,Database!$A$1:$AS$1,),)))))/(((VLOOKUP(EDATE(B26,-12),Database!$A:$AS,MATCH($D$1,Database!$A$1:$AS$1,),)))))</f>
        <v/>
      </c>
      <c r="E26" s="13">
        <f>IF(VLOOKUP(B26,Database!$A:$AV,MATCH($E$1,Database!$A$1:$AV$1,),)=0,"#N/A",((((VLOOKUP(B26,Database!$A:$AS,MATCH($E$1,Database!$A$1:$AS$1,),))))-(((VLOOKUP(EDATE(B26,-12),Database!$A:$AS,MATCH($E$1,Database!$A$1:$AS$1,),)))))/(((VLOOKUP(EDATE(B26,-12),Database!$A:$AS,MATCH($E$1,Database!$A$1:$AS$1,),)))))</f>
        <v/>
      </c>
      <c r="F26" s="13">
        <f>IF(VLOOKUP(B26,Database!$A:$AV,MATCH($F$1,Database!$A$1:$AV$1,),)=0,"#N/A",((((VLOOKUP(B26,Database!$A:$AS,MATCH($F$1,Database!$A$1:$AS$1,),))))-(((VLOOKUP(EDATE(B26,-12),Database!$A:$AS,MATCH($F$1,Database!$A$1:$AS$1,),)))))/(((VLOOKUP(EDATE(B26,-12),Database!$A:$AS,MATCH($F$1,Database!$A$1:$AS$1,),)))))</f>
        <v/>
      </c>
      <c r="G26" s="13">
        <f>IF(VLOOKUP(B26,Database!$A:$AV,MATCH($G$1,Database!$A$1:$AV$1,),)=0,"#N/A",((((VLOOKUP(B26,Database!$A:$AS,MATCH($G$1,Database!$A$1:$AS$1,),))))-(((VLOOKUP(EDATE(B26,-12),Database!$A:$AS,MATCH($G$1,Database!$A$1:$AS$1,),)))))/(((VLOOKUP(EDATE(B26,-12),Database!$A:$AS,MATCH($G$1,Database!$A$1:$AS$1,),)))))</f>
        <v/>
      </c>
      <c r="H26" s="13">
        <f>IF(VLOOKUP(B26,Database!$A:$AV,MATCH($H$1,Database!$A$1:$AV$1,),)=0,"#N/A",((((VLOOKUP(B26,Database!$A:$AS,MATCH($H$1,Database!$A$1:$AS$1,),))))-(((VLOOKUP(EDATE(B26,-12),Database!$A:$AS,MATCH($H$1,Database!$A$1:$AS$1,),)))))/(((VLOOKUP(EDATE(B26,-12),Database!$A:$AS,MATCH($H$1,Database!$A$1:$AS$1,),)))))</f>
        <v/>
      </c>
      <c r="I26" s="13">
        <f>IF(VLOOKUP(B26,Database!$A:$AV,MATCH($I$1,Database!$A$1:$AV$1,),)=0,"#N/A",((((VLOOKUP(B26,Database!$A:$AS,MATCH($I$1,Database!$A$1:$AS$1,),))))-(((VLOOKUP(EDATE(B26,-12),Database!$A:$AS,MATCH($I$1,Database!$A$1:$AS$1,),)))))/(((VLOOKUP(EDATE(B26,-12),Database!$A:$AS,MATCH($I$1,Database!$A$1:$AS$1,),)))))</f>
        <v/>
      </c>
      <c r="J26" s="13">
        <f>IF(VLOOKUP(B26,Database!$A:$AV,MATCH($J$1,Database!$A$1:$AV$1,),)=0,"#N/A",((((VLOOKUP(B26,Database!$A:$AS,MATCH($J$1,Database!$A$1:$AS$1,),))))-(((VLOOKUP(EDATE(B26,-12),Database!$A:$AS,MATCH($J$1,Database!$A$1:$AS$1,),)))))/(((VLOOKUP(EDATE(B26,-12),Database!$A:$AS,MATCH($J$1,Database!$A$1:$AS$1,),)))))</f>
        <v/>
      </c>
      <c r="K26" s="13">
        <f>IF(VLOOKUP(B26,Database!$A:$AV,MATCH($K$1,Database!$A$1:$AV$1,),)=0,"#N/A",((((VLOOKUP(B26,Database!$A:$AS,MATCH($K$1,Database!$A$1:$AS$1,),))))-(((VLOOKUP(EDATE(B26,-12),Database!$A:$AS,MATCH($K$1,Database!$A$1:$AS$1,),)))))/(((VLOOKUP(EDATE(B26,-12),Database!$A:$AS,MATCH($K$1,Database!$A$1:$AS$1,),)))))</f>
        <v/>
      </c>
      <c r="L26" s="13">
        <f>((((VLOOKUP(B26,Database!$A:$AS,MATCH($L$1,Database!$A$1:$AS$1,),))))-(((VLOOKUP(EDATE(B26,-12),Database!$A:$AS,MATCH($L$1,Database!$A$1:$AS$1,),)))))/(((VLOOKUP(EDATE(B26,-12),Database!$A:$AS,MATCH($L$1,Database!$A$1:$AS$1,),))))</f>
        <v/>
      </c>
      <c r="M26" s="13">
        <f>((((VLOOKUP(B26,Database!$A:$AS,MATCH($M$1,Database!$A$1:$AS$1,),))))-(((VLOOKUP(EDATE(B26,-12),Database!$A:$AS,MATCH($M$1,Database!$A$1:$AS$1,),)))))/(((VLOOKUP(EDATE(B26,-12),Database!$A:$AS,MATCH($M$1,Database!$A$1:$AS$1,),))))</f>
        <v/>
      </c>
      <c r="N26" s="13">
        <f>((((VLOOKUP(B26,Database!$A:$AS,MATCH($N$1,Database!$A$1:$AS$1,),))))-(((VLOOKUP(EDATE(B26,-12),Database!$A:$AS,MATCH($N$1,Database!$A$1:$AS$1,),)))))/(((VLOOKUP(EDATE(B26,-12),Database!$A:$AS,MATCH($N$1,Database!$A$1:$AS$1,),))))</f>
        <v/>
      </c>
      <c r="O26" s="13">
        <f>IF(VLOOKUP(B26,Database!$A:$AV,MATCH($O$1,Database!$A$1:$AV$1,),)=0,"#N/A",((((VLOOKUP(B26,Database!$A:$AS,MATCH($O$1,Database!$A$1:$AS$1,),))))-(((VLOOKUP(EDATE(B26,-12),Database!$A:$AS,MATCH($O$1,Database!$A$1:$AS$1,),)))))/(((VLOOKUP(EDATE(B26,-12),Database!$A:$AS,MATCH($O$1,Database!$A$1:$AS$1,),)))))</f>
        <v/>
      </c>
      <c r="P26" s="13">
        <f>IF(VLOOKUP(B26,Database!$A:$AV,MATCH($P$1,Database!$A$1:$AV$1,),)=0,"#N/A",((((VLOOKUP(B26,Database!$A:$AS,MATCH($P$1,Database!$A$1:$AS$1,),))))-(((VLOOKUP(EDATE(B26,-12),Database!$A:$AS,MATCH($P$1,Database!$A$1:$AS$1,),)))))/(((VLOOKUP(EDATE(B26,-12),Database!$A:$AS,MATCH($P$1,Database!$A$1:$AS$1,),)))))</f>
        <v/>
      </c>
      <c r="Q26" s="13">
        <f>IF(VLOOKUP(B26,Database!$A:$AV,MATCH($Q$1,Database!$A$1:$AV$1,),)=0,"#N/A",((((VLOOKUP(B26,Database!$A:$AS,MATCH($Q$1,Database!$A$1:$AS$1,),))))-(((VLOOKUP(EDATE(B26,-12),Database!$A:$AS,MATCH($Q$1,Database!$A$1:$AS$1,),)))))/(((VLOOKUP(EDATE(B26,-12),Database!$A:$AS,MATCH($Q$1,Database!$A$1:$AS$1,),)))))</f>
        <v/>
      </c>
      <c r="R26" s="13">
        <f>IF(VLOOKUP(B26,Database!$A:$AV,MATCH($R$1,Database!$A$1:$AV$1,),)=0,"#N/A",((((VLOOKUP(B26,Database!$A:$AS,MATCH($R$1,Database!$A$1:$AS$1,),))))-(((VLOOKUP(EDATE(B26,-12),Database!$A:$AS,MATCH($R$1,Database!$A$1:$AS$1,),)))))/(((VLOOKUP(EDATE(B26,-12),Database!$A:$AS,MATCH($R$1,Database!$A$1:$AS$1,),)))))</f>
        <v/>
      </c>
      <c r="S26" s="13">
        <f>IF(VLOOKUP(B26,Database!$A:$AV,MATCH($S$1,Database!$A$1:$AV$1,),)=0,"#N/A",((((VLOOKUP(B26,Database!$A:$AS,MATCH($S$1,Database!$A$1:$AS$1,),))))-(((VLOOKUP(EDATE(B26,-12),Database!$A:$AS,MATCH($S$1,Database!$A$1:$AS$1,),)))))/(((VLOOKUP(EDATE(B26,-12),Database!$A:$AS,MATCH($S$1,Database!$A$1:$AS$1,),)))))</f>
        <v/>
      </c>
      <c r="T26" s="13">
        <f>IF(VLOOKUP(B26,Database!$A:$AV,MATCH($T$1,Database!$A$1:$AV$1,),)=0,"#N/A",((((VLOOKUP(B26,Database!$A:$AS,MATCH($T$1,Database!$A$1:$AS$1,),))))-(((VLOOKUP(EDATE(B26,-12),Database!$A:$AS,MATCH($T$1,Database!$A$1:$AS$1,),)))))/(((VLOOKUP(EDATE(B26,-12),Database!$A:$AS,MATCH($T$1,Database!$A$1:$AS$1,),)))))</f>
        <v/>
      </c>
      <c r="U26" s="13">
        <f>IF(VLOOKUP(B26,Database!$A:$AV,MATCH($U$1,Database!$A$1:$AV$1,),)=0,"#N/A",((((VLOOKUP(B26,Database!$A:$AS,MATCH($U$1,Database!$A$1:$AS$1,),))))-(((VLOOKUP(EDATE(B26,-12),Database!$A:$AS,MATCH($U$1,Database!$A$1:$AS$1,),)))))/(((VLOOKUP(EDATE(B26,-12),Database!$A:$AS,MATCH($U$1,Database!$A$1:$AS$1,),)))))</f>
        <v/>
      </c>
      <c r="V26" s="13">
        <f>IF(VLOOKUP(B26,Database!$A:$AV,MATCH($V$1,Database!$A$1:$AV$1,),)=0,"#N/A",((((VLOOKUP(B26,Database!$A:$AS,MATCH($V$1,Database!$A$1:$AS$1,),))))-(((VLOOKUP(EDATE(B26,-12),Database!$A:$AS,MATCH($V$1,Database!$A$1:$AS$1,),)))))/(((VLOOKUP(EDATE(B26,-12),Database!$A:$AS,MATCH($V$1,Database!$A$1:$AS$1,),)))))</f>
        <v/>
      </c>
    </row>
    <row r="27" customFormat="1" s="86">
      <c r="A27" s="43" t="n"/>
      <c r="B27" s="75" t="n">
        <v>32964</v>
      </c>
      <c r="C27" s="13">
        <f>IF(VLOOKUP(B27,Database!$A:$AU,MATCH($C$1,Database!$A$1:$AU$1,),)=0,"#N/A",((((VLOOKUP(B27,Database!$A:$AU,MATCH($C$1,Database!$A$1:$AU$1,),))))-(((VLOOKUP(EDATE(B27,-12),Database!$A:$AU,MATCH($C$1,Database!$A$1:$AU$1,),)))))/(((VLOOKUP(EDATE(B27,-12),Database!$A:$AU,MATCH($C$1,Database!$A$1:$AU$1,),)))))</f>
        <v/>
      </c>
      <c r="D27" s="13">
        <f>IF(VLOOKUP(B27,Database!$A:$AV,MATCH($D$1,Database!$A$1:$AV$1,),)=0,"#N/A",((((VLOOKUP(B27,Database!$A:$AS,MATCH($D$1,Database!$A$1:$AS$1,),))))-(((VLOOKUP(EDATE(B27,-12),Database!$A:$AS,MATCH($D$1,Database!$A$1:$AS$1,),)))))/(((VLOOKUP(EDATE(B27,-12),Database!$A:$AS,MATCH($D$1,Database!$A$1:$AS$1,),)))))</f>
        <v/>
      </c>
      <c r="E27" s="13">
        <f>IF(VLOOKUP(B27,Database!$A:$AV,MATCH($E$1,Database!$A$1:$AV$1,),)=0,"#N/A",((((VLOOKUP(B27,Database!$A:$AS,MATCH($E$1,Database!$A$1:$AS$1,),))))-(((VLOOKUP(EDATE(B27,-12),Database!$A:$AS,MATCH($E$1,Database!$A$1:$AS$1,),)))))/(((VLOOKUP(EDATE(B27,-12),Database!$A:$AS,MATCH($E$1,Database!$A$1:$AS$1,),)))))</f>
        <v/>
      </c>
      <c r="F27" s="13">
        <f>IF(VLOOKUP(B27,Database!$A:$AV,MATCH($F$1,Database!$A$1:$AV$1,),)=0,"#N/A",((((VLOOKUP(B27,Database!$A:$AS,MATCH($F$1,Database!$A$1:$AS$1,),))))-(((VLOOKUP(EDATE(B27,-12),Database!$A:$AS,MATCH($F$1,Database!$A$1:$AS$1,),)))))/(((VLOOKUP(EDATE(B27,-12),Database!$A:$AS,MATCH($F$1,Database!$A$1:$AS$1,),)))))</f>
        <v/>
      </c>
      <c r="G27" s="13">
        <f>IF(VLOOKUP(B27,Database!$A:$AV,MATCH($G$1,Database!$A$1:$AV$1,),)=0,"#N/A",((((VLOOKUP(B27,Database!$A:$AS,MATCH($G$1,Database!$A$1:$AS$1,),))))-(((VLOOKUP(EDATE(B27,-12),Database!$A:$AS,MATCH($G$1,Database!$A$1:$AS$1,),)))))/(((VLOOKUP(EDATE(B27,-12),Database!$A:$AS,MATCH($G$1,Database!$A$1:$AS$1,),)))))</f>
        <v/>
      </c>
      <c r="H27" s="13">
        <f>IF(VLOOKUP(B27,Database!$A:$AV,MATCH($H$1,Database!$A$1:$AV$1,),)=0,"#N/A",((((VLOOKUP(B27,Database!$A:$AS,MATCH($H$1,Database!$A$1:$AS$1,),))))-(((VLOOKUP(EDATE(B27,-12),Database!$A:$AS,MATCH($H$1,Database!$A$1:$AS$1,),)))))/(((VLOOKUP(EDATE(B27,-12),Database!$A:$AS,MATCH($H$1,Database!$A$1:$AS$1,),)))))</f>
        <v/>
      </c>
      <c r="I27" s="13">
        <f>IF(VLOOKUP(B27,Database!$A:$AV,MATCH($I$1,Database!$A$1:$AV$1,),)=0,"#N/A",((((VLOOKUP(B27,Database!$A:$AS,MATCH($I$1,Database!$A$1:$AS$1,),))))-(((VLOOKUP(EDATE(B27,-12),Database!$A:$AS,MATCH($I$1,Database!$A$1:$AS$1,),)))))/(((VLOOKUP(EDATE(B27,-12),Database!$A:$AS,MATCH($I$1,Database!$A$1:$AS$1,),)))))</f>
        <v/>
      </c>
      <c r="J27" s="13">
        <f>IF(VLOOKUP(B27,Database!$A:$AV,MATCH($J$1,Database!$A$1:$AV$1,),)=0,"#N/A",((((VLOOKUP(B27,Database!$A:$AS,MATCH($J$1,Database!$A$1:$AS$1,),))))-(((VLOOKUP(EDATE(B27,-12),Database!$A:$AS,MATCH($J$1,Database!$A$1:$AS$1,),)))))/(((VLOOKUP(EDATE(B27,-12),Database!$A:$AS,MATCH($J$1,Database!$A$1:$AS$1,),)))))</f>
        <v/>
      </c>
      <c r="K27" s="13">
        <f>IF(VLOOKUP(B27,Database!$A:$AV,MATCH($K$1,Database!$A$1:$AV$1,),)=0,"#N/A",((((VLOOKUP(B27,Database!$A:$AS,MATCH($K$1,Database!$A$1:$AS$1,),))))-(((VLOOKUP(EDATE(B27,-12),Database!$A:$AS,MATCH($K$1,Database!$A$1:$AS$1,),)))))/(((VLOOKUP(EDATE(B27,-12),Database!$A:$AS,MATCH($K$1,Database!$A$1:$AS$1,),)))))</f>
        <v/>
      </c>
      <c r="L27" s="13">
        <f>((((VLOOKUP(B27,Database!$A:$AS,MATCH($L$1,Database!$A$1:$AS$1,),))))-(((VLOOKUP(EDATE(B27,-12),Database!$A:$AS,MATCH($L$1,Database!$A$1:$AS$1,),)))))/(((VLOOKUP(EDATE(B27,-12),Database!$A:$AS,MATCH($L$1,Database!$A$1:$AS$1,),))))</f>
        <v/>
      </c>
      <c r="M27" s="13">
        <f>((((VLOOKUP(B27,Database!$A:$AS,MATCH($M$1,Database!$A$1:$AS$1,),))))-(((VLOOKUP(EDATE(B27,-12),Database!$A:$AS,MATCH($M$1,Database!$A$1:$AS$1,),)))))/(((VLOOKUP(EDATE(B27,-12),Database!$A:$AS,MATCH($M$1,Database!$A$1:$AS$1,),))))</f>
        <v/>
      </c>
      <c r="N27" s="13">
        <f>((((VLOOKUP(B27,Database!$A:$AS,MATCH($N$1,Database!$A$1:$AS$1,),))))-(((VLOOKUP(EDATE(B27,-12),Database!$A:$AS,MATCH($N$1,Database!$A$1:$AS$1,),)))))/(((VLOOKUP(EDATE(B27,-12),Database!$A:$AS,MATCH($N$1,Database!$A$1:$AS$1,),))))</f>
        <v/>
      </c>
      <c r="O27" s="13">
        <f>IF(VLOOKUP(B27,Database!$A:$AV,MATCH($O$1,Database!$A$1:$AV$1,),)=0,"#N/A",((((VLOOKUP(B27,Database!$A:$AS,MATCH($O$1,Database!$A$1:$AS$1,),))))-(((VLOOKUP(EDATE(B27,-12),Database!$A:$AS,MATCH($O$1,Database!$A$1:$AS$1,),)))))/(((VLOOKUP(EDATE(B27,-12),Database!$A:$AS,MATCH($O$1,Database!$A$1:$AS$1,),)))))</f>
        <v/>
      </c>
      <c r="P27" s="13">
        <f>IF(VLOOKUP(B27,Database!$A:$AV,MATCH($P$1,Database!$A$1:$AV$1,),)=0,"#N/A",((((VLOOKUP(B27,Database!$A:$AS,MATCH($P$1,Database!$A$1:$AS$1,),))))-(((VLOOKUP(EDATE(B27,-12),Database!$A:$AS,MATCH($P$1,Database!$A$1:$AS$1,),)))))/(((VLOOKUP(EDATE(B27,-12),Database!$A:$AS,MATCH($P$1,Database!$A$1:$AS$1,),)))))</f>
        <v/>
      </c>
      <c r="Q27" s="13">
        <f>IF(VLOOKUP(B27,Database!$A:$AV,MATCH($Q$1,Database!$A$1:$AV$1,),)=0,"#N/A",((((VLOOKUP(B27,Database!$A:$AS,MATCH($Q$1,Database!$A$1:$AS$1,),))))-(((VLOOKUP(EDATE(B27,-12),Database!$A:$AS,MATCH($Q$1,Database!$A$1:$AS$1,),)))))/(((VLOOKUP(EDATE(B27,-12),Database!$A:$AS,MATCH($Q$1,Database!$A$1:$AS$1,),)))))</f>
        <v/>
      </c>
      <c r="R27" s="13">
        <f>IF(VLOOKUP(B27,Database!$A:$AV,MATCH($R$1,Database!$A$1:$AV$1,),)=0,"#N/A",((((VLOOKUP(B27,Database!$A:$AS,MATCH($R$1,Database!$A$1:$AS$1,),))))-(((VLOOKUP(EDATE(B27,-12),Database!$A:$AS,MATCH($R$1,Database!$A$1:$AS$1,),)))))/(((VLOOKUP(EDATE(B27,-12),Database!$A:$AS,MATCH($R$1,Database!$A$1:$AS$1,),)))))</f>
        <v/>
      </c>
      <c r="S27" s="13">
        <f>IF(VLOOKUP(B27,Database!$A:$AV,MATCH($S$1,Database!$A$1:$AV$1,),)=0,"#N/A",((((VLOOKUP(B27,Database!$A:$AS,MATCH($S$1,Database!$A$1:$AS$1,),))))-(((VLOOKUP(EDATE(B27,-12),Database!$A:$AS,MATCH($S$1,Database!$A$1:$AS$1,),)))))/(((VLOOKUP(EDATE(B27,-12),Database!$A:$AS,MATCH($S$1,Database!$A$1:$AS$1,),)))))</f>
        <v/>
      </c>
      <c r="T27" s="13">
        <f>IF(VLOOKUP(B27,Database!$A:$AV,MATCH($T$1,Database!$A$1:$AV$1,),)=0,"#N/A",((((VLOOKUP(B27,Database!$A:$AS,MATCH($T$1,Database!$A$1:$AS$1,),))))-(((VLOOKUP(EDATE(B27,-12),Database!$A:$AS,MATCH($T$1,Database!$A$1:$AS$1,),)))))/(((VLOOKUP(EDATE(B27,-12),Database!$A:$AS,MATCH($T$1,Database!$A$1:$AS$1,),)))))</f>
        <v/>
      </c>
      <c r="U27" s="13">
        <f>IF(VLOOKUP(B27,Database!$A:$AV,MATCH($U$1,Database!$A$1:$AV$1,),)=0,"#N/A",((((VLOOKUP(B27,Database!$A:$AS,MATCH($U$1,Database!$A$1:$AS$1,),))))-(((VLOOKUP(EDATE(B27,-12),Database!$A:$AS,MATCH($U$1,Database!$A$1:$AS$1,),)))))/(((VLOOKUP(EDATE(B27,-12),Database!$A:$AS,MATCH($U$1,Database!$A$1:$AS$1,),)))))</f>
        <v/>
      </c>
      <c r="V27" s="13">
        <f>IF(VLOOKUP(B27,Database!$A:$AV,MATCH($V$1,Database!$A$1:$AV$1,),)=0,"#N/A",((((VLOOKUP(B27,Database!$A:$AS,MATCH($V$1,Database!$A$1:$AS$1,),))))-(((VLOOKUP(EDATE(B27,-12),Database!$A:$AS,MATCH($V$1,Database!$A$1:$AS$1,),)))))/(((VLOOKUP(EDATE(B27,-12),Database!$A:$AS,MATCH($V$1,Database!$A$1:$AS$1,),)))))</f>
        <v/>
      </c>
    </row>
    <row r="28" customFormat="1" s="86">
      <c r="A28" s="43" t="n"/>
      <c r="B28" s="75" t="n">
        <v>32994</v>
      </c>
      <c r="C28" s="13">
        <f>IF(VLOOKUP(B28,Database!$A:$AU,MATCH($C$1,Database!$A$1:$AU$1,),)=0,"#N/A",((((VLOOKUP(B28,Database!$A:$AU,MATCH($C$1,Database!$A$1:$AU$1,),))))-(((VLOOKUP(EDATE(B28,-12),Database!$A:$AU,MATCH($C$1,Database!$A$1:$AU$1,),)))))/(((VLOOKUP(EDATE(B28,-12),Database!$A:$AU,MATCH($C$1,Database!$A$1:$AU$1,),)))))</f>
        <v/>
      </c>
      <c r="D28" s="13">
        <f>IF(VLOOKUP(B28,Database!$A:$AV,MATCH($D$1,Database!$A$1:$AV$1,),)=0,"#N/A",((((VLOOKUP(B28,Database!$A:$AS,MATCH($D$1,Database!$A$1:$AS$1,),))))-(((VLOOKUP(EDATE(B28,-12),Database!$A:$AS,MATCH($D$1,Database!$A$1:$AS$1,),)))))/(((VLOOKUP(EDATE(B28,-12),Database!$A:$AS,MATCH($D$1,Database!$A$1:$AS$1,),)))))</f>
        <v/>
      </c>
      <c r="E28" s="13">
        <f>IF(VLOOKUP(B28,Database!$A:$AV,MATCH($E$1,Database!$A$1:$AV$1,),)=0,"#N/A",((((VLOOKUP(B28,Database!$A:$AS,MATCH($E$1,Database!$A$1:$AS$1,),))))-(((VLOOKUP(EDATE(B28,-12),Database!$A:$AS,MATCH($E$1,Database!$A$1:$AS$1,),)))))/(((VLOOKUP(EDATE(B28,-12),Database!$A:$AS,MATCH($E$1,Database!$A$1:$AS$1,),)))))</f>
        <v/>
      </c>
      <c r="F28" s="13">
        <f>IF(VLOOKUP(B28,Database!$A:$AV,MATCH($F$1,Database!$A$1:$AV$1,),)=0,"#N/A",((((VLOOKUP(B28,Database!$A:$AS,MATCH($F$1,Database!$A$1:$AS$1,),))))-(((VLOOKUP(EDATE(B28,-12),Database!$A:$AS,MATCH($F$1,Database!$A$1:$AS$1,),)))))/(((VLOOKUP(EDATE(B28,-12),Database!$A:$AS,MATCH($F$1,Database!$A$1:$AS$1,),)))))</f>
        <v/>
      </c>
      <c r="G28" s="13">
        <f>IF(VLOOKUP(B28,Database!$A:$AV,MATCH($G$1,Database!$A$1:$AV$1,),)=0,"#N/A",((((VLOOKUP(B28,Database!$A:$AS,MATCH($G$1,Database!$A$1:$AS$1,),))))-(((VLOOKUP(EDATE(B28,-12),Database!$A:$AS,MATCH($G$1,Database!$A$1:$AS$1,),)))))/(((VLOOKUP(EDATE(B28,-12),Database!$A:$AS,MATCH($G$1,Database!$A$1:$AS$1,),)))))</f>
        <v/>
      </c>
      <c r="H28" s="13">
        <f>IF(VLOOKUP(B28,Database!$A:$AV,MATCH($H$1,Database!$A$1:$AV$1,),)=0,"#N/A",((((VLOOKUP(B28,Database!$A:$AS,MATCH($H$1,Database!$A$1:$AS$1,),))))-(((VLOOKUP(EDATE(B28,-12),Database!$A:$AS,MATCH($H$1,Database!$A$1:$AS$1,),)))))/(((VLOOKUP(EDATE(B28,-12),Database!$A:$AS,MATCH($H$1,Database!$A$1:$AS$1,),)))))</f>
        <v/>
      </c>
      <c r="I28" s="13">
        <f>IF(VLOOKUP(B28,Database!$A:$AV,MATCH($I$1,Database!$A$1:$AV$1,),)=0,"#N/A",((((VLOOKUP(B28,Database!$A:$AS,MATCH($I$1,Database!$A$1:$AS$1,),))))-(((VLOOKUP(EDATE(B28,-12),Database!$A:$AS,MATCH($I$1,Database!$A$1:$AS$1,),)))))/(((VLOOKUP(EDATE(B28,-12),Database!$A:$AS,MATCH($I$1,Database!$A$1:$AS$1,),)))))</f>
        <v/>
      </c>
      <c r="J28" s="13">
        <f>IF(VLOOKUP(B28,Database!$A:$AV,MATCH($J$1,Database!$A$1:$AV$1,),)=0,"#N/A",((((VLOOKUP(B28,Database!$A:$AS,MATCH($J$1,Database!$A$1:$AS$1,),))))-(((VLOOKUP(EDATE(B28,-12),Database!$A:$AS,MATCH($J$1,Database!$A$1:$AS$1,),)))))/(((VLOOKUP(EDATE(B28,-12),Database!$A:$AS,MATCH($J$1,Database!$A$1:$AS$1,),)))))</f>
        <v/>
      </c>
      <c r="K28" s="13">
        <f>IF(VLOOKUP(B28,Database!$A:$AV,MATCH($K$1,Database!$A$1:$AV$1,),)=0,"#N/A",((((VLOOKUP(B28,Database!$A:$AS,MATCH($K$1,Database!$A$1:$AS$1,),))))-(((VLOOKUP(EDATE(B28,-12),Database!$A:$AS,MATCH($K$1,Database!$A$1:$AS$1,),)))))/(((VLOOKUP(EDATE(B28,-12),Database!$A:$AS,MATCH($K$1,Database!$A$1:$AS$1,),)))))</f>
        <v/>
      </c>
      <c r="L28" s="13">
        <f>((((VLOOKUP(B28,Database!$A:$AS,MATCH($L$1,Database!$A$1:$AS$1,),))))-(((VLOOKUP(EDATE(B28,-12),Database!$A:$AS,MATCH($L$1,Database!$A$1:$AS$1,),)))))/(((VLOOKUP(EDATE(B28,-12),Database!$A:$AS,MATCH($L$1,Database!$A$1:$AS$1,),))))</f>
        <v/>
      </c>
      <c r="M28" s="13">
        <f>((((VLOOKUP(B28,Database!$A:$AS,MATCH($M$1,Database!$A$1:$AS$1,),))))-(((VLOOKUP(EDATE(B28,-12),Database!$A:$AS,MATCH($M$1,Database!$A$1:$AS$1,),)))))/(((VLOOKUP(EDATE(B28,-12),Database!$A:$AS,MATCH($M$1,Database!$A$1:$AS$1,),))))</f>
        <v/>
      </c>
      <c r="N28" s="13">
        <f>((((VLOOKUP(B28,Database!$A:$AS,MATCH($N$1,Database!$A$1:$AS$1,),))))-(((VLOOKUP(EDATE(B28,-12),Database!$A:$AS,MATCH($N$1,Database!$A$1:$AS$1,),)))))/(((VLOOKUP(EDATE(B28,-12),Database!$A:$AS,MATCH($N$1,Database!$A$1:$AS$1,),))))</f>
        <v/>
      </c>
      <c r="O28" s="13">
        <f>IF(VLOOKUP(B28,Database!$A:$AV,MATCH($O$1,Database!$A$1:$AV$1,),)=0,"#N/A",((((VLOOKUP(B28,Database!$A:$AS,MATCH($O$1,Database!$A$1:$AS$1,),))))-(((VLOOKUP(EDATE(B28,-12),Database!$A:$AS,MATCH($O$1,Database!$A$1:$AS$1,),)))))/(((VLOOKUP(EDATE(B28,-12),Database!$A:$AS,MATCH($O$1,Database!$A$1:$AS$1,),)))))</f>
        <v/>
      </c>
      <c r="P28" s="13">
        <f>IF(VLOOKUP(B28,Database!$A:$AV,MATCH($P$1,Database!$A$1:$AV$1,),)=0,"#N/A",((((VLOOKUP(B28,Database!$A:$AS,MATCH($P$1,Database!$A$1:$AS$1,),))))-(((VLOOKUP(EDATE(B28,-12),Database!$A:$AS,MATCH($P$1,Database!$A$1:$AS$1,),)))))/(((VLOOKUP(EDATE(B28,-12),Database!$A:$AS,MATCH($P$1,Database!$A$1:$AS$1,),)))))</f>
        <v/>
      </c>
      <c r="Q28" s="13">
        <f>IF(VLOOKUP(B28,Database!$A:$AV,MATCH($Q$1,Database!$A$1:$AV$1,),)=0,"#N/A",((((VLOOKUP(B28,Database!$A:$AS,MATCH($Q$1,Database!$A$1:$AS$1,),))))-(((VLOOKUP(EDATE(B28,-12),Database!$A:$AS,MATCH($Q$1,Database!$A$1:$AS$1,),)))))/(((VLOOKUP(EDATE(B28,-12),Database!$A:$AS,MATCH($Q$1,Database!$A$1:$AS$1,),)))))</f>
        <v/>
      </c>
      <c r="R28" s="13">
        <f>IF(VLOOKUP(B28,Database!$A:$AV,MATCH($R$1,Database!$A$1:$AV$1,),)=0,"#N/A",((((VLOOKUP(B28,Database!$A:$AS,MATCH($R$1,Database!$A$1:$AS$1,),))))-(((VLOOKUP(EDATE(B28,-12),Database!$A:$AS,MATCH($R$1,Database!$A$1:$AS$1,),)))))/(((VLOOKUP(EDATE(B28,-12),Database!$A:$AS,MATCH($R$1,Database!$A$1:$AS$1,),)))))</f>
        <v/>
      </c>
      <c r="S28" s="13">
        <f>IF(VLOOKUP(B28,Database!$A:$AV,MATCH($S$1,Database!$A$1:$AV$1,),)=0,"#N/A",((((VLOOKUP(B28,Database!$A:$AS,MATCH($S$1,Database!$A$1:$AS$1,),))))-(((VLOOKUP(EDATE(B28,-12),Database!$A:$AS,MATCH($S$1,Database!$A$1:$AS$1,),)))))/(((VLOOKUP(EDATE(B28,-12),Database!$A:$AS,MATCH($S$1,Database!$A$1:$AS$1,),)))))</f>
        <v/>
      </c>
      <c r="T28" s="13">
        <f>IF(VLOOKUP(B28,Database!$A:$AV,MATCH($T$1,Database!$A$1:$AV$1,),)=0,"#N/A",((((VLOOKUP(B28,Database!$A:$AS,MATCH($T$1,Database!$A$1:$AS$1,),))))-(((VLOOKUP(EDATE(B28,-12),Database!$A:$AS,MATCH($T$1,Database!$A$1:$AS$1,),)))))/(((VLOOKUP(EDATE(B28,-12),Database!$A:$AS,MATCH($T$1,Database!$A$1:$AS$1,),)))))</f>
        <v/>
      </c>
      <c r="U28" s="13">
        <f>IF(VLOOKUP(B28,Database!$A:$AV,MATCH($U$1,Database!$A$1:$AV$1,),)=0,"#N/A",((((VLOOKUP(B28,Database!$A:$AS,MATCH($U$1,Database!$A$1:$AS$1,),))))-(((VLOOKUP(EDATE(B28,-12),Database!$A:$AS,MATCH($U$1,Database!$A$1:$AS$1,),)))))/(((VLOOKUP(EDATE(B28,-12),Database!$A:$AS,MATCH($U$1,Database!$A$1:$AS$1,),)))))</f>
        <v/>
      </c>
      <c r="V28" s="13">
        <f>IF(VLOOKUP(B28,Database!$A:$AV,MATCH($V$1,Database!$A$1:$AV$1,),)=0,"#N/A",((((VLOOKUP(B28,Database!$A:$AS,MATCH($V$1,Database!$A$1:$AS$1,),))))-(((VLOOKUP(EDATE(B28,-12),Database!$A:$AS,MATCH($V$1,Database!$A$1:$AS$1,),)))))/(((VLOOKUP(EDATE(B28,-12),Database!$A:$AS,MATCH($V$1,Database!$A$1:$AS$1,),)))))</f>
        <v/>
      </c>
    </row>
    <row r="29" customFormat="1" s="86">
      <c r="A29" s="43" t="n"/>
      <c r="B29" s="75" t="n">
        <v>33025</v>
      </c>
      <c r="C29" s="13">
        <f>IF(VLOOKUP(B29,Database!$A:$AU,MATCH($C$1,Database!$A$1:$AU$1,),)=0,"#N/A",((((VLOOKUP(B29,Database!$A:$AU,MATCH($C$1,Database!$A$1:$AU$1,),))))-(((VLOOKUP(EDATE(B29,-12),Database!$A:$AU,MATCH($C$1,Database!$A$1:$AU$1,),)))))/(((VLOOKUP(EDATE(B29,-12),Database!$A:$AU,MATCH($C$1,Database!$A$1:$AU$1,),)))))</f>
        <v/>
      </c>
      <c r="D29" s="13">
        <f>IF(VLOOKUP(B29,Database!$A:$AV,MATCH($D$1,Database!$A$1:$AV$1,),)=0,"#N/A",((((VLOOKUP(B29,Database!$A:$AS,MATCH($D$1,Database!$A$1:$AS$1,),))))-(((VLOOKUP(EDATE(B29,-12),Database!$A:$AS,MATCH($D$1,Database!$A$1:$AS$1,),)))))/(((VLOOKUP(EDATE(B29,-12),Database!$A:$AS,MATCH($D$1,Database!$A$1:$AS$1,),)))))</f>
        <v/>
      </c>
      <c r="E29" s="13">
        <f>IF(VLOOKUP(B29,Database!$A:$AV,MATCH($E$1,Database!$A$1:$AV$1,),)=0,"#N/A",((((VLOOKUP(B29,Database!$A:$AS,MATCH($E$1,Database!$A$1:$AS$1,),))))-(((VLOOKUP(EDATE(B29,-12),Database!$A:$AS,MATCH($E$1,Database!$A$1:$AS$1,),)))))/(((VLOOKUP(EDATE(B29,-12),Database!$A:$AS,MATCH($E$1,Database!$A$1:$AS$1,),)))))</f>
        <v/>
      </c>
      <c r="F29" s="13">
        <f>IF(VLOOKUP(B29,Database!$A:$AV,MATCH($F$1,Database!$A$1:$AV$1,),)=0,"#N/A",((((VLOOKUP(B29,Database!$A:$AS,MATCH($F$1,Database!$A$1:$AS$1,),))))-(((VLOOKUP(EDATE(B29,-12),Database!$A:$AS,MATCH($F$1,Database!$A$1:$AS$1,),)))))/(((VLOOKUP(EDATE(B29,-12),Database!$A:$AS,MATCH($F$1,Database!$A$1:$AS$1,),)))))</f>
        <v/>
      </c>
      <c r="G29" s="13">
        <f>IF(VLOOKUP(B29,Database!$A:$AV,MATCH($G$1,Database!$A$1:$AV$1,),)=0,"#N/A",((((VLOOKUP(B29,Database!$A:$AS,MATCH($G$1,Database!$A$1:$AS$1,),))))-(((VLOOKUP(EDATE(B29,-12),Database!$A:$AS,MATCH($G$1,Database!$A$1:$AS$1,),)))))/(((VLOOKUP(EDATE(B29,-12),Database!$A:$AS,MATCH($G$1,Database!$A$1:$AS$1,),)))))</f>
        <v/>
      </c>
      <c r="H29" s="13">
        <f>IF(VLOOKUP(B29,Database!$A:$AV,MATCH($H$1,Database!$A$1:$AV$1,),)=0,"#N/A",((((VLOOKUP(B29,Database!$A:$AS,MATCH($H$1,Database!$A$1:$AS$1,),))))-(((VLOOKUP(EDATE(B29,-12),Database!$A:$AS,MATCH($H$1,Database!$A$1:$AS$1,),)))))/(((VLOOKUP(EDATE(B29,-12),Database!$A:$AS,MATCH($H$1,Database!$A$1:$AS$1,),)))))</f>
        <v/>
      </c>
      <c r="I29" s="13">
        <f>IF(VLOOKUP(B29,Database!$A:$AV,MATCH($I$1,Database!$A$1:$AV$1,),)=0,"#N/A",((((VLOOKUP(B29,Database!$A:$AS,MATCH($I$1,Database!$A$1:$AS$1,),))))-(((VLOOKUP(EDATE(B29,-12),Database!$A:$AS,MATCH($I$1,Database!$A$1:$AS$1,),)))))/(((VLOOKUP(EDATE(B29,-12),Database!$A:$AS,MATCH($I$1,Database!$A$1:$AS$1,),)))))</f>
        <v/>
      </c>
      <c r="J29" s="13">
        <f>IF(VLOOKUP(B29,Database!$A:$AV,MATCH($J$1,Database!$A$1:$AV$1,),)=0,"#N/A",((((VLOOKUP(B29,Database!$A:$AS,MATCH($J$1,Database!$A$1:$AS$1,),))))-(((VLOOKUP(EDATE(B29,-12),Database!$A:$AS,MATCH($J$1,Database!$A$1:$AS$1,),)))))/(((VLOOKUP(EDATE(B29,-12),Database!$A:$AS,MATCH($J$1,Database!$A$1:$AS$1,),)))))</f>
        <v/>
      </c>
      <c r="K29" s="13">
        <f>IF(VLOOKUP(B29,Database!$A:$AV,MATCH($K$1,Database!$A$1:$AV$1,),)=0,"#N/A",((((VLOOKUP(B29,Database!$A:$AS,MATCH($K$1,Database!$A$1:$AS$1,),))))-(((VLOOKUP(EDATE(B29,-12),Database!$A:$AS,MATCH($K$1,Database!$A$1:$AS$1,),)))))/(((VLOOKUP(EDATE(B29,-12),Database!$A:$AS,MATCH($K$1,Database!$A$1:$AS$1,),)))))</f>
        <v/>
      </c>
      <c r="L29" s="13">
        <f>((((VLOOKUP(B29,Database!$A:$AS,MATCH($L$1,Database!$A$1:$AS$1,),))))-(((VLOOKUP(EDATE(B29,-12),Database!$A:$AS,MATCH($L$1,Database!$A$1:$AS$1,),)))))/(((VLOOKUP(EDATE(B29,-12),Database!$A:$AS,MATCH($L$1,Database!$A$1:$AS$1,),))))</f>
        <v/>
      </c>
      <c r="M29" s="13">
        <f>((((VLOOKUP(B29,Database!$A:$AS,MATCH($M$1,Database!$A$1:$AS$1,),))))-(((VLOOKUP(EDATE(B29,-12),Database!$A:$AS,MATCH($M$1,Database!$A$1:$AS$1,),)))))/(((VLOOKUP(EDATE(B29,-12),Database!$A:$AS,MATCH($M$1,Database!$A$1:$AS$1,),))))</f>
        <v/>
      </c>
      <c r="N29" s="13">
        <f>((((VLOOKUP(B29,Database!$A:$AS,MATCH($N$1,Database!$A$1:$AS$1,),))))-(((VLOOKUP(EDATE(B29,-12),Database!$A:$AS,MATCH($N$1,Database!$A$1:$AS$1,),)))))/(((VLOOKUP(EDATE(B29,-12),Database!$A:$AS,MATCH($N$1,Database!$A$1:$AS$1,),))))</f>
        <v/>
      </c>
      <c r="O29" s="13">
        <f>IF(VLOOKUP(B29,Database!$A:$AV,MATCH($O$1,Database!$A$1:$AV$1,),)=0,"#N/A",((((VLOOKUP(B29,Database!$A:$AS,MATCH($O$1,Database!$A$1:$AS$1,),))))-(((VLOOKUP(EDATE(B29,-12),Database!$A:$AS,MATCH($O$1,Database!$A$1:$AS$1,),)))))/(((VLOOKUP(EDATE(B29,-12),Database!$A:$AS,MATCH($O$1,Database!$A$1:$AS$1,),)))))</f>
        <v/>
      </c>
      <c r="P29" s="13">
        <f>IF(VLOOKUP(B29,Database!$A:$AV,MATCH($P$1,Database!$A$1:$AV$1,),)=0,"#N/A",((((VLOOKUP(B29,Database!$A:$AS,MATCH($P$1,Database!$A$1:$AS$1,),))))-(((VLOOKUP(EDATE(B29,-12),Database!$A:$AS,MATCH($P$1,Database!$A$1:$AS$1,),)))))/(((VLOOKUP(EDATE(B29,-12),Database!$A:$AS,MATCH($P$1,Database!$A$1:$AS$1,),)))))</f>
        <v/>
      </c>
      <c r="Q29" s="13">
        <f>IF(VLOOKUP(B29,Database!$A:$AV,MATCH($Q$1,Database!$A$1:$AV$1,),)=0,"#N/A",((((VLOOKUP(B29,Database!$A:$AS,MATCH($Q$1,Database!$A$1:$AS$1,),))))-(((VLOOKUP(EDATE(B29,-12),Database!$A:$AS,MATCH($Q$1,Database!$A$1:$AS$1,),)))))/(((VLOOKUP(EDATE(B29,-12),Database!$A:$AS,MATCH($Q$1,Database!$A$1:$AS$1,),)))))</f>
        <v/>
      </c>
      <c r="R29" s="13">
        <f>IF(VLOOKUP(B29,Database!$A:$AV,MATCH($R$1,Database!$A$1:$AV$1,),)=0,"#N/A",((((VLOOKUP(B29,Database!$A:$AS,MATCH($R$1,Database!$A$1:$AS$1,),))))-(((VLOOKUP(EDATE(B29,-12),Database!$A:$AS,MATCH($R$1,Database!$A$1:$AS$1,),)))))/(((VLOOKUP(EDATE(B29,-12),Database!$A:$AS,MATCH($R$1,Database!$A$1:$AS$1,),)))))</f>
        <v/>
      </c>
      <c r="S29" s="13">
        <f>IF(VLOOKUP(B29,Database!$A:$AV,MATCH($S$1,Database!$A$1:$AV$1,),)=0,"#N/A",((((VLOOKUP(B29,Database!$A:$AS,MATCH($S$1,Database!$A$1:$AS$1,),))))-(((VLOOKUP(EDATE(B29,-12),Database!$A:$AS,MATCH($S$1,Database!$A$1:$AS$1,),)))))/(((VLOOKUP(EDATE(B29,-12),Database!$A:$AS,MATCH($S$1,Database!$A$1:$AS$1,),)))))</f>
        <v/>
      </c>
      <c r="T29" s="13">
        <f>IF(VLOOKUP(B29,Database!$A:$AV,MATCH($T$1,Database!$A$1:$AV$1,),)=0,"#N/A",((((VLOOKUP(B29,Database!$A:$AS,MATCH($T$1,Database!$A$1:$AS$1,),))))-(((VLOOKUP(EDATE(B29,-12),Database!$A:$AS,MATCH($T$1,Database!$A$1:$AS$1,),)))))/(((VLOOKUP(EDATE(B29,-12),Database!$A:$AS,MATCH($T$1,Database!$A$1:$AS$1,),)))))</f>
        <v/>
      </c>
      <c r="U29" s="13">
        <f>IF(VLOOKUP(B29,Database!$A:$AV,MATCH($U$1,Database!$A$1:$AV$1,),)=0,"#N/A",((((VLOOKUP(B29,Database!$A:$AS,MATCH($U$1,Database!$A$1:$AS$1,),))))-(((VLOOKUP(EDATE(B29,-12),Database!$A:$AS,MATCH($U$1,Database!$A$1:$AS$1,),)))))/(((VLOOKUP(EDATE(B29,-12),Database!$A:$AS,MATCH($U$1,Database!$A$1:$AS$1,),)))))</f>
        <v/>
      </c>
      <c r="V29" s="13">
        <f>IF(VLOOKUP(B29,Database!$A:$AV,MATCH($V$1,Database!$A$1:$AV$1,),)=0,"#N/A",((((VLOOKUP(B29,Database!$A:$AS,MATCH($V$1,Database!$A$1:$AS$1,),))))-(((VLOOKUP(EDATE(B29,-12),Database!$A:$AS,MATCH($V$1,Database!$A$1:$AS$1,),)))))/(((VLOOKUP(EDATE(B29,-12),Database!$A:$AS,MATCH($V$1,Database!$A$1:$AS$1,),)))))</f>
        <v/>
      </c>
    </row>
    <row r="30" customFormat="1" s="86">
      <c r="A30" s="43" t="n"/>
      <c r="B30" s="75" t="n">
        <v>33055</v>
      </c>
      <c r="C30" s="13">
        <f>IF(VLOOKUP(B30,Database!$A:$AU,MATCH($C$1,Database!$A$1:$AU$1,),)=0,"#N/A",((((VLOOKUP(B30,Database!$A:$AU,MATCH($C$1,Database!$A$1:$AU$1,),))))-(((VLOOKUP(EDATE(B30,-12),Database!$A:$AU,MATCH($C$1,Database!$A$1:$AU$1,),)))))/(((VLOOKUP(EDATE(B30,-12),Database!$A:$AU,MATCH($C$1,Database!$A$1:$AU$1,),)))))</f>
        <v/>
      </c>
      <c r="D30" s="13">
        <f>IF(VLOOKUP(B30,Database!$A:$AV,MATCH($D$1,Database!$A$1:$AV$1,),)=0,"#N/A",((((VLOOKUP(B30,Database!$A:$AS,MATCH($D$1,Database!$A$1:$AS$1,),))))-(((VLOOKUP(EDATE(B30,-12),Database!$A:$AS,MATCH($D$1,Database!$A$1:$AS$1,),)))))/(((VLOOKUP(EDATE(B30,-12),Database!$A:$AS,MATCH($D$1,Database!$A$1:$AS$1,),)))))</f>
        <v/>
      </c>
      <c r="E30" s="13">
        <f>IF(VLOOKUP(B30,Database!$A:$AV,MATCH($E$1,Database!$A$1:$AV$1,),)=0,"#N/A",((((VLOOKUP(B30,Database!$A:$AS,MATCH($E$1,Database!$A$1:$AS$1,),))))-(((VLOOKUP(EDATE(B30,-12),Database!$A:$AS,MATCH($E$1,Database!$A$1:$AS$1,),)))))/(((VLOOKUP(EDATE(B30,-12),Database!$A:$AS,MATCH($E$1,Database!$A$1:$AS$1,),)))))</f>
        <v/>
      </c>
      <c r="F30" s="13">
        <f>IF(VLOOKUP(B30,Database!$A:$AV,MATCH($F$1,Database!$A$1:$AV$1,),)=0,"#N/A",((((VLOOKUP(B30,Database!$A:$AS,MATCH($F$1,Database!$A$1:$AS$1,),))))-(((VLOOKUP(EDATE(B30,-12),Database!$A:$AS,MATCH($F$1,Database!$A$1:$AS$1,),)))))/(((VLOOKUP(EDATE(B30,-12),Database!$A:$AS,MATCH($F$1,Database!$A$1:$AS$1,),)))))</f>
        <v/>
      </c>
      <c r="G30" s="13">
        <f>IF(VLOOKUP(B30,Database!$A:$AV,MATCH($G$1,Database!$A$1:$AV$1,),)=0,"#N/A",((((VLOOKUP(B30,Database!$A:$AS,MATCH($G$1,Database!$A$1:$AS$1,),))))-(((VLOOKUP(EDATE(B30,-12),Database!$A:$AS,MATCH($G$1,Database!$A$1:$AS$1,),)))))/(((VLOOKUP(EDATE(B30,-12),Database!$A:$AS,MATCH($G$1,Database!$A$1:$AS$1,),)))))</f>
        <v/>
      </c>
      <c r="H30" s="13">
        <f>IF(VLOOKUP(B30,Database!$A:$AV,MATCH($H$1,Database!$A$1:$AV$1,),)=0,"#N/A",((((VLOOKUP(B30,Database!$A:$AS,MATCH($H$1,Database!$A$1:$AS$1,),))))-(((VLOOKUP(EDATE(B30,-12),Database!$A:$AS,MATCH($H$1,Database!$A$1:$AS$1,),)))))/(((VLOOKUP(EDATE(B30,-12),Database!$A:$AS,MATCH($H$1,Database!$A$1:$AS$1,),)))))</f>
        <v/>
      </c>
      <c r="I30" s="13">
        <f>IF(VLOOKUP(B30,Database!$A:$AV,MATCH($I$1,Database!$A$1:$AV$1,),)=0,"#N/A",((((VLOOKUP(B30,Database!$A:$AS,MATCH($I$1,Database!$A$1:$AS$1,),))))-(((VLOOKUP(EDATE(B30,-12),Database!$A:$AS,MATCH($I$1,Database!$A$1:$AS$1,),)))))/(((VLOOKUP(EDATE(B30,-12),Database!$A:$AS,MATCH($I$1,Database!$A$1:$AS$1,),)))))</f>
        <v/>
      </c>
      <c r="J30" s="13">
        <f>IF(VLOOKUP(B30,Database!$A:$AV,MATCH($J$1,Database!$A$1:$AV$1,),)=0,"#N/A",((((VLOOKUP(B30,Database!$A:$AS,MATCH($J$1,Database!$A$1:$AS$1,),))))-(((VLOOKUP(EDATE(B30,-12),Database!$A:$AS,MATCH($J$1,Database!$A$1:$AS$1,),)))))/(((VLOOKUP(EDATE(B30,-12),Database!$A:$AS,MATCH($J$1,Database!$A$1:$AS$1,),)))))</f>
        <v/>
      </c>
      <c r="K30" s="13">
        <f>IF(VLOOKUP(B30,Database!$A:$AV,MATCH($K$1,Database!$A$1:$AV$1,),)=0,"#N/A",((((VLOOKUP(B30,Database!$A:$AS,MATCH($K$1,Database!$A$1:$AS$1,),))))-(((VLOOKUP(EDATE(B30,-12),Database!$A:$AS,MATCH($K$1,Database!$A$1:$AS$1,),)))))/(((VLOOKUP(EDATE(B30,-12),Database!$A:$AS,MATCH($K$1,Database!$A$1:$AS$1,),)))))</f>
        <v/>
      </c>
      <c r="L30" s="13">
        <f>((((VLOOKUP(B30,Database!$A:$AS,MATCH($L$1,Database!$A$1:$AS$1,),))))-(((VLOOKUP(EDATE(B30,-12),Database!$A:$AS,MATCH($L$1,Database!$A$1:$AS$1,),)))))/(((VLOOKUP(EDATE(B30,-12),Database!$A:$AS,MATCH($L$1,Database!$A$1:$AS$1,),))))</f>
        <v/>
      </c>
      <c r="M30" s="13">
        <f>((((VLOOKUP(B30,Database!$A:$AS,MATCH($M$1,Database!$A$1:$AS$1,),))))-(((VLOOKUP(EDATE(B30,-12),Database!$A:$AS,MATCH($M$1,Database!$A$1:$AS$1,),)))))/(((VLOOKUP(EDATE(B30,-12),Database!$A:$AS,MATCH($M$1,Database!$A$1:$AS$1,),))))</f>
        <v/>
      </c>
      <c r="N30" s="13">
        <f>((((VLOOKUP(B30,Database!$A:$AS,MATCH($N$1,Database!$A$1:$AS$1,),))))-(((VLOOKUP(EDATE(B30,-12),Database!$A:$AS,MATCH($N$1,Database!$A$1:$AS$1,),)))))/(((VLOOKUP(EDATE(B30,-12),Database!$A:$AS,MATCH($N$1,Database!$A$1:$AS$1,),))))</f>
        <v/>
      </c>
      <c r="O30" s="13">
        <f>IF(VLOOKUP(B30,Database!$A:$AV,MATCH($O$1,Database!$A$1:$AV$1,),)=0,"#N/A",((((VLOOKUP(B30,Database!$A:$AS,MATCH($O$1,Database!$A$1:$AS$1,),))))-(((VLOOKUP(EDATE(B30,-12),Database!$A:$AS,MATCH($O$1,Database!$A$1:$AS$1,),)))))/(((VLOOKUP(EDATE(B30,-12),Database!$A:$AS,MATCH($O$1,Database!$A$1:$AS$1,),)))))</f>
        <v/>
      </c>
      <c r="P30" s="13">
        <f>IF(VLOOKUP(B30,Database!$A:$AV,MATCH($P$1,Database!$A$1:$AV$1,),)=0,"#N/A",((((VLOOKUP(B30,Database!$A:$AS,MATCH($P$1,Database!$A$1:$AS$1,),))))-(((VLOOKUP(EDATE(B30,-12),Database!$A:$AS,MATCH($P$1,Database!$A$1:$AS$1,),)))))/(((VLOOKUP(EDATE(B30,-12),Database!$A:$AS,MATCH($P$1,Database!$A$1:$AS$1,),)))))</f>
        <v/>
      </c>
      <c r="Q30" s="13">
        <f>IF(VLOOKUP(B30,Database!$A:$AV,MATCH($Q$1,Database!$A$1:$AV$1,),)=0,"#N/A",((((VLOOKUP(B30,Database!$A:$AS,MATCH($Q$1,Database!$A$1:$AS$1,),))))-(((VLOOKUP(EDATE(B30,-12),Database!$A:$AS,MATCH($Q$1,Database!$A$1:$AS$1,),)))))/(((VLOOKUP(EDATE(B30,-12),Database!$A:$AS,MATCH($Q$1,Database!$A$1:$AS$1,),)))))</f>
        <v/>
      </c>
      <c r="R30" s="13">
        <f>IF(VLOOKUP(B30,Database!$A:$AV,MATCH($R$1,Database!$A$1:$AV$1,),)=0,"#N/A",((((VLOOKUP(B30,Database!$A:$AS,MATCH($R$1,Database!$A$1:$AS$1,),))))-(((VLOOKUP(EDATE(B30,-12),Database!$A:$AS,MATCH($R$1,Database!$A$1:$AS$1,),)))))/(((VLOOKUP(EDATE(B30,-12),Database!$A:$AS,MATCH($R$1,Database!$A$1:$AS$1,),)))))</f>
        <v/>
      </c>
      <c r="S30" s="13">
        <f>IF(VLOOKUP(B30,Database!$A:$AV,MATCH($S$1,Database!$A$1:$AV$1,),)=0,"#N/A",((((VLOOKUP(B30,Database!$A:$AS,MATCH($S$1,Database!$A$1:$AS$1,),))))-(((VLOOKUP(EDATE(B30,-12),Database!$A:$AS,MATCH($S$1,Database!$A$1:$AS$1,),)))))/(((VLOOKUP(EDATE(B30,-12),Database!$A:$AS,MATCH($S$1,Database!$A$1:$AS$1,),)))))</f>
        <v/>
      </c>
      <c r="T30" s="13">
        <f>IF(VLOOKUP(B30,Database!$A:$AV,MATCH($T$1,Database!$A$1:$AV$1,),)=0,"#N/A",((((VLOOKUP(B30,Database!$A:$AS,MATCH($T$1,Database!$A$1:$AS$1,),))))-(((VLOOKUP(EDATE(B30,-12),Database!$A:$AS,MATCH($T$1,Database!$A$1:$AS$1,),)))))/(((VLOOKUP(EDATE(B30,-12),Database!$A:$AS,MATCH($T$1,Database!$A$1:$AS$1,),)))))</f>
        <v/>
      </c>
      <c r="U30" s="13">
        <f>IF(VLOOKUP(B30,Database!$A:$AV,MATCH($U$1,Database!$A$1:$AV$1,),)=0,"#N/A",((((VLOOKUP(B30,Database!$A:$AS,MATCH($U$1,Database!$A$1:$AS$1,),))))-(((VLOOKUP(EDATE(B30,-12),Database!$A:$AS,MATCH($U$1,Database!$A$1:$AS$1,),)))))/(((VLOOKUP(EDATE(B30,-12),Database!$A:$AS,MATCH($U$1,Database!$A$1:$AS$1,),)))))</f>
        <v/>
      </c>
      <c r="V30" s="13">
        <f>IF(VLOOKUP(B30,Database!$A:$AV,MATCH($V$1,Database!$A$1:$AV$1,),)=0,"#N/A",((((VLOOKUP(B30,Database!$A:$AS,MATCH($V$1,Database!$A$1:$AS$1,),))))-(((VLOOKUP(EDATE(B30,-12),Database!$A:$AS,MATCH($V$1,Database!$A$1:$AS$1,),)))))/(((VLOOKUP(EDATE(B30,-12),Database!$A:$AS,MATCH($V$1,Database!$A$1:$AS$1,),)))))</f>
        <v/>
      </c>
    </row>
    <row r="31" customFormat="1" s="86">
      <c r="A31" s="43" t="n"/>
      <c r="B31" s="75" t="n">
        <v>33086</v>
      </c>
      <c r="C31" s="13">
        <f>IF(VLOOKUP(B31,Database!$A:$AU,MATCH($C$1,Database!$A$1:$AU$1,),)=0,"#N/A",((((VLOOKUP(B31,Database!$A:$AU,MATCH($C$1,Database!$A$1:$AU$1,),))))-(((VLOOKUP(EDATE(B31,-12),Database!$A:$AU,MATCH($C$1,Database!$A$1:$AU$1,),)))))/(((VLOOKUP(EDATE(B31,-12),Database!$A:$AU,MATCH($C$1,Database!$A$1:$AU$1,),)))))</f>
        <v/>
      </c>
      <c r="D31" s="13">
        <f>IF(VLOOKUP(B31,Database!$A:$AV,MATCH($D$1,Database!$A$1:$AV$1,),)=0,"#N/A",((((VLOOKUP(B31,Database!$A:$AS,MATCH($D$1,Database!$A$1:$AS$1,),))))-(((VLOOKUP(EDATE(B31,-12),Database!$A:$AS,MATCH($D$1,Database!$A$1:$AS$1,),)))))/(((VLOOKUP(EDATE(B31,-12),Database!$A:$AS,MATCH($D$1,Database!$A$1:$AS$1,),)))))</f>
        <v/>
      </c>
      <c r="E31" s="13">
        <f>IF(VLOOKUP(B31,Database!$A:$AV,MATCH($E$1,Database!$A$1:$AV$1,),)=0,"#N/A",((((VLOOKUP(B31,Database!$A:$AS,MATCH($E$1,Database!$A$1:$AS$1,),))))-(((VLOOKUP(EDATE(B31,-12),Database!$A:$AS,MATCH($E$1,Database!$A$1:$AS$1,),)))))/(((VLOOKUP(EDATE(B31,-12),Database!$A:$AS,MATCH($E$1,Database!$A$1:$AS$1,),)))))</f>
        <v/>
      </c>
      <c r="F31" s="13">
        <f>IF(VLOOKUP(B31,Database!$A:$AV,MATCH($F$1,Database!$A$1:$AV$1,),)=0,"#N/A",((((VLOOKUP(B31,Database!$A:$AS,MATCH($F$1,Database!$A$1:$AS$1,),))))-(((VLOOKUP(EDATE(B31,-12),Database!$A:$AS,MATCH($F$1,Database!$A$1:$AS$1,),)))))/(((VLOOKUP(EDATE(B31,-12),Database!$A:$AS,MATCH($F$1,Database!$A$1:$AS$1,),)))))</f>
        <v/>
      </c>
      <c r="G31" s="13">
        <f>IF(VLOOKUP(B31,Database!$A:$AV,MATCH($G$1,Database!$A$1:$AV$1,),)=0,"#N/A",((((VLOOKUP(B31,Database!$A:$AS,MATCH($G$1,Database!$A$1:$AS$1,),))))-(((VLOOKUP(EDATE(B31,-12),Database!$A:$AS,MATCH($G$1,Database!$A$1:$AS$1,),)))))/(((VLOOKUP(EDATE(B31,-12),Database!$A:$AS,MATCH($G$1,Database!$A$1:$AS$1,),)))))</f>
        <v/>
      </c>
      <c r="H31" s="13">
        <f>IF(VLOOKUP(B31,Database!$A:$AV,MATCH($H$1,Database!$A$1:$AV$1,),)=0,"#N/A",((((VLOOKUP(B31,Database!$A:$AS,MATCH($H$1,Database!$A$1:$AS$1,),))))-(((VLOOKUP(EDATE(B31,-12),Database!$A:$AS,MATCH($H$1,Database!$A$1:$AS$1,),)))))/(((VLOOKUP(EDATE(B31,-12),Database!$A:$AS,MATCH($H$1,Database!$A$1:$AS$1,),)))))</f>
        <v/>
      </c>
      <c r="I31" s="13">
        <f>IF(VLOOKUP(B31,Database!$A:$AV,MATCH($I$1,Database!$A$1:$AV$1,),)=0,"#N/A",((((VLOOKUP(B31,Database!$A:$AS,MATCH($I$1,Database!$A$1:$AS$1,),))))-(((VLOOKUP(EDATE(B31,-12),Database!$A:$AS,MATCH($I$1,Database!$A$1:$AS$1,),)))))/(((VLOOKUP(EDATE(B31,-12),Database!$A:$AS,MATCH($I$1,Database!$A$1:$AS$1,),)))))</f>
        <v/>
      </c>
      <c r="J31" s="13">
        <f>IF(VLOOKUP(B31,Database!$A:$AV,MATCH($J$1,Database!$A$1:$AV$1,),)=0,"#N/A",((((VLOOKUP(B31,Database!$A:$AS,MATCH($J$1,Database!$A$1:$AS$1,),))))-(((VLOOKUP(EDATE(B31,-12),Database!$A:$AS,MATCH($J$1,Database!$A$1:$AS$1,),)))))/(((VLOOKUP(EDATE(B31,-12),Database!$A:$AS,MATCH($J$1,Database!$A$1:$AS$1,),)))))</f>
        <v/>
      </c>
      <c r="K31" s="13">
        <f>IF(VLOOKUP(B31,Database!$A:$AV,MATCH($K$1,Database!$A$1:$AV$1,),)=0,"#N/A",((((VLOOKUP(B31,Database!$A:$AS,MATCH($K$1,Database!$A$1:$AS$1,),))))-(((VLOOKUP(EDATE(B31,-12),Database!$A:$AS,MATCH($K$1,Database!$A$1:$AS$1,),)))))/(((VLOOKUP(EDATE(B31,-12),Database!$A:$AS,MATCH($K$1,Database!$A$1:$AS$1,),)))))</f>
        <v/>
      </c>
      <c r="L31" s="13">
        <f>((((VLOOKUP(B31,Database!$A:$AS,MATCH($L$1,Database!$A$1:$AS$1,),))))-(((VLOOKUP(EDATE(B31,-12),Database!$A:$AS,MATCH($L$1,Database!$A$1:$AS$1,),)))))/(((VLOOKUP(EDATE(B31,-12),Database!$A:$AS,MATCH($L$1,Database!$A$1:$AS$1,),))))</f>
        <v/>
      </c>
      <c r="M31" s="13">
        <f>((((VLOOKUP(B31,Database!$A:$AS,MATCH($M$1,Database!$A$1:$AS$1,),))))-(((VLOOKUP(EDATE(B31,-12),Database!$A:$AS,MATCH($M$1,Database!$A$1:$AS$1,),)))))/(((VLOOKUP(EDATE(B31,-12),Database!$A:$AS,MATCH($M$1,Database!$A$1:$AS$1,),))))</f>
        <v/>
      </c>
      <c r="N31" s="13">
        <f>((((VLOOKUP(B31,Database!$A:$AS,MATCH($N$1,Database!$A$1:$AS$1,),))))-(((VLOOKUP(EDATE(B31,-12),Database!$A:$AS,MATCH($N$1,Database!$A$1:$AS$1,),)))))/(((VLOOKUP(EDATE(B31,-12),Database!$A:$AS,MATCH($N$1,Database!$A$1:$AS$1,),))))</f>
        <v/>
      </c>
      <c r="O31" s="13">
        <f>IF(VLOOKUP(B31,Database!$A:$AV,MATCH($O$1,Database!$A$1:$AV$1,),)=0,"#N/A",((((VLOOKUP(B31,Database!$A:$AS,MATCH($O$1,Database!$A$1:$AS$1,),))))-(((VLOOKUP(EDATE(B31,-12),Database!$A:$AS,MATCH($O$1,Database!$A$1:$AS$1,),)))))/(((VLOOKUP(EDATE(B31,-12),Database!$A:$AS,MATCH($O$1,Database!$A$1:$AS$1,),)))))</f>
        <v/>
      </c>
      <c r="P31" s="13">
        <f>IF(VLOOKUP(B31,Database!$A:$AV,MATCH($P$1,Database!$A$1:$AV$1,),)=0,"#N/A",((((VLOOKUP(B31,Database!$A:$AS,MATCH($P$1,Database!$A$1:$AS$1,),))))-(((VLOOKUP(EDATE(B31,-12),Database!$A:$AS,MATCH($P$1,Database!$A$1:$AS$1,),)))))/(((VLOOKUP(EDATE(B31,-12),Database!$A:$AS,MATCH($P$1,Database!$A$1:$AS$1,),)))))</f>
        <v/>
      </c>
      <c r="Q31" s="13">
        <f>IF(VLOOKUP(B31,Database!$A:$AV,MATCH($Q$1,Database!$A$1:$AV$1,),)=0,"#N/A",((((VLOOKUP(B31,Database!$A:$AS,MATCH($Q$1,Database!$A$1:$AS$1,),))))-(((VLOOKUP(EDATE(B31,-12),Database!$A:$AS,MATCH($Q$1,Database!$A$1:$AS$1,),)))))/(((VLOOKUP(EDATE(B31,-12),Database!$A:$AS,MATCH($Q$1,Database!$A$1:$AS$1,),)))))</f>
        <v/>
      </c>
      <c r="R31" s="13">
        <f>IF(VLOOKUP(B31,Database!$A:$AV,MATCH($R$1,Database!$A$1:$AV$1,),)=0,"#N/A",((((VLOOKUP(B31,Database!$A:$AS,MATCH($R$1,Database!$A$1:$AS$1,),))))-(((VLOOKUP(EDATE(B31,-12),Database!$A:$AS,MATCH($R$1,Database!$A$1:$AS$1,),)))))/(((VLOOKUP(EDATE(B31,-12),Database!$A:$AS,MATCH($R$1,Database!$A$1:$AS$1,),)))))</f>
        <v/>
      </c>
      <c r="S31" s="13">
        <f>IF(VLOOKUP(B31,Database!$A:$AV,MATCH($S$1,Database!$A$1:$AV$1,),)=0,"#N/A",((((VLOOKUP(B31,Database!$A:$AS,MATCH($S$1,Database!$A$1:$AS$1,),))))-(((VLOOKUP(EDATE(B31,-12),Database!$A:$AS,MATCH($S$1,Database!$A$1:$AS$1,),)))))/(((VLOOKUP(EDATE(B31,-12),Database!$A:$AS,MATCH($S$1,Database!$A$1:$AS$1,),)))))</f>
        <v/>
      </c>
      <c r="T31" s="13">
        <f>IF(VLOOKUP(B31,Database!$A:$AV,MATCH($T$1,Database!$A$1:$AV$1,),)=0,"#N/A",((((VLOOKUP(B31,Database!$A:$AS,MATCH($T$1,Database!$A$1:$AS$1,),))))-(((VLOOKUP(EDATE(B31,-12),Database!$A:$AS,MATCH($T$1,Database!$A$1:$AS$1,),)))))/(((VLOOKUP(EDATE(B31,-12),Database!$A:$AS,MATCH($T$1,Database!$A$1:$AS$1,),)))))</f>
        <v/>
      </c>
      <c r="U31" s="13">
        <f>IF(VLOOKUP(B31,Database!$A:$AV,MATCH($U$1,Database!$A$1:$AV$1,),)=0,"#N/A",((((VLOOKUP(B31,Database!$A:$AS,MATCH($U$1,Database!$A$1:$AS$1,),))))-(((VLOOKUP(EDATE(B31,-12),Database!$A:$AS,MATCH($U$1,Database!$A$1:$AS$1,),)))))/(((VLOOKUP(EDATE(B31,-12),Database!$A:$AS,MATCH($U$1,Database!$A$1:$AS$1,),)))))</f>
        <v/>
      </c>
      <c r="V31" s="13">
        <f>IF(VLOOKUP(B31,Database!$A:$AV,MATCH($V$1,Database!$A$1:$AV$1,),)=0,"#N/A",((((VLOOKUP(B31,Database!$A:$AS,MATCH($V$1,Database!$A$1:$AS$1,),))))-(((VLOOKUP(EDATE(B31,-12),Database!$A:$AS,MATCH($V$1,Database!$A$1:$AS$1,),)))))/(((VLOOKUP(EDATE(B31,-12),Database!$A:$AS,MATCH($V$1,Database!$A$1:$AS$1,),)))))</f>
        <v/>
      </c>
    </row>
    <row r="32" customFormat="1" s="86">
      <c r="A32" s="43" t="n"/>
      <c r="B32" s="75" t="n">
        <v>33117</v>
      </c>
      <c r="C32" s="13">
        <f>IF(VLOOKUP(B32,Database!$A:$AU,MATCH($C$1,Database!$A$1:$AU$1,),)=0,"#N/A",((((VLOOKUP(B32,Database!$A:$AU,MATCH($C$1,Database!$A$1:$AU$1,),))))-(((VLOOKUP(EDATE(B32,-12),Database!$A:$AU,MATCH($C$1,Database!$A$1:$AU$1,),)))))/(((VLOOKUP(EDATE(B32,-12),Database!$A:$AU,MATCH($C$1,Database!$A$1:$AU$1,),)))))</f>
        <v/>
      </c>
      <c r="D32" s="13">
        <f>IF(VLOOKUP(B32,Database!$A:$AV,MATCH($D$1,Database!$A$1:$AV$1,),)=0,"#N/A",((((VLOOKUP(B32,Database!$A:$AS,MATCH($D$1,Database!$A$1:$AS$1,),))))-(((VLOOKUP(EDATE(B32,-12),Database!$A:$AS,MATCH($D$1,Database!$A$1:$AS$1,),)))))/(((VLOOKUP(EDATE(B32,-12),Database!$A:$AS,MATCH($D$1,Database!$A$1:$AS$1,),)))))</f>
        <v/>
      </c>
      <c r="E32" s="13">
        <f>IF(VLOOKUP(B32,Database!$A:$AV,MATCH($E$1,Database!$A$1:$AV$1,),)=0,"#N/A",((((VLOOKUP(B32,Database!$A:$AS,MATCH($E$1,Database!$A$1:$AS$1,),))))-(((VLOOKUP(EDATE(B32,-12),Database!$A:$AS,MATCH($E$1,Database!$A$1:$AS$1,),)))))/(((VLOOKUP(EDATE(B32,-12),Database!$A:$AS,MATCH($E$1,Database!$A$1:$AS$1,),)))))</f>
        <v/>
      </c>
      <c r="F32" s="13">
        <f>IF(VLOOKUP(B32,Database!$A:$AV,MATCH($F$1,Database!$A$1:$AV$1,),)=0,"#N/A",((((VLOOKUP(B32,Database!$A:$AS,MATCH($F$1,Database!$A$1:$AS$1,),))))-(((VLOOKUP(EDATE(B32,-12),Database!$A:$AS,MATCH($F$1,Database!$A$1:$AS$1,),)))))/(((VLOOKUP(EDATE(B32,-12),Database!$A:$AS,MATCH($F$1,Database!$A$1:$AS$1,),)))))</f>
        <v/>
      </c>
      <c r="G32" s="13">
        <f>IF(VLOOKUP(B32,Database!$A:$AV,MATCH($G$1,Database!$A$1:$AV$1,),)=0,"#N/A",((((VLOOKUP(B32,Database!$A:$AS,MATCH($G$1,Database!$A$1:$AS$1,),))))-(((VLOOKUP(EDATE(B32,-12),Database!$A:$AS,MATCH($G$1,Database!$A$1:$AS$1,),)))))/(((VLOOKUP(EDATE(B32,-12),Database!$A:$AS,MATCH($G$1,Database!$A$1:$AS$1,),)))))</f>
        <v/>
      </c>
      <c r="H32" s="13">
        <f>IF(VLOOKUP(B32,Database!$A:$AV,MATCH($H$1,Database!$A$1:$AV$1,),)=0,"#N/A",((((VLOOKUP(B32,Database!$A:$AS,MATCH($H$1,Database!$A$1:$AS$1,),))))-(((VLOOKUP(EDATE(B32,-12),Database!$A:$AS,MATCH($H$1,Database!$A$1:$AS$1,),)))))/(((VLOOKUP(EDATE(B32,-12),Database!$A:$AS,MATCH($H$1,Database!$A$1:$AS$1,),)))))</f>
        <v/>
      </c>
      <c r="I32" s="13">
        <f>IF(VLOOKUP(B32,Database!$A:$AV,MATCH($I$1,Database!$A$1:$AV$1,),)=0,"#N/A",((((VLOOKUP(B32,Database!$A:$AS,MATCH($I$1,Database!$A$1:$AS$1,),))))-(((VLOOKUP(EDATE(B32,-12),Database!$A:$AS,MATCH($I$1,Database!$A$1:$AS$1,),)))))/(((VLOOKUP(EDATE(B32,-12),Database!$A:$AS,MATCH($I$1,Database!$A$1:$AS$1,),)))))</f>
        <v/>
      </c>
      <c r="J32" s="13">
        <f>IF(VLOOKUP(B32,Database!$A:$AV,MATCH($J$1,Database!$A$1:$AV$1,),)=0,"#N/A",((((VLOOKUP(B32,Database!$A:$AS,MATCH($J$1,Database!$A$1:$AS$1,),))))-(((VLOOKUP(EDATE(B32,-12),Database!$A:$AS,MATCH($J$1,Database!$A$1:$AS$1,),)))))/(((VLOOKUP(EDATE(B32,-12),Database!$A:$AS,MATCH($J$1,Database!$A$1:$AS$1,),)))))</f>
        <v/>
      </c>
      <c r="K32" s="13">
        <f>IF(VLOOKUP(B32,Database!$A:$AV,MATCH($K$1,Database!$A$1:$AV$1,),)=0,"#N/A",((((VLOOKUP(B32,Database!$A:$AS,MATCH($K$1,Database!$A$1:$AS$1,),))))-(((VLOOKUP(EDATE(B32,-12),Database!$A:$AS,MATCH($K$1,Database!$A$1:$AS$1,),)))))/(((VLOOKUP(EDATE(B32,-12),Database!$A:$AS,MATCH($K$1,Database!$A$1:$AS$1,),)))))</f>
        <v/>
      </c>
      <c r="L32" s="13">
        <f>((((VLOOKUP(B32,Database!$A:$AS,MATCH($L$1,Database!$A$1:$AS$1,),))))-(((VLOOKUP(EDATE(B32,-12),Database!$A:$AS,MATCH($L$1,Database!$A$1:$AS$1,),)))))/(((VLOOKUP(EDATE(B32,-12),Database!$A:$AS,MATCH($L$1,Database!$A$1:$AS$1,),))))</f>
        <v/>
      </c>
      <c r="M32" s="13">
        <f>((((VLOOKUP(B32,Database!$A:$AS,MATCH($M$1,Database!$A$1:$AS$1,),))))-(((VLOOKUP(EDATE(B32,-12),Database!$A:$AS,MATCH($M$1,Database!$A$1:$AS$1,),)))))/(((VLOOKUP(EDATE(B32,-12),Database!$A:$AS,MATCH($M$1,Database!$A$1:$AS$1,),))))</f>
        <v/>
      </c>
      <c r="N32" s="13">
        <f>((((VLOOKUP(B32,Database!$A:$AS,MATCH($N$1,Database!$A$1:$AS$1,),))))-(((VLOOKUP(EDATE(B32,-12),Database!$A:$AS,MATCH($N$1,Database!$A$1:$AS$1,),)))))/(((VLOOKUP(EDATE(B32,-12),Database!$A:$AS,MATCH($N$1,Database!$A$1:$AS$1,),))))</f>
        <v/>
      </c>
      <c r="O32" s="13">
        <f>IF(VLOOKUP(B32,Database!$A:$AV,MATCH($O$1,Database!$A$1:$AV$1,),)=0,"#N/A",((((VLOOKUP(B32,Database!$A:$AS,MATCH($O$1,Database!$A$1:$AS$1,),))))-(((VLOOKUP(EDATE(B32,-12),Database!$A:$AS,MATCH($O$1,Database!$A$1:$AS$1,),)))))/(((VLOOKUP(EDATE(B32,-12),Database!$A:$AS,MATCH($O$1,Database!$A$1:$AS$1,),)))))</f>
        <v/>
      </c>
      <c r="P32" s="13">
        <f>IF(VLOOKUP(B32,Database!$A:$AV,MATCH($P$1,Database!$A$1:$AV$1,),)=0,"#N/A",((((VLOOKUP(B32,Database!$A:$AS,MATCH($P$1,Database!$A$1:$AS$1,),))))-(((VLOOKUP(EDATE(B32,-12),Database!$A:$AS,MATCH($P$1,Database!$A$1:$AS$1,),)))))/(((VLOOKUP(EDATE(B32,-12),Database!$A:$AS,MATCH($P$1,Database!$A$1:$AS$1,),)))))</f>
        <v/>
      </c>
      <c r="Q32" s="13">
        <f>IF(VLOOKUP(B32,Database!$A:$AV,MATCH($Q$1,Database!$A$1:$AV$1,),)=0,"#N/A",((((VLOOKUP(B32,Database!$A:$AS,MATCH($Q$1,Database!$A$1:$AS$1,),))))-(((VLOOKUP(EDATE(B32,-12),Database!$A:$AS,MATCH($Q$1,Database!$A$1:$AS$1,),)))))/(((VLOOKUP(EDATE(B32,-12),Database!$A:$AS,MATCH($Q$1,Database!$A$1:$AS$1,),)))))</f>
        <v/>
      </c>
      <c r="R32" s="13">
        <f>IF(VLOOKUP(B32,Database!$A:$AV,MATCH($R$1,Database!$A$1:$AV$1,),)=0,"#N/A",((((VLOOKUP(B32,Database!$A:$AS,MATCH($R$1,Database!$A$1:$AS$1,),))))-(((VLOOKUP(EDATE(B32,-12),Database!$A:$AS,MATCH($R$1,Database!$A$1:$AS$1,),)))))/(((VLOOKUP(EDATE(B32,-12),Database!$A:$AS,MATCH($R$1,Database!$A$1:$AS$1,),)))))</f>
        <v/>
      </c>
      <c r="S32" s="13">
        <f>IF(VLOOKUP(B32,Database!$A:$AV,MATCH($S$1,Database!$A$1:$AV$1,),)=0,"#N/A",((((VLOOKUP(B32,Database!$A:$AS,MATCH($S$1,Database!$A$1:$AS$1,),))))-(((VLOOKUP(EDATE(B32,-12),Database!$A:$AS,MATCH($S$1,Database!$A$1:$AS$1,),)))))/(((VLOOKUP(EDATE(B32,-12),Database!$A:$AS,MATCH($S$1,Database!$A$1:$AS$1,),)))))</f>
        <v/>
      </c>
      <c r="T32" s="13">
        <f>IF(VLOOKUP(B32,Database!$A:$AV,MATCH($T$1,Database!$A$1:$AV$1,),)=0,"#N/A",((((VLOOKUP(B32,Database!$A:$AS,MATCH($T$1,Database!$A$1:$AS$1,),))))-(((VLOOKUP(EDATE(B32,-12),Database!$A:$AS,MATCH($T$1,Database!$A$1:$AS$1,),)))))/(((VLOOKUP(EDATE(B32,-12),Database!$A:$AS,MATCH($T$1,Database!$A$1:$AS$1,),)))))</f>
        <v/>
      </c>
      <c r="U32" s="13">
        <f>IF(VLOOKUP(B32,Database!$A:$AV,MATCH($U$1,Database!$A$1:$AV$1,),)=0,"#N/A",((((VLOOKUP(B32,Database!$A:$AS,MATCH($U$1,Database!$A$1:$AS$1,),))))-(((VLOOKUP(EDATE(B32,-12),Database!$A:$AS,MATCH($U$1,Database!$A$1:$AS$1,),)))))/(((VLOOKUP(EDATE(B32,-12),Database!$A:$AS,MATCH($U$1,Database!$A$1:$AS$1,),)))))</f>
        <v/>
      </c>
      <c r="V32" s="13">
        <f>IF(VLOOKUP(B32,Database!$A:$AV,MATCH($V$1,Database!$A$1:$AV$1,),)=0,"#N/A",((((VLOOKUP(B32,Database!$A:$AS,MATCH($V$1,Database!$A$1:$AS$1,),))))-(((VLOOKUP(EDATE(B32,-12),Database!$A:$AS,MATCH($V$1,Database!$A$1:$AS$1,),)))))/(((VLOOKUP(EDATE(B32,-12),Database!$A:$AS,MATCH($V$1,Database!$A$1:$AS$1,),)))))</f>
        <v/>
      </c>
    </row>
    <row r="33" customFormat="1" s="86">
      <c r="A33" s="43" t="n"/>
      <c r="B33" s="75" t="n">
        <v>33147</v>
      </c>
      <c r="C33" s="13">
        <f>IF(VLOOKUP(B33,Database!$A:$AU,MATCH($C$1,Database!$A$1:$AU$1,),)=0,"#N/A",((((VLOOKUP(B33,Database!$A:$AU,MATCH($C$1,Database!$A$1:$AU$1,),))))-(((VLOOKUP(EDATE(B33,-12),Database!$A:$AU,MATCH($C$1,Database!$A$1:$AU$1,),)))))/(((VLOOKUP(EDATE(B33,-12),Database!$A:$AU,MATCH($C$1,Database!$A$1:$AU$1,),)))))</f>
        <v/>
      </c>
      <c r="D33" s="13">
        <f>IF(VLOOKUP(B33,Database!$A:$AV,MATCH($D$1,Database!$A$1:$AV$1,),)=0,"#N/A",((((VLOOKUP(B33,Database!$A:$AS,MATCH($D$1,Database!$A$1:$AS$1,),))))-(((VLOOKUP(EDATE(B33,-12),Database!$A:$AS,MATCH($D$1,Database!$A$1:$AS$1,),)))))/(((VLOOKUP(EDATE(B33,-12),Database!$A:$AS,MATCH($D$1,Database!$A$1:$AS$1,),)))))</f>
        <v/>
      </c>
      <c r="E33" s="13">
        <f>IF(VLOOKUP(B33,Database!$A:$AV,MATCH($E$1,Database!$A$1:$AV$1,),)=0,"#N/A",((((VLOOKUP(B33,Database!$A:$AS,MATCH($E$1,Database!$A$1:$AS$1,),))))-(((VLOOKUP(EDATE(B33,-12),Database!$A:$AS,MATCH($E$1,Database!$A$1:$AS$1,),)))))/(((VLOOKUP(EDATE(B33,-12),Database!$A:$AS,MATCH($E$1,Database!$A$1:$AS$1,),)))))</f>
        <v/>
      </c>
      <c r="F33" s="13">
        <f>IF(VLOOKUP(B33,Database!$A:$AV,MATCH($F$1,Database!$A$1:$AV$1,),)=0,"#N/A",((((VLOOKUP(B33,Database!$A:$AS,MATCH($F$1,Database!$A$1:$AS$1,),))))-(((VLOOKUP(EDATE(B33,-12),Database!$A:$AS,MATCH($F$1,Database!$A$1:$AS$1,),)))))/(((VLOOKUP(EDATE(B33,-12),Database!$A:$AS,MATCH($F$1,Database!$A$1:$AS$1,),)))))</f>
        <v/>
      </c>
      <c r="G33" s="13">
        <f>IF(VLOOKUP(B33,Database!$A:$AV,MATCH($G$1,Database!$A$1:$AV$1,),)=0,"#N/A",((((VLOOKUP(B33,Database!$A:$AS,MATCH($G$1,Database!$A$1:$AS$1,),))))-(((VLOOKUP(EDATE(B33,-12),Database!$A:$AS,MATCH($G$1,Database!$A$1:$AS$1,),)))))/(((VLOOKUP(EDATE(B33,-12),Database!$A:$AS,MATCH($G$1,Database!$A$1:$AS$1,),)))))</f>
        <v/>
      </c>
      <c r="H33" s="13">
        <f>IF(VLOOKUP(B33,Database!$A:$AV,MATCH($H$1,Database!$A$1:$AV$1,),)=0,"#N/A",((((VLOOKUP(B33,Database!$A:$AS,MATCH($H$1,Database!$A$1:$AS$1,),))))-(((VLOOKUP(EDATE(B33,-12),Database!$A:$AS,MATCH($H$1,Database!$A$1:$AS$1,),)))))/(((VLOOKUP(EDATE(B33,-12),Database!$A:$AS,MATCH($H$1,Database!$A$1:$AS$1,),)))))</f>
        <v/>
      </c>
      <c r="I33" s="13">
        <f>IF(VLOOKUP(B33,Database!$A:$AV,MATCH($I$1,Database!$A$1:$AV$1,),)=0,"#N/A",((((VLOOKUP(B33,Database!$A:$AS,MATCH($I$1,Database!$A$1:$AS$1,),))))-(((VLOOKUP(EDATE(B33,-12),Database!$A:$AS,MATCH($I$1,Database!$A$1:$AS$1,),)))))/(((VLOOKUP(EDATE(B33,-12),Database!$A:$AS,MATCH($I$1,Database!$A$1:$AS$1,),)))))</f>
        <v/>
      </c>
      <c r="J33" s="13">
        <f>IF(VLOOKUP(B33,Database!$A:$AV,MATCH($J$1,Database!$A$1:$AV$1,),)=0,"#N/A",((((VLOOKUP(B33,Database!$A:$AS,MATCH($J$1,Database!$A$1:$AS$1,),))))-(((VLOOKUP(EDATE(B33,-12),Database!$A:$AS,MATCH($J$1,Database!$A$1:$AS$1,),)))))/(((VLOOKUP(EDATE(B33,-12),Database!$A:$AS,MATCH($J$1,Database!$A$1:$AS$1,),)))))</f>
        <v/>
      </c>
      <c r="K33" s="13">
        <f>IF(VLOOKUP(B33,Database!$A:$AV,MATCH($K$1,Database!$A$1:$AV$1,),)=0,"#N/A",((((VLOOKUP(B33,Database!$A:$AS,MATCH($K$1,Database!$A$1:$AS$1,),))))-(((VLOOKUP(EDATE(B33,-12),Database!$A:$AS,MATCH($K$1,Database!$A$1:$AS$1,),)))))/(((VLOOKUP(EDATE(B33,-12),Database!$A:$AS,MATCH($K$1,Database!$A$1:$AS$1,),)))))</f>
        <v/>
      </c>
      <c r="L33" s="13">
        <f>((((VLOOKUP(B33,Database!$A:$AS,MATCH($L$1,Database!$A$1:$AS$1,),))))-(((VLOOKUP(EDATE(B33,-12),Database!$A:$AS,MATCH($L$1,Database!$A$1:$AS$1,),)))))/(((VLOOKUP(EDATE(B33,-12),Database!$A:$AS,MATCH($L$1,Database!$A$1:$AS$1,),))))</f>
        <v/>
      </c>
      <c r="M33" s="13">
        <f>((((VLOOKUP(B33,Database!$A:$AS,MATCH($M$1,Database!$A$1:$AS$1,),))))-(((VLOOKUP(EDATE(B33,-12),Database!$A:$AS,MATCH($M$1,Database!$A$1:$AS$1,),)))))/(((VLOOKUP(EDATE(B33,-12),Database!$A:$AS,MATCH($M$1,Database!$A$1:$AS$1,),))))</f>
        <v/>
      </c>
      <c r="N33" s="13">
        <f>((((VLOOKUP(B33,Database!$A:$AS,MATCH($N$1,Database!$A$1:$AS$1,),))))-(((VLOOKUP(EDATE(B33,-12),Database!$A:$AS,MATCH($N$1,Database!$A$1:$AS$1,),)))))/(((VLOOKUP(EDATE(B33,-12),Database!$A:$AS,MATCH($N$1,Database!$A$1:$AS$1,),))))</f>
        <v/>
      </c>
      <c r="O33" s="13">
        <f>IF(VLOOKUP(B33,Database!$A:$AV,MATCH($O$1,Database!$A$1:$AV$1,),)=0,"#N/A",((((VLOOKUP(B33,Database!$A:$AS,MATCH($O$1,Database!$A$1:$AS$1,),))))-(((VLOOKUP(EDATE(B33,-12),Database!$A:$AS,MATCH($O$1,Database!$A$1:$AS$1,),)))))/(((VLOOKUP(EDATE(B33,-12),Database!$A:$AS,MATCH($O$1,Database!$A$1:$AS$1,),)))))</f>
        <v/>
      </c>
      <c r="P33" s="13">
        <f>IF(VLOOKUP(B33,Database!$A:$AV,MATCH($P$1,Database!$A$1:$AV$1,),)=0,"#N/A",((((VLOOKUP(B33,Database!$A:$AS,MATCH($P$1,Database!$A$1:$AS$1,),))))-(((VLOOKUP(EDATE(B33,-12),Database!$A:$AS,MATCH($P$1,Database!$A$1:$AS$1,),)))))/(((VLOOKUP(EDATE(B33,-12),Database!$A:$AS,MATCH($P$1,Database!$A$1:$AS$1,),)))))</f>
        <v/>
      </c>
      <c r="Q33" s="13">
        <f>IF(VLOOKUP(B33,Database!$A:$AV,MATCH($Q$1,Database!$A$1:$AV$1,),)=0,"#N/A",((((VLOOKUP(B33,Database!$A:$AS,MATCH($Q$1,Database!$A$1:$AS$1,),))))-(((VLOOKUP(EDATE(B33,-12),Database!$A:$AS,MATCH($Q$1,Database!$A$1:$AS$1,),)))))/(((VLOOKUP(EDATE(B33,-12),Database!$A:$AS,MATCH($Q$1,Database!$A$1:$AS$1,),)))))</f>
        <v/>
      </c>
      <c r="R33" s="13">
        <f>IF(VLOOKUP(B33,Database!$A:$AV,MATCH($R$1,Database!$A$1:$AV$1,),)=0,"#N/A",((((VLOOKUP(B33,Database!$A:$AS,MATCH($R$1,Database!$A$1:$AS$1,),))))-(((VLOOKUP(EDATE(B33,-12),Database!$A:$AS,MATCH($R$1,Database!$A$1:$AS$1,),)))))/(((VLOOKUP(EDATE(B33,-12),Database!$A:$AS,MATCH($R$1,Database!$A$1:$AS$1,),)))))</f>
        <v/>
      </c>
      <c r="S33" s="13">
        <f>IF(VLOOKUP(B33,Database!$A:$AV,MATCH($S$1,Database!$A$1:$AV$1,),)=0,"#N/A",((((VLOOKUP(B33,Database!$A:$AS,MATCH($S$1,Database!$A$1:$AS$1,),))))-(((VLOOKUP(EDATE(B33,-12),Database!$A:$AS,MATCH($S$1,Database!$A$1:$AS$1,),)))))/(((VLOOKUP(EDATE(B33,-12),Database!$A:$AS,MATCH($S$1,Database!$A$1:$AS$1,),)))))</f>
        <v/>
      </c>
      <c r="T33" s="13">
        <f>IF(VLOOKUP(B33,Database!$A:$AV,MATCH($T$1,Database!$A$1:$AV$1,),)=0,"#N/A",((((VLOOKUP(B33,Database!$A:$AS,MATCH($T$1,Database!$A$1:$AS$1,),))))-(((VLOOKUP(EDATE(B33,-12),Database!$A:$AS,MATCH($T$1,Database!$A$1:$AS$1,),)))))/(((VLOOKUP(EDATE(B33,-12),Database!$A:$AS,MATCH($T$1,Database!$A$1:$AS$1,),)))))</f>
        <v/>
      </c>
      <c r="U33" s="13">
        <f>IF(VLOOKUP(B33,Database!$A:$AV,MATCH($U$1,Database!$A$1:$AV$1,),)=0,"#N/A",((((VLOOKUP(B33,Database!$A:$AS,MATCH($U$1,Database!$A$1:$AS$1,),))))-(((VLOOKUP(EDATE(B33,-12),Database!$A:$AS,MATCH($U$1,Database!$A$1:$AS$1,),)))))/(((VLOOKUP(EDATE(B33,-12),Database!$A:$AS,MATCH($U$1,Database!$A$1:$AS$1,),)))))</f>
        <v/>
      </c>
      <c r="V33" s="13">
        <f>IF(VLOOKUP(B33,Database!$A:$AV,MATCH($V$1,Database!$A$1:$AV$1,),)=0,"#N/A",((((VLOOKUP(B33,Database!$A:$AS,MATCH($V$1,Database!$A$1:$AS$1,),))))-(((VLOOKUP(EDATE(B33,-12),Database!$A:$AS,MATCH($V$1,Database!$A$1:$AS$1,),)))))/(((VLOOKUP(EDATE(B33,-12),Database!$A:$AS,MATCH($V$1,Database!$A$1:$AS$1,),)))))</f>
        <v/>
      </c>
    </row>
    <row r="34" customFormat="1" s="86">
      <c r="A34" s="43" t="n"/>
      <c r="B34" s="75" t="n">
        <v>33178</v>
      </c>
      <c r="C34" s="13">
        <f>IF(VLOOKUP(B34,Database!$A:$AU,MATCH($C$1,Database!$A$1:$AU$1,),)=0,"#N/A",((((VLOOKUP(B34,Database!$A:$AU,MATCH($C$1,Database!$A$1:$AU$1,),))))-(((VLOOKUP(EDATE(B34,-12),Database!$A:$AU,MATCH($C$1,Database!$A$1:$AU$1,),)))))/(((VLOOKUP(EDATE(B34,-12),Database!$A:$AU,MATCH($C$1,Database!$A$1:$AU$1,),)))))</f>
        <v/>
      </c>
      <c r="D34" s="13">
        <f>IF(VLOOKUP(B34,Database!$A:$AV,MATCH($D$1,Database!$A$1:$AV$1,),)=0,"#N/A",((((VLOOKUP(B34,Database!$A:$AS,MATCH($D$1,Database!$A$1:$AS$1,),))))-(((VLOOKUP(EDATE(B34,-12),Database!$A:$AS,MATCH($D$1,Database!$A$1:$AS$1,),)))))/(((VLOOKUP(EDATE(B34,-12),Database!$A:$AS,MATCH($D$1,Database!$A$1:$AS$1,),)))))</f>
        <v/>
      </c>
      <c r="E34" s="13">
        <f>IF(VLOOKUP(B34,Database!$A:$AV,MATCH($E$1,Database!$A$1:$AV$1,),)=0,"#N/A",((((VLOOKUP(B34,Database!$A:$AS,MATCH($E$1,Database!$A$1:$AS$1,),))))-(((VLOOKUP(EDATE(B34,-12),Database!$A:$AS,MATCH($E$1,Database!$A$1:$AS$1,),)))))/(((VLOOKUP(EDATE(B34,-12),Database!$A:$AS,MATCH($E$1,Database!$A$1:$AS$1,),)))))</f>
        <v/>
      </c>
      <c r="F34" s="13">
        <f>IF(VLOOKUP(B34,Database!$A:$AV,MATCH($F$1,Database!$A$1:$AV$1,),)=0,"#N/A",((((VLOOKUP(B34,Database!$A:$AS,MATCH($F$1,Database!$A$1:$AS$1,),))))-(((VLOOKUP(EDATE(B34,-12),Database!$A:$AS,MATCH($F$1,Database!$A$1:$AS$1,),)))))/(((VLOOKUP(EDATE(B34,-12),Database!$A:$AS,MATCH($F$1,Database!$A$1:$AS$1,),)))))</f>
        <v/>
      </c>
      <c r="G34" s="13">
        <f>IF(VLOOKUP(B34,Database!$A:$AV,MATCH($G$1,Database!$A$1:$AV$1,),)=0,"#N/A",((((VLOOKUP(B34,Database!$A:$AS,MATCH($G$1,Database!$A$1:$AS$1,),))))-(((VLOOKUP(EDATE(B34,-12),Database!$A:$AS,MATCH($G$1,Database!$A$1:$AS$1,),)))))/(((VLOOKUP(EDATE(B34,-12),Database!$A:$AS,MATCH($G$1,Database!$A$1:$AS$1,),)))))</f>
        <v/>
      </c>
      <c r="H34" s="13">
        <f>IF(VLOOKUP(B34,Database!$A:$AV,MATCH($H$1,Database!$A$1:$AV$1,),)=0,"#N/A",((((VLOOKUP(B34,Database!$A:$AS,MATCH($H$1,Database!$A$1:$AS$1,),))))-(((VLOOKUP(EDATE(B34,-12),Database!$A:$AS,MATCH($H$1,Database!$A$1:$AS$1,),)))))/(((VLOOKUP(EDATE(B34,-12),Database!$A:$AS,MATCH($H$1,Database!$A$1:$AS$1,),)))))</f>
        <v/>
      </c>
      <c r="I34" s="13">
        <f>IF(VLOOKUP(B34,Database!$A:$AV,MATCH($I$1,Database!$A$1:$AV$1,),)=0,"#N/A",((((VLOOKUP(B34,Database!$A:$AS,MATCH($I$1,Database!$A$1:$AS$1,),))))-(((VLOOKUP(EDATE(B34,-12),Database!$A:$AS,MATCH($I$1,Database!$A$1:$AS$1,),)))))/(((VLOOKUP(EDATE(B34,-12),Database!$A:$AS,MATCH($I$1,Database!$A$1:$AS$1,),)))))</f>
        <v/>
      </c>
      <c r="J34" s="13">
        <f>IF(VLOOKUP(B34,Database!$A:$AV,MATCH($J$1,Database!$A$1:$AV$1,),)=0,"#N/A",((((VLOOKUP(B34,Database!$A:$AS,MATCH($J$1,Database!$A$1:$AS$1,),))))-(((VLOOKUP(EDATE(B34,-12),Database!$A:$AS,MATCH($J$1,Database!$A$1:$AS$1,),)))))/(((VLOOKUP(EDATE(B34,-12),Database!$A:$AS,MATCH($J$1,Database!$A$1:$AS$1,),)))))</f>
        <v/>
      </c>
      <c r="K34" s="13">
        <f>IF(VLOOKUP(B34,Database!$A:$AV,MATCH($K$1,Database!$A$1:$AV$1,),)=0,"#N/A",((((VLOOKUP(B34,Database!$A:$AS,MATCH($K$1,Database!$A$1:$AS$1,),))))-(((VLOOKUP(EDATE(B34,-12),Database!$A:$AS,MATCH($K$1,Database!$A$1:$AS$1,),)))))/(((VLOOKUP(EDATE(B34,-12),Database!$A:$AS,MATCH($K$1,Database!$A$1:$AS$1,),)))))</f>
        <v/>
      </c>
      <c r="L34" s="13">
        <f>((((VLOOKUP(B34,Database!$A:$AS,MATCH($L$1,Database!$A$1:$AS$1,),))))-(((VLOOKUP(EDATE(B34,-12),Database!$A:$AS,MATCH($L$1,Database!$A$1:$AS$1,),)))))/(((VLOOKUP(EDATE(B34,-12),Database!$A:$AS,MATCH($L$1,Database!$A$1:$AS$1,),))))</f>
        <v/>
      </c>
      <c r="M34" s="13">
        <f>((((VLOOKUP(B34,Database!$A:$AS,MATCH($M$1,Database!$A$1:$AS$1,),))))-(((VLOOKUP(EDATE(B34,-12),Database!$A:$AS,MATCH($M$1,Database!$A$1:$AS$1,),)))))/(((VLOOKUP(EDATE(B34,-12),Database!$A:$AS,MATCH($M$1,Database!$A$1:$AS$1,),))))</f>
        <v/>
      </c>
      <c r="N34" s="13">
        <f>((((VLOOKUP(B34,Database!$A:$AS,MATCH($N$1,Database!$A$1:$AS$1,),))))-(((VLOOKUP(EDATE(B34,-12),Database!$A:$AS,MATCH($N$1,Database!$A$1:$AS$1,),)))))/(((VLOOKUP(EDATE(B34,-12),Database!$A:$AS,MATCH($N$1,Database!$A$1:$AS$1,),))))</f>
        <v/>
      </c>
      <c r="O34" s="13">
        <f>IF(VLOOKUP(B34,Database!$A:$AV,MATCH($O$1,Database!$A$1:$AV$1,),)=0,"#N/A",((((VLOOKUP(B34,Database!$A:$AS,MATCH($O$1,Database!$A$1:$AS$1,),))))-(((VLOOKUP(EDATE(B34,-12),Database!$A:$AS,MATCH($O$1,Database!$A$1:$AS$1,),)))))/(((VLOOKUP(EDATE(B34,-12),Database!$A:$AS,MATCH($O$1,Database!$A$1:$AS$1,),)))))</f>
        <v/>
      </c>
      <c r="P34" s="13">
        <f>IF(VLOOKUP(B34,Database!$A:$AV,MATCH($P$1,Database!$A$1:$AV$1,),)=0,"#N/A",((((VLOOKUP(B34,Database!$A:$AS,MATCH($P$1,Database!$A$1:$AS$1,),))))-(((VLOOKUP(EDATE(B34,-12),Database!$A:$AS,MATCH($P$1,Database!$A$1:$AS$1,),)))))/(((VLOOKUP(EDATE(B34,-12),Database!$A:$AS,MATCH($P$1,Database!$A$1:$AS$1,),)))))</f>
        <v/>
      </c>
      <c r="Q34" s="13">
        <f>IF(VLOOKUP(B34,Database!$A:$AV,MATCH($Q$1,Database!$A$1:$AV$1,),)=0,"#N/A",((((VLOOKUP(B34,Database!$A:$AS,MATCH($Q$1,Database!$A$1:$AS$1,),))))-(((VLOOKUP(EDATE(B34,-12),Database!$A:$AS,MATCH($Q$1,Database!$A$1:$AS$1,),)))))/(((VLOOKUP(EDATE(B34,-12),Database!$A:$AS,MATCH($Q$1,Database!$A$1:$AS$1,),)))))</f>
        <v/>
      </c>
      <c r="R34" s="13">
        <f>IF(VLOOKUP(B34,Database!$A:$AV,MATCH($R$1,Database!$A$1:$AV$1,),)=0,"#N/A",((((VLOOKUP(B34,Database!$A:$AS,MATCH($R$1,Database!$A$1:$AS$1,),))))-(((VLOOKUP(EDATE(B34,-12),Database!$A:$AS,MATCH($R$1,Database!$A$1:$AS$1,),)))))/(((VLOOKUP(EDATE(B34,-12),Database!$A:$AS,MATCH($R$1,Database!$A$1:$AS$1,),)))))</f>
        <v/>
      </c>
      <c r="S34" s="13">
        <f>IF(VLOOKUP(B34,Database!$A:$AV,MATCH($S$1,Database!$A$1:$AV$1,),)=0,"#N/A",((((VLOOKUP(B34,Database!$A:$AS,MATCH($S$1,Database!$A$1:$AS$1,),))))-(((VLOOKUP(EDATE(B34,-12),Database!$A:$AS,MATCH($S$1,Database!$A$1:$AS$1,),)))))/(((VLOOKUP(EDATE(B34,-12),Database!$A:$AS,MATCH($S$1,Database!$A$1:$AS$1,),)))))</f>
        <v/>
      </c>
      <c r="T34" s="13">
        <f>IF(VLOOKUP(B34,Database!$A:$AV,MATCH($T$1,Database!$A$1:$AV$1,),)=0,"#N/A",((((VLOOKUP(B34,Database!$A:$AS,MATCH($T$1,Database!$A$1:$AS$1,),))))-(((VLOOKUP(EDATE(B34,-12),Database!$A:$AS,MATCH($T$1,Database!$A$1:$AS$1,),)))))/(((VLOOKUP(EDATE(B34,-12),Database!$A:$AS,MATCH($T$1,Database!$A$1:$AS$1,),)))))</f>
        <v/>
      </c>
      <c r="U34" s="13">
        <f>IF(VLOOKUP(B34,Database!$A:$AV,MATCH($U$1,Database!$A$1:$AV$1,),)=0,"#N/A",((((VLOOKUP(B34,Database!$A:$AS,MATCH($U$1,Database!$A$1:$AS$1,),))))-(((VLOOKUP(EDATE(B34,-12),Database!$A:$AS,MATCH($U$1,Database!$A$1:$AS$1,),)))))/(((VLOOKUP(EDATE(B34,-12),Database!$A:$AS,MATCH($U$1,Database!$A$1:$AS$1,),)))))</f>
        <v/>
      </c>
      <c r="V34" s="13">
        <f>IF(VLOOKUP(B34,Database!$A:$AV,MATCH($V$1,Database!$A$1:$AV$1,),)=0,"#N/A",((((VLOOKUP(B34,Database!$A:$AS,MATCH($V$1,Database!$A$1:$AS$1,),))))-(((VLOOKUP(EDATE(B34,-12),Database!$A:$AS,MATCH($V$1,Database!$A$1:$AS$1,),)))))/(((VLOOKUP(EDATE(B34,-12),Database!$A:$AS,MATCH($V$1,Database!$A$1:$AS$1,),)))))</f>
        <v/>
      </c>
    </row>
    <row r="35" customFormat="1" s="86">
      <c r="A35" s="43" t="n"/>
      <c r="B35" s="75" t="n">
        <v>33208</v>
      </c>
      <c r="C35" s="13">
        <f>IF(VLOOKUP(B35,Database!$A:$AU,MATCH($C$1,Database!$A$1:$AU$1,),)=0,"#N/A",((((VLOOKUP(B35,Database!$A:$AU,MATCH($C$1,Database!$A$1:$AU$1,),))))-(((VLOOKUP(EDATE(B35,-12),Database!$A:$AU,MATCH($C$1,Database!$A$1:$AU$1,),)))))/(((VLOOKUP(EDATE(B35,-12),Database!$A:$AU,MATCH($C$1,Database!$A$1:$AU$1,),)))))</f>
        <v/>
      </c>
      <c r="D35" s="13">
        <f>IF(VLOOKUP(B35,Database!$A:$AV,MATCH($D$1,Database!$A$1:$AV$1,),)=0,"#N/A",((((VLOOKUP(B35,Database!$A:$AS,MATCH($D$1,Database!$A$1:$AS$1,),))))-(((VLOOKUP(EDATE(B35,-12),Database!$A:$AS,MATCH($D$1,Database!$A$1:$AS$1,),)))))/(((VLOOKUP(EDATE(B35,-12),Database!$A:$AS,MATCH($D$1,Database!$A$1:$AS$1,),)))))</f>
        <v/>
      </c>
      <c r="E35" s="13">
        <f>IF(VLOOKUP(B35,Database!$A:$AV,MATCH($E$1,Database!$A$1:$AV$1,),)=0,"#N/A",((((VLOOKUP(B35,Database!$A:$AS,MATCH($E$1,Database!$A$1:$AS$1,),))))-(((VLOOKUP(EDATE(B35,-12),Database!$A:$AS,MATCH($E$1,Database!$A$1:$AS$1,),)))))/(((VLOOKUP(EDATE(B35,-12),Database!$A:$AS,MATCH($E$1,Database!$A$1:$AS$1,),)))))</f>
        <v/>
      </c>
      <c r="F35" s="13">
        <f>IF(VLOOKUP(B35,Database!$A:$AV,MATCH($F$1,Database!$A$1:$AV$1,),)=0,"#N/A",((((VLOOKUP(B35,Database!$A:$AS,MATCH($F$1,Database!$A$1:$AS$1,),))))-(((VLOOKUP(EDATE(B35,-12),Database!$A:$AS,MATCH($F$1,Database!$A$1:$AS$1,),)))))/(((VLOOKUP(EDATE(B35,-12),Database!$A:$AS,MATCH($F$1,Database!$A$1:$AS$1,),)))))</f>
        <v/>
      </c>
      <c r="G35" s="13">
        <f>IF(VLOOKUP(B35,Database!$A:$AV,MATCH($G$1,Database!$A$1:$AV$1,),)=0,"#N/A",((((VLOOKUP(B35,Database!$A:$AS,MATCH($G$1,Database!$A$1:$AS$1,),))))-(((VLOOKUP(EDATE(B35,-12),Database!$A:$AS,MATCH($G$1,Database!$A$1:$AS$1,),)))))/(((VLOOKUP(EDATE(B35,-12),Database!$A:$AS,MATCH($G$1,Database!$A$1:$AS$1,),)))))</f>
        <v/>
      </c>
      <c r="H35" s="13">
        <f>IF(VLOOKUP(B35,Database!$A:$AV,MATCH($H$1,Database!$A$1:$AV$1,),)=0,"#N/A",((((VLOOKUP(B35,Database!$A:$AS,MATCH($H$1,Database!$A$1:$AS$1,),))))-(((VLOOKUP(EDATE(B35,-12),Database!$A:$AS,MATCH($H$1,Database!$A$1:$AS$1,),)))))/(((VLOOKUP(EDATE(B35,-12),Database!$A:$AS,MATCH($H$1,Database!$A$1:$AS$1,),)))))</f>
        <v/>
      </c>
      <c r="I35" s="13">
        <f>IF(VLOOKUP(B35,Database!$A:$AV,MATCH($I$1,Database!$A$1:$AV$1,),)=0,"#N/A",((((VLOOKUP(B35,Database!$A:$AS,MATCH($I$1,Database!$A$1:$AS$1,),))))-(((VLOOKUP(EDATE(B35,-12),Database!$A:$AS,MATCH($I$1,Database!$A$1:$AS$1,),)))))/(((VLOOKUP(EDATE(B35,-12),Database!$A:$AS,MATCH($I$1,Database!$A$1:$AS$1,),)))))</f>
        <v/>
      </c>
      <c r="J35" s="13">
        <f>IF(VLOOKUP(B35,Database!$A:$AV,MATCH($J$1,Database!$A$1:$AV$1,),)=0,"#N/A",((((VLOOKUP(B35,Database!$A:$AS,MATCH($J$1,Database!$A$1:$AS$1,),))))-(((VLOOKUP(EDATE(B35,-12),Database!$A:$AS,MATCH($J$1,Database!$A$1:$AS$1,),)))))/(((VLOOKUP(EDATE(B35,-12),Database!$A:$AS,MATCH($J$1,Database!$A$1:$AS$1,),)))))</f>
        <v/>
      </c>
      <c r="K35" s="13">
        <f>IF(VLOOKUP(B35,Database!$A:$AV,MATCH($K$1,Database!$A$1:$AV$1,),)=0,"#N/A",((((VLOOKUP(B35,Database!$A:$AS,MATCH($K$1,Database!$A$1:$AS$1,),))))-(((VLOOKUP(EDATE(B35,-12),Database!$A:$AS,MATCH($K$1,Database!$A$1:$AS$1,),)))))/(((VLOOKUP(EDATE(B35,-12),Database!$A:$AS,MATCH($K$1,Database!$A$1:$AS$1,),)))))</f>
        <v/>
      </c>
      <c r="L35" s="13">
        <f>((((VLOOKUP(B35,Database!$A:$AS,MATCH($L$1,Database!$A$1:$AS$1,),))))-(((VLOOKUP(EDATE(B35,-12),Database!$A:$AS,MATCH($L$1,Database!$A$1:$AS$1,),)))))/(((VLOOKUP(EDATE(B35,-12),Database!$A:$AS,MATCH($L$1,Database!$A$1:$AS$1,),))))</f>
        <v/>
      </c>
      <c r="M35" s="13">
        <f>((((VLOOKUP(B35,Database!$A:$AS,MATCH($M$1,Database!$A$1:$AS$1,),))))-(((VLOOKUP(EDATE(B35,-12),Database!$A:$AS,MATCH($M$1,Database!$A$1:$AS$1,),)))))/(((VLOOKUP(EDATE(B35,-12),Database!$A:$AS,MATCH($M$1,Database!$A$1:$AS$1,),))))</f>
        <v/>
      </c>
      <c r="N35" s="13">
        <f>((((VLOOKUP(B35,Database!$A:$AS,MATCH($N$1,Database!$A$1:$AS$1,),))))-(((VLOOKUP(EDATE(B35,-12),Database!$A:$AS,MATCH($N$1,Database!$A$1:$AS$1,),)))))/(((VLOOKUP(EDATE(B35,-12),Database!$A:$AS,MATCH($N$1,Database!$A$1:$AS$1,),))))</f>
        <v/>
      </c>
      <c r="O35" s="13">
        <f>IF(VLOOKUP(B35,Database!$A:$AV,MATCH($O$1,Database!$A$1:$AV$1,),)=0,"#N/A",((((VLOOKUP(B35,Database!$A:$AS,MATCH($O$1,Database!$A$1:$AS$1,),))))-(((VLOOKUP(EDATE(B35,-12),Database!$A:$AS,MATCH($O$1,Database!$A$1:$AS$1,),)))))/(((VLOOKUP(EDATE(B35,-12),Database!$A:$AS,MATCH($O$1,Database!$A$1:$AS$1,),)))))</f>
        <v/>
      </c>
      <c r="P35" s="13">
        <f>IF(VLOOKUP(B35,Database!$A:$AV,MATCH($P$1,Database!$A$1:$AV$1,),)=0,"#N/A",((((VLOOKUP(B35,Database!$A:$AS,MATCH($P$1,Database!$A$1:$AS$1,),))))-(((VLOOKUP(EDATE(B35,-12),Database!$A:$AS,MATCH($P$1,Database!$A$1:$AS$1,),)))))/(((VLOOKUP(EDATE(B35,-12),Database!$A:$AS,MATCH($P$1,Database!$A$1:$AS$1,),)))))</f>
        <v/>
      </c>
      <c r="Q35" s="13">
        <f>IF(VLOOKUP(B35,Database!$A:$AV,MATCH($Q$1,Database!$A$1:$AV$1,),)=0,"#N/A",((((VLOOKUP(B35,Database!$A:$AS,MATCH($Q$1,Database!$A$1:$AS$1,),))))-(((VLOOKUP(EDATE(B35,-12),Database!$A:$AS,MATCH($Q$1,Database!$A$1:$AS$1,),)))))/(((VLOOKUP(EDATE(B35,-12),Database!$A:$AS,MATCH($Q$1,Database!$A$1:$AS$1,),)))))</f>
        <v/>
      </c>
      <c r="R35" s="13">
        <f>IF(VLOOKUP(B35,Database!$A:$AV,MATCH($R$1,Database!$A$1:$AV$1,),)=0,"#N/A",((((VLOOKUP(B35,Database!$A:$AS,MATCH($R$1,Database!$A$1:$AS$1,),))))-(((VLOOKUP(EDATE(B35,-12),Database!$A:$AS,MATCH($R$1,Database!$A$1:$AS$1,),)))))/(((VLOOKUP(EDATE(B35,-12),Database!$A:$AS,MATCH($R$1,Database!$A$1:$AS$1,),)))))</f>
        <v/>
      </c>
      <c r="S35" s="13">
        <f>IF(VLOOKUP(B35,Database!$A:$AV,MATCH($S$1,Database!$A$1:$AV$1,),)=0,"#N/A",((((VLOOKUP(B35,Database!$A:$AS,MATCH($S$1,Database!$A$1:$AS$1,),))))-(((VLOOKUP(EDATE(B35,-12),Database!$A:$AS,MATCH($S$1,Database!$A$1:$AS$1,),)))))/(((VLOOKUP(EDATE(B35,-12),Database!$A:$AS,MATCH($S$1,Database!$A$1:$AS$1,),)))))</f>
        <v/>
      </c>
      <c r="T35" s="13">
        <f>IF(VLOOKUP(B35,Database!$A:$AV,MATCH($T$1,Database!$A$1:$AV$1,),)=0,"#N/A",((((VLOOKUP(B35,Database!$A:$AS,MATCH($T$1,Database!$A$1:$AS$1,),))))-(((VLOOKUP(EDATE(B35,-12),Database!$A:$AS,MATCH($T$1,Database!$A$1:$AS$1,),)))))/(((VLOOKUP(EDATE(B35,-12),Database!$A:$AS,MATCH($T$1,Database!$A$1:$AS$1,),)))))</f>
        <v/>
      </c>
      <c r="U35" s="13">
        <f>IF(VLOOKUP(B35,Database!$A:$AV,MATCH($U$1,Database!$A$1:$AV$1,),)=0,"#N/A",((((VLOOKUP(B35,Database!$A:$AS,MATCH($U$1,Database!$A$1:$AS$1,),))))-(((VLOOKUP(EDATE(B35,-12),Database!$A:$AS,MATCH($U$1,Database!$A$1:$AS$1,),)))))/(((VLOOKUP(EDATE(B35,-12),Database!$A:$AS,MATCH($U$1,Database!$A$1:$AS$1,),)))))</f>
        <v/>
      </c>
      <c r="V35" s="13">
        <f>IF(VLOOKUP(B35,Database!$A:$AV,MATCH($V$1,Database!$A$1:$AV$1,),)=0,"#N/A",((((VLOOKUP(B35,Database!$A:$AS,MATCH($V$1,Database!$A$1:$AS$1,),))))-(((VLOOKUP(EDATE(B35,-12),Database!$A:$AS,MATCH($V$1,Database!$A$1:$AS$1,),)))))/(((VLOOKUP(EDATE(B35,-12),Database!$A:$AS,MATCH($V$1,Database!$A$1:$AS$1,),)))))</f>
        <v/>
      </c>
    </row>
    <row r="36" customFormat="1" s="86">
      <c r="A36" s="43" t="n"/>
      <c r="B36" s="75" t="n">
        <v>33239</v>
      </c>
      <c r="C36" s="13">
        <f>IF(VLOOKUP(B36,Database!$A:$AU,MATCH($C$1,Database!$A$1:$AU$1,),)=0,"#N/A",((((VLOOKUP(B36,Database!$A:$AU,MATCH($C$1,Database!$A$1:$AU$1,),))))-(((VLOOKUP(EDATE(B36,-12),Database!$A:$AU,MATCH($C$1,Database!$A$1:$AU$1,),)))))/(((VLOOKUP(EDATE(B36,-12),Database!$A:$AU,MATCH($C$1,Database!$A$1:$AU$1,),)))))</f>
        <v/>
      </c>
      <c r="D36" s="13">
        <f>IF(VLOOKUP(B36,Database!$A:$AV,MATCH($D$1,Database!$A$1:$AV$1,),)=0,"#N/A",((((VLOOKUP(B36,Database!$A:$AS,MATCH($D$1,Database!$A$1:$AS$1,),))))-(((VLOOKUP(EDATE(B36,-12),Database!$A:$AS,MATCH($D$1,Database!$A$1:$AS$1,),)))))/(((VLOOKUP(EDATE(B36,-12),Database!$A:$AS,MATCH($D$1,Database!$A$1:$AS$1,),)))))</f>
        <v/>
      </c>
      <c r="E36" s="13">
        <f>IF(VLOOKUP(B36,Database!$A:$AV,MATCH($E$1,Database!$A$1:$AV$1,),)=0,"#N/A",((((VLOOKUP(B36,Database!$A:$AS,MATCH($E$1,Database!$A$1:$AS$1,),))))-(((VLOOKUP(EDATE(B36,-12),Database!$A:$AS,MATCH($E$1,Database!$A$1:$AS$1,),)))))/(((VLOOKUP(EDATE(B36,-12),Database!$A:$AS,MATCH($E$1,Database!$A$1:$AS$1,),)))))</f>
        <v/>
      </c>
      <c r="F36" s="13">
        <f>IF(VLOOKUP(B36,Database!$A:$AV,MATCH($F$1,Database!$A$1:$AV$1,),)=0,"#N/A",((((VLOOKUP(B36,Database!$A:$AS,MATCH($F$1,Database!$A$1:$AS$1,),))))-(((VLOOKUP(EDATE(B36,-12),Database!$A:$AS,MATCH($F$1,Database!$A$1:$AS$1,),)))))/(((VLOOKUP(EDATE(B36,-12),Database!$A:$AS,MATCH($F$1,Database!$A$1:$AS$1,),)))))</f>
        <v/>
      </c>
      <c r="G36" s="13">
        <f>IF(VLOOKUP(B36,Database!$A:$AV,MATCH($G$1,Database!$A$1:$AV$1,),)=0,"#N/A",((((VLOOKUP(B36,Database!$A:$AS,MATCH($G$1,Database!$A$1:$AS$1,),))))-(((VLOOKUP(EDATE(B36,-12),Database!$A:$AS,MATCH($G$1,Database!$A$1:$AS$1,),)))))/(((VLOOKUP(EDATE(B36,-12),Database!$A:$AS,MATCH($G$1,Database!$A$1:$AS$1,),)))))</f>
        <v/>
      </c>
      <c r="H36" s="13">
        <f>IF(VLOOKUP(B36,Database!$A:$AV,MATCH($H$1,Database!$A$1:$AV$1,),)=0,"#N/A",((((VLOOKUP(B36,Database!$A:$AS,MATCH($H$1,Database!$A$1:$AS$1,),))))-(((VLOOKUP(EDATE(B36,-12),Database!$A:$AS,MATCH($H$1,Database!$A$1:$AS$1,),)))))/(((VLOOKUP(EDATE(B36,-12),Database!$A:$AS,MATCH($H$1,Database!$A$1:$AS$1,),)))))</f>
        <v/>
      </c>
      <c r="I36" s="13">
        <f>IF(VLOOKUP(B36,Database!$A:$AV,MATCH($I$1,Database!$A$1:$AV$1,),)=0,"#N/A",((((VLOOKUP(B36,Database!$A:$AS,MATCH($I$1,Database!$A$1:$AS$1,),))))-(((VLOOKUP(EDATE(B36,-12),Database!$A:$AS,MATCH($I$1,Database!$A$1:$AS$1,),)))))/(((VLOOKUP(EDATE(B36,-12),Database!$A:$AS,MATCH($I$1,Database!$A$1:$AS$1,),)))))</f>
        <v/>
      </c>
      <c r="J36" s="13">
        <f>IF(VLOOKUP(B36,Database!$A:$AV,MATCH($J$1,Database!$A$1:$AV$1,),)=0,"#N/A",((((VLOOKUP(B36,Database!$A:$AS,MATCH($J$1,Database!$A$1:$AS$1,),))))-(((VLOOKUP(EDATE(B36,-12),Database!$A:$AS,MATCH($J$1,Database!$A$1:$AS$1,),)))))/(((VLOOKUP(EDATE(B36,-12),Database!$A:$AS,MATCH($J$1,Database!$A$1:$AS$1,),)))))</f>
        <v/>
      </c>
      <c r="K36" s="13">
        <f>IF(VLOOKUP(B36,Database!$A:$AV,MATCH($K$1,Database!$A$1:$AV$1,),)=0,"#N/A",((((VLOOKUP(B36,Database!$A:$AS,MATCH($K$1,Database!$A$1:$AS$1,),))))-(((VLOOKUP(EDATE(B36,-12),Database!$A:$AS,MATCH($K$1,Database!$A$1:$AS$1,),)))))/(((VLOOKUP(EDATE(B36,-12),Database!$A:$AS,MATCH($K$1,Database!$A$1:$AS$1,),)))))</f>
        <v/>
      </c>
      <c r="L36" s="13">
        <f>((((VLOOKUP(B36,Database!$A:$AS,MATCH($L$1,Database!$A$1:$AS$1,),))))-(((VLOOKUP(EDATE(B36,-12),Database!$A:$AS,MATCH($L$1,Database!$A$1:$AS$1,),)))))/(((VLOOKUP(EDATE(B36,-12),Database!$A:$AS,MATCH($L$1,Database!$A$1:$AS$1,),))))</f>
        <v/>
      </c>
      <c r="M36" s="13">
        <f>((((VLOOKUP(B36,Database!$A:$AS,MATCH($M$1,Database!$A$1:$AS$1,),))))-(((VLOOKUP(EDATE(B36,-12),Database!$A:$AS,MATCH($M$1,Database!$A$1:$AS$1,),)))))/(((VLOOKUP(EDATE(B36,-12),Database!$A:$AS,MATCH($M$1,Database!$A$1:$AS$1,),))))</f>
        <v/>
      </c>
      <c r="N36" s="13">
        <f>((((VLOOKUP(B36,Database!$A:$AS,MATCH($N$1,Database!$A$1:$AS$1,),))))-(((VLOOKUP(EDATE(B36,-12),Database!$A:$AS,MATCH($N$1,Database!$A$1:$AS$1,),)))))/(((VLOOKUP(EDATE(B36,-12),Database!$A:$AS,MATCH($N$1,Database!$A$1:$AS$1,),))))</f>
        <v/>
      </c>
      <c r="O36" s="13">
        <f>IF(VLOOKUP(B36,Database!$A:$AV,MATCH($O$1,Database!$A$1:$AV$1,),)=0,"#N/A",((((VLOOKUP(B36,Database!$A:$AS,MATCH($O$1,Database!$A$1:$AS$1,),))))-(((VLOOKUP(EDATE(B36,-12),Database!$A:$AS,MATCH($O$1,Database!$A$1:$AS$1,),)))))/(((VLOOKUP(EDATE(B36,-12),Database!$A:$AS,MATCH($O$1,Database!$A$1:$AS$1,),)))))</f>
        <v/>
      </c>
      <c r="P36" s="13">
        <f>IF(VLOOKUP(B36,Database!$A:$AV,MATCH($P$1,Database!$A$1:$AV$1,),)=0,"#N/A",((((VLOOKUP(B36,Database!$A:$AS,MATCH($P$1,Database!$A$1:$AS$1,),))))-(((VLOOKUP(EDATE(B36,-12),Database!$A:$AS,MATCH($P$1,Database!$A$1:$AS$1,),)))))/(((VLOOKUP(EDATE(B36,-12),Database!$A:$AS,MATCH($P$1,Database!$A$1:$AS$1,),)))))</f>
        <v/>
      </c>
      <c r="Q36" s="13">
        <f>IF(VLOOKUP(B36,Database!$A:$AV,MATCH($Q$1,Database!$A$1:$AV$1,),)=0,"#N/A",((((VLOOKUP(B36,Database!$A:$AS,MATCH($Q$1,Database!$A$1:$AS$1,),))))-(((VLOOKUP(EDATE(B36,-12),Database!$A:$AS,MATCH($Q$1,Database!$A$1:$AS$1,),)))))/(((VLOOKUP(EDATE(B36,-12),Database!$A:$AS,MATCH($Q$1,Database!$A$1:$AS$1,),)))))</f>
        <v/>
      </c>
      <c r="R36" s="13">
        <f>IF(VLOOKUP(B36,Database!$A:$AV,MATCH($R$1,Database!$A$1:$AV$1,),)=0,"#N/A",((((VLOOKUP(B36,Database!$A:$AS,MATCH($R$1,Database!$A$1:$AS$1,),))))-(((VLOOKUP(EDATE(B36,-12),Database!$A:$AS,MATCH($R$1,Database!$A$1:$AS$1,),)))))/(((VLOOKUP(EDATE(B36,-12),Database!$A:$AS,MATCH($R$1,Database!$A$1:$AS$1,),)))))</f>
        <v/>
      </c>
      <c r="S36" s="13">
        <f>IF(VLOOKUP(B36,Database!$A:$AV,MATCH($S$1,Database!$A$1:$AV$1,),)=0,"#N/A",((((VLOOKUP(B36,Database!$A:$AS,MATCH($S$1,Database!$A$1:$AS$1,),))))-(((VLOOKUP(EDATE(B36,-12),Database!$A:$AS,MATCH($S$1,Database!$A$1:$AS$1,),)))))/(((VLOOKUP(EDATE(B36,-12),Database!$A:$AS,MATCH($S$1,Database!$A$1:$AS$1,),)))))</f>
        <v/>
      </c>
      <c r="T36" s="13">
        <f>IF(VLOOKUP(B36,Database!$A:$AV,MATCH($T$1,Database!$A$1:$AV$1,),)=0,"#N/A",((((VLOOKUP(B36,Database!$A:$AS,MATCH($T$1,Database!$A$1:$AS$1,),))))-(((VLOOKUP(EDATE(B36,-12),Database!$A:$AS,MATCH($T$1,Database!$A$1:$AS$1,),)))))/(((VLOOKUP(EDATE(B36,-12),Database!$A:$AS,MATCH($T$1,Database!$A$1:$AS$1,),)))))</f>
        <v/>
      </c>
      <c r="U36" s="13">
        <f>IF(VLOOKUP(B36,Database!$A:$AV,MATCH($U$1,Database!$A$1:$AV$1,),)=0,"#N/A",((((VLOOKUP(B36,Database!$A:$AS,MATCH($U$1,Database!$A$1:$AS$1,),))))-(((VLOOKUP(EDATE(B36,-12),Database!$A:$AS,MATCH($U$1,Database!$A$1:$AS$1,),)))))/(((VLOOKUP(EDATE(B36,-12),Database!$A:$AS,MATCH($U$1,Database!$A$1:$AS$1,),)))))</f>
        <v/>
      </c>
      <c r="V36" s="13">
        <f>IF(VLOOKUP(B36,Database!$A:$AV,MATCH($V$1,Database!$A$1:$AV$1,),)=0,"#N/A",((((VLOOKUP(B36,Database!$A:$AS,MATCH($V$1,Database!$A$1:$AS$1,),))))-(((VLOOKUP(EDATE(B36,-12),Database!$A:$AS,MATCH($V$1,Database!$A$1:$AS$1,),)))))/(((VLOOKUP(EDATE(B36,-12),Database!$A:$AS,MATCH($V$1,Database!$A$1:$AS$1,),)))))</f>
        <v/>
      </c>
    </row>
    <row r="37" customFormat="1" s="86">
      <c r="A37" s="43" t="n"/>
      <c r="B37" s="75" t="n">
        <v>33270</v>
      </c>
      <c r="C37" s="13">
        <f>IF(VLOOKUP(B37,Database!$A:$AU,MATCH($C$1,Database!$A$1:$AU$1,),)=0,"#N/A",((((VLOOKUP(B37,Database!$A:$AU,MATCH($C$1,Database!$A$1:$AU$1,),))))-(((VLOOKUP(EDATE(B37,-12),Database!$A:$AU,MATCH($C$1,Database!$A$1:$AU$1,),)))))/(((VLOOKUP(EDATE(B37,-12),Database!$A:$AU,MATCH($C$1,Database!$A$1:$AU$1,),)))))</f>
        <v/>
      </c>
      <c r="D37" s="13">
        <f>IF(VLOOKUP(B37,Database!$A:$AV,MATCH($D$1,Database!$A$1:$AV$1,),)=0,"#N/A",((((VLOOKUP(B37,Database!$A:$AS,MATCH($D$1,Database!$A$1:$AS$1,),))))-(((VLOOKUP(EDATE(B37,-12),Database!$A:$AS,MATCH($D$1,Database!$A$1:$AS$1,),)))))/(((VLOOKUP(EDATE(B37,-12),Database!$A:$AS,MATCH($D$1,Database!$A$1:$AS$1,),)))))</f>
        <v/>
      </c>
      <c r="E37" s="13">
        <f>IF(VLOOKUP(B37,Database!$A:$AV,MATCH($E$1,Database!$A$1:$AV$1,),)=0,"#N/A",((((VLOOKUP(B37,Database!$A:$AS,MATCH($E$1,Database!$A$1:$AS$1,),))))-(((VLOOKUP(EDATE(B37,-12),Database!$A:$AS,MATCH($E$1,Database!$A$1:$AS$1,),)))))/(((VLOOKUP(EDATE(B37,-12),Database!$A:$AS,MATCH($E$1,Database!$A$1:$AS$1,),)))))</f>
        <v/>
      </c>
      <c r="F37" s="13">
        <f>IF(VLOOKUP(B37,Database!$A:$AV,MATCH($F$1,Database!$A$1:$AV$1,),)=0,"#N/A",((((VLOOKUP(B37,Database!$A:$AS,MATCH($F$1,Database!$A$1:$AS$1,),))))-(((VLOOKUP(EDATE(B37,-12),Database!$A:$AS,MATCH($F$1,Database!$A$1:$AS$1,),)))))/(((VLOOKUP(EDATE(B37,-12),Database!$A:$AS,MATCH($F$1,Database!$A$1:$AS$1,),)))))</f>
        <v/>
      </c>
      <c r="G37" s="13">
        <f>IF(VLOOKUP(B37,Database!$A:$AV,MATCH($G$1,Database!$A$1:$AV$1,),)=0,"#N/A",((((VLOOKUP(B37,Database!$A:$AS,MATCH($G$1,Database!$A$1:$AS$1,),))))-(((VLOOKUP(EDATE(B37,-12),Database!$A:$AS,MATCH($G$1,Database!$A$1:$AS$1,),)))))/(((VLOOKUP(EDATE(B37,-12),Database!$A:$AS,MATCH($G$1,Database!$A$1:$AS$1,),)))))</f>
        <v/>
      </c>
      <c r="H37" s="13">
        <f>IF(VLOOKUP(B37,Database!$A:$AV,MATCH($H$1,Database!$A$1:$AV$1,),)=0,"#N/A",((((VLOOKUP(B37,Database!$A:$AS,MATCH($H$1,Database!$A$1:$AS$1,),))))-(((VLOOKUP(EDATE(B37,-12),Database!$A:$AS,MATCH($H$1,Database!$A$1:$AS$1,),)))))/(((VLOOKUP(EDATE(B37,-12),Database!$A:$AS,MATCH($H$1,Database!$A$1:$AS$1,),)))))</f>
        <v/>
      </c>
      <c r="I37" s="13">
        <f>IF(VLOOKUP(B37,Database!$A:$AV,MATCH($I$1,Database!$A$1:$AV$1,),)=0,"#N/A",((((VLOOKUP(B37,Database!$A:$AS,MATCH($I$1,Database!$A$1:$AS$1,),))))-(((VLOOKUP(EDATE(B37,-12),Database!$A:$AS,MATCH($I$1,Database!$A$1:$AS$1,),)))))/(((VLOOKUP(EDATE(B37,-12),Database!$A:$AS,MATCH($I$1,Database!$A$1:$AS$1,),)))))</f>
        <v/>
      </c>
      <c r="J37" s="13">
        <f>IF(VLOOKUP(B37,Database!$A:$AV,MATCH($J$1,Database!$A$1:$AV$1,),)=0,"#N/A",((((VLOOKUP(B37,Database!$A:$AS,MATCH($J$1,Database!$A$1:$AS$1,),))))-(((VLOOKUP(EDATE(B37,-12),Database!$A:$AS,MATCH($J$1,Database!$A$1:$AS$1,),)))))/(((VLOOKUP(EDATE(B37,-12),Database!$A:$AS,MATCH($J$1,Database!$A$1:$AS$1,),)))))</f>
        <v/>
      </c>
      <c r="K37" s="13">
        <f>IF(VLOOKUP(B37,Database!$A:$AV,MATCH($K$1,Database!$A$1:$AV$1,),)=0,"#N/A",((((VLOOKUP(B37,Database!$A:$AS,MATCH($K$1,Database!$A$1:$AS$1,),))))-(((VLOOKUP(EDATE(B37,-12),Database!$A:$AS,MATCH($K$1,Database!$A$1:$AS$1,),)))))/(((VLOOKUP(EDATE(B37,-12),Database!$A:$AS,MATCH($K$1,Database!$A$1:$AS$1,),)))))</f>
        <v/>
      </c>
      <c r="L37" s="13">
        <f>((((VLOOKUP(B37,Database!$A:$AS,MATCH($L$1,Database!$A$1:$AS$1,),))))-(((VLOOKUP(EDATE(B37,-12),Database!$A:$AS,MATCH($L$1,Database!$A$1:$AS$1,),)))))/(((VLOOKUP(EDATE(B37,-12),Database!$A:$AS,MATCH($L$1,Database!$A$1:$AS$1,),))))</f>
        <v/>
      </c>
      <c r="M37" s="13">
        <f>((((VLOOKUP(B37,Database!$A:$AS,MATCH($M$1,Database!$A$1:$AS$1,),))))-(((VLOOKUP(EDATE(B37,-12),Database!$A:$AS,MATCH($M$1,Database!$A$1:$AS$1,),)))))/(((VLOOKUP(EDATE(B37,-12),Database!$A:$AS,MATCH($M$1,Database!$A$1:$AS$1,),))))</f>
        <v/>
      </c>
      <c r="N37" s="13">
        <f>((((VLOOKUP(B37,Database!$A:$AS,MATCH($N$1,Database!$A$1:$AS$1,),))))-(((VLOOKUP(EDATE(B37,-12),Database!$A:$AS,MATCH($N$1,Database!$A$1:$AS$1,),)))))/(((VLOOKUP(EDATE(B37,-12),Database!$A:$AS,MATCH($N$1,Database!$A$1:$AS$1,),))))</f>
        <v/>
      </c>
      <c r="O37" s="13">
        <f>IF(VLOOKUP(B37,Database!$A:$AV,MATCH($O$1,Database!$A$1:$AV$1,),)=0,"#N/A",((((VLOOKUP(B37,Database!$A:$AS,MATCH($O$1,Database!$A$1:$AS$1,),))))-(((VLOOKUP(EDATE(B37,-12),Database!$A:$AS,MATCH($O$1,Database!$A$1:$AS$1,),)))))/(((VLOOKUP(EDATE(B37,-12),Database!$A:$AS,MATCH($O$1,Database!$A$1:$AS$1,),)))))</f>
        <v/>
      </c>
      <c r="P37" s="13">
        <f>IF(VLOOKUP(B37,Database!$A:$AV,MATCH($P$1,Database!$A$1:$AV$1,),)=0,"#N/A",((((VLOOKUP(B37,Database!$A:$AS,MATCH($P$1,Database!$A$1:$AS$1,),))))-(((VLOOKUP(EDATE(B37,-12),Database!$A:$AS,MATCH($P$1,Database!$A$1:$AS$1,),)))))/(((VLOOKUP(EDATE(B37,-12),Database!$A:$AS,MATCH($P$1,Database!$A$1:$AS$1,),)))))</f>
        <v/>
      </c>
      <c r="Q37" s="13">
        <f>IF(VLOOKUP(B37,Database!$A:$AV,MATCH($Q$1,Database!$A$1:$AV$1,),)=0,"#N/A",((((VLOOKUP(B37,Database!$A:$AS,MATCH($Q$1,Database!$A$1:$AS$1,),))))-(((VLOOKUP(EDATE(B37,-12),Database!$A:$AS,MATCH($Q$1,Database!$A$1:$AS$1,),)))))/(((VLOOKUP(EDATE(B37,-12),Database!$A:$AS,MATCH($Q$1,Database!$A$1:$AS$1,),)))))</f>
        <v/>
      </c>
      <c r="R37" s="13">
        <f>IF(VLOOKUP(B37,Database!$A:$AV,MATCH($R$1,Database!$A$1:$AV$1,),)=0,"#N/A",((((VLOOKUP(B37,Database!$A:$AS,MATCH($R$1,Database!$A$1:$AS$1,),))))-(((VLOOKUP(EDATE(B37,-12),Database!$A:$AS,MATCH($R$1,Database!$A$1:$AS$1,),)))))/(((VLOOKUP(EDATE(B37,-12),Database!$A:$AS,MATCH($R$1,Database!$A$1:$AS$1,),)))))</f>
        <v/>
      </c>
      <c r="S37" s="13">
        <f>IF(VLOOKUP(B37,Database!$A:$AV,MATCH($S$1,Database!$A$1:$AV$1,),)=0,"#N/A",((((VLOOKUP(B37,Database!$A:$AS,MATCH($S$1,Database!$A$1:$AS$1,),))))-(((VLOOKUP(EDATE(B37,-12),Database!$A:$AS,MATCH($S$1,Database!$A$1:$AS$1,),)))))/(((VLOOKUP(EDATE(B37,-12),Database!$A:$AS,MATCH($S$1,Database!$A$1:$AS$1,),)))))</f>
        <v/>
      </c>
      <c r="T37" s="13">
        <f>IF(VLOOKUP(B37,Database!$A:$AV,MATCH($T$1,Database!$A$1:$AV$1,),)=0,"#N/A",((((VLOOKUP(B37,Database!$A:$AS,MATCH($T$1,Database!$A$1:$AS$1,),))))-(((VLOOKUP(EDATE(B37,-12),Database!$A:$AS,MATCH($T$1,Database!$A$1:$AS$1,),)))))/(((VLOOKUP(EDATE(B37,-12),Database!$A:$AS,MATCH($T$1,Database!$A$1:$AS$1,),)))))</f>
        <v/>
      </c>
      <c r="U37" s="13">
        <f>IF(VLOOKUP(B37,Database!$A:$AV,MATCH($U$1,Database!$A$1:$AV$1,),)=0,"#N/A",((((VLOOKUP(B37,Database!$A:$AS,MATCH($U$1,Database!$A$1:$AS$1,),))))-(((VLOOKUP(EDATE(B37,-12),Database!$A:$AS,MATCH($U$1,Database!$A$1:$AS$1,),)))))/(((VLOOKUP(EDATE(B37,-12),Database!$A:$AS,MATCH($U$1,Database!$A$1:$AS$1,),)))))</f>
        <v/>
      </c>
      <c r="V37" s="13">
        <f>IF(VLOOKUP(B37,Database!$A:$AV,MATCH($V$1,Database!$A$1:$AV$1,),)=0,"#N/A",((((VLOOKUP(B37,Database!$A:$AS,MATCH($V$1,Database!$A$1:$AS$1,),))))-(((VLOOKUP(EDATE(B37,-12),Database!$A:$AS,MATCH($V$1,Database!$A$1:$AS$1,),)))))/(((VLOOKUP(EDATE(B37,-12),Database!$A:$AS,MATCH($V$1,Database!$A$1:$AS$1,),)))))</f>
        <v/>
      </c>
    </row>
    <row r="38" customFormat="1" s="86">
      <c r="A38" s="43" t="n"/>
      <c r="B38" s="75" t="n">
        <v>33298</v>
      </c>
      <c r="C38" s="13">
        <f>IF(VLOOKUP(B38,Database!$A:$AU,MATCH($C$1,Database!$A$1:$AU$1,),)=0,"#N/A",((((VLOOKUP(B38,Database!$A:$AU,MATCH($C$1,Database!$A$1:$AU$1,),))))-(((VLOOKUP(EDATE(B38,-12),Database!$A:$AU,MATCH($C$1,Database!$A$1:$AU$1,),)))))/(((VLOOKUP(EDATE(B38,-12),Database!$A:$AU,MATCH($C$1,Database!$A$1:$AU$1,),)))))</f>
        <v/>
      </c>
      <c r="D38" s="13">
        <f>IF(VLOOKUP(B38,Database!$A:$AV,MATCH($D$1,Database!$A$1:$AV$1,),)=0,"#N/A",((((VLOOKUP(B38,Database!$A:$AS,MATCH($D$1,Database!$A$1:$AS$1,),))))-(((VLOOKUP(EDATE(B38,-12),Database!$A:$AS,MATCH($D$1,Database!$A$1:$AS$1,),)))))/(((VLOOKUP(EDATE(B38,-12),Database!$A:$AS,MATCH($D$1,Database!$A$1:$AS$1,),)))))</f>
        <v/>
      </c>
      <c r="E38" s="13">
        <f>IF(VLOOKUP(B38,Database!$A:$AV,MATCH($E$1,Database!$A$1:$AV$1,),)=0,"#N/A",((((VLOOKUP(B38,Database!$A:$AS,MATCH($E$1,Database!$A$1:$AS$1,),))))-(((VLOOKUP(EDATE(B38,-12),Database!$A:$AS,MATCH($E$1,Database!$A$1:$AS$1,),)))))/(((VLOOKUP(EDATE(B38,-12),Database!$A:$AS,MATCH($E$1,Database!$A$1:$AS$1,),)))))</f>
        <v/>
      </c>
      <c r="F38" s="13">
        <f>IF(VLOOKUP(B38,Database!$A:$AV,MATCH($F$1,Database!$A$1:$AV$1,),)=0,"#N/A",((((VLOOKUP(B38,Database!$A:$AS,MATCH($F$1,Database!$A$1:$AS$1,),))))-(((VLOOKUP(EDATE(B38,-12),Database!$A:$AS,MATCH($F$1,Database!$A$1:$AS$1,),)))))/(((VLOOKUP(EDATE(B38,-12),Database!$A:$AS,MATCH($F$1,Database!$A$1:$AS$1,),)))))</f>
        <v/>
      </c>
      <c r="G38" s="13">
        <f>IF(VLOOKUP(B38,Database!$A:$AV,MATCH($G$1,Database!$A$1:$AV$1,),)=0,"#N/A",((((VLOOKUP(B38,Database!$A:$AS,MATCH($G$1,Database!$A$1:$AS$1,),))))-(((VLOOKUP(EDATE(B38,-12),Database!$A:$AS,MATCH($G$1,Database!$A$1:$AS$1,),)))))/(((VLOOKUP(EDATE(B38,-12),Database!$A:$AS,MATCH($G$1,Database!$A$1:$AS$1,),)))))</f>
        <v/>
      </c>
      <c r="H38" s="13">
        <f>IF(VLOOKUP(B38,Database!$A:$AV,MATCH($H$1,Database!$A$1:$AV$1,),)=0,"#N/A",((((VLOOKUP(B38,Database!$A:$AS,MATCH($H$1,Database!$A$1:$AS$1,),))))-(((VLOOKUP(EDATE(B38,-12),Database!$A:$AS,MATCH($H$1,Database!$A$1:$AS$1,),)))))/(((VLOOKUP(EDATE(B38,-12),Database!$A:$AS,MATCH($H$1,Database!$A$1:$AS$1,),)))))</f>
        <v/>
      </c>
      <c r="I38" s="13">
        <f>IF(VLOOKUP(B38,Database!$A:$AV,MATCH($I$1,Database!$A$1:$AV$1,),)=0,"#N/A",((((VLOOKUP(B38,Database!$A:$AS,MATCH($I$1,Database!$A$1:$AS$1,),))))-(((VLOOKUP(EDATE(B38,-12),Database!$A:$AS,MATCH($I$1,Database!$A$1:$AS$1,),)))))/(((VLOOKUP(EDATE(B38,-12),Database!$A:$AS,MATCH($I$1,Database!$A$1:$AS$1,),)))))</f>
        <v/>
      </c>
      <c r="J38" s="13">
        <f>IF(VLOOKUP(B38,Database!$A:$AV,MATCH($J$1,Database!$A$1:$AV$1,),)=0,"#N/A",((((VLOOKUP(B38,Database!$A:$AS,MATCH($J$1,Database!$A$1:$AS$1,),))))-(((VLOOKUP(EDATE(B38,-12),Database!$A:$AS,MATCH($J$1,Database!$A$1:$AS$1,),)))))/(((VLOOKUP(EDATE(B38,-12),Database!$A:$AS,MATCH($J$1,Database!$A$1:$AS$1,),)))))</f>
        <v/>
      </c>
      <c r="K38" s="13">
        <f>IF(VLOOKUP(B38,Database!$A:$AV,MATCH($K$1,Database!$A$1:$AV$1,),)=0,"#N/A",((((VLOOKUP(B38,Database!$A:$AS,MATCH($K$1,Database!$A$1:$AS$1,),))))-(((VLOOKUP(EDATE(B38,-12),Database!$A:$AS,MATCH($K$1,Database!$A$1:$AS$1,),)))))/(((VLOOKUP(EDATE(B38,-12),Database!$A:$AS,MATCH($K$1,Database!$A$1:$AS$1,),)))))</f>
        <v/>
      </c>
      <c r="L38" s="13">
        <f>((((VLOOKUP(B38,Database!$A:$AS,MATCH($L$1,Database!$A$1:$AS$1,),))))-(((VLOOKUP(EDATE(B38,-12),Database!$A:$AS,MATCH($L$1,Database!$A$1:$AS$1,),)))))/(((VLOOKUP(EDATE(B38,-12),Database!$A:$AS,MATCH($L$1,Database!$A$1:$AS$1,),))))</f>
        <v/>
      </c>
      <c r="M38" s="13">
        <f>((((VLOOKUP(B38,Database!$A:$AS,MATCH($M$1,Database!$A$1:$AS$1,),))))-(((VLOOKUP(EDATE(B38,-12),Database!$A:$AS,MATCH($M$1,Database!$A$1:$AS$1,),)))))/(((VLOOKUP(EDATE(B38,-12),Database!$A:$AS,MATCH($M$1,Database!$A$1:$AS$1,),))))</f>
        <v/>
      </c>
      <c r="N38" s="13">
        <f>((((VLOOKUP(B38,Database!$A:$AS,MATCH($N$1,Database!$A$1:$AS$1,),))))-(((VLOOKUP(EDATE(B38,-12),Database!$A:$AS,MATCH($N$1,Database!$A$1:$AS$1,),)))))/(((VLOOKUP(EDATE(B38,-12),Database!$A:$AS,MATCH($N$1,Database!$A$1:$AS$1,),))))</f>
        <v/>
      </c>
      <c r="O38" s="13">
        <f>IF(VLOOKUP(B38,Database!$A:$AV,MATCH($O$1,Database!$A$1:$AV$1,),)=0,"#N/A",((((VLOOKUP(B38,Database!$A:$AS,MATCH($O$1,Database!$A$1:$AS$1,),))))-(((VLOOKUP(EDATE(B38,-12),Database!$A:$AS,MATCH($O$1,Database!$A$1:$AS$1,),)))))/(((VLOOKUP(EDATE(B38,-12),Database!$A:$AS,MATCH($O$1,Database!$A$1:$AS$1,),)))))</f>
        <v/>
      </c>
      <c r="P38" s="13">
        <f>IF(VLOOKUP(B38,Database!$A:$AV,MATCH($P$1,Database!$A$1:$AV$1,),)=0,"#N/A",((((VLOOKUP(B38,Database!$A:$AS,MATCH($P$1,Database!$A$1:$AS$1,),))))-(((VLOOKUP(EDATE(B38,-12),Database!$A:$AS,MATCH($P$1,Database!$A$1:$AS$1,),)))))/(((VLOOKUP(EDATE(B38,-12),Database!$A:$AS,MATCH($P$1,Database!$A$1:$AS$1,),)))))</f>
        <v/>
      </c>
      <c r="Q38" s="13">
        <f>IF(VLOOKUP(B38,Database!$A:$AV,MATCH($Q$1,Database!$A$1:$AV$1,),)=0,"#N/A",((((VLOOKUP(B38,Database!$A:$AS,MATCH($Q$1,Database!$A$1:$AS$1,),))))-(((VLOOKUP(EDATE(B38,-12),Database!$A:$AS,MATCH($Q$1,Database!$A$1:$AS$1,),)))))/(((VLOOKUP(EDATE(B38,-12),Database!$A:$AS,MATCH($Q$1,Database!$A$1:$AS$1,),)))))</f>
        <v/>
      </c>
      <c r="R38" s="13">
        <f>IF(VLOOKUP(B38,Database!$A:$AV,MATCH($R$1,Database!$A$1:$AV$1,),)=0,"#N/A",((((VLOOKUP(B38,Database!$A:$AS,MATCH($R$1,Database!$A$1:$AS$1,),))))-(((VLOOKUP(EDATE(B38,-12),Database!$A:$AS,MATCH($R$1,Database!$A$1:$AS$1,),)))))/(((VLOOKUP(EDATE(B38,-12),Database!$A:$AS,MATCH($R$1,Database!$A$1:$AS$1,),)))))</f>
        <v/>
      </c>
      <c r="S38" s="13">
        <f>IF(VLOOKUP(B38,Database!$A:$AV,MATCH($S$1,Database!$A$1:$AV$1,),)=0,"#N/A",((((VLOOKUP(B38,Database!$A:$AS,MATCH($S$1,Database!$A$1:$AS$1,),))))-(((VLOOKUP(EDATE(B38,-12),Database!$A:$AS,MATCH($S$1,Database!$A$1:$AS$1,),)))))/(((VLOOKUP(EDATE(B38,-12),Database!$A:$AS,MATCH($S$1,Database!$A$1:$AS$1,),)))))</f>
        <v/>
      </c>
      <c r="T38" s="13">
        <f>IF(VLOOKUP(B38,Database!$A:$AV,MATCH($T$1,Database!$A$1:$AV$1,),)=0,"#N/A",((((VLOOKUP(B38,Database!$A:$AS,MATCH($T$1,Database!$A$1:$AS$1,),))))-(((VLOOKUP(EDATE(B38,-12),Database!$A:$AS,MATCH($T$1,Database!$A$1:$AS$1,),)))))/(((VLOOKUP(EDATE(B38,-12),Database!$A:$AS,MATCH($T$1,Database!$A$1:$AS$1,),)))))</f>
        <v/>
      </c>
      <c r="U38" s="13">
        <f>IF(VLOOKUP(B38,Database!$A:$AV,MATCH($U$1,Database!$A$1:$AV$1,),)=0,"#N/A",((((VLOOKUP(B38,Database!$A:$AS,MATCH($U$1,Database!$A$1:$AS$1,),))))-(((VLOOKUP(EDATE(B38,-12),Database!$A:$AS,MATCH($U$1,Database!$A$1:$AS$1,),)))))/(((VLOOKUP(EDATE(B38,-12),Database!$A:$AS,MATCH($U$1,Database!$A$1:$AS$1,),)))))</f>
        <v/>
      </c>
      <c r="V38" s="13">
        <f>IF(VLOOKUP(B38,Database!$A:$AV,MATCH($V$1,Database!$A$1:$AV$1,),)=0,"#N/A",((((VLOOKUP(B38,Database!$A:$AS,MATCH($V$1,Database!$A$1:$AS$1,),))))-(((VLOOKUP(EDATE(B38,-12),Database!$A:$AS,MATCH($V$1,Database!$A$1:$AS$1,),)))))/(((VLOOKUP(EDATE(B38,-12),Database!$A:$AS,MATCH($V$1,Database!$A$1:$AS$1,),)))))</f>
        <v/>
      </c>
    </row>
    <row r="39" customFormat="1" s="86">
      <c r="A39" s="43" t="n"/>
      <c r="B39" s="75" t="n">
        <v>33329</v>
      </c>
      <c r="C39" s="13">
        <f>IF(VLOOKUP(B39,Database!$A:$AU,MATCH($C$1,Database!$A$1:$AU$1,),)=0,"#N/A",((((VLOOKUP(B39,Database!$A:$AU,MATCH($C$1,Database!$A$1:$AU$1,),))))-(((VLOOKUP(EDATE(B39,-12),Database!$A:$AU,MATCH($C$1,Database!$A$1:$AU$1,),)))))/(((VLOOKUP(EDATE(B39,-12),Database!$A:$AU,MATCH($C$1,Database!$A$1:$AU$1,),)))))</f>
        <v/>
      </c>
      <c r="D39" s="13">
        <f>IF(VLOOKUP(B39,Database!$A:$AV,MATCH($D$1,Database!$A$1:$AV$1,),)=0,"#N/A",((((VLOOKUP(B39,Database!$A:$AS,MATCH($D$1,Database!$A$1:$AS$1,),))))-(((VLOOKUP(EDATE(B39,-12),Database!$A:$AS,MATCH($D$1,Database!$A$1:$AS$1,),)))))/(((VLOOKUP(EDATE(B39,-12),Database!$A:$AS,MATCH($D$1,Database!$A$1:$AS$1,),)))))</f>
        <v/>
      </c>
      <c r="E39" s="13">
        <f>IF(VLOOKUP(B39,Database!$A:$AV,MATCH($E$1,Database!$A$1:$AV$1,),)=0,"#N/A",((((VLOOKUP(B39,Database!$A:$AS,MATCH($E$1,Database!$A$1:$AS$1,),))))-(((VLOOKUP(EDATE(B39,-12),Database!$A:$AS,MATCH($E$1,Database!$A$1:$AS$1,),)))))/(((VLOOKUP(EDATE(B39,-12),Database!$A:$AS,MATCH($E$1,Database!$A$1:$AS$1,),)))))</f>
        <v/>
      </c>
      <c r="F39" s="13">
        <f>IF(VLOOKUP(B39,Database!$A:$AV,MATCH($F$1,Database!$A$1:$AV$1,),)=0,"#N/A",((((VLOOKUP(B39,Database!$A:$AS,MATCH($F$1,Database!$A$1:$AS$1,),))))-(((VLOOKUP(EDATE(B39,-12),Database!$A:$AS,MATCH($F$1,Database!$A$1:$AS$1,),)))))/(((VLOOKUP(EDATE(B39,-12),Database!$A:$AS,MATCH($F$1,Database!$A$1:$AS$1,),)))))</f>
        <v/>
      </c>
      <c r="G39" s="13">
        <f>IF(VLOOKUP(B39,Database!$A:$AV,MATCH($G$1,Database!$A$1:$AV$1,),)=0,"#N/A",((((VLOOKUP(B39,Database!$A:$AS,MATCH($G$1,Database!$A$1:$AS$1,),))))-(((VLOOKUP(EDATE(B39,-12),Database!$A:$AS,MATCH($G$1,Database!$A$1:$AS$1,),)))))/(((VLOOKUP(EDATE(B39,-12),Database!$A:$AS,MATCH($G$1,Database!$A$1:$AS$1,),)))))</f>
        <v/>
      </c>
      <c r="H39" s="13">
        <f>IF(VLOOKUP(B39,Database!$A:$AV,MATCH($H$1,Database!$A$1:$AV$1,),)=0,"#N/A",((((VLOOKUP(B39,Database!$A:$AS,MATCH($H$1,Database!$A$1:$AS$1,),))))-(((VLOOKUP(EDATE(B39,-12),Database!$A:$AS,MATCH($H$1,Database!$A$1:$AS$1,),)))))/(((VLOOKUP(EDATE(B39,-12),Database!$A:$AS,MATCH($H$1,Database!$A$1:$AS$1,),)))))</f>
        <v/>
      </c>
      <c r="I39" s="13">
        <f>IF(VLOOKUP(B39,Database!$A:$AV,MATCH($I$1,Database!$A$1:$AV$1,),)=0,"#N/A",((((VLOOKUP(B39,Database!$A:$AS,MATCH($I$1,Database!$A$1:$AS$1,),))))-(((VLOOKUP(EDATE(B39,-12),Database!$A:$AS,MATCH($I$1,Database!$A$1:$AS$1,),)))))/(((VLOOKUP(EDATE(B39,-12),Database!$A:$AS,MATCH($I$1,Database!$A$1:$AS$1,),)))))</f>
        <v/>
      </c>
      <c r="J39" s="13">
        <f>IF(VLOOKUP(B39,Database!$A:$AV,MATCH($J$1,Database!$A$1:$AV$1,),)=0,"#N/A",((((VLOOKUP(B39,Database!$A:$AS,MATCH($J$1,Database!$A$1:$AS$1,),))))-(((VLOOKUP(EDATE(B39,-12),Database!$A:$AS,MATCH($J$1,Database!$A$1:$AS$1,),)))))/(((VLOOKUP(EDATE(B39,-12),Database!$A:$AS,MATCH($J$1,Database!$A$1:$AS$1,),)))))</f>
        <v/>
      </c>
      <c r="K39" s="13">
        <f>IF(VLOOKUP(B39,Database!$A:$AV,MATCH($K$1,Database!$A$1:$AV$1,),)=0,"#N/A",((((VLOOKUP(B39,Database!$A:$AS,MATCH($K$1,Database!$A$1:$AS$1,),))))-(((VLOOKUP(EDATE(B39,-12),Database!$A:$AS,MATCH($K$1,Database!$A$1:$AS$1,),)))))/(((VLOOKUP(EDATE(B39,-12),Database!$A:$AS,MATCH($K$1,Database!$A$1:$AS$1,),)))))</f>
        <v/>
      </c>
      <c r="L39" s="13">
        <f>((((VLOOKUP(B39,Database!$A:$AS,MATCH($L$1,Database!$A$1:$AS$1,),))))-(((VLOOKUP(EDATE(B39,-12),Database!$A:$AS,MATCH($L$1,Database!$A$1:$AS$1,),)))))/(((VLOOKUP(EDATE(B39,-12),Database!$A:$AS,MATCH($L$1,Database!$A$1:$AS$1,),))))</f>
        <v/>
      </c>
      <c r="M39" s="13">
        <f>((((VLOOKUP(B39,Database!$A:$AS,MATCH($M$1,Database!$A$1:$AS$1,),))))-(((VLOOKUP(EDATE(B39,-12),Database!$A:$AS,MATCH($M$1,Database!$A$1:$AS$1,),)))))/(((VLOOKUP(EDATE(B39,-12),Database!$A:$AS,MATCH($M$1,Database!$A$1:$AS$1,),))))</f>
        <v/>
      </c>
      <c r="N39" s="13">
        <f>((((VLOOKUP(B39,Database!$A:$AS,MATCH($N$1,Database!$A$1:$AS$1,),))))-(((VLOOKUP(EDATE(B39,-12),Database!$A:$AS,MATCH($N$1,Database!$A$1:$AS$1,),)))))/(((VLOOKUP(EDATE(B39,-12),Database!$A:$AS,MATCH($N$1,Database!$A$1:$AS$1,),))))</f>
        <v/>
      </c>
      <c r="O39" s="13">
        <f>IF(VLOOKUP(B39,Database!$A:$AV,MATCH($O$1,Database!$A$1:$AV$1,),)=0,"#N/A",((((VLOOKUP(B39,Database!$A:$AS,MATCH($O$1,Database!$A$1:$AS$1,),))))-(((VLOOKUP(EDATE(B39,-12),Database!$A:$AS,MATCH($O$1,Database!$A$1:$AS$1,),)))))/(((VLOOKUP(EDATE(B39,-12),Database!$A:$AS,MATCH($O$1,Database!$A$1:$AS$1,),)))))</f>
        <v/>
      </c>
      <c r="P39" s="13">
        <f>IF(VLOOKUP(B39,Database!$A:$AV,MATCH($P$1,Database!$A$1:$AV$1,),)=0,"#N/A",((((VLOOKUP(B39,Database!$A:$AS,MATCH($P$1,Database!$A$1:$AS$1,),))))-(((VLOOKUP(EDATE(B39,-12),Database!$A:$AS,MATCH($P$1,Database!$A$1:$AS$1,),)))))/(((VLOOKUP(EDATE(B39,-12),Database!$A:$AS,MATCH($P$1,Database!$A$1:$AS$1,),)))))</f>
        <v/>
      </c>
      <c r="Q39" s="13">
        <f>IF(VLOOKUP(B39,Database!$A:$AV,MATCH($Q$1,Database!$A$1:$AV$1,),)=0,"#N/A",((((VLOOKUP(B39,Database!$A:$AS,MATCH($Q$1,Database!$A$1:$AS$1,),))))-(((VLOOKUP(EDATE(B39,-12),Database!$A:$AS,MATCH($Q$1,Database!$A$1:$AS$1,),)))))/(((VLOOKUP(EDATE(B39,-12),Database!$A:$AS,MATCH($Q$1,Database!$A$1:$AS$1,),)))))</f>
        <v/>
      </c>
      <c r="R39" s="13">
        <f>IF(VLOOKUP(B39,Database!$A:$AV,MATCH($R$1,Database!$A$1:$AV$1,),)=0,"#N/A",((((VLOOKUP(B39,Database!$A:$AS,MATCH($R$1,Database!$A$1:$AS$1,),))))-(((VLOOKUP(EDATE(B39,-12),Database!$A:$AS,MATCH($R$1,Database!$A$1:$AS$1,),)))))/(((VLOOKUP(EDATE(B39,-12),Database!$A:$AS,MATCH($R$1,Database!$A$1:$AS$1,),)))))</f>
        <v/>
      </c>
      <c r="S39" s="13">
        <f>IF(VLOOKUP(B39,Database!$A:$AV,MATCH($S$1,Database!$A$1:$AV$1,),)=0,"#N/A",((((VLOOKUP(B39,Database!$A:$AS,MATCH($S$1,Database!$A$1:$AS$1,),))))-(((VLOOKUP(EDATE(B39,-12),Database!$A:$AS,MATCH($S$1,Database!$A$1:$AS$1,),)))))/(((VLOOKUP(EDATE(B39,-12),Database!$A:$AS,MATCH($S$1,Database!$A$1:$AS$1,),)))))</f>
        <v/>
      </c>
      <c r="T39" s="13">
        <f>IF(VLOOKUP(B39,Database!$A:$AV,MATCH($T$1,Database!$A$1:$AV$1,),)=0,"#N/A",((((VLOOKUP(B39,Database!$A:$AS,MATCH($T$1,Database!$A$1:$AS$1,),))))-(((VLOOKUP(EDATE(B39,-12),Database!$A:$AS,MATCH($T$1,Database!$A$1:$AS$1,),)))))/(((VLOOKUP(EDATE(B39,-12),Database!$A:$AS,MATCH($T$1,Database!$A$1:$AS$1,),)))))</f>
        <v/>
      </c>
      <c r="U39" s="13">
        <f>IF(VLOOKUP(B39,Database!$A:$AV,MATCH($U$1,Database!$A$1:$AV$1,),)=0,"#N/A",((((VLOOKUP(B39,Database!$A:$AS,MATCH($U$1,Database!$A$1:$AS$1,),))))-(((VLOOKUP(EDATE(B39,-12),Database!$A:$AS,MATCH($U$1,Database!$A$1:$AS$1,),)))))/(((VLOOKUP(EDATE(B39,-12),Database!$A:$AS,MATCH($U$1,Database!$A$1:$AS$1,),)))))</f>
        <v/>
      </c>
      <c r="V39" s="13">
        <f>IF(VLOOKUP(B39,Database!$A:$AV,MATCH($V$1,Database!$A$1:$AV$1,),)=0,"#N/A",((((VLOOKUP(B39,Database!$A:$AS,MATCH($V$1,Database!$A$1:$AS$1,),))))-(((VLOOKUP(EDATE(B39,-12),Database!$A:$AS,MATCH($V$1,Database!$A$1:$AS$1,),)))))/(((VLOOKUP(EDATE(B39,-12),Database!$A:$AS,MATCH($V$1,Database!$A$1:$AS$1,),)))))</f>
        <v/>
      </c>
    </row>
    <row r="40" customFormat="1" s="86">
      <c r="A40" s="43" t="n"/>
      <c r="B40" s="75" t="n">
        <v>33359</v>
      </c>
      <c r="C40" s="13">
        <f>IF(VLOOKUP(B40,Database!$A:$AU,MATCH($C$1,Database!$A$1:$AU$1,),)=0,"#N/A",((((VLOOKUP(B40,Database!$A:$AU,MATCH($C$1,Database!$A$1:$AU$1,),))))-(((VLOOKUP(EDATE(B40,-12),Database!$A:$AU,MATCH($C$1,Database!$A$1:$AU$1,),)))))/(((VLOOKUP(EDATE(B40,-12),Database!$A:$AU,MATCH($C$1,Database!$A$1:$AU$1,),)))))</f>
        <v/>
      </c>
      <c r="D40" s="13">
        <f>IF(VLOOKUP(B40,Database!$A:$AV,MATCH($D$1,Database!$A$1:$AV$1,),)=0,"#N/A",((((VLOOKUP(B40,Database!$A:$AS,MATCH($D$1,Database!$A$1:$AS$1,),))))-(((VLOOKUP(EDATE(B40,-12),Database!$A:$AS,MATCH($D$1,Database!$A$1:$AS$1,),)))))/(((VLOOKUP(EDATE(B40,-12),Database!$A:$AS,MATCH($D$1,Database!$A$1:$AS$1,),)))))</f>
        <v/>
      </c>
      <c r="E40" s="13">
        <f>IF(VLOOKUP(B40,Database!$A:$AV,MATCH($E$1,Database!$A$1:$AV$1,),)=0,"#N/A",((((VLOOKUP(B40,Database!$A:$AS,MATCH($E$1,Database!$A$1:$AS$1,),))))-(((VLOOKUP(EDATE(B40,-12),Database!$A:$AS,MATCH($E$1,Database!$A$1:$AS$1,),)))))/(((VLOOKUP(EDATE(B40,-12),Database!$A:$AS,MATCH($E$1,Database!$A$1:$AS$1,),)))))</f>
        <v/>
      </c>
      <c r="F40" s="13">
        <f>IF(VLOOKUP(B40,Database!$A:$AV,MATCH($F$1,Database!$A$1:$AV$1,),)=0,"#N/A",((((VLOOKUP(B40,Database!$A:$AS,MATCH($F$1,Database!$A$1:$AS$1,),))))-(((VLOOKUP(EDATE(B40,-12),Database!$A:$AS,MATCH($F$1,Database!$A$1:$AS$1,),)))))/(((VLOOKUP(EDATE(B40,-12),Database!$A:$AS,MATCH($F$1,Database!$A$1:$AS$1,),)))))</f>
        <v/>
      </c>
      <c r="G40" s="13">
        <f>IF(VLOOKUP(B40,Database!$A:$AV,MATCH($G$1,Database!$A$1:$AV$1,),)=0,"#N/A",((((VLOOKUP(B40,Database!$A:$AS,MATCH($G$1,Database!$A$1:$AS$1,),))))-(((VLOOKUP(EDATE(B40,-12),Database!$A:$AS,MATCH($G$1,Database!$A$1:$AS$1,),)))))/(((VLOOKUP(EDATE(B40,-12),Database!$A:$AS,MATCH($G$1,Database!$A$1:$AS$1,),)))))</f>
        <v/>
      </c>
      <c r="H40" s="13">
        <f>IF(VLOOKUP(B40,Database!$A:$AV,MATCH($H$1,Database!$A$1:$AV$1,),)=0,"#N/A",((((VLOOKUP(B40,Database!$A:$AS,MATCH($H$1,Database!$A$1:$AS$1,),))))-(((VLOOKUP(EDATE(B40,-12),Database!$A:$AS,MATCH($H$1,Database!$A$1:$AS$1,),)))))/(((VLOOKUP(EDATE(B40,-12),Database!$A:$AS,MATCH($H$1,Database!$A$1:$AS$1,),)))))</f>
        <v/>
      </c>
      <c r="I40" s="13">
        <f>IF(VLOOKUP(B40,Database!$A:$AV,MATCH($I$1,Database!$A$1:$AV$1,),)=0,"#N/A",((((VLOOKUP(B40,Database!$A:$AS,MATCH($I$1,Database!$A$1:$AS$1,),))))-(((VLOOKUP(EDATE(B40,-12),Database!$A:$AS,MATCH($I$1,Database!$A$1:$AS$1,),)))))/(((VLOOKUP(EDATE(B40,-12),Database!$A:$AS,MATCH($I$1,Database!$A$1:$AS$1,),)))))</f>
        <v/>
      </c>
      <c r="J40" s="13">
        <f>IF(VLOOKUP(B40,Database!$A:$AV,MATCH($J$1,Database!$A$1:$AV$1,),)=0,"#N/A",((((VLOOKUP(B40,Database!$A:$AS,MATCH($J$1,Database!$A$1:$AS$1,),))))-(((VLOOKUP(EDATE(B40,-12),Database!$A:$AS,MATCH($J$1,Database!$A$1:$AS$1,),)))))/(((VLOOKUP(EDATE(B40,-12),Database!$A:$AS,MATCH($J$1,Database!$A$1:$AS$1,),)))))</f>
        <v/>
      </c>
      <c r="K40" s="13">
        <f>IF(VLOOKUP(B40,Database!$A:$AV,MATCH($K$1,Database!$A$1:$AV$1,),)=0,"#N/A",((((VLOOKUP(B40,Database!$A:$AS,MATCH($K$1,Database!$A$1:$AS$1,),))))-(((VLOOKUP(EDATE(B40,-12),Database!$A:$AS,MATCH($K$1,Database!$A$1:$AS$1,),)))))/(((VLOOKUP(EDATE(B40,-12),Database!$A:$AS,MATCH($K$1,Database!$A$1:$AS$1,),)))))</f>
        <v/>
      </c>
      <c r="L40" s="13">
        <f>((((VLOOKUP(B40,Database!$A:$AS,MATCH($L$1,Database!$A$1:$AS$1,),))))-(((VLOOKUP(EDATE(B40,-12),Database!$A:$AS,MATCH($L$1,Database!$A$1:$AS$1,),)))))/(((VLOOKUP(EDATE(B40,-12),Database!$A:$AS,MATCH($L$1,Database!$A$1:$AS$1,),))))</f>
        <v/>
      </c>
      <c r="M40" s="13">
        <f>((((VLOOKUP(B40,Database!$A:$AS,MATCH($M$1,Database!$A$1:$AS$1,),))))-(((VLOOKUP(EDATE(B40,-12),Database!$A:$AS,MATCH($M$1,Database!$A$1:$AS$1,),)))))/(((VLOOKUP(EDATE(B40,-12),Database!$A:$AS,MATCH($M$1,Database!$A$1:$AS$1,),))))</f>
        <v/>
      </c>
      <c r="N40" s="13">
        <f>((((VLOOKUP(B40,Database!$A:$AS,MATCH($N$1,Database!$A$1:$AS$1,),))))-(((VLOOKUP(EDATE(B40,-12),Database!$A:$AS,MATCH($N$1,Database!$A$1:$AS$1,),)))))/(((VLOOKUP(EDATE(B40,-12),Database!$A:$AS,MATCH($N$1,Database!$A$1:$AS$1,),))))</f>
        <v/>
      </c>
      <c r="O40" s="13">
        <f>IF(VLOOKUP(B40,Database!$A:$AV,MATCH($O$1,Database!$A$1:$AV$1,),)=0,"#N/A",((((VLOOKUP(B40,Database!$A:$AS,MATCH($O$1,Database!$A$1:$AS$1,),))))-(((VLOOKUP(EDATE(B40,-12),Database!$A:$AS,MATCH($O$1,Database!$A$1:$AS$1,),)))))/(((VLOOKUP(EDATE(B40,-12),Database!$A:$AS,MATCH($O$1,Database!$A$1:$AS$1,),)))))</f>
        <v/>
      </c>
      <c r="P40" s="13">
        <f>IF(VLOOKUP(B40,Database!$A:$AV,MATCH($P$1,Database!$A$1:$AV$1,),)=0,"#N/A",((((VLOOKUP(B40,Database!$A:$AS,MATCH($P$1,Database!$A$1:$AS$1,),))))-(((VLOOKUP(EDATE(B40,-12),Database!$A:$AS,MATCH($P$1,Database!$A$1:$AS$1,),)))))/(((VLOOKUP(EDATE(B40,-12),Database!$A:$AS,MATCH($P$1,Database!$A$1:$AS$1,),)))))</f>
        <v/>
      </c>
      <c r="Q40" s="13">
        <f>IF(VLOOKUP(B40,Database!$A:$AV,MATCH($Q$1,Database!$A$1:$AV$1,),)=0,"#N/A",((((VLOOKUP(B40,Database!$A:$AS,MATCH($Q$1,Database!$A$1:$AS$1,),))))-(((VLOOKUP(EDATE(B40,-12),Database!$A:$AS,MATCH($Q$1,Database!$A$1:$AS$1,),)))))/(((VLOOKUP(EDATE(B40,-12),Database!$A:$AS,MATCH($Q$1,Database!$A$1:$AS$1,),)))))</f>
        <v/>
      </c>
      <c r="R40" s="13">
        <f>IF(VLOOKUP(B40,Database!$A:$AV,MATCH($R$1,Database!$A$1:$AV$1,),)=0,"#N/A",((((VLOOKUP(B40,Database!$A:$AS,MATCH($R$1,Database!$A$1:$AS$1,),))))-(((VLOOKUP(EDATE(B40,-12),Database!$A:$AS,MATCH($R$1,Database!$A$1:$AS$1,),)))))/(((VLOOKUP(EDATE(B40,-12),Database!$A:$AS,MATCH($R$1,Database!$A$1:$AS$1,),)))))</f>
        <v/>
      </c>
      <c r="S40" s="13">
        <f>IF(VLOOKUP(B40,Database!$A:$AV,MATCH($S$1,Database!$A$1:$AV$1,),)=0,"#N/A",((((VLOOKUP(B40,Database!$A:$AS,MATCH($S$1,Database!$A$1:$AS$1,),))))-(((VLOOKUP(EDATE(B40,-12),Database!$A:$AS,MATCH($S$1,Database!$A$1:$AS$1,),)))))/(((VLOOKUP(EDATE(B40,-12),Database!$A:$AS,MATCH($S$1,Database!$A$1:$AS$1,),)))))</f>
        <v/>
      </c>
      <c r="T40" s="13">
        <f>IF(VLOOKUP(B40,Database!$A:$AV,MATCH($T$1,Database!$A$1:$AV$1,),)=0,"#N/A",((((VLOOKUP(B40,Database!$A:$AS,MATCH($T$1,Database!$A$1:$AS$1,),))))-(((VLOOKUP(EDATE(B40,-12),Database!$A:$AS,MATCH($T$1,Database!$A$1:$AS$1,),)))))/(((VLOOKUP(EDATE(B40,-12),Database!$A:$AS,MATCH($T$1,Database!$A$1:$AS$1,),)))))</f>
        <v/>
      </c>
      <c r="U40" s="13">
        <f>IF(VLOOKUP(B40,Database!$A:$AV,MATCH($U$1,Database!$A$1:$AV$1,),)=0,"#N/A",((((VLOOKUP(B40,Database!$A:$AS,MATCH($U$1,Database!$A$1:$AS$1,),))))-(((VLOOKUP(EDATE(B40,-12),Database!$A:$AS,MATCH($U$1,Database!$A$1:$AS$1,),)))))/(((VLOOKUP(EDATE(B40,-12),Database!$A:$AS,MATCH($U$1,Database!$A$1:$AS$1,),)))))</f>
        <v/>
      </c>
      <c r="V40" s="13">
        <f>IF(VLOOKUP(B40,Database!$A:$AV,MATCH($V$1,Database!$A$1:$AV$1,),)=0,"#N/A",((((VLOOKUP(B40,Database!$A:$AS,MATCH($V$1,Database!$A$1:$AS$1,),))))-(((VLOOKUP(EDATE(B40,-12),Database!$A:$AS,MATCH($V$1,Database!$A$1:$AS$1,),)))))/(((VLOOKUP(EDATE(B40,-12),Database!$A:$AS,MATCH($V$1,Database!$A$1:$AS$1,),)))))</f>
        <v/>
      </c>
    </row>
    <row r="41" customFormat="1" s="86">
      <c r="A41" s="43" t="n"/>
      <c r="B41" s="75" t="n">
        <v>33390</v>
      </c>
      <c r="C41" s="13">
        <f>IF(VLOOKUP(B41,Database!$A:$AU,MATCH($C$1,Database!$A$1:$AU$1,),)=0,"#N/A",((((VLOOKUP(B41,Database!$A:$AU,MATCH($C$1,Database!$A$1:$AU$1,),))))-(((VLOOKUP(EDATE(B41,-12),Database!$A:$AU,MATCH($C$1,Database!$A$1:$AU$1,),)))))/(((VLOOKUP(EDATE(B41,-12),Database!$A:$AU,MATCH($C$1,Database!$A$1:$AU$1,),)))))</f>
        <v/>
      </c>
      <c r="D41" s="13">
        <f>IF(VLOOKUP(B41,Database!$A:$AV,MATCH($D$1,Database!$A$1:$AV$1,),)=0,"#N/A",((((VLOOKUP(B41,Database!$A:$AS,MATCH($D$1,Database!$A$1:$AS$1,),))))-(((VLOOKUP(EDATE(B41,-12),Database!$A:$AS,MATCH($D$1,Database!$A$1:$AS$1,),)))))/(((VLOOKUP(EDATE(B41,-12),Database!$A:$AS,MATCH($D$1,Database!$A$1:$AS$1,),)))))</f>
        <v/>
      </c>
      <c r="E41" s="13">
        <f>IF(VLOOKUP(B41,Database!$A:$AV,MATCH($E$1,Database!$A$1:$AV$1,),)=0,"#N/A",((((VLOOKUP(B41,Database!$A:$AS,MATCH($E$1,Database!$A$1:$AS$1,),))))-(((VLOOKUP(EDATE(B41,-12),Database!$A:$AS,MATCH($E$1,Database!$A$1:$AS$1,),)))))/(((VLOOKUP(EDATE(B41,-12),Database!$A:$AS,MATCH($E$1,Database!$A$1:$AS$1,),)))))</f>
        <v/>
      </c>
      <c r="F41" s="13">
        <f>IF(VLOOKUP(B41,Database!$A:$AV,MATCH($F$1,Database!$A$1:$AV$1,),)=0,"#N/A",((((VLOOKUP(B41,Database!$A:$AS,MATCH($F$1,Database!$A$1:$AS$1,),))))-(((VLOOKUP(EDATE(B41,-12),Database!$A:$AS,MATCH($F$1,Database!$A$1:$AS$1,),)))))/(((VLOOKUP(EDATE(B41,-12),Database!$A:$AS,MATCH($F$1,Database!$A$1:$AS$1,),)))))</f>
        <v/>
      </c>
      <c r="G41" s="13">
        <f>IF(VLOOKUP(B41,Database!$A:$AV,MATCH($G$1,Database!$A$1:$AV$1,),)=0,"#N/A",((((VLOOKUP(B41,Database!$A:$AS,MATCH($G$1,Database!$A$1:$AS$1,),))))-(((VLOOKUP(EDATE(B41,-12),Database!$A:$AS,MATCH($G$1,Database!$A$1:$AS$1,),)))))/(((VLOOKUP(EDATE(B41,-12),Database!$A:$AS,MATCH($G$1,Database!$A$1:$AS$1,),)))))</f>
        <v/>
      </c>
      <c r="H41" s="13">
        <f>IF(VLOOKUP(B41,Database!$A:$AV,MATCH($H$1,Database!$A$1:$AV$1,),)=0,"#N/A",((((VLOOKUP(B41,Database!$A:$AS,MATCH($H$1,Database!$A$1:$AS$1,),))))-(((VLOOKUP(EDATE(B41,-12),Database!$A:$AS,MATCH($H$1,Database!$A$1:$AS$1,),)))))/(((VLOOKUP(EDATE(B41,-12),Database!$A:$AS,MATCH($H$1,Database!$A$1:$AS$1,),)))))</f>
        <v/>
      </c>
      <c r="I41" s="13">
        <f>IF(VLOOKUP(B41,Database!$A:$AV,MATCH($I$1,Database!$A$1:$AV$1,),)=0,"#N/A",((((VLOOKUP(B41,Database!$A:$AS,MATCH($I$1,Database!$A$1:$AS$1,),))))-(((VLOOKUP(EDATE(B41,-12),Database!$A:$AS,MATCH($I$1,Database!$A$1:$AS$1,),)))))/(((VLOOKUP(EDATE(B41,-12),Database!$A:$AS,MATCH($I$1,Database!$A$1:$AS$1,),)))))</f>
        <v/>
      </c>
      <c r="J41" s="13">
        <f>IF(VLOOKUP(B41,Database!$A:$AV,MATCH($J$1,Database!$A$1:$AV$1,),)=0,"#N/A",((((VLOOKUP(B41,Database!$A:$AS,MATCH($J$1,Database!$A$1:$AS$1,),))))-(((VLOOKUP(EDATE(B41,-12),Database!$A:$AS,MATCH($J$1,Database!$A$1:$AS$1,),)))))/(((VLOOKUP(EDATE(B41,-12),Database!$A:$AS,MATCH($J$1,Database!$A$1:$AS$1,),)))))</f>
        <v/>
      </c>
      <c r="K41" s="13">
        <f>IF(VLOOKUP(B41,Database!$A:$AV,MATCH($K$1,Database!$A$1:$AV$1,),)=0,"#N/A",((((VLOOKUP(B41,Database!$A:$AS,MATCH($K$1,Database!$A$1:$AS$1,),))))-(((VLOOKUP(EDATE(B41,-12),Database!$A:$AS,MATCH($K$1,Database!$A$1:$AS$1,),)))))/(((VLOOKUP(EDATE(B41,-12),Database!$A:$AS,MATCH($K$1,Database!$A$1:$AS$1,),)))))</f>
        <v/>
      </c>
      <c r="L41" s="13">
        <f>((((VLOOKUP(B41,Database!$A:$AS,MATCH($L$1,Database!$A$1:$AS$1,),))))-(((VLOOKUP(EDATE(B41,-12),Database!$A:$AS,MATCH($L$1,Database!$A$1:$AS$1,),)))))/(((VLOOKUP(EDATE(B41,-12),Database!$A:$AS,MATCH($L$1,Database!$A$1:$AS$1,),))))</f>
        <v/>
      </c>
      <c r="M41" s="13">
        <f>((((VLOOKUP(B41,Database!$A:$AS,MATCH($M$1,Database!$A$1:$AS$1,),))))-(((VLOOKUP(EDATE(B41,-12),Database!$A:$AS,MATCH($M$1,Database!$A$1:$AS$1,),)))))/(((VLOOKUP(EDATE(B41,-12),Database!$A:$AS,MATCH($M$1,Database!$A$1:$AS$1,),))))</f>
        <v/>
      </c>
      <c r="N41" s="13">
        <f>((((VLOOKUP(B41,Database!$A:$AS,MATCH($N$1,Database!$A$1:$AS$1,),))))-(((VLOOKUP(EDATE(B41,-12),Database!$A:$AS,MATCH($N$1,Database!$A$1:$AS$1,),)))))/(((VLOOKUP(EDATE(B41,-12),Database!$A:$AS,MATCH($N$1,Database!$A$1:$AS$1,),))))</f>
        <v/>
      </c>
      <c r="O41" s="13">
        <f>IF(VLOOKUP(B41,Database!$A:$AV,MATCH($O$1,Database!$A$1:$AV$1,),)=0,"#N/A",((((VLOOKUP(B41,Database!$A:$AS,MATCH($O$1,Database!$A$1:$AS$1,),))))-(((VLOOKUP(EDATE(B41,-12),Database!$A:$AS,MATCH($O$1,Database!$A$1:$AS$1,),)))))/(((VLOOKUP(EDATE(B41,-12),Database!$A:$AS,MATCH($O$1,Database!$A$1:$AS$1,),)))))</f>
        <v/>
      </c>
      <c r="P41" s="13">
        <f>IF(VLOOKUP(B41,Database!$A:$AV,MATCH($P$1,Database!$A$1:$AV$1,),)=0,"#N/A",((((VLOOKUP(B41,Database!$A:$AS,MATCH($P$1,Database!$A$1:$AS$1,),))))-(((VLOOKUP(EDATE(B41,-12),Database!$A:$AS,MATCH($P$1,Database!$A$1:$AS$1,),)))))/(((VLOOKUP(EDATE(B41,-12),Database!$A:$AS,MATCH($P$1,Database!$A$1:$AS$1,),)))))</f>
        <v/>
      </c>
      <c r="Q41" s="13">
        <f>IF(VLOOKUP(B41,Database!$A:$AV,MATCH($Q$1,Database!$A$1:$AV$1,),)=0,"#N/A",((((VLOOKUP(B41,Database!$A:$AS,MATCH($Q$1,Database!$A$1:$AS$1,),))))-(((VLOOKUP(EDATE(B41,-12),Database!$A:$AS,MATCH($Q$1,Database!$A$1:$AS$1,),)))))/(((VLOOKUP(EDATE(B41,-12),Database!$A:$AS,MATCH($Q$1,Database!$A$1:$AS$1,),)))))</f>
        <v/>
      </c>
      <c r="R41" s="13">
        <f>IF(VLOOKUP(B41,Database!$A:$AV,MATCH($R$1,Database!$A$1:$AV$1,),)=0,"#N/A",((((VLOOKUP(B41,Database!$A:$AS,MATCH($R$1,Database!$A$1:$AS$1,),))))-(((VLOOKUP(EDATE(B41,-12),Database!$A:$AS,MATCH($R$1,Database!$A$1:$AS$1,),)))))/(((VLOOKUP(EDATE(B41,-12),Database!$A:$AS,MATCH($R$1,Database!$A$1:$AS$1,),)))))</f>
        <v/>
      </c>
      <c r="S41" s="13">
        <f>IF(VLOOKUP(B41,Database!$A:$AV,MATCH($S$1,Database!$A$1:$AV$1,),)=0,"#N/A",((((VLOOKUP(B41,Database!$A:$AS,MATCH($S$1,Database!$A$1:$AS$1,),))))-(((VLOOKUP(EDATE(B41,-12),Database!$A:$AS,MATCH($S$1,Database!$A$1:$AS$1,),)))))/(((VLOOKUP(EDATE(B41,-12),Database!$A:$AS,MATCH($S$1,Database!$A$1:$AS$1,),)))))</f>
        <v/>
      </c>
      <c r="T41" s="13">
        <f>IF(VLOOKUP(B41,Database!$A:$AV,MATCH($T$1,Database!$A$1:$AV$1,),)=0,"#N/A",((((VLOOKUP(B41,Database!$A:$AS,MATCH($T$1,Database!$A$1:$AS$1,),))))-(((VLOOKUP(EDATE(B41,-12),Database!$A:$AS,MATCH($T$1,Database!$A$1:$AS$1,),)))))/(((VLOOKUP(EDATE(B41,-12),Database!$A:$AS,MATCH($T$1,Database!$A$1:$AS$1,),)))))</f>
        <v/>
      </c>
      <c r="U41" s="13">
        <f>IF(VLOOKUP(B41,Database!$A:$AV,MATCH($U$1,Database!$A$1:$AV$1,),)=0,"#N/A",((((VLOOKUP(B41,Database!$A:$AS,MATCH($U$1,Database!$A$1:$AS$1,),))))-(((VLOOKUP(EDATE(B41,-12),Database!$A:$AS,MATCH($U$1,Database!$A$1:$AS$1,),)))))/(((VLOOKUP(EDATE(B41,-12),Database!$A:$AS,MATCH($U$1,Database!$A$1:$AS$1,),)))))</f>
        <v/>
      </c>
      <c r="V41" s="13">
        <f>IF(VLOOKUP(B41,Database!$A:$AV,MATCH($V$1,Database!$A$1:$AV$1,),)=0,"#N/A",((((VLOOKUP(B41,Database!$A:$AS,MATCH($V$1,Database!$A$1:$AS$1,),))))-(((VLOOKUP(EDATE(B41,-12),Database!$A:$AS,MATCH($V$1,Database!$A$1:$AS$1,),)))))/(((VLOOKUP(EDATE(B41,-12),Database!$A:$AS,MATCH($V$1,Database!$A$1:$AS$1,),)))))</f>
        <v/>
      </c>
    </row>
    <row r="42" customFormat="1" s="86">
      <c r="A42" s="43" t="n"/>
      <c r="B42" s="75" t="n">
        <v>33420</v>
      </c>
      <c r="C42" s="13">
        <f>IF(VLOOKUP(B42,Database!$A:$AU,MATCH($C$1,Database!$A$1:$AU$1,),)=0,"#N/A",((((VLOOKUP(B42,Database!$A:$AU,MATCH($C$1,Database!$A$1:$AU$1,),))))-(((VLOOKUP(EDATE(B42,-12),Database!$A:$AU,MATCH($C$1,Database!$A$1:$AU$1,),)))))/(((VLOOKUP(EDATE(B42,-12),Database!$A:$AU,MATCH($C$1,Database!$A$1:$AU$1,),)))))</f>
        <v/>
      </c>
      <c r="D42" s="13">
        <f>IF(VLOOKUP(B42,Database!$A:$AV,MATCH($D$1,Database!$A$1:$AV$1,),)=0,"#N/A",((((VLOOKUP(B42,Database!$A:$AS,MATCH($D$1,Database!$A$1:$AS$1,),))))-(((VLOOKUP(EDATE(B42,-12),Database!$A:$AS,MATCH($D$1,Database!$A$1:$AS$1,),)))))/(((VLOOKUP(EDATE(B42,-12),Database!$A:$AS,MATCH($D$1,Database!$A$1:$AS$1,),)))))</f>
        <v/>
      </c>
      <c r="E42" s="13">
        <f>IF(VLOOKUP(B42,Database!$A:$AV,MATCH($E$1,Database!$A$1:$AV$1,),)=0,"#N/A",((((VLOOKUP(B42,Database!$A:$AS,MATCH($E$1,Database!$A$1:$AS$1,),))))-(((VLOOKUP(EDATE(B42,-12),Database!$A:$AS,MATCH($E$1,Database!$A$1:$AS$1,),)))))/(((VLOOKUP(EDATE(B42,-12),Database!$A:$AS,MATCH($E$1,Database!$A$1:$AS$1,),)))))</f>
        <v/>
      </c>
      <c r="F42" s="13">
        <f>IF(VLOOKUP(B42,Database!$A:$AV,MATCH($F$1,Database!$A$1:$AV$1,),)=0,"#N/A",((((VLOOKUP(B42,Database!$A:$AS,MATCH($F$1,Database!$A$1:$AS$1,),))))-(((VLOOKUP(EDATE(B42,-12),Database!$A:$AS,MATCH($F$1,Database!$A$1:$AS$1,),)))))/(((VLOOKUP(EDATE(B42,-12),Database!$A:$AS,MATCH($F$1,Database!$A$1:$AS$1,),)))))</f>
        <v/>
      </c>
      <c r="G42" s="13">
        <f>IF(VLOOKUP(B42,Database!$A:$AV,MATCH($G$1,Database!$A$1:$AV$1,),)=0,"#N/A",((((VLOOKUP(B42,Database!$A:$AS,MATCH($G$1,Database!$A$1:$AS$1,),))))-(((VLOOKUP(EDATE(B42,-12),Database!$A:$AS,MATCH($G$1,Database!$A$1:$AS$1,),)))))/(((VLOOKUP(EDATE(B42,-12),Database!$A:$AS,MATCH($G$1,Database!$A$1:$AS$1,),)))))</f>
        <v/>
      </c>
      <c r="H42" s="13">
        <f>IF(VLOOKUP(B42,Database!$A:$AV,MATCH($H$1,Database!$A$1:$AV$1,),)=0,"#N/A",((((VLOOKUP(B42,Database!$A:$AS,MATCH($H$1,Database!$A$1:$AS$1,),))))-(((VLOOKUP(EDATE(B42,-12),Database!$A:$AS,MATCH($H$1,Database!$A$1:$AS$1,),)))))/(((VLOOKUP(EDATE(B42,-12),Database!$A:$AS,MATCH($H$1,Database!$A$1:$AS$1,),)))))</f>
        <v/>
      </c>
      <c r="I42" s="13">
        <f>IF(VLOOKUP(B42,Database!$A:$AV,MATCH($I$1,Database!$A$1:$AV$1,),)=0,"#N/A",((((VLOOKUP(B42,Database!$A:$AS,MATCH($I$1,Database!$A$1:$AS$1,),))))-(((VLOOKUP(EDATE(B42,-12),Database!$A:$AS,MATCH($I$1,Database!$A$1:$AS$1,),)))))/(((VLOOKUP(EDATE(B42,-12),Database!$A:$AS,MATCH($I$1,Database!$A$1:$AS$1,),)))))</f>
        <v/>
      </c>
      <c r="J42" s="13">
        <f>IF(VLOOKUP(B42,Database!$A:$AV,MATCH($J$1,Database!$A$1:$AV$1,),)=0,"#N/A",((((VLOOKUP(B42,Database!$A:$AS,MATCH($J$1,Database!$A$1:$AS$1,),))))-(((VLOOKUP(EDATE(B42,-12),Database!$A:$AS,MATCH($J$1,Database!$A$1:$AS$1,),)))))/(((VLOOKUP(EDATE(B42,-12),Database!$A:$AS,MATCH($J$1,Database!$A$1:$AS$1,),)))))</f>
        <v/>
      </c>
      <c r="K42" s="13">
        <f>IF(VLOOKUP(B42,Database!$A:$AV,MATCH($K$1,Database!$A$1:$AV$1,),)=0,"#N/A",((((VLOOKUP(B42,Database!$A:$AS,MATCH($K$1,Database!$A$1:$AS$1,),))))-(((VLOOKUP(EDATE(B42,-12),Database!$A:$AS,MATCH($K$1,Database!$A$1:$AS$1,),)))))/(((VLOOKUP(EDATE(B42,-12),Database!$A:$AS,MATCH($K$1,Database!$A$1:$AS$1,),)))))</f>
        <v/>
      </c>
      <c r="L42" s="13">
        <f>((((VLOOKUP(B42,Database!$A:$AS,MATCH($L$1,Database!$A$1:$AS$1,),))))-(((VLOOKUP(EDATE(B42,-12),Database!$A:$AS,MATCH($L$1,Database!$A$1:$AS$1,),)))))/(((VLOOKUP(EDATE(B42,-12),Database!$A:$AS,MATCH($L$1,Database!$A$1:$AS$1,),))))</f>
        <v/>
      </c>
      <c r="M42" s="13">
        <f>((((VLOOKUP(B42,Database!$A:$AS,MATCH($M$1,Database!$A$1:$AS$1,),))))-(((VLOOKUP(EDATE(B42,-12),Database!$A:$AS,MATCH($M$1,Database!$A$1:$AS$1,),)))))/(((VLOOKUP(EDATE(B42,-12),Database!$A:$AS,MATCH($M$1,Database!$A$1:$AS$1,),))))</f>
        <v/>
      </c>
      <c r="N42" s="13">
        <f>((((VLOOKUP(B42,Database!$A:$AS,MATCH($N$1,Database!$A$1:$AS$1,),))))-(((VLOOKUP(EDATE(B42,-12),Database!$A:$AS,MATCH($N$1,Database!$A$1:$AS$1,),)))))/(((VLOOKUP(EDATE(B42,-12),Database!$A:$AS,MATCH($N$1,Database!$A$1:$AS$1,),))))</f>
        <v/>
      </c>
      <c r="O42" s="13">
        <f>IF(VLOOKUP(B42,Database!$A:$AV,MATCH($O$1,Database!$A$1:$AV$1,),)=0,"#N/A",((((VLOOKUP(B42,Database!$A:$AS,MATCH($O$1,Database!$A$1:$AS$1,),))))-(((VLOOKUP(EDATE(B42,-12),Database!$A:$AS,MATCH($O$1,Database!$A$1:$AS$1,),)))))/(((VLOOKUP(EDATE(B42,-12),Database!$A:$AS,MATCH($O$1,Database!$A$1:$AS$1,),)))))</f>
        <v/>
      </c>
      <c r="P42" s="13">
        <f>IF(VLOOKUP(B42,Database!$A:$AV,MATCH($P$1,Database!$A$1:$AV$1,),)=0,"#N/A",((((VLOOKUP(B42,Database!$A:$AS,MATCH($P$1,Database!$A$1:$AS$1,),))))-(((VLOOKUP(EDATE(B42,-12),Database!$A:$AS,MATCH($P$1,Database!$A$1:$AS$1,),)))))/(((VLOOKUP(EDATE(B42,-12),Database!$A:$AS,MATCH($P$1,Database!$A$1:$AS$1,),)))))</f>
        <v/>
      </c>
      <c r="Q42" s="13">
        <f>IF(VLOOKUP(B42,Database!$A:$AV,MATCH($Q$1,Database!$A$1:$AV$1,),)=0,"#N/A",((((VLOOKUP(B42,Database!$A:$AS,MATCH($Q$1,Database!$A$1:$AS$1,),))))-(((VLOOKUP(EDATE(B42,-12),Database!$A:$AS,MATCH($Q$1,Database!$A$1:$AS$1,),)))))/(((VLOOKUP(EDATE(B42,-12),Database!$A:$AS,MATCH($Q$1,Database!$A$1:$AS$1,),)))))</f>
        <v/>
      </c>
      <c r="R42" s="13">
        <f>IF(VLOOKUP(B42,Database!$A:$AV,MATCH($R$1,Database!$A$1:$AV$1,),)=0,"#N/A",((((VLOOKUP(B42,Database!$A:$AS,MATCH($R$1,Database!$A$1:$AS$1,),))))-(((VLOOKUP(EDATE(B42,-12),Database!$A:$AS,MATCH($R$1,Database!$A$1:$AS$1,),)))))/(((VLOOKUP(EDATE(B42,-12),Database!$A:$AS,MATCH($R$1,Database!$A$1:$AS$1,),)))))</f>
        <v/>
      </c>
      <c r="S42" s="13">
        <f>IF(VLOOKUP(B42,Database!$A:$AV,MATCH($S$1,Database!$A$1:$AV$1,),)=0,"#N/A",((((VLOOKUP(B42,Database!$A:$AS,MATCH($S$1,Database!$A$1:$AS$1,),))))-(((VLOOKUP(EDATE(B42,-12),Database!$A:$AS,MATCH($S$1,Database!$A$1:$AS$1,),)))))/(((VLOOKUP(EDATE(B42,-12),Database!$A:$AS,MATCH($S$1,Database!$A$1:$AS$1,),)))))</f>
        <v/>
      </c>
      <c r="T42" s="13">
        <f>IF(VLOOKUP(B42,Database!$A:$AV,MATCH($T$1,Database!$A$1:$AV$1,),)=0,"#N/A",((((VLOOKUP(B42,Database!$A:$AS,MATCH($T$1,Database!$A$1:$AS$1,),))))-(((VLOOKUP(EDATE(B42,-12),Database!$A:$AS,MATCH($T$1,Database!$A$1:$AS$1,),)))))/(((VLOOKUP(EDATE(B42,-12),Database!$A:$AS,MATCH($T$1,Database!$A$1:$AS$1,),)))))</f>
        <v/>
      </c>
      <c r="U42" s="13">
        <f>IF(VLOOKUP(B42,Database!$A:$AV,MATCH($U$1,Database!$A$1:$AV$1,),)=0,"#N/A",((((VLOOKUP(B42,Database!$A:$AS,MATCH($U$1,Database!$A$1:$AS$1,),))))-(((VLOOKUP(EDATE(B42,-12),Database!$A:$AS,MATCH($U$1,Database!$A$1:$AS$1,),)))))/(((VLOOKUP(EDATE(B42,-12),Database!$A:$AS,MATCH($U$1,Database!$A$1:$AS$1,),)))))</f>
        <v/>
      </c>
      <c r="V42" s="13">
        <f>IF(VLOOKUP(B42,Database!$A:$AV,MATCH($V$1,Database!$A$1:$AV$1,),)=0,"#N/A",((((VLOOKUP(B42,Database!$A:$AS,MATCH($V$1,Database!$A$1:$AS$1,),))))-(((VLOOKUP(EDATE(B42,-12),Database!$A:$AS,MATCH($V$1,Database!$A$1:$AS$1,),)))))/(((VLOOKUP(EDATE(B42,-12),Database!$A:$AS,MATCH($V$1,Database!$A$1:$AS$1,),)))))</f>
        <v/>
      </c>
    </row>
    <row r="43" customFormat="1" s="86">
      <c r="A43" s="43" t="n"/>
      <c r="B43" s="75" t="n">
        <v>33451</v>
      </c>
      <c r="C43" s="13">
        <f>IF(VLOOKUP(B43,Database!$A:$AU,MATCH($C$1,Database!$A$1:$AU$1,),)=0,"#N/A",((((VLOOKUP(B43,Database!$A:$AU,MATCH($C$1,Database!$A$1:$AU$1,),))))-(((VLOOKUP(EDATE(B43,-12),Database!$A:$AU,MATCH($C$1,Database!$A$1:$AU$1,),)))))/(((VLOOKUP(EDATE(B43,-12),Database!$A:$AU,MATCH($C$1,Database!$A$1:$AU$1,),)))))</f>
        <v/>
      </c>
      <c r="D43" s="13">
        <f>IF(VLOOKUP(B43,Database!$A:$AV,MATCH($D$1,Database!$A$1:$AV$1,),)=0,"#N/A",((((VLOOKUP(B43,Database!$A:$AS,MATCH($D$1,Database!$A$1:$AS$1,),))))-(((VLOOKUP(EDATE(B43,-12),Database!$A:$AS,MATCH($D$1,Database!$A$1:$AS$1,),)))))/(((VLOOKUP(EDATE(B43,-12),Database!$A:$AS,MATCH($D$1,Database!$A$1:$AS$1,),)))))</f>
        <v/>
      </c>
      <c r="E43" s="13">
        <f>IF(VLOOKUP(B43,Database!$A:$AV,MATCH($E$1,Database!$A$1:$AV$1,),)=0,"#N/A",((((VLOOKUP(B43,Database!$A:$AS,MATCH($E$1,Database!$A$1:$AS$1,),))))-(((VLOOKUP(EDATE(B43,-12),Database!$A:$AS,MATCH($E$1,Database!$A$1:$AS$1,),)))))/(((VLOOKUP(EDATE(B43,-12),Database!$A:$AS,MATCH($E$1,Database!$A$1:$AS$1,),)))))</f>
        <v/>
      </c>
      <c r="F43" s="13">
        <f>IF(VLOOKUP(B43,Database!$A:$AV,MATCH($F$1,Database!$A$1:$AV$1,),)=0,"#N/A",((((VLOOKUP(B43,Database!$A:$AS,MATCH($F$1,Database!$A$1:$AS$1,),))))-(((VLOOKUP(EDATE(B43,-12),Database!$A:$AS,MATCH($F$1,Database!$A$1:$AS$1,),)))))/(((VLOOKUP(EDATE(B43,-12),Database!$A:$AS,MATCH($F$1,Database!$A$1:$AS$1,),)))))</f>
        <v/>
      </c>
      <c r="G43" s="13">
        <f>IF(VLOOKUP(B43,Database!$A:$AV,MATCH($G$1,Database!$A$1:$AV$1,),)=0,"#N/A",((((VLOOKUP(B43,Database!$A:$AS,MATCH($G$1,Database!$A$1:$AS$1,),))))-(((VLOOKUP(EDATE(B43,-12),Database!$A:$AS,MATCH($G$1,Database!$A$1:$AS$1,),)))))/(((VLOOKUP(EDATE(B43,-12),Database!$A:$AS,MATCH($G$1,Database!$A$1:$AS$1,),)))))</f>
        <v/>
      </c>
      <c r="H43" s="13">
        <f>IF(VLOOKUP(B43,Database!$A:$AV,MATCH($H$1,Database!$A$1:$AV$1,),)=0,"#N/A",((((VLOOKUP(B43,Database!$A:$AS,MATCH($H$1,Database!$A$1:$AS$1,),))))-(((VLOOKUP(EDATE(B43,-12),Database!$A:$AS,MATCH($H$1,Database!$A$1:$AS$1,),)))))/(((VLOOKUP(EDATE(B43,-12),Database!$A:$AS,MATCH($H$1,Database!$A$1:$AS$1,),)))))</f>
        <v/>
      </c>
      <c r="I43" s="13">
        <f>IF(VLOOKUP(B43,Database!$A:$AV,MATCH($I$1,Database!$A$1:$AV$1,),)=0,"#N/A",((((VLOOKUP(B43,Database!$A:$AS,MATCH($I$1,Database!$A$1:$AS$1,),))))-(((VLOOKUP(EDATE(B43,-12),Database!$A:$AS,MATCH($I$1,Database!$A$1:$AS$1,),)))))/(((VLOOKUP(EDATE(B43,-12),Database!$A:$AS,MATCH($I$1,Database!$A$1:$AS$1,),)))))</f>
        <v/>
      </c>
      <c r="J43" s="13">
        <f>IF(VLOOKUP(B43,Database!$A:$AV,MATCH($J$1,Database!$A$1:$AV$1,),)=0,"#N/A",((((VLOOKUP(B43,Database!$A:$AS,MATCH($J$1,Database!$A$1:$AS$1,),))))-(((VLOOKUP(EDATE(B43,-12),Database!$A:$AS,MATCH($J$1,Database!$A$1:$AS$1,),)))))/(((VLOOKUP(EDATE(B43,-12),Database!$A:$AS,MATCH($J$1,Database!$A$1:$AS$1,),)))))</f>
        <v/>
      </c>
      <c r="K43" s="13">
        <f>IF(VLOOKUP(B43,Database!$A:$AV,MATCH($K$1,Database!$A$1:$AV$1,),)=0,"#N/A",((((VLOOKUP(B43,Database!$A:$AS,MATCH($K$1,Database!$A$1:$AS$1,),))))-(((VLOOKUP(EDATE(B43,-12),Database!$A:$AS,MATCH($K$1,Database!$A$1:$AS$1,),)))))/(((VLOOKUP(EDATE(B43,-12),Database!$A:$AS,MATCH($K$1,Database!$A$1:$AS$1,),)))))</f>
        <v/>
      </c>
      <c r="L43" s="13">
        <f>((((VLOOKUP(B43,Database!$A:$AS,MATCH($L$1,Database!$A$1:$AS$1,),))))-(((VLOOKUP(EDATE(B43,-12),Database!$A:$AS,MATCH($L$1,Database!$A$1:$AS$1,),)))))/(((VLOOKUP(EDATE(B43,-12),Database!$A:$AS,MATCH($L$1,Database!$A$1:$AS$1,),))))</f>
        <v/>
      </c>
      <c r="M43" s="13">
        <f>((((VLOOKUP(B43,Database!$A:$AS,MATCH($M$1,Database!$A$1:$AS$1,),))))-(((VLOOKUP(EDATE(B43,-12),Database!$A:$AS,MATCH($M$1,Database!$A$1:$AS$1,),)))))/(((VLOOKUP(EDATE(B43,-12),Database!$A:$AS,MATCH($M$1,Database!$A$1:$AS$1,),))))</f>
        <v/>
      </c>
      <c r="N43" s="13">
        <f>((((VLOOKUP(B43,Database!$A:$AS,MATCH($N$1,Database!$A$1:$AS$1,),))))-(((VLOOKUP(EDATE(B43,-12),Database!$A:$AS,MATCH($N$1,Database!$A$1:$AS$1,),)))))/(((VLOOKUP(EDATE(B43,-12),Database!$A:$AS,MATCH($N$1,Database!$A$1:$AS$1,),))))</f>
        <v/>
      </c>
      <c r="O43" s="13">
        <f>IF(VLOOKUP(B43,Database!$A:$AV,MATCH($O$1,Database!$A$1:$AV$1,),)=0,"#N/A",((((VLOOKUP(B43,Database!$A:$AS,MATCH($O$1,Database!$A$1:$AS$1,),))))-(((VLOOKUP(EDATE(B43,-12),Database!$A:$AS,MATCH($O$1,Database!$A$1:$AS$1,),)))))/(((VLOOKUP(EDATE(B43,-12),Database!$A:$AS,MATCH($O$1,Database!$A$1:$AS$1,),)))))</f>
        <v/>
      </c>
      <c r="P43" s="13">
        <f>IF(VLOOKUP(B43,Database!$A:$AV,MATCH($P$1,Database!$A$1:$AV$1,),)=0,"#N/A",((((VLOOKUP(B43,Database!$A:$AS,MATCH($P$1,Database!$A$1:$AS$1,),))))-(((VLOOKUP(EDATE(B43,-12),Database!$A:$AS,MATCH($P$1,Database!$A$1:$AS$1,),)))))/(((VLOOKUP(EDATE(B43,-12),Database!$A:$AS,MATCH($P$1,Database!$A$1:$AS$1,),)))))</f>
        <v/>
      </c>
      <c r="Q43" s="13">
        <f>IF(VLOOKUP(B43,Database!$A:$AV,MATCH($Q$1,Database!$A$1:$AV$1,),)=0,"#N/A",((((VLOOKUP(B43,Database!$A:$AS,MATCH($Q$1,Database!$A$1:$AS$1,),))))-(((VLOOKUP(EDATE(B43,-12),Database!$A:$AS,MATCH($Q$1,Database!$A$1:$AS$1,),)))))/(((VLOOKUP(EDATE(B43,-12),Database!$A:$AS,MATCH($Q$1,Database!$A$1:$AS$1,),)))))</f>
        <v/>
      </c>
      <c r="R43" s="13">
        <f>IF(VLOOKUP(B43,Database!$A:$AV,MATCH($R$1,Database!$A$1:$AV$1,),)=0,"#N/A",((((VLOOKUP(B43,Database!$A:$AS,MATCH($R$1,Database!$A$1:$AS$1,),))))-(((VLOOKUP(EDATE(B43,-12),Database!$A:$AS,MATCH($R$1,Database!$A$1:$AS$1,),)))))/(((VLOOKUP(EDATE(B43,-12),Database!$A:$AS,MATCH($R$1,Database!$A$1:$AS$1,),)))))</f>
        <v/>
      </c>
      <c r="S43" s="13">
        <f>IF(VLOOKUP(B43,Database!$A:$AV,MATCH($S$1,Database!$A$1:$AV$1,),)=0,"#N/A",((((VLOOKUP(B43,Database!$A:$AS,MATCH($S$1,Database!$A$1:$AS$1,),))))-(((VLOOKUP(EDATE(B43,-12),Database!$A:$AS,MATCH($S$1,Database!$A$1:$AS$1,),)))))/(((VLOOKUP(EDATE(B43,-12),Database!$A:$AS,MATCH($S$1,Database!$A$1:$AS$1,),)))))</f>
        <v/>
      </c>
      <c r="T43" s="13">
        <f>IF(VLOOKUP(B43,Database!$A:$AV,MATCH($T$1,Database!$A$1:$AV$1,),)=0,"#N/A",((((VLOOKUP(B43,Database!$A:$AS,MATCH($T$1,Database!$A$1:$AS$1,),))))-(((VLOOKUP(EDATE(B43,-12),Database!$A:$AS,MATCH($T$1,Database!$A$1:$AS$1,),)))))/(((VLOOKUP(EDATE(B43,-12),Database!$A:$AS,MATCH($T$1,Database!$A$1:$AS$1,),)))))</f>
        <v/>
      </c>
      <c r="U43" s="13">
        <f>IF(VLOOKUP(B43,Database!$A:$AV,MATCH($U$1,Database!$A$1:$AV$1,),)=0,"#N/A",((((VLOOKUP(B43,Database!$A:$AS,MATCH($U$1,Database!$A$1:$AS$1,),))))-(((VLOOKUP(EDATE(B43,-12),Database!$A:$AS,MATCH($U$1,Database!$A$1:$AS$1,),)))))/(((VLOOKUP(EDATE(B43,-12),Database!$A:$AS,MATCH($U$1,Database!$A$1:$AS$1,),)))))</f>
        <v/>
      </c>
      <c r="V43" s="13">
        <f>IF(VLOOKUP(B43,Database!$A:$AV,MATCH($V$1,Database!$A$1:$AV$1,),)=0,"#N/A",((((VLOOKUP(B43,Database!$A:$AS,MATCH($V$1,Database!$A$1:$AS$1,),))))-(((VLOOKUP(EDATE(B43,-12),Database!$A:$AS,MATCH($V$1,Database!$A$1:$AS$1,),)))))/(((VLOOKUP(EDATE(B43,-12),Database!$A:$AS,MATCH($V$1,Database!$A$1:$AS$1,),)))))</f>
        <v/>
      </c>
    </row>
    <row r="44" customFormat="1" s="86">
      <c r="A44" s="43" t="n"/>
      <c r="B44" s="75" t="n">
        <v>33482</v>
      </c>
      <c r="C44" s="13">
        <f>IF(VLOOKUP(B44,Database!$A:$AU,MATCH($C$1,Database!$A$1:$AU$1,),)=0,"#N/A",((((VLOOKUP(B44,Database!$A:$AU,MATCH($C$1,Database!$A$1:$AU$1,),))))-(((VLOOKUP(EDATE(B44,-12),Database!$A:$AU,MATCH($C$1,Database!$A$1:$AU$1,),)))))/(((VLOOKUP(EDATE(B44,-12),Database!$A:$AU,MATCH($C$1,Database!$A$1:$AU$1,),)))))</f>
        <v/>
      </c>
      <c r="D44" s="13">
        <f>IF(VLOOKUP(B44,Database!$A:$AV,MATCH($D$1,Database!$A$1:$AV$1,),)=0,"#N/A",((((VLOOKUP(B44,Database!$A:$AS,MATCH($D$1,Database!$A$1:$AS$1,),))))-(((VLOOKUP(EDATE(B44,-12),Database!$A:$AS,MATCH($D$1,Database!$A$1:$AS$1,),)))))/(((VLOOKUP(EDATE(B44,-12),Database!$A:$AS,MATCH($D$1,Database!$A$1:$AS$1,),)))))</f>
        <v/>
      </c>
      <c r="E44" s="13">
        <f>IF(VLOOKUP(B44,Database!$A:$AV,MATCH($E$1,Database!$A$1:$AV$1,),)=0,"#N/A",((((VLOOKUP(B44,Database!$A:$AS,MATCH($E$1,Database!$A$1:$AS$1,),))))-(((VLOOKUP(EDATE(B44,-12),Database!$A:$AS,MATCH($E$1,Database!$A$1:$AS$1,),)))))/(((VLOOKUP(EDATE(B44,-12),Database!$A:$AS,MATCH($E$1,Database!$A$1:$AS$1,),)))))</f>
        <v/>
      </c>
      <c r="F44" s="13">
        <f>IF(VLOOKUP(B44,Database!$A:$AV,MATCH($F$1,Database!$A$1:$AV$1,),)=0,"#N/A",((((VLOOKUP(B44,Database!$A:$AS,MATCH($F$1,Database!$A$1:$AS$1,),))))-(((VLOOKUP(EDATE(B44,-12),Database!$A:$AS,MATCH($F$1,Database!$A$1:$AS$1,),)))))/(((VLOOKUP(EDATE(B44,-12),Database!$A:$AS,MATCH($F$1,Database!$A$1:$AS$1,),)))))</f>
        <v/>
      </c>
      <c r="G44" s="13">
        <f>IF(VLOOKUP(B44,Database!$A:$AV,MATCH($G$1,Database!$A$1:$AV$1,),)=0,"#N/A",((((VLOOKUP(B44,Database!$A:$AS,MATCH($G$1,Database!$A$1:$AS$1,),))))-(((VLOOKUP(EDATE(B44,-12),Database!$A:$AS,MATCH($G$1,Database!$A$1:$AS$1,),)))))/(((VLOOKUP(EDATE(B44,-12),Database!$A:$AS,MATCH($G$1,Database!$A$1:$AS$1,),)))))</f>
        <v/>
      </c>
      <c r="H44" s="13">
        <f>IF(VLOOKUP(B44,Database!$A:$AV,MATCH($H$1,Database!$A$1:$AV$1,),)=0,"#N/A",((((VLOOKUP(B44,Database!$A:$AS,MATCH($H$1,Database!$A$1:$AS$1,),))))-(((VLOOKUP(EDATE(B44,-12),Database!$A:$AS,MATCH($H$1,Database!$A$1:$AS$1,),)))))/(((VLOOKUP(EDATE(B44,-12),Database!$A:$AS,MATCH($H$1,Database!$A$1:$AS$1,),)))))</f>
        <v/>
      </c>
      <c r="I44" s="13">
        <f>IF(VLOOKUP(B44,Database!$A:$AV,MATCH($I$1,Database!$A$1:$AV$1,),)=0,"#N/A",((((VLOOKUP(B44,Database!$A:$AS,MATCH($I$1,Database!$A$1:$AS$1,),))))-(((VLOOKUP(EDATE(B44,-12),Database!$A:$AS,MATCH($I$1,Database!$A$1:$AS$1,),)))))/(((VLOOKUP(EDATE(B44,-12),Database!$A:$AS,MATCH($I$1,Database!$A$1:$AS$1,),)))))</f>
        <v/>
      </c>
      <c r="J44" s="13">
        <f>IF(VLOOKUP(B44,Database!$A:$AV,MATCH($J$1,Database!$A$1:$AV$1,),)=0,"#N/A",((((VLOOKUP(B44,Database!$A:$AS,MATCH($J$1,Database!$A$1:$AS$1,),))))-(((VLOOKUP(EDATE(B44,-12),Database!$A:$AS,MATCH($J$1,Database!$A$1:$AS$1,),)))))/(((VLOOKUP(EDATE(B44,-12),Database!$A:$AS,MATCH($J$1,Database!$A$1:$AS$1,),)))))</f>
        <v/>
      </c>
      <c r="K44" s="13">
        <f>IF(VLOOKUP(B44,Database!$A:$AV,MATCH($K$1,Database!$A$1:$AV$1,),)=0,"#N/A",((((VLOOKUP(B44,Database!$A:$AS,MATCH($K$1,Database!$A$1:$AS$1,),))))-(((VLOOKUP(EDATE(B44,-12),Database!$A:$AS,MATCH($K$1,Database!$A$1:$AS$1,),)))))/(((VLOOKUP(EDATE(B44,-12),Database!$A:$AS,MATCH($K$1,Database!$A$1:$AS$1,),)))))</f>
        <v/>
      </c>
      <c r="L44" s="13">
        <f>((((VLOOKUP(B44,Database!$A:$AS,MATCH($L$1,Database!$A$1:$AS$1,),))))-(((VLOOKUP(EDATE(B44,-12),Database!$A:$AS,MATCH($L$1,Database!$A$1:$AS$1,),)))))/(((VLOOKUP(EDATE(B44,-12),Database!$A:$AS,MATCH($L$1,Database!$A$1:$AS$1,),))))</f>
        <v/>
      </c>
      <c r="M44" s="13">
        <f>((((VLOOKUP(B44,Database!$A:$AS,MATCH($M$1,Database!$A$1:$AS$1,),))))-(((VLOOKUP(EDATE(B44,-12),Database!$A:$AS,MATCH($M$1,Database!$A$1:$AS$1,),)))))/(((VLOOKUP(EDATE(B44,-12),Database!$A:$AS,MATCH($M$1,Database!$A$1:$AS$1,),))))</f>
        <v/>
      </c>
      <c r="N44" s="13">
        <f>((((VLOOKUP(B44,Database!$A:$AS,MATCH($N$1,Database!$A$1:$AS$1,),))))-(((VLOOKUP(EDATE(B44,-12),Database!$A:$AS,MATCH($N$1,Database!$A$1:$AS$1,),)))))/(((VLOOKUP(EDATE(B44,-12),Database!$A:$AS,MATCH($N$1,Database!$A$1:$AS$1,),))))</f>
        <v/>
      </c>
      <c r="O44" s="13">
        <f>IF(VLOOKUP(B44,Database!$A:$AV,MATCH($O$1,Database!$A$1:$AV$1,),)=0,"#N/A",((((VLOOKUP(B44,Database!$A:$AS,MATCH($O$1,Database!$A$1:$AS$1,),))))-(((VLOOKUP(EDATE(B44,-12),Database!$A:$AS,MATCH($O$1,Database!$A$1:$AS$1,),)))))/(((VLOOKUP(EDATE(B44,-12),Database!$A:$AS,MATCH($O$1,Database!$A$1:$AS$1,),)))))</f>
        <v/>
      </c>
      <c r="P44" s="13">
        <f>IF(VLOOKUP(B44,Database!$A:$AV,MATCH($P$1,Database!$A$1:$AV$1,),)=0,"#N/A",((((VLOOKUP(B44,Database!$A:$AS,MATCH($P$1,Database!$A$1:$AS$1,),))))-(((VLOOKUP(EDATE(B44,-12),Database!$A:$AS,MATCH($P$1,Database!$A$1:$AS$1,),)))))/(((VLOOKUP(EDATE(B44,-12),Database!$A:$AS,MATCH($P$1,Database!$A$1:$AS$1,),)))))</f>
        <v/>
      </c>
      <c r="Q44" s="13">
        <f>IF(VLOOKUP(B44,Database!$A:$AV,MATCH($Q$1,Database!$A$1:$AV$1,),)=0,"#N/A",((((VLOOKUP(B44,Database!$A:$AS,MATCH($Q$1,Database!$A$1:$AS$1,),))))-(((VLOOKUP(EDATE(B44,-12),Database!$A:$AS,MATCH($Q$1,Database!$A$1:$AS$1,),)))))/(((VLOOKUP(EDATE(B44,-12),Database!$A:$AS,MATCH($Q$1,Database!$A$1:$AS$1,),)))))</f>
        <v/>
      </c>
      <c r="R44" s="13">
        <f>IF(VLOOKUP(B44,Database!$A:$AV,MATCH($R$1,Database!$A$1:$AV$1,),)=0,"#N/A",((((VLOOKUP(B44,Database!$A:$AS,MATCH($R$1,Database!$A$1:$AS$1,),))))-(((VLOOKUP(EDATE(B44,-12),Database!$A:$AS,MATCH($R$1,Database!$A$1:$AS$1,),)))))/(((VLOOKUP(EDATE(B44,-12),Database!$A:$AS,MATCH($R$1,Database!$A$1:$AS$1,),)))))</f>
        <v/>
      </c>
      <c r="S44" s="13">
        <f>IF(VLOOKUP(B44,Database!$A:$AV,MATCH($S$1,Database!$A$1:$AV$1,),)=0,"#N/A",((((VLOOKUP(B44,Database!$A:$AS,MATCH($S$1,Database!$A$1:$AS$1,),))))-(((VLOOKUP(EDATE(B44,-12),Database!$A:$AS,MATCH($S$1,Database!$A$1:$AS$1,),)))))/(((VLOOKUP(EDATE(B44,-12),Database!$A:$AS,MATCH($S$1,Database!$A$1:$AS$1,),)))))</f>
        <v/>
      </c>
      <c r="T44" s="13">
        <f>IF(VLOOKUP(B44,Database!$A:$AV,MATCH($T$1,Database!$A$1:$AV$1,),)=0,"#N/A",((((VLOOKUP(B44,Database!$A:$AS,MATCH($T$1,Database!$A$1:$AS$1,),))))-(((VLOOKUP(EDATE(B44,-12),Database!$A:$AS,MATCH($T$1,Database!$A$1:$AS$1,),)))))/(((VLOOKUP(EDATE(B44,-12),Database!$A:$AS,MATCH($T$1,Database!$A$1:$AS$1,),)))))</f>
        <v/>
      </c>
      <c r="U44" s="13">
        <f>IF(VLOOKUP(B44,Database!$A:$AV,MATCH($U$1,Database!$A$1:$AV$1,),)=0,"#N/A",((((VLOOKUP(B44,Database!$A:$AS,MATCH($U$1,Database!$A$1:$AS$1,),))))-(((VLOOKUP(EDATE(B44,-12),Database!$A:$AS,MATCH($U$1,Database!$A$1:$AS$1,),)))))/(((VLOOKUP(EDATE(B44,-12),Database!$A:$AS,MATCH($U$1,Database!$A$1:$AS$1,),)))))</f>
        <v/>
      </c>
      <c r="V44" s="13">
        <f>IF(VLOOKUP(B44,Database!$A:$AV,MATCH($V$1,Database!$A$1:$AV$1,),)=0,"#N/A",((((VLOOKUP(B44,Database!$A:$AS,MATCH($V$1,Database!$A$1:$AS$1,),))))-(((VLOOKUP(EDATE(B44,-12),Database!$A:$AS,MATCH($V$1,Database!$A$1:$AS$1,),)))))/(((VLOOKUP(EDATE(B44,-12),Database!$A:$AS,MATCH($V$1,Database!$A$1:$AS$1,),)))))</f>
        <v/>
      </c>
    </row>
    <row r="45" customFormat="1" s="86">
      <c r="A45" s="43" t="n"/>
      <c r="B45" s="75" t="n">
        <v>33512</v>
      </c>
      <c r="C45" s="13">
        <f>IF(VLOOKUP(B45,Database!$A:$AU,MATCH($C$1,Database!$A$1:$AU$1,),)=0,"#N/A",((((VLOOKUP(B45,Database!$A:$AU,MATCH($C$1,Database!$A$1:$AU$1,),))))-(((VLOOKUP(EDATE(B45,-12),Database!$A:$AU,MATCH($C$1,Database!$A$1:$AU$1,),)))))/(((VLOOKUP(EDATE(B45,-12),Database!$A:$AU,MATCH($C$1,Database!$A$1:$AU$1,),)))))</f>
        <v/>
      </c>
      <c r="D45" s="13">
        <f>IF(VLOOKUP(B45,Database!$A:$AV,MATCH($D$1,Database!$A$1:$AV$1,),)=0,"#N/A",((((VLOOKUP(B45,Database!$A:$AS,MATCH($D$1,Database!$A$1:$AS$1,),))))-(((VLOOKUP(EDATE(B45,-12),Database!$A:$AS,MATCH($D$1,Database!$A$1:$AS$1,),)))))/(((VLOOKUP(EDATE(B45,-12),Database!$A:$AS,MATCH($D$1,Database!$A$1:$AS$1,),)))))</f>
        <v/>
      </c>
      <c r="E45" s="13">
        <f>IF(VLOOKUP(B45,Database!$A:$AV,MATCH($E$1,Database!$A$1:$AV$1,),)=0,"#N/A",((((VLOOKUP(B45,Database!$A:$AS,MATCH($E$1,Database!$A$1:$AS$1,),))))-(((VLOOKUP(EDATE(B45,-12),Database!$A:$AS,MATCH($E$1,Database!$A$1:$AS$1,),)))))/(((VLOOKUP(EDATE(B45,-12),Database!$A:$AS,MATCH($E$1,Database!$A$1:$AS$1,),)))))</f>
        <v/>
      </c>
      <c r="F45" s="13">
        <f>IF(VLOOKUP(B45,Database!$A:$AV,MATCH($F$1,Database!$A$1:$AV$1,),)=0,"#N/A",((((VLOOKUP(B45,Database!$A:$AS,MATCH($F$1,Database!$A$1:$AS$1,),))))-(((VLOOKUP(EDATE(B45,-12),Database!$A:$AS,MATCH($F$1,Database!$A$1:$AS$1,),)))))/(((VLOOKUP(EDATE(B45,-12),Database!$A:$AS,MATCH($F$1,Database!$A$1:$AS$1,),)))))</f>
        <v/>
      </c>
      <c r="G45" s="13">
        <f>IF(VLOOKUP(B45,Database!$A:$AV,MATCH($G$1,Database!$A$1:$AV$1,),)=0,"#N/A",((((VLOOKUP(B45,Database!$A:$AS,MATCH($G$1,Database!$A$1:$AS$1,),))))-(((VLOOKUP(EDATE(B45,-12),Database!$A:$AS,MATCH($G$1,Database!$A$1:$AS$1,),)))))/(((VLOOKUP(EDATE(B45,-12),Database!$A:$AS,MATCH($G$1,Database!$A$1:$AS$1,),)))))</f>
        <v/>
      </c>
      <c r="H45" s="13">
        <f>IF(VLOOKUP(B45,Database!$A:$AV,MATCH($H$1,Database!$A$1:$AV$1,),)=0,"#N/A",((((VLOOKUP(B45,Database!$A:$AS,MATCH($H$1,Database!$A$1:$AS$1,),))))-(((VLOOKUP(EDATE(B45,-12),Database!$A:$AS,MATCH($H$1,Database!$A$1:$AS$1,),)))))/(((VLOOKUP(EDATE(B45,-12),Database!$A:$AS,MATCH($H$1,Database!$A$1:$AS$1,),)))))</f>
        <v/>
      </c>
      <c r="I45" s="13">
        <f>IF(VLOOKUP(B45,Database!$A:$AV,MATCH($I$1,Database!$A$1:$AV$1,),)=0,"#N/A",((((VLOOKUP(B45,Database!$A:$AS,MATCH($I$1,Database!$A$1:$AS$1,),))))-(((VLOOKUP(EDATE(B45,-12),Database!$A:$AS,MATCH($I$1,Database!$A$1:$AS$1,),)))))/(((VLOOKUP(EDATE(B45,-12),Database!$A:$AS,MATCH($I$1,Database!$A$1:$AS$1,),)))))</f>
        <v/>
      </c>
      <c r="J45" s="13">
        <f>IF(VLOOKUP(B45,Database!$A:$AV,MATCH($J$1,Database!$A$1:$AV$1,),)=0,"#N/A",((((VLOOKUP(B45,Database!$A:$AS,MATCH($J$1,Database!$A$1:$AS$1,),))))-(((VLOOKUP(EDATE(B45,-12),Database!$A:$AS,MATCH($J$1,Database!$A$1:$AS$1,),)))))/(((VLOOKUP(EDATE(B45,-12),Database!$A:$AS,MATCH($J$1,Database!$A$1:$AS$1,),)))))</f>
        <v/>
      </c>
      <c r="K45" s="13">
        <f>IF(VLOOKUP(B45,Database!$A:$AV,MATCH($K$1,Database!$A$1:$AV$1,),)=0,"#N/A",((((VLOOKUP(B45,Database!$A:$AS,MATCH($K$1,Database!$A$1:$AS$1,),))))-(((VLOOKUP(EDATE(B45,-12),Database!$A:$AS,MATCH($K$1,Database!$A$1:$AS$1,),)))))/(((VLOOKUP(EDATE(B45,-12),Database!$A:$AS,MATCH($K$1,Database!$A$1:$AS$1,),)))))</f>
        <v/>
      </c>
      <c r="L45" s="13">
        <f>((((VLOOKUP(B45,Database!$A:$AS,MATCH($L$1,Database!$A$1:$AS$1,),))))-(((VLOOKUP(EDATE(B45,-12),Database!$A:$AS,MATCH($L$1,Database!$A$1:$AS$1,),)))))/(((VLOOKUP(EDATE(B45,-12),Database!$A:$AS,MATCH($L$1,Database!$A$1:$AS$1,),))))</f>
        <v/>
      </c>
      <c r="M45" s="13">
        <f>((((VLOOKUP(B45,Database!$A:$AS,MATCH($M$1,Database!$A$1:$AS$1,),))))-(((VLOOKUP(EDATE(B45,-12),Database!$A:$AS,MATCH($M$1,Database!$A$1:$AS$1,),)))))/(((VLOOKUP(EDATE(B45,-12),Database!$A:$AS,MATCH($M$1,Database!$A$1:$AS$1,),))))</f>
        <v/>
      </c>
      <c r="N45" s="13">
        <f>((((VLOOKUP(B45,Database!$A:$AS,MATCH($N$1,Database!$A$1:$AS$1,),))))-(((VLOOKUP(EDATE(B45,-12),Database!$A:$AS,MATCH($N$1,Database!$A$1:$AS$1,),)))))/(((VLOOKUP(EDATE(B45,-12),Database!$A:$AS,MATCH($N$1,Database!$A$1:$AS$1,),))))</f>
        <v/>
      </c>
      <c r="O45" s="13">
        <f>IF(VLOOKUP(B45,Database!$A:$AV,MATCH($O$1,Database!$A$1:$AV$1,),)=0,"#N/A",((((VLOOKUP(B45,Database!$A:$AS,MATCH($O$1,Database!$A$1:$AS$1,),))))-(((VLOOKUP(EDATE(B45,-12),Database!$A:$AS,MATCH($O$1,Database!$A$1:$AS$1,),)))))/(((VLOOKUP(EDATE(B45,-12),Database!$A:$AS,MATCH($O$1,Database!$A$1:$AS$1,),)))))</f>
        <v/>
      </c>
      <c r="P45" s="13">
        <f>IF(VLOOKUP(B45,Database!$A:$AV,MATCH($P$1,Database!$A$1:$AV$1,),)=0,"#N/A",((((VLOOKUP(B45,Database!$A:$AS,MATCH($P$1,Database!$A$1:$AS$1,),))))-(((VLOOKUP(EDATE(B45,-12),Database!$A:$AS,MATCH($P$1,Database!$A$1:$AS$1,),)))))/(((VLOOKUP(EDATE(B45,-12),Database!$A:$AS,MATCH($P$1,Database!$A$1:$AS$1,),)))))</f>
        <v/>
      </c>
      <c r="Q45" s="13">
        <f>IF(VLOOKUP(B45,Database!$A:$AV,MATCH($Q$1,Database!$A$1:$AV$1,),)=0,"#N/A",((((VLOOKUP(B45,Database!$A:$AS,MATCH($Q$1,Database!$A$1:$AS$1,),))))-(((VLOOKUP(EDATE(B45,-12),Database!$A:$AS,MATCH($Q$1,Database!$A$1:$AS$1,),)))))/(((VLOOKUP(EDATE(B45,-12),Database!$A:$AS,MATCH($Q$1,Database!$A$1:$AS$1,),)))))</f>
        <v/>
      </c>
      <c r="R45" s="13">
        <f>IF(VLOOKUP(B45,Database!$A:$AV,MATCH($R$1,Database!$A$1:$AV$1,),)=0,"#N/A",((((VLOOKUP(B45,Database!$A:$AS,MATCH($R$1,Database!$A$1:$AS$1,),))))-(((VLOOKUP(EDATE(B45,-12),Database!$A:$AS,MATCH($R$1,Database!$A$1:$AS$1,),)))))/(((VLOOKUP(EDATE(B45,-12),Database!$A:$AS,MATCH($R$1,Database!$A$1:$AS$1,),)))))</f>
        <v/>
      </c>
      <c r="S45" s="13">
        <f>IF(VLOOKUP(B45,Database!$A:$AV,MATCH($S$1,Database!$A$1:$AV$1,),)=0,"#N/A",((((VLOOKUP(B45,Database!$A:$AS,MATCH($S$1,Database!$A$1:$AS$1,),))))-(((VLOOKUP(EDATE(B45,-12),Database!$A:$AS,MATCH($S$1,Database!$A$1:$AS$1,),)))))/(((VLOOKUP(EDATE(B45,-12),Database!$A:$AS,MATCH($S$1,Database!$A$1:$AS$1,),)))))</f>
        <v/>
      </c>
      <c r="T45" s="13">
        <f>IF(VLOOKUP(B45,Database!$A:$AV,MATCH($T$1,Database!$A$1:$AV$1,),)=0,"#N/A",((((VLOOKUP(B45,Database!$A:$AS,MATCH($T$1,Database!$A$1:$AS$1,),))))-(((VLOOKUP(EDATE(B45,-12),Database!$A:$AS,MATCH($T$1,Database!$A$1:$AS$1,),)))))/(((VLOOKUP(EDATE(B45,-12),Database!$A:$AS,MATCH($T$1,Database!$A$1:$AS$1,),)))))</f>
        <v/>
      </c>
      <c r="U45" s="13">
        <f>IF(VLOOKUP(B45,Database!$A:$AV,MATCH($U$1,Database!$A$1:$AV$1,),)=0,"#N/A",((((VLOOKUP(B45,Database!$A:$AS,MATCH($U$1,Database!$A$1:$AS$1,),))))-(((VLOOKUP(EDATE(B45,-12),Database!$A:$AS,MATCH($U$1,Database!$A$1:$AS$1,),)))))/(((VLOOKUP(EDATE(B45,-12),Database!$A:$AS,MATCH($U$1,Database!$A$1:$AS$1,),)))))</f>
        <v/>
      </c>
      <c r="V45" s="13">
        <f>IF(VLOOKUP(B45,Database!$A:$AV,MATCH($V$1,Database!$A$1:$AV$1,),)=0,"#N/A",((((VLOOKUP(B45,Database!$A:$AS,MATCH($V$1,Database!$A$1:$AS$1,),))))-(((VLOOKUP(EDATE(B45,-12),Database!$A:$AS,MATCH($V$1,Database!$A$1:$AS$1,),)))))/(((VLOOKUP(EDATE(B45,-12),Database!$A:$AS,MATCH($V$1,Database!$A$1:$AS$1,),)))))</f>
        <v/>
      </c>
    </row>
    <row r="46" customFormat="1" s="86">
      <c r="A46" s="43" t="n"/>
      <c r="B46" s="75" t="n">
        <v>33543</v>
      </c>
      <c r="C46" s="13">
        <f>IF(VLOOKUP(B46,Database!$A:$AU,MATCH($C$1,Database!$A$1:$AU$1,),)=0,"#N/A",((((VLOOKUP(B46,Database!$A:$AU,MATCH($C$1,Database!$A$1:$AU$1,),))))-(((VLOOKUP(EDATE(B46,-12),Database!$A:$AU,MATCH($C$1,Database!$A$1:$AU$1,),)))))/(((VLOOKUP(EDATE(B46,-12),Database!$A:$AU,MATCH($C$1,Database!$A$1:$AU$1,),)))))</f>
        <v/>
      </c>
      <c r="D46" s="13">
        <f>IF(VLOOKUP(B46,Database!$A:$AV,MATCH($D$1,Database!$A$1:$AV$1,),)=0,"#N/A",((((VLOOKUP(B46,Database!$A:$AS,MATCH($D$1,Database!$A$1:$AS$1,),))))-(((VLOOKUP(EDATE(B46,-12),Database!$A:$AS,MATCH($D$1,Database!$A$1:$AS$1,),)))))/(((VLOOKUP(EDATE(B46,-12),Database!$A:$AS,MATCH($D$1,Database!$A$1:$AS$1,),)))))</f>
        <v/>
      </c>
      <c r="E46" s="13">
        <f>IF(VLOOKUP(B46,Database!$A:$AV,MATCH($E$1,Database!$A$1:$AV$1,),)=0,"#N/A",((((VLOOKUP(B46,Database!$A:$AS,MATCH($E$1,Database!$A$1:$AS$1,),))))-(((VLOOKUP(EDATE(B46,-12),Database!$A:$AS,MATCH($E$1,Database!$A$1:$AS$1,),)))))/(((VLOOKUP(EDATE(B46,-12),Database!$A:$AS,MATCH($E$1,Database!$A$1:$AS$1,),)))))</f>
        <v/>
      </c>
      <c r="F46" s="13">
        <f>IF(VLOOKUP(B46,Database!$A:$AV,MATCH($F$1,Database!$A$1:$AV$1,),)=0,"#N/A",((((VLOOKUP(B46,Database!$A:$AS,MATCH($F$1,Database!$A$1:$AS$1,),))))-(((VLOOKUP(EDATE(B46,-12),Database!$A:$AS,MATCH($F$1,Database!$A$1:$AS$1,),)))))/(((VLOOKUP(EDATE(B46,-12),Database!$A:$AS,MATCH($F$1,Database!$A$1:$AS$1,),)))))</f>
        <v/>
      </c>
      <c r="G46" s="13">
        <f>IF(VLOOKUP(B46,Database!$A:$AV,MATCH($G$1,Database!$A$1:$AV$1,),)=0,"#N/A",((((VLOOKUP(B46,Database!$A:$AS,MATCH($G$1,Database!$A$1:$AS$1,),))))-(((VLOOKUP(EDATE(B46,-12),Database!$A:$AS,MATCH($G$1,Database!$A$1:$AS$1,),)))))/(((VLOOKUP(EDATE(B46,-12),Database!$A:$AS,MATCH($G$1,Database!$A$1:$AS$1,),)))))</f>
        <v/>
      </c>
      <c r="H46" s="13">
        <f>IF(VLOOKUP(B46,Database!$A:$AV,MATCH($H$1,Database!$A$1:$AV$1,),)=0,"#N/A",((((VLOOKUP(B46,Database!$A:$AS,MATCH($H$1,Database!$A$1:$AS$1,),))))-(((VLOOKUP(EDATE(B46,-12),Database!$A:$AS,MATCH($H$1,Database!$A$1:$AS$1,),)))))/(((VLOOKUP(EDATE(B46,-12),Database!$A:$AS,MATCH($H$1,Database!$A$1:$AS$1,),)))))</f>
        <v/>
      </c>
      <c r="I46" s="13">
        <f>IF(VLOOKUP(B46,Database!$A:$AV,MATCH($I$1,Database!$A$1:$AV$1,),)=0,"#N/A",((((VLOOKUP(B46,Database!$A:$AS,MATCH($I$1,Database!$A$1:$AS$1,),))))-(((VLOOKUP(EDATE(B46,-12),Database!$A:$AS,MATCH($I$1,Database!$A$1:$AS$1,),)))))/(((VLOOKUP(EDATE(B46,-12),Database!$A:$AS,MATCH($I$1,Database!$A$1:$AS$1,),)))))</f>
        <v/>
      </c>
      <c r="J46" s="13">
        <f>IF(VLOOKUP(B46,Database!$A:$AV,MATCH($J$1,Database!$A$1:$AV$1,),)=0,"#N/A",((((VLOOKUP(B46,Database!$A:$AS,MATCH($J$1,Database!$A$1:$AS$1,),))))-(((VLOOKUP(EDATE(B46,-12),Database!$A:$AS,MATCH($J$1,Database!$A$1:$AS$1,),)))))/(((VLOOKUP(EDATE(B46,-12),Database!$A:$AS,MATCH($J$1,Database!$A$1:$AS$1,),)))))</f>
        <v/>
      </c>
      <c r="K46" s="13">
        <f>IF(VLOOKUP(B46,Database!$A:$AV,MATCH($K$1,Database!$A$1:$AV$1,),)=0,"#N/A",((((VLOOKUP(B46,Database!$A:$AS,MATCH($K$1,Database!$A$1:$AS$1,),))))-(((VLOOKUP(EDATE(B46,-12),Database!$A:$AS,MATCH($K$1,Database!$A$1:$AS$1,),)))))/(((VLOOKUP(EDATE(B46,-12),Database!$A:$AS,MATCH($K$1,Database!$A$1:$AS$1,),)))))</f>
        <v/>
      </c>
      <c r="L46" s="13">
        <f>((((VLOOKUP(B46,Database!$A:$AS,MATCH($L$1,Database!$A$1:$AS$1,),))))-(((VLOOKUP(EDATE(B46,-12),Database!$A:$AS,MATCH($L$1,Database!$A$1:$AS$1,),)))))/(((VLOOKUP(EDATE(B46,-12),Database!$A:$AS,MATCH($L$1,Database!$A$1:$AS$1,),))))</f>
        <v/>
      </c>
      <c r="M46" s="13">
        <f>((((VLOOKUP(B46,Database!$A:$AS,MATCH($M$1,Database!$A$1:$AS$1,),))))-(((VLOOKUP(EDATE(B46,-12),Database!$A:$AS,MATCH($M$1,Database!$A$1:$AS$1,),)))))/(((VLOOKUP(EDATE(B46,-12),Database!$A:$AS,MATCH($M$1,Database!$A$1:$AS$1,),))))</f>
        <v/>
      </c>
      <c r="N46" s="13">
        <f>((((VLOOKUP(B46,Database!$A:$AS,MATCH($N$1,Database!$A$1:$AS$1,),))))-(((VLOOKUP(EDATE(B46,-12),Database!$A:$AS,MATCH($N$1,Database!$A$1:$AS$1,),)))))/(((VLOOKUP(EDATE(B46,-12),Database!$A:$AS,MATCH($N$1,Database!$A$1:$AS$1,),))))</f>
        <v/>
      </c>
      <c r="O46" s="13">
        <f>IF(VLOOKUP(B46,Database!$A:$AV,MATCH($O$1,Database!$A$1:$AV$1,),)=0,"#N/A",((((VLOOKUP(B46,Database!$A:$AS,MATCH($O$1,Database!$A$1:$AS$1,),))))-(((VLOOKUP(EDATE(B46,-12),Database!$A:$AS,MATCH($O$1,Database!$A$1:$AS$1,),)))))/(((VLOOKUP(EDATE(B46,-12),Database!$A:$AS,MATCH($O$1,Database!$A$1:$AS$1,),)))))</f>
        <v/>
      </c>
      <c r="P46" s="13">
        <f>IF(VLOOKUP(B46,Database!$A:$AV,MATCH($P$1,Database!$A$1:$AV$1,),)=0,"#N/A",((((VLOOKUP(B46,Database!$A:$AS,MATCH($P$1,Database!$A$1:$AS$1,),))))-(((VLOOKUP(EDATE(B46,-12),Database!$A:$AS,MATCH($P$1,Database!$A$1:$AS$1,),)))))/(((VLOOKUP(EDATE(B46,-12),Database!$A:$AS,MATCH($P$1,Database!$A$1:$AS$1,),)))))</f>
        <v/>
      </c>
      <c r="Q46" s="13">
        <f>IF(VLOOKUP(B46,Database!$A:$AV,MATCH($Q$1,Database!$A$1:$AV$1,),)=0,"#N/A",((((VLOOKUP(B46,Database!$A:$AS,MATCH($Q$1,Database!$A$1:$AS$1,),))))-(((VLOOKUP(EDATE(B46,-12),Database!$A:$AS,MATCH($Q$1,Database!$A$1:$AS$1,),)))))/(((VLOOKUP(EDATE(B46,-12),Database!$A:$AS,MATCH($Q$1,Database!$A$1:$AS$1,),)))))</f>
        <v/>
      </c>
      <c r="R46" s="13">
        <f>IF(VLOOKUP(B46,Database!$A:$AV,MATCH($R$1,Database!$A$1:$AV$1,),)=0,"#N/A",((((VLOOKUP(B46,Database!$A:$AS,MATCH($R$1,Database!$A$1:$AS$1,),))))-(((VLOOKUP(EDATE(B46,-12),Database!$A:$AS,MATCH($R$1,Database!$A$1:$AS$1,),)))))/(((VLOOKUP(EDATE(B46,-12),Database!$A:$AS,MATCH($R$1,Database!$A$1:$AS$1,),)))))</f>
        <v/>
      </c>
      <c r="S46" s="13">
        <f>IF(VLOOKUP(B46,Database!$A:$AV,MATCH($S$1,Database!$A$1:$AV$1,),)=0,"#N/A",((((VLOOKUP(B46,Database!$A:$AS,MATCH($S$1,Database!$A$1:$AS$1,),))))-(((VLOOKUP(EDATE(B46,-12),Database!$A:$AS,MATCH($S$1,Database!$A$1:$AS$1,),)))))/(((VLOOKUP(EDATE(B46,-12),Database!$A:$AS,MATCH($S$1,Database!$A$1:$AS$1,),)))))</f>
        <v/>
      </c>
      <c r="T46" s="13">
        <f>IF(VLOOKUP(B46,Database!$A:$AV,MATCH($T$1,Database!$A$1:$AV$1,),)=0,"#N/A",((((VLOOKUP(B46,Database!$A:$AS,MATCH($T$1,Database!$A$1:$AS$1,),))))-(((VLOOKUP(EDATE(B46,-12),Database!$A:$AS,MATCH($T$1,Database!$A$1:$AS$1,),)))))/(((VLOOKUP(EDATE(B46,-12),Database!$A:$AS,MATCH($T$1,Database!$A$1:$AS$1,),)))))</f>
        <v/>
      </c>
      <c r="U46" s="13">
        <f>IF(VLOOKUP(B46,Database!$A:$AV,MATCH($U$1,Database!$A$1:$AV$1,),)=0,"#N/A",((((VLOOKUP(B46,Database!$A:$AS,MATCH($U$1,Database!$A$1:$AS$1,),))))-(((VLOOKUP(EDATE(B46,-12),Database!$A:$AS,MATCH($U$1,Database!$A$1:$AS$1,),)))))/(((VLOOKUP(EDATE(B46,-12),Database!$A:$AS,MATCH($U$1,Database!$A$1:$AS$1,),)))))</f>
        <v/>
      </c>
      <c r="V46" s="13">
        <f>IF(VLOOKUP(B46,Database!$A:$AV,MATCH($V$1,Database!$A$1:$AV$1,),)=0,"#N/A",((((VLOOKUP(B46,Database!$A:$AS,MATCH($V$1,Database!$A$1:$AS$1,),))))-(((VLOOKUP(EDATE(B46,-12),Database!$A:$AS,MATCH($V$1,Database!$A$1:$AS$1,),)))))/(((VLOOKUP(EDATE(B46,-12),Database!$A:$AS,MATCH($V$1,Database!$A$1:$AS$1,),)))))</f>
        <v/>
      </c>
    </row>
    <row r="47" customFormat="1" s="86">
      <c r="A47" s="43" t="n"/>
      <c r="B47" s="75" t="n">
        <v>33573</v>
      </c>
      <c r="C47" s="13">
        <f>IF(VLOOKUP(B47,Database!$A:$AU,MATCH($C$1,Database!$A$1:$AU$1,),)=0,"#N/A",((((VLOOKUP(B47,Database!$A:$AU,MATCH($C$1,Database!$A$1:$AU$1,),))))-(((VLOOKUP(EDATE(B47,-12),Database!$A:$AU,MATCH($C$1,Database!$A$1:$AU$1,),)))))/(((VLOOKUP(EDATE(B47,-12),Database!$A:$AU,MATCH($C$1,Database!$A$1:$AU$1,),)))))</f>
        <v/>
      </c>
      <c r="D47" s="13">
        <f>IF(VLOOKUP(B47,Database!$A:$AV,MATCH($D$1,Database!$A$1:$AV$1,),)=0,"#N/A",((((VLOOKUP(B47,Database!$A:$AS,MATCH($D$1,Database!$A$1:$AS$1,),))))-(((VLOOKUP(EDATE(B47,-12),Database!$A:$AS,MATCH($D$1,Database!$A$1:$AS$1,),)))))/(((VLOOKUP(EDATE(B47,-12),Database!$A:$AS,MATCH($D$1,Database!$A$1:$AS$1,),)))))</f>
        <v/>
      </c>
      <c r="E47" s="13">
        <f>IF(VLOOKUP(B47,Database!$A:$AV,MATCH($E$1,Database!$A$1:$AV$1,),)=0,"#N/A",((((VLOOKUP(B47,Database!$A:$AS,MATCH($E$1,Database!$A$1:$AS$1,),))))-(((VLOOKUP(EDATE(B47,-12),Database!$A:$AS,MATCH($E$1,Database!$A$1:$AS$1,),)))))/(((VLOOKUP(EDATE(B47,-12),Database!$A:$AS,MATCH($E$1,Database!$A$1:$AS$1,),)))))</f>
        <v/>
      </c>
      <c r="F47" s="13">
        <f>IF(VLOOKUP(B47,Database!$A:$AV,MATCH($F$1,Database!$A$1:$AV$1,),)=0,"#N/A",((((VLOOKUP(B47,Database!$A:$AS,MATCH($F$1,Database!$A$1:$AS$1,),))))-(((VLOOKUP(EDATE(B47,-12),Database!$A:$AS,MATCH($F$1,Database!$A$1:$AS$1,),)))))/(((VLOOKUP(EDATE(B47,-12),Database!$A:$AS,MATCH($F$1,Database!$A$1:$AS$1,),)))))</f>
        <v/>
      </c>
      <c r="G47" s="13">
        <f>IF(VLOOKUP(B47,Database!$A:$AV,MATCH($G$1,Database!$A$1:$AV$1,),)=0,"#N/A",((((VLOOKUP(B47,Database!$A:$AS,MATCH($G$1,Database!$A$1:$AS$1,),))))-(((VLOOKUP(EDATE(B47,-12),Database!$A:$AS,MATCH($G$1,Database!$A$1:$AS$1,),)))))/(((VLOOKUP(EDATE(B47,-12),Database!$A:$AS,MATCH($G$1,Database!$A$1:$AS$1,),)))))</f>
        <v/>
      </c>
      <c r="H47" s="13">
        <f>IF(VLOOKUP(B47,Database!$A:$AV,MATCH($H$1,Database!$A$1:$AV$1,),)=0,"#N/A",((((VLOOKUP(B47,Database!$A:$AS,MATCH($H$1,Database!$A$1:$AS$1,),))))-(((VLOOKUP(EDATE(B47,-12),Database!$A:$AS,MATCH($H$1,Database!$A$1:$AS$1,),)))))/(((VLOOKUP(EDATE(B47,-12),Database!$A:$AS,MATCH($H$1,Database!$A$1:$AS$1,),)))))</f>
        <v/>
      </c>
      <c r="I47" s="13">
        <f>IF(VLOOKUP(B47,Database!$A:$AV,MATCH($I$1,Database!$A$1:$AV$1,),)=0,"#N/A",((((VLOOKUP(B47,Database!$A:$AS,MATCH($I$1,Database!$A$1:$AS$1,),))))-(((VLOOKUP(EDATE(B47,-12),Database!$A:$AS,MATCH($I$1,Database!$A$1:$AS$1,),)))))/(((VLOOKUP(EDATE(B47,-12),Database!$A:$AS,MATCH($I$1,Database!$A$1:$AS$1,),)))))</f>
        <v/>
      </c>
      <c r="J47" s="13">
        <f>IF(VLOOKUP(B47,Database!$A:$AV,MATCH($J$1,Database!$A$1:$AV$1,),)=0,"#N/A",((((VLOOKUP(B47,Database!$A:$AS,MATCH($J$1,Database!$A$1:$AS$1,),))))-(((VLOOKUP(EDATE(B47,-12),Database!$A:$AS,MATCH($J$1,Database!$A$1:$AS$1,),)))))/(((VLOOKUP(EDATE(B47,-12),Database!$A:$AS,MATCH($J$1,Database!$A$1:$AS$1,),)))))</f>
        <v/>
      </c>
      <c r="K47" s="13">
        <f>IF(VLOOKUP(B47,Database!$A:$AV,MATCH($K$1,Database!$A$1:$AV$1,),)=0,"#N/A",((((VLOOKUP(B47,Database!$A:$AS,MATCH($K$1,Database!$A$1:$AS$1,),))))-(((VLOOKUP(EDATE(B47,-12),Database!$A:$AS,MATCH($K$1,Database!$A$1:$AS$1,),)))))/(((VLOOKUP(EDATE(B47,-12),Database!$A:$AS,MATCH($K$1,Database!$A$1:$AS$1,),)))))</f>
        <v/>
      </c>
      <c r="L47" s="13">
        <f>((((VLOOKUP(B47,Database!$A:$AS,MATCH($L$1,Database!$A$1:$AS$1,),))))-(((VLOOKUP(EDATE(B47,-12),Database!$A:$AS,MATCH($L$1,Database!$A$1:$AS$1,),)))))/(((VLOOKUP(EDATE(B47,-12),Database!$A:$AS,MATCH($L$1,Database!$A$1:$AS$1,),))))</f>
        <v/>
      </c>
      <c r="M47" s="13">
        <f>((((VLOOKUP(B47,Database!$A:$AS,MATCH($M$1,Database!$A$1:$AS$1,),))))-(((VLOOKUP(EDATE(B47,-12),Database!$A:$AS,MATCH($M$1,Database!$A$1:$AS$1,),)))))/(((VLOOKUP(EDATE(B47,-12),Database!$A:$AS,MATCH($M$1,Database!$A$1:$AS$1,),))))</f>
        <v/>
      </c>
      <c r="N47" s="13">
        <f>((((VLOOKUP(B47,Database!$A:$AS,MATCH($N$1,Database!$A$1:$AS$1,),))))-(((VLOOKUP(EDATE(B47,-12),Database!$A:$AS,MATCH($N$1,Database!$A$1:$AS$1,),)))))/(((VLOOKUP(EDATE(B47,-12),Database!$A:$AS,MATCH($N$1,Database!$A$1:$AS$1,),))))</f>
        <v/>
      </c>
      <c r="O47" s="13">
        <f>IF(VLOOKUP(B47,Database!$A:$AV,MATCH($O$1,Database!$A$1:$AV$1,),)=0,"#N/A",((((VLOOKUP(B47,Database!$A:$AS,MATCH($O$1,Database!$A$1:$AS$1,),))))-(((VLOOKUP(EDATE(B47,-12),Database!$A:$AS,MATCH($O$1,Database!$A$1:$AS$1,),)))))/(((VLOOKUP(EDATE(B47,-12),Database!$A:$AS,MATCH($O$1,Database!$A$1:$AS$1,),)))))</f>
        <v/>
      </c>
      <c r="P47" s="13">
        <f>IF(VLOOKUP(B47,Database!$A:$AV,MATCH($P$1,Database!$A$1:$AV$1,),)=0,"#N/A",((((VLOOKUP(B47,Database!$A:$AS,MATCH($P$1,Database!$A$1:$AS$1,),))))-(((VLOOKUP(EDATE(B47,-12),Database!$A:$AS,MATCH($P$1,Database!$A$1:$AS$1,),)))))/(((VLOOKUP(EDATE(B47,-12),Database!$A:$AS,MATCH($P$1,Database!$A$1:$AS$1,),)))))</f>
        <v/>
      </c>
      <c r="Q47" s="13">
        <f>IF(VLOOKUP(B47,Database!$A:$AV,MATCH($Q$1,Database!$A$1:$AV$1,),)=0,"#N/A",((((VLOOKUP(B47,Database!$A:$AS,MATCH($Q$1,Database!$A$1:$AS$1,),))))-(((VLOOKUP(EDATE(B47,-12),Database!$A:$AS,MATCH($Q$1,Database!$A$1:$AS$1,),)))))/(((VLOOKUP(EDATE(B47,-12),Database!$A:$AS,MATCH($Q$1,Database!$A$1:$AS$1,),)))))</f>
        <v/>
      </c>
      <c r="R47" s="13">
        <f>IF(VLOOKUP(B47,Database!$A:$AV,MATCH($R$1,Database!$A$1:$AV$1,),)=0,"#N/A",((((VLOOKUP(B47,Database!$A:$AS,MATCH($R$1,Database!$A$1:$AS$1,),))))-(((VLOOKUP(EDATE(B47,-12),Database!$A:$AS,MATCH($R$1,Database!$A$1:$AS$1,),)))))/(((VLOOKUP(EDATE(B47,-12),Database!$A:$AS,MATCH($R$1,Database!$A$1:$AS$1,),)))))</f>
        <v/>
      </c>
      <c r="S47" s="13">
        <f>IF(VLOOKUP(B47,Database!$A:$AV,MATCH($S$1,Database!$A$1:$AV$1,),)=0,"#N/A",((((VLOOKUP(B47,Database!$A:$AS,MATCH($S$1,Database!$A$1:$AS$1,),))))-(((VLOOKUP(EDATE(B47,-12),Database!$A:$AS,MATCH($S$1,Database!$A$1:$AS$1,),)))))/(((VLOOKUP(EDATE(B47,-12),Database!$A:$AS,MATCH($S$1,Database!$A$1:$AS$1,),)))))</f>
        <v/>
      </c>
      <c r="T47" s="13">
        <f>IF(VLOOKUP(B47,Database!$A:$AV,MATCH($T$1,Database!$A$1:$AV$1,),)=0,"#N/A",((((VLOOKUP(B47,Database!$A:$AS,MATCH($T$1,Database!$A$1:$AS$1,),))))-(((VLOOKUP(EDATE(B47,-12),Database!$A:$AS,MATCH($T$1,Database!$A$1:$AS$1,),)))))/(((VLOOKUP(EDATE(B47,-12),Database!$A:$AS,MATCH($T$1,Database!$A$1:$AS$1,),)))))</f>
        <v/>
      </c>
      <c r="U47" s="13">
        <f>IF(VLOOKUP(B47,Database!$A:$AV,MATCH($U$1,Database!$A$1:$AV$1,),)=0,"#N/A",((((VLOOKUP(B47,Database!$A:$AS,MATCH($U$1,Database!$A$1:$AS$1,),))))-(((VLOOKUP(EDATE(B47,-12),Database!$A:$AS,MATCH($U$1,Database!$A$1:$AS$1,),)))))/(((VLOOKUP(EDATE(B47,-12),Database!$A:$AS,MATCH($U$1,Database!$A$1:$AS$1,),)))))</f>
        <v/>
      </c>
      <c r="V47" s="13">
        <f>IF(VLOOKUP(B47,Database!$A:$AV,MATCH($V$1,Database!$A$1:$AV$1,),)=0,"#N/A",((((VLOOKUP(B47,Database!$A:$AS,MATCH($V$1,Database!$A$1:$AS$1,),))))-(((VLOOKUP(EDATE(B47,-12),Database!$A:$AS,MATCH($V$1,Database!$A$1:$AS$1,),)))))/(((VLOOKUP(EDATE(B47,-12),Database!$A:$AS,MATCH($V$1,Database!$A$1:$AS$1,),)))))</f>
        <v/>
      </c>
    </row>
    <row r="48" customFormat="1" s="86">
      <c r="A48" s="43" t="n"/>
      <c r="B48" s="75" t="n">
        <v>33604</v>
      </c>
      <c r="C48" s="13">
        <f>IF(VLOOKUP(B48,Database!$A:$AU,MATCH($C$1,Database!$A$1:$AU$1,),)=0,"#N/A",((((VLOOKUP(B48,Database!$A:$AU,MATCH($C$1,Database!$A$1:$AU$1,),))))-(((VLOOKUP(EDATE(B48,-12),Database!$A:$AU,MATCH($C$1,Database!$A$1:$AU$1,),)))))/(((VLOOKUP(EDATE(B48,-12),Database!$A:$AU,MATCH($C$1,Database!$A$1:$AU$1,),)))))</f>
        <v/>
      </c>
      <c r="D48" s="13">
        <f>IF(VLOOKUP(B48,Database!$A:$AV,MATCH($D$1,Database!$A$1:$AV$1,),)=0,"#N/A",((((VLOOKUP(B48,Database!$A:$AS,MATCH($D$1,Database!$A$1:$AS$1,),))))-(((VLOOKUP(EDATE(B48,-12),Database!$A:$AS,MATCH($D$1,Database!$A$1:$AS$1,),)))))/(((VLOOKUP(EDATE(B48,-12),Database!$A:$AS,MATCH($D$1,Database!$A$1:$AS$1,),)))))</f>
        <v/>
      </c>
      <c r="E48" s="13">
        <f>IF(VLOOKUP(B48,Database!$A:$AV,MATCH($E$1,Database!$A$1:$AV$1,),)=0,"#N/A",((((VLOOKUP(B48,Database!$A:$AS,MATCH($E$1,Database!$A$1:$AS$1,),))))-(((VLOOKUP(EDATE(B48,-12),Database!$A:$AS,MATCH($E$1,Database!$A$1:$AS$1,),)))))/(((VLOOKUP(EDATE(B48,-12),Database!$A:$AS,MATCH($E$1,Database!$A$1:$AS$1,),)))))</f>
        <v/>
      </c>
      <c r="F48" s="13">
        <f>IF(VLOOKUP(B48,Database!$A:$AV,MATCH($F$1,Database!$A$1:$AV$1,),)=0,"#N/A",((((VLOOKUP(B48,Database!$A:$AS,MATCH($F$1,Database!$A$1:$AS$1,),))))-(((VLOOKUP(EDATE(B48,-12),Database!$A:$AS,MATCH($F$1,Database!$A$1:$AS$1,),)))))/(((VLOOKUP(EDATE(B48,-12),Database!$A:$AS,MATCH($F$1,Database!$A$1:$AS$1,),)))))</f>
        <v/>
      </c>
      <c r="G48" s="13">
        <f>IF(VLOOKUP(B48,Database!$A:$AV,MATCH($G$1,Database!$A$1:$AV$1,),)=0,"#N/A",((((VLOOKUP(B48,Database!$A:$AS,MATCH($G$1,Database!$A$1:$AS$1,),))))-(((VLOOKUP(EDATE(B48,-12),Database!$A:$AS,MATCH($G$1,Database!$A$1:$AS$1,),)))))/(((VLOOKUP(EDATE(B48,-12),Database!$A:$AS,MATCH($G$1,Database!$A$1:$AS$1,),)))))</f>
        <v/>
      </c>
      <c r="H48" s="13">
        <f>IF(VLOOKUP(B48,Database!$A:$AV,MATCH($H$1,Database!$A$1:$AV$1,),)=0,"#N/A",((((VLOOKUP(B48,Database!$A:$AS,MATCH($H$1,Database!$A$1:$AS$1,),))))-(((VLOOKUP(EDATE(B48,-12),Database!$A:$AS,MATCH($H$1,Database!$A$1:$AS$1,),)))))/(((VLOOKUP(EDATE(B48,-12),Database!$A:$AS,MATCH($H$1,Database!$A$1:$AS$1,),)))))</f>
        <v/>
      </c>
      <c r="I48" s="13">
        <f>IF(VLOOKUP(B48,Database!$A:$AV,MATCH($I$1,Database!$A$1:$AV$1,),)=0,"#N/A",((((VLOOKUP(B48,Database!$A:$AS,MATCH($I$1,Database!$A$1:$AS$1,),))))-(((VLOOKUP(EDATE(B48,-12),Database!$A:$AS,MATCH($I$1,Database!$A$1:$AS$1,),)))))/(((VLOOKUP(EDATE(B48,-12),Database!$A:$AS,MATCH($I$1,Database!$A$1:$AS$1,),)))))</f>
        <v/>
      </c>
      <c r="J48" s="13">
        <f>IF(VLOOKUP(B48,Database!$A:$AV,MATCH($J$1,Database!$A$1:$AV$1,),)=0,"#N/A",((((VLOOKUP(B48,Database!$A:$AS,MATCH($J$1,Database!$A$1:$AS$1,),))))-(((VLOOKUP(EDATE(B48,-12),Database!$A:$AS,MATCH($J$1,Database!$A$1:$AS$1,),)))))/(((VLOOKUP(EDATE(B48,-12),Database!$A:$AS,MATCH($J$1,Database!$A$1:$AS$1,),)))))</f>
        <v/>
      </c>
      <c r="K48" s="13">
        <f>IF(VLOOKUP(B48,Database!$A:$AV,MATCH($K$1,Database!$A$1:$AV$1,),)=0,"#N/A",((((VLOOKUP(B48,Database!$A:$AS,MATCH($K$1,Database!$A$1:$AS$1,),))))-(((VLOOKUP(EDATE(B48,-12),Database!$A:$AS,MATCH($K$1,Database!$A$1:$AS$1,),)))))/(((VLOOKUP(EDATE(B48,-12),Database!$A:$AS,MATCH($K$1,Database!$A$1:$AS$1,),)))))</f>
        <v/>
      </c>
      <c r="L48" s="13">
        <f>((((VLOOKUP(B48,Database!$A:$AS,MATCH($L$1,Database!$A$1:$AS$1,),))))-(((VLOOKUP(EDATE(B48,-12),Database!$A:$AS,MATCH($L$1,Database!$A$1:$AS$1,),)))))/(((VLOOKUP(EDATE(B48,-12),Database!$A:$AS,MATCH($L$1,Database!$A$1:$AS$1,),))))</f>
        <v/>
      </c>
      <c r="M48" s="13">
        <f>((((VLOOKUP(B48,Database!$A:$AS,MATCH($M$1,Database!$A$1:$AS$1,),))))-(((VLOOKUP(EDATE(B48,-12),Database!$A:$AS,MATCH($M$1,Database!$A$1:$AS$1,),)))))/(((VLOOKUP(EDATE(B48,-12),Database!$A:$AS,MATCH($M$1,Database!$A$1:$AS$1,),))))</f>
        <v/>
      </c>
      <c r="N48" s="13">
        <f>((((VLOOKUP(B48,Database!$A:$AS,MATCH($N$1,Database!$A$1:$AS$1,),))))-(((VLOOKUP(EDATE(B48,-12),Database!$A:$AS,MATCH($N$1,Database!$A$1:$AS$1,),)))))/(((VLOOKUP(EDATE(B48,-12),Database!$A:$AS,MATCH($N$1,Database!$A$1:$AS$1,),))))</f>
        <v/>
      </c>
      <c r="O48" s="13">
        <f>IF(VLOOKUP(B48,Database!$A:$AV,MATCH($O$1,Database!$A$1:$AV$1,),)=0,"#N/A",((((VLOOKUP(B48,Database!$A:$AS,MATCH($O$1,Database!$A$1:$AS$1,),))))-(((VLOOKUP(EDATE(B48,-12),Database!$A:$AS,MATCH($O$1,Database!$A$1:$AS$1,),)))))/(((VLOOKUP(EDATE(B48,-12),Database!$A:$AS,MATCH($O$1,Database!$A$1:$AS$1,),)))))</f>
        <v/>
      </c>
      <c r="P48" s="13">
        <f>IF(VLOOKUP(B48,Database!$A:$AV,MATCH($P$1,Database!$A$1:$AV$1,),)=0,"#N/A",((((VLOOKUP(B48,Database!$A:$AS,MATCH($P$1,Database!$A$1:$AS$1,),))))-(((VLOOKUP(EDATE(B48,-12),Database!$A:$AS,MATCH($P$1,Database!$A$1:$AS$1,),)))))/(((VLOOKUP(EDATE(B48,-12),Database!$A:$AS,MATCH($P$1,Database!$A$1:$AS$1,),)))))</f>
        <v/>
      </c>
      <c r="Q48" s="13">
        <f>IF(VLOOKUP(B48,Database!$A:$AV,MATCH($Q$1,Database!$A$1:$AV$1,),)=0,"#N/A",((((VLOOKUP(B48,Database!$A:$AS,MATCH($Q$1,Database!$A$1:$AS$1,),))))-(((VLOOKUP(EDATE(B48,-12),Database!$A:$AS,MATCH($Q$1,Database!$A$1:$AS$1,),)))))/(((VLOOKUP(EDATE(B48,-12),Database!$A:$AS,MATCH($Q$1,Database!$A$1:$AS$1,),)))))</f>
        <v/>
      </c>
      <c r="R48" s="13">
        <f>IF(VLOOKUP(B48,Database!$A:$AV,MATCH($R$1,Database!$A$1:$AV$1,),)=0,"#N/A",((((VLOOKUP(B48,Database!$A:$AS,MATCH($R$1,Database!$A$1:$AS$1,),))))-(((VLOOKUP(EDATE(B48,-12),Database!$A:$AS,MATCH($R$1,Database!$A$1:$AS$1,),)))))/(((VLOOKUP(EDATE(B48,-12),Database!$A:$AS,MATCH($R$1,Database!$A$1:$AS$1,),)))))</f>
        <v/>
      </c>
      <c r="S48" s="13">
        <f>IF(VLOOKUP(B48,Database!$A:$AV,MATCH($S$1,Database!$A$1:$AV$1,),)=0,"#N/A",((((VLOOKUP(B48,Database!$A:$AS,MATCH($S$1,Database!$A$1:$AS$1,),))))-(((VLOOKUP(EDATE(B48,-12),Database!$A:$AS,MATCH($S$1,Database!$A$1:$AS$1,),)))))/(((VLOOKUP(EDATE(B48,-12),Database!$A:$AS,MATCH($S$1,Database!$A$1:$AS$1,),)))))</f>
        <v/>
      </c>
      <c r="T48" s="13">
        <f>IF(VLOOKUP(B48,Database!$A:$AV,MATCH($T$1,Database!$A$1:$AV$1,),)=0,"#N/A",((((VLOOKUP(B48,Database!$A:$AS,MATCH($T$1,Database!$A$1:$AS$1,),))))-(((VLOOKUP(EDATE(B48,-12),Database!$A:$AS,MATCH($T$1,Database!$A$1:$AS$1,),)))))/(((VLOOKUP(EDATE(B48,-12),Database!$A:$AS,MATCH($T$1,Database!$A$1:$AS$1,),)))))</f>
        <v/>
      </c>
      <c r="U48" s="13">
        <f>IF(VLOOKUP(B48,Database!$A:$AV,MATCH($U$1,Database!$A$1:$AV$1,),)=0,"#N/A",((((VLOOKUP(B48,Database!$A:$AS,MATCH($U$1,Database!$A$1:$AS$1,),))))-(((VLOOKUP(EDATE(B48,-12),Database!$A:$AS,MATCH($U$1,Database!$A$1:$AS$1,),)))))/(((VLOOKUP(EDATE(B48,-12),Database!$A:$AS,MATCH($U$1,Database!$A$1:$AS$1,),)))))</f>
        <v/>
      </c>
      <c r="V48" s="13">
        <f>IF(VLOOKUP(B48,Database!$A:$AV,MATCH($V$1,Database!$A$1:$AV$1,),)=0,"#N/A",((((VLOOKUP(B48,Database!$A:$AS,MATCH($V$1,Database!$A$1:$AS$1,),))))-(((VLOOKUP(EDATE(B48,-12),Database!$A:$AS,MATCH($V$1,Database!$A$1:$AS$1,),)))))/(((VLOOKUP(EDATE(B48,-12),Database!$A:$AS,MATCH($V$1,Database!$A$1:$AS$1,),)))))</f>
        <v/>
      </c>
    </row>
    <row r="49" customFormat="1" s="86">
      <c r="A49" s="43" t="n"/>
      <c r="B49" s="75" t="n">
        <v>33635</v>
      </c>
      <c r="C49" s="13">
        <f>IF(VLOOKUP(B49,Database!$A:$AU,MATCH($C$1,Database!$A$1:$AU$1,),)=0,"#N/A",((((VLOOKUP(B49,Database!$A:$AU,MATCH($C$1,Database!$A$1:$AU$1,),))))-(((VLOOKUP(EDATE(B49,-12),Database!$A:$AU,MATCH($C$1,Database!$A$1:$AU$1,),)))))/(((VLOOKUP(EDATE(B49,-12),Database!$A:$AU,MATCH($C$1,Database!$A$1:$AU$1,),)))))</f>
        <v/>
      </c>
      <c r="D49" s="13">
        <f>IF(VLOOKUP(B49,Database!$A:$AV,MATCH($D$1,Database!$A$1:$AV$1,),)=0,"#N/A",((((VLOOKUP(B49,Database!$A:$AS,MATCH($D$1,Database!$A$1:$AS$1,),))))-(((VLOOKUP(EDATE(B49,-12),Database!$A:$AS,MATCH($D$1,Database!$A$1:$AS$1,),)))))/(((VLOOKUP(EDATE(B49,-12),Database!$A:$AS,MATCH($D$1,Database!$A$1:$AS$1,),)))))</f>
        <v/>
      </c>
      <c r="E49" s="13">
        <f>IF(VLOOKUP(B49,Database!$A:$AV,MATCH($E$1,Database!$A$1:$AV$1,),)=0,"#N/A",((((VLOOKUP(B49,Database!$A:$AS,MATCH($E$1,Database!$A$1:$AS$1,),))))-(((VLOOKUP(EDATE(B49,-12),Database!$A:$AS,MATCH($E$1,Database!$A$1:$AS$1,),)))))/(((VLOOKUP(EDATE(B49,-12),Database!$A:$AS,MATCH($E$1,Database!$A$1:$AS$1,),)))))</f>
        <v/>
      </c>
      <c r="F49" s="13">
        <f>IF(VLOOKUP(B49,Database!$A:$AV,MATCH($F$1,Database!$A$1:$AV$1,),)=0,"#N/A",((((VLOOKUP(B49,Database!$A:$AS,MATCH($F$1,Database!$A$1:$AS$1,),))))-(((VLOOKUP(EDATE(B49,-12),Database!$A:$AS,MATCH($F$1,Database!$A$1:$AS$1,),)))))/(((VLOOKUP(EDATE(B49,-12),Database!$A:$AS,MATCH($F$1,Database!$A$1:$AS$1,),)))))</f>
        <v/>
      </c>
      <c r="G49" s="13">
        <f>IF(VLOOKUP(B49,Database!$A:$AV,MATCH($G$1,Database!$A$1:$AV$1,),)=0,"#N/A",((((VLOOKUP(B49,Database!$A:$AS,MATCH($G$1,Database!$A$1:$AS$1,),))))-(((VLOOKUP(EDATE(B49,-12),Database!$A:$AS,MATCH($G$1,Database!$A$1:$AS$1,),)))))/(((VLOOKUP(EDATE(B49,-12),Database!$A:$AS,MATCH($G$1,Database!$A$1:$AS$1,),)))))</f>
        <v/>
      </c>
      <c r="H49" s="13">
        <f>IF(VLOOKUP(B49,Database!$A:$AV,MATCH($H$1,Database!$A$1:$AV$1,),)=0,"#N/A",((((VLOOKUP(B49,Database!$A:$AS,MATCH($H$1,Database!$A$1:$AS$1,),))))-(((VLOOKUP(EDATE(B49,-12),Database!$A:$AS,MATCH($H$1,Database!$A$1:$AS$1,),)))))/(((VLOOKUP(EDATE(B49,-12),Database!$A:$AS,MATCH($H$1,Database!$A$1:$AS$1,),)))))</f>
        <v/>
      </c>
      <c r="I49" s="13">
        <f>IF(VLOOKUP(B49,Database!$A:$AV,MATCH($I$1,Database!$A$1:$AV$1,),)=0,"#N/A",((((VLOOKUP(B49,Database!$A:$AS,MATCH($I$1,Database!$A$1:$AS$1,),))))-(((VLOOKUP(EDATE(B49,-12),Database!$A:$AS,MATCH($I$1,Database!$A$1:$AS$1,),)))))/(((VLOOKUP(EDATE(B49,-12),Database!$A:$AS,MATCH($I$1,Database!$A$1:$AS$1,),)))))</f>
        <v/>
      </c>
      <c r="J49" s="13">
        <f>IF(VLOOKUP(B49,Database!$A:$AV,MATCH($J$1,Database!$A$1:$AV$1,),)=0,"#N/A",((((VLOOKUP(B49,Database!$A:$AS,MATCH($J$1,Database!$A$1:$AS$1,),))))-(((VLOOKUP(EDATE(B49,-12),Database!$A:$AS,MATCH($J$1,Database!$A$1:$AS$1,),)))))/(((VLOOKUP(EDATE(B49,-12),Database!$A:$AS,MATCH($J$1,Database!$A$1:$AS$1,),)))))</f>
        <v/>
      </c>
      <c r="K49" s="13">
        <f>IF(VLOOKUP(B49,Database!$A:$AV,MATCH($K$1,Database!$A$1:$AV$1,),)=0,"#N/A",((((VLOOKUP(B49,Database!$A:$AS,MATCH($K$1,Database!$A$1:$AS$1,),))))-(((VLOOKUP(EDATE(B49,-12),Database!$A:$AS,MATCH($K$1,Database!$A$1:$AS$1,),)))))/(((VLOOKUP(EDATE(B49,-12),Database!$A:$AS,MATCH($K$1,Database!$A$1:$AS$1,),)))))</f>
        <v/>
      </c>
      <c r="L49" s="13">
        <f>((((VLOOKUP(B49,Database!$A:$AS,MATCH($L$1,Database!$A$1:$AS$1,),))))-(((VLOOKUP(EDATE(B49,-12),Database!$A:$AS,MATCH($L$1,Database!$A$1:$AS$1,),)))))/(((VLOOKUP(EDATE(B49,-12),Database!$A:$AS,MATCH($L$1,Database!$A$1:$AS$1,),))))</f>
        <v/>
      </c>
      <c r="M49" s="13">
        <f>((((VLOOKUP(B49,Database!$A:$AS,MATCH($M$1,Database!$A$1:$AS$1,),))))-(((VLOOKUP(EDATE(B49,-12),Database!$A:$AS,MATCH($M$1,Database!$A$1:$AS$1,),)))))/(((VLOOKUP(EDATE(B49,-12),Database!$A:$AS,MATCH($M$1,Database!$A$1:$AS$1,),))))</f>
        <v/>
      </c>
      <c r="N49" s="13">
        <f>((((VLOOKUP(B49,Database!$A:$AS,MATCH($N$1,Database!$A$1:$AS$1,),))))-(((VLOOKUP(EDATE(B49,-12),Database!$A:$AS,MATCH($N$1,Database!$A$1:$AS$1,),)))))/(((VLOOKUP(EDATE(B49,-12),Database!$A:$AS,MATCH($N$1,Database!$A$1:$AS$1,),))))</f>
        <v/>
      </c>
      <c r="O49" s="13">
        <f>IF(VLOOKUP(B49,Database!$A:$AV,MATCH($O$1,Database!$A$1:$AV$1,),)=0,"#N/A",((((VLOOKUP(B49,Database!$A:$AS,MATCH($O$1,Database!$A$1:$AS$1,),))))-(((VLOOKUP(EDATE(B49,-12),Database!$A:$AS,MATCH($O$1,Database!$A$1:$AS$1,),)))))/(((VLOOKUP(EDATE(B49,-12),Database!$A:$AS,MATCH($O$1,Database!$A$1:$AS$1,),)))))</f>
        <v/>
      </c>
      <c r="P49" s="13">
        <f>IF(VLOOKUP(B49,Database!$A:$AV,MATCH($P$1,Database!$A$1:$AV$1,),)=0,"#N/A",((((VLOOKUP(B49,Database!$A:$AS,MATCH($P$1,Database!$A$1:$AS$1,),))))-(((VLOOKUP(EDATE(B49,-12),Database!$A:$AS,MATCH($P$1,Database!$A$1:$AS$1,),)))))/(((VLOOKUP(EDATE(B49,-12),Database!$A:$AS,MATCH($P$1,Database!$A$1:$AS$1,),)))))</f>
        <v/>
      </c>
      <c r="Q49" s="13">
        <f>IF(VLOOKUP(B49,Database!$A:$AV,MATCH($Q$1,Database!$A$1:$AV$1,),)=0,"#N/A",((((VLOOKUP(B49,Database!$A:$AS,MATCH($Q$1,Database!$A$1:$AS$1,),))))-(((VLOOKUP(EDATE(B49,-12),Database!$A:$AS,MATCH($Q$1,Database!$A$1:$AS$1,),)))))/(((VLOOKUP(EDATE(B49,-12),Database!$A:$AS,MATCH($Q$1,Database!$A$1:$AS$1,),)))))</f>
        <v/>
      </c>
      <c r="R49" s="13">
        <f>IF(VLOOKUP(B49,Database!$A:$AV,MATCH($R$1,Database!$A$1:$AV$1,),)=0,"#N/A",((((VLOOKUP(B49,Database!$A:$AS,MATCH($R$1,Database!$A$1:$AS$1,),))))-(((VLOOKUP(EDATE(B49,-12),Database!$A:$AS,MATCH($R$1,Database!$A$1:$AS$1,),)))))/(((VLOOKUP(EDATE(B49,-12),Database!$A:$AS,MATCH($R$1,Database!$A$1:$AS$1,),)))))</f>
        <v/>
      </c>
      <c r="S49" s="13">
        <f>IF(VLOOKUP(B49,Database!$A:$AV,MATCH($S$1,Database!$A$1:$AV$1,),)=0,"#N/A",((((VLOOKUP(B49,Database!$A:$AS,MATCH($S$1,Database!$A$1:$AS$1,),))))-(((VLOOKUP(EDATE(B49,-12),Database!$A:$AS,MATCH($S$1,Database!$A$1:$AS$1,),)))))/(((VLOOKUP(EDATE(B49,-12),Database!$A:$AS,MATCH($S$1,Database!$A$1:$AS$1,),)))))</f>
        <v/>
      </c>
      <c r="T49" s="13">
        <f>IF(VLOOKUP(B49,Database!$A:$AV,MATCH($T$1,Database!$A$1:$AV$1,),)=0,"#N/A",((((VLOOKUP(B49,Database!$A:$AS,MATCH($T$1,Database!$A$1:$AS$1,),))))-(((VLOOKUP(EDATE(B49,-12),Database!$A:$AS,MATCH($T$1,Database!$A$1:$AS$1,),)))))/(((VLOOKUP(EDATE(B49,-12),Database!$A:$AS,MATCH($T$1,Database!$A$1:$AS$1,),)))))</f>
        <v/>
      </c>
      <c r="U49" s="13">
        <f>IF(VLOOKUP(B49,Database!$A:$AV,MATCH($U$1,Database!$A$1:$AV$1,),)=0,"#N/A",((((VLOOKUP(B49,Database!$A:$AS,MATCH($U$1,Database!$A$1:$AS$1,),))))-(((VLOOKUP(EDATE(B49,-12),Database!$A:$AS,MATCH($U$1,Database!$A$1:$AS$1,),)))))/(((VLOOKUP(EDATE(B49,-12),Database!$A:$AS,MATCH($U$1,Database!$A$1:$AS$1,),)))))</f>
        <v/>
      </c>
      <c r="V49" s="13">
        <f>IF(VLOOKUP(B49,Database!$A:$AV,MATCH($V$1,Database!$A$1:$AV$1,),)=0,"#N/A",((((VLOOKUP(B49,Database!$A:$AS,MATCH($V$1,Database!$A$1:$AS$1,),))))-(((VLOOKUP(EDATE(B49,-12),Database!$A:$AS,MATCH($V$1,Database!$A$1:$AS$1,),)))))/(((VLOOKUP(EDATE(B49,-12),Database!$A:$AS,MATCH($V$1,Database!$A$1:$AS$1,),)))))</f>
        <v/>
      </c>
    </row>
    <row r="50" customFormat="1" s="86">
      <c r="A50" s="43" t="n"/>
      <c r="B50" s="75" t="n">
        <v>33664</v>
      </c>
      <c r="C50" s="13">
        <f>IF(VLOOKUP(B50,Database!$A:$AU,MATCH($C$1,Database!$A$1:$AU$1,),)=0,"#N/A",((((VLOOKUP(B50,Database!$A:$AU,MATCH($C$1,Database!$A$1:$AU$1,),))))-(((VLOOKUP(EDATE(B50,-12),Database!$A:$AU,MATCH($C$1,Database!$A$1:$AU$1,),)))))/(((VLOOKUP(EDATE(B50,-12),Database!$A:$AU,MATCH($C$1,Database!$A$1:$AU$1,),)))))</f>
        <v/>
      </c>
      <c r="D50" s="13">
        <f>IF(VLOOKUP(B50,Database!$A:$AV,MATCH($D$1,Database!$A$1:$AV$1,),)=0,"#N/A",((((VLOOKUP(B50,Database!$A:$AS,MATCH($D$1,Database!$A$1:$AS$1,),))))-(((VLOOKUP(EDATE(B50,-12),Database!$A:$AS,MATCH($D$1,Database!$A$1:$AS$1,),)))))/(((VLOOKUP(EDATE(B50,-12),Database!$A:$AS,MATCH($D$1,Database!$A$1:$AS$1,),)))))</f>
        <v/>
      </c>
      <c r="E50" s="13">
        <f>IF(VLOOKUP(B50,Database!$A:$AV,MATCH($E$1,Database!$A$1:$AV$1,),)=0,"#N/A",((((VLOOKUP(B50,Database!$A:$AS,MATCH($E$1,Database!$A$1:$AS$1,),))))-(((VLOOKUP(EDATE(B50,-12),Database!$A:$AS,MATCH($E$1,Database!$A$1:$AS$1,),)))))/(((VLOOKUP(EDATE(B50,-12),Database!$A:$AS,MATCH($E$1,Database!$A$1:$AS$1,),)))))</f>
        <v/>
      </c>
      <c r="F50" s="13">
        <f>IF(VLOOKUP(B50,Database!$A:$AV,MATCH($F$1,Database!$A$1:$AV$1,),)=0,"#N/A",((((VLOOKUP(B50,Database!$A:$AS,MATCH($F$1,Database!$A$1:$AS$1,),))))-(((VLOOKUP(EDATE(B50,-12),Database!$A:$AS,MATCH($F$1,Database!$A$1:$AS$1,),)))))/(((VLOOKUP(EDATE(B50,-12),Database!$A:$AS,MATCH($F$1,Database!$A$1:$AS$1,),)))))</f>
        <v/>
      </c>
      <c r="G50" s="13">
        <f>IF(VLOOKUP(B50,Database!$A:$AV,MATCH($G$1,Database!$A$1:$AV$1,),)=0,"#N/A",((((VLOOKUP(B50,Database!$A:$AS,MATCH($G$1,Database!$A$1:$AS$1,),))))-(((VLOOKUP(EDATE(B50,-12),Database!$A:$AS,MATCH($G$1,Database!$A$1:$AS$1,),)))))/(((VLOOKUP(EDATE(B50,-12),Database!$A:$AS,MATCH($G$1,Database!$A$1:$AS$1,),)))))</f>
        <v/>
      </c>
      <c r="H50" s="13">
        <f>IF(VLOOKUP(B50,Database!$A:$AV,MATCH($H$1,Database!$A$1:$AV$1,),)=0,"#N/A",((((VLOOKUP(B50,Database!$A:$AS,MATCH($H$1,Database!$A$1:$AS$1,),))))-(((VLOOKUP(EDATE(B50,-12),Database!$A:$AS,MATCH($H$1,Database!$A$1:$AS$1,),)))))/(((VLOOKUP(EDATE(B50,-12),Database!$A:$AS,MATCH($H$1,Database!$A$1:$AS$1,),)))))</f>
        <v/>
      </c>
      <c r="I50" s="13">
        <f>IF(VLOOKUP(B50,Database!$A:$AV,MATCH($I$1,Database!$A$1:$AV$1,),)=0,"#N/A",((((VLOOKUP(B50,Database!$A:$AS,MATCH($I$1,Database!$A$1:$AS$1,),))))-(((VLOOKUP(EDATE(B50,-12),Database!$A:$AS,MATCH($I$1,Database!$A$1:$AS$1,),)))))/(((VLOOKUP(EDATE(B50,-12),Database!$A:$AS,MATCH($I$1,Database!$A$1:$AS$1,),)))))</f>
        <v/>
      </c>
      <c r="J50" s="13">
        <f>IF(VLOOKUP(B50,Database!$A:$AV,MATCH($J$1,Database!$A$1:$AV$1,),)=0,"#N/A",((((VLOOKUP(B50,Database!$A:$AS,MATCH($J$1,Database!$A$1:$AS$1,),))))-(((VLOOKUP(EDATE(B50,-12),Database!$A:$AS,MATCH($J$1,Database!$A$1:$AS$1,),)))))/(((VLOOKUP(EDATE(B50,-12),Database!$A:$AS,MATCH($J$1,Database!$A$1:$AS$1,),)))))</f>
        <v/>
      </c>
      <c r="K50" s="13">
        <f>IF(VLOOKUP(B50,Database!$A:$AV,MATCH($K$1,Database!$A$1:$AV$1,),)=0,"#N/A",((((VLOOKUP(B50,Database!$A:$AS,MATCH($K$1,Database!$A$1:$AS$1,),))))-(((VLOOKUP(EDATE(B50,-12),Database!$A:$AS,MATCH($K$1,Database!$A$1:$AS$1,),)))))/(((VLOOKUP(EDATE(B50,-12),Database!$A:$AS,MATCH($K$1,Database!$A$1:$AS$1,),)))))</f>
        <v/>
      </c>
      <c r="L50" s="13">
        <f>((((VLOOKUP(B50,Database!$A:$AS,MATCH($L$1,Database!$A$1:$AS$1,),))))-(((VLOOKUP(EDATE(B50,-12),Database!$A:$AS,MATCH($L$1,Database!$A$1:$AS$1,),)))))/(((VLOOKUP(EDATE(B50,-12),Database!$A:$AS,MATCH($L$1,Database!$A$1:$AS$1,),))))</f>
        <v/>
      </c>
      <c r="M50" s="13">
        <f>((((VLOOKUP(B50,Database!$A:$AS,MATCH($M$1,Database!$A$1:$AS$1,),))))-(((VLOOKUP(EDATE(B50,-12),Database!$A:$AS,MATCH($M$1,Database!$A$1:$AS$1,),)))))/(((VLOOKUP(EDATE(B50,-12),Database!$A:$AS,MATCH($M$1,Database!$A$1:$AS$1,),))))</f>
        <v/>
      </c>
      <c r="N50" s="13">
        <f>((((VLOOKUP(B50,Database!$A:$AS,MATCH($N$1,Database!$A$1:$AS$1,),))))-(((VLOOKUP(EDATE(B50,-12),Database!$A:$AS,MATCH($N$1,Database!$A$1:$AS$1,),)))))/(((VLOOKUP(EDATE(B50,-12),Database!$A:$AS,MATCH($N$1,Database!$A$1:$AS$1,),))))</f>
        <v/>
      </c>
      <c r="O50" s="13">
        <f>IF(VLOOKUP(B50,Database!$A:$AV,MATCH($O$1,Database!$A$1:$AV$1,),)=0,"#N/A",((((VLOOKUP(B50,Database!$A:$AS,MATCH($O$1,Database!$A$1:$AS$1,),))))-(((VLOOKUP(EDATE(B50,-12),Database!$A:$AS,MATCH($O$1,Database!$A$1:$AS$1,),)))))/(((VLOOKUP(EDATE(B50,-12),Database!$A:$AS,MATCH($O$1,Database!$A$1:$AS$1,),)))))</f>
        <v/>
      </c>
      <c r="P50" s="13">
        <f>IF(VLOOKUP(B50,Database!$A:$AV,MATCH($P$1,Database!$A$1:$AV$1,),)=0,"#N/A",((((VLOOKUP(B50,Database!$A:$AS,MATCH($P$1,Database!$A$1:$AS$1,),))))-(((VLOOKUP(EDATE(B50,-12),Database!$A:$AS,MATCH($P$1,Database!$A$1:$AS$1,),)))))/(((VLOOKUP(EDATE(B50,-12),Database!$A:$AS,MATCH($P$1,Database!$A$1:$AS$1,),)))))</f>
        <v/>
      </c>
      <c r="Q50" s="13">
        <f>IF(VLOOKUP(B50,Database!$A:$AV,MATCH($Q$1,Database!$A$1:$AV$1,),)=0,"#N/A",((((VLOOKUP(B50,Database!$A:$AS,MATCH($Q$1,Database!$A$1:$AS$1,),))))-(((VLOOKUP(EDATE(B50,-12),Database!$A:$AS,MATCH($Q$1,Database!$A$1:$AS$1,),)))))/(((VLOOKUP(EDATE(B50,-12),Database!$A:$AS,MATCH($Q$1,Database!$A$1:$AS$1,),)))))</f>
        <v/>
      </c>
      <c r="R50" s="13">
        <f>IF(VLOOKUP(B50,Database!$A:$AV,MATCH($R$1,Database!$A$1:$AV$1,),)=0,"#N/A",((((VLOOKUP(B50,Database!$A:$AS,MATCH($R$1,Database!$A$1:$AS$1,),))))-(((VLOOKUP(EDATE(B50,-12),Database!$A:$AS,MATCH($R$1,Database!$A$1:$AS$1,),)))))/(((VLOOKUP(EDATE(B50,-12),Database!$A:$AS,MATCH($R$1,Database!$A$1:$AS$1,),)))))</f>
        <v/>
      </c>
      <c r="S50" s="13">
        <f>IF(VLOOKUP(B50,Database!$A:$AV,MATCH($S$1,Database!$A$1:$AV$1,),)=0,"#N/A",((((VLOOKUP(B50,Database!$A:$AS,MATCH($S$1,Database!$A$1:$AS$1,),))))-(((VLOOKUP(EDATE(B50,-12),Database!$A:$AS,MATCH($S$1,Database!$A$1:$AS$1,),)))))/(((VLOOKUP(EDATE(B50,-12),Database!$A:$AS,MATCH($S$1,Database!$A$1:$AS$1,),)))))</f>
        <v/>
      </c>
      <c r="T50" s="13">
        <f>IF(VLOOKUP(B50,Database!$A:$AV,MATCH($T$1,Database!$A$1:$AV$1,),)=0,"#N/A",((((VLOOKUP(B50,Database!$A:$AS,MATCH($T$1,Database!$A$1:$AS$1,),))))-(((VLOOKUP(EDATE(B50,-12),Database!$A:$AS,MATCH($T$1,Database!$A$1:$AS$1,),)))))/(((VLOOKUP(EDATE(B50,-12),Database!$A:$AS,MATCH($T$1,Database!$A$1:$AS$1,),)))))</f>
        <v/>
      </c>
      <c r="U50" s="13">
        <f>IF(VLOOKUP(B50,Database!$A:$AV,MATCH($U$1,Database!$A$1:$AV$1,),)=0,"#N/A",((((VLOOKUP(B50,Database!$A:$AS,MATCH($U$1,Database!$A$1:$AS$1,),))))-(((VLOOKUP(EDATE(B50,-12),Database!$A:$AS,MATCH($U$1,Database!$A$1:$AS$1,),)))))/(((VLOOKUP(EDATE(B50,-12),Database!$A:$AS,MATCH($U$1,Database!$A$1:$AS$1,),)))))</f>
        <v/>
      </c>
      <c r="V50" s="13">
        <f>IF(VLOOKUP(B50,Database!$A:$AV,MATCH($V$1,Database!$A$1:$AV$1,),)=0,"#N/A",((((VLOOKUP(B50,Database!$A:$AS,MATCH($V$1,Database!$A$1:$AS$1,),))))-(((VLOOKUP(EDATE(B50,-12),Database!$A:$AS,MATCH($V$1,Database!$A$1:$AS$1,),)))))/(((VLOOKUP(EDATE(B50,-12),Database!$A:$AS,MATCH($V$1,Database!$A$1:$AS$1,),)))))</f>
        <v/>
      </c>
    </row>
    <row r="51" customFormat="1" s="86">
      <c r="A51" s="43" t="n"/>
      <c r="B51" s="75" t="n">
        <v>33695</v>
      </c>
      <c r="C51" s="13">
        <f>IF(VLOOKUP(B51,Database!$A:$AU,MATCH($C$1,Database!$A$1:$AU$1,),)=0,"#N/A",((((VLOOKUP(B51,Database!$A:$AU,MATCH($C$1,Database!$A$1:$AU$1,),))))-(((VLOOKUP(EDATE(B51,-12),Database!$A:$AU,MATCH($C$1,Database!$A$1:$AU$1,),)))))/(((VLOOKUP(EDATE(B51,-12),Database!$A:$AU,MATCH($C$1,Database!$A$1:$AU$1,),)))))</f>
        <v/>
      </c>
      <c r="D51" s="13">
        <f>IF(VLOOKUP(B51,Database!$A:$AV,MATCH($D$1,Database!$A$1:$AV$1,),)=0,"#N/A",((((VLOOKUP(B51,Database!$A:$AS,MATCH($D$1,Database!$A$1:$AS$1,),))))-(((VLOOKUP(EDATE(B51,-12),Database!$A:$AS,MATCH($D$1,Database!$A$1:$AS$1,),)))))/(((VLOOKUP(EDATE(B51,-12),Database!$A:$AS,MATCH($D$1,Database!$A$1:$AS$1,),)))))</f>
        <v/>
      </c>
      <c r="E51" s="13">
        <f>IF(VLOOKUP(B51,Database!$A:$AV,MATCH($E$1,Database!$A$1:$AV$1,),)=0,"#N/A",((((VLOOKUP(B51,Database!$A:$AS,MATCH($E$1,Database!$A$1:$AS$1,),))))-(((VLOOKUP(EDATE(B51,-12),Database!$A:$AS,MATCH($E$1,Database!$A$1:$AS$1,),)))))/(((VLOOKUP(EDATE(B51,-12),Database!$A:$AS,MATCH($E$1,Database!$A$1:$AS$1,),)))))</f>
        <v/>
      </c>
      <c r="F51" s="13">
        <f>IF(VLOOKUP(B51,Database!$A:$AV,MATCH($F$1,Database!$A$1:$AV$1,),)=0,"#N/A",((((VLOOKUP(B51,Database!$A:$AS,MATCH($F$1,Database!$A$1:$AS$1,),))))-(((VLOOKUP(EDATE(B51,-12),Database!$A:$AS,MATCH($F$1,Database!$A$1:$AS$1,),)))))/(((VLOOKUP(EDATE(B51,-12),Database!$A:$AS,MATCH($F$1,Database!$A$1:$AS$1,),)))))</f>
        <v/>
      </c>
      <c r="G51" s="13">
        <f>IF(VLOOKUP(B51,Database!$A:$AV,MATCH($G$1,Database!$A$1:$AV$1,),)=0,"#N/A",((((VLOOKUP(B51,Database!$A:$AS,MATCH($G$1,Database!$A$1:$AS$1,),))))-(((VLOOKUP(EDATE(B51,-12),Database!$A:$AS,MATCH($G$1,Database!$A$1:$AS$1,),)))))/(((VLOOKUP(EDATE(B51,-12),Database!$A:$AS,MATCH($G$1,Database!$A$1:$AS$1,),)))))</f>
        <v/>
      </c>
      <c r="H51" s="13">
        <f>IF(VLOOKUP(B51,Database!$A:$AV,MATCH($H$1,Database!$A$1:$AV$1,),)=0,"#N/A",((((VLOOKUP(B51,Database!$A:$AS,MATCH($H$1,Database!$A$1:$AS$1,),))))-(((VLOOKUP(EDATE(B51,-12),Database!$A:$AS,MATCH($H$1,Database!$A$1:$AS$1,),)))))/(((VLOOKUP(EDATE(B51,-12),Database!$A:$AS,MATCH($H$1,Database!$A$1:$AS$1,),)))))</f>
        <v/>
      </c>
      <c r="I51" s="13">
        <f>IF(VLOOKUP(B51,Database!$A:$AV,MATCH($I$1,Database!$A$1:$AV$1,),)=0,"#N/A",((((VLOOKUP(B51,Database!$A:$AS,MATCH($I$1,Database!$A$1:$AS$1,),))))-(((VLOOKUP(EDATE(B51,-12),Database!$A:$AS,MATCH($I$1,Database!$A$1:$AS$1,),)))))/(((VLOOKUP(EDATE(B51,-12),Database!$A:$AS,MATCH($I$1,Database!$A$1:$AS$1,),)))))</f>
        <v/>
      </c>
      <c r="J51" s="13">
        <f>IF(VLOOKUP(B51,Database!$A:$AV,MATCH($J$1,Database!$A$1:$AV$1,),)=0,"#N/A",((((VLOOKUP(B51,Database!$A:$AS,MATCH($J$1,Database!$A$1:$AS$1,),))))-(((VLOOKUP(EDATE(B51,-12),Database!$A:$AS,MATCH($J$1,Database!$A$1:$AS$1,),)))))/(((VLOOKUP(EDATE(B51,-12),Database!$A:$AS,MATCH($J$1,Database!$A$1:$AS$1,),)))))</f>
        <v/>
      </c>
      <c r="K51" s="13">
        <f>IF(VLOOKUP(B51,Database!$A:$AV,MATCH($K$1,Database!$A$1:$AV$1,),)=0,"#N/A",((((VLOOKUP(B51,Database!$A:$AS,MATCH($K$1,Database!$A$1:$AS$1,),))))-(((VLOOKUP(EDATE(B51,-12),Database!$A:$AS,MATCH($K$1,Database!$A$1:$AS$1,),)))))/(((VLOOKUP(EDATE(B51,-12),Database!$A:$AS,MATCH($K$1,Database!$A$1:$AS$1,),)))))</f>
        <v/>
      </c>
      <c r="L51" s="13">
        <f>((((VLOOKUP(B51,Database!$A:$AS,MATCH($L$1,Database!$A$1:$AS$1,),))))-(((VLOOKUP(EDATE(B51,-12),Database!$A:$AS,MATCH($L$1,Database!$A$1:$AS$1,),)))))/(((VLOOKUP(EDATE(B51,-12),Database!$A:$AS,MATCH($L$1,Database!$A$1:$AS$1,),))))</f>
        <v/>
      </c>
      <c r="M51" s="13">
        <f>((((VLOOKUP(B51,Database!$A:$AS,MATCH($M$1,Database!$A$1:$AS$1,),))))-(((VLOOKUP(EDATE(B51,-12),Database!$A:$AS,MATCH($M$1,Database!$A$1:$AS$1,),)))))/(((VLOOKUP(EDATE(B51,-12),Database!$A:$AS,MATCH($M$1,Database!$A$1:$AS$1,),))))</f>
        <v/>
      </c>
      <c r="N51" s="13">
        <f>((((VLOOKUP(B51,Database!$A:$AS,MATCH($N$1,Database!$A$1:$AS$1,),))))-(((VLOOKUP(EDATE(B51,-12),Database!$A:$AS,MATCH($N$1,Database!$A$1:$AS$1,),)))))/(((VLOOKUP(EDATE(B51,-12),Database!$A:$AS,MATCH($N$1,Database!$A$1:$AS$1,),))))</f>
        <v/>
      </c>
      <c r="O51" s="13">
        <f>IF(VLOOKUP(B51,Database!$A:$AV,MATCH($O$1,Database!$A$1:$AV$1,),)=0,"#N/A",((((VLOOKUP(B51,Database!$A:$AS,MATCH($O$1,Database!$A$1:$AS$1,),))))-(((VLOOKUP(EDATE(B51,-12),Database!$A:$AS,MATCH($O$1,Database!$A$1:$AS$1,),)))))/(((VLOOKUP(EDATE(B51,-12),Database!$A:$AS,MATCH($O$1,Database!$A$1:$AS$1,),)))))</f>
        <v/>
      </c>
      <c r="P51" s="13">
        <f>IF(VLOOKUP(B51,Database!$A:$AV,MATCH($P$1,Database!$A$1:$AV$1,),)=0,"#N/A",((((VLOOKUP(B51,Database!$A:$AS,MATCH($P$1,Database!$A$1:$AS$1,),))))-(((VLOOKUP(EDATE(B51,-12),Database!$A:$AS,MATCH($P$1,Database!$A$1:$AS$1,),)))))/(((VLOOKUP(EDATE(B51,-12),Database!$A:$AS,MATCH($P$1,Database!$A$1:$AS$1,),)))))</f>
        <v/>
      </c>
      <c r="Q51" s="13">
        <f>IF(VLOOKUP(B51,Database!$A:$AV,MATCH($Q$1,Database!$A$1:$AV$1,),)=0,"#N/A",((((VLOOKUP(B51,Database!$A:$AS,MATCH($Q$1,Database!$A$1:$AS$1,),))))-(((VLOOKUP(EDATE(B51,-12),Database!$A:$AS,MATCH($Q$1,Database!$A$1:$AS$1,),)))))/(((VLOOKUP(EDATE(B51,-12),Database!$A:$AS,MATCH($Q$1,Database!$A$1:$AS$1,),)))))</f>
        <v/>
      </c>
      <c r="R51" s="13">
        <f>IF(VLOOKUP(B51,Database!$A:$AV,MATCH($R$1,Database!$A$1:$AV$1,),)=0,"#N/A",((((VLOOKUP(B51,Database!$A:$AS,MATCH($R$1,Database!$A$1:$AS$1,),))))-(((VLOOKUP(EDATE(B51,-12),Database!$A:$AS,MATCH($R$1,Database!$A$1:$AS$1,),)))))/(((VLOOKUP(EDATE(B51,-12),Database!$A:$AS,MATCH($R$1,Database!$A$1:$AS$1,),)))))</f>
        <v/>
      </c>
      <c r="S51" s="13">
        <f>IF(VLOOKUP(B51,Database!$A:$AV,MATCH($S$1,Database!$A$1:$AV$1,),)=0,"#N/A",((((VLOOKUP(B51,Database!$A:$AS,MATCH($S$1,Database!$A$1:$AS$1,),))))-(((VLOOKUP(EDATE(B51,-12),Database!$A:$AS,MATCH($S$1,Database!$A$1:$AS$1,),)))))/(((VLOOKUP(EDATE(B51,-12),Database!$A:$AS,MATCH($S$1,Database!$A$1:$AS$1,),)))))</f>
        <v/>
      </c>
      <c r="T51" s="13">
        <f>IF(VLOOKUP(B51,Database!$A:$AV,MATCH($T$1,Database!$A$1:$AV$1,),)=0,"#N/A",((((VLOOKUP(B51,Database!$A:$AS,MATCH($T$1,Database!$A$1:$AS$1,),))))-(((VLOOKUP(EDATE(B51,-12),Database!$A:$AS,MATCH($T$1,Database!$A$1:$AS$1,),)))))/(((VLOOKUP(EDATE(B51,-12),Database!$A:$AS,MATCH($T$1,Database!$A$1:$AS$1,),)))))</f>
        <v/>
      </c>
      <c r="U51" s="13">
        <f>IF(VLOOKUP(B51,Database!$A:$AV,MATCH($U$1,Database!$A$1:$AV$1,),)=0,"#N/A",((((VLOOKUP(B51,Database!$A:$AS,MATCH($U$1,Database!$A$1:$AS$1,),))))-(((VLOOKUP(EDATE(B51,-12),Database!$A:$AS,MATCH($U$1,Database!$A$1:$AS$1,),)))))/(((VLOOKUP(EDATE(B51,-12),Database!$A:$AS,MATCH($U$1,Database!$A$1:$AS$1,),)))))</f>
        <v/>
      </c>
      <c r="V51" s="13">
        <f>IF(VLOOKUP(B51,Database!$A:$AV,MATCH($V$1,Database!$A$1:$AV$1,),)=0,"#N/A",((((VLOOKUP(B51,Database!$A:$AS,MATCH($V$1,Database!$A$1:$AS$1,),))))-(((VLOOKUP(EDATE(B51,-12),Database!$A:$AS,MATCH($V$1,Database!$A$1:$AS$1,),)))))/(((VLOOKUP(EDATE(B51,-12),Database!$A:$AS,MATCH($V$1,Database!$A$1:$AS$1,),)))))</f>
        <v/>
      </c>
    </row>
    <row r="52" customFormat="1" s="86">
      <c r="A52" s="43" t="n"/>
      <c r="B52" s="75" t="n">
        <v>33725</v>
      </c>
      <c r="C52" s="13">
        <f>IF(VLOOKUP(B52,Database!$A:$AU,MATCH($C$1,Database!$A$1:$AU$1,),)=0,"#N/A",((((VLOOKUP(B52,Database!$A:$AU,MATCH($C$1,Database!$A$1:$AU$1,),))))-(((VLOOKUP(EDATE(B52,-12),Database!$A:$AU,MATCH($C$1,Database!$A$1:$AU$1,),)))))/(((VLOOKUP(EDATE(B52,-12),Database!$A:$AU,MATCH($C$1,Database!$A$1:$AU$1,),)))))</f>
        <v/>
      </c>
      <c r="D52" s="13">
        <f>IF(VLOOKUP(B52,Database!$A:$AV,MATCH($D$1,Database!$A$1:$AV$1,),)=0,"#N/A",((((VLOOKUP(B52,Database!$A:$AS,MATCH($D$1,Database!$A$1:$AS$1,),))))-(((VLOOKUP(EDATE(B52,-12),Database!$A:$AS,MATCH($D$1,Database!$A$1:$AS$1,),)))))/(((VLOOKUP(EDATE(B52,-12),Database!$A:$AS,MATCH($D$1,Database!$A$1:$AS$1,),)))))</f>
        <v/>
      </c>
      <c r="E52" s="13">
        <f>IF(VLOOKUP(B52,Database!$A:$AV,MATCH($E$1,Database!$A$1:$AV$1,),)=0,"#N/A",((((VLOOKUP(B52,Database!$A:$AS,MATCH($E$1,Database!$A$1:$AS$1,),))))-(((VLOOKUP(EDATE(B52,-12),Database!$A:$AS,MATCH($E$1,Database!$A$1:$AS$1,),)))))/(((VLOOKUP(EDATE(B52,-12),Database!$A:$AS,MATCH($E$1,Database!$A$1:$AS$1,),)))))</f>
        <v/>
      </c>
      <c r="F52" s="13">
        <f>IF(VLOOKUP(B52,Database!$A:$AV,MATCH($F$1,Database!$A$1:$AV$1,),)=0,"#N/A",((((VLOOKUP(B52,Database!$A:$AS,MATCH($F$1,Database!$A$1:$AS$1,),))))-(((VLOOKUP(EDATE(B52,-12),Database!$A:$AS,MATCH($F$1,Database!$A$1:$AS$1,),)))))/(((VLOOKUP(EDATE(B52,-12),Database!$A:$AS,MATCH($F$1,Database!$A$1:$AS$1,),)))))</f>
        <v/>
      </c>
      <c r="G52" s="13">
        <f>IF(VLOOKUP(B52,Database!$A:$AV,MATCH($G$1,Database!$A$1:$AV$1,),)=0,"#N/A",((((VLOOKUP(B52,Database!$A:$AS,MATCH($G$1,Database!$A$1:$AS$1,),))))-(((VLOOKUP(EDATE(B52,-12),Database!$A:$AS,MATCH($G$1,Database!$A$1:$AS$1,),)))))/(((VLOOKUP(EDATE(B52,-12),Database!$A:$AS,MATCH($G$1,Database!$A$1:$AS$1,),)))))</f>
        <v/>
      </c>
      <c r="H52" s="13">
        <f>IF(VLOOKUP(B52,Database!$A:$AV,MATCH($H$1,Database!$A$1:$AV$1,),)=0,"#N/A",((((VLOOKUP(B52,Database!$A:$AS,MATCH($H$1,Database!$A$1:$AS$1,),))))-(((VLOOKUP(EDATE(B52,-12),Database!$A:$AS,MATCH($H$1,Database!$A$1:$AS$1,),)))))/(((VLOOKUP(EDATE(B52,-12),Database!$A:$AS,MATCH($H$1,Database!$A$1:$AS$1,),)))))</f>
        <v/>
      </c>
      <c r="I52" s="13">
        <f>IF(VLOOKUP(B52,Database!$A:$AV,MATCH($I$1,Database!$A$1:$AV$1,),)=0,"#N/A",((((VLOOKUP(B52,Database!$A:$AS,MATCH($I$1,Database!$A$1:$AS$1,),))))-(((VLOOKUP(EDATE(B52,-12),Database!$A:$AS,MATCH($I$1,Database!$A$1:$AS$1,),)))))/(((VLOOKUP(EDATE(B52,-12),Database!$A:$AS,MATCH($I$1,Database!$A$1:$AS$1,),)))))</f>
        <v/>
      </c>
      <c r="J52" s="13">
        <f>IF(VLOOKUP(B52,Database!$A:$AV,MATCH($J$1,Database!$A$1:$AV$1,),)=0,"#N/A",((((VLOOKUP(B52,Database!$A:$AS,MATCH($J$1,Database!$A$1:$AS$1,),))))-(((VLOOKUP(EDATE(B52,-12),Database!$A:$AS,MATCH($J$1,Database!$A$1:$AS$1,),)))))/(((VLOOKUP(EDATE(B52,-12),Database!$A:$AS,MATCH($J$1,Database!$A$1:$AS$1,),)))))</f>
        <v/>
      </c>
      <c r="K52" s="13">
        <f>IF(VLOOKUP(B52,Database!$A:$AV,MATCH($K$1,Database!$A$1:$AV$1,),)=0,"#N/A",((((VLOOKUP(B52,Database!$A:$AS,MATCH($K$1,Database!$A$1:$AS$1,),))))-(((VLOOKUP(EDATE(B52,-12),Database!$A:$AS,MATCH($K$1,Database!$A$1:$AS$1,),)))))/(((VLOOKUP(EDATE(B52,-12),Database!$A:$AS,MATCH($K$1,Database!$A$1:$AS$1,),)))))</f>
        <v/>
      </c>
      <c r="L52" s="13">
        <f>((((VLOOKUP(B52,Database!$A:$AS,MATCH($L$1,Database!$A$1:$AS$1,),))))-(((VLOOKUP(EDATE(B52,-12),Database!$A:$AS,MATCH($L$1,Database!$A$1:$AS$1,),)))))/(((VLOOKUP(EDATE(B52,-12),Database!$A:$AS,MATCH($L$1,Database!$A$1:$AS$1,),))))</f>
        <v/>
      </c>
      <c r="M52" s="13">
        <f>((((VLOOKUP(B52,Database!$A:$AS,MATCH($M$1,Database!$A$1:$AS$1,),))))-(((VLOOKUP(EDATE(B52,-12),Database!$A:$AS,MATCH($M$1,Database!$A$1:$AS$1,),)))))/(((VLOOKUP(EDATE(B52,-12),Database!$A:$AS,MATCH($M$1,Database!$A$1:$AS$1,),))))</f>
        <v/>
      </c>
      <c r="N52" s="13">
        <f>((((VLOOKUP(B52,Database!$A:$AS,MATCH($N$1,Database!$A$1:$AS$1,),))))-(((VLOOKUP(EDATE(B52,-12),Database!$A:$AS,MATCH($N$1,Database!$A$1:$AS$1,),)))))/(((VLOOKUP(EDATE(B52,-12),Database!$A:$AS,MATCH($N$1,Database!$A$1:$AS$1,),))))</f>
        <v/>
      </c>
      <c r="O52" s="13">
        <f>IF(VLOOKUP(B52,Database!$A:$AV,MATCH($O$1,Database!$A$1:$AV$1,),)=0,"#N/A",((((VLOOKUP(B52,Database!$A:$AS,MATCH($O$1,Database!$A$1:$AS$1,),))))-(((VLOOKUP(EDATE(B52,-12),Database!$A:$AS,MATCH($O$1,Database!$A$1:$AS$1,),)))))/(((VLOOKUP(EDATE(B52,-12),Database!$A:$AS,MATCH($O$1,Database!$A$1:$AS$1,),)))))</f>
        <v/>
      </c>
      <c r="P52" s="13">
        <f>IF(VLOOKUP(B52,Database!$A:$AV,MATCH($P$1,Database!$A$1:$AV$1,),)=0,"#N/A",((((VLOOKUP(B52,Database!$A:$AS,MATCH($P$1,Database!$A$1:$AS$1,),))))-(((VLOOKUP(EDATE(B52,-12),Database!$A:$AS,MATCH($P$1,Database!$A$1:$AS$1,),)))))/(((VLOOKUP(EDATE(B52,-12),Database!$A:$AS,MATCH($P$1,Database!$A$1:$AS$1,),)))))</f>
        <v/>
      </c>
      <c r="Q52" s="13">
        <f>IF(VLOOKUP(B52,Database!$A:$AV,MATCH($Q$1,Database!$A$1:$AV$1,),)=0,"#N/A",((((VLOOKUP(B52,Database!$A:$AS,MATCH($Q$1,Database!$A$1:$AS$1,),))))-(((VLOOKUP(EDATE(B52,-12),Database!$A:$AS,MATCH($Q$1,Database!$A$1:$AS$1,),)))))/(((VLOOKUP(EDATE(B52,-12),Database!$A:$AS,MATCH($Q$1,Database!$A$1:$AS$1,),)))))</f>
        <v/>
      </c>
      <c r="R52" s="13">
        <f>IF(VLOOKUP(B52,Database!$A:$AV,MATCH($R$1,Database!$A$1:$AV$1,),)=0,"#N/A",((((VLOOKUP(B52,Database!$A:$AS,MATCH($R$1,Database!$A$1:$AS$1,),))))-(((VLOOKUP(EDATE(B52,-12),Database!$A:$AS,MATCH($R$1,Database!$A$1:$AS$1,),)))))/(((VLOOKUP(EDATE(B52,-12),Database!$A:$AS,MATCH($R$1,Database!$A$1:$AS$1,),)))))</f>
        <v/>
      </c>
      <c r="S52" s="13">
        <f>IF(VLOOKUP(B52,Database!$A:$AV,MATCH($S$1,Database!$A$1:$AV$1,),)=0,"#N/A",((((VLOOKUP(B52,Database!$A:$AS,MATCH($S$1,Database!$A$1:$AS$1,),))))-(((VLOOKUP(EDATE(B52,-12),Database!$A:$AS,MATCH($S$1,Database!$A$1:$AS$1,),)))))/(((VLOOKUP(EDATE(B52,-12),Database!$A:$AS,MATCH($S$1,Database!$A$1:$AS$1,),)))))</f>
        <v/>
      </c>
      <c r="T52" s="13">
        <f>IF(VLOOKUP(B52,Database!$A:$AV,MATCH($T$1,Database!$A$1:$AV$1,),)=0,"#N/A",((((VLOOKUP(B52,Database!$A:$AS,MATCH($T$1,Database!$A$1:$AS$1,),))))-(((VLOOKUP(EDATE(B52,-12),Database!$A:$AS,MATCH($T$1,Database!$A$1:$AS$1,),)))))/(((VLOOKUP(EDATE(B52,-12),Database!$A:$AS,MATCH($T$1,Database!$A$1:$AS$1,),)))))</f>
        <v/>
      </c>
      <c r="U52" s="13">
        <f>IF(VLOOKUP(B52,Database!$A:$AV,MATCH($U$1,Database!$A$1:$AV$1,),)=0,"#N/A",((((VLOOKUP(B52,Database!$A:$AS,MATCH($U$1,Database!$A$1:$AS$1,),))))-(((VLOOKUP(EDATE(B52,-12),Database!$A:$AS,MATCH($U$1,Database!$A$1:$AS$1,),)))))/(((VLOOKUP(EDATE(B52,-12),Database!$A:$AS,MATCH($U$1,Database!$A$1:$AS$1,),)))))</f>
        <v/>
      </c>
      <c r="V52" s="13">
        <f>IF(VLOOKUP(B52,Database!$A:$AV,MATCH($V$1,Database!$A$1:$AV$1,),)=0,"#N/A",((((VLOOKUP(B52,Database!$A:$AS,MATCH($V$1,Database!$A$1:$AS$1,),))))-(((VLOOKUP(EDATE(B52,-12),Database!$A:$AS,MATCH($V$1,Database!$A$1:$AS$1,),)))))/(((VLOOKUP(EDATE(B52,-12),Database!$A:$AS,MATCH($V$1,Database!$A$1:$AS$1,),)))))</f>
        <v/>
      </c>
    </row>
    <row r="53" customFormat="1" s="86">
      <c r="A53" s="43" t="n"/>
      <c r="B53" s="75" t="n">
        <v>33756</v>
      </c>
      <c r="C53" s="13">
        <f>IF(VLOOKUP(B53,Database!$A:$AU,MATCH($C$1,Database!$A$1:$AU$1,),)=0,"#N/A",((((VLOOKUP(B53,Database!$A:$AU,MATCH($C$1,Database!$A$1:$AU$1,),))))-(((VLOOKUP(EDATE(B53,-12),Database!$A:$AU,MATCH($C$1,Database!$A$1:$AU$1,),)))))/(((VLOOKUP(EDATE(B53,-12),Database!$A:$AU,MATCH($C$1,Database!$A$1:$AU$1,),)))))</f>
        <v/>
      </c>
      <c r="D53" s="13">
        <f>IF(VLOOKUP(B53,Database!$A:$AV,MATCH($D$1,Database!$A$1:$AV$1,),)=0,"#N/A",((((VLOOKUP(B53,Database!$A:$AS,MATCH($D$1,Database!$A$1:$AS$1,),))))-(((VLOOKUP(EDATE(B53,-12),Database!$A:$AS,MATCH($D$1,Database!$A$1:$AS$1,),)))))/(((VLOOKUP(EDATE(B53,-12),Database!$A:$AS,MATCH($D$1,Database!$A$1:$AS$1,),)))))</f>
        <v/>
      </c>
      <c r="E53" s="13">
        <f>IF(VLOOKUP(B53,Database!$A:$AV,MATCH($E$1,Database!$A$1:$AV$1,),)=0,"#N/A",((((VLOOKUP(B53,Database!$A:$AS,MATCH($E$1,Database!$A$1:$AS$1,),))))-(((VLOOKUP(EDATE(B53,-12),Database!$A:$AS,MATCH($E$1,Database!$A$1:$AS$1,),)))))/(((VLOOKUP(EDATE(B53,-12),Database!$A:$AS,MATCH($E$1,Database!$A$1:$AS$1,),)))))</f>
        <v/>
      </c>
      <c r="F53" s="13">
        <f>IF(VLOOKUP(B53,Database!$A:$AV,MATCH($F$1,Database!$A$1:$AV$1,),)=0,"#N/A",((((VLOOKUP(B53,Database!$A:$AS,MATCH($F$1,Database!$A$1:$AS$1,),))))-(((VLOOKUP(EDATE(B53,-12),Database!$A:$AS,MATCH($F$1,Database!$A$1:$AS$1,),)))))/(((VLOOKUP(EDATE(B53,-12),Database!$A:$AS,MATCH($F$1,Database!$A$1:$AS$1,),)))))</f>
        <v/>
      </c>
      <c r="G53" s="13">
        <f>IF(VLOOKUP(B53,Database!$A:$AV,MATCH($G$1,Database!$A$1:$AV$1,),)=0,"#N/A",((((VLOOKUP(B53,Database!$A:$AS,MATCH($G$1,Database!$A$1:$AS$1,),))))-(((VLOOKUP(EDATE(B53,-12),Database!$A:$AS,MATCH($G$1,Database!$A$1:$AS$1,),)))))/(((VLOOKUP(EDATE(B53,-12),Database!$A:$AS,MATCH($G$1,Database!$A$1:$AS$1,),)))))</f>
        <v/>
      </c>
      <c r="H53" s="13">
        <f>IF(VLOOKUP(B53,Database!$A:$AV,MATCH($H$1,Database!$A$1:$AV$1,),)=0,"#N/A",((((VLOOKUP(B53,Database!$A:$AS,MATCH($H$1,Database!$A$1:$AS$1,),))))-(((VLOOKUP(EDATE(B53,-12),Database!$A:$AS,MATCH($H$1,Database!$A$1:$AS$1,),)))))/(((VLOOKUP(EDATE(B53,-12),Database!$A:$AS,MATCH($H$1,Database!$A$1:$AS$1,),)))))</f>
        <v/>
      </c>
      <c r="I53" s="13">
        <f>IF(VLOOKUP(B53,Database!$A:$AV,MATCH($I$1,Database!$A$1:$AV$1,),)=0,"#N/A",((((VLOOKUP(B53,Database!$A:$AS,MATCH($I$1,Database!$A$1:$AS$1,),))))-(((VLOOKUP(EDATE(B53,-12),Database!$A:$AS,MATCH($I$1,Database!$A$1:$AS$1,),)))))/(((VLOOKUP(EDATE(B53,-12),Database!$A:$AS,MATCH($I$1,Database!$A$1:$AS$1,),)))))</f>
        <v/>
      </c>
      <c r="J53" s="13">
        <f>IF(VLOOKUP(B53,Database!$A:$AV,MATCH($J$1,Database!$A$1:$AV$1,),)=0,"#N/A",((((VLOOKUP(B53,Database!$A:$AS,MATCH($J$1,Database!$A$1:$AS$1,),))))-(((VLOOKUP(EDATE(B53,-12),Database!$A:$AS,MATCH($J$1,Database!$A$1:$AS$1,),)))))/(((VLOOKUP(EDATE(B53,-12),Database!$A:$AS,MATCH($J$1,Database!$A$1:$AS$1,),)))))</f>
        <v/>
      </c>
      <c r="K53" s="13">
        <f>IF(VLOOKUP(B53,Database!$A:$AV,MATCH($K$1,Database!$A$1:$AV$1,),)=0,"#N/A",((((VLOOKUP(B53,Database!$A:$AS,MATCH($K$1,Database!$A$1:$AS$1,),))))-(((VLOOKUP(EDATE(B53,-12),Database!$A:$AS,MATCH($K$1,Database!$A$1:$AS$1,),)))))/(((VLOOKUP(EDATE(B53,-12),Database!$A:$AS,MATCH($K$1,Database!$A$1:$AS$1,),)))))</f>
        <v/>
      </c>
      <c r="L53" s="13">
        <f>((((VLOOKUP(B53,Database!$A:$AS,MATCH($L$1,Database!$A$1:$AS$1,),))))-(((VLOOKUP(EDATE(B53,-12),Database!$A:$AS,MATCH($L$1,Database!$A$1:$AS$1,),)))))/(((VLOOKUP(EDATE(B53,-12),Database!$A:$AS,MATCH($L$1,Database!$A$1:$AS$1,),))))</f>
        <v/>
      </c>
      <c r="M53" s="13">
        <f>((((VLOOKUP(B53,Database!$A:$AS,MATCH($M$1,Database!$A$1:$AS$1,),))))-(((VLOOKUP(EDATE(B53,-12),Database!$A:$AS,MATCH($M$1,Database!$A$1:$AS$1,),)))))/(((VLOOKUP(EDATE(B53,-12),Database!$A:$AS,MATCH($M$1,Database!$A$1:$AS$1,),))))</f>
        <v/>
      </c>
      <c r="N53" s="13">
        <f>((((VLOOKUP(B53,Database!$A:$AS,MATCH($N$1,Database!$A$1:$AS$1,),))))-(((VLOOKUP(EDATE(B53,-12),Database!$A:$AS,MATCH($N$1,Database!$A$1:$AS$1,),)))))/(((VLOOKUP(EDATE(B53,-12),Database!$A:$AS,MATCH($N$1,Database!$A$1:$AS$1,),))))</f>
        <v/>
      </c>
      <c r="O53" s="13">
        <f>IF(VLOOKUP(B53,Database!$A:$AV,MATCH($O$1,Database!$A$1:$AV$1,),)=0,"#N/A",((((VLOOKUP(B53,Database!$A:$AS,MATCH($O$1,Database!$A$1:$AS$1,),))))-(((VLOOKUP(EDATE(B53,-12),Database!$A:$AS,MATCH($O$1,Database!$A$1:$AS$1,),)))))/(((VLOOKUP(EDATE(B53,-12),Database!$A:$AS,MATCH($O$1,Database!$A$1:$AS$1,),)))))</f>
        <v/>
      </c>
      <c r="P53" s="13">
        <f>IF(VLOOKUP(B53,Database!$A:$AV,MATCH($P$1,Database!$A$1:$AV$1,),)=0,"#N/A",((((VLOOKUP(B53,Database!$A:$AS,MATCH($P$1,Database!$A$1:$AS$1,),))))-(((VLOOKUP(EDATE(B53,-12),Database!$A:$AS,MATCH($P$1,Database!$A$1:$AS$1,),)))))/(((VLOOKUP(EDATE(B53,-12),Database!$A:$AS,MATCH($P$1,Database!$A$1:$AS$1,),)))))</f>
        <v/>
      </c>
      <c r="Q53" s="13">
        <f>IF(VLOOKUP(B53,Database!$A:$AV,MATCH($Q$1,Database!$A$1:$AV$1,),)=0,"#N/A",((((VLOOKUP(B53,Database!$A:$AS,MATCH($Q$1,Database!$A$1:$AS$1,),))))-(((VLOOKUP(EDATE(B53,-12),Database!$A:$AS,MATCH($Q$1,Database!$A$1:$AS$1,),)))))/(((VLOOKUP(EDATE(B53,-12),Database!$A:$AS,MATCH($Q$1,Database!$A$1:$AS$1,),)))))</f>
        <v/>
      </c>
      <c r="R53" s="13">
        <f>IF(VLOOKUP(B53,Database!$A:$AV,MATCH($R$1,Database!$A$1:$AV$1,),)=0,"#N/A",((((VLOOKUP(B53,Database!$A:$AS,MATCH($R$1,Database!$A$1:$AS$1,),))))-(((VLOOKUP(EDATE(B53,-12),Database!$A:$AS,MATCH($R$1,Database!$A$1:$AS$1,),)))))/(((VLOOKUP(EDATE(B53,-12),Database!$A:$AS,MATCH($R$1,Database!$A$1:$AS$1,),)))))</f>
        <v/>
      </c>
      <c r="S53" s="13">
        <f>IF(VLOOKUP(B53,Database!$A:$AV,MATCH($S$1,Database!$A$1:$AV$1,),)=0,"#N/A",((((VLOOKUP(B53,Database!$A:$AS,MATCH($S$1,Database!$A$1:$AS$1,),))))-(((VLOOKUP(EDATE(B53,-12),Database!$A:$AS,MATCH($S$1,Database!$A$1:$AS$1,),)))))/(((VLOOKUP(EDATE(B53,-12),Database!$A:$AS,MATCH($S$1,Database!$A$1:$AS$1,),)))))</f>
        <v/>
      </c>
      <c r="T53" s="13">
        <f>IF(VLOOKUP(B53,Database!$A:$AV,MATCH($T$1,Database!$A$1:$AV$1,),)=0,"#N/A",((((VLOOKUP(B53,Database!$A:$AS,MATCH($T$1,Database!$A$1:$AS$1,),))))-(((VLOOKUP(EDATE(B53,-12),Database!$A:$AS,MATCH($T$1,Database!$A$1:$AS$1,),)))))/(((VLOOKUP(EDATE(B53,-12),Database!$A:$AS,MATCH($T$1,Database!$A$1:$AS$1,),)))))</f>
        <v/>
      </c>
      <c r="U53" s="13">
        <f>IF(VLOOKUP(B53,Database!$A:$AV,MATCH($U$1,Database!$A$1:$AV$1,),)=0,"#N/A",((((VLOOKUP(B53,Database!$A:$AS,MATCH($U$1,Database!$A$1:$AS$1,),))))-(((VLOOKUP(EDATE(B53,-12),Database!$A:$AS,MATCH($U$1,Database!$A$1:$AS$1,),)))))/(((VLOOKUP(EDATE(B53,-12),Database!$A:$AS,MATCH($U$1,Database!$A$1:$AS$1,),)))))</f>
        <v/>
      </c>
      <c r="V53" s="13">
        <f>IF(VLOOKUP(B53,Database!$A:$AV,MATCH($V$1,Database!$A$1:$AV$1,),)=0,"#N/A",((((VLOOKUP(B53,Database!$A:$AS,MATCH($V$1,Database!$A$1:$AS$1,),))))-(((VLOOKUP(EDATE(B53,-12),Database!$A:$AS,MATCH($V$1,Database!$A$1:$AS$1,),)))))/(((VLOOKUP(EDATE(B53,-12),Database!$A:$AS,MATCH($V$1,Database!$A$1:$AS$1,),)))))</f>
        <v/>
      </c>
    </row>
    <row r="54" customFormat="1" s="86">
      <c r="A54" s="43" t="n"/>
      <c r="B54" s="75" t="n">
        <v>33786</v>
      </c>
      <c r="C54" s="13">
        <f>IF(VLOOKUP(B54,Database!$A:$AU,MATCH($C$1,Database!$A$1:$AU$1,),)=0,"#N/A",((((VLOOKUP(B54,Database!$A:$AU,MATCH($C$1,Database!$A$1:$AU$1,),))))-(((VLOOKUP(EDATE(B54,-12),Database!$A:$AU,MATCH($C$1,Database!$A$1:$AU$1,),)))))/(((VLOOKUP(EDATE(B54,-12),Database!$A:$AU,MATCH($C$1,Database!$A$1:$AU$1,),)))))</f>
        <v/>
      </c>
      <c r="D54" s="13">
        <f>IF(VLOOKUP(B54,Database!$A:$AV,MATCH($D$1,Database!$A$1:$AV$1,),)=0,"#N/A",((((VLOOKUP(B54,Database!$A:$AS,MATCH($D$1,Database!$A$1:$AS$1,),))))-(((VLOOKUP(EDATE(B54,-12),Database!$A:$AS,MATCH($D$1,Database!$A$1:$AS$1,),)))))/(((VLOOKUP(EDATE(B54,-12),Database!$A:$AS,MATCH($D$1,Database!$A$1:$AS$1,),)))))</f>
        <v/>
      </c>
      <c r="E54" s="13">
        <f>IF(VLOOKUP(B54,Database!$A:$AV,MATCH($E$1,Database!$A$1:$AV$1,),)=0,"#N/A",((((VLOOKUP(B54,Database!$A:$AS,MATCH($E$1,Database!$A$1:$AS$1,),))))-(((VLOOKUP(EDATE(B54,-12),Database!$A:$AS,MATCH($E$1,Database!$A$1:$AS$1,),)))))/(((VLOOKUP(EDATE(B54,-12),Database!$A:$AS,MATCH($E$1,Database!$A$1:$AS$1,),)))))</f>
        <v/>
      </c>
      <c r="F54" s="13">
        <f>IF(VLOOKUP(B54,Database!$A:$AV,MATCH($F$1,Database!$A$1:$AV$1,),)=0,"#N/A",((((VLOOKUP(B54,Database!$A:$AS,MATCH($F$1,Database!$A$1:$AS$1,),))))-(((VLOOKUP(EDATE(B54,-12),Database!$A:$AS,MATCH($F$1,Database!$A$1:$AS$1,),)))))/(((VLOOKUP(EDATE(B54,-12),Database!$A:$AS,MATCH($F$1,Database!$A$1:$AS$1,),)))))</f>
        <v/>
      </c>
      <c r="G54" s="13">
        <f>IF(VLOOKUP(B54,Database!$A:$AV,MATCH($G$1,Database!$A$1:$AV$1,),)=0,"#N/A",((((VLOOKUP(B54,Database!$A:$AS,MATCH($G$1,Database!$A$1:$AS$1,),))))-(((VLOOKUP(EDATE(B54,-12),Database!$A:$AS,MATCH($G$1,Database!$A$1:$AS$1,),)))))/(((VLOOKUP(EDATE(B54,-12),Database!$A:$AS,MATCH($G$1,Database!$A$1:$AS$1,),)))))</f>
        <v/>
      </c>
      <c r="H54" s="13">
        <f>IF(VLOOKUP(B54,Database!$A:$AV,MATCH($H$1,Database!$A$1:$AV$1,),)=0,"#N/A",((((VLOOKUP(B54,Database!$A:$AS,MATCH($H$1,Database!$A$1:$AS$1,),))))-(((VLOOKUP(EDATE(B54,-12),Database!$A:$AS,MATCH($H$1,Database!$A$1:$AS$1,),)))))/(((VLOOKUP(EDATE(B54,-12),Database!$A:$AS,MATCH($H$1,Database!$A$1:$AS$1,),)))))</f>
        <v/>
      </c>
      <c r="I54" s="13">
        <f>IF(VLOOKUP(B54,Database!$A:$AV,MATCH($I$1,Database!$A$1:$AV$1,),)=0,"#N/A",((((VLOOKUP(B54,Database!$A:$AS,MATCH($I$1,Database!$A$1:$AS$1,),))))-(((VLOOKUP(EDATE(B54,-12),Database!$A:$AS,MATCH($I$1,Database!$A$1:$AS$1,),)))))/(((VLOOKUP(EDATE(B54,-12),Database!$A:$AS,MATCH($I$1,Database!$A$1:$AS$1,),)))))</f>
        <v/>
      </c>
      <c r="J54" s="13">
        <f>IF(VLOOKUP(B54,Database!$A:$AV,MATCH($J$1,Database!$A$1:$AV$1,),)=0,"#N/A",((((VLOOKUP(B54,Database!$A:$AS,MATCH($J$1,Database!$A$1:$AS$1,),))))-(((VLOOKUP(EDATE(B54,-12),Database!$A:$AS,MATCH($J$1,Database!$A$1:$AS$1,),)))))/(((VLOOKUP(EDATE(B54,-12),Database!$A:$AS,MATCH($J$1,Database!$A$1:$AS$1,),)))))</f>
        <v/>
      </c>
      <c r="K54" s="13">
        <f>IF(VLOOKUP(B54,Database!$A:$AV,MATCH($K$1,Database!$A$1:$AV$1,),)=0,"#N/A",((((VLOOKUP(B54,Database!$A:$AS,MATCH($K$1,Database!$A$1:$AS$1,),))))-(((VLOOKUP(EDATE(B54,-12),Database!$A:$AS,MATCH($K$1,Database!$A$1:$AS$1,),)))))/(((VLOOKUP(EDATE(B54,-12),Database!$A:$AS,MATCH($K$1,Database!$A$1:$AS$1,),)))))</f>
        <v/>
      </c>
      <c r="L54" s="13">
        <f>((((VLOOKUP(B54,Database!$A:$AS,MATCH($L$1,Database!$A$1:$AS$1,),))))-(((VLOOKUP(EDATE(B54,-12),Database!$A:$AS,MATCH($L$1,Database!$A$1:$AS$1,),)))))/(((VLOOKUP(EDATE(B54,-12),Database!$A:$AS,MATCH($L$1,Database!$A$1:$AS$1,),))))</f>
        <v/>
      </c>
      <c r="M54" s="13">
        <f>((((VLOOKUP(B54,Database!$A:$AS,MATCH($M$1,Database!$A$1:$AS$1,),))))-(((VLOOKUP(EDATE(B54,-12),Database!$A:$AS,MATCH($M$1,Database!$A$1:$AS$1,),)))))/(((VLOOKUP(EDATE(B54,-12),Database!$A:$AS,MATCH($M$1,Database!$A$1:$AS$1,),))))</f>
        <v/>
      </c>
      <c r="N54" s="13">
        <f>((((VLOOKUP(B54,Database!$A:$AS,MATCH($N$1,Database!$A$1:$AS$1,),))))-(((VLOOKUP(EDATE(B54,-12),Database!$A:$AS,MATCH($N$1,Database!$A$1:$AS$1,),)))))/(((VLOOKUP(EDATE(B54,-12),Database!$A:$AS,MATCH($N$1,Database!$A$1:$AS$1,),))))</f>
        <v/>
      </c>
      <c r="O54" s="13">
        <f>IF(VLOOKUP(B54,Database!$A:$AV,MATCH($O$1,Database!$A$1:$AV$1,),)=0,"#N/A",((((VLOOKUP(B54,Database!$A:$AS,MATCH($O$1,Database!$A$1:$AS$1,),))))-(((VLOOKUP(EDATE(B54,-12),Database!$A:$AS,MATCH($O$1,Database!$A$1:$AS$1,),)))))/(((VLOOKUP(EDATE(B54,-12),Database!$A:$AS,MATCH($O$1,Database!$A$1:$AS$1,),)))))</f>
        <v/>
      </c>
      <c r="P54" s="13">
        <f>IF(VLOOKUP(B54,Database!$A:$AV,MATCH($P$1,Database!$A$1:$AV$1,),)=0,"#N/A",((((VLOOKUP(B54,Database!$A:$AS,MATCH($P$1,Database!$A$1:$AS$1,),))))-(((VLOOKUP(EDATE(B54,-12),Database!$A:$AS,MATCH($P$1,Database!$A$1:$AS$1,),)))))/(((VLOOKUP(EDATE(B54,-12),Database!$A:$AS,MATCH($P$1,Database!$A$1:$AS$1,),)))))</f>
        <v/>
      </c>
      <c r="Q54" s="13">
        <f>IF(VLOOKUP(B54,Database!$A:$AV,MATCH($Q$1,Database!$A$1:$AV$1,),)=0,"#N/A",((((VLOOKUP(B54,Database!$A:$AS,MATCH($Q$1,Database!$A$1:$AS$1,),))))-(((VLOOKUP(EDATE(B54,-12),Database!$A:$AS,MATCH($Q$1,Database!$A$1:$AS$1,),)))))/(((VLOOKUP(EDATE(B54,-12),Database!$A:$AS,MATCH($Q$1,Database!$A$1:$AS$1,),)))))</f>
        <v/>
      </c>
      <c r="R54" s="13">
        <f>IF(VLOOKUP(B54,Database!$A:$AV,MATCH($R$1,Database!$A$1:$AV$1,),)=0,"#N/A",((((VLOOKUP(B54,Database!$A:$AS,MATCH($R$1,Database!$A$1:$AS$1,),))))-(((VLOOKUP(EDATE(B54,-12),Database!$A:$AS,MATCH($R$1,Database!$A$1:$AS$1,),)))))/(((VLOOKUP(EDATE(B54,-12),Database!$A:$AS,MATCH($R$1,Database!$A$1:$AS$1,),)))))</f>
        <v/>
      </c>
      <c r="S54" s="13">
        <f>IF(VLOOKUP(B54,Database!$A:$AV,MATCH($S$1,Database!$A$1:$AV$1,),)=0,"#N/A",((((VLOOKUP(B54,Database!$A:$AS,MATCH($S$1,Database!$A$1:$AS$1,),))))-(((VLOOKUP(EDATE(B54,-12),Database!$A:$AS,MATCH($S$1,Database!$A$1:$AS$1,),)))))/(((VLOOKUP(EDATE(B54,-12),Database!$A:$AS,MATCH($S$1,Database!$A$1:$AS$1,),)))))</f>
        <v/>
      </c>
      <c r="T54" s="13">
        <f>IF(VLOOKUP(B54,Database!$A:$AV,MATCH($T$1,Database!$A$1:$AV$1,),)=0,"#N/A",((((VLOOKUP(B54,Database!$A:$AS,MATCH($T$1,Database!$A$1:$AS$1,),))))-(((VLOOKUP(EDATE(B54,-12),Database!$A:$AS,MATCH($T$1,Database!$A$1:$AS$1,),)))))/(((VLOOKUP(EDATE(B54,-12),Database!$A:$AS,MATCH($T$1,Database!$A$1:$AS$1,),)))))</f>
        <v/>
      </c>
      <c r="U54" s="13">
        <f>IF(VLOOKUP(B54,Database!$A:$AV,MATCH($U$1,Database!$A$1:$AV$1,),)=0,"#N/A",((((VLOOKUP(B54,Database!$A:$AS,MATCH($U$1,Database!$A$1:$AS$1,),))))-(((VLOOKUP(EDATE(B54,-12),Database!$A:$AS,MATCH($U$1,Database!$A$1:$AS$1,),)))))/(((VLOOKUP(EDATE(B54,-12),Database!$A:$AS,MATCH($U$1,Database!$A$1:$AS$1,),)))))</f>
        <v/>
      </c>
      <c r="V54" s="13">
        <f>IF(VLOOKUP(B54,Database!$A:$AV,MATCH($V$1,Database!$A$1:$AV$1,),)=0,"#N/A",((((VLOOKUP(B54,Database!$A:$AS,MATCH($V$1,Database!$A$1:$AS$1,),))))-(((VLOOKUP(EDATE(B54,-12),Database!$A:$AS,MATCH($V$1,Database!$A$1:$AS$1,),)))))/(((VLOOKUP(EDATE(B54,-12),Database!$A:$AS,MATCH($V$1,Database!$A$1:$AS$1,),)))))</f>
        <v/>
      </c>
    </row>
    <row r="55" customFormat="1" s="86">
      <c r="A55" s="43" t="n"/>
      <c r="B55" s="75" t="n">
        <v>33817</v>
      </c>
      <c r="C55" s="13">
        <f>IF(VLOOKUP(B55,Database!$A:$AU,MATCH($C$1,Database!$A$1:$AU$1,),)=0,"#N/A",((((VLOOKUP(B55,Database!$A:$AU,MATCH($C$1,Database!$A$1:$AU$1,),))))-(((VLOOKUP(EDATE(B55,-12),Database!$A:$AU,MATCH($C$1,Database!$A$1:$AU$1,),)))))/(((VLOOKUP(EDATE(B55,-12),Database!$A:$AU,MATCH($C$1,Database!$A$1:$AU$1,),)))))</f>
        <v/>
      </c>
      <c r="D55" s="13">
        <f>IF(VLOOKUP(B55,Database!$A:$AV,MATCH($D$1,Database!$A$1:$AV$1,),)=0,"#N/A",((((VLOOKUP(B55,Database!$A:$AS,MATCH($D$1,Database!$A$1:$AS$1,),))))-(((VLOOKUP(EDATE(B55,-12),Database!$A:$AS,MATCH($D$1,Database!$A$1:$AS$1,),)))))/(((VLOOKUP(EDATE(B55,-12),Database!$A:$AS,MATCH($D$1,Database!$A$1:$AS$1,),)))))</f>
        <v/>
      </c>
      <c r="E55" s="13">
        <f>IF(VLOOKUP(B55,Database!$A:$AV,MATCH($E$1,Database!$A$1:$AV$1,),)=0,"#N/A",((((VLOOKUP(B55,Database!$A:$AS,MATCH($E$1,Database!$A$1:$AS$1,),))))-(((VLOOKUP(EDATE(B55,-12),Database!$A:$AS,MATCH($E$1,Database!$A$1:$AS$1,),)))))/(((VLOOKUP(EDATE(B55,-12),Database!$A:$AS,MATCH($E$1,Database!$A$1:$AS$1,),)))))</f>
        <v/>
      </c>
      <c r="F55" s="13">
        <f>IF(VLOOKUP(B55,Database!$A:$AV,MATCH($F$1,Database!$A$1:$AV$1,),)=0,"#N/A",((((VLOOKUP(B55,Database!$A:$AS,MATCH($F$1,Database!$A$1:$AS$1,),))))-(((VLOOKUP(EDATE(B55,-12),Database!$A:$AS,MATCH($F$1,Database!$A$1:$AS$1,),)))))/(((VLOOKUP(EDATE(B55,-12),Database!$A:$AS,MATCH($F$1,Database!$A$1:$AS$1,),)))))</f>
        <v/>
      </c>
      <c r="G55" s="13">
        <f>IF(VLOOKUP(B55,Database!$A:$AV,MATCH($G$1,Database!$A$1:$AV$1,),)=0,"#N/A",((((VLOOKUP(B55,Database!$A:$AS,MATCH($G$1,Database!$A$1:$AS$1,),))))-(((VLOOKUP(EDATE(B55,-12),Database!$A:$AS,MATCH($G$1,Database!$A$1:$AS$1,),)))))/(((VLOOKUP(EDATE(B55,-12),Database!$A:$AS,MATCH($G$1,Database!$A$1:$AS$1,),)))))</f>
        <v/>
      </c>
      <c r="H55" s="13">
        <f>IF(VLOOKUP(B55,Database!$A:$AV,MATCH($H$1,Database!$A$1:$AV$1,),)=0,"#N/A",((((VLOOKUP(B55,Database!$A:$AS,MATCH($H$1,Database!$A$1:$AS$1,),))))-(((VLOOKUP(EDATE(B55,-12),Database!$A:$AS,MATCH($H$1,Database!$A$1:$AS$1,),)))))/(((VLOOKUP(EDATE(B55,-12),Database!$A:$AS,MATCH($H$1,Database!$A$1:$AS$1,),)))))</f>
        <v/>
      </c>
      <c r="I55" s="13">
        <f>IF(VLOOKUP(B55,Database!$A:$AV,MATCH($I$1,Database!$A$1:$AV$1,),)=0,"#N/A",((((VLOOKUP(B55,Database!$A:$AS,MATCH($I$1,Database!$A$1:$AS$1,),))))-(((VLOOKUP(EDATE(B55,-12),Database!$A:$AS,MATCH($I$1,Database!$A$1:$AS$1,),)))))/(((VLOOKUP(EDATE(B55,-12),Database!$A:$AS,MATCH($I$1,Database!$A$1:$AS$1,),)))))</f>
        <v/>
      </c>
      <c r="J55" s="13">
        <f>IF(VLOOKUP(B55,Database!$A:$AV,MATCH($J$1,Database!$A$1:$AV$1,),)=0,"#N/A",((((VLOOKUP(B55,Database!$A:$AS,MATCH($J$1,Database!$A$1:$AS$1,),))))-(((VLOOKUP(EDATE(B55,-12),Database!$A:$AS,MATCH($J$1,Database!$A$1:$AS$1,),)))))/(((VLOOKUP(EDATE(B55,-12),Database!$A:$AS,MATCH($J$1,Database!$A$1:$AS$1,),)))))</f>
        <v/>
      </c>
      <c r="K55" s="13">
        <f>IF(VLOOKUP(B55,Database!$A:$AV,MATCH($K$1,Database!$A$1:$AV$1,),)=0,"#N/A",((((VLOOKUP(B55,Database!$A:$AS,MATCH($K$1,Database!$A$1:$AS$1,),))))-(((VLOOKUP(EDATE(B55,-12),Database!$A:$AS,MATCH($K$1,Database!$A$1:$AS$1,),)))))/(((VLOOKUP(EDATE(B55,-12),Database!$A:$AS,MATCH($K$1,Database!$A$1:$AS$1,),)))))</f>
        <v/>
      </c>
      <c r="L55" s="13">
        <f>((((VLOOKUP(B55,Database!$A:$AS,MATCH($L$1,Database!$A$1:$AS$1,),))))-(((VLOOKUP(EDATE(B55,-12),Database!$A:$AS,MATCH($L$1,Database!$A$1:$AS$1,),)))))/(((VLOOKUP(EDATE(B55,-12),Database!$A:$AS,MATCH($L$1,Database!$A$1:$AS$1,),))))</f>
        <v/>
      </c>
      <c r="M55" s="13">
        <f>((((VLOOKUP(B55,Database!$A:$AS,MATCH($M$1,Database!$A$1:$AS$1,),))))-(((VLOOKUP(EDATE(B55,-12),Database!$A:$AS,MATCH($M$1,Database!$A$1:$AS$1,),)))))/(((VLOOKUP(EDATE(B55,-12),Database!$A:$AS,MATCH($M$1,Database!$A$1:$AS$1,),))))</f>
        <v/>
      </c>
      <c r="N55" s="13">
        <f>((((VLOOKUP(B55,Database!$A:$AS,MATCH($N$1,Database!$A$1:$AS$1,),))))-(((VLOOKUP(EDATE(B55,-12),Database!$A:$AS,MATCH($N$1,Database!$A$1:$AS$1,),)))))/(((VLOOKUP(EDATE(B55,-12),Database!$A:$AS,MATCH($N$1,Database!$A$1:$AS$1,),))))</f>
        <v/>
      </c>
      <c r="O55" s="13">
        <f>IF(VLOOKUP(B55,Database!$A:$AV,MATCH($O$1,Database!$A$1:$AV$1,),)=0,"#N/A",((((VLOOKUP(B55,Database!$A:$AS,MATCH($O$1,Database!$A$1:$AS$1,),))))-(((VLOOKUP(EDATE(B55,-12),Database!$A:$AS,MATCH($O$1,Database!$A$1:$AS$1,),)))))/(((VLOOKUP(EDATE(B55,-12),Database!$A:$AS,MATCH($O$1,Database!$A$1:$AS$1,),)))))</f>
        <v/>
      </c>
      <c r="P55" s="13">
        <f>IF(VLOOKUP(B55,Database!$A:$AV,MATCH($P$1,Database!$A$1:$AV$1,),)=0,"#N/A",((((VLOOKUP(B55,Database!$A:$AS,MATCH($P$1,Database!$A$1:$AS$1,),))))-(((VLOOKUP(EDATE(B55,-12),Database!$A:$AS,MATCH($P$1,Database!$A$1:$AS$1,),)))))/(((VLOOKUP(EDATE(B55,-12),Database!$A:$AS,MATCH($P$1,Database!$A$1:$AS$1,),)))))</f>
        <v/>
      </c>
      <c r="Q55" s="13">
        <f>IF(VLOOKUP(B55,Database!$A:$AV,MATCH($Q$1,Database!$A$1:$AV$1,),)=0,"#N/A",((((VLOOKUP(B55,Database!$A:$AS,MATCH($Q$1,Database!$A$1:$AS$1,),))))-(((VLOOKUP(EDATE(B55,-12),Database!$A:$AS,MATCH($Q$1,Database!$A$1:$AS$1,),)))))/(((VLOOKUP(EDATE(B55,-12),Database!$A:$AS,MATCH($Q$1,Database!$A$1:$AS$1,),)))))</f>
        <v/>
      </c>
      <c r="R55" s="13">
        <f>IF(VLOOKUP(B55,Database!$A:$AV,MATCH($R$1,Database!$A$1:$AV$1,),)=0,"#N/A",((((VLOOKUP(B55,Database!$A:$AS,MATCH($R$1,Database!$A$1:$AS$1,),))))-(((VLOOKUP(EDATE(B55,-12),Database!$A:$AS,MATCH($R$1,Database!$A$1:$AS$1,),)))))/(((VLOOKUP(EDATE(B55,-12),Database!$A:$AS,MATCH($R$1,Database!$A$1:$AS$1,),)))))</f>
        <v/>
      </c>
      <c r="S55" s="13">
        <f>IF(VLOOKUP(B55,Database!$A:$AV,MATCH($S$1,Database!$A$1:$AV$1,),)=0,"#N/A",((((VLOOKUP(B55,Database!$A:$AS,MATCH($S$1,Database!$A$1:$AS$1,),))))-(((VLOOKUP(EDATE(B55,-12),Database!$A:$AS,MATCH($S$1,Database!$A$1:$AS$1,),)))))/(((VLOOKUP(EDATE(B55,-12),Database!$A:$AS,MATCH($S$1,Database!$A$1:$AS$1,),)))))</f>
        <v/>
      </c>
      <c r="T55" s="13">
        <f>IF(VLOOKUP(B55,Database!$A:$AV,MATCH($T$1,Database!$A$1:$AV$1,),)=0,"#N/A",((((VLOOKUP(B55,Database!$A:$AS,MATCH($T$1,Database!$A$1:$AS$1,),))))-(((VLOOKUP(EDATE(B55,-12),Database!$A:$AS,MATCH($T$1,Database!$A$1:$AS$1,),)))))/(((VLOOKUP(EDATE(B55,-12),Database!$A:$AS,MATCH($T$1,Database!$A$1:$AS$1,),)))))</f>
        <v/>
      </c>
      <c r="U55" s="13">
        <f>IF(VLOOKUP(B55,Database!$A:$AV,MATCH($U$1,Database!$A$1:$AV$1,),)=0,"#N/A",((((VLOOKUP(B55,Database!$A:$AS,MATCH($U$1,Database!$A$1:$AS$1,),))))-(((VLOOKUP(EDATE(B55,-12),Database!$A:$AS,MATCH($U$1,Database!$A$1:$AS$1,),)))))/(((VLOOKUP(EDATE(B55,-12),Database!$A:$AS,MATCH($U$1,Database!$A$1:$AS$1,),)))))</f>
        <v/>
      </c>
      <c r="V55" s="13">
        <f>IF(VLOOKUP(B55,Database!$A:$AV,MATCH($V$1,Database!$A$1:$AV$1,),)=0,"#N/A",((((VLOOKUP(B55,Database!$A:$AS,MATCH($V$1,Database!$A$1:$AS$1,),))))-(((VLOOKUP(EDATE(B55,-12),Database!$A:$AS,MATCH($V$1,Database!$A$1:$AS$1,),)))))/(((VLOOKUP(EDATE(B55,-12),Database!$A:$AS,MATCH($V$1,Database!$A$1:$AS$1,),)))))</f>
        <v/>
      </c>
    </row>
    <row r="56" customFormat="1" s="86">
      <c r="A56" s="43" t="n"/>
      <c r="B56" s="75" t="n">
        <v>33848</v>
      </c>
      <c r="C56" s="13">
        <f>IF(VLOOKUP(B56,Database!$A:$AU,MATCH($C$1,Database!$A$1:$AU$1,),)=0,"#N/A",((((VLOOKUP(B56,Database!$A:$AU,MATCH($C$1,Database!$A$1:$AU$1,),))))-(((VLOOKUP(EDATE(B56,-12),Database!$A:$AU,MATCH($C$1,Database!$A$1:$AU$1,),)))))/(((VLOOKUP(EDATE(B56,-12),Database!$A:$AU,MATCH($C$1,Database!$A$1:$AU$1,),)))))</f>
        <v/>
      </c>
      <c r="D56" s="13">
        <f>IF(VLOOKUP(B56,Database!$A:$AV,MATCH($D$1,Database!$A$1:$AV$1,),)=0,"#N/A",((((VLOOKUP(B56,Database!$A:$AS,MATCH($D$1,Database!$A$1:$AS$1,),))))-(((VLOOKUP(EDATE(B56,-12),Database!$A:$AS,MATCH($D$1,Database!$A$1:$AS$1,),)))))/(((VLOOKUP(EDATE(B56,-12),Database!$A:$AS,MATCH($D$1,Database!$A$1:$AS$1,),)))))</f>
        <v/>
      </c>
      <c r="E56" s="13">
        <f>IF(VLOOKUP(B56,Database!$A:$AV,MATCH($E$1,Database!$A$1:$AV$1,),)=0,"#N/A",((((VLOOKUP(B56,Database!$A:$AS,MATCH($E$1,Database!$A$1:$AS$1,),))))-(((VLOOKUP(EDATE(B56,-12),Database!$A:$AS,MATCH($E$1,Database!$A$1:$AS$1,),)))))/(((VLOOKUP(EDATE(B56,-12),Database!$A:$AS,MATCH($E$1,Database!$A$1:$AS$1,),)))))</f>
        <v/>
      </c>
      <c r="F56" s="13">
        <f>IF(VLOOKUP(B56,Database!$A:$AV,MATCH($F$1,Database!$A$1:$AV$1,),)=0,"#N/A",((((VLOOKUP(B56,Database!$A:$AS,MATCH($F$1,Database!$A$1:$AS$1,),))))-(((VLOOKUP(EDATE(B56,-12),Database!$A:$AS,MATCH($F$1,Database!$A$1:$AS$1,),)))))/(((VLOOKUP(EDATE(B56,-12),Database!$A:$AS,MATCH($F$1,Database!$A$1:$AS$1,),)))))</f>
        <v/>
      </c>
      <c r="G56" s="13">
        <f>IF(VLOOKUP(B56,Database!$A:$AV,MATCH($G$1,Database!$A$1:$AV$1,),)=0,"#N/A",((((VLOOKUP(B56,Database!$A:$AS,MATCH($G$1,Database!$A$1:$AS$1,),))))-(((VLOOKUP(EDATE(B56,-12),Database!$A:$AS,MATCH($G$1,Database!$A$1:$AS$1,),)))))/(((VLOOKUP(EDATE(B56,-12),Database!$A:$AS,MATCH($G$1,Database!$A$1:$AS$1,),)))))</f>
        <v/>
      </c>
      <c r="H56" s="13">
        <f>IF(VLOOKUP(B56,Database!$A:$AV,MATCH($H$1,Database!$A$1:$AV$1,),)=0,"#N/A",((((VLOOKUP(B56,Database!$A:$AS,MATCH($H$1,Database!$A$1:$AS$1,),))))-(((VLOOKUP(EDATE(B56,-12),Database!$A:$AS,MATCH($H$1,Database!$A$1:$AS$1,),)))))/(((VLOOKUP(EDATE(B56,-12),Database!$A:$AS,MATCH($H$1,Database!$A$1:$AS$1,),)))))</f>
        <v/>
      </c>
      <c r="I56" s="13">
        <f>IF(VLOOKUP(B56,Database!$A:$AV,MATCH($I$1,Database!$A$1:$AV$1,),)=0,"#N/A",((((VLOOKUP(B56,Database!$A:$AS,MATCH($I$1,Database!$A$1:$AS$1,),))))-(((VLOOKUP(EDATE(B56,-12),Database!$A:$AS,MATCH($I$1,Database!$A$1:$AS$1,),)))))/(((VLOOKUP(EDATE(B56,-12),Database!$A:$AS,MATCH($I$1,Database!$A$1:$AS$1,),)))))</f>
        <v/>
      </c>
      <c r="J56" s="13">
        <f>IF(VLOOKUP(B56,Database!$A:$AV,MATCH($J$1,Database!$A$1:$AV$1,),)=0,"#N/A",((((VLOOKUP(B56,Database!$A:$AS,MATCH($J$1,Database!$A$1:$AS$1,),))))-(((VLOOKUP(EDATE(B56,-12),Database!$A:$AS,MATCH($J$1,Database!$A$1:$AS$1,),)))))/(((VLOOKUP(EDATE(B56,-12),Database!$A:$AS,MATCH($J$1,Database!$A$1:$AS$1,),)))))</f>
        <v/>
      </c>
      <c r="K56" s="13">
        <f>IF(VLOOKUP(B56,Database!$A:$AV,MATCH($K$1,Database!$A$1:$AV$1,),)=0,"#N/A",((((VLOOKUP(B56,Database!$A:$AS,MATCH($K$1,Database!$A$1:$AS$1,),))))-(((VLOOKUP(EDATE(B56,-12),Database!$A:$AS,MATCH($K$1,Database!$A$1:$AS$1,),)))))/(((VLOOKUP(EDATE(B56,-12),Database!$A:$AS,MATCH($K$1,Database!$A$1:$AS$1,),)))))</f>
        <v/>
      </c>
      <c r="L56" s="13">
        <f>((((VLOOKUP(B56,Database!$A:$AS,MATCH($L$1,Database!$A$1:$AS$1,),))))-(((VLOOKUP(EDATE(B56,-12),Database!$A:$AS,MATCH($L$1,Database!$A$1:$AS$1,),)))))/(((VLOOKUP(EDATE(B56,-12),Database!$A:$AS,MATCH($L$1,Database!$A$1:$AS$1,),))))</f>
        <v/>
      </c>
      <c r="M56" s="13">
        <f>((((VLOOKUP(B56,Database!$A:$AS,MATCH($M$1,Database!$A$1:$AS$1,),))))-(((VLOOKUP(EDATE(B56,-12),Database!$A:$AS,MATCH($M$1,Database!$A$1:$AS$1,),)))))/(((VLOOKUP(EDATE(B56,-12),Database!$A:$AS,MATCH($M$1,Database!$A$1:$AS$1,),))))</f>
        <v/>
      </c>
      <c r="N56" s="13">
        <f>((((VLOOKUP(B56,Database!$A:$AS,MATCH($N$1,Database!$A$1:$AS$1,),))))-(((VLOOKUP(EDATE(B56,-12),Database!$A:$AS,MATCH($N$1,Database!$A$1:$AS$1,),)))))/(((VLOOKUP(EDATE(B56,-12),Database!$A:$AS,MATCH($N$1,Database!$A$1:$AS$1,),))))</f>
        <v/>
      </c>
      <c r="O56" s="13">
        <f>IF(VLOOKUP(B56,Database!$A:$AV,MATCH($O$1,Database!$A$1:$AV$1,),)=0,"#N/A",((((VLOOKUP(B56,Database!$A:$AS,MATCH($O$1,Database!$A$1:$AS$1,),))))-(((VLOOKUP(EDATE(B56,-12),Database!$A:$AS,MATCH($O$1,Database!$A$1:$AS$1,),)))))/(((VLOOKUP(EDATE(B56,-12),Database!$A:$AS,MATCH($O$1,Database!$A$1:$AS$1,),)))))</f>
        <v/>
      </c>
      <c r="P56" s="13">
        <f>IF(VLOOKUP(B56,Database!$A:$AV,MATCH($P$1,Database!$A$1:$AV$1,),)=0,"#N/A",((((VLOOKUP(B56,Database!$A:$AS,MATCH($P$1,Database!$A$1:$AS$1,),))))-(((VLOOKUP(EDATE(B56,-12),Database!$A:$AS,MATCH($P$1,Database!$A$1:$AS$1,),)))))/(((VLOOKUP(EDATE(B56,-12),Database!$A:$AS,MATCH($P$1,Database!$A$1:$AS$1,),)))))</f>
        <v/>
      </c>
      <c r="Q56" s="13">
        <f>IF(VLOOKUP(B56,Database!$A:$AV,MATCH($Q$1,Database!$A$1:$AV$1,),)=0,"#N/A",((((VLOOKUP(B56,Database!$A:$AS,MATCH($Q$1,Database!$A$1:$AS$1,),))))-(((VLOOKUP(EDATE(B56,-12),Database!$A:$AS,MATCH($Q$1,Database!$A$1:$AS$1,),)))))/(((VLOOKUP(EDATE(B56,-12),Database!$A:$AS,MATCH($Q$1,Database!$A$1:$AS$1,),)))))</f>
        <v/>
      </c>
      <c r="R56" s="13">
        <f>IF(VLOOKUP(B56,Database!$A:$AV,MATCH($R$1,Database!$A$1:$AV$1,),)=0,"#N/A",((((VLOOKUP(B56,Database!$A:$AS,MATCH($R$1,Database!$A$1:$AS$1,),))))-(((VLOOKUP(EDATE(B56,-12),Database!$A:$AS,MATCH($R$1,Database!$A$1:$AS$1,),)))))/(((VLOOKUP(EDATE(B56,-12),Database!$A:$AS,MATCH($R$1,Database!$A$1:$AS$1,),)))))</f>
        <v/>
      </c>
      <c r="S56" s="13">
        <f>IF(VLOOKUP(B56,Database!$A:$AV,MATCH($S$1,Database!$A$1:$AV$1,),)=0,"#N/A",((((VLOOKUP(B56,Database!$A:$AS,MATCH($S$1,Database!$A$1:$AS$1,),))))-(((VLOOKUP(EDATE(B56,-12),Database!$A:$AS,MATCH($S$1,Database!$A$1:$AS$1,),)))))/(((VLOOKUP(EDATE(B56,-12),Database!$A:$AS,MATCH($S$1,Database!$A$1:$AS$1,),)))))</f>
        <v/>
      </c>
      <c r="T56" s="13">
        <f>IF(VLOOKUP(B56,Database!$A:$AV,MATCH($T$1,Database!$A$1:$AV$1,),)=0,"#N/A",((((VLOOKUP(B56,Database!$A:$AS,MATCH($T$1,Database!$A$1:$AS$1,),))))-(((VLOOKUP(EDATE(B56,-12),Database!$A:$AS,MATCH($T$1,Database!$A$1:$AS$1,),)))))/(((VLOOKUP(EDATE(B56,-12),Database!$A:$AS,MATCH($T$1,Database!$A$1:$AS$1,),)))))</f>
        <v/>
      </c>
      <c r="U56" s="13">
        <f>IF(VLOOKUP(B56,Database!$A:$AV,MATCH($U$1,Database!$A$1:$AV$1,),)=0,"#N/A",((((VLOOKUP(B56,Database!$A:$AS,MATCH($U$1,Database!$A$1:$AS$1,),))))-(((VLOOKUP(EDATE(B56,-12),Database!$A:$AS,MATCH($U$1,Database!$A$1:$AS$1,),)))))/(((VLOOKUP(EDATE(B56,-12),Database!$A:$AS,MATCH($U$1,Database!$A$1:$AS$1,),)))))</f>
        <v/>
      </c>
      <c r="V56" s="13">
        <f>IF(VLOOKUP(B56,Database!$A:$AV,MATCH($V$1,Database!$A$1:$AV$1,),)=0,"#N/A",((((VLOOKUP(B56,Database!$A:$AS,MATCH($V$1,Database!$A$1:$AS$1,),))))-(((VLOOKUP(EDATE(B56,-12),Database!$A:$AS,MATCH($V$1,Database!$A$1:$AS$1,),)))))/(((VLOOKUP(EDATE(B56,-12),Database!$A:$AS,MATCH($V$1,Database!$A$1:$AS$1,),)))))</f>
        <v/>
      </c>
    </row>
    <row r="57" customFormat="1" s="86">
      <c r="A57" s="43" t="n"/>
      <c r="B57" s="75" t="n">
        <v>33878</v>
      </c>
      <c r="C57" s="13">
        <f>IF(VLOOKUP(B57,Database!$A:$AU,MATCH($C$1,Database!$A$1:$AU$1,),)=0,"#N/A",((((VLOOKUP(B57,Database!$A:$AU,MATCH($C$1,Database!$A$1:$AU$1,),))))-(((VLOOKUP(EDATE(B57,-12),Database!$A:$AU,MATCH($C$1,Database!$A$1:$AU$1,),)))))/(((VLOOKUP(EDATE(B57,-12),Database!$A:$AU,MATCH($C$1,Database!$A$1:$AU$1,),)))))</f>
        <v/>
      </c>
      <c r="D57" s="13">
        <f>IF(VLOOKUP(B57,Database!$A:$AV,MATCH($D$1,Database!$A$1:$AV$1,),)=0,"#N/A",((((VLOOKUP(B57,Database!$A:$AS,MATCH($D$1,Database!$A$1:$AS$1,),))))-(((VLOOKUP(EDATE(B57,-12),Database!$A:$AS,MATCH($D$1,Database!$A$1:$AS$1,),)))))/(((VLOOKUP(EDATE(B57,-12),Database!$A:$AS,MATCH($D$1,Database!$A$1:$AS$1,),)))))</f>
        <v/>
      </c>
      <c r="E57" s="13">
        <f>IF(VLOOKUP(B57,Database!$A:$AV,MATCH($E$1,Database!$A$1:$AV$1,),)=0,"#N/A",((((VLOOKUP(B57,Database!$A:$AS,MATCH($E$1,Database!$A$1:$AS$1,),))))-(((VLOOKUP(EDATE(B57,-12),Database!$A:$AS,MATCH($E$1,Database!$A$1:$AS$1,),)))))/(((VLOOKUP(EDATE(B57,-12),Database!$A:$AS,MATCH($E$1,Database!$A$1:$AS$1,),)))))</f>
        <v/>
      </c>
      <c r="F57" s="13">
        <f>IF(VLOOKUP(B57,Database!$A:$AV,MATCH($F$1,Database!$A$1:$AV$1,),)=0,"#N/A",((((VLOOKUP(B57,Database!$A:$AS,MATCH($F$1,Database!$A$1:$AS$1,),))))-(((VLOOKUP(EDATE(B57,-12),Database!$A:$AS,MATCH($F$1,Database!$A$1:$AS$1,),)))))/(((VLOOKUP(EDATE(B57,-12),Database!$A:$AS,MATCH($F$1,Database!$A$1:$AS$1,),)))))</f>
        <v/>
      </c>
      <c r="G57" s="13">
        <f>IF(VLOOKUP(B57,Database!$A:$AV,MATCH($G$1,Database!$A$1:$AV$1,),)=0,"#N/A",((((VLOOKUP(B57,Database!$A:$AS,MATCH($G$1,Database!$A$1:$AS$1,),))))-(((VLOOKUP(EDATE(B57,-12),Database!$A:$AS,MATCH($G$1,Database!$A$1:$AS$1,),)))))/(((VLOOKUP(EDATE(B57,-12),Database!$A:$AS,MATCH($G$1,Database!$A$1:$AS$1,),)))))</f>
        <v/>
      </c>
      <c r="H57" s="13">
        <f>IF(VLOOKUP(B57,Database!$A:$AV,MATCH($H$1,Database!$A$1:$AV$1,),)=0,"#N/A",((((VLOOKUP(B57,Database!$A:$AS,MATCH($H$1,Database!$A$1:$AS$1,),))))-(((VLOOKUP(EDATE(B57,-12),Database!$A:$AS,MATCH($H$1,Database!$A$1:$AS$1,),)))))/(((VLOOKUP(EDATE(B57,-12),Database!$A:$AS,MATCH($H$1,Database!$A$1:$AS$1,),)))))</f>
        <v/>
      </c>
      <c r="I57" s="13">
        <f>IF(VLOOKUP(B57,Database!$A:$AV,MATCH($I$1,Database!$A$1:$AV$1,),)=0,"#N/A",((((VLOOKUP(B57,Database!$A:$AS,MATCH($I$1,Database!$A$1:$AS$1,),))))-(((VLOOKUP(EDATE(B57,-12),Database!$A:$AS,MATCH($I$1,Database!$A$1:$AS$1,),)))))/(((VLOOKUP(EDATE(B57,-12),Database!$A:$AS,MATCH($I$1,Database!$A$1:$AS$1,),)))))</f>
        <v/>
      </c>
      <c r="J57" s="13">
        <f>IF(VLOOKUP(B57,Database!$A:$AV,MATCH($J$1,Database!$A$1:$AV$1,),)=0,"#N/A",((((VLOOKUP(B57,Database!$A:$AS,MATCH($J$1,Database!$A$1:$AS$1,),))))-(((VLOOKUP(EDATE(B57,-12),Database!$A:$AS,MATCH($J$1,Database!$A$1:$AS$1,),)))))/(((VLOOKUP(EDATE(B57,-12),Database!$A:$AS,MATCH($J$1,Database!$A$1:$AS$1,),)))))</f>
        <v/>
      </c>
      <c r="K57" s="13">
        <f>IF(VLOOKUP(B57,Database!$A:$AV,MATCH($K$1,Database!$A$1:$AV$1,),)=0,"#N/A",((((VLOOKUP(B57,Database!$A:$AS,MATCH($K$1,Database!$A$1:$AS$1,),))))-(((VLOOKUP(EDATE(B57,-12),Database!$A:$AS,MATCH($K$1,Database!$A$1:$AS$1,),)))))/(((VLOOKUP(EDATE(B57,-12),Database!$A:$AS,MATCH($K$1,Database!$A$1:$AS$1,),)))))</f>
        <v/>
      </c>
      <c r="L57" s="13">
        <f>((((VLOOKUP(B57,Database!$A:$AS,MATCH($L$1,Database!$A$1:$AS$1,),))))-(((VLOOKUP(EDATE(B57,-12),Database!$A:$AS,MATCH($L$1,Database!$A$1:$AS$1,),)))))/(((VLOOKUP(EDATE(B57,-12),Database!$A:$AS,MATCH($L$1,Database!$A$1:$AS$1,),))))</f>
        <v/>
      </c>
      <c r="M57" s="13">
        <f>((((VLOOKUP(B57,Database!$A:$AS,MATCH($M$1,Database!$A$1:$AS$1,),))))-(((VLOOKUP(EDATE(B57,-12),Database!$A:$AS,MATCH($M$1,Database!$A$1:$AS$1,),)))))/(((VLOOKUP(EDATE(B57,-12),Database!$A:$AS,MATCH($M$1,Database!$A$1:$AS$1,),))))</f>
        <v/>
      </c>
      <c r="N57" s="13">
        <f>((((VLOOKUP(B57,Database!$A:$AS,MATCH($N$1,Database!$A$1:$AS$1,),))))-(((VLOOKUP(EDATE(B57,-12),Database!$A:$AS,MATCH($N$1,Database!$A$1:$AS$1,),)))))/(((VLOOKUP(EDATE(B57,-12),Database!$A:$AS,MATCH($N$1,Database!$A$1:$AS$1,),))))</f>
        <v/>
      </c>
      <c r="O57" s="13">
        <f>IF(VLOOKUP(B57,Database!$A:$AV,MATCH($O$1,Database!$A$1:$AV$1,),)=0,"#N/A",((((VLOOKUP(B57,Database!$A:$AS,MATCH($O$1,Database!$A$1:$AS$1,),))))-(((VLOOKUP(EDATE(B57,-12),Database!$A:$AS,MATCH($O$1,Database!$A$1:$AS$1,),)))))/(((VLOOKUP(EDATE(B57,-12),Database!$A:$AS,MATCH($O$1,Database!$A$1:$AS$1,),)))))</f>
        <v/>
      </c>
      <c r="P57" s="13">
        <f>IF(VLOOKUP(B57,Database!$A:$AV,MATCH($P$1,Database!$A$1:$AV$1,),)=0,"#N/A",((((VLOOKUP(B57,Database!$A:$AS,MATCH($P$1,Database!$A$1:$AS$1,),))))-(((VLOOKUP(EDATE(B57,-12),Database!$A:$AS,MATCH($P$1,Database!$A$1:$AS$1,),)))))/(((VLOOKUP(EDATE(B57,-12),Database!$A:$AS,MATCH($P$1,Database!$A$1:$AS$1,),)))))</f>
        <v/>
      </c>
      <c r="Q57" s="13">
        <f>IF(VLOOKUP(B57,Database!$A:$AV,MATCH($Q$1,Database!$A$1:$AV$1,),)=0,"#N/A",((((VLOOKUP(B57,Database!$A:$AS,MATCH($Q$1,Database!$A$1:$AS$1,),))))-(((VLOOKUP(EDATE(B57,-12),Database!$A:$AS,MATCH($Q$1,Database!$A$1:$AS$1,),)))))/(((VLOOKUP(EDATE(B57,-12),Database!$A:$AS,MATCH($Q$1,Database!$A$1:$AS$1,),)))))</f>
        <v/>
      </c>
      <c r="R57" s="13">
        <f>IF(VLOOKUP(B57,Database!$A:$AV,MATCH($R$1,Database!$A$1:$AV$1,),)=0,"#N/A",((((VLOOKUP(B57,Database!$A:$AS,MATCH($R$1,Database!$A$1:$AS$1,),))))-(((VLOOKUP(EDATE(B57,-12),Database!$A:$AS,MATCH($R$1,Database!$A$1:$AS$1,),)))))/(((VLOOKUP(EDATE(B57,-12),Database!$A:$AS,MATCH($R$1,Database!$A$1:$AS$1,),)))))</f>
        <v/>
      </c>
      <c r="S57" s="13">
        <f>IF(VLOOKUP(B57,Database!$A:$AV,MATCH($S$1,Database!$A$1:$AV$1,),)=0,"#N/A",((((VLOOKUP(B57,Database!$A:$AS,MATCH($S$1,Database!$A$1:$AS$1,),))))-(((VLOOKUP(EDATE(B57,-12),Database!$A:$AS,MATCH($S$1,Database!$A$1:$AS$1,),)))))/(((VLOOKUP(EDATE(B57,-12),Database!$A:$AS,MATCH($S$1,Database!$A$1:$AS$1,),)))))</f>
        <v/>
      </c>
      <c r="T57" s="13">
        <f>IF(VLOOKUP(B57,Database!$A:$AV,MATCH($T$1,Database!$A$1:$AV$1,),)=0,"#N/A",((((VLOOKUP(B57,Database!$A:$AS,MATCH($T$1,Database!$A$1:$AS$1,),))))-(((VLOOKUP(EDATE(B57,-12),Database!$A:$AS,MATCH($T$1,Database!$A$1:$AS$1,),)))))/(((VLOOKUP(EDATE(B57,-12),Database!$A:$AS,MATCH($T$1,Database!$A$1:$AS$1,),)))))</f>
        <v/>
      </c>
      <c r="U57" s="13">
        <f>IF(VLOOKUP(B57,Database!$A:$AV,MATCH($U$1,Database!$A$1:$AV$1,),)=0,"#N/A",((((VLOOKUP(B57,Database!$A:$AS,MATCH($U$1,Database!$A$1:$AS$1,),))))-(((VLOOKUP(EDATE(B57,-12),Database!$A:$AS,MATCH($U$1,Database!$A$1:$AS$1,),)))))/(((VLOOKUP(EDATE(B57,-12),Database!$A:$AS,MATCH($U$1,Database!$A$1:$AS$1,),)))))</f>
        <v/>
      </c>
      <c r="V57" s="13">
        <f>IF(VLOOKUP(B57,Database!$A:$AV,MATCH($V$1,Database!$A$1:$AV$1,),)=0,"#N/A",((((VLOOKUP(B57,Database!$A:$AS,MATCH($V$1,Database!$A$1:$AS$1,),))))-(((VLOOKUP(EDATE(B57,-12),Database!$A:$AS,MATCH($V$1,Database!$A$1:$AS$1,),)))))/(((VLOOKUP(EDATE(B57,-12),Database!$A:$AS,MATCH($V$1,Database!$A$1:$AS$1,),)))))</f>
        <v/>
      </c>
    </row>
    <row r="58" customFormat="1" s="86">
      <c r="A58" s="43" t="n"/>
      <c r="B58" s="75" t="n">
        <v>33909</v>
      </c>
      <c r="C58" s="13">
        <f>IF(VLOOKUP(B58,Database!$A:$AU,MATCH($C$1,Database!$A$1:$AU$1,),)=0,"#N/A",((((VLOOKUP(B58,Database!$A:$AU,MATCH($C$1,Database!$A$1:$AU$1,),))))-(((VLOOKUP(EDATE(B58,-12),Database!$A:$AU,MATCH($C$1,Database!$A$1:$AU$1,),)))))/(((VLOOKUP(EDATE(B58,-12),Database!$A:$AU,MATCH($C$1,Database!$A$1:$AU$1,),)))))</f>
        <v/>
      </c>
      <c r="D58" s="13">
        <f>IF(VLOOKUP(B58,Database!$A:$AV,MATCH($D$1,Database!$A$1:$AV$1,),)=0,"#N/A",((((VLOOKUP(B58,Database!$A:$AS,MATCH($D$1,Database!$A$1:$AS$1,),))))-(((VLOOKUP(EDATE(B58,-12),Database!$A:$AS,MATCH($D$1,Database!$A$1:$AS$1,),)))))/(((VLOOKUP(EDATE(B58,-12),Database!$A:$AS,MATCH($D$1,Database!$A$1:$AS$1,),)))))</f>
        <v/>
      </c>
      <c r="E58" s="13">
        <f>IF(VLOOKUP(B58,Database!$A:$AV,MATCH($E$1,Database!$A$1:$AV$1,),)=0,"#N/A",((((VLOOKUP(B58,Database!$A:$AS,MATCH($E$1,Database!$A$1:$AS$1,),))))-(((VLOOKUP(EDATE(B58,-12),Database!$A:$AS,MATCH($E$1,Database!$A$1:$AS$1,),)))))/(((VLOOKUP(EDATE(B58,-12),Database!$A:$AS,MATCH($E$1,Database!$A$1:$AS$1,),)))))</f>
        <v/>
      </c>
      <c r="F58" s="13">
        <f>IF(VLOOKUP(B58,Database!$A:$AV,MATCH($F$1,Database!$A$1:$AV$1,),)=0,"#N/A",((((VLOOKUP(B58,Database!$A:$AS,MATCH($F$1,Database!$A$1:$AS$1,),))))-(((VLOOKUP(EDATE(B58,-12),Database!$A:$AS,MATCH($F$1,Database!$A$1:$AS$1,),)))))/(((VLOOKUP(EDATE(B58,-12),Database!$A:$AS,MATCH($F$1,Database!$A$1:$AS$1,),)))))</f>
        <v/>
      </c>
      <c r="G58" s="13">
        <f>IF(VLOOKUP(B58,Database!$A:$AV,MATCH($G$1,Database!$A$1:$AV$1,),)=0,"#N/A",((((VLOOKUP(B58,Database!$A:$AS,MATCH($G$1,Database!$A$1:$AS$1,),))))-(((VLOOKUP(EDATE(B58,-12),Database!$A:$AS,MATCH($G$1,Database!$A$1:$AS$1,),)))))/(((VLOOKUP(EDATE(B58,-12),Database!$A:$AS,MATCH($G$1,Database!$A$1:$AS$1,),)))))</f>
        <v/>
      </c>
      <c r="H58" s="13">
        <f>IF(VLOOKUP(B58,Database!$A:$AV,MATCH($H$1,Database!$A$1:$AV$1,),)=0,"#N/A",((((VLOOKUP(B58,Database!$A:$AS,MATCH($H$1,Database!$A$1:$AS$1,),))))-(((VLOOKUP(EDATE(B58,-12),Database!$A:$AS,MATCH($H$1,Database!$A$1:$AS$1,),)))))/(((VLOOKUP(EDATE(B58,-12),Database!$A:$AS,MATCH($H$1,Database!$A$1:$AS$1,),)))))</f>
        <v/>
      </c>
      <c r="I58" s="13">
        <f>IF(VLOOKUP(B58,Database!$A:$AV,MATCH($I$1,Database!$A$1:$AV$1,),)=0,"#N/A",((((VLOOKUP(B58,Database!$A:$AS,MATCH($I$1,Database!$A$1:$AS$1,),))))-(((VLOOKUP(EDATE(B58,-12),Database!$A:$AS,MATCH($I$1,Database!$A$1:$AS$1,),)))))/(((VLOOKUP(EDATE(B58,-12),Database!$A:$AS,MATCH($I$1,Database!$A$1:$AS$1,),)))))</f>
        <v/>
      </c>
      <c r="J58" s="13">
        <f>IF(VLOOKUP(B58,Database!$A:$AV,MATCH($J$1,Database!$A$1:$AV$1,),)=0,"#N/A",((((VLOOKUP(B58,Database!$A:$AS,MATCH($J$1,Database!$A$1:$AS$1,),))))-(((VLOOKUP(EDATE(B58,-12),Database!$A:$AS,MATCH($J$1,Database!$A$1:$AS$1,),)))))/(((VLOOKUP(EDATE(B58,-12),Database!$A:$AS,MATCH($J$1,Database!$A$1:$AS$1,),)))))</f>
        <v/>
      </c>
      <c r="K58" s="13">
        <f>IF(VLOOKUP(B58,Database!$A:$AV,MATCH($K$1,Database!$A$1:$AV$1,),)=0,"#N/A",((((VLOOKUP(B58,Database!$A:$AS,MATCH($K$1,Database!$A$1:$AS$1,),))))-(((VLOOKUP(EDATE(B58,-12),Database!$A:$AS,MATCH($K$1,Database!$A$1:$AS$1,),)))))/(((VLOOKUP(EDATE(B58,-12),Database!$A:$AS,MATCH($K$1,Database!$A$1:$AS$1,),)))))</f>
        <v/>
      </c>
      <c r="L58" s="13">
        <f>((((VLOOKUP(B58,Database!$A:$AS,MATCH($L$1,Database!$A$1:$AS$1,),))))-(((VLOOKUP(EDATE(B58,-12),Database!$A:$AS,MATCH($L$1,Database!$A$1:$AS$1,),)))))/(((VLOOKUP(EDATE(B58,-12),Database!$A:$AS,MATCH($L$1,Database!$A$1:$AS$1,),))))</f>
        <v/>
      </c>
      <c r="M58" s="13">
        <f>((((VLOOKUP(B58,Database!$A:$AS,MATCH($M$1,Database!$A$1:$AS$1,),))))-(((VLOOKUP(EDATE(B58,-12),Database!$A:$AS,MATCH($M$1,Database!$A$1:$AS$1,),)))))/(((VLOOKUP(EDATE(B58,-12),Database!$A:$AS,MATCH($M$1,Database!$A$1:$AS$1,),))))</f>
        <v/>
      </c>
      <c r="N58" s="13">
        <f>((((VLOOKUP(B58,Database!$A:$AS,MATCH($N$1,Database!$A$1:$AS$1,),))))-(((VLOOKUP(EDATE(B58,-12),Database!$A:$AS,MATCH($N$1,Database!$A$1:$AS$1,),)))))/(((VLOOKUP(EDATE(B58,-12),Database!$A:$AS,MATCH($N$1,Database!$A$1:$AS$1,),))))</f>
        <v/>
      </c>
      <c r="O58" s="13">
        <f>IF(VLOOKUP(B58,Database!$A:$AV,MATCH($O$1,Database!$A$1:$AV$1,),)=0,"#N/A",((((VLOOKUP(B58,Database!$A:$AS,MATCH($O$1,Database!$A$1:$AS$1,),))))-(((VLOOKUP(EDATE(B58,-12),Database!$A:$AS,MATCH($O$1,Database!$A$1:$AS$1,),)))))/(((VLOOKUP(EDATE(B58,-12),Database!$A:$AS,MATCH($O$1,Database!$A$1:$AS$1,),)))))</f>
        <v/>
      </c>
      <c r="P58" s="13">
        <f>IF(VLOOKUP(B58,Database!$A:$AV,MATCH($P$1,Database!$A$1:$AV$1,),)=0,"#N/A",((((VLOOKUP(B58,Database!$A:$AS,MATCH($P$1,Database!$A$1:$AS$1,),))))-(((VLOOKUP(EDATE(B58,-12),Database!$A:$AS,MATCH($P$1,Database!$A$1:$AS$1,),)))))/(((VLOOKUP(EDATE(B58,-12),Database!$A:$AS,MATCH($P$1,Database!$A$1:$AS$1,),)))))</f>
        <v/>
      </c>
      <c r="Q58" s="13">
        <f>IF(VLOOKUP(B58,Database!$A:$AV,MATCH($Q$1,Database!$A$1:$AV$1,),)=0,"#N/A",((((VLOOKUP(B58,Database!$A:$AS,MATCH($Q$1,Database!$A$1:$AS$1,),))))-(((VLOOKUP(EDATE(B58,-12),Database!$A:$AS,MATCH($Q$1,Database!$A$1:$AS$1,),)))))/(((VLOOKUP(EDATE(B58,-12),Database!$A:$AS,MATCH($Q$1,Database!$A$1:$AS$1,),)))))</f>
        <v/>
      </c>
      <c r="R58" s="13">
        <f>IF(VLOOKUP(B58,Database!$A:$AV,MATCH($R$1,Database!$A$1:$AV$1,),)=0,"#N/A",((((VLOOKUP(B58,Database!$A:$AS,MATCH($R$1,Database!$A$1:$AS$1,),))))-(((VLOOKUP(EDATE(B58,-12),Database!$A:$AS,MATCH($R$1,Database!$A$1:$AS$1,),)))))/(((VLOOKUP(EDATE(B58,-12),Database!$A:$AS,MATCH($R$1,Database!$A$1:$AS$1,),)))))</f>
        <v/>
      </c>
      <c r="S58" s="13">
        <f>IF(VLOOKUP(B58,Database!$A:$AV,MATCH($S$1,Database!$A$1:$AV$1,),)=0,"#N/A",((((VLOOKUP(B58,Database!$A:$AS,MATCH($S$1,Database!$A$1:$AS$1,),))))-(((VLOOKUP(EDATE(B58,-12),Database!$A:$AS,MATCH($S$1,Database!$A$1:$AS$1,),)))))/(((VLOOKUP(EDATE(B58,-12),Database!$A:$AS,MATCH($S$1,Database!$A$1:$AS$1,),)))))</f>
        <v/>
      </c>
      <c r="T58" s="13">
        <f>IF(VLOOKUP(B58,Database!$A:$AV,MATCH($T$1,Database!$A$1:$AV$1,),)=0,"#N/A",((((VLOOKUP(B58,Database!$A:$AS,MATCH($T$1,Database!$A$1:$AS$1,),))))-(((VLOOKUP(EDATE(B58,-12),Database!$A:$AS,MATCH($T$1,Database!$A$1:$AS$1,),)))))/(((VLOOKUP(EDATE(B58,-12),Database!$A:$AS,MATCH($T$1,Database!$A$1:$AS$1,),)))))</f>
        <v/>
      </c>
      <c r="U58" s="13">
        <f>IF(VLOOKUP(B58,Database!$A:$AV,MATCH($U$1,Database!$A$1:$AV$1,),)=0,"#N/A",((((VLOOKUP(B58,Database!$A:$AS,MATCH($U$1,Database!$A$1:$AS$1,),))))-(((VLOOKUP(EDATE(B58,-12),Database!$A:$AS,MATCH($U$1,Database!$A$1:$AS$1,),)))))/(((VLOOKUP(EDATE(B58,-12),Database!$A:$AS,MATCH($U$1,Database!$A$1:$AS$1,),)))))</f>
        <v/>
      </c>
      <c r="V58" s="13">
        <f>IF(VLOOKUP(B58,Database!$A:$AV,MATCH($V$1,Database!$A$1:$AV$1,),)=0,"#N/A",((((VLOOKUP(B58,Database!$A:$AS,MATCH($V$1,Database!$A$1:$AS$1,),))))-(((VLOOKUP(EDATE(B58,-12),Database!$A:$AS,MATCH($V$1,Database!$A$1:$AS$1,),)))))/(((VLOOKUP(EDATE(B58,-12),Database!$A:$AS,MATCH($V$1,Database!$A$1:$AS$1,),)))))</f>
        <v/>
      </c>
    </row>
    <row r="59" customFormat="1" s="86">
      <c r="A59" s="43" t="n"/>
      <c r="B59" s="75" t="n">
        <v>33939</v>
      </c>
      <c r="C59" s="13">
        <f>IF(VLOOKUP(B59,Database!$A:$AU,MATCH($C$1,Database!$A$1:$AU$1,),)=0,"#N/A",((((VLOOKUP(B59,Database!$A:$AU,MATCH($C$1,Database!$A$1:$AU$1,),))))-(((VLOOKUP(EDATE(B59,-12),Database!$A:$AU,MATCH($C$1,Database!$A$1:$AU$1,),)))))/(((VLOOKUP(EDATE(B59,-12),Database!$A:$AU,MATCH($C$1,Database!$A$1:$AU$1,),)))))</f>
        <v/>
      </c>
      <c r="D59" s="13">
        <f>IF(VLOOKUP(B59,Database!$A:$AV,MATCH($D$1,Database!$A$1:$AV$1,),)=0,"#N/A",((((VLOOKUP(B59,Database!$A:$AS,MATCH($D$1,Database!$A$1:$AS$1,),))))-(((VLOOKUP(EDATE(B59,-12),Database!$A:$AS,MATCH($D$1,Database!$A$1:$AS$1,),)))))/(((VLOOKUP(EDATE(B59,-12),Database!$A:$AS,MATCH($D$1,Database!$A$1:$AS$1,),)))))</f>
        <v/>
      </c>
      <c r="E59" s="13">
        <f>IF(VLOOKUP(B59,Database!$A:$AV,MATCH($E$1,Database!$A$1:$AV$1,),)=0,"#N/A",((((VLOOKUP(B59,Database!$A:$AS,MATCH($E$1,Database!$A$1:$AS$1,),))))-(((VLOOKUP(EDATE(B59,-12),Database!$A:$AS,MATCH($E$1,Database!$A$1:$AS$1,),)))))/(((VLOOKUP(EDATE(B59,-12),Database!$A:$AS,MATCH($E$1,Database!$A$1:$AS$1,),)))))</f>
        <v/>
      </c>
      <c r="F59" s="13">
        <f>IF(VLOOKUP(B59,Database!$A:$AV,MATCH($F$1,Database!$A$1:$AV$1,),)=0,"#N/A",((((VLOOKUP(B59,Database!$A:$AS,MATCH($F$1,Database!$A$1:$AS$1,),))))-(((VLOOKUP(EDATE(B59,-12),Database!$A:$AS,MATCH($F$1,Database!$A$1:$AS$1,),)))))/(((VLOOKUP(EDATE(B59,-12),Database!$A:$AS,MATCH($F$1,Database!$A$1:$AS$1,),)))))</f>
        <v/>
      </c>
      <c r="G59" s="13">
        <f>IF(VLOOKUP(B59,Database!$A:$AV,MATCH($G$1,Database!$A$1:$AV$1,),)=0,"#N/A",((((VLOOKUP(B59,Database!$A:$AS,MATCH($G$1,Database!$A$1:$AS$1,),))))-(((VLOOKUP(EDATE(B59,-12),Database!$A:$AS,MATCH($G$1,Database!$A$1:$AS$1,),)))))/(((VLOOKUP(EDATE(B59,-12),Database!$A:$AS,MATCH($G$1,Database!$A$1:$AS$1,),)))))</f>
        <v/>
      </c>
      <c r="H59" s="13">
        <f>IF(VLOOKUP(B59,Database!$A:$AV,MATCH($H$1,Database!$A$1:$AV$1,),)=0,"#N/A",((((VLOOKUP(B59,Database!$A:$AS,MATCH($H$1,Database!$A$1:$AS$1,),))))-(((VLOOKUP(EDATE(B59,-12),Database!$A:$AS,MATCH($H$1,Database!$A$1:$AS$1,),)))))/(((VLOOKUP(EDATE(B59,-12),Database!$A:$AS,MATCH($H$1,Database!$A$1:$AS$1,),)))))</f>
        <v/>
      </c>
      <c r="I59" s="13">
        <f>IF(VLOOKUP(B59,Database!$A:$AV,MATCH($I$1,Database!$A$1:$AV$1,),)=0,"#N/A",((((VLOOKUP(B59,Database!$A:$AS,MATCH($I$1,Database!$A$1:$AS$1,),))))-(((VLOOKUP(EDATE(B59,-12),Database!$A:$AS,MATCH($I$1,Database!$A$1:$AS$1,),)))))/(((VLOOKUP(EDATE(B59,-12),Database!$A:$AS,MATCH($I$1,Database!$A$1:$AS$1,),)))))</f>
        <v/>
      </c>
      <c r="J59" s="13">
        <f>IF(VLOOKUP(B59,Database!$A:$AV,MATCH($J$1,Database!$A$1:$AV$1,),)=0,"#N/A",((((VLOOKUP(B59,Database!$A:$AS,MATCH($J$1,Database!$A$1:$AS$1,),))))-(((VLOOKUP(EDATE(B59,-12),Database!$A:$AS,MATCH($J$1,Database!$A$1:$AS$1,),)))))/(((VLOOKUP(EDATE(B59,-12),Database!$A:$AS,MATCH($J$1,Database!$A$1:$AS$1,),)))))</f>
        <v/>
      </c>
      <c r="K59" s="13">
        <f>IF(VLOOKUP(B59,Database!$A:$AV,MATCH($K$1,Database!$A$1:$AV$1,),)=0,"#N/A",((((VLOOKUP(B59,Database!$A:$AS,MATCH($K$1,Database!$A$1:$AS$1,),))))-(((VLOOKUP(EDATE(B59,-12),Database!$A:$AS,MATCH($K$1,Database!$A$1:$AS$1,),)))))/(((VLOOKUP(EDATE(B59,-12),Database!$A:$AS,MATCH($K$1,Database!$A$1:$AS$1,),)))))</f>
        <v/>
      </c>
      <c r="L59" s="13">
        <f>((((VLOOKUP(B59,Database!$A:$AS,MATCH($L$1,Database!$A$1:$AS$1,),))))-(((VLOOKUP(EDATE(B59,-12),Database!$A:$AS,MATCH($L$1,Database!$A$1:$AS$1,),)))))/(((VLOOKUP(EDATE(B59,-12),Database!$A:$AS,MATCH($L$1,Database!$A$1:$AS$1,),))))</f>
        <v/>
      </c>
      <c r="M59" s="13">
        <f>((((VLOOKUP(B59,Database!$A:$AS,MATCH($M$1,Database!$A$1:$AS$1,),))))-(((VLOOKUP(EDATE(B59,-12),Database!$A:$AS,MATCH($M$1,Database!$A$1:$AS$1,),)))))/(((VLOOKUP(EDATE(B59,-12),Database!$A:$AS,MATCH($M$1,Database!$A$1:$AS$1,),))))</f>
        <v/>
      </c>
      <c r="N59" s="13">
        <f>((((VLOOKUP(B59,Database!$A:$AS,MATCH($N$1,Database!$A$1:$AS$1,),))))-(((VLOOKUP(EDATE(B59,-12),Database!$A:$AS,MATCH($N$1,Database!$A$1:$AS$1,),)))))/(((VLOOKUP(EDATE(B59,-12),Database!$A:$AS,MATCH($N$1,Database!$A$1:$AS$1,),))))</f>
        <v/>
      </c>
      <c r="O59" s="13">
        <f>IF(VLOOKUP(B59,Database!$A:$AV,MATCH($O$1,Database!$A$1:$AV$1,),)=0,"#N/A",((((VLOOKUP(B59,Database!$A:$AS,MATCH($O$1,Database!$A$1:$AS$1,),))))-(((VLOOKUP(EDATE(B59,-12),Database!$A:$AS,MATCH($O$1,Database!$A$1:$AS$1,),)))))/(((VLOOKUP(EDATE(B59,-12),Database!$A:$AS,MATCH($O$1,Database!$A$1:$AS$1,),)))))</f>
        <v/>
      </c>
      <c r="P59" s="13">
        <f>IF(VLOOKUP(B59,Database!$A:$AV,MATCH($P$1,Database!$A$1:$AV$1,),)=0,"#N/A",((((VLOOKUP(B59,Database!$A:$AS,MATCH($P$1,Database!$A$1:$AS$1,),))))-(((VLOOKUP(EDATE(B59,-12),Database!$A:$AS,MATCH($P$1,Database!$A$1:$AS$1,),)))))/(((VLOOKUP(EDATE(B59,-12),Database!$A:$AS,MATCH($P$1,Database!$A$1:$AS$1,),)))))</f>
        <v/>
      </c>
      <c r="Q59" s="13">
        <f>IF(VLOOKUP(B59,Database!$A:$AV,MATCH($Q$1,Database!$A$1:$AV$1,),)=0,"#N/A",((((VLOOKUP(B59,Database!$A:$AS,MATCH($Q$1,Database!$A$1:$AS$1,),))))-(((VLOOKUP(EDATE(B59,-12),Database!$A:$AS,MATCH($Q$1,Database!$A$1:$AS$1,),)))))/(((VLOOKUP(EDATE(B59,-12),Database!$A:$AS,MATCH($Q$1,Database!$A$1:$AS$1,),)))))</f>
        <v/>
      </c>
      <c r="R59" s="13">
        <f>IF(VLOOKUP(B59,Database!$A:$AV,MATCH($R$1,Database!$A$1:$AV$1,),)=0,"#N/A",((((VLOOKUP(B59,Database!$A:$AS,MATCH($R$1,Database!$A$1:$AS$1,),))))-(((VLOOKUP(EDATE(B59,-12),Database!$A:$AS,MATCH($R$1,Database!$A$1:$AS$1,),)))))/(((VLOOKUP(EDATE(B59,-12),Database!$A:$AS,MATCH($R$1,Database!$A$1:$AS$1,),)))))</f>
        <v/>
      </c>
      <c r="S59" s="13">
        <f>IF(VLOOKUP(B59,Database!$A:$AV,MATCH($S$1,Database!$A$1:$AV$1,),)=0,"#N/A",((((VLOOKUP(B59,Database!$A:$AS,MATCH($S$1,Database!$A$1:$AS$1,),))))-(((VLOOKUP(EDATE(B59,-12),Database!$A:$AS,MATCH($S$1,Database!$A$1:$AS$1,),)))))/(((VLOOKUP(EDATE(B59,-12),Database!$A:$AS,MATCH($S$1,Database!$A$1:$AS$1,),)))))</f>
        <v/>
      </c>
      <c r="T59" s="13">
        <f>IF(VLOOKUP(B59,Database!$A:$AV,MATCH($T$1,Database!$A$1:$AV$1,),)=0,"#N/A",((((VLOOKUP(B59,Database!$A:$AS,MATCH($T$1,Database!$A$1:$AS$1,),))))-(((VLOOKUP(EDATE(B59,-12),Database!$A:$AS,MATCH($T$1,Database!$A$1:$AS$1,),)))))/(((VLOOKUP(EDATE(B59,-12),Database!$A:$AS,MATCH($T$1,Database!$A$1:$AS$1,),)))))</f>
        <v/>
      </c>
      <c r="U59" s="13">
        <f>IF(VLOOKUP(B59,Database!$A:$AV,MATCH($U$1,Database!$A$1:$AV$1,),)=0,"#N/A",((((VLOOKUP(B59,Database!$A:$AS,MATCH($U$1,Database!$A$1:$AS$1,),))))-(((VLOOKUP(EDATE(B59,-12),Database!$A:$AS,MATCH($U$1,Database!$A$1:$AS$1,),)))))/(((VLOOKUP(EDATE(B59,-12),Database!$A:$AS,MATCH($U$1,Database!$A$1:$AS$1,),)))))</f>
        <v/>
      </c>
      <c r="V59" s="13">
        <f>IF(VLOOKUP(B59,Database!$A:$AV,MATCH($V$1,Database!$A$1:$AV$1,),)=0,"#N/A",((((VLOOKUP(B59,Database!$A:$AS,MATCH($V$1,Database!$A$1:$AS$1,),))))-(((VLOOKUP(EDATE(B59,-12),Database!$A:$AS,MATCH($V$1,Database!$A$1:$AS$1,),)))))/(((VLOOKUP(EDATE(B59,-12),Database!$A:$AS,MATCH($V$1,Database!$A$1:$AS$1,),)))))</f>
        <v/>
      </c>
    </row>
    <row r="60" customFormat="1" s="86">
      <c r="A60" s="43" t="n"/>
      <c r="B60" s="75" t="n">
        <v>33970</v>
      </c>
      <c r="C60" s="13">
        <f>IF(VLOOKUP(B60,Database!$A:$AU,MATCH($C$1,Database!$A$1:$AU$1,),)=0,"#N/A",((((VLOOKUP(B60,Database!$A:$AU,MATCH($C$1,Database!$A$1:$AU$1,),))))-(((VLOOKUP(EDATE(B60,-12),Database!$A:$AU,MATCH($C$1,Database!$A$1:$AU$1,),)))))/(((VLOOKUP(EDATE(B60,-12),Database!$A:$AU,MATCH($C$1,Database!$A$1:$AU$1,),)))))</f>
        <v/>
      </c>
      <c r="D60" s="13">
        <f>IF(VLOOKUP(B60,Database!$A:$AV,MATCH($D$1,Database!$A$1:$AV$1,),)=0,"#N/A",((((VLOOKUP(B60,Database!$A:$AS,MATCH($D$1,Database!$A$1:$AS$1,),))))-(((VLOOKUP(EDATE(B60,-12),Database!$A:$AS,MATCH($D$1,Database!$A$1:$AS$1,),)))))/(((VLOOKUP(EDATE(B60,-12),Database!$A:$AS,MATCH($D$1,Database!$A$1:$AS$1,),)))))</f>
        <v/>
      </c>
      <c r="E60" s="13">
        <f>IF(VLOOKUP(B60,Database!$A:$AV,MATCH($E$1,Database!$A$1:$AV$1,),)=0,"#N/A",((((VLOOKUP(B60,Database!$A:$AS,MATCH($E$1,Database!$A$1:$AS$1,),))))-(((VLOOKUP(EDATE(B60,-12),Database!$A:$AS,MATCH($E$1,Database!$A$1:$AS$1,),)))))/(((VLOOKUP(EDATE(B60,-12),Database!$A:$AS,MATCH($E$1,Database!$A$1:$AS$1,),)))))</f>
        <v/>
      </c>
      <c r="F60" s="13">
        <f>IF(VLOOKUP(B60,Database!$A:$AV,MATCH($F$1,Database!$A$1:$AV$1,),)=0,"#N/A",((((VLOOKUP(B60,Database!$A:$AS,MATCH($F$1,Database!$A$1:$AS$1,),))))-(((VLOOKUP(EDATE(B60,-12),Database!$A:$AS,MATCH($F$1,Database!$A$1:$AS$1,),)))))/(((VLOOKUP(EDATE(B60,-12),Database!$A:$AS,MATCH($F$1,Database!$A$1:$AS$1,),)))))</f>
        <v/>
      </c>
      <c r="G60" s="13">
        <f>IF(VLOOKUP(B60,Database!$A:$AV,MATCH($G$1,Database!$A$1:$AV$1,),)=0,"#N/A",((((VLOOKUP(B60,Database!$A:$AS,MATCH($G$1,Database!$A$1:$AS$1,),))))-(((VLOOKUP(EDATE(B60,-12),Database!$A:$AS,MATCH($G$1,Database!$A$1:$AS$1,),)))))/(((VLOOKUP(EDATE(B60,-12),Database!$A:$AS,MATCH($G$1,Database!$A$1:$AS$1,),)))))</f>
        <v/>
      </c>
      <c r="H60" s="13">
        <f>IF(VLOOKUP(B60,Database!$A:$AV,MATCH($H$1,Database!$A$1:$AV$1,),)=0,"#N/A",((((VLOOKUP(B60,Database!$A:$AS,MATCH($H$1,Database!$A$1:$AS$1,),))))-(((VLOOKUP(EDATE(B60,-12),Database!$A:$AS,MATCH($H$1,Database!$A$1:$AS$1,),)))))/(((VLOOKUP(EDATE(B60,-12),Database!$A:$AS,MATCH($H$1,Database!$A$1:$AS$1,),)))))</f>
        <v/>
      </c>
      <c r="I60" s="13">
        <f>IF(VLOOKUP(B60,Database!$A:$AV,MATCH($I$1,Database!$A$1:$AV$1,),)=0,"#N/A",((((VLOOKUP(B60,Database!$A:$AS,MATCH($I$1,Database!$A$1:$AS$1,),))))-(((VLOOKUP(EDATE(B60,-12),Database!$A:$AS,MATCH($I$1,Database!$A$1:$AS$1,),)))))/(((VLOOKUP(EDATE(B60,-12),Database!$A:$AS,MATCH($I$1,Database!$A$1:$AS$1,),)))))</f>
        <v/>
      </c>
      <c r="J60" s="13">
        <f>IF(VLOOKUP(B60,Database!$A:$AV,MATCH($J$1,Database!$A$1:$AV$1,),)=0,"#N/A",((((VLOOKUP(B60,Database!$A:$AS,MATCH($J$1,Database!$A$1:$AS$1,),))))-(((VLOOKUP(EDATE(B60,-12),Database!$A:$AS,MATCH($J$1,Database!$A$1:$AS$1,),)))))/(((VLOOKUP(EDATE(B60,-12),Database!$A:$AS,MATCH($J$1,Database!$A$1:$AS$1,),)))))</f>
        <v/>
      </c>
      <c r="K60" s="13">
        <f>IF(VLOOKUP(B60,Database!$A:$AV,MATCH($K$1,Database!$A$1:$AV$1,),)=0,"#N/A",((((VLOOKUP(B60,Database!$A:$AS,MATCH($K$1,Database!$A$1:$AS$1,),))))-(((VLOOKUP(EDATE(B60,-12),Database!$A:$AS,MATCH($K$1,Database!$A$1:$AS$1,),)))))/(((VLOOKUP(EDATE(B60,-12),Database!$A:$AS,MATCH($K$1,Database!$A$1:$AS$1,),)))))</f>
        <v/>
      </c>
      <c r="L60" s="13">
        <f>((((VLOOKUP(B60,Database!$A:$AS,MATCH($L$1,Database!$A$1:$AS$1,),))))-(((VLOOKUP(EDATE(B60,-12),Database!$A:$AS,MATCH($L$1,Database!$A$1:$AS$1,),)))))/(((VLOOKUP(EDATE(B60,-12),Database!$A:$AS,MATCH($L$1,Database!$A$1:$AS$1,),))))</f>
        <v/>
      </c>
      <c r="M60" s="13">
        <f>((((VLOOKUP(B60,Database!$A:$AS,MATCH($M$1,Database!$A$1:$AS$1,),))))-(((VLOOKUP(EDATE(B60,-12),Database!$A:$AS,MATCH($M$1,Database!$A$1:$AS$1,),)))))/(((VLOOKUP(EDATE(B60,-12),Database!$A:$AS,MATCH($M$1,Database!$A$1:$AS$1,),))))</f>
        <v/>
      </c>
      <c r="N60" s="13">
        <f>((((VLOOKUP(B60,Database!$A:$AS,MATCH($N$1,Database!$A$1:$AS$1,),))))-(((VLOOKUP(EDATE(B60,-12),Database!$A:$AS,MATCH($N$1,Database!$A$1:$AS$1,),)))))/(((VLOOKUP(EDATE(B60,-12),Database!$A:$AS,MATCH($N$1,Database!$A$1:$AS$1,),))))</f>
        <v/>
      </c>
      <c r="O60" s="13">
        <f>IF(VLOOKUP(B60,Database!$A:$AV,MATCH($O$1,Database!$A$1:$AV$1,),)=0,"#N/A",((((VLOOKUP(B60,Database!$A:$AS,MATCH($O$1,Database!$A$1:$AS$1,),))))-(((VLOOKUP(EDATE(B60,-12),Database!$A:$AS,MATCH($O$1,Database!$A$1:$AS$1,),)))))/(((VLOOKUP(EDATE(B60,-12),Database!$A:$AS,MATCH($O$1,Database!$A$1:$AS$1,),)))))</f>
        <v/>
      </c>
      <c r="P60" s="13">
        <f>IF(VLOOKUP(B60,Database!$A:$AV,MATCH($P$1,Database!$A$1:$AV$1,),)=0,"#N/A",((((VLOOKUP(B60,Database!$A:$AS,MATCH($P$1,Database!$A$1:$AS$1,),))))-(((VLOOKUP(EDATE(B60,-12),Database!$A:$AS,MATCH($P$1,Database!$A$1:$AS$1,),)))))/(((VLOOKUP(EDATE(B60,-12),Database!$A:$AS,MATCH($P$1,Database!$A$1:$AS$1,),)))))</f>
        <v/>
      </c>
      <c r="Q60" s="13">
        <f>IF(VLOOKUP(B60,Database!$A:$AV,MATCH($Q$1,Database!$A$1:$AV$1,),)=0,"#N/A",((((VLOOKUP(B60,Database!$A:$AS,MATCH($Q$1,Database!$A$1:$AS$1,),))))-(((VLOOKUP(EDATE(B60,-12),Database!$A:$AS,MATCH($Q$1,Database!$A$1:$AS$1,),)))))/(((VLOOKUP(EDATE(B60,-12),Database!$A:$AS,MATCH($Q$1,Database!$A$1:$AS$1,),)))))</f>
        <v/>
      </c>
      <c r="R60" s="13">
        <f>IF(VLOOKUP(B60,Database!$A:$AV,MATCH($R$1,Database!$A$1:$AV$1,),)=0,"#N/A",((((VLOOKUP(B60,Database!$A:$AS,MATCH($R$1,Database!$A$1:$AS$1,),))))-(((VLOOKUP(EDATE(B60,-12),Database!$A:$AS,MATCH($R$1,Database!$A$1:$AS$1,),)))))/(((VLOOKUP(EDATE(B60,-12),Database!$A:$AS,MATCH($R$1,Database!$A$1:$AS$1,),)))))</f>
        <v/>
      </c>
      <c r="S60" s="13">
        <f>IF(VLOOKUP(B60,Database!$A:$AV,MATCH($S$1,Database!$A$1:$AV$1,),)=0,"#N/A",((((VLOOKUP(B60,Database!$A:$AS,MATCH($S$1,Database!$A$1:$AS$1,),))))-(((VLOOKUP(EDATE(B60,-12),Database!$A:$AS,MATCH($S$1,Database!$A$1:$AS$1,),)))))/(((VLOOKUP(EDATE(B60,-12),Database!$A:$AS,MATCH($S$1,Database!$A$1:$AS$1,),)))))</f>
        <v/>
      </c>
      <c r="T60" s="13">
        <f>IF(VLOOKUP(B60,Database!$A:$AV,MATCH($T$1,Database!$A$1:$AV$1,),)=0,"#N/A",((((VLOOKUP(B60,Database!$A:$AS,MATCH($T$1,Database!$A$1:$AS$1,),))))-(((VLOOKUP(EDATE(B60,-12),Database!$A:$AS,MATCH($T$1,Database!$A$1:$AS$1,),)))))/(((VLOOKUP(EDATE(B60,-12),Database!$A:$AS,MATCH($T$1,Database!$A$1:$AS$1,),)))))</f>
        <v/>
      </c>
      <c r="U60" s="13">
        <f>IF(VLOOKUP(B60,Database!$A:$AV,MATCH($U$1,Database!$A$1:$AV$1,),)=0,"#N/A",((((VLOOKUP(B60,Database!$A:$AS,MATCH($U$1,Database!$A$1:$AS$1,),))))-(((VLOOKUP(EDATE(B60,-12),Database!$A:$AS,MATCH($U$1,Database!$A$1:$AS$1,),)))))/(((VLOOKUP(EDATE(B60,-12),Database!$A:$AS,MATCH($U$1,Database!$A$1:$AS$1,),)))))</f>
        <v/>
      </c>
      <c r="V60" s="13">
        <f>IF(VLOOKUP(B60,Database!$A:$AV,MATCH($V$1,Database!$A$1:$AV$1,),)=0,"#N/A",((((VLOOKUP(B60,Database!$A:$AS,MATCH($V$1,Database!$A$1:$AS$1,),))))-(((VLOOKUP(EDATE(B60,-12),Database!$A:$AS,MATCH($V$1,Database!$A$1:$AS$1,),)))))/(((VLOOKUP(EDATE(B60,-12),Database!$A:$AS,MATCH($V$1,Database!$A$1:$AS$1,),)))))</f>
        <v/>
      </c>
    </row>
    <row r="61" customFormat="1" s="86">
      <c r="A61" s="43" t="n"/>
      <c r="B61" s="75" t="n">
        <v>34001</v>
      </c>
      <c r="C61" s="13">
        <f>IF(VLOOKUP(B61,Database!$A:$AU,MATCH($C$1,Database!$A$1:$AU$1,),)=0,"#N/A",((((VLOOKUP(B61,Database!$A:$AU,MATCH($C$1,Database!$A$1:$AU$1,),))))-(((VLOOKUP(EDATE(B61,-12),Database!$A:$AU,MATCH($C$1,Database!$A$1:$AU$1,),)))))/(((VLOOKUP(EDATE(B61,-12),Database!$A:$AU,MATCH($C$1,Database!$A$1:$AU$1,),)))))</f>
        <v/>
      </c>
      <c r="D61" s="13">
        <f>IF(VLOOKUP(B61,Database!$A:$AV,MATCH($D$1,Database!$A$1:$AV$1,),)=0,"#N/A",((((VLOOKUP(B61,Database!$A:$AS,MATCH($D$1,Database!$A$1:$AS$1,),))))-(((VLOOKUP(EDATE(B61,-12),Database!$A:$AS,MATCH($D$1,Database!$A$1:$AS$1,),)))))/(((VLOOKUP(EDATE(B61,-12),Database!$A:$AS,MATCH($D$1,Database!$A$1:$AS$1,),)))))</f>
        <v/>
      </c>
      <c r="E61" s="13">
        <f>IF(VLOOKUP(B61,Database!$A:$AV,MATCH($E$1,Database!$A$1:$AV$1,),)=0,"#N/A",((((VLOOKUP(B61,Database!$A:$AS,MATCH($E$1,Database!$A$1:$AS$1,),))))-(((VLOOKUP(EDATE(B61,-12),Database!$A:$AS,MATCH($E$1,Database!$A$1:$AS$1,),)))))/(((VLOOKUP(EDATE(B61,-12),Database!$A:$AS,MATCH($E$1,Database!$A$1:$AS$1,),)))))</f>
        <v/>
      </c>
      <c r="F61" s="13">
        <f>IF(VLOOKUP(B61,Database!$A:$AV,MATCH($F$1,Database!$A$1:$AV$1,),)=0,"#N/A",((((VLOOKUP(B61,Database!$A:$AS,MATCH($F$1,Database!$A$1:$AS$1,),))))-(((VLOOKUP(EDATE(B61,-12),Database!$A:$AS,MATCH($F$1,Database!$A$1:$AS$1,),)))))/(((VLOOKUP(EDATE(B61,-12),Database!$A:$AS,MATCH($F$1,Database!$A$1:$AS$1,),)))))</f>
        <v/>
      </c>
      <c r="G61" s="13">
        <f>IF(VLOOKUP(B61,Database!$A:$AV,MATCH($G$1,Database!$A$1:$AV$1,),)=0,"#N/A",((((VLOOKUP(B61,Database!$A:$AS,MATCH($G$1,Database!$A$1:$AS$1,),))))-(((VLOOKUP(EDATE(B61,-12),Database!$A:$AS,MATCH($G$1,Database!$A$1:$AS$1,),)))))/(((VLOOKUP(EDATE(B61,-12),Database!$A:$AS,MATCH($G$1,Database!$A$1:$AS$1,),)))))</f>
        <v/>
      </c>
      <c r="H61" s="13">
        <f>IF(VLOOKUP(B61,Database!$A:$AV,MATCH($H$1,Database!$A$1:$AV$1,),)=0,"#N/A",((((VLOOKUP(B61,Database!$A:$AS,MATCH($H$1,Database!$A$1:$AS$1,),))))-(((VLOOKUP(EDATE(B61,-12),Database!$A:$AS,MATCH($H$1,Database!$A$1:$AS$1,),)))))/(((VLOOKUP(EDATE(B61,-12),Database!$A:$AS,MATCH($H$1,Database!$A$1:$AS$1,),)))))</f>
        <v/>
      </c>
      <c r="I61" s="13">
        <f>IF(VLOOKUP(B61,Database!$A:$AV,MATCH($I$1,Database!$A$1:$AV$1,),)=0,"#N/A",((((VLOOKUP(B61,Database!$A:$AS,MATCH($I$1,Database!$A$1:$AS$1,),))))-(((VLOOKUP(EDATE(B61,-12),Database!$A:$AS,MATCH($I$1,Database!$A$1:$AS$1,),)))))/(((VLOOKUP(EDATE(B61,-12),Database!$A:$AS,MATCH($I$1,Database!$A$1:$AS$1,),)))))</f>
        <v/>
      </c>
      <c r="J61" s="13">
        <f>IF(VLOOKUP(B61,Database!$A:$AV,MATCH($J$1,Database!$A$1:$AV$1,),)=0,"#N/A",((((VLOOKUP(B61,Database!$A:$AS,MATCH($J$1,Database!$A$1:$AS$1,),))))-(((VLOOKUP(EDATE(B61,-12),Database!$A:$AS,MATCH($J$1,Database!$A$1:$AS$1,),)))))/(((VLOOKUP(EDATE(B61,-12),Database!$A:$AS,MATCH($J$1,Database!$A$1:$AS$1,),)))))</f>
        <v/>
      </c>
      <c r="K61" s="13">
        <f>IF(VLOOKUP(B61,Database!$A:$AV,MATCH($K$1,Database!$A$1:$AV$1,),)=0,"#N/A",((((VLOOKUP(B61,Database!$A:$AS,MATCH($K$1,Database!$A$1:$AS$1,),))))-(((VLOOKUP(EDATE(B61,-12),Database!$A:$AS,MATCH($K$1,Database!$A$1:$AS$1,),)))))/(((VLOOKUP(EDATE(B61,-12),Database!$A:$AS,MATCH($K$1,Database!$A$1:$AS$1,),)))))</f>
        <v/>
      </c>
      <c r="L61" s="13">
        <f>((((VLOOKUP(B61,Database!$A:$AS,MATCH($L$1,Database!$A$1:$AS$1,),))))-(((VLOOKUP(EDATE(B61,-12),Database!$A:$AS,MATCH($L$1,Database!$A$1:$AS$1,),)))))/(((VLOOKUP(EDATE(B61,-12),Database!$A:$AS,MATCH($L$1,Database!$A$1:$AS$1,),))))</f>
        <v/>
      </c>
      <c r="M61" s="13">
        <f>((((VLOOKUP(B61,Database!$A:$AS,MATCH($M$1,Database!$A$1:$AS$1,),))))-(((VLOOKUP(EDATE(B61,-12),Database!$A:$AS,MATCH($M$1,Database!$A$1:$AS$1,),)))))/(((VLOOKUP(EDATE(B61,-12),Database!$A:$AS,MATCH($M$1,Database!$A$1:$AS$1,),))))</f>
        <v/>
      </c>
      <c r="N61" s="13">
        <f>((((VLOOKUP(B61,Database!$A:$AS,MATCH($N$1,Database!$A$1:$AS$1,),))))-(((VLOOKUP(EDATE(B61,-12),Database!$A:$AS,MATCH($N$1,Database!$A$1:$AS$1,),)))))/(((VLOOKUP(EDATE(B61,-12),Database!$A:$AS,MATCH($N$1,Database!$A$1:$AS$1,),))))</f>
        <v/>
      </c>
      <c r="O61" s="13">
        <f>IF(VLOOKUP(B61,Database!$A:$AV,MATCH($O$1,Database!$A$1:$AV$1,),)=0,"#N/A",((((VLOOKUP(B61,Database!$A:$AS,MATCH($O$1,Database!$A$1:$AS$1,),))))-(((VLOOKUP(EDATE(B61,-12),Database!$A:$AS,MATCH($O$1,Database!$A$1:$AS$1,),)))))/(((VLOOKUP(EDATE(B61,-12),Database!$A:$AS,MATCH($O$1,Database!$A$1:$AS$1,),)))))</f>
        <v/>
      </c>
      <c r="P61" s="13">
        <f>IF(VLOOKUP(B61,Database!$A:$AV,MATCH($P$1,Database!$A$1:$AV$1,),)=0,"#N/A",((((VLOOKUP(B61,Database!$A:$AS,MATCH($P$1,Database!$A$1:$AS$1,),))))-(((VLOOKUP(EDATE(B61,-12),Database!$A:$AS,MATCH($P$1,Database!$A$1:$AS$1,),)))))/(((VLOOKUP(EDATE(B61,-12),Database!$A:$AS,MATCH($P$1,Database!$A$1:$AS$1,),)))))</f>
        <v/>
      </c>
      <c r="Q61" s="13">
        <f>IF(VLOOKUP(B61,Database!$A:$AV,MATCH($Q$1,Database!$A$1:$AV$1,),)=0,"#N/A",((((VLOOKUP(B61,Database!$A:$AS,MATCH($Q$1,Database!$A$1:$AS$1,),))))-(((VLOOKUP(EDATE(B61,-12),Database!$A:$AS,MATCH($Q$1,Database!$A$1:$AS$1,),)))))/(((VLOOKUP(EDATE(B61,-12),Database!$A:$AS,MATCH($Q$1,Database!$A$1:$AS$1,),)))))</f>
        <v/>
      </c>
      <c r="R61" s="13">
        <f>IF(VLOOKUP(B61,Database!$A:$AV,MATCH($R$1,Database!$A$1:$AV$1,),)=0,"#N/A",((((VLOOKUP(B61,Database!$A:$AS,MATCH($R$1,Database!$A$1:$AS$1,),))))-(((VLOOKUP(EDATE(B61,-12),Database!$A:$AS,MATCH($R$1,Database!$A$1:$AS$1,),)))))/(((VLOOKUP(EDATE(B61,-12),Database!$A:$AS,MATCH($R$1,Database!$A$1:$AS$1,),)))))</f>
        <v/>
      </c>
      <c r="S61" s="13">
        <f>IF(VLOOKUP(B61,Database!$A:$AV,MATCH($S$1,Database!$A$1:$AV$1,),)=0,"#N/A",((((VLOOKUP(B61,Database!$A:$AS,MATCH($S$1,Database!$A$1:$AS$1,),))))-(((VLOOKUP(EDATE(B61,-12),Database!$A:$AS,MATCH($S$1,Database!$A$1:$AS$1,),)))))/(((VLOOKUP(EDATE(B61,-12),Database!$A:$AS,MATCH($S$1,Database!$A$1:$AS$1,),)))))</f>
        <v/>
      </c>
      <c r="T61" s="13">
        <f>IF(VLOOKUP(B61,Database!$A:$AV,MATCH($T$1,Database!$A$1:$AV$1,),)=0,"#N/A",((((VLOOKUP(B61,Database!$A:$AS,MATCH($T$1,Database!$A$1:$AS$1,),))))-(((VLOOKUP(EDATE(B61,-12),Database!$A:$AS,MATCH($T$1,Database!$A$1:$AS$1,),)))))/(((VLOOKUP(EDATE(B61,-12),Database!$A:$AS,MATCH($T$1,Database!$A$1:$AS$1,),)))))</f>
        <v/>
      </c>
      <c r="U61" s="13">
        <f>IF(VLOOKUP(B61,Database!$A:$AV,MATCH($U$1,Database!$A$1:$AV$1,),)=0,"#N/A",((((VLOOKUP(B61,Database!$A:$AS,MATCH($U$1,Database!$A$1:$AS$1,),))))-(((VLOOKUP(EDATE(B61,-12),Database!$A:$AS,MATCH($U$1,Database!$A$1:$AS$1,),)))))/(((VLOOKUP(EDATE(B61,-12),Database!$A:$AS,MATCH($U$1,Database!$A$1:$AS$1,),)))))</f>
        <v/>
      </c>
      <c r="V61" s="13">
        <f>IF(VLOOKUP(B61,Database!$A:$AV,MATCH($V$1,Database!$A$1:$AV$1,),)=0,"#N/A",((((VLOOKUP(B61,Database!$A:$AS,MATCH($V$1,Database!$A$1:$AS$1,),))))-(((VLOOKUP(EDATE(B61,-12),Database!$A:$AS,MATCH($V$1,Database!$A$1:$AS$1,),)))))/(((VLOOKUP(EDATE(B61,-12),Database!$A:$AS,MATCH($V$1,Database!$A$1:$AS$1,),)))))</f>
        <v/>
      </c>
    </row>
    <row r="62" customFormat="1" s="86">
      <c r="A62" s="43" t="n"/>
      <c r="B62" s="75" t="n">
        <v>34029</v>
      </c>
      <c r="C62" s="13">
        <f>IF(VLOOKUP(B62,Database!$A:$AU,MATCH($C$1,Database!$A$1:$AU$1,),)=0,"#N/A",((((VLOOKUP(B62,Database!$A:$AU,MATCH($C$1,Database!$A$1:$AU$1,),))))-(((VLOOKUP(EDATE(B62,-12),Database!$A:$AU,MATCH($C$1,Database!$A$1:$AU$1,),)))))/(((VLOOKUP(EDATE(B62,-12),Database!$A:$AU,MATCH($C$1,Database!$A$1:$AU$1,),)))))</f>
        <v/>
      </c>
      <c r="D62" s="13">
        <f>IF(VLOOKUP(B62,Database!$A:$AV,MATCH($D$1,Database!$A$1:$AV$1,),)=0,"#N/A",((((VLOOKUP(B62,Database!$A:$AS,MATCH($D$1,Database!$A$1:$AS$1,),))))-(((VLOOKUP(EDATE(B62,-12),Database!$A:$AS,MATCH($D$1,Database!$A$1:$AS$1,),)))))/(((VLOOKUP(EDATE(B62,-12),Database!$A:$AS,MATCH($D$1,Database!$A$1:$AS$1,),)))))</f>
        <v/>
      </c>
      <c r="E62" s="13">
        <f>IF(VLOOKUP(B62,Database!$A:$AV,MATCH($E$1,Database!$A$1:$AV$1,),)=0,"#N/A",((((VLOOKUP(B62,Database!$A:$AS,MATCH($E$1,Database!$A$1:$AS$1,),))))-(((VLOOKUP(EDATE(B62,-12),Database!$A:$AS,MATCH($E$1,Database!$A$1:$AS$1,),)))))/(((VLOOKUP(EDATE(B62,-12),Database!$A:$AS,MATCH($E$1,Database!$A$1:$AS$1,),)))))</f>
        <v/>
      </c>
      <c r="F62" s="13">
        <f>IF(VLOOKUP(B62,Database!$A:$AV,MATCH($F$1,Database!$A$1:$AV$1,),)=0,"#N/A",((((VLOOKUP(B62,Database!$A:$AS,MATCH($F$1,Database!$A$1:$AS$1,),))))-(((VLOOKUP(EDATE(B62,-12),Database!$A:$AS,MATCH($F$1,Database!$A$1:$AS$1,),)))))/(((VLOOKUP(EDATE(B62,-12),Database!$A:$AS,MATCH($F$1,Database!$A$1:$AS$1,),)))))</f>
        <v/>
      </c>
      <c r="G62" s="13">
        <f>IF(VLOOKUP(B62,Database!$A:$AV,MATCH($G$1,Database!$A$1:$AV$1,),)=0,"#N/A",((((VLOOKUP(B62,Database!$A:$AS,MATCH($G$1,Database!$A$1:$AS$1,),))))-(((VLOOKUP(EDATE(B62,-12),Database!$A:$AS,MATCH($G$1,Database!$A$1:$AS$1,),)))))/(((VLOOKUP(EDATE(B62,-12),Database!$A:$AS,MATCH($G$1,Database!$A$1:$AS$1,),)))))</f>
        <v/>
      </c>
      <c r="H62" s="13">
        <f>IF(VLOOKUP(B62,Database!$A:$AV,MATCH($H$1,Database!$A$1:$AV$1,),)=0,"#N/A",((((VLOOKUP(B62,Database!$A:$AS,MATCH($H$1,Database!$A$1:$AS$1,),))))-(((VLOOKUP(EDATE(B62,-12),Database!$A:$AS,MATCH($H$1,Database!$A$1:$AS$1,),)))))/(((VLOOKUP(EDATE(B62,-12),Database!$A:$AS,MATCH($H$1,Database!$A$1:$AS$1,),)))))</f>
        <v/>
      </c>
      <c r="I62" s="13">
        <f>IF(VLOOKUP(B62,Database!$A:$AV,MATCH($I$1,Database!$A$1:$AV$1,),)=0,"#N/A",((((VLOOKUP(B62,Database!$A:$AS,MATCH($I$1,Database!$A$1:$AS$1,),))))-(((VLOOKUP(EDATE(B62,-12),Database!$A:$AS,MATCH($I$1,Database!$A$1:$AS$1,),)))))/(((VLOOKUP(EDATE(B62,-12),Database!$A:$AS,MATCH($I$1,Database!$A$1:$AS$1,),)))))</f>
        <v/>
      </c>
      <c r="J62" s="13">
        <f>IF(VLOOKUP(B62,Database!$A:$AV,MATCH($J$1,Database!$A$1:$AV$1,),)=0,"#N/A",((((VLOOKUP(B62,Database!$A:$AS,MATCH($J$1,Database!$A$1:$AS$1,),))))-(((VLOOKUP(EDATE(B62,-12),Database!$A:$AS,MATCH($J$1,Database!$A$1:$AS$1,),)))))/(((VLOOKUP(EDATE(B62,-12),Database!$A:$AS,MATCH($J$1,Database!$A$1:$AS$1,),)))))</f>
        <v/>
      </c>
      <c r="K62" s="13">
        <f>IF(VLOOKUP(B62,Database!$A:$AV,MATCH($K$1,Database!$A$1:$AV$1,),)=0,"#N/A",((((VLOOKUP(B62,Database!$A:$AS,MATCH($K$1,Database!$A$1:$AS$1,),))))-(((VLOOKUP(EDATE(B62,-12),Database!$A:$AS,MATCH($K$1,Database!$A$1:$AS$1,),)))))/(((VLOOKUP(EDATE(B62,-12),Database!$A:$AS,MATCH($K$1,Database!$A$1:$AS$1,),)))))</f>
        <v/>
      </c>
      <c r="L62" s="13">
        <f>((((VLOOKUP(B62,Database!$A:$AS,MATCH($L$1,Database!$A$1:$AS$1,),))))-(((VLOOKUP(EDATE(B62,-12),Database!$A:$AS,MATCH($L$1,Database!$A$1:$AS$1,),)))))/(((VLOOKUP(EDATE(B62,-12),Database!$A:$AS,MATCH($L$1,Database!$A$1:$AS$1,),))))</f>
        <v/>
      </c>
      <c r="M62" s="13">
        <f>((((VLOOKUP(B62,Database!$A:$AS,MATCH($M$1,Database!$A$1:$AS$1,),))))-(((VLOOKUP(EDATE(B62,-12),Database!$A:$AS,MATCH($M$1,Database!$A$1:$AS$1,),)))))/(((VLOOKUP(EDATE(B62,-12),Database!$A:$AS,MATCH($M$1,Database!$A$1:$AS$1,),))))</f>
        <v/>
      </c>
      <c r="N62" s="13">
        <f>((((VLOOKUP(B62,Database!$A:$AS,MATCH($N$1,Database!$A$1:$AS$1,),))))-(((VLOOKUP(EDATE(B62,-12),Database!$A:$AS,MATCH($N$1,Database!$A$1:$AS$1,),)))))/(((VLOOKUP(EDATE(B62,-12),Database!$A:$AS,MATCH($N$1,Database!$A$1:$AS$1,),))))</f>
        <v/>
      </c>
      <c r="O62" s="13">
        <f>IF(VLOOKUP(B62,Database!$A:$AV,MATCH($O$1,Database!$A$1:$AV$1,),)=0,"#N/A",((((VLOOKUP(B62,Database!$A:$AS,MATCH($O$1,Database!$A$1:$AS$1,),))))-(((VLOOKUP(EDATE(B62,-12),Database!$A:$AS,MATCH($O$1,Database!$A$1:$AS$1,),)))))/(((VLOOKUP(EDATE(B62,-12),Database!$A:$AS,MATCH($O$1,Database!$A$1:$AS$1,),)))))</f>
        <v/>
      </c>
      <c r="P62" s="13">
        <f>IF(VLOOKUP(B62,Database!$A:$AV,MATCH($P$1,Database!$A$1:$AV$1,),)=0,"#N/A",((((VLOOKUP(B62,Database!$A:$AS,MATCH($P$1,Database!$A$1:$AS$1,),))))-(((VLOOKUP(EDATE(B62,-12),Database!$A:$AS,MATCH($P$1,Database!$A$1:$AS$1,),)))))/(((VLOOKUP(EDATE(B62,-12),Database!$A:$AS,MATCH($P$1,Database!$A$1:$AS$1,),)))))</f>
        <v/>
      </c>
      <c r="Q62" s="13">
        <f>IF(VLOOKUP(B62,Database!$A:$AV,MATCH($Q$1,Database!$A$1:$AV$1,),)=0,"#N/A",((((VLOOKUP(B62,Database!$A:$AS,MATCH($Q$1,Database!$A$1:$AS$1,),))))-(((VLOOKUP(EDATE(B62,-12),Database!$A:$AS,MATCH($Q$1,Database!$A$1:$AS$1,),)))))/(((VLOOKUP(EDATE(B62,-12),Database!$A:$AS,MATCH($Q$1,Database!$A$1:$AS$1,),)))))</f>
        <v/>
      </c>
      <c r="R62" s="13">
        <f>IF(VLOOKUP(B62,Database!$A:$AV,MATCH($R$1,Database!$A$1:$AV$1,),)=0,"#N/A",((((VLOOKUP(B62,Database!$A:$AS,MATCH($R$1,Database!$A$1:$AS$1,),))))-(((VLOOKUP(EDATE(B62,-12),Database!$A:$AS,MATCH($R$1,Database!$A$1:$AS$1,),)))))/(((VLOOKUP(EDATE(B62,-12),Database!$A:$AS,MATCH($R$1,Database!$A$1:$AS$1,),)))))</f>
        <v/>
      </c>
      <c r="S62" s="13">
        <f>IF(VLOOKUP(B62,Database!$A:$AV,MATCH($S$1,Database!$A$1:$AV$1,),)=0,"#N/A",((((VLOOKUP(B62,Database!$A:$AS,MATCH($S$1,Database!$A$1:$AS$1,),))))-(((VLOOKUP(EDATE(B62,-12),Database!$A:$AS,MATCH($S$1,Database!$A$1:$AS$1,),)))))/(((VLOOKUP(EDATE(B62,-12),Database!$A:$AS,MATCH($S$1,Database!$A$1:$AS$1,),)))))</f>
        <v/>
      </c>
      <c r="T62" s="13">
        <f>IF(VLOOKUP(B62,Database!$A:$AV,MATCH($T$1,Database!$A$1:$AV$1,),)=0,"#N/A",((((VLOOKUP(B62,Database!$A:$AS,MATCH($T$1,Database!$A$1:$AS$1,),))))-(((VLOOKUP(EDATE(B62,-12),Database!$A:$AS,MATCH($T$1,Database!$A$1:$AS$1,),)))))/(((VLOOKUP(EDATE(B62,-12),Database!$A:$AS,MATCH($T$1,Database!$A$1:$AS$1,),)))))</f>
        <v/>
      </c>
      <c r="U62" s="13">
        <f>IF(VLOOKUP(B62,Database!$A:$AV,MATCH($U$1,Database!$A$1:$AV$1,),)=0,"#N/A",((((VLOOKUP(B62,Database!$A:$AS,MATCH($U$1,Database!$A$1:$AS$1,),))))-(((VLOOKUP(EDATE(B62,-12),Database!$A:$AS,MATCH($U$1,Database!$A$1:$AS$1,),)))))/(((VLOOKUP(EDATE(B62,-12),Database!$A:$AS,MATCH($U$1,Database!$A$1:$AS$1,),)))))</f>
        <v/>
      </c>
      <c r="V62" s="13">
        <f>IF(VLOOKUP(B62,Database!$A:$AV,MATCH($V$1,Database!$A$1:$AV$1,),)=0,"#N/A",((((VLOOKUP(B62,Database!$A:$AS,MATCH($V$1,Database!$A$1:$AS$1,),))))-(((VLOOKUP(EDATE(B62,-12),Database!$A:$AS,MATCH($V$1,Database!$A$1:$AS$1,),)))))/(((VLOOKUP(EDATE(B62,-12),Database!$A:$AS,MATCH($V$1,Database!$A$1:$AS$1,),)))))</f>
        <v/>
      </c>
    </row>
    <row r="63" customFormat="1" s="86">
      <c r="A63" s="43" t="n"/>
      <c r="B63" s="75" t="n">
        <v>34060</v>
      </c>
      <c r="C63" s="13">
        <f>IF(VLOOKUP(B63,Database!$A:$AU,MATCH($C$1,Database!$A$1:$AU$1,),)=0,"#N/A",((((VLOOKUP(B63,Database!$A:$AU,MATCH($C$1,Database!$A$1:$AU$1,),))))-(((VLOOKUP(EDATE(B63,-12),Database!$A:$AU,MATCH($C$1,Database!$A$1:$AU$1,),)))))/(((VLOOKUP(EDATE(B63,-12),Database!$A:$AU,MATCH($C$1,Database!$A$1:$AU$1,),)))))</f>
        <v/>
      </c>
      <c r="D63" s="13">
        <f>IF(VLOOKUP(B63,Database!$A:$AV,MATCH($D$1,Database!$A$1:$AV$1,),)=0,"#N/A",((((VLOOKUP(B63,Database!$A:$AS,MATCH($D$1,Database!$A$1:$AS$1,),))))-(((VLOOKUP(EDATE(B63,-12),Database!$A:$AS,MATCH($D$1,Database!$A$1:$AS$1,),)))))/(((VLOOKUP(EDATE(B63,-12),Database!$A:$AS,MATCH($D$1,Database!$A$1:$AS$1,),)))))</f>
        <v/>
      </c>
      <c r="E63" s="13">
        <f>IF(VLOOKUP(B63,Database!$A:$AV,MATCH($E$1,Database!$A$1:$AV$1,),)=0,"#N/A",((((VLOOKUP(B63,Database!$A:$AS,MATCH($E$1,Database!$A$1:$AS$1,),))))-(((VLOOKUP(EDATE(B63,-12),Database!$A:$AS,MATCH($E$1,Database!$A$1:$AS$1,),)))))/(((VLOOKUP(EDATE(B63,-12),Database!$A:$AS,MATCH($E$1,Database!$A$1:$AS$1,),)))))</f>
        <v/>
      </c>
      <c r="F63" s="13">
        <f>IF(VLOOKUP(B63,Database!$A:$AV,MATCH($F$1,Database!$A$1:$AV$1,),)=0,"#N/A",((((VLOOKUP(B63,Database!$A:$AS,MATCH($F$1,Database!$A$1:$AS$1,),))))-(((VLOOKUP(EDATE(B63,-12),Database!$A:$AS,MATCH($F$1,Database!$A$1:$AS$1,),)))))/(((VLOOKUP(EDATE(B63,-12),Database!$A:$AS,MATCH($F$1,Database!$A$1:$AS$1,),)))))</f>
        <v/>
      </c>
      <c r="G63" s="13">
        <f>IF(VLOOKUP(B63,Database!$A:$AV,MATCH($G$1,Database!$A$1:$AV$1,),)=0,"#N/A",((((VLOOKUP(B63,Database!$A:$AS,MATCH($G$1,Database!$A$1:$AS$1,),))))-(((VLOOKUP(EDATE(B63,-12),Database!$A:$AS,MATCH($G$1,Database!$A$1:$AS$1,),)))))/(((VLOOKUP(EDATE(B63,-12),Database!$A:$AS,MATCH($G$1,Database!$A$1:$AS$1,),)))))</f>
        <v/>
      </c>
      <c r="H63" s="13">
        <f>IF(VLOOKUP(B63,Database!$A:$AV,MATCH($H$1,Database!$A$1:$AV$1,),)=0,"#N/A",((((VLOOKUP(B63,Database!$A:$AS,MATCH($H$1,Database!$A$1:$AS$1,),))))-(((VLOOKUP(EDATE(B63,-12),Database!$A:$AS,MATCH($H$1,Database!$A$1:$AS$1,),)))))/(((VLOOKUP(EDATE(B63,-12),Database!$A:$AS,MATCH($H$1,Database!$A$1:$AS$1,),)))))</f>
        <v/>
      </c>
      <c r="I63" s="13">
        <f>IF(VLOOKUP(B63,Database!$A:$AV,MATCH($I$1,Database!$A$1:$AV$1,),)=0,"#N/A",((((VLOOKUP(B63,Database!$A:$AS,MATCH($I$1,Database!$A$1:$AS$1,),))))-(((VLOOKUP(EDATE(B63,-12),Database!$A:$AS,MATCH($I$1,Database!$A$1:$AS$1,),)))))/(((VLOOKUP(EDATE(B63,-12),Database!$A:$AS,MATCH($I$1,Database!$A$1:$AS$1,),)))))</f>
        <v/>
      </c>
      <c r="J63" s="13">
        <f>IF(VLOOKUP(B63,Database!$A:$AV,MATCH($J$1,Database!$A$1:$AV$1,),)=0,"#N/A",((((VLOOKUP(B63,Database!$A:$AS,MATCH($J$1,Database!$A$1:$AS$1,),))))-(((VLOOKUP(EDATE(B63,-12),Database!$A:$AS,MATCH($J$1,Database!$A$1:$AS$1,),)))))/(((VLOOKUP(EDATE(B63,-12),Database!$A:$AS,MATCH($J$1,Database!$A$1:$AS$1,),)))))</f>
        <v/>
      </c>
      <c r="K63" s="13">
        <f>IF(VLOOKUP(B63,Database!$A:$AV,MATCH($K$1,Database!$A$1:$AV$1,),)=0,"#N/A",((((VLOOKUP(B63,Database!$A:$AS,MATCH($K$1,Database!$A$1:$AS$1,),))))-(((VLOOKUP(EDATE(B63,-12),Database!$A:$AS,MATCH($K$1,Database!$A$1:$AS$1,),)))))/(((VLOOKUP(EDATE(B63,-12),Database!$A:$AS,MATCH($K$1,Database!$A$1:$AS$1,),)))))</f>
        <v/>
      </c>
      <c r="L63" s="13">
        <f>((((VLOOKUP(B63,Database!$A:$AS,MATCH($L$1,Database!$A$1:$AS$1,),))))-(((VLOOKUP(EDATE(B63,-12),Database!$A:$AS,MATCH($L$1,Database!$A$1:$AS$1,),)))))/(((VLOOKUP(EDATE(B63,-12),Database!$A:$AS,MATCH($L$1,Database!$A$1:$AS$1,),))))</f>
        <v/>
      </c>
      <c r="M63" s="13">
        <f>((((VLOOKUP(B63,Database!$A:$AS,MATCH($M$1,Database!$A$1:$AS$1,),))))-(((VLOOKUP(EDATE(B63,-12),Database!$A:$AS,MATCH($M$1,Database!$A$1:$AS$1,),)))))/(((VLOOKUP(EDATE(B63,-12),Database!$A:$AS,MATCH($M$1,Database!$A$1:$AS$1,),))))</f>
        <v/>
      </c>
      <c r="N63" s="13">
        <f>((((VLOOKUP(B63,Database!$A:$AS,MATCH($N$1,Database!$A$1:$AS$1,),))))-(((VLOOKUP(EDATE(B63,-12),Database!$A:$AS,MATCH($N$1,Database!$A$1:$AS$1,),)))))/(((VLOOKUP(EDATE(B63,-12),Database!$A:$AS,MATCH($N$1,Database!$A$1:$AS$1,),))))</f>
        <v/>
      </c>
      <c r="O63" s="13">
        <f>IF(VLOOKUP(B63,Database!$A:$AV,MATCH($O$1,Database!$A$1:$AV$1,),)=0,"#N/A",((((VLOOKUP(B63,Database!$A:$AS,MATCH($O$1,Database!$A$1:$AS$1,),))))-(((VLOOKUP(EDATE(B63,-12),Database!$A:$AS,MATCH($O$1,Database!$A$1:$AS$1,),)))))/(((VLOOKUP(EDATE(B63,-12),Database!$A:$AS,MATCH($O$1,Database!$A$1:$AS$1,),)))))</f>
        <v/>
      </c>
      <c r="P63" s="13">
        <f>IF(VLOOKUP(B63,Database!$A:$AV,MATCH($P$1,Database!$A$1:$AV$1,),)=0,"#N/A",((((VLOOKUP(B63,Database!$A:$AS,MATCH($P$1,Database!$A$1:$AS$1,),))))-(((VLOOKUP(EDATE(B63,-12),Database!$A:$AS,MATCH($P$1,Database!$A$1:$AS$1,),)))))/(((VLOOKUP(EDATE(B63,-12),Database!$A:$AS,MATCH($P$1,Database!$A$1:$AS$1,),)))))</f>
        <v/>
      </c>
      <c r="Q63" s="13">
        <f>IF(VLOOKUP(B63,Database!$A:$AV,MATCH($Q$1,Database!$A$1:$AV$1,),)=0,"#N/A",((((VLOOKUP(B63,Database!$A:$AS,MATCH($Q$1,Database!$A$1:$AS$1,),))))-(((VLOOKUP(EDATE(B63,-12),Database!$A:$AS,MATCH($Q$1,Database!$A$1:$AS$1,),)))))/(((VLOOKUP(EDATE(B63,-12),Database!$A:$AS,MATCH($Q$1,Database!$A$1:$AS$1,),)))))</f>
        <v/>
      </c>
      <c r="R63" s="13">
        <f>IF(VLOOKUP(B63,Database!$A:$AV,MATCH($R$1,Database!$A$1:$AV$1,),)=0,"#N/A",((((VLOOKUP(B63,Database!$A:$AS,MATCH($R$1,Database!$A$1:$AS$1,),))))-(((VLOOKUP(EDATE(B63,-12),Database!$A:$AS,MATCH($R$1,Database!$A$1:$AS$1,),)))))/(((VLOOKUP(EDATE(B63,-12),Database!$A:$AS,MATCH($R$1,Database!$A$1:$AS$1,),)))))</f>
        <v/>
      </c>
      <c r="S63" s="13">
        <f>IF(VLOOKUP(B63,Database!$A:$AV,MATCH($S$1,Database!$A$1:$AV$1,),)=0,"#N/A",((((VLOOKUP(B63,Database!$A:$AS,MATCH($S$1,Database!$A$1:$AS$1,),))))-(((VLOOKUP(EDATE(B63,-12),Database!$A:$AS,MATCH($S$1,Database!$A$1:$AS$1,),)))))/(((VLOOKUP(EDATE(B63,-12),Database!$A:$AS,MATCH($S$1,Database!$A$1:$AS$1,),)))))</f>
        <v/>
      </c>
      <c r="T63" s="13">
        <f>IF(VLOOKUP(B63,Database!$A:$AV,MATCH($T$1,Database!$A$1:$AV$1,),)=0,"#N/A",((((VLOOKUP(B63,Database!$A:$AS,MATCH($T$1,Database!$A$1:$AS$1,),))))-(((VLOOKUP(EDATE(B63,-12),Database!$A:$AS,MATCH($T$1,Database!$A$1:$AS$1,),)))))/(((VLOOKUP(EDATE(B63,-12),Database!$A:$AS,MATCH($T$1,Database!$A$1:$AS$1,),)))))</f>
        <v/>
      </c>
      <c r="U63" s="13">
        <f>IF(VLOOKUP(B63,Database!$A:$AV,MATCH($U$1,Database!$A$1:$AV$1,),)=0,"#N/A",((((VLOOKUP(B63,Database!$A:$AS,MATCH($U$1,Database!$A$1:$AS$1,),))))-(((VLOOKUP(EDATE(B63,-12),Database!$A:$AS,MATCH($U$1,Database!$A$1:$AS$1,),)))))/(((VLOOKUP(EDATE(B63,-12),Database!$A:$AS,MATCH($U$1,Database!$A$1:$AS$1,),)))))</f>
        <v/>
      </c>
      <c r="V63" s="13">
        <f>IF(VLOOKUP(B63,Database!$A:$AV,MATCH($V$1,Database!$A$1:$AV$1,),)=0,"#N/A",((((VLOOKUP(B63,Database!$A:$AS,MATCH($V$1,Database!$A$1:$AS$1,),))))-(((VLOOKUP(EDATE(B63,-12),Database!$A:$AS,MATCH($V$1,Database!$A$1:$AS$1,),)))))/(((VLOOKUP(EDATE(B63,-12),Database!$A:$AS,MATCH($V$1,Database!$A$1:$AS$1,),)))))</f>
        <v/>
      </c>
    </row>
    <row r="64" customFormat="1" s="86">
      <c r="A64" s="43" t="n"/>
      <c r="B64" s="75" t="n">
        <v>34090</v>
      </c>
      <c r="C64" s="13">
        <f>IF(VLOOKUP(B64,Database!$A:$AU,MATCH($C$1,Database!$A$1:$AU$1,),)=0,"#N/A",((((VLOOKUP(B64,Database!$A:$AU,MATCH($C$1,Database!$A$1:$AU$1,),))))-(((VLOOKUP(EDATE(B64,-12),Database!$A:$AU,MATCH($C$1,Database!$A$1:$AU$1,),)))))/(((VLOOKUP(EDATE(B64,-12),Database!$A:$AU,MATCH($C$1,Database!$A$1:$AU$1,),)))))</f>
        <v/>
      </c>
      <c r="D64" s="13">
        <f>IF(VLOOKUP(B64,Database!$A:$AV,MATCH($D$1,Database!$A$1:$AV$1,),)=0,"#N/A",((((VLOOKUP(B64,Database!$A:$AS,MATCH($D$1,Database!$A$1:$AS$1,),))))-(((VLOOKUP(EDATE(B64,-12),Database!$A:$AS,MATCH($D$1,Database!$A$1:$AS$1,),)))))/(((VLOOKUP(EDATE(B64,-12),Database!$A:$AS,MATCH($D$1,Database!$A$1:$AS$1,),)))))</f>
        <v/>
      </c>
      <c r="E64" s="13">
        <f>IF(VLOOKUP(B64,Database!$A:$AV,MATCH($E$1,Database!$A$1:$AV$1,),)=0,"#N/A",((((VLOOKUP(B64,Database!$A:$AS,MATCH($E$1,Database!$A$1:$AS$1,),))))-(((VLOOKUP(EDATE(B64,-12),Database!$A:$AS,MATCH($E$1,Database!$A$1:$AS$1,),)))))/(((VLOOKUP(EDATE(B64,-12),Database!$A:$AS,MATCH($E$1,Database!$A$1:$AS$1,),)))))</f>
        <v/>
      </c>
      <c r="F64" s="13">
        <f>IF(VLOOKUP(B64,Database!$A:$AV,MATCH($F$1,Database!$A$1:$AV$1,),)=0,"#N/A",((((VLOOKUP(B64,Database!$A:$AS,MATCH($F$1,Database!$A$1:$AS$1,),))))-(((VLOOKUP(EDATE(B64,-12),Database!$A:$AS,MATCH($F$1,Database!$A$1:$AS$1,),)))))/(((VLOOKUP(EDATE(B64,-12),Database!$A:$AS,MATCH($F$1,Database!$A$1:$AS$1,),)))))</f>
        <v/>
      </c>
      <c r="G64" s="13">
        <f>IF(VLOOKUP(B64,Database!$A:$AV,MATCH($G$1,Database!$A$1:$AV$1,),)=0,"#N/A",((((VLOOKUP(B64,Database!$A:$AS,MATCH($G$1,Database!$A$1:$AS$1,),))))-(((VLOOKUP(EDATE(B64,-12),Database!$A:$AS,MATCH($G$1,Database!$A$1:$AS$1,),)))))/(((VLOOKUP(EDATE(B64,-12),Database!$A:$AS,MATCH($G$1,Database!$A$1:$AS$1,),)))))</f>
        <v/>
      </c>
      <c r="H64" s="13">
        <f>IF(VLOOKUP(B64,Database!$A:$AV,MATCH($H$1,Database!$A$1:$AV$1,),)=0,"#N/A",((((VLOOKUP(B64,Database!$A:$AS,MATCH($H$1,Database!$A$1:$AS$1,),))))-(((VLOOKUP(EDATE(B64,-12),Database!$A:$AS,MATCH($H$1,Database!$A$1:$AS$1,),)))))/(((VLOOKUP(EDATE(B64,-12),Database!$A:$AS,MATCH($H$1,Database!$A$1:$AS$1,),)))))</f>
        <v/>
      </c>
      <c r="I64" s="13">
        <f>IF(VLOOKUP(B64,Database!$A:$AV,MATCH($I$1,Database!$A$1:$AV$1,),)=0,"#N/A",((((VLOOKUP(B64,Database!$A:$AS,MATCH($I$1,Database!$A$1:$AS$1,),))))-(((VLOOKUP(EDATE(B64,-12),Database!$A:$AS,MATCH($I$1,Database!$A$1:$AS$1,),)))))/(((VLOOKUP(EDATE(B64,-12),Database!$A:$AS,MATCH($I$1,Database!$A$1:$AS$1,),)))))</f>
        <v/>
      </c>
      <c r="J64" s="13">
        <f>IF(VLOOKUP(B64,Database!$A:$AV,MATCH($J$1,Database!$A$1:$AV$1,),)=0,"#N/A",((((VLOOKUP(B64,Database!$A:$AS,MATCH($J$1,Database!$A$1:$AS$1,),))))-(((VLOOKUP(EDATE(B64,-12),Database!$A:$AS,MATCH($J$1,Database!$A$1:$AS$1,),)))))/(((VLOOKUP(EDATE(B64,-12),Database!$A:$AS,MATCH($J$1,Database!$A$1:$AS$1,),)))))</f>
        <v/>
      </c>
      <c r="K64" s="13">
        <f>IF(VLOOKUP(B64,Database!$A:$AV,MATCH($K$1,Database!$A$1:$AV$1,),)=0,"#N/A",((((VLOOKUP(B64,Database!$A:$AS,MATCH($K$1,Database!$A$1:$AS$1,),))))-(((VLOOKUP(EDATE(B64,-12),Database!$A:$AS,MATCH($K$1,Database!$A$1:$AS$1,),)))))/(((VLOOKUP(EDATE(B64,-12),Database!$A:$AS,MATCH($K$1,Database!$A$1:$AS$1,),)))))</f>
        <v/>
      </c>
      <c r="L64" s="13">
        <f>((((VLOOKUP(B64,Database!$A:$AS,MATCH($L$1,Database!$A$1:$AS$1,),))))-(((VLOOKUP(EDATE(B64,-12),Database!$A:$AS,MATCH($L$1,Database!$A$1:$AS$1,),)))))/(((VLOOKUP(EDATE(B64,-12),Database!$A:$AS,MATCH($L$1,Database!$A$1:$AS$1,),))))</f>
        <v/>
      </c>
      <c r="M64" s="13">
        <f>((((VLOOKUP(B64,Database!$A:$AS,MATCH($M$1,Database!$A$1:$AS$1,),))))-(((VLOOKUP(EDATE(B64,-12),Database!$A:$AS,MATCH($M$1,Database!$A$1:$AS$1,),)))))/(((VLOOKUP(EDATE(B64,-12),Database!$A:$AS,MATCH($M$1,Database!$A$1:$AS$1,),))))</f>
        <v/>
      </c>
      <c r="N64" s="13">
        <f>((((VLOOKUP(B64,Database!$A:$AS,MATCH($N$1,Database!$A$1:$AS$1,),))))-(((VLOOKUP(EDATE(B64,-12),Database!$A:$AS,MATCH($N$1,Database!$A$1:$AS$1,),)))))/(((VLOOKUP(EDATE(B64,-12),Database!$A:$AS,MATCH($N$1,Database!$A$1:$AS$1,),))))</f>
        <v/>
      </c>
      <c r="O64" s="13">
        <f>IF(VLOOKUP(B64,Database!$A:$AV,MATCH($O$1,Database!$A$1:$AV$1,),)=0,"#N/A",((((VLOOKUP(B64,Database!$A:$AS,MATCH($O$1,Database!$A$1:$AS$1,),))))-(((VLOOKUP(EDATE(B64,-12),Database!$A:$AS,MATCH($O$1,Database!$A$1:$AS$1,),)))))/(((VLOOKUP(EDATE(B64,-12),Database!$A:$AS,MATCH($O$1,Database!$A$1:$AS$1,),)))))</f>
        <v/>
      </c>
      <c r="P64" s="13">
        <f>IF(VLOOKUP(B64,Database!$A:$AV,MATCH($P$1,Database!$A$1:$AV$1,),)=0,"#N/A",((((VLOOKUP(B64,Database!$A:$AS,MATCH($P$1,Database!$A$1:$AS$1,),))))-(((VLOOKUP(EDATE(B64,-12),Database!$A:$AS,MATCH($P$1,Database!$A$1:$AS$1,),)))))/(((VLOOKUP(EDATE(B64,-12),Database!$A:$AS,MATCH($P$1,Database!$A$1:$AS$1,),)))))</f>
        <v/>
      </c>
      <c r="Q64" s="13">
        <f>IF(VLOOKUP(B64,Database!$A:$AV,MATCH($Q$1,Database!$A$1:$AV$1,),)=0,"#N/A",((((VLOOKUP(B64,Database!$A:$AS,MATCH($Q$1,Database!$A$1:$AS$1,),))))-(((VLOOKUP(EDATE(B64,-12),Database!$A:$AS,MATCH($Q$1,Database!$A$1:$AS$1,),)))))/(((VLOOKUP(EDATE(B64,-12),Database!$A:$AS,MATCH($Q$1,Database!$A$1:$AS$1,),)))))</f>
        <v/>
      </c>
      <c r="R64" s="13">
        <f>IF(VLOOKUP(B64,Database!$A:$AV,MATCH($R$1,Database!$A$1:$AV$1,),)=0,"#N/A",((((VLOOKUP(B64,Database!$A:$AS,MATCH($R$1,Database!$A$1:$AS$1,),))))-(((VLOOKUP(EDATE(B64,-12),Database!$A:$AS,MATCH($R$1,Database!$A$1:$AS$1,),)))))/(((VLOOKUP(EDATE(B64,-12),Database!$A:$AS,MATCH($R$1,Database!$A$1:$AS$1,),)))))</f>
        <v/>
      </c>
      <c r="S64" s="13">
        <f>IF(VLOOKUP(B64,Database!$A:$AV,MATCH($S$1,Database!$A$1:$AV$1,),)=0,"#N/A",((((VLOOKUP(B64,Database!$A:$AS,MATCH($S$1,Database!$A$1:$AS$1,),))))-(((VLOOKUP(EDATE(B64,-12),Database!$A:$AS,MATCH($S$1,Database!$A$1:$AS$1,),)))))/(((VLOOKUP(EDATE(B64,-12),Database!$A:$AS,MATCH($S$1,Database!$A$1:$AS$1,),)))))</f>
        <v/>
      </c>
      <c r="T64" s="13">
        <f>IF(VLOOKUP(B64,Database!$A:$AV,MATCH($T$1,Database!$A$1:$AV$1,),)=0,"#N/A",((((VLOOKUP(B64,Database!$A:$AS,MATCH($T$1,Database!$A$1:$AS$1,),))))-(((VLOOKUP(EDATE(B64,-12),Database!$A:$AS,MATCH($T$1,Database!$A$1:$AS$1,),)))))/(((VLOOKUP(EDATE(B64,-12),Database!$A:$AS,MATCH($T$1,Database!$A$1:$AS$1,),)))))</f>
        <v/>
      </c>
      <c r="U64" s="13">
        <f>IF(VLOOKUP(B64,Database!$A:$AV,MATCH($U$1,Database!$A$1:$AV$1,),)=0,"#N/A",((((VLOOKUP(B64,Database!$A:$AS,MATCH($U$1,Database!$A$1:$AS$1,),))))-(((VLOOKUP(EDATE(B64,-12),Database!$A:$AS,MATCH($U$1,Database!$A$1:$AS$1,),)))))/(((VLOOKUP(EDATE(B64,-12),Database!$A:$AS,MATCH($U$1,Database!$A$1:$AS$1,),)))))</f>
        <v/>
      </c>
      <c r="V64" s="13">
        <f>IF(VLOOKUP(B64,Database!$A:$AV,MATCH($V$1,Database!$A$1:$AV$1,),)=0,"#N/A",((((VLOOKUP(B64,Database!$A:$AS,MATCH($V$1,Database!$A$1:$AS$1,),))))-(((VLOOKUP(EDATE(B64,-12),Database!$A:$AS,MATCH($V$1,Database!$A$1:$AS$1,),)))))/(((VLOOKUP(EDATE(B64,-12),Database!$A:$AS,MATCH($V$1,Database!$A$1:$AS$1,),)))))</f>
        <v/>
      </c>
    </row>
    <row r="65" customFormat="1" s="86">
      <c r="A65" s="43" t="n"/>
      <c r="B65" s="75" t="n">
        <v>34121</v>
      </c>
      <c r="C65" s="13">
        <f>IF(VLOOKUP(B65,Database!$A:$AU,MATCH($C$1,Database!$A$1:$AU$1,),)=0,"#N/A",((((VLOOKUP(B65,Database!$A:$AU,MATCH($C$1,Database!$A$1:$AU$1,),))))-(((VLOOKUP(EDATE(B65,-12),Database!$A:$AU,MATCH($C$1,Database!$A$1:$AU$1,),)))))/(((VLOOKUP(EDATE(B65,-12),Database!$A:$AU,MATCH($C$1,Database!$A$1:$AU$1,),)))))</f>
        <v/>
      </c>
      <c r="D65" s="13">
        <f>IF(VLOOKUP(B65,Database!$A:$AV,MATCH($D$1,Database!$A$1:$AV$1,),)=0,"#N/A",((((VLOOKUP(B65,Database!$A:$AS,MATCH($D$1,Database!$A$1:$AS$1,),))))-(((VLOOKUP(EDATE(B65,-12),Database!$A:$AS,MATCH($D$1,Database!$A$1:$AS$1,),)))))/(((VLOOKUP(EDATE(B65,-12),Database!$A:$AS,MATCH($D$1,Database!$A$1:$AS$1,),)))))</f>
        <v/>
      </c>
      <c r="E65" s="13">
        <f>IF(VLOOKUP(B65,Database!$A:$AV,MATCH($E$1,Database!$A$1:$AV$1,),)=0,"#N/A",((((VLOOKUP(B65,Database!$A:$AS,MATCH($E$1,Database!$A$1:$AS$1,),))))-(((VLOOKUP(EDATE(B65,-12),Database!$A:$AS,MATCH($E$1,Database!$A$1:$AS$1,),)))))/(((VLOOKUP(EDATE(B65,-12),Database!$A:$AS,MATCH($E$1,Database!$A$1:$AS$1,),)))))</f>
        <v/>
      </c>
      <c r="F65" s="13">
        <f>IF(VLOOKUP(B65,Database!$A:$AV,MATCH($F$1,Database!$A$1:$AV$1,),)=0,"#N/A",((((VLOOKUP(B65,Database!$A:$AS,MATCH($F$1,Database!$A$1:$AS$1,),))))-(((VLOOKUP(EDATE(B65,-12),Database!$A:$AS,MATCH($F$1,Database!$A$1:$AS$1,),)))))/(((VLOOKUP(EDATE(B65,-12),Database!$A:$AS,MATCH($F$1,Database!$A$1:$AS$1,),)))))</f>
        <v/>
      </c>
      <c r="G65" s="13">
        <f>IF(VLOOKUP(B65,Database!$A:$AV,MATCH($G$1,Database!$A$1:$AV$1,),)=0,"#N/A",((((VLOOKUP(B65,Database!$A:$AS,MATCH($G$1,Database!$A$1:$AS$1,),))))-(((VLOOKUP(EDATE(B65,-12),Database!$A:$AS,MATCH($G$1,Database!$A$1:$AS$1,),)))))/(((VLOOKUP(EDATE(B65,-12),Database!$A:$AS,MATCH($G$1,Database!$A$1:$AS$1,),)))))</f>
        <v/>
      </c>
      <c r="H65" s="13">
        <f>IF(VLOOKUP(B65,Database!$A:$AV,MATCH($H$1,Database!$A$1:$AV$1,),)=0,"#N/A",((((VLOOKUP(B65,Database!$A:$AS,MATCH($H$1,Database!$A$1:$AS$1,),))))-(((VLOOKUP(EDATE(B65,-12),Database!$A:$AS,MATCH($H$1,Database!$A$1:$AS$1,),)))))/(((VLOOKUP(EDATE(B65,-12),Database!$A:$AS,MATCH($H$1,Database!$A$1:$AS$1,),)))))</f>
        <v/>
      </c>
      <c r="I65" s="13">
        <f>IF(VLOOKUP(B65,Database!$A:$AV,MATCH($I$1,Database!$A$1:$AV$1,),)=0,"#N/A",((((VLOOKUP(B65,Database!$A:$AS,MATCH($I$1,Database!$A$1:$AS$1,),))))-(((VLOOKUP(EDATE(B65,-12),Database!$A:$AS,MATCH($I$1,Database!$A$1:$AS$1,),)))))/(((VLOOKUP(EDATE(B65,-12),Database!$A:$AS,MATCH($I$1,Database!$A$1:$AS$1,),)))))</f>
        <v/>
      </c>
      <c r="J65" s="13">
        <f>IF(VLOOKUP(B65,Database!$A:$AV,MATCH($J$1,Database!$A$1:$AV$1,),)=0,"#N/A",((((VLOOKUP(B65,Database!$A:$AS,MATCH($J$1,Database!$A$1:$AS$1,),))))-(((VLOOKUP(EDATE(B65,-12),Database!$A:$AS,MATCH($J$1,Database!$A$1:$AS$1,),)))))/(((VLOOKUP(EDATE(B65,-12),Database!$A:$AS,MATCH($J$1,Database!$A$1:$AS$1,),)))))</f>
        <v/>
      </c>
      <c r="K65" s="13">
        <f>IF(VLOOKUP(B65,Database!$A:$AV,MATCH($K$1,Database!$A$1:$AV$1,),)=0,"#N/A",((((VLOOKUP(B65,Database!$A:$AS,MATCH($K$1,Database!$A$1:$AS$1,),))))-(((VLOOKUP(EDATE(B65,-12),Database!$A:$AS,MATCH($K$1,Database!$A$1:$AS$1,),)))))/(((VLOOKUP(EDATE(B65,-12),Database!$A:$AS,MATCH($K$1,Database!$A$1:$AS$1,),)))))</f>
        <v/>
      </c>
      <c r="L65" s="13">
        <f>((((VLOOKUP(B65,Database!$A:$AS,MATCH($L$1,Database!$A$1:$AS$1,),))))-(((VLOOKUP(EDATE(B65,-12),Database!$A:$AS,MATCH($L$1,Database!$A$1:$AS$1,),)))))/(((VLOOKUP(EDATE(B65,-12),Database!$A:$AS,MATCH($L$1,Database!$A$1:$AS$1,),))))</f>
        <v/>
      </c>
      <c r="M65" s="13">
        <f>((((VLOOKUP(B65,Database!$A:$AS,MATCH($M$1,Database!$A$1:$AS$1,),))))-(((VLOOKUP(EDATE(B65,-12),Database!$A:$AS,MATCH($M$1,Database!$A$1:$AS$1,),)))))/(((VLOOKUP(EDATE(B65,-12),Database!$A:$AS,MATCH($M$1,Database!$A$1:$AS$1,),))))</f>
        <v/>
      </c>
      <c r="N65" s="13">
        <f>((((VLOOKUP(B65,Database!$A:$AS,MATCH($N$1,Database!$A$1:$AS$1,),))))-(((VLOOKUP(EDATE(B65,-12),Database!$A:$AS,MATCH($N$1,Database!$A$1:$AS$1,),)))))/(((VLOOKUP(EDATE(B65,-12),Database!$A:$AS,MATCH($N$1,Database!$A$1:$AS$1,),))))</f>
        <v/>
      </c>
      <c r="O65" s="13">
        <f>IF(VLOOKUP(B65,Database!$A:$AV,MATCH($O$1,Database!$A$1:$AV$1,),)=0,"#N/A",((((VLOOKUP(B65,Database!$A:$AS,MATCH($O$1,Database!$A$1:$AS$1,),))))-(((VLOOKUP(EDATE(B65,-12),Database!$A:$AS,MATCH($O$1,Database!$A$1:$AS$1,),)))))/(((VLOOKUP(EDATE(B65,-12),Database!$A:$AS,MATCH($O$1,Database!$A$1:$AS$1,),)))))</f>
        <v/>
      </c>
      <c r="P65" s="13">
        <f>IF(VLOOKUP(B65,Database!$A:$AV,MATCH($P$1,Database!$A$1:$AV$1,),)=0,"#N/A",((((VLOOKUP(B65,Database!$A:$AS,MATCH($P$1,Database!$A$1:$AS$1,),))))-(((VLOOKUP(EDATE(B65,-12),Database!$A:$AS,MATCH($P$1,Database!$A$1:$AS$1,),)))))/(((VLOOKUP(EDATE(B65,-12),Database!$A:$AS,MATCH($P$1,Database!$A$1:$AS$1,),)))))</f>
        <v/>
      </c>
      <c r="Q65" s="13">
        <f>IF(VLOOKUP(B65,Database!$A:$AV,MATCH($Q$1,Database!$A$1:$AV$1,),)=0,"#N/A",((((VLOOKUP(B65,Database!$A:$AS,MATCH($Q$1,Database!$A$1:$AS$1,),))))-(((VLOOKUP(EDATE(B65,-12),Database!$A:$AS,MATCH($Q$1,Database!$A$1:$AS$1,),)))))/(((VLOOKUP(EDATE(B65,-12),Database!$A:$AS,MATCH($Q$1,Database!$A$1:$AS$1,),)))))</f>
        <v/>
      </c>
      <c r="R65" s="13">
        <f>IF(VLOOKUP(B65,Database!$A:$AV,MATCH($R$1,Database!$A$1:$AV$1,),)=0,"#N/A",((((VLOOKUP(B65,Database!$A:$AS,MATCH($R$1,Database!$A$1:$AS$1,),))))-(((VLOOKUP(EDATE(B65,-12),Database!$A:$AS,MATCH($R$1,Database!$A$1:$AS$1,),)))))/(((VLOOKUP(EDATE(B65,-12),Database!$A:$AS,MATCH($R$1,Database!$A$1:$AS$1,),)))))</f>
        <v/>
      </c>
      <c r="S65" s="13">
        <f>IF(VLOOKUP(B65,Database!$A:$AV,MATCH($S$1,Database!$A$1:$AV$1,),)=0,"#N/A",((((VLOOKUP(B65,Database!$A:$AS,MATCH($S$1,Database!$A$1:$AS$1,),))))-(((VLOOKUP(EDATE(B65,-12),Database!$A:$AS,MATCH($S$1,Database!$A$1:$AS$1,),)))))/(((VLOOKUP(EDATE(B65,-12),Database!$A:$AS,MATCH($S$1,Database!$A$1:$AS$1,),)))))</f>
        <v/>
      </c>
      <c r="T65" s="13">
        <f>IF(VLOOKUP(B65,Database!$A:$AV,MATCH($T$1,Database!$A$1:$AV$1,),)=0,"#N/A",((((VLOOKUP(B65,Database!$A:$AS,MATCH($T$1,Database!$A$1:$AS$1,),))))-(((VLOOKUP(EDATE(B65,-12),Database!$A:$AS,MATCH($T$1,Database!$A$1:$AS$1,),)))))/(((VLOOKUP(EDATE(B65,-12),Database!$A:$AS,MATCH($T$1,Database!$A$1:$AS$1,),)))))</f>
        <v/>
      </c>
      <c r="U65" s="13">
        <f>IF(VLOOKUP(B65,Database!$A:$AV,MATCH($U$1,Database!$A$1:$AV$1,),)=0,"#N/A",((((VLOOKUP(B65,Database!$A:$AS,MATCH($U$1,Database!$A$1:$AS$1,),))))-(((VLOOKUP(EDATE(B65,-12),Database!$A:$AS,MATCH($U$1,Database!$A$1:$AS$1,),)))))/(((VLOOKUP(EDATE(B65,-12),Database!$A:$AS,MATCH($U$1,Database!$A$1:$AS$1,),)))))</f>
        <v/>
      </c>
      <c r="V65" s="13">
        <f>IF(VLOOKUP(B65,Database!$A:$AV,MATCH($V$1,Database!$A$1:$AV$1,),)=0,"#N/A",((((VLOOKUP(B65,Database!$A:$AS,MATCH($V$1,Database!$A$1:$AS$1,),))))-(((VLOOKUP(EDATE(B65,-12),Database!$A:$AS,MATCH($V$1,Database!$A$1:$AS$1,),)))))/(((VLOOKUP(EDATE(B65,-12),Database!$A:$AS,MATCH($V$1,Database!$A$1:$AS$1,),)))))</f>
        <v/>
      </c>
    </row>
    <row r="66" customFormat="1" s="86">
      <c r="A66" s="43" t="n"/>
      <c r="B66" s="75" t="n">
        <v>34151</v>
      </c>
      <c r="C66" s="13">
        <f>IF(VLOOKUP(B66,Database!$A:$AU,MATCH($C$1,Database!$A$1:$AU$1,),)=0,"#N/A",((((VLOOKUP(B66,Database!$A:$AU,MATCH($C$1,Database!$A$1:$AU$1,),))))-(((VLOOKUP(EDATE(B66,-12),Database!$A:$AU,MATCH($C$1,Database!$A$1:$AU$1,),)))))/(((VLOOKUP(EDATE(B66,-12),Database!$A:$AU,MATCH($C$1,Database!$A$1:$AU$1,),)))))</f>
        <v/>
      </c>
      <c r="D66" s="13">
        <f>IF(VLOOKUP(B66,Database!$A:$AV,MATCH($D$1,Database!$A$1:$AV$1,),)=0,"#N/A",((((VLOOKUP(B66,Database!$A:$AS,MATCH($D$1,Database!$A$1:$AS$1,),))))-(((VLOOKUP(EDATE(B66,-12),Database!$A:$AS,MATCH($D$1,Database!$A$1:$AS$1,),)))))/(((VLOOKUP(EDATE(B66,-12),Database!$A:$AS,MATCH($D$1,Database!$A$1:$AS$1,),)))))</f>
        <v/>
      </c>
      <c r="E66" s="13">
        <f>IF(VLOOKUP(B66,Database!$A:$AV,MATCH($E$1,Database!$A$1:$AV$1,),)=0,"#N/A",((((VLOOKUP(B66,Database!$A:$AS,MATCH($E$1,Database!$A$1:$AS$1,),))))-(((VLOOKUP(EDATE(B66,-12),Database!$A:$AS,MATCH($E$1,Database!$A$1:$AS$1,),)))))/(((VLOOKUP(EDATE(B66,-12),Database!$A:$AS,MATCH($E$1,Database!$A$1:$AS$1,),)))))</f>
        <v/>
      </c>
      <c r="F66" s="13">
        <f>IF(VLOOKUP(B66,Database!$A:$AV,MATCH($F$1,Database!$A$1:$AV$1,),)=0,"#N/A",((((VLOOKUP(B66,Database!$A:$AS,MATCH($F$1,Database!$A$1:$AS$1,),))))-(((VLOOKUP(EDATE(B66,-12),Database!$A:$AS,MATCH($F$1,Database!$A$1:$AS$1,),)))))/(((VLOOKUP(EDATE(B66,-12),Database!$A:$AS,MATCH($F$1,Database!$A$1:$AS$1,),)))))</f>
        <v/>
      </c>
      <c r="G66" s="13">
        <f>IF(VLOOKUP(B66,Database!$A:$AV,MATCH($G$1,Database!$A$1:$AV$1,),)=0,"#N/A",((((VLOOKUP(B66,Database!$A:$AS,MATCH($G$1,Database!$A$1:$AS$1,),))))-(((VLOOKUP(EDATE(B66,-12),Database!$A:$AS,MATCH($G$1,Database!$A$1:$AS$1,),)))))/(((VLOOKUP(EDATE(B66,-12),Database!$A:$AS,MATCH($G$1,Database!$A$1:$AS$1,),)))))</f>
        <v/>
      </c>
      <c r="H66" s="13">
        <f>IF(VLOOKUP(B66,Database!$A:$AV,MATCH($H$1,Database!$A$1:$AV$1,),)=0,"#N/A",((((VLOOKUP(B66,Database!$A:$AS,MATCH($H$1,Database!$A$1:$AS$1,),))))-(((VLOOKUP(EDATE(B66,-12),Database!$A:$AS,MATCH($H$1,Database!$A$1:$AS$1,),)))))/(((VLOOKUP(EDATE(B66,-12),Database!$A:$AS,MATCH($H$1,Database!$A$1:$AS$1,),)))))</f>
        <v/>
      </c>
      <c r="I66" s="13">
        <f>IF(VLOOKUP(B66,Database!$A:$AV,MATCH($I$1,Database!$A$1:$AV$1,),)=0,"#N/A",((((VLOOKUP(B66,Database!$A:$AS,MATCH($I$1,Database!$A$1:$AS$1,),))))-(((VLOOKUP(EDATE(B66,-12),Database!$A:$AS,MATCH($I$1,Database!$A$1:$AS$1,),)))))/(((VLOOKUP(EDATE(B66,-12),Database!$A:$AS,MATCH($I$1,Database!$A$1:$AS$1,),)))))</f>
        <v/>
      </c>
      <c r="J66" s="13">
        <f>IF(VLOOKUP(B66,Database!$A:$AV,MATCH($J$1,Database!$A$1:$AV$1,),)=0,"#N/A",((((VLOOKUP(B66,Database!$A:$AS,MATCH($J$1,Database!$A$1:$AS$1,),))))-(((VLOOKUP(EDATE(B66,-12),Database!$A:$AS,MATCH($J$1,Database!$A$1:$AS$1,),)))))/(((VLOOKUP(EDATE(B66,-12),Database!$A:$AS,MATCH($J$1,Database!$A$1:$AS$1,),)))))</f>
        <v/>
      </c>
      <c r="K66" s="13">
        <f>IF(VLOOKUP(B66,Database!$A:$AV,MATCH($K$1,Database!$A$1:$AV$1,),)=0,"#N/A",((((VLOOKUP(B66,Database!$A:$AS,MATCH($K$1,Database!$A$1:$AS$1,),))))-(((VLOOKUP(EDATE(B66,-12),Database!$A:$AS,MATCH($K$1,Database!$A$1:$AS$1,),)))))/(((VLOOKUP(EDATE(B66,-12),Database!$A:$AS,MATCH($K$1,Database!$A$1:$AS$1,),)))))</f>
        <v/>
      </c>
      <c r="L66" s="13">
        <f>((((VLOOKUP(B66,Database!$A:$AS,MATCH($L$1,Database!$A$1:$AS$1,),))))-(((VLOOKUP(EDATE(B66,-12),Database!$A:$AS,MATCH($L$1,Database!$A$1:$AS$1,),)))))/(((VLOOKUP(EDATE(B66,-12),Database!$A:$AS,MATCH($L$1,Database!$A$1:$AS$1,),))))</f>
        <v/>
      </c>
      <c r="M66" s="13">
        <f>((((VLOOKUP(B66,Database!$A:$AS,MATCH($M$1,Database!$A$1:$AS$1,),))))-(((VLOOKUP(EDATE(B66,-12),Database!$A:$AS,MATCH($M$1,Database!$A$1:$AS$1,),)))))/(((VLOOKUP(EDATE(B66,-12),Database!$A:$AS,MATCH($M$1,Database!$A$1:$AS$1,),))))</f>
        <v/>
      </c>
      <c r="N66" s="13">
        <f>((((VLOOKUP(B66,Database!$A:$AS,MATCH($N$1,Database!$A$1:$AS$1,),))))-(((VLOOKUP(EDATE(B66,-12),Database!$A:$AS,MATCH($N$1,Database!$A$1:$AS$1,),)))))/(((VLOOKUP(EDATE(B66,-12),Database!$A:$AS,MATCH($N$1,Database!$A$1:$AS$1,),))))</f>
        <v/>
      </c>
      <c r="O66" s="13">
        <f>IF(VLOOKUP(B66,Database!$A:$AV,MATCH($O$1,Database!$A$1:$AV$1,),)=0,"#N/A",((((VLOOKUP(B66,Database!$A:$AS,MATCH($O$1,Database!$A$1:$AS$1,),))))-(((VLOOKUP(EDATE(B66,-12),Database!$A:$AS,MATCH($O$1,Database!$A$1:$AS$1,),)))))/(((VLOOKUP(EDATE(B66,-12),Database!$A:$AS,MATCH($O$1,Database!$A$1:$AS$1,),)))))</f>
        <v/>
      </c>
      <c r="P66" s="13">
        <f>IF(VLOOKUP(B66,Database!$A:$AV,MATCH($P$1,Database!$A$1:$AV$1,),)=0,"#N/A",((((VLOOKUP(B66,Database!$A:$AS,MATCH($P$1,Database!$A$1:$AS$1,),))))-(((VLOOKUP(EDATE(B66,-12),Database!$A:$AS,MATCH($P$1,Database!$A$1:$AS$1,),)))))/(((VLOOKUP(EDATE(B66,-12),Database!$A:$AS,MATCH($P$1,Database!$A$1:$AS$1,),)))))</f>
        <v/>
      </c>
      <c r="Q66" s="13">
        <f>IF(VLOOKUP(B66,Database!$A:$AV,MATCH($Q$1,Database!$A$1:$AV$1,),)=0,"#N/A",((((VLOOKUP(B66,Database!$A:$AS,MATCH($Q$1,Database!$A$1:$AS$1,),))))-(((VLOOKUP(EDATE(B66,-12),Database!$A:$AS,MATCH($Q$1,Database!$A$1:$AS$1,),)))))/(((VLOOKUP(EDATE(B66,-12),Database!$A:$AS,MATCH($Q$1,Database!$A$1:$AS$1,),)))))</f>
        <v/>
      </c>
      <c r="R66" s="13">
        <f>IF(VLOOKUP(B66,Database!$A:$AV,MATCH($R$1,Database!$A$1:$AV$1,),)=0,"#N/A",((((VLOOKUP(B66,Database!$A:$AS,MATCH($R$1,Database!$A$1:$AS$1,),))))-(((VLOOKUP(EDATE(B66,-12),Database!$A:$AS,MATCH($R$1,Database!$A$1:$AS$1,),)))))/(((VLOOKUP(EDATE(B66,-12),Database!$A:$AS,MATCH($R$1,Database!$A$1:$AS$1,),)))))</f>
        <v/>
      </c>
      <c r="S66" s="13">
        <f>IF(VLOOKUP(B66,Database!$A:$AV,MATCH($S$1,Database!$A$1:$AV$1,),)=0,"#N/A",((((VLOOKUP(B66,Database!$A:$AS,MATCH($S$1,Database!$A$1:$AS$1,),))))-(((VLOOKUP(EDATE(B66,-12),Database!$A:$AS,MATCH($S$1,Database!$A$1:$AS$1,),)))))/(((VLOOKUP(EDATE(B66,-12),Database!$A:$AS,MATCH($S$1,Database!$A$1:$AS$1,),)))))</f>
        <v/>
      </c>
      <c r="T66" s="13">
        <f>IF(VLOOKUP(B66,Database!$A:$AV,MATCH($T$1,Database!$A$1:$AV$1,),)=0,"#N/A",((((VLOOKUP(B66,Database!$A:$AS,MATCH($T$1,Database!$A$1:$AS$1,),))))-(((VLOOKUP(EDATE(B66,-12),Database!$A:$AS,MATCH($T$1,Database!$A$1:$AS$1,),)))))/(((VLOOKUP(EDATE(B66,-12),Database!$A:$AS,MATCH($T$1,Database!$A$1:$AS$1,),)))))</f>
        <v/>
      </c>
      <c r="U66" s="13">
        <f>IF(VLOOKUP(B66,Database!$A:$AV,MATCH($U$1,Database!$A$1:$AV$1,),)=0,"#N/A",((((VLOOKUP(B66,Database!$A:$AS,MATCH($U$1,Database!$A$1:$AS$1,),))))-(((VLOOKUP(EDATE(B66,-12),Database!$A:$AS,MATCH($U$1,Database!$A$1:$AS$1,),)))))/(((VLOOKUP(EDATE(B66,-12),Database!$A:$AS,MATCH($U$1,Database!$A$1:$AS$1,),)))))</f>
        <v/>
      </c>
      <c r="V66" s="13">
        <f>IF(VLOOKUP(B66,Database!$A:$AV,MATCH($V$1,Database!$A$1:$AV$1,),)=0,"#N/A",((((VLOOKUP(B66,Database!$A:$AS,MATCH($V$1,Database!$A$1:$AS$1,),))))-(((VLOOKUP(EDATE(B66,-12),Database!$A:$AS,MATCH($V$1,Database!$A$1:$AS$1,),)))))/(((VLOOKUP(EDATE(B66,-12),Database!$A:$AS,MATCH($V$1,Database!$A$1:$AS$1,),)))))</f>
        <v/>
      </c>
    </row>
    <row r="67" customFormat="1" s="86">
      <c r="A67" s="43" t="n"/>
      <c r="B67" s="75" t="n">
        <v>34182</v>
      </c>
      <c r="C67" s="13">
        <f>IF(VLOOKUP(B67,Database!$A:$AU,MATCH($C$1,Database!$A$1:$AU$1,),)=0,"#N/A",((((VLOOKUP(B67,Database!$A:$AU,MATCH($C$1,Database!$A$1:$AU$1,),))))-(((VLOOKUP(EDATE(B67,-12),Database!$A:$AU,MATCH($C$1,Database!$A$1:$AU$1,),)))))/(((VLOOKUP(EDATE(B67,-12),Database!$A:$AU,MATCH($C$1,Database!$A$1:$AU$1,),)))))</f>
        <v/>
      </c>
      <c r="D67" s="13">
        <f>IF(VLOOKUP(B67,Database!$A:$AV,MATCH($D$1,Database!$A$1:$AV$1,),)=0,"#N/A",((((VLOOKUP(B67,Database!$A:$AS,MATCH($D$1,Database!$A$1:$AS$1,),))))-(((VLOOKUP(EDATE(B67,-12),Database!$A:$AS,MATCH($D$1,Database!$A$1:$AS$1,),)))))/(((VLOOKUP(EDATE(B67,-12),Database!$A:$AS,MATCH($D$1,Database!$A$1:$AS$1,),)))))</f>
        <v/>
      </c>
      <c r="E67" s="13">
        <f>IF(VLOOKUP(B67,Database!$A:$AV,MATCH($E$1,Database!$A$1:$AV$1,),)=0,"#N/A",((((VLOOKUP(B67,Database!$A:$AS,MATCH($E$1,Database!$A$1:$AS$1,),))))-(((VLOOKUP(EDATE(B67,-12),Database!$A:$AS,MATCH($E$1,Database!$A$1:$AS$1,),)))))/(((VLOOKUP(EDATE(B67,-12),Database!$A:$AS,MATCH($E$1,Database!$A$1:$AS$1,),)))))</f>
        <v/>
      </c>
      <c r="F67" s="13">
        <f>IF(VLOOKUP(B67,Database!$A:$AV,MATCH($F$1,Database!$A$1:$AV$1,),)=0,"#N/A",((((VLOOKUP(B67,Database!$A:$AS,MATCH($F$1,Database!$A$1:$AS$1,),))))-(((VLOOKUP(EDATE(B67,-12),Database!$A:$AS,MATCH($F$1,Database!$A$1:$AS$1,),)))))/(((VLOOKUP(EDATE(B67,-12),Database!$A:$AS,MATCH($F$1,Database!$A$1:$AS$1,),)))))</f>
        <v/>
      </c>
      <c r="G67" s="13">
        <f>IF(VLOOKUP(B67,Database!$A:$AV,MATCH($G$1,Database!$A$1:$AV$1,),)=0,"#N/A",((((VLOOKUP(B67,Database!$A:$AS,MATCH($G$1,Database!$A$1:$AS$1,),))))-(((VLOOKUP(EDATE(B67,-12),Database!$A:$AS,MATCH($G$1,Database!$A$1:$AS$1,),)))))/(((VLOOKUP(EDATE(B67,-12),Database!$A:$AS,MATCH($G$1,Database!$A$1:$AS$1,),)))))</f>
        <v/>
      </c>
      <c r="H67" s="13">
        <f>IF(VLOOKUP(B67,Database!$A:$AV,MATCH($H$1,Database!$A$1:$AV$1,),)=0,"#N/A",((((VLOOKUP(B67,Database!$A:$AS,MATCH($H$1,Database!$A$1:$AS$1,),))))-(((VLOOKUP(EDATE(B67,-12),Database!$A:$AS,MATCH($H$1,Database!$A$1:$AS$1,),)))))/(((VLOOKUP(EDATE(B67,-12),Database!$A:$AS,MATCH($H$1,Database!$A$1:$AS$1,),)))))</f>
        <v/>
      </c>
      <c r="I67" s="13">
        <f>IF(VLOOKUP(B67,Database!$A:$AV,MATCH($I$1,Database!$A$1:$AV$1,),)=0,"#N/A",((((VLOOKUP(B67,Database!$A:$AS,MATCH($I$1,Database!$A$1:$AS$1,),))))-(((VLOOKUP(EDATE(B67,-12),Database!$A:$AS,MATCH($I$1,Database!$A$1:$AS$1,),)))))/(((VLOOKUP(EDATE(B67,-12),Database!$A:$AS,MATCH($I$1,Database!$A$1:$AS$1,),)))))</f>
        <v/>
      </c>
      <c r="J67" s="13">
        <f>IF(VLOOKUP(B67,Database!$A:$AV,MATCH($J$1,Database!$A$1:$AV$1,),)=0,"#N/A",((((VLOOKUP(B67,Database!$A:$AS,MATCH($J$1,Database!$A$1:$AS$1,),))))-(((VLOOKUP(EDATE(B67,-12),Database!$A:$AS,MATCH($J$1,Database!$A$1:$AS$1,),)))))/(((VLOOKUP(EDATE(B67,-12),Database!$A:$AS,MATCH($J$1,Database!$A$1:$AS$1,),)))))</f>
        <v/>
      </c>
      <c r="K67" s="13">
        <f>IF(VLOOKUP(B67,Database!$A:$AV,MATCH($K$1,Database!$A$1:$AV$1,),)=0,"#N/A",((((VLOOKUP(B67,Database!$A:$AS,MATCH($K$1,Database!$A$1:$AS$1,),))))-(((VLOOKUP(EDATE(B67,-12),Database!$A:$AS,MATCH($K$1,Database!$A$1:$AS$1,),)))))/(((VLOOKUP(EDATE(B67,-12),Database!$A:$AS,MATCH($K$1,Database!$A$1:$AS$1,),)))))</f>
        <v/>
      </c>
      <c r="L67" s="13">
        <f>((((VLOOKUP(B67,Database!$A:$AS,MATCH($L$1,Database!$A$1:$AS$1,),))))-(((VLOOKUP(EDATE(B67,-12),Database!$A:$AS,MATCH($L$1,Database!$A$1:$AS$1,),)))))/(((VLOOKUP(EDATE(B67,-12),Database!$A:$AS,MATCH($L$1,Database!$A$1:$AS$1,),))))</f>
        <v/>
      </c>
      <c r="M67" s="13">
        <f>((((VLOOKUP(B67,Database!$A:$AS,MATCH($M$1,Database!$A$1:$AS$1,),))))-(((VLOOKUP(EDATE(B67,-12),Database!$A:$AS,MATCH($M$1,Database!$A$1:$AS$1,),)))))/(((VLOOKUP(EDATE(B67,-12),Database!$A:$AS,MATCH($M$1,Database!$A$1:$AS$1,),))))</f>
        <v/>
      </c>
      <c r="N67" s="13">
        <f>((((VLOOKUP(B67,Database!$A:$AS,MATCH($N$1,Database!$A$1:$AS$1,),))))-(((VLOOKUP(EDATE(B67,-12),Database!$A:$AS,MATCH($N$1,Database!$A$1:$AS$1,),)))))/(((VLOOKUP(EDATE(B67,-12),Database!$A:$AS,MATCH($N$1,Database!$A$1:$AS$1,),))))</f>
        <v/>
      </c>
      <c r="O67" s="13">
        <f>IF(VLOOKUP(B67,Database!$A:$AV,MATCH($O$1,Database!$A$1:$AV$1,),)=0,"#N/A",((((VLOOKUP(B67,Database!$A:$AS,MATCH($O$1,Database!$A$1:$AS$1,),))))-(((VLOOKUP(EDATE(B67,-12),Database!$A:$AS,MATCH($O$1,Database!$A$1:$AS$1,),)))))/(((VLOOKUP(EDATE(B67,-12),Database!$A:$AS,MATCH($O$1,Database!$A$1:$AS$1,),)))))</f>
        <v/>
      </c>
      <c r="P67" s="13">
        <f>IF(VLOOKUP(B67,Database!$A:$AV,MATCH($P$1,Database!$A$1:$AV$1,),)=0,"#N/A",((((VLOOKUP(B67,Database!$A:$AS,MATCH($P$1,Database!$A$1:$AS$1,),))))-(((VLOOKUP(EDATE(B67,-12),Database!$A:$AS,MATCH($P$1,Database!$A$1:$AS$1,),)))))/(((VLOOKUP(EDATE(B67,-12),Database!$A:$AS,MATCH($P$1,Database!$A$1:$AS$1,),)))))</f>
        <v/>
      </c>
      <c r="Q67" s="13">
        <f>IF(VLOOKUP(B67,Database!$A:$AV,MATCH($Q$1,Database!$A$1:$AV$1,),)=0,"#N/A",((((VLOOKUP(B67,Database!$A:$AS,MATCH($Q$1,Database!$A$1:$AS$1,),))))-(((VLOOKUP(EDATE(B67,-12),Database!$A:$AS,MATCH($Q$1,Database!$A$1:$AS$1,),)))))/(((VLOOKUP(EDATE(B67,-12),Database!$A:$AS,MATCH($Q$1,Database!$A$1:$AS$1,),)))))</f>
        <v/>
      </c>
      <c r="R67" s="13">
        <f>IF(VLOOKUP(B67,Database!$A:$AV,MATCH($R$1,Database!$A$1:$AV$1,),)=0,"#N/A",((((VLOOKUP(B67,Database!$A:$AS,MATCH($R$1,Database!$A$1:$AS$1,),))))-(((VLOOKUP(EDATE(B67,-12),Database!$A:$AS,MATCH($R$1,Database!$A$1:$AS$1,),)))))/(((VLOOKUP(EDATE(B67,-12),Database!$A:$AS,MATCH($R$1,Database!$A$1:$AS$1,),)))))</f>
        <v/>
      </c>
      <c r="S67" s="13">
        <f>IF(VLOOKUP(B67,Database!$A:$AV,MATCH($S$1,Database!$A$1:$AV$1,),)=0,"#N/A",((((VLOOKUP(B67,Database!$A:$AS,MATCH($S$1,Database!$A$1:$AS$1,),))))-(((VLOOKUP(EDATE(B67,-12),Database!$A:$AS,MATCH($S$1,Database!$A$1:$AS$1,),)))))/(((VLOOKUP(EDATE(B67,-12),Database!$A:$AS,MATCH($S$1,Database!$A$1:$AS$1,),)))))</f>
        <v/>
      </c>
      <c r="T67" s="13">
        <f>IF(VLOOKUP(B67,Database!$A:$AV,MATCH($T$1,Database!$A$1:$AV$1,),)=0,"#N/A",((((VLOOKUP(B67,Database!$A:$AS,MATCH($T$1,Database!$A$1:$AS$1,),))))-(((VLOOKUP(EDATE(B67,-12),Database!$A:$AS,MATCH($T$1,Database!$A$1:$AS$1,),)))))/(((VLOOKUP(EDATE(B67,-12),Database!$A:$AS,MATCH($T$1,Database!$A$1:$AS$1,),)))))</f>
        <v/>
      </c>
      <c r="U67" s="13">
        <f>IF(VLOOKUP(B67,Database!$A:$AV,MATCH($U$1,Database!$A$1:$AV$1,),)=0,"#N/A",((((VLOOKUP(B67,Database!$A:$AS,MATCH($U$1,Database!$A$1:$AS$1,),))))-(((VLOOKUP(EDATE(B67,-12),Database!$A:$AS,MATCH($U$1,Database!$A$1:$AS$1,),)))))/(((VLOOKUP(EDATE(B67,-12),Database!$A:$AS,MATCH($U$1,Database!$A$1:$AS$1,),)))))</f>
        <v/>
      </c>
      <c r="V67" s="13">
        <f>IF(VLOOKUP(B67,Database!$A:$AV,MATCH($V$1,Database!$A$1:$AV$1,),)=0,"#N/A",((((VLOOKUP(B67,Database!$A:$AS,MATCH($V$1,Database!$A$1:$AS$1,),))))-(((VLOOKUP(EDATE(B67,-12),Database!$A:$AS,MATCH($V$1,Database!$A$1:$AS$1,),)))))/(((VLOOKUP(EDATE(B67,-12),Database!$A:$AS,MATCH($V$1,Database!$A$1:$AS$1,),)))))</f>
        <v/>
      </c>
    </row>
    <row r="68" customFormat="1" s="86">
      <c r="A68" s="43" t="n"/>
      <c r="B68" s="75" t="n">
        <v>34213</v>
      </c>
      <c r="C68" s="13">
        <f>IF(VLOOKUP(B68,Database!$A:$AU,MATCH($C$1,Database!$A$1:$AU$1,),)=0,"#N/A",((((VLOOKUP(B68,Database!$A:$AU,MATCH($C$1,Database!$A$1:$AU$1,),))))-(((VLOOKUP(EDATE(B68,-12),Database!$A:$AU,MATCH($C$1,Database!$A$1:$AU$1,),)))))/(((VLOOKUP(EDATE(B68,-12),Database!$A:$AU,MATCH($C$1,Database!$A$1:$AU$1,),)))))</f>
        <v/>
      </c>
      <c r="D68" s="13">
        <f>IF(VLOOKUP(B68,Database!$A:$AV,MATCH($D$1,Database!$A$1:$AV$1,),)=0,"#N/A",((((VLOOKUP(B68,Database!$A:$AS,MATCH($D$1,Database!$A$1:$AS$1,),))))-(((VLOOKUP(EDATE(B68,-12),Database!$A:$AS,MATCH($D$1,Database!$A$1:$AS$1,),)))))/(((VLOOKUP(EDATE(B68,-12),Database!$A:$AS,MATCH($D$1,Database!$A$1:$AS$1,),)))))</f>
        <v/>
      </c>
      <c r="E68" s="13">
        <f>IF(VLOOKUP(B68,Database!$A:$AV,MATCH($E$1,Database!$A$1:$AV$1,),)=0,"#N/A",((((VLOOKUP(B68,Database!$A:$AS,MATCH($E$1,Database!$A$1:$AS$1,),))))-(((VLOOKUP(EDATE(B68,-12),Database!$A:$AS,MATCH($E$1,Database!$A$1:$AS$1,),)))))/(((VLOOKUP(EDATE(B68,-12),Database!$A:$AS,MATCH($E$1,Database!$A$1:$AS$1,),)))))</f>
        <v/>
      </c>
      <c r="F68" s="13">
        <f>IF(VLOOKUP(B68,Database!$A:$AV,MATCH($F$1,Database!$A$1:$AV$1,),)=0,"#N/A",((((VLOOKUP(B68,Database!$A:$AS,MATCH($F$1,Database!$A$1:$AS$1,),))))-(((VLOOKUP(EDATE(B68,-12),Database!$A:$AS,MATCH($F$1,Database!$A$1:$AS$1,),)))))/(((VLOOKUP(EDATE(B68,-12),Database!$A:$AS,MATCH($F$1,Database!$A$1:$AS$1,),)))))</f>
        <v/>
      </c>
      <c r="G68" s="13">
        <f>IF(VLOOKUP(B68,Database!$A:$AV,MATCH($G$1,Database!$A$1:$AV$1,),)=0,"#N/A",((((VLOOKUP(B68,Database!$A:$AS,MATCH($G$1,Database!$A$1:$AS$1,),))))-(((VLOOKUP(EDATE(B68,-12),Database!$A:$AS,MATCH($G$1,Database!$A$1:$AS$1,),)))))/(((VLOOKUP(EDATE(B68,-12),Database!$A:$AS,MATCH($G$1,Database!$A$1:$AS$1,),)))))</f>
        <v/>
      </c>
      <c r="H68" s="13">
        <f>IF(VLOOKUP(B68,Database!$A:$AV,MATCH($H$1,Database!$A$1:$AV$1,),)=0,"#N/A",((((VLOOKUP(B68,Database!$A:$AS,MATCH($H$1,Database!$A$1:$AS$1,),))))-(((VLOOKUP(EDATE(B68,-12),Database!$A:$AS,MATCH($H$1,Database!$A$1:$AS$1,),)))))/(((VLOOKUP(EDATE(B68,-12),Database!$A:$AS,MATCH($H$1,Database!$A$1:$AS$1,),)))))</f>
        <v/>
      </c>
      <c r="I68" s="13">
        <f>IF(VLOOKUP(B68,Database!$A:$AV,MATCH($I$1,Database!$A$1:$AV$1,),)=0,"#N/A",((((VLOOKUP(B68,Database!$A:$AS,MATCH($I$1,Database!$A$1:$AS$1,),))))-(((VLOOKUP(EDATE(B68,-12),Database!$A:$AS,MATCH($I$1,Database!$A$1:$AS$1,),)))))/(((VLOOKUP(EDATE(B68,-12),Database!$A:$AS,MATCH($I$1,Database!$A$1:$AS$1,),)))))</f>
        <v/>
      </c>
      <c r="J68" s="13">
        <f>IF(VLOOKUP(B68,Database!$A:$AV,MATCH($J$1,Database!$A$1:$AV$1,),)=0,"#N/A",((((VLOOKUP(B68,Database!$A:$AS,MATCH($J$1,Database!$A$1:$AS$1,),))))-(((VLOOKUP(EDATE(B68,-12),Database!$A:$AS,MATCH($J$1,Database!$A$1:$AS$1,),)))))/(((VLOOKUP(EDATE(B68,-12),Database!$A:$AS,MATCH($J$1,Database!$A$1:$AS$1,),)))))</f>
        <v/>
      </c>
      <c r="K68" s="13">
        <f>IF(VLOOKUP(B68,Database!$A:$AV,MATCH($K$1,Database!$A$1:$AV$1,),)=0,"#N/A",((((VLOOKUP(B68,Database!$A:$AS,MATCH($K$1,Database!$A$1:$AS$1,),))))-(((VLOOKUP(EDATE(B68,-12),Database!$A:$AS,MATCH($K$1,Database!$A$1:$AS$1,),)))))/(((VLOOKUP(EDATE(B68,-12),Database!$A:$AS,MATCH($K$1,Database!$A$1:$AS$1,),)))))</f>
        <v/>
      </c>
      <c r="L68" s="13">
        <f>((((VLOOKUP(B68,Database!$A:$AS,MATCH($L$1,Database!$A$1:$AS$1,),))))-(((VLOOKUP(EDATE(B68,-12),Database!$A:$AS,MATCH($L$1,Database!$A$1:$AS$1,),)))))/(((VLOOKUP(EDATE(B68,-12),Database!$A:$AS,MATCH($L$1,Database!$A$1:$AS$1,),))))</f>
        <v/>
      </c>
      <c r="M68" s="13">
        <f>((((VLOOKUP(B68,Database!$A:$AS,MATCH($M$1,Database!$A$1:$AS$1,),))))-(((VLOOKUP(EDATE(B68,-12),Database!$A:$AS,MATCH($M$1,Database!$A$1:$AS$1,),)))))/(((VLOOKUP(EDATE(B68,-12),Database!$A:$AS,MATCH($M$1,Database!$A$1:$AS$1,),))))</f>
        <v/>
      </c>
      <c r="N68" s="13">
        <f>((((VLOOKUP(B68,Database!$A:$AS,MATCH($N$1,Database!$A$1:$AS$1,),))))-(((VLOOKUP(EDATE(B68,-12),Database!$A:$AS,MATCH($N$1,Database!$A$1:$AS$1,),)))))/(((VLOOKUP(EDATE(B68,-12),Database!$A:$AS,MATCH($N$1,Database!$A$1:$AS$1,),))))</f>
        <v/>
      </c>
      <c r="O68" s="13">
        <f>IF(VLOOKUP(B68,Database!$A:$AV,MATCH($O$1,Database!$A$1:$AV$1,),)=0,"#N/A",((((VLOOKUP(B68,Database!$A:$AS,MATCH($O$1,Database!$A$1:$AS$1,),))))-(((VLOOKUP(EDATE(B68,-12),Database!$A:$AS,MATCH($O$1,Database!$A$1:$AS$1,),)))))/(((VLOOKUP(EDATE(B68,-12),Database!$A:$AS,MATCH($O$1,Database!$A$1:$AS$1,),)))))</f>
        <v/>
      </c>
      <c r="P68" s="13">
        <f>IF(VLOOKUP(B68,Database!$A:$AV,MATCH($P$1,Database!$A$1:$AV$1,),)=0,"#N/A",((((VLOOKUP(B68,Database!$A:$AS,MATCH($P$1,Database!$A$1:$AS$1,),))))-(((VLOOKUP(EDATE(B68,-12),Database!$A:$AS,MATCH($P$1,Database!$A$1:$AS$1,),)))))/(((VLOOKUP(EDATE(B68,-12),Database!$A:$AS,MATCH($P$1,Database!$A$1:$AS$1,),)))))</f>
        <v/>
      </c>
      <c r="Q68" s="13">
        <f>IF(VLOOKUP(B68,Database!$A:$AV,MATCH($Q$1,Database!$A$1:$AV$1,),)=0,"#N/A",((((VLOOKUP(B68,Database!$A:$AS,MATCH($Q$1,Database!$A$1:$AS$1,),))))-(((VLOOKUP(EDATE(B68,-12),Database!$A:$AS,MATCH($Q$1,Database!$A$1:$AS$1,),)))))/(((VLOOKUP(EDATE(B68,-12),Database!$A:$AS,MATCH($Q$1,Database!$A$1:$AS$1,),)))))</f>
        <v/>
      </c>
      <c r="R68" s="13">
        <f>IF(VLOOKUP(B68,Database!$A:$AV,MATCH($R$1,Database!$A$1:$AV$1,),)=0,"#N/A",((((VLOOKUP(B68,Database!$A:$AS,MATCH($R$1,Database!$A$1:$AS$1,),))))-(((VLOOKUP(EDATE(B68,-12),Database!$A:$AS,MATCH($R$1,Database!$A$1:$AS$1,),)))))/(((VLOOKUP(EDATE(B68,-12),Database!$A:$AS,MATCH($R$1,Database!$A$1:$AS$1,),)))))</f>
        <v/>
      </c>
      <c r="S68" s="13">
        <f>IF(VLOOKUP(B68,Database!$A:$AV,MATCH($S$1,Database!$A$1:$AV$1,),)=0,"#N/A",((((VLOOKUP(B68,Database!$A:$AS,MATCH($S$1,Database!$A$1:$AS$1,),))))-(((VLOOKUP(EDATE(B68,-12),Database!$A:$AS,MATCH($S$1,Database!$A$1:$AS$1,),)))))/(((VLOOKUP(EDATE(B68,-12),Database!$A:$AS,MATCH($S$1,Database!$A$1:$AS$1,),)))))</f>
        <v/>
      </c>
      <c r="T68" s="13">
        <f>IF(VLOOKUP(B68,Database!$A:$AV,MATCH($T$1,Database!$A$1:$AV$1,),)=0,"#N/A",((((VLOOKUP(B68,Database!$A:$AS,MATCH($T$1,Database!$A$1:$AS$1,),))))-(((VLOOKUP(EDATE(B68,-12),Database!$A:$AS,MATCH($T$1,Database!$A$1:$AS$1,),)))))/(((VLOOKUP(EDATE(B68,-12),Database!$A:$AS,MATCH($T$1,Database!$A$1:$AS$1,),)))))</f>
        <v/>
      </c>
      <c r="U68" s="13">
        <f>IF(VLOOKUP(B68,Database!$A:$AV,MATCH($U$1,Database!$A$1:$AV$1,),)=0,"#N/A",((((VLOOKUP(B68,Database!$A:$AS,MATCH($U$1,Database!$A$1:$AS$1,),))))-(((VLOOKUP(EDATE(B68,-12),Database!$A:$AS,MATCH($U$1,Database!$A$1:$AS$1,),)))))/(((VLOOKUP(EDATE(B68,-12),Database!$A:$AS,MATCH($U$1,Database!$A$1:$AS$1,),)))))</f>
        <v/>
      </c>
      <c r="V68" s="13">
        <f>IF(VLOOKUP(B68,Database!$A:$AV,MATCH($V$1,Database!$A$1:$AV$1,),)=0,"#N/A",((((VLOOKUP(B68,Database!$A:$AS,MATCH($V$1,Database!$A$1:$AS$1,),))))-(((VLOOKUP(EDATE(B68,-12),Database!$A:$AS,MATCH($V$1,Database!$A$1:$AS$1,),)))))/(((VLOOKUP(EDATE(B68,-12),Database!$A:$AS,MATCH($V$1,Database!$A$1:$AS$1,),)))))</f>
        <v/>
      </c>
    </row>
    <row r="69" customFormat="1" s="86">
      <c r="A69" s="43" t="n"/>
      <c r="B69" s="75" t="n">
        <v>34243</v>
      </c>
      <c r="C69" s="13">
        <f>IF(VLOOKUP(B69,Database!$A:$AU,MATCH($C$1,Database!$A$1:$AU$1,),)=0,"#N/A",((((VLOOKUP(B69,Database!$A:$AU,MATCH($C$1,Database!$A$1:$AU$1,),))))-(((VLOOKUP(EDATE(B69,-12),Database!$A:$AU,MATCH($C$1,Database!$A$1:$AU$1,),)))))/(((VLOOKUP(EDATE(B69,-12),Database!$A:$AU,MATCH($C$1,Database!$A$1:$AU$1,),)))))</f>
        <v/>
      </c>
      <c r="D69" s="13">
        <f>IF(VLOOKUP(B69,Database!$A:$AV,MATCH($D$1,Database!$A$1:$AV$1,),)=0,"#N/A",((((VLOOKUP(B69,Database!$A:$AS,MATCH($D$1,Database!$A$1:$AS$1,),))))-(((VLOOKUP(EDATE(B69,-12),Database!$A:$AS,MATCH($D$1,Database!$A$1:$AS$1,),)))))/(((VLOOKUP(EDATE(B69,-12),Database!$A:$AS,MATCH($D$1,Database!$A$1:$AS$1,),)))))</f>
        <v/>
      </c>
      <c r="E69" s="13">
        <f>IF(VLOOKUP(B69,Database!$A:$AV,MATCH($E$1,Database!$A$1:$AV$1,),)=0,"#N/A",((((VLOOKUP(B69,Database!$A:$AS,MATCH($E$1,Database!$A$1:$AS$1,),))))-(((VLOOKUP(EDATE(B69,-12),Database!$A:$AS,MATCH($E$1,Database!$A$1:$AS$1,),)))))/(((VLOOKUP(EDATE(B69,-12),Database!$A:$AS,MATCH($E$1,Database!$A$1:$AS$1,),)))))</f>
        <v/>
      </c>
      <c r="F69" s="13">
        <f>IF(VLOOKUP(B69,Database!$A:$AV,MATCH($F$1,Database!$A$1:$AV$1,),)=0,"#N/A",((((VLOOKUP(B69,Database!$A:$AS,MATCH($F$1,Database!$A$1:$AS$1,),))))-(((VLOOKUP(EDATE(B69,-12),Database!$A:$AS,MATCH($F$1,Database!$A$1:$AS$1,),)))))/(((VLOOKUP(EDATE(B69,-12),Database!$A:$AS,MATCH($F$1,Database!$A$1:$AS$1,),)))))</f>
        <v/>
      </c>
      <c r="G69" s="13">
        <f>IF(VLOOKUP(B69,Database!$A:$AV,MATCH($G$1,Database!$A$1:$AV$1,),)=0,"#N/A",((((VLOOKUP(B69,Database!$A:$AS,MATCH($G$1,Database!$A$1:$AS$1,),))))-(((VLOOKUP(EDATE(B69,-12),Database!$A:$AS,MATCH($G$1,Database!$A$1:$AS$1,),)))))/(((VLOOKUP(EDATE(B69,-12),Database!$A:$AS,MATCH($G$1,Database!$A$1:$AS$1,),)))))</f>
        <v/>
      </c>
      <c r="H69" s="13">
        <f>IF(VLOOKUP(B69,Database!$A:$AV,MATCH($H$1,Database!$A$1:$AV$1,),)=0,"#N/A",((((VLOOKUP(B69,Database!$A:$AS,MATCH($H$1,Database!$A$1:$AS$1,),))))-(((VLOOKUP(EDATE(B69,-12),Database!$A:$AS,MATCH($H$1,Database!$A$1:$AS$1,),)))))/(((VLOOKUP(EDATE(B69,-12),Database!$A:$AS,MATCH($H$1,Database!$A$1:$AS$1,),)))))</f>
        <v/>
      </c>
      <c r="I69" s="13">
        <f>IF(VLOOKUP(B69,Database!$A:$AV,MATCH($I$1,Database!$A$1:$AV$1,),)=0,"#N/A",((((VLOOKUP(B69,Database!$A:$AS,MATCH($I$1,Database!$A$1:$AS$1,),))))-(((VLOOKUP(EDATE(B69,-12),Database!$A:$AS,MATCH($I$1,Database!$A$1:$AS$1,),)))))/(((VLOOKUP(EDATE(B69,-12),Database!$A:$AS,MATCH($I$1,Database!$A$1:$AS$1,),)))))</f>
        <v/>
      </c>
      <c r="J69" s="13">
        <f>IF(VLOOKUP(B69,Database!$A:$AV,MATCH($J$1,Database!$A$1:$AV$1,),)=0,"#N/A",((((VLOOKUP(B69,Database!$A:$AS,MATCH($J$1,Database!$A$1:$AS$1,),))))-(((VLOOKUP(EDATE(B69,-12),Database!$A:$AS,MATCH($J$1,Database!$A$1:$AS$1,),)))))/(((VLOOKUP(EDATE(B69,-12),Database!$A:$AS,MATCH($J$1,Database!$A$1:$AS$1,),)))))</f>
        <v/>
      </c>
      <c r="K69" s="13">
        <f>IF(VLOOKUP(B69,Database!$A:$AV,MATCH($K$1,Database!$A$1:$AV$1,),)=0,"#N/A",((((VLOOKUP(B69,Database!$A:$AS,MATCH($K$1,Database!$A$1:$AS$1,),))))-(((VLOOKUP(EDATE(B69,-12),Database!$A:$AS,MATCH($K$1,Database!$A$1:$AS$1,),)))))/(((VLOOKUP(EDATE(B69,-12),Database!$A:$AS,MATCH($K$1,Database!$A$1:$AS$1,),)))))</f>
        <v/>
      </c>
      <c r="L69" s="13">
        <f>((((VLOOKUP(B69,Database!$A:$AS,MATCH($L$1,Database!$A$1:$AS$1,),))))-(((VLOOKUP(EDATE(B69,-12),Database!$A:$AS,MATCH($L$1,Database!$A$1:$AS$1,),)))))/(((VLOOKUP(EDATE(B69,-12),Database!$A:$AS,MATCH($L$1,Database!$A$1:$AS$1,),))))</f>
        <v/>
      </c>
      <c r="M69" s="13">
        <f>((((VLOOKUP(B69,Database!$A:$AS,MATCH($M$1,Database!$A$1:$AS$1,),))))-(((VLOOKUP(EDATE(B69,-12),Database!$A:$AS,MATCH($M$1,Database!$A$1:$AS$1,),)))))/(((VLOOKUP(EDATE(B69,-12),Database!$A:$AS,MATCH($M$1,Database!$A$1:$AS$1,),))))</f>
        <v/>
      </c>
      <c r="N69" s="13">
        <f>((((VLOOKUP(B69,Database!$A:$AS,MATCH($N$1,Database!$A$1:$AS$1,),))))-(((VLOOKUP(EDATE(B69,-12),Database!$A:$AS,MATCH($N$1,Database!$A$1:$AS$1,),)))))/(((VLOOKUP(EDATE(B69,-12),Database!$A:$AS,MATCH($N$1,Database!$A$1:$AS$1,),))))</f>
        <v/>
      </c>
      <c r="O69" s="13">
        <f>IF(VLOOKUP(B69,Database!$A:$AV,MATCH($O$1,Database!$A$1:$AV$1,),)=0,"#N/A",((((VLOOKUP(B69,Database!$A:$AS,MATCH($O$1,Database!$A$1:$AS$1,),))))-(((VLOOKUP(EDATE(B69,-12),Database!$A:$AS,MATCH($O$1,Database!$A$1:$AS$1,),)))))/(((VLOOKUP(EDATE(B69,-12),Database!$A:$AS,MATCH($O$1,Database!$A$1:$AS$1,),)))))</f>
        <v/>
      </c>
      <c r="P69" s="13">
        <f>IF(VLOOKUP(B69,Database!$A:$AV,MATCH($P$1,Database!$A$1:$AV$1,),)=0,"#N/A",((((VLOOKUP(B69,Database!$A:$AS,MATCH($P$1,Database!$A$1:$AS$1,),))))-(((VLOOKUP(EDATE(B69,-12),Database!$A:$AS,MATCH($P$1,Database!$A$1:$AS$1,),)))))/(((VLOOKUP(EDATE(B69,-12),Database!$A:$AS,MATCH($P$1,Database!$A$1:$AS$1,),)))))</f>
        <v/>
      </c>
      <c r="Q69" s="13">
        <f>IF(VLOOKUP(B69,Database!$A:$AV,MATCH($Q$1,Database!$A$1:$AV$1,),)=0,"#N/A",((((VLOOKUP(B69,Database!$A:$AS,MATCH($Q$1,Database!$A$1:$AS$1,),))))-(((VLOOKUP(EDATE(B69,-12),Database!$A:$AS,MATCH($Q$1,Database!$A$1:$AS$1,),)))))/(((VLOOKUP(EDATE(B69,-12),Database!$A:$AS,MATCH($Q$1,Database!$A$1:$AS$1,),)))))</f>
        <v/>
      </c>
      <c r="R69" s="13">
        <f>IF(VLOOKUP(B69,Database!$A:$AV,MATCH($R$1,Database!$A$1:$AV$1,),)=0,"#N/A",((((VLOOKUP(B69,Database!$A:$AS,MATCH($R$1,Database!$A$1:$AS$1,),))))-(((VLOOKUP(EDATE(B69,-12),Database!$A:$AS,MATCH($R$1,Database!$A$1:$AS$1,),)))))/(((VLOOKUP(EDATE(B69,-12),Database!$A:$AS,MATCH($R$1,Database!$A$1:$AS$1,),)))))</f>
        <v/>
      </c>
      <c r="S69" s="13">
        <f>IF(VLOOKUP(B69,Database!$A:$AV,MATCH($S$1,Database!$A$1:$AV$1,),)=0,"#N/A",((((VLOOKUP(B69,Database!$A:$AS,MATCH($S$1,Database!$A$1:$AS$1,),))))-(((VLOOKUP(EDATE(B69,-12),Database!$A:$AS,MATCH($S$1,Database!$A$1:$AS$1,),)))))/(((VLOOKUP(EDATE(B69,-12),Database!$A:$AS,MATCH($S$1,Database!$A$1:$AS$1,),)))))</f>
        <v/>
      </c>
      <c r="T69" s="13">
        <f>IF(VLOOKUP(B69,Database!$A:$AV,MATCH($T$1,Database!$A$1:$AV$1,),)=0,"#N/A",((((VLOOKUP(B69,Database!$A:$AS,MATCH($T$1,Database!$A$1:$AS$1,),))))-(((VLOOKUP(EDATE(B69,-12),Database!$A:$AS,MATCH($T$1,Database!$A$1:$AS$1,),)))))/(((VLOOKUP(EDATE(B69,-12),Database!$A:$AS,MATCH($T$1,Database!$A$1:$AS$1,),)))))</f>
        <v/>
      </c>
      <c r="U69" s="13">
        <f>IF(VLOOKUP(B69,Database!$A:$AV,MATCH($U$1,Database!$A$1:$AV$1,),)=0,"#N/A",((((VLOOKUP(B69,Database!$A:$AS,MATCH($U$1,Database!$A$1:$AS$1,),))))-(((VLOOKUP(EDATE(B69,-12),Database!$A:$AS,MATCH($U$1,Database!$A$1:$AS$1,),)))))/(((VLOOKUP(EDATE(B69,-12),Database!$A:$AS,MATCH($U$1,Database!$A$1:$AS$1,),)))))</f>
        <v/>
      </c>
      <c r="V69" s="13">
        <f>IF(VLOOKUP(B69,Database!$A:$AV,MATCH($V$1,Database!$A$1:$AV$1,),)=0,"#N/A",((((VLOOKUP(B69,Database!$A:$AS,MATCH($V$1,Database!$A$1:$AS$1,),))))-(((VLOOKUP(EDATE(B69,-12),Database!$A:$AS,MATCH($V$1,Database!$A$1:$AS$1,),)))))/(((VLOOKUP(EDATE(B69,-12),Database!$A:$AS,MATCH($V$1,Database!$A$1:$AS$1,),)))))</f>
        <v/>
      </c>
    </row>
    <row r="70" customFormat="1" s="86">
      <c r="A70" s="43" t="n"/>
      <c r="B70" s="75" t="n">
        <v>34274</v>
      </c>
      <c r="C70" s="13">
        <f>IF(VLOOKUP(B70,Database!$A:$AU,MATCH($C$1,Database!$A$1:$AU$1,),)=0,"#N/A",((((VLOOKUP(B70,Database!$A:$AU,MATCH($C$1,Database!$A$1:$AU$1,),))))-(((VLOOKUP(EDATE(B70,-12),Database!$A:$AU,MATCH($C$1,Database!$A$1:$AU$1,),)))))/(((VLOOKUP(EDATE(B70,-12),Database!$A:$AU,MATCH($C$1,Database!$A$1:$AU$1,),)))))</f>
        <v/>
      </c>
      <c r="D70" s="13">
        <f>IF(VLOOKUP(B70,Database!$A:$AV,MATCH($D$1,Database!$A$1:$AV$1,),)=0,"#N/A",((((VLOOKUP(B70,Database!$A:$AS,MATCH($D$1,Database!$A$1:$AS$1,),))))-(((VLOOKUP(EDATE(B70,-12),Database!$A:$AS,MATCH($D$1,Database!$A$1:$AS$1,),)))))/(((VLOOKUP(EDATE(B70,-12),Database!$A:$AS,MATCH($D$1,Database!$A$1:$AS$1,),)))))</f>
        <v/>
      </c>
      <c r="E70" s="13">
        <f>IF(VLOOKUP(B70,Database!$A:$AV,MATCH($E$1,Database!$A$1:$AV$1,),)=0,"#N/A",((((VLOOKUP(B70,Database!$A:$AS,MATCH($E$1,Database!$A$1:$AS$1,),))))-(((VLOOKUP(EDATE(B70,-12),Database!$A:$AS,MATCH($E$1,Database!$A$1:$AS$1,),)))))/(((VLOOKUP(EDATE(B70,-12),Database!$A:$AS,MATCH($E$1,Database!$A$1:$AS$1,),)))))</f>
        <v/>
      </c>
      <c r="F70" s="13">
        <f>IF(VLOOKUP(B70,Database!$A:$AV,MATCH($F$1,Database!$A$1:$AV$1,),)=0,"#N/A",((((VLOOKUP(B70,Database!$A:$AS,MATCH($F$1,Database!$A$1:$AS$1,),))))-(((VLOOKUP(EDATE(B70,-12),Database!$A:$AS,MATCH($F$1,Database!$A$1:$AS$1,),)))))/(((VLOOKUP(EDATE(B70,-12),Database!$A:$AS,MATCH($F$1,Database!$A$1:$AS$1,),)))))</f>
        <v/>
      </c>
      <c r="G70" s="13">
        <f>IF(VLOOKUP(B70,Database!$A:$AV,MATCH($G$1,Database!$A$1:$AV$1,),)=0,"#N/A",((((VLOOKUP(B70,Database!$A:$AS,MATCH($G$1,Database!$A$1:$AS$1,),))))-(((VLOOKUP(EDATE(B70,-12),Database!$A:$AS,MATCH($G$1,Database!$A$1:$AS$1,),)))))/(((VLOOKUP(EDATE(B70,-12),Database!$A:$AS,MATCH($G$1,Database!$A$1:$AS$1,),)))))</f>
        <v/>
      </c>
      <c r="H70" s="13">
        <f>IF(VLOOKUP(B70,Database!$A:$AV,MATCH($H$1,Database!$A$1:$AV$1,),)=0,"#N/A",((((VLOOKUP(B70,Database!$A:$AS,MATCH($H$1,Database!$A$1:$AS$1,),))))-(((VLOOKUP(EDATE(B70,-12),Database!$A:$AS,MATCH($H$1,Database!$A$1:$AS$1,),)))))/(((VLOOKUP(EDATE(B70,-12),Database!$A:$AS,MATCH($H$1,Database!$A$1:$AS$1,),)))))</f>
        <v/>
      </c>
      <c r="I70" s="13">
        <f>IF(VLOOKUP(B70,Database!$A:$AV,MATCH($I$1,Database!$A$1:$AV$1,),)=0,"#N/A",((((VLOOKUP(B70,Database!$A:$AS,MATCH($I$1,Database!$A$1:$AS$1,),))))-(((VLOOKUP(EDATE(B70,-12),Database!$A:$AS,MATCH($I$1,Database!$A$1:$AS$1,),)))))/(((VLOOKUP(EDATE(B70,-12),Database!$A:$AS,MATCH($I$1,Database!$A$1:$AS$1,),)))))</f>
        <v/>
      </c>
      <c r="J70" s="13">
        <f>IF(VLOOKUP(B70,Database!$A:$AV,MATCH($J$1,Database!$A$1:$AV$1,),)=0,"#N/A",((((VLOOKUP(B70,Database!$A:$AS,MATCH($J$1,Database!$A$1:$AS$1,),))))-(((VLOOKUP(EDATE(B70,-12),Database!$A:$AS,MATCH($J$1,Database!$A$1:$AS$1,),)))))/(((VLOOKUP(EDATE(B70,-12),Database!$A:$AS,MATCH($J$1,Database!$A$1:$AS$1,),)))))</f>
        <v/>
      </c>
      <c r="K70" s="13">
        <f>IF(VLOOKUP(B70,Database!$A:$AV,MATCH($K$1,Database!$A$1:$AV$1,),)=0,"#N/A",((((VLOOKUP(B70,Database!$A:$AS,MATCH($K$1,Database!$A$1:$AS$1,),))))-(((VLOOKUP(EDATE(B70,-12),Database!$A:$AS,MATCH($K$1,Database!$A$1:$AS$1,),)))))/(((VLOOKUP(EDATE(B70,-12),Database!$A:$AS,MATCH($K$1,Database!$A$1:$AS$1,),)))))</f>
        <v/>
      </c>
      <c r="L70" s="13">
        <f>((((VLOOKUP(B70,Database!$A:$AS,MATCH($L$1,Database!$A$1:$AS$1,),))))-(((VLOOKUP(EDATE(B70,-12),Database!$A:$AS,MATCH($L$1,Database!$A$1:$AS$1,),)))))/(((VLOOKUP(EDATE(B70,-12),Database!$A:$AS,MATCH($L$1,Database!$A$1:$AS$1,),))))</f>
        <v/>
      </c>
      <c r="M70" s="13">
        <f>((((VLOOKUP(B70,Database!$A:$AS,MATCH($M$1,Database!$A$1:$AS$1,),))))-(((VLOOKUP(EDATE(B70,-12),Database!$A:$AS,MATCH($M$1,Database!$A$1:$AS$1,),)))))/(((VLOOKUP(EDATE(B70,-12),Database!$A:$AS,MATCH($M$1,Database!$A$1:$AS$1,),))))</f>
        <v/>
      </c>
      <c r="N70" s="13">
        <f>((((VLOOKUP(B70,Database!$A:$AS,MATCH($N$1,Database!$A$1:$AS$1,),))))-(((VLOOKUP(EDATE(B70,-12),Database!$A:$AS,MATCH($N$1,Database!$A$1:$AS$1,),)))))/(((VLOOKUP(EDATE(B70,-12),Database!$A:$AS,MATCH($N$1,Database!$A$1:$AS$1,),))))</f>
        <v/>
      </c>
      <c r="O70" s="13">
        <f>IF(VLOOKUP(B70,Database!$A:$AV,MATCH($O$1,Database!$A$1:$AV$1,),)=0,"#N/A",((((VLOOKUP(B70,Database!$A:$AS,MATCH($O$1,Database!$A$1:$AS$1,),))))-(((VLOOKUP(EDATE(B70,-12),Database!$A:$AS,MATCH($O$1,Database!$A$1:$AS$1,),)))))/(((VLOOKUP(EDATE(B70,-12),Database!$A:$AS,MATCH($O$1,Database!$A$1:$AS$1,),)))))</f>
        <v/>
      </c>
      <c r="P70" s="13">
        <f>IF(VLOOKUP(B70,Database!$A:$AV,MATCH($P$1,Database!$A$1:$AV$1,),)=0,"#N/A",((((VLOOKUP(B70,Database!$A:$AS,MATCH($P$1,Database!$A$1:$AS$1,),))))-(((VLOOKUP(EDATE(B70,-12),Database!$A:$AS,MATCH($P$1,Database!$A$1:$AS$1,),)))))/(((VLOOKUP(EDATE(B70,-12),Database!$A:$AS,MATCH($P$1,Database!$A$1:$AS$1,),)))))</f>
        <v/>
      </c>
      <c r="Q70" s="13">
        <f>IF(VLOOKUP(B70,Database!$A:$AV,MATCH($Q$1,Database!$A$1:$AV$1,),)=0,"#N/A",((((VLOOKUP(B70,Database!$A:$AS,MATCH($Q$1,Database!$A$1:$AS$1,),))))-(((VLOOKUP(EDATE(B70,-12),Database!$A:$AS,MATCH($Q$1,Database!$A$1:$AS$1,),)))))/(((VLOOKUP(EDATE(B70,-12),Database!$A:$AS,MATCH($Q$1,Database!$A$1:$AS$1,),)))))</f>
        <v/>
      </c>
      <c r="R70" s="13">
        <f>IF(VLOOKUP(B70,Database!$A:$AV,MATCH($R$1,Database!$A$1:$AV$1,),)=0,"#N/A",((((VLOOKUP(B70,Database!$A:$AS,MATCH($R$1,Database!$A$1:$AS$1,),))))-(((VLOOKUP(EDATE(B70,-12),Database!$A:$AS,MATCH($R$1,Database!$A$1:$AS$1,),)))))/(((VLOOKUP(EDATE(B70,-12),Database!$A:$AS,MATCH($R$1,Database!$A$1:$AS$1,),)))))</f>
        <v/>
      </c>
      <c r="S70" s="13">
        <f>IF(VLOOKUP(B70,Database!$A:$AV,MATCH($S$1,Database!$A$1:$AV$1,),)=0,"#N/A",((((VLOOKUP(B70,Database!$A:$AS,MATCH($S$1,Database!$A$1:$AS$1,),))))-(((VLOOKUP(EDATE(B70,-12),Database!$A:$AS,MATCH($S$1,Database!$A$1:$AS$1,),)))))/(((VLOOKUP(EDATE(B70,-12),Database!$A:$AS,MATCH($S$1,Database!$A$1:$AS$1,),)))))</f>
        <v/>
      </c>
      <c r="T70" s="13">
        <f>IF(VLOOKUP(B70,Database!$A:$AV,MATCH($T$1,Database!$A$1:$AV$1,),)=0,"#N/A",((((VLOOKUP(B70,Database!$A:$AS,MATCH($T$1,Database!$A$1:$AS$1,),))))-(((VLOOKUP(EDATE(B70,-12),Database!$A:$AS,MATCH($T$1,Database!$A$1:$AS$1,),)))))/(((VLOOKUP(EDATE(B70,-12),Database!$A:$AS,MATCH($T$1,Database!$A$1:$AS$1,),)))))</f>
        <v/>
      </c>
      <c r="U70" s="13">
        <f>IF(VLOOKUP(B70,Database!$A:$AV,MATCH($U$1,Database!$A$1:$AV$1,),)=0,"#N/A",((((VLOOKUP(B70,Database!$A:$AS,MATCH($U$1,Database!$A$1:$AS$1,),))))-(((VLOOKUP(EDATE(B70,-12),Database!$A:$AS,MATCH($U$1,Database!$A$1:$AS$1,),)))))/(((VLOOKUP(EDATE(B70,-12),Database!$A:$AS,MATCH($U$1,Database!$A$1:$AS$1,),)))))</f>
        <v/>
      </c>
      <c r="V70" s="13">
        <f>IF(VLOOKUP(B70,Database!$A:$AV,MATCH($V$1,Database!$A$1:$AV$1,),)=0,"#N/A",((((VLOOKUP(B70,Database!$A:$AS,MATCH($V$1,Database!$A$1:$AS$1,),))))-(((VLOOKUP(EDATE(B70,-12),Database!$A:$AS,MATCH($V$1,Database!$A$1:$AS$1,),)))))/(((VLOOKUP(EDATE(B70,-12),Database!$A:$AS,MATCH($V$1,Database!$A$1:$AS$1,),)))))</f>
        <v/>
      </c>
    </row>
    <row r="71" customFormat="1" s="86">
      <c r="A71" s="43" t="n"/>
      <c r="B71" s="75" t="n">
        <v>34304</v>
      </c>
      <c r="C71" s="13">
        <f>IF(VLOOKUP(B71,Database!$A:$AU,MATCH($C$1,Database!$A$1:$AU$1,),)=0,"#N/A",((((VLOOKUP(B71,Database!$A:$AU,MATCH($C$1,Database!$A$1:$AU$1,),))))-(((VLOOKUP(EDATE(B71,-12),Database!$A:$AU,MATCH($C$1,Database!$A$1:$AU$1,),)))))/(((VLOOKUP(EDATE(B71,-12),Database!$A:$AU,MATCH($C$1,Database!$A$1:$AU$1,),)))))</f>
        <v/>
      </c>
      <c r="D71" s="13">
        <f>IF(VLOOKUP(B71,Database!$A:$AV,MATCH($D$1,Database!$A$1:$AV$1,),)=0,"#N/A",((((VLOOKUP(B71,Database!$A:$AS,MATCH($D$1,Database!$A$1:$AS$1,),))))-(((VLOOKUP(EDATE(B71,-12),Database!$A:$AS,MATCH($D$1,Database!$A$1:$AS$1,),)))))/(((VLOOKUP(EDATE(B71,-12),Database!$A:$AS,MATCH($D$1,Database!$A$1:$AS$1,),)))))</f>
        <v/>
      </c>
      <c r="E71" s="13">
        <f>IF(VLOOKUP(B71,Database!$A:$AV,MATCH($E$1,Database!$A$1:$AV$1,),)=0,"#N/A",((((VLOOKUP(B71,Database!$A:$AS,MATCH($E$1,Database!$A$1:$AS$1,),))))-(((VLOOKUP(EDATE(B71,-12),Database!$A:$AS,MATCH($E$1,Database!$A$1:$AS$1,),)))))/(((VLOOKUP(EDATE(B71,-12),Database!$A:$AS,MATCH($E$1,Database!$A$1:$AS$1,),)))))</f>
        <v/>
      </c>
      <c r="F71" s="13">
        <f>IF(VLOOKUP(B71,Database!$A:$AV,MATCH($F$1,Database!$A$1:$AV$1,),)=0,"#N/A",((((VLOOKUP(B71,Database!$A:$AS,MATCH($F$1,Database!$A$1:$AS$1,),))))-(((VLOOKUP(EDATE(B71,-12),Database!$A:$AS,MATCH($F$1,Database!$A$1:$AS$1,),)))))/(((VLOOKUP(EDATE(B71,-12),Database!$A:$AS,MATCH($F$1,Database!$A$1:$AS$1,),)))))</f>
        <v/>
      </c>
      <c r="G71" s="13">
        <f>IF(VLOOKUP(B71,Database!$A:$AV,MATCH($G$1,Database!$A$1:$AV$1,),)=0,"#N/A",((((VLOOKUP(B71,Database!$A:$AS,MATCH($G$1,Database!$A$1:$AS$1,),))))-(((VLOOKUP(EDATE(B71,-12),Database!$A:$AS,MATCH($G$1,Database!$A$1:$AS$1,),)))))/(((VLOOKUP(EDATE(B71,-12),Database!$A:$AS,MATCH($G$1,Database!$A$1:$AS$1,),)))))</f>
        <v/>
      </c>
      <c r="H71" s="13">
        <f>IF(VLOOKUP(B71,Database!$A:$AV,MATCH($H$1,Database!$A$1:$AV$1,),)=0,"#N/A",((((VLOOKUP(B71,Database!$A:$AS,MATCH($H$1,Database!$A$1:$AS$1,),))))-(((VLOOKUP(EDATE(B71,-12),Database!$A:$AS,MATCH($H$1,Database!$A$1:$AS$1,),)))))/(((VLOOKUP(EDATE(B71,-12),Database!$A:$AS,MATCH($H$1,Database!$A$1:$AS$1,),)))))</f>
        <v/>
      </c>
      <c r="I71" s="13">
        <f>IF(VLOOKUP(B71,Database!$A:$AV,MATCH($I$1,Database!$A$1:$AV$1,),)=0,"#N/A",((((VLOOKUP(B71,Database!$A:$AS,MATCH($I$1,Database!$A$1:$AS$1,),))))-(((VLOOKUP(EDATE(B71,-12),Database!$A:$AS,MATCH($I$1,Database!$A$1:$AS$1,),)))))/(((VLOOKUP(EDATE(B71,-12),Database!$A:$AS,MATCH($I$1,Database!$A$1:$AS$1,),)))))</f>
        <v/>
      </c>
      <c r="J71" s="13">
        <f>IF(VLOOKUP(B71,Database!$A:$AV,MATCH($J$1,Database!$A$1:$AV$1,),)=0,"#N/A",((((VLOOKUP(B71,Database!$A:$AS,MATCH($J$1,Database!$A$1:$AS$1,),))))-(((VLOOKUP(EDATE(B71,-12),Database!$A:$AS,MATCH($J$1,Database!$A$1:$AS$1,),)))))/(((VLOOKUP(EDATE(B71,-12),Database!$A:$AS,MATCH($J$1,Database!$A$1:$AS$1,),)))))</f>
        <v/>
      </c>
      <c r="K71" s="13">
        <f>IF(VLOOKUP(B71,Database!$A:$AV,MATCH($K$1,Database!$A$1:$AV$1,),)=0,"#N/A",((((VLOOKUP(B71,Database!$A:$AS,MATCH($K$1,Database!$A$1:$AS$1,),))))-(((VLOOKUP(EDATE(B71,-12),Database!$A:$AS,MATCH($K$1,Database!$A$1:$AS$1,),)))))/(((VLOOKUP(EDATE(B71,-12),Database!$A:$AS,MATCH($K$1,Database!$A$1:$AS$1,),)))))</f>
        <v/>
      </c>
      <c r="L71" s="13">
        <f>((((VLOOKUP(B71,Database!$A:$AS,MATCH($L$1,Database!$A$1:$AS$1,),))))-(((VLOOKUP(EDATE(B71,-12),Database!$A:$AS,MATCH($L$1,Database!$A$1:$AS$1,),)))))/(((VLOOKUP(EDATE(B71,-12),Database!$A:$AS,MATCH($L$1,Database!$A$1:$AS$1,),))))</f>
        <v/>
      </c>
      <c r="M71" s="13">
        <f>((((VLOOKUP(B71,Database!$A:$AS,MATCH($M$1,Database!$A$1:$AS$1,),))))-(((VLOOKUP(EDATE(B71,-12),Database!$A:$AS,MATCH($M$1,Database!$A$1:$AS$1,),)))))/(((VLOOKUP(EDATE(B71,-12),Database!$A:$AS,MATCH($M$1,Database!$A$1:$AS$1,),))))</f>
        <v/>
      </c>
      <c r="N71" s="13">
        <f>((((VLOOKUP(B71,Database!$A:$AS,MATCH($N$1,Database!$A$1:$AS$1,),))))-(((VLOOKUP(EDATE(B71,-12),Database!$A:$AS,MATCH($N$1,Database!$A$1:$AS$1,),)))))/(((VLOOKUP(EDATE(B71,-12),Database!$A:$AS,MATCH($N$1,Database!$A$1:$AS$1,),))))</f>
        <v/>
      </c>
      <c r="O71" s="13">
        <f>IF(VLOOKUP(B71,Database!$A:$AV,MATCH($O$1,Database!$A$1:$AV$1,),)=0,"#N/A",((((VLOOKUP(B71,Database!$A:$AS,MATCH($O$1,Database!$A$1:$AS$1,),))))-(((VLOOKUP(EDATE(B71,-12),Database!$A:$AS,MATCH($O$1,Database!$A$1:$AS$1,),)))))/(((VLOOKUP(EDATE(B71,-12),Database!$A:$AS,MATCH($O$1,Database!$A$1:$AS$1,),)))))</f>
        <v/>
      </c>
      <c r="P71" s="13">
        <f>IF(VLOOKUP(B71,Database!$A:$AV,MATCH($P$1,Database!$A$1:$AV$1,),)=0,"#N/A",((((VLOOKUP(B71,Database!$A:$AS,MATCH($P$1,Database!$A$1:$AS$1,),))))-(((VLOOKUP(EDATE(B71,-12),Database!$A:$AS,MATCH($P$1,Database!$A$1:$AS$1,),)))))/(((VLOOKUP(EDATE(B71,-12),Database!$A:$AS,MATCH($P$1,Database!$A$1:$AS$1,),)))))</f>
        <v/>
      </c>
      <c r="Q71" s="13">
        <f>IF(VLOOKUP(B71,Database!$A:$AV,MATCH($Q$1,Database!$A$1:$AV$1,),)=0,"#N/A",((((VLOOKUP(B71,Database!$A:$AS,MATCH($Q$1,Database!$A$1:$AS$1,),))))-(((VLOOKUP(EDATE(B71,-12),Database!$A:$AS,MATCH($Q$1,Database!$A$1:$AS$1,),)))))/(((VLOOKUP(EDATE(B71,-12),Database!$A:$AS,MATCH($Q$1,Database!$A$1:$AS$1,),)))))</f>
        <v/>
      </c>
      <c r="R71" s="13">
        <f>IF(VLOOKUP(B71,Database!$A:$AV,MATCH($R$1,Database!$A$1:$AV$1,),)=0,"#N/A",((((VLOOKUP(B71,Database!$A:$AS,MATCH($R$1,Database!$A$1:$AS$1,),))))-(((VLOOKUP(EDATE(B71,-12),Database!$A:$AS,MATCH($R$1,Database!$A$1:$AS$1,),)))))/(((VLOOKUP(EDATE(B71,-12),Database!$A:$AS,MATCH($R$1,Database!$A$1:$AS$1,),)))))</f>
        <v/>
      </c>
      <c r="S71" s="13">
        <f>IF(VLOOKUP(B71,Database!$A:$AV,MATCH($S$1,Database!$A$1:$AV$1,),)=0,"#N/A",((((VLOOKUP(B71,Database!$A:$AS,MATCH($S$1,Database!$A$1:$AS$1,),))))-(((VLOOKUP(EDATE(B71,-12),Database!$A:$AS,MATCH($S$1,Database!$A$1:$AS$1,),)))))/(((VLOOKUP(EDATE(B71,-12),Database!$A:$AS,MATCH($S$1,Database!$A$1:$AS$1,),)))))</f>
        <v/>
      </c>
      <c r="T71" s="13">
        <f>IF(VLOOKUP(B71,Database!$A:$AV,MATCH($T$1,Database!$A$1:$AV$1,),)=0,"#N/A",((((VLOOKUP(B71,Database!$A:$AS,MATCH($T$1,Database!$A$1:$AS$1,),))))-(((VLOOKUP(EDATE(B71,-12),Database!$A:$AS,MATCH($T$1,Database!$A$1:$AS$1,),)))))/(((VLOOKUP(EDATE(B71,-12),Database!$A:$AS,MATCH($T$1,Database!$A$1:$AS$1,),)))))</f>
        <v/>
      </c>
      <c r="U71" s="13">
        <f>IF(VLOOKUP(B71,Database!$A:$AV,MATCH($U$1,Database!$A$1:$AV$1,),)=0,"#N/A",((((VLOOKUP(B71,Database!$A:$AS,MATCH($U$1,Database!$A$1:$AS$1,),))))-(((VLOOKUP(EDATE(B71,-12),Database!$A:$AS,MATCH($U$1,Database!$A$1:$AS$1,),)))))/(((VLOOKUP(EDATE(B71,-12),Database!$A:$AS,MATCH($U$1,Database!$A$1:$AS$1,),)))))</f>
        <v/>
      </c>
      <c r="V71" s="13">
        <f>IF(VLOOKUP(B71,Database!$A:$AV,MATCH($V$1,Database!$A$1:$AV$1,),)=0,"#N/A",((((VLOOKUP(B71,Database!$A:$AS,MATCH($V$1,Database!$A$1:$AS$1,),))))-(((VLOOKUP(EDATE(B71,-12),Database!$A:$AS,MATCH($V$1,Database!$A$1:$AS$1,),)))))/(((VLOOKUP(EDATE(B71,-12),Database!$A:$AS,MATCH($V$1,Database!$A$1:$AS$1,),)))))</f>
        <v/>
      </c>
    </row>
    <row r="72" customFormat="1" s="86">
      <c r="A72" s="43" t="n"/>
      <c r="B72" s="75" t="n">
        <v>34335</v>
      </c>
      <c r="C72" s="13">
        <f>IF(VLOOKUP(B72,Database!$A:$AU,MATCH($C$1,Database!$A$1:$AU$1,),)=0,"#N/A",((((VLOOKUP(B72,Database!$A:$AU,MATCH($C$1,Database!$A$1:$AU$1,),))))-(((VLOOKUP(EDATE(B72,-12),Database!$A:$AU,MATCH($C$1,Database!$A$1:$AU$1,),)))))/(((VLOOKUP(EDATE(B72,-12),Database!$A:$AU,MATCH($C$1,Database!$A$1:$AU$1,),)))))</f>
        <v/>
      </c>
      <c r="D72" s="13">
        <f>IF(VLOOKUP(B72,Database!$A:$AV,MATCH($D$1,Database!$A$1:$AV$1,),)=0,"#N/A",((((VLOOKUP(B72,Database!$A:$AS,MATCH($D$1,Database!$A$1:$AS$1,),))))-(((VLOOKUP(EDATE(B72,-12),Database!$A:$AS,MATCH($D$1,Database!$A$1:$AS$1,),)))))/(((VLOOKUP(EDATE(B72,-12),Database!$A:$AS,MATCH($D$1,Database!$A$1:$AS$1,),)))))</f>
        <v/>
      </c>
      <c r="E72" s="13">
        <f>IF(VLOOKUP(B72,Database!$A:$AV,MATCH($E$1,Database!$A$1:$AV$1,),)=0,"#N/A",((((VLOOKUP(B72,Database!$A:$AS,MATCH($E$1,Database!$A$1:$AS$1,),))))-(((VLOOKUP(EDATE(B72,-12),Database!$A:$AS,MATCH($E$1,Database!$A$1:$AS$1,),)))))/(((VLOOKUP(EDATE(B72,-12),Database!$A:$AS,MATCH($E$1,Database!$A$1:$AS$1,),)))))</f>
        <v/>
      </c>
      <c r="F72" s="13">
        <f>IF(VLOOKUP(B72,Database!$A:$AV,MATCH($F$1,Database!$A$1:$AV$1,),)=0,"#N/A",((((VLOOKUP(B72,Database!$A:$AS,MATCH($F$1,Database!$A$1:$AS$1,),))))-(((VLOOKUP(EDATE(B72,-12),Database!$A:$AS,MATCH($F$1,Database!$A$1:$AS$1,),)))))/(((VLOOKUP(EDATE(B72,-12),Database!$A:$AS,MATCH($F$1,Database!$A$1:$AS$1,),)))))</f>
        <v/>
      </c>
      <c r="G72" s="13">
        <f>IF(VLOOKUP(B72,Database!$A:$AV,MATCH($G$1,Database!$A$1:$AV$1,),)=0,"#N/A",((((VLOOKUP(B72,Database!$A:$AS,MATCH($G$1,Database!$A$1:$AS$1,),))))-(((VLOOKUP(EDATE(B72,-12),Database!$A:$AS,MATCH($G$1,Database!$A$1:$AS$1,),)))))/(((VLOOKUP(EDATE(B72,-12),Database!$A:$AS,MATCH($G$1,Database!$A$1:$AS$1,),)))))</f>
        <v/>
      </c>
      <c r="H72" s="13">
        <f>IF(VLOOKUP(B72,Database!$A:$AV,MATCH($H$1,Database!$A$1:$AV$1,),)=0,"#N/A",((((VLOOKUP(B72,Database!$A:$AS,MATCH($H$1,Database!$A$1:$AS$1,),))))-(((VLOOKUP(EDATE(B72,-12),Database!$A:$AS,MATCH($H$1,Database!$A$1:$AS$1,),)))))/(((VLOOKUP(EDATE(B72,-12),Database!$A:$AS,MATCH($H$1,Database!$A$1:$AS$1,),)))))</f>
        <v/>
      </c>
      <c r="I72" s="13">
        <f>IF(VLOOKUP(B72,Database!$A:$AV,MATCH($I$1,Database!$A$1:$AV$1,),)=0,"#N/A",((((VLOOKUP(B72,Database!$A:$AS,MATCH($I$1,Database!$A$1:$AS$1,),))))-(((VLOOKUP(EDATE(B72,-12),Database!$A:$AS,MATCH($I$1,Database!$A$1:$AS$1,),)))))/(((VLOOKUP(EDATE(B72,-12),Database!$A:$AS,MATCH($I$1,Database!$A$1:$AS$1,),)))))</f>
        <v/>
      </c>
      <c r="J72" s="13">
        <f>IF(VLOOKUP(B72,Database!$A:$AV,MATCH($J$1,Database!$A$1:$AV$1,),)=0,"#N/A",((((VLOOKUP(B72,Database!$A:$AS,MATCH($J$1,Database!$A$1:$AS$1,),))))-(((VLOOKUP(EDATE(B72,-12),Database!$A:$AS,MATCH($J$1,Database!$A$1:$AS$1,),)))))/(((VLOOKUP(EDATE(B72,-12),Database!$A:$AS,MATCH($J$1,Database!$A$1:$AS$1,),)))))</f>
        <v/>
      </c>
      <c r="K72" s="13">
        <f>IF(VLOOKUP(B72,Database!$A:$AV,MATCH($K$1,Database!$A$1:$AV$1,),)=0,"#N/A",((((VLOOKUP(B72,Database!$A:$AS,MATCH($K$1,Database!$A$1:$AS$1,),))))-(((VLOOKUP(EDATE(B72,-12),Database!$A:$AS,MATCH($K$1,Database!$A$1:$AS$1,),)))))/(((VLOOKUP(EDATE(B72,-12),Database!$A:$AS,MATCH($K$1,Database!$A$1:$AS$1,),)))))</f>
        <v/>
      </c>
      <c r="L72" s="13">
        <f>((((VLOOKUP(B72,Database!$A:$AS,MATCH($L$1,Database!$A$1:$AS$1,),))))-(((VLOOKUP(EDATE(B72,-12),Database!$A:$AS,MATCH($L$1,Database!$A$1:$AS$1,),)))))/(((VLOOKUP(EDATE(B72,-12),Database!$A:$AS,MATCH($L$1,Database!$A$1:$AS$1,),))))</f>
        <v/>
      </c>
      <c r="M72" s="13">
        <f>((((VLOOKUP(B72,Database!$A:$AS,MATCH($M$1,Database!$A$1:$AS$1,),))))-(((VLOOKUP(EDATE(B72,-12),Database!$A:$AS,MATCH($M$1,Database!$A$1:$AS$1,),)))))/(((VLOOKUP(EDATE(B72,-12),Database!$A:$AS,MATCH($M$1,Database!$A$1:$AS$1,),))))</f>
        <v/>
      </c>
      <c r="N72" s="13">
        <f>((((VLOOKUP(B72,Database!$A:$AS,MATCH($N$1,Database!$A$1:$AS$1,),))))-(((VLOOKUP(EDATE(B72,-12),Database!$A:$AS,MATCH($N$1,Database!$A$1:$AS$1,),)))))/(((VLOOKUP(EDATE(B72,-12),Database!$A:$AS,MATCH($N$1,Database!$A$1:$AS$1,),))))</f>
        <v/>
      </c>
      <c r="O72" s="13">
        <f>IF(VLOOKUP(B72,Database!$A:$AV,MATCH($O$1,Database!$A$1:$AV$1,),)=0,"#N/A",((((VLOOKUP(B72,Database!$A:$AS,MATCH($O$1,Database!$A$1:$AS$1,),))))-(((VLOOKUP(EDATE(B72,-12),Database!$A:$AS,MATCH($O$1,Database!$A$1:$AS$1,),)))))/(((VLOOKUP(EDATE(B72,-12),Database!$A:$AS,MATCH($O$1,Database!$A$1:$AS$1,),)))))</f>
        <v/>
      </c>
      <c r="P72" s="13">
        <f>IF(VLOOKUP(B72,Database!$A:$AV,MATCH($P$1,Database!$A$1:$AV$1,),)=0,"#N/A",((((VLOOKUP(B72,Database!$A:$AS,MATCH($P$1,Database!$A$1:$AS$1,),))))-(((VLOOKUP(EDATE(B72,-12),Database!$A:$AS,MATCH($P$1,Database!$A$1:$AS$1,),)))))/(((VLOOKUP(EDATE(B72,-12),Database!$A:$AS,MATCH($P$1,Database!$A$1:$AS$1,),)))))</f>
        <v/>
      </c>
      <c r="Q72" s="13">
        <f>IF(VLOOKUP(B72,Database!$A:$AV,MATCH($Q$1,Database!$A$1:$AV$1,),)=0,"#N/A",((((VLOOKUP(B72,Database!$A:$AS,MATCH($Q$1,Database!$A$1:$AS$1,),))))-(((VLOOKUP(EDATE(B72,-12),Database!$A:$AS,MATCH($Q$1,Database!$A$1:$AS$1,),)))))/(((VLOOKUP(EDATE(B72,-12),Database!$A:$AS,MATCH($Q$1,Database!$A$1:$AS$1,),)))))</f>
        <v/>
      </c>
      <c r="R72" s="13">
        <f>IF(VLOOKUP(B72,Database!$A:$AV,MATCH($R$1,Database!$A$1:$AV$1,),)=0,"#N/A",((((VLOOKUP(B72,Database!$A:$AS,MATCH($R$1,Database!$A$1:$AS$1,),))))-(((VLOOKUP(EDATE(B72,-12),Database!$A:$AS,MATCH($R$1,Database!$A$1:$AS$1,),)))))/(((VLOOKUP(EDATE(B72,-12),Database!$A:$AS,MATCH($R$1,Database!$A$1:$AS$1,),)))))</f>
        <v/>
      </c>
      <c r="S72" s="13">
        <f>IF(VLOOKUP(B72,Database!$A:$AV,MATCH($S$1,Database!$A$1:$AV$1,),)=0,"#N/A",((((VLOOKUP(B72,Database!$A:$AS,MATCH($S$1,Database!$A$1:$AS$1,),))))-(((VLOOKUP(EDATE(B72,-12),Database!$A:$AS,MATCH($S$1,Database!$A$1:$AS$1,),)))))/(((VLOOKUP(EDATE(B72,-12),Database!$A:$AS,MATCH($S$1,Database!$A$1:$AS$1,),)))))</f>
        <v/>
      </c>
      <c r="T72" s="13">
        <f>IF(VLOOKUP(B72,Database!$A:$AV,MATCH($T$1,Database!$A$1:$AV$1,),)=0,"#N/A",((((VLOOKUP(B72,Database!$A:$AS,MATCH($T$1,Database!$A$1:$AS$1,),))))-(((VLOOKUP(EDATE(B72,-12),Database!$A:$AS,MATCH($T$1,Database!$A$1:$AS$1,),)))))/(((VLOOKUP(EDATE(B72,-12),Database!$A:$AS,MATCH($T$1,Database!$A$1:$AS$1,),)))))</f>
        <v/>
      </c>
      <c r="U72" s="13">
        <f>IF(VLOOKUP(B72,Database!$A:$AV,MATCH($U$1,Database!$A$1:$AV$1,),)=0,"#N/A",((((VLOOKUP(B72,Database!$A:$AS,MATCH($U$1,Database!$A$1:$AS$1,),))))-(((VLOOKUP(EDATE(B72,-12),Database!$A:$AS,MATCH($U$1,Database!$A$1:$AS$1,),)))))/(((VLOOKUP(EDATE(B72,-12),Database!$A:$AS,MATCH($U$1,Database!$A$1:$AS$1,),)))))</f>
        <v/>
      </c>
      <c r="V72" s="13">
        <f>IF(VLOOKUP(B72,Database!$A:$AV,MATCH($V$1,Database!$A$1:$AV$1,),)=0,"#N/A",((((VLOOKUP(B72,Database!$A:$AS,MATCH($V$1,Database!$A$1:$AS$1,),))))-(((VLOOKUP(EDATE(B72,-12),Database!$A:$AS,MATCH($V$1,Database!$A$1:$AS$1,),)))))/(((VLOOKUP(EDATE(B72,-12),Database!$A:$AS,MATCH($V$1,Database!$A$1:$AS$1,),)))))</f>
        <v/>
      </c>
    </row>
    <row r="73" customFormat="1" s="86">
      <c r="A73" s="43" t="n"/>
      <c r="B73" s="75" t="n">
        <v>34366</v>
      </c>
      <c r="C73" s="13">
        <f>IF(VLOOKUP(B73,Database!$A:$AU,MATCH($C$1,Database!$A$1:$AU$1,),)=0,"#N/A",((((VLOOKUP(B73,Database!$A:$AU,MATCH($C$1,Database!$A$1:$AU$1,),))))-(((VLOOKUP(EDATE(B73,-12),Database!$A:$AU,MATCH($C$1,Database!$A$1:$AU$1,),)))))/(((VLOOKUP(EDATE(B73,-12),Database!$A:$AU,MATCH($C$1,Database!$A$1:$AU$1,),)))))</f>
        <v/>
      </c>
      <c r="D73" s="13">
        <f>IF(VLOOKUP(B73,Database!$A:$AV,MATCH($D$1,Database!$A$1:$AV$1,),)=0,"#N/A",((((VLOOKUP(B73,Database!$A:$AS,MATCH($D$1,Database!$A$1:$AS$1,),))))-(((VLOOKUP(EDATE(B73,-12),Database!$A:$AS,MATCH($D$1,Database!$A$1:$AS$1,),)))))/(((VLOOKUP(EDATE(B73,-12),Database!$A:$AS,MATCH($D$1,Database!$A$1:$AS$1,),)))))</f>
        <v/>
      </c>
      <c r="E73" s="13">
        <f>IF(VLOOKUP(B73,Database!$A:$AV,MATCH($E$1,Database!$A$1:$AV$1,),)=0,"#N/A",((((VLOOKUP(B73,Database!$A:$AS,MATCH($E$1,Database!$A$1:$AS$1,),))))-(((VLOOKUP(EDATE(B73,-12),Database!$A:$AS,MATCH($E$1,Database!$A$1:$AS$1,),)))))/(((VLOOKUP(EDATE(B73,-12),Database!$A:$AS,MATCH($E$1,Database!$A$1:$AS$1,),)))))</f>
        <v/>
      </c>
      <c r="F73" s="13">
        <f>IF(VLOOKUP(B73,Database!$A:$AV,MATCH($F$1,Database!$A$1:$AV$1,),)=0,"#N/A",((((VLOOKUP(B73,Database!$A:$AS,MATCH($F$1,Database!$A$1:$AS$1,),))))-(((VLOOKUP(EDATE(B73,-12),Database!$A:$AS,MATCH($F$1,Database!$A$1:$AS$1,),)))))/(((VLOOKUP(EDATE(B73,-12),Database!$A:$AS,MATCH($F$1,Database!$A$1:$AS$1,),)))))</f>
        <v/>
      </c>
      <c r="G73" s="13">
        <f>IF(VLOOKUP(B73,Database!$A:$AV,MATCH($G$1,Database!$A$1:$AV$1,),)=0,"#N/A",((((VLOOKUP(B73,Database!$A:$AS,MATCH($G$1,Database!$A$1:$AS$1,),))))-(((VLOOKUP(EDATE(B73,-12),Database!$A:$AS,MATCH($G$1,Database!$A$1:$AS$1,),)))))/(((VLOOKUP(EDATE(B73,-12),Database!$A:$AS,MATCH($G$1,Database!$A$1:$AS$1,),)))))</f>
        <v/>
      </c>
      <c r="H73" s="13">
        <f>IF(VLOOKUP(B73,Database!$A:$AV,MATCH($H$1,Database!$A$1:$AV$1,),)=0,"#N/A",((((VLOOKUP(B73,Database!$A:$AS,MATCH($H$1,Database!$A$1:$AS$1,),))))-(((VLOOKUP(EDATE(B73,-12),Database!$A:$AS,MATCH($H$1,Database!$A$1:$AS$1,),)))))/(((VLOOKUP(EDATE(B73,-12),Database!$A:$AS,MATCH($H$1,Database!$A$1:$AS$1,),)))))</f>
        <v/>
      </c>
      <c r="I73" s="13">
        <f>IF(VLOOKUP(B73,Database!$A:$AV,MATCH($I$1,Database!$A$1:$AV$1,),)=0,"#N/A",((((VLOOKUP(B73,Database!$A:$AS,MATCH($I$1,Database!$A$1:$AS$1,),))))-(((VLOOKUP(EDATE(B73,-12),Database!$A:$AS,MATCH($I$1,Database!$A$1:$AS$1,),)))))/(((VLOOKUP(EDATE(B73,-12),Database!$A:$AS,MATCH($I$1,Database!$A$1:$AS$1,),)))))</f>
        <v/>
      </c>
      <c r="J73" s="13">
        <f>IF(VLOOKUP(B73,Database!$A:$AV,MATCH($J$1,Database!$A$1:$AV$1,),)=0,"#N/A",((((VLOOKUP(B73,Database!$A:$AS,MATCH($J$1,Database!$A$1:$AS$1,),))))-(((VLOOKUP(EDATE(B73,-12),Database!$A:$AS,MATCH($J$1,Database!$A$1:$AS$1,),)))))/(((VLOOKUP(EDATE(B73,-12),Database!$A:$AS,MATCH($J$1,Database!$A$1:$AS$1,),)))))</f>
        <v/>
      </c>
      <c r="K73" s="13">
        <f>IF(VLOOKUP(B73,Database!$A:$AV,MATCH($K$1,Database!$A$1:$AV$1,),)=0,"#N/A",((((VLOOKUP(B73,Database!$A:$AS,MATCH($K$1,Database!$A$1:$AS$1,),))))-(((VLOOKUP(EDATE(B73,-12),Database!$A:$AS,MATCH($K$1,Database!$A$1:$AS$1,),)))))/(((VLOOKUP(EDATE(B73,-12),Database!$A:$AS,MATCH($K$1,Database!$A$1:$AS$1,),)))))</f>
        <v/>
      </c>
      <c r="L73" s="13">
        <f>((((VLOOKUP(B73,Database!$A:$AS,MATCH($L$1,Database!$A$1:$AS$1,),))))-(((VLOOKUP(EDATE(B73,-12),Database!$A:$AS,MATCH($L$1,Database!$A$1:$AS$1,),)))))/(((VLOOKUP(EDATE(B73,-12),Database!$A:$AS,MATCH($L$1,Database!$A$1:$AS$1,),))))</f>
        <v/>
      </c>
      <c r="M73" s="13">
        <f>((((VLOOKUP(B73,Database!$A:$AS,MATCH($M$1,Database!$A$1:$AS$1,),))))-(((VLOOKUP(EDATE(B73,-12),Database!$A:$AS,MATCH($M$1,Database!$A$1:$AS$1,),)))))/(((VLOOKUP(EDATE(B73,-12),Database!$A:$AS,MATCH($M$1,Database!$A$1:$AS$1,),))))</f>
        <v/>
      </c>
      <c r="N73" s="13">
        <f>((((VLOOKUP(B73,Database!$A:$AS,MATCH($N$1,Database!$A$1:$AS$1,),))))-(((VLOOKUP(EDATE(B73,-12),Database!$A:$AS,MATCH($N$1,Database!$A$1:$AS$1,),)))))/(((VLOOKUP(EDATE(B73,-12),Database!$A:$AS,MATCH($N$1,Database!$A$1:$AS$1,),))))</f>
        <v/>
      </c>
      <c r="O73" s="13">
        <f>IF(VLOOKUP(B73,Database!$A:$AV,MATCH($O$1,Database!$A$1:$AV$1,),)=0,"#N/A",((((VLOOKUP(B73,Database!$A:$AS,MATCH($O$1,Database!$A$1:$AS$1,),))))-(((VLOOKUP(EDATE(B73,-12),Database!$A:$AS,MATCH($O$1,Database!$A$1:$AS$1,),)))))/(((VLOOKUP(EDATE(B73,-12),Database!$A:$AS,MATCH($O$1,Database!$A$1:$AS$1,),)))))</f>
        <v/>
      </c>
      <c r="P73" s="13">
        <f>IF(VLOOKUP(B73,Database!$A:$AV,MATCH($P$1,Database!$A$1:$AV$1,),)=0,"#N/A",((((VLOOKUP(B73,Database!$A:$AS,MATCH($P$1,Database!$A$1:$AS$1,),))))-(((VLOOKUP(EDATE(B73,-12),Database!$A:$AS,MATCH($P$1,Database!$A$1:$AS$1,),)))))/(((VLOOKUP(EDATE(B73,-12),Database!$A:$AS,MATCH($P$1,Database!$A$1:$AS$1,),)))))</f>
        <v/>
      </c>
      <c r="Q73" s="13">
        <f>IF(VLOOKUP(B73,Database!$A:$AV,MATCH($Q$1,Database!$A$1:$AV$1,),)=0,"#N/A",((((VLOOKUP(B73,Database!$A:$AS,MATCH($Q$1,Database!$A$1:$AS$1,),))))-(((VLOOKUP(EDATE(B73,-12),Database!$A:$AS,MATCH($Q$1,Database!$A$1:$AS$1,),)))))/(((VLOOKUP(EDATE(B73,-12),Database!$A:$AS,MATCH($Q$1,Database!$A$1:$AS$1,),)))))</f>
        <v/>
      </c>
      <c r="R73" s="13">
        <f>IF(VLOOKUP(B73,Database!$A:$AV,MATCH($R$1,Database!$A$1:$AV$1,),)=0,"#N/A",((((VLOOKUP(B73,Database!$A:$AS,MATCH($R$1,Database!$A$1:$AS$1,),))))-(((VLOOKUP(EDATE(B73,-12),Database!$A:$AS,MATCH($R$1,Database!$A$1:$AS$1,),)))))/(((VLOOKUP(EDATE(B73,-12),Database!$A:$AS,MATCH($R$1,Database!$A$1:$AS$1,),)))))</f>
        <v/>
      </c>
      <c r="S73" s="13">
        <f>IF(VLOOKUP(B73,Database!$A:$AV,MATCH($S$1,Database!$A$1:$AV$1,),)=0,"#N/A",((((VLOOKUP(B73,Database!$A:$AS,MATCH($S$1,Database!$A$1:$AS$1,),))))-(((VLOOKUP(EDATE(B73,-12),Database!$A:$AS,MATCH($S$1,Database!$A$1:$AS$1,),)))))/(((VLOOKUP(EDATE(B73,-12),Database!$A:$AS,MATCH($S$1,Database!$A$1:$AS$1,),)))))</f>
        <v/>
      </c>
      <c r="T73" s="13">
        <f>IF(VLOOKUP(B73,Database!$A:$AV,MATCH($T$1,Database!$A$1:$AV$1,),)=0,"#N/A",((((VLOOKUP(B73,Database!$A:$AS,MATCH($T$1,Database!$A$1:$AS$1,),))))-(((VLOOKUP(EDATE(B73,-12),Database!$A:$AS,MATCH($T$1,Database!$A$1:$AS$1,),)))))/(((VLOOKUP(EDATE(B73,-12),Database!$A:$AS,MATCH($T$1,Database!$A$1:$AS$1,),)))))</f>
        <v/>
      </c>
      <c r="U73" s="13">
        <f>IF(VLOOKUP(B73,Database!$A:$AV,MATCH($U$1,Database!$A$1:$AV$1,),)=0,"#N/A",((((VLOOKUP(B73,Database!$A:$AS,MATCH($U$1,Database!$A$1:$AS$1,),))))-(((VLOOKUP(EDATE(B73,-12),Database!$A:$AS,MATCH($U$1,Database!$A$1:$AS$1,),)))))/(((VLOOKUP(EDATE(B73,-12),Database!$A:$AS,MATCH($U$1,Database!$A$1:$AS$1,),)))))</f>
        <v/>
      </c>
      <c r="V73" s="13">
        <f>IF(VLOOKUP(B73,Database!$A:$AV,MATCH($V$1,Database!$A$1:$AV$1,),)=0,"#N/A",((((VLOOKUP(B73,Database!$A:$AS,MATCH($V$1,Database!$A$1:$AS$1,),))))-(((VLOOKUP(EDATE(B73,-12),Database!$A:$AS,MATCH($V$1,Database!$A$1:$AS$1,),)))))/(((VLOOKUP(EDATE(B73,-12),Database!$A:$AS,MATCH($V$1,Database!$A$1:$AS$1,),)))))</f>
        <v/>
      </c>
    </row>
    <row r="74" customFormat="1" s="86">
      <c r="A74" s="43" t="n"/>
      <c r="B74" s="75" t="n">
        <v>34394</v>
      </c>
      <c r="C74" s="13">
        <f>IF(VLOOKUP(B74,Database!$A:$AU,MATCH($C$1,Database!$A$1:$AU$1,),)=0,"#N/A",((((VLOOKUP(B74,Database!$A:$AU,MATCH($C$1,Database!$A$1:$AU$1,),))))-(((VLOOKUP(EDATE(B74,-12),Database!$A:$AU,MATCH($C$1,Database!$A$1:$AU$1,),)))))/(((VLOOKUP(EDATE(B74,-12),Database!$A:$AU,MATCH($C$1,Database!$A$1:$AU$1,),)))))</f>
        <v/>
      </c>
      <c r="D74" s="13">
        <f>IF(VLOOKUP(B74,Database!$A:$AV,MATCH($D$1,Database!$A$1:$AV$1,),)=0,"#N/A",((((VLOOKUP(B74,Database!$A:$AS,MATCH($D$1,Database!$A$1:$AS$1,),))))-(((VLOOKUP(EDATE(B74,-12),Database!$A:$AS,MATCH($D$1,Database!$A$1:$AS$1,),)))))/(((VLOOKUP(EDATE(B74,-12),Database!$A:$AS,MATCH($D$1,Database!$A$1:$AS$1,),)))))</f>
        <v/>
      </c>
      <c r="E74" s="13">
        <f>IF(VLOOKUP(B74,Database!$A:$AV,MATCH($E$1,Database!$A$1:$AV$1,),)=0,"#N/A",((((VLOOKUP(B74,Database!$A:$AS,MATCH($E$1,Database!$A$1:$AS$1,),))))-(((VLOOKUP(EDATE(B74,-12),Database!$A:$AS,MATCH($E$1,Database!$A$1:$AS$1,),)))))/(((VLOOKUP(EDATE(B74,-12),Database!$A:$AS,MATCH($E$1,Database!$A$1:$AS$1,),)))))</f>
        <v/>
      </c>
      <c r="F74" s="13">
        <f>IF(VLOOKUP(B74,Database!$A:$AV,MATCH($F$1,Database!$A$1:$AV$1,),)=0,"#N/A",((((VLOOKUP(B74,Database!$A:$AS,MATCH($F$1,Database!$A$1:$AS$1,),))))-(((VLOOKUP(EDATE(B74,-12),Database!$A:$AS,MATCH($F$1,Database!$A$1:$AS$1,),)))))/(((VLOOKUP(EDATE(B74,-12),Database!$A:$AS,MATCH($F$1,Database!$A$1:$AS$1,),)))))</f>
        <v/>
      </c>
      <c r="G74" s="13">
        <f>IF(VLOOKUP(B74,Database!$A:$AV,MATCH($G$1,Database!$A$1:$AV$1,),)=0,"#N/A",((((VLOOKUP(B74,Database!$A:$AS,MATCH($G$1,Database!$A$1:$AS$1,),))))-(((VLOOKUP(EDATE(B74,-12),Database!$A:$AS,MATCH($G$1,Database!$A$1:$AS$1,),)))))/(((VLOOKUP(EDATE(B74,-12),Database!$A:$AS,MATCH($G$1,Database!$A$1:$AS$1,),)))))</f>
        <v/>
      </c>
      <c r="H74" s="13">
        <f>IF(VLOOKUP(B74,Database!$A:$AV,MATCH($H$1,Database!$A$1:$AV$1,),)=0,"#N/A",((((VLOOKUP(B74,Database!$A:$AS,MATCH($H$1,Database!$A$1:$AS$1,),))))-(((VLOOKUP(EDATE(B74,-12),Database!$A:$AS,MATCH($H$1,Database!$A$1:$AS$1,),)))))/(((VLOOKUP(EDATE(B74,-12),Database!$A:$AS,MATCH($H$1,Database!$A$1:$AS$1,),)))))</f>
        <v/>
      </c>
      <c r="I74" s="13">
        <f>IF(VLOOKUP(B74,Database!$A:$AV,MATCH($I$1,Database!$A$1:$AV$1,),)=0,"#N/A",((((VLOOKUP(B74,Database!$A:$AS,MATCH($I$1,Database!$A$1:$AS$1,),))))-(((VLOOKUP(EDATE(B74,-12),Database!$A:$AS,MATCH($I$1,Database!$A$1:$AS$1,),)))))/(((VLOOKUP(EDATE(B74,-12),Database!$A:$AS,MATCH($I$1,Database!$A$1:$AS$1,),)))))</f>
        <v/>
      </c>
      <c r="J74" s="13">
        <f>IF(VLOOKUP(B74,Database!$A:$AV,MATCH($J$1,Database!$A$1:$AV$1,),)=0,"#N/A",((((VLOOKUP(B74,Database!$A:$AS,MATCH($J$1,Database!$A$1:$AS$1,),))))-(((VLOOKUP(EDATE(B74,-12),Database!$A:$AS,MATCH($J$1,Database!$A$1:$AS$1,),)))))/(((VLOOKUP(EDATE(B74,-12),Database!$A:$AS,MATCH($J$1,Database!$A$1:$AS$1,),)))))</f>
        <v/>
      </c>
      <c r="K74" s="13">
        <f>IF(VLOOKUP(B74,Database!$A:$AV,MATCH($K$1,Database!$A$1:$AV$1,),)=0,"#N/A",((((VLOOKUP(B74,Database!$A:$AS,MATCH($K$1,Database!$A$1:$AS$1,),))))-(((VLOOKUP(EDATE(B74,-12),Database!$A:$AS,MATCH($K$1,Database!$A$1:$AS$1,),)))))/(((VLOOKUP(EDATE(B74,-12),Database!$A:$AS,MATCH($K$1,Database!$A$1:$AS$1,),)))))</f>
        <v/>
      </c>
      <c r="L74" s="13">
        <f>((((VLOOKUP(B74,Database!$A:$AS,MATCH($L$1,Database!$A$1:$AS$1,),))))-(((VLOOKUP(EDATE(B74,-12),Database!$A:$AS,MATCH($L$1,Database!$A$1:$AS$1,),)))))/(((VLOOKUP(EDATE(B74,-12),Database!$A:$AS,MATCH($L$1,Database!$A$1:$AS$1,),))))</f>
        <v/>
      </c>
      <c r="M74" s="13">
        <f>((((VLOOKUP(B74,Database!$A:$AS,MATCH($M$1,Database!$A$1:$AS$1,),))))-(((VLOOKUP(EDATE(B74,-12),Database!$A:$AS,MATCH($M$1,Database!$A$1:$AS$1,),)))))/(((VLOOKUP(EDATE(B74,-12),Database!$A:$AS,MATCH($M$1,Database!$A$1:$AS$1,),))))</f>
        <v/>
      </c>
      <c r="N74" s="13">
        <f>((((VLOOKUP(B74,Database!$A:$AS,MATCH($N$1,Database!$A$1:$AS$1,),))))-(((VLOOKUP(EDATE(B74,-12),Database!$A:$AS,MATCH($N$1,Database!$A$1:$AS$1,),)))))/(((VLOOKUP(EDATE(B74,-12),Database!$A:$AS,MATCH($N$1,Database!$A$1:$AS$1,),))))</f>
        <v/>
      </c>
      <c r="O74" s="13">
        <f>IF(VLOOKUP(B74,Database!$A:$AV,MATCH($O$1,Database!$A$1:$AV$1,),)=0,"#N/A",((((VLOOKUP(B74,Database!$A:$AS,MATCH($O$1,Database!$A$1:$AS$1,),))))-(((VLOOKUP(EDATE(B74,-12),Database!$A:$AS,MATCH($O$1,Database!$A$1:$AS$1,),)))))/(((VLOOKUP(EDATE(B74,-12),Database!$A:$AS,MATCH($O$1,Database!$A$1:$AS$1,),)))))</f>
        <v/>
      </c>
      <c r="P74" s="13">
        <f>IF(VLOOKUP(B74,Database!$A:$AV,MATCH($P$1,Database!$A$1:$AV$1,),)=0,"#N/A",((((VLOOKUP(B74,Database!$A:$AS,MATCH($P$1,Database!$A$1:$AS$1,),))))-(((VLOOKUP(EDATE(B74,-12),Database!$A:$AS,MATCH($P$1,Database!$A$1:$AS$1,),)))))/(((VLOOKUP(EDATE(B74,-12),Database!$A:$AS,MATCH($P$1,Database!$A$1:$AS$1,),)))))</f>
        <v/>
      </c>
      <c r="Q74" s="13">
        <f>IF(VLOOKUP(B74,Database!$A:$AV,MATCH($Q$1,Database!$A$1:$AV$1,),)=0,"#N/A",((((VLOOKUP(B74,Database!$A:$AS,MATCH($Q$1,Database!$A$1:$AS$1,),))))-(((VLOOKUP(EDATE(B74,-12),Database!$A:$AS,MATCH($Q$1,Database!$A$1:$AS$1,),)))))/(((VLOOKUP(EDATE(B74,-12),Database!$A:$AS,MATCH($Q$1,Database!$A$1:$AS$1,),)))))</f>
        <v/>
      </c>
      <c r="R74" s="13">
        <f>IF(VLOOKUP(B74,Database!$A:$AV,MATCH($R$1,Database!$A$1:$AV$1,),)=0,"#N/A",((((VLOOKUP(B74,Database!$A:$AS,MATCH($R$1,Database!$A$1:$AS$1,),))))-(((VLOOKUP(EDATE(B74,-12),Database!$A:$AS,MATCH($R$1,Database!$A$1:$AS$1,),)))))/(((VLOOKUP(EDATE(B74,-12),Database!$A:$AS,MATCH($R$1,Database!$A$1:$AS$1,),)))))</f>
        <v/>
      </c>
      <c r="S74" s="13">
        <f>IF(VLOOKUP(B74,Database!$A:$AV,MATCH($S$1,Database!$A$1:$AV$1,),)=0,"#N/A",((((VLOOKUP(B74,Database!$A:$AS,MATCH($S$1,Database!$A$1:$AS$1,),))))-(((VLOOKUP(EDATE(B74,-12),Database!$A:$AS,MATCH($S$1,Database!$A$1:$AS$1,),)))))/(((VLOOKUP(EDATE(B74,-12),Database!$A:$AS,MATCH($S$1,Database!$A$1:$AS$1,),)))))</f>
        <v/>
      </c>
      <c r="T74" s="13">
        <f>IF(VLOOKUP(B74,Database!$A:$AV,MATCH($T$1,Database!$A$1:$AV$1,),)=0,"#N/A",((((VLOOKUP(B74,Database!$A:$AS,MATCH($T$1,Database!$A$1:$AS$1,),))))-(((VLOOKUP(EDATE(B74,-12),Database!$A:$AS,MATCH($T$1,Database!$A$1:$AS$1,),)))))/(((VLOOKUP(EDATE(B74,-12),Database!$A:$AS,MATCH($T$1,Database!$A$1:$AS$1,),)))))</f>
        <v/>
      </c>
      <c r="U74" s="13">
        <f>IF(VLOOKUP(B74,Database!$A:$AV,MATCH($U$1,Database!$A$1:$AV$1,),)=0,"#N/A",((((VLOOKUP(B74,Database!$A:$AS,MATCH($U$1,Database!$A$1:$AS$1,),))))-(((VLOOKUP(EDATE(B74,-12),Database!$A:$AS,MATCH($U$1,Database!$A$1:$AS$1,),)))))/(((VLOOKUP(EDATE(B74,-12),Database!$A:$AS,MATCH($U$1,Database!$A$1:$AS$1,),)))))</f>
        <v/>
      </c>
      <c r="V74" s="13">
        <f>IF(VLOOKUP(B74,Database!$A:$AV,MATCH($V$1,Database!$A$1:$AV$1,),)=0,"#N/A",((((VLOOKUP(B74,Database!$A:$AS,MATCH($V$1,Database!$A$1:$AS$1,),))))-(((VLOOKUP(EDATE(B74,-12),Database!$A:$AS,MATCH($V$1,Database!$A$1:$AS$1,),)))))/(((VLOOKUP(EDATE(B74,-12),Database!$A:$AS,MATCH($V$1,Database!$A$1:$AS$1,),)))))</f>
        <v/>
      </c>
    </row>
    <row r="75" customFormat="1" s="86">
      <c r="A75" s="43" t="n"/>
      <c r="B75" s="75" t="n">
        <v>34425</v>
      </c>
      <c r="C75" s="13">
        <f>IF(VLOOKUP(B75,Database!$A:$AU,MATCH($C$1,Database!$A$1:$AU$1,),)=0,"#N/A",((((VLOOKUP(B75,Database!$A:$AU,MATCH($C$1,Database!$A$1:$AU$1,),))))-(((VLOOKUP(EDATE(B75,-12),Database!$A:$AU,MATCH($C$1,Database!$A$1:$AU$1,),)))))/(((VLOOKUP(EDATE(B75,-12),Database!$A:$AU,MATCH($C$1,Database!$A$1:$AU$1,),)))))</f>
        <v/>
      </c>
      <c r="D75" s="13">
        <f>IF(VLOOKUP(B75,Database!$A:$AV,MATCH($D$1,Database!$A$1:$AV$1,),)=0,"#N/A",((((VLOOKUP(B75,Database!$A:$AS,MATCH($D$1,Database!$A$1:$AS$1,),))))-(((VLOOKUP(EDATE(B75,-12),Database!$A:$AS,MATCH($D$1,Database!$A$1:$AS$1,),)))))/(((VLOOKUP(EDATE(B75,-12),Database!$A:$AS,MATCH($D$1,Database!$A$1:$AS$1,),)))))</f>
        <v/>
      </c>
      <c r="E75" s="13">
        <f>IF(VLOOKUP(B75,Database!$A:$AV,MATCH($E$1,Database!$A$1:$AV$1,),)=0,"#N/A",((((VLOOKUP(B75,Database!$A:$AS,MATCH($E$1,Database!$A$1:$AS$1,),))))-(((VLOOKUP(EDATE(B75,-12),Database!$A:$AS,MATCH($E$1,Database!$A$1:$AS$1,),)))))/(((VLOOKUP(EDATE(B75,-12),Database!$A:$AS,MATCH($E$1,Database!$A$1:$AS$1,),)))))</f>
        <v/>
      </c>
      <c r="F75" s="13">
        <f>IF(VLOOKUP(B75,Database!$A:$AV,MATCH($F$1,Database!$A$1:$AV$1,),)=0,"#N/A",((((VLOOKUP(B75,Database!$A:$AS,MATCH($F$1,Database!$A$1:$AS$1,),))))-(((VLOOKUP(EDATE(B75,-12),Database!$A:$AS,MATCH($F$1,Database!$A$1:$AS$1,),)))))/(((VLOOKUP(EDATE(B75,-12),Database!$A:$AS,MATCH($F$1,Database!$A$1:$AS$1,),)))))</f>
        <v/>
      </c>
      <c r="G75" s="13">
        <f>IF(VLOOKUP(B75,Database!$A:$AV,MATCH($G$1,Database!$A$1:$AV$1,),)=0,"#N/A",((((VLOOKUP(B75,Database!$A:$AS,MATCH($G$1,Database!$A$1:$AS$1,),))))-(((VLOOKUP(EDATE(B75,-12),Database!$A:$AS,MATCH($G$1,Database!$A$1:$AS$1,),)))))/(((VLOOKUP(EDATE(B75,-12),Database!$A:$AS,MATCH($G$1,Database!$A$1:$AS$1,),)))))</f>
        <v/>
      </c>
      <c r="H75" s="13">
        <f>IF(VLOOKUP(B75,Database!$A:$AV,MATCH($H$1,Database!$A$1:$AV$1,),)=0,"#N/A",((((VLOOKUP(B75,Database!$A:$AS,MATCH($H$1,Database!$A$1:$AS$1,),))))-(((VLOOKUP(EDATE(B75,-12),Database!$A:$AS,MATCH($H$1,Database!$A$1:$AS$1,),)))))/(((VLOOKUP(EDATE(B75,-12),Database!$A:$AS,MATCH($H$1,Database!$A$1:$AS$1,),)))))</f>
        <v/>
      </c>
      <c r="I75" s="13">
        <f>IF(VLOOKUP(B75,Database!$A:$AV,MATCH($I$1,Database!$A$1:$AV$1,),)=0,"#N/A",((((VLOOKUP(B75,Database!$A:$AS,MATCH($I$1,Database!$A$1:$AS$1,),))))-(((VLOOKUP(EDATE(B75,-12),Database!$A:$AS,MATCH($I$1,Database!$A$1:$AS$1,),)))))/(((VLOOKUP(EDATE(B75,-12),Database!$A:$AS,MATCH($I$1,Database!$A$1:$AS$1,),)))))</f>
        <v/>
      </c>
      <c r="J75" s="13">
        <f>IF(VLOOKUP(B75,Database!$A:$AV,MATCH($J$1,Database!$A$1:$AV$1,),)=0,"#N/A",((((VLOOKUP(B75,Database!$A:$AS,MATCH($J$1,Database!$A$1:$AS$1,),))))-(((VLOOKUP(EDATE(B75,-12),Database!$A:$AS,MATCH($J$1,Database!$A$1:$AS$1,),)))))/(((VLOOKUP(EDATE(B75,-12),Database!$A:$AS,MATCH($J$1,Database!$A$1:$AS$1,),)))))</f>
        <v/>
      </c>
      <c r="K75" s="13">
        <f>IF(VLOOKUP(B75,Database!$A:$AV,MATCH($K$1,Database!$A$1:$AV$1,),)=0,"#N/A",((((VLOOKUP(B75,Database!$A:$AS,MATCH($K$1,Database!$A$1:$AS$1,),))))-(((VLOOKUP(EDATE(B75,-12),Database!$A:$AS,MATCH($K$1,Database!$A$1:$AS$1,),)))))/(((VLOOKUP(EDATE(B75,-12),Database!$A:$AS,MATCH($K$1,Database!$A$1:$AS$1,),)))))</f>
        <v/>
      </c>
      <c r="L75" s="13">
        <f>((((VLOOKUP(B75,Database!$A:$AS,MATCH($L$1,Database!$A$1:$AS$1,),))))-(((VLOOKUP(EDATE(B75,-12),Database!$A:$AS,MATCH($L$1,Database!$A$1:$AS$1,),)))))/(((VLOOKUP(EDATE(B75,-12),Database!$A:$AS,MATCH($L$1,Database!$A$1:$AS$1,),))))</f>
        <v/>
      </c>
      <c r="M75" s="13">
        <f>((((VLOOKUP(B75,Database!$A:$AS,MATCH($M$1,Database!$A$1:$AS$1,),))))-(((VLOOKUP(EDATE(B75,-12),Database!$A:$AS,MATCH($M$1,Database!$A$1:$AS$1,),)))))/(((VLOOKUP(EDATE(B75,-12),Database!$A:$AS,MATCH($M$1,Database!$A$1:$AS$1,),))))</f>
        <v/>
      </c>
      <c r="N75" s="13">
        <f>((((VLOOKUP(B75,Database!$A:$AS,MATCH($N$1,Database!$A$1:$AS$1,),))))-(((VLOOKUP(EDATE(B75,-12),Database!$A:$AS,MATCH($N$1,Database!$A$1:$AS$1,),)))))/(((VLOOKUP(EDATE(B75,-12),Database!$A:$AS,MATCH($N$1,Database!$A$1:$AS$1,),))))</f>
        <v/>
      </c>
      <c r="O75" s="13">
        <f>IF(VLOOKUP(B75,Database!$A:$AV,MATCH($O$1,Database!$A$1:$AV$1,),)=0,"#N/A",((((VLOOKUP(B75,Database!$A:$AS,MATCH($O$1,Database!$A$1:$AS$1,),))))-(((VLOOKUP(EDATE(B75,-12),Database!$A:$AS,MATCH($O$1,Database!$A$1:$AS$1,),)))))/(((VLOOKUP(EDATE(B75,-12),Database!$A:$AS,MATCH($O$1,Database!$A$1:$AS$1,),)))))</f>
        <v/>
      </c>
      <c r="P75" s="13">
        <f>IF(VLOOKUP(B75,Database!$A:$AV,MATCH($P$1,Database!$A$1:$AV$1,),)=0,"#N/A",((((VLOOKUP(B75,Database!$A:$AS,MATCH($P$1,Database!$A$1:$AS$1,),))))-(((VLOOKUP(EDATE(B75,-12),Database!$A:$AS,MATCH($P$1,Database!$A$1:$AS$1,),)))))/(((VLOOKUP(EDATE(B75,-12),Database!$A:$AS,MATCH($P$1,Database!$A$1:$AS$1,),)))))</f>
        <v/>
      </c>
      <c r="Q75" s="13">
        <f>IF(VLOOKUP(B75,Database!$A:$AV,MATCH($Q$1,Database!$A$1:$AV$1,),)=0,"#N/A",((((VLOOKUP(B75,Database!$A:$AS,MATCH($Q$1,Database!$A$1:$AS$1,),))))-(((VLOOKUP(EDATE(B75,-12),Database!$A:$AS,MATCH($Q$1,Database!$A$1:$AS$1,),)))))/(((VLOOKUP(EDATE(B75,-12),Database!$A:$AS,MATCH($Q$1,Database!$A$1:$AS$1,),)))))</f>
        <v/>
      </c>
      <c r="R75" s="13">
        <f>IF(VLOOKUP(B75,Database!$A:$AV,MATCH($R$1,Database!$A$1:$AV$1,),)=0,"#N/A",((((VLOOKUP(B75,Database!$A:$AS,MATCH($R$1,Database!$A$1:$AS$1,),))))-(((VLOOKUP(EDATE(B75,-12),Database!$A:$AS,MATCH($R$1,Database!$A$1:$AS$1,),)))))/(((VLOOKUP(EDATE(B75,-12),Database!$A:$AS,MATCH($R$1,Database!$A$1:$AS$1,),)))))</f>
        <v/>
      </c>
      <c r="S75" s="13">
        <f>IF(VLOOKUP(B75,Database!$A:$AV,MATCH($S$1,Database!$A$1:$AV$1,),)=0,"#N/A",((((VLOOKUP(B75,Database!$A:$AS,MATCH($S$1,Database!$A$1:$AS$1,),))))-(((VLOOKUP(EDATE(B75,-12),Database!$A:$AS,MATCH($S$1,Database!$A$1:$AS$1,),)))))/(((VLOOKUP(EDATE(B75,-12),Database!$A:$AS,MATCH($S$1,Database!$A$1:$AS$1,),)))))</f>
        <v/>
      </c>
      <c r="T75" s="13">
        <f>IF(VLOOKUP(B75,Database!$A:$AV,MATCH($T$1,Database!$A$1:$AV$1,),)=0,"#N/A",((((VLOOKUP(B75,Database!$A:$AS,MATCH($T$1,Database!$A$1:$AS$1,),))))-(((VLOOKUP(EDATE(B75,-12),Database!$A:$AS,MATCH($T$1,Database!$A$1:$AS$1,),)))))/(((VLOOKUP(EDATE(B75,-12),Database!$A:$AS,MATCH($T$1,Database!$A$1:$AS$1,),)))))</f>
        <v/>
      </c>
      <c r="U75" s="13">
        <f>IF(VLOOKUP(B75,Database!$A:$AV,MATCH($U$1,Database!$A$1:$AV$1,),)=0,"#N/A",((((VLOOKUP(B75,Database!$A:$AS,MATCH($U$1,Database!$A$1:$AS$1,),))))-(((VLOOKUP(EDATE(B75,-12),Database!$A:$AS,MATCH($U$1,Database!$A$1:$AS$1,),)))))/(((VLOOKUP(EDATE(B75,-12),Database!$A:$AS,MATCH($U$1,Database!$A$1:$AS$1,),)))))</f>
        <v/>
      </c>
      <c r="V75" s="13">
        <f>IF(VLOOKUP(B75,Database!$A:$AV,MATCH($V$1,Database!$A$1:$AV$1,),)=0,"#N/A",((((VLOOKUP(B75,Database!$A:$AS,MATCH($V$1,Database!$A$1:$AS$1,),))))-(((VLOOKUP(EDATE(B75,-12),Database!$A:$AS,MATCH($V$1,Database!$A$1:$AS$1,),)))))/(((VLOOKUP(EDATE(B75,-12),Database!$A:$AS,MATCH($V$1,Database!$A$1:$AS$1,),)))))</f>
        <v/>
      </c>
    </row>
    <row r="76" customFormat="1" s="86">
      <c r="A76" s="43" t="n"/>
      <c r="B76" s="75" t="n">
        <v>34455</v>
      </c>
      <c r="C76" s="13">
        <f>IF(VLOOKUP(B76,Database!$A:$AU,MATCH($C$1,Database!$A$1:$AU$1,),)=0,"#N/A",((((VLOOKUP(B76,Database!$A:$AU,MATCH($C$1,Database!$A$1:$AU$1,),))))-(((VLOOKUP(EDATE(B76,-12),Database!$A:$AU,MATCH($C$1,Database!$A$1:$AU$1,),)))))/(((VLOOKUP(EDATE(B76,-12),Database!$A:$AU,MATCH($C$1,Database!$A$1:$AU$1,),)))))</f>
        <v/>
      </c>
      <c r="D76" s="13">
        <f>IF(VLOOKUP(B76,Database!$A:$AV,MATCH($D$1,Database!$A$1:$AV$1,),)=0,"#N/A",((((VLOOKUP(B76,Database!$A:$AS,MATCH($D$1,Database!$A$1:$AS$1,),))))-(((VLOOKUP(EDATE(B76,-12),Database!$A:$AS,MATCH($D$1,Database!$A$1:$AS$1,),)))))/(((VLOOKUP(EDATE(B76,-12),Database!$A:$AS,MATCH($D$1,Database!$A$1:$AS$1,),)))))</f>
        <v/>
      </c>
      <c r="E76" s="13">
        <f>IF(VLOOKUP(B76,Database!$A:$AV,MATCH($E$1,Database!$A$1:$AV$1,),)=0,"#N/A",((((VLOOKUP(B76,Database!$A:$AS,MATCH($E$1,Database!$A$1:$AS$1,),))))-(((VLOOKUP(EDATE(B76,-12),Database!$A:$AS,MATCH($E$1,Database!$A$1:$AS$1,),)))))/(((VLOOKUP(EDATE(B76,-12),Database!$A:$AS,MATCH($E$1,Database!$A$1:$AS$1,),)))))</f>
        <v/>
      </c>
      <c r="F76" s="13">
        <f>IF(VLOOKUP(B76,Database!$A:$AV,MATCH($F$1,Database!$A$1:$AV$1,),)=0,"#N/A",((((VLOOKUP(B76,Database!$A:$AS,MATCH($F$1,Database!$A$1:$AS$1,),))))-(((VLOOKUP(EDATE(B76,-12),Database!$A:$AS,MATCH($F$1,Database!$A$1:$AS$1,),)))))/(((VLOOKUP(EDATE(B76,-12),Database!$A:$AS,MATCH($F$1,Database!$A$1:$AS$1,),)))))</f>
        <v/>
      </c>
      <c r="G76" s="13">
        <f>IF(VLOOKUP(B76,Database!$A:$AV,MATCH($G$1,Database!$A$1:$AV$1,),)=0,"#N/A",((((VLOOKUP(B76,Database!$A:$AS,MATCH($G$1,Database!$A$1:$AS$1,),))))-(((VLOOKUP(EDATE(B76,-12),Database!$A:$AS,MATCH($G$1,Database!$A$1:$AS$1,),)))))/(((VLOOKUP(EDATE(B76,-12),Database!$A:$AS,MATCH($G$1,Database!$A$1:$AS$1,),)))))</f>
        <v/>
      </c>
      <c r="H76" s="13">
        <f>IF(VLOOKUP(B76,Database!$A:$AV,MATCH($H$1,Database!$A$1:$AV$1,),)=0,"#N/A",((((VLOOKUP(B76,Database!$A:$AS,MATCH($H$1,Database!$A$1:$AS$1,),))))-(((VLOOKUP(EDATE(B76,-12),Database!$A:$AS,MATCH($H$1,Database!$A$1:$AS$1,),)))))/(((VLOOKUP(EDATE(B76,-12),Database!$A:$AS,MATCH($H$1,Database!$A$1:$AS$1,),)))))</f>
        <v/>
      </c>
      <c r="I76" s="13">
        <f>IF(VLOOKUP(B76,Database!$A:$AV,MATCH($I$1,Database!$A$1:$AV$1,),)=0,"#N/A",((((VLOOKUP(B76,Database!$A:$AS,MATCH($I$1,Database!$A$1:$AS$1,),))))-(((VLOOKUP(EDATE(B76,-12),Database!$A:$AS,MATCH($I$1,Database!$A$1:$AS$1,),)))))/(((VLOOKUP(EDATE(B76,-12),Database!$A:$AS,MATCH($I$1,Database!$A$1:$AS$1,),)))))</f>
        <v/>
      </c>
      <c r="J76" s="13">
        <f>IF(VLOOKUP(B76,Database!$A:$AV,MATCH($J$1,Database!$A$1:$AV$1,),)=0,"#N/A",((((VLOOKUP(B76,Database!$A:$AS,MATCH($J$1,Database!$A$1:$AS$1,),))))-(((VLOOKUP(EDATE(B76,-12),Database!$A:$AS,MATCH($J$1,Database!$A$1:$AS$1,),)))))/(((VLOOKUP(EDATE(B76,-12),Database!$A:$AS,MATCH($J$1,Database!$A$1:$AS$1,),)))))</f>
        <v/>
      </c>
      <c r="K76" s="13">
        <f>IF(VLOOKUP(B76,Database!$A:$AV,MATCH($K$1,Database!$A$1:$AV$1,),)=0,"#N/A",((((VLOOKUP(B76,Database!$A:$AS,MATCH($K$1,Database!$A$1:$AS$1,),))))-(((VLOOKUP(EDATE(B76,-12),Database!$A:$AS,MATCH($K$1,Database!$A$1:$AS$1,),)))))/(((VLOOKUP(EDATE(B76,-12),Database!$A:$AS,MATCH($K$1,Database!$A$1:$AS$1,),)))))</f>
        <v/>
      </c>
      <c r="L76" s="13">
        <f>((((VLOOKUP(B76,Database!$A:$AS,MATCH($L$1,Database!$A$1:$AS$1,),))))-(((VLOOKUP(EDATE(B76,-12),Database!$A:$AS,MATCH($L$1,Database!$A$1:$AS$1,),)))))/(((VLOOKUP(EDATE(B76,-12),Database!$A:$AS,MATCH($L$1,Database!$A$1:$AS$1,),))))</f>
        <v/>
      </c>
      <c r="M76" s="13">
        <f>((((VLOOKUP(B76,Database!$A:$AS,MATCH($M$1,Database!$A$1:$AS$1,),))))-(((VLOOKUP(EDATE(B76,-12),Database!$A:$AS,MATCH($M$1,Database!$A$1:$AS$1,),)))))/(((VLOOKUP(EDATE(B76,-12),Database!$A:$AS,MATCH($M$1,Database!$A$1:$AS$1,),))))</f>
        <v/>
      </c>
      <c r="N76" s="13">
        <f>((((VLOOKUP(B76,Database!$A:$AS,MATCH($N$1,Database!$A$1:$AS$1,),))))-(((VLOOKUP(EDATE(B76,-12),Database!$A:$AS,MATCH($N$1,Database!$A$1:$AS$1,),)))))/(((VLOOKUP(EDATE(B76,-12),Database!$A:$AS,MATCH($N$1,Database!$A$1:$AS$1,),))))</f>
        <v/>
      </c>
      <c r="O76" s="13">
        <f>IF(VLOOKUP(B76,Database!$A:$AV,MATCH($O$1,Database!$A$1:$AV$1,),)=0,"#N/A",((((VLOOKUP(B76,Database!$A:$AS,MATCH($O$1,Database!$A$1:$AS$1,),))))-(((VLOOKUP(EDATE(B76,-12),Database!$A:$AS,MATCH($O$1,Database!$A$1:$AS$1,),)))))/(((VLOOKUP(EDATE(B76,-12),Database!$A:$AS,MATCH($O$1,Database!$A$1:$AS$1,),)))))</f>
        <v/>
      </c>
      <c r="P76" s="13">
        <f>IF(VLOOKUP(B76,Database!$A:$AV,MATCH($P$1,Database!$A$1:$AV$1,),)=0,"#N/A",((((VLOOKUP(B76,Database!$A:$AS,MATCH($P$1,Database!$A$1:$AS$1,),))))-(((VLOOKUP(EDATE(B76,-12),Database!$A:$AS,MATCH($P$1,Database!$A$1:$AS$1,),)))))/(((VLOOKUP(EDATE(B76,-12),Database!$A:$AS,MATCH($P$1,Database!$A$1:$AS$1,),)))))</f>
        <v/>
      </c>
      <c r="Q76" s="13">
        <f>IF(VLOOKUP(B76,Database!$A:$AV,MATCH($Q$1,Database!$A$1:$AV$1,),)=0,"#N/A",((((VLOOKUP(B76,Database!$A:$AS,MATCH($Q$1,Database!$A$1:$AS$1,),))))-(((VLOOKUP(EDATE(B76,-12),Database!$A:$AS,MATCH($Q$1,Database!$A$1:$AS$1,),)))))/(((VLOOKUP(EDATE(B76,-12),Database!$A:$AS,MATCH($Q$1,Database!$A$1:$AS$1,),)))))</f>
        <v/>
      </c>
      <c r="R76" s="13">
        <f>IF(VLOOKUP(B76,Database!$A:$AV,MATCH($R$1,Database!$A$1:$AV$1,),)=0,"#N/A",((((VLOOKUP(B76,Database!$A:$AS,MATCH($R$1,Database!$A$1:$AS$1,),))))-(((VLOOKUP(EDATE(B76,-12),Database!$A:$AS,MATCH($R$1,Database!$A$1:$AS$1,),)))))/(((VLOOKUP(EDATE(B76,-12),Database!$A:$AS,MATCH($R$1,Database!$A$1:$AS$1,),)))))</f>
        <v/>
      </c>
      <c r="S76" s="13">
        <f>IF(VLOOKUP(B76,Database!$A:$AV,MATCH($S$1,Database!$A$1:$AV$1,),)=0,"#N/A",((((VLOOKUP(B76,Database!$A:$AS,MATCH($S$1,Database!$A$1:$AS$1,),))))-(((VLOOKUP(EDATE(B76,-12),Database!$A:$AS,MATCH($S$1,Database!$A$1:$AS$1,),)))))/(((VLOOKUP(EDATE(B76,-12),Database!$A:$AS,MATCH($S$1,Database!$A$1:$AS$1,),)))))</f>
        <v/>
      </c>
      <c r="T76" s="13">
        <f>IF(VLOOKUP(B76,Database!$A:$AV,MATCH($T$1,Database!$A$1:$AV$1,),)=0,"#N/A",((((VLOOKUP(B76,Database!$A:$AS,MATCH($T$1,Database!$A$1:$AS$1,),))))-(((VLOOKUP(EDATE(B76,-12),Database!$A:$AS,MATCH($T$1,Database!$A$1:$AS$1,),)))))/(((VLOOKUP(EDATE(B76,-12),Database!$A:$AS,MATCH($T$1,Database!$A$1:$AS$1,),)))))</f>
        <v/>
      </c>
      <c r="U76" s="13">
        <f>IF(VLOOKUP(B76,Database!$A:$AV,MATCH($U$1,Database!$A$1:$AV$1,),)=0,"#N/A",((((VLOOKUP(B76,Database!$A:$AS,MATCH($U$1,Database!$A$1:$AS$1,),))))-(((VLOOKUP(EDATE(B76,-12),Database!$A:$AS,MATCH($U$1,Database!$A$1:$AS$1,),)))))/(((VLOOKUP(EDATE(B76,-12),Database!$A:$AS,MATCH($U$1,Database!$A$1:$AS$1,),)))))</f>
        <v/>
      </c>
      <c r="V76" s="13">
        <f>IF(VLOOKUP(B76,Database!$A:$AV,MATCH($V$1,Database!$A$1:$AV$1,),)=0,"#N/A",((((VLOOKUP(B76,Database!$A:$AS,MATCH($V$1,Database!$A$1:$AS$1,),))))-(((VLOOKUP(EDATE(B76,-12),Database!$A:$AS,MATCH($V$1,Database!$A$1:$AS$1,),)))))/(((VLOOKUP(EDATE(B76,-12),Database!$A:$AS,MATCH($V$1,Database!$A$1:$AS$1,),)))))</f>
        <v/>
      </c>
    </row>
    <row r="77" customFormat="1" s="86">
      <c r="A77" s="43" t="n"/>
      <c r="B77" s="75" t="n">
        <v>34486</v>
      </c>
      <c r="C77" s="13">
        <f>IF(VLOOKUP(B77,Database!$A:$AU,MATCH($C$1,Database!$A$1:$AU$1,),)=0,"#N/A",((((VLOOKUP(B77,Database!$A:$AU,MATCH($C$1,Database!$A$1:$AU$1,),))))-(((VLOOKUP(EDATE(B77,-12),Database!$A:$AU,MATCH($C$1,Database!$A$1:$AU$1,),)))))/(((VLOOKUP(EDATE(B77,-12),Database!$A:$AU,MATCH($C$1,Database!$A$1:$AU$1,),)))))</f>
        <v/>
      </c>
      <c r="D77" s="13">
        <f>IF(VLOOKUP(B77,Database!$A:$AV,MATCH($D$1,Database!$A$1:$AV$1,),)=0,"#N/A",((((VLOOKUP(B77,Database!$A:$AS,MATCH($D$1,Database!$A$1:$AS$1,),))))-(((VLOOKUP(EDATE(B77,-12),Database!$A:$AS,MATCH($D$1,Database!$A$1:$AS$1,),)))))/(((VLOOKUP(EDATE(B77,-12),Database!$A:$AS,MATCH($D$1,Database!$A$1:$AS$1,),)))))</f>
        <v/>
      </c>
      <c r="E77" s="13">
        <f>IF(VLOOKUP(B77,Database!$A:$AV,MATCH($E$1,Database!$A$1:$AV$1,),)=0,"#N/A",((((VLOOKUP(B77,Database!$A:$AS,MATCH($E$1,Database!$A$1:$AS$1,),))))-(((VLOOKUP(EDATE(B77,-12),Database!$A:$AS,MATCH($E$1,Database!$A$1:$AS$1,),)))))/(((VLOOKUP(EDATE(B77,-12),Database!$A:$AS,MATCH($E$1,Database!$A$1:$AS$1,),)))))</f>
        <v/>
      </c>
      <c r="F77" s="13">
        <f>IF(VLOOKUP(B77,Database!$A:$AV,MATCH($F$1,Database!$A$1:$AV$1,),)=0,"#N/A",((((VLOOKUP(B77,Database!$A:$AS,MATCH($F$1,Database!$A$1:$AS$1,),))))-(((VLOOKUP(EDATE(B77,-12),Database!$A:$AS,MATCH($F$1,Database!$A$1:$AS$1,),)))))/(((VLOOKUP(EDATE(B77,-12),Database!$A:$AS,MATCH($F$1,Database!$A$1:$AS$1,),)))))</f>
        <v/>
      </c>
      <c r="G77" s="13">
        <f>IF(VLOOKUP(B77,Database!$A:$AV,MATCH($G$1,Database!$A$1:$AV$1,),)=0,"#N/A",((((VLOOKUP(B77,Database!$A:$AS,MATCH($G$1,Database!$A$1:$AS$1,),))))-(((VLOOKUP(EDATE(B77,-12),Database!$A:$AS,MATCH($G$1,Database!$A$1:$AS$1,),)))))/(((VLOOKUP(EDATE(B77,-12),Database!$A:$AS,MATCH($G$1,Database!$A$1:$AS$1,),)))))</f>
        <v/>
      </c>
      <c r="H77" s="13">
        <f>IF(VLOOKUP(B77,Database!$A:$AV,MATCH($H$1,Database!$A$1:$AV$1,),)=0,"#N/A",((((VLOOKUP(B77,Database!$A:$AS,MATCH($H$1,Database!$A$1:$AS$1,),))))-(((VLOOKUP(EDATE(B77,-12),Database!$A:$AS,MATCH($H$1,Database!$A$1:$AS$1,),)))))/(((VLOOKUP(EDATE(B77,-12),Database!$A:$AS,MATCH($H$1,Database!$A$1:$AS$1,),)))))</f>
        <v/>
      </c>
      <c r="I77" s="13">
        <f>IF(VLOOKUP(B77,Database!$A:$AV,MATCH($I$1,Database!$A$1:$AV$1,),)=0,"#N/A",((((VLOOKUP(B77,Database!$A:$AS,MATCH($I$1,Database!$A$1:$AS$1,),))))-(((VLOOKUP(EDATE(B77,-12),Database!$A:$AS,MATCH($I$1,Database!$A$1:$AS$1,),)))))/(((VLOOKUP(EDATE(B77,-12),Database!$A:$AS,MATCH($I$1,Database!$A$1:$AS$1,),)))))</f>
        <v/>
      </c>
      <c r="J77" s="13">
        <f>IF(VLOOKUP(B77,Database!$A:$AV,MATCH($J$1,Database!$A$1:$AV$1,),)=0,"#N/A",((((VLOOKUP(B77,Database!$A:$AS,MATCH($J$1,Database!$A$1:$AS$1,),))))-(((VLOOKUP(EDATE(B77,-12),Database!$A:$AS,MATCH($J$1,Database!$A$1:$AS$1,),)))))/(((VLOOKUP(EDATE(B77,-12),Database!$A:$AS,MATCH($J$1,Database!$A$1:$AS$1,),)))))</f>
        <v/>
      </c>
      <c r="K77" s="13">
        <f>IF(VLOOKUP(B77,Database!$A:$AV,MATCH($K$1,Database!$A$1:$AV$1,),)=0,"#N/A",((((VLOOKUP(B77,Database!$A:$AS,MATCH($K$1,Database!$A$1:$AS$1,),))))-(((VLOOKUP(EDATE(B77,-12),Database!$A:$AS,MATCH($K$1,Database!$A$1:$AS$1,),)))))/(((VLOOKUP(EDATE(B77,-12),Database!$A:$AS,MATCH($K$1,Database!$A$1:$AS$1,),)))))</f>
        <v/>
      </c>
      <c r="L77" s="13">
        <f>((((VLOOKUP(B77,Database!$A:$AS,MATCH($L$1,Database!$A$1:$AS$1,),))))-(((VLOOKUP(EDATE(B77,-12),Database!$A:$AS,MATCH($L$1,Database!$A$1:$AS$1,),)))))/(((VLOOKUP(EDATE(B77,-12),Database!$A:$AS,MATCH($L$1,Database!$A$1:$AS$1,),))))</f>
        <v/>
      </c>
      <c r="M77" s="13">
        <f>((((VLOOKUP(B77,Database!$A:$AS,MATCH($M$1,Database!$A$1:$AS$1,),))))-(((VLOOKUP(EDATE(B77,-12),Database!$A:$AS,MATCH($M$1,Database!$A$1:$AS$1,),)))))/(((VLOOKUP(EDATE(B77,-12),Database!$A:$AS,MATCH($M$1,Database!$A$1:$AS$1,),))))</f>
        <v/>
      </c>
      <c r="N77" s="13">
        <f>((((VLOOKUP(B77,Database!$A:$AS,MATCH($N$1,Database!$A$1:$AS$1,),))))-(((VLOOKUP(EDATE(B77,-12),Database!$A:$AS,MATCH($N$1,Database!$A$1:$AS$1,),)))))/(((VLOOKUP(EDATE(B77,-12),Database!$A:$AS,MATCH($N$1,Database!$A$1:$AS$1,),))))</f>
        <v/>
      </c>
      <c r="O77" s="13">
        <f>IF(VLOOKUP(B77,Database!$A:$AV,MATCH($O$1,Database!$A$1:$AV$1,),)=0,"#N/A",((((VLOOKUP(B77,Database!$A:$AS,MATCH($O$1,Database!$A$1:$AS$1,),))))-(((VLOOKUP(EDATE(B77,-12),Database!$A:$AS,MATCH($O$1,Database!$A$1:$AS$1,),)))))/(((VLOOKUP(EDATE(B77,-12),Database!$A:$AS,MATCH($O$1,Database!$A$1:$AS$1,),)))))</f>
        <v/>
      </c>
      <c r="P77" s="13">
        <f>IF(VLOOKUP(B77,Database!$A:$AV,MATCH($P$1,Database!$A$1:$AV$1,),)=0,"#N/A",((((VLOOKUP(B77,Database!$A:$AS,MATCH($P$1,Database!$A$1:$AS$1,),))))-(((VLOOKUP(EDATE(B77,-12),Database!$A:$AS,MATCH($P$1,Database!$A$1:$AS$1,),)))))/(((VLOOKUP(EDATE(B77,-12),Database!$A:$AS,MATCH($P$1,Database!$A$1:$AS$1,),)))))</f>
        <v/>
      </c>
      <c r="Q77" s="13">
        <f>IF(VLOOKUP(B77,Database!$A:$AV,MATCH($Q$1,Database!$A$1:$AV$1,),)=0,"#N/A",((((VLOOKUP(B77,Database!$A:$AS,MATCH($Q$1,Database!$A$1:$AS$1,),))))-(((VLOOKUP(EDATE(B77,-12),Database!$A:$AS,MATCH($Q$1,Database!$A$1:$AS$1,),)))))/(((VLOOKUP(EDATE(B77,-12),Database!$A:$AS,MATCH($Q$1,Database!$A$1:$AS$1,),)))))</f>
        <v/>
      </c>
      <c r="R77" s="13">
        <f>IF(VLOOKUP(B77,Database!$A:$AV,MATCH($R$1,Database!$A$1:$AV$1,),)=0,"#N/A",((((VLOOKUP(B77,Database!$A:$AS,MATCH($R$1,Database!$A$1:$AS$1,),))))-(((VLOOKUP(EDATE(B77,-12),Database!$A:$AS,MATCH($R$1,Database!$A$1:$AS$1,),)))))/(((VLOOKUP(EDATE(B77,-12),Database!$A:$AS,MATCH($R$1,Database!$A$1:$AS$1,),)))))</f>
        <v/>
      </c>
      <c r="S77" s="13">
        <f>IF(VLOOKUP(B77,Database!$A:$AV,MATCH($S$1,Database!$A$1:$AV$1,),)=0,"#N/A",((((VLOOKUP(B77,Database!$A:$AS,MATCH($S$1,Database!$A$1:$AS$1,),))))-(((VLOOKUP(EDATE(B77,-12),Database!$A:$AS,MATCH($S$1,Database!$A$1:$AS$1,),)))))/(((VLOOKUP(EDATE(B77,-12),Database!$A:$AS,MATCH($S$1,Database!$A$1:$AS$1,),)))))</f>
        <v/>
      </c>
      <c r="T77" s="13">
        <f>IF(VLOOKUP(B77,Database!$A:$AV,MATCH($T$1,Database!$A$1:$AV$1,),)=0,"#N/A",((((VLOOKUP(B77,Database!$A:$AS,MATCH($T$1,Database!$A$1:$AS$1,),))))-(((VLOOKUP(EDATE(B77,-12),Database!$A:$AS,MATCH($T$1,Database!$A$1:$AS$1,),)))))/(((VLOOKUP(EDATE(B77,-12),Database!$A:$AS,MATCH($T$1,Database!$A$1:$AS$1,),)))))</f>
        <v/>
      </c>
      <c r="U77" s="13">
        <f>IF(VLOOKUP(B77,Database!$A:$AV,MATCH($U$1,Database!$A$1:$AV$1,),)=0,"#N/A",((((VLOOKUP(B77,Database!$A:$AS,MATCH($U$1,Database!$A$1:$AS$1,),))))-(((VLOOKUP(EDATE(B77,-12),Database!$A:$AS,MATCH($U$1,Database!$A$1:$AS$1,),)))))/(((VLOOKUP(EDATE(B77,-12),Database!$A:$AS,MATCH($U$1,Database!$A$1:$AS$1,),)))))</f>
        <v/>
      </c>
      <c r="V77" s="13">
        <f>IF(VLOOKUP(B77,Database!$A:$AV,MATCH($V$1,Database!$A$1:$AV$1,),)=0,"#N/A",((((VLOOKUP(B77,Database!$A:$AS,MATCH($V$1,Database!$A$1:$AS$1,),))))-(((VLOOKUP(EDATE(B77,-12),Database!$A:$AS,MATCH($V$1,Database!$A$1:$AS$1,),)))))/(((VLOOKUP(EDATE(B77,-12),Database!$A:$AS,MATCH($V$1,Database!$A$1:$AS$1,),)))))</f>
        <v/>
      </c>
    </row>
    <row r="78" customFormat="1" s="86">
      <c r="A78" s="43" t="n"/>
      <c r="B78" s="75" t="n">
        <v>34516</v>
      </c>
      <c r="C78" s="13">
        <f>IF(VLOOKUP(B78,Database!$A:$AU,MATCH($C$1,Database!$A$1:$AU$1,),)=0,"#N/A",((((VLOOKUP(B78,Database!$A:$AU,MATCH($C$1,Database!$A$1:$AU$1,),))))-(((VLOOKUP(EDATE(B78,-12),Database!$A:$AU,MATCH($C$1,Database!$A$1:$AU$1,),)))))/(((VLOOKUP(EDATE(B78,-12),Database!$A:$AU,MATCH($C$1,Database!$A$1:$AU$1,),)))))</f>
        <v/>
      </c>
      <c r="D78" s="13">
        <f>IF(VLOOKUP(B78,Database!$A:$AV,MATCH($D$1,Database!$A$1:$AV$1,),)=0,"#N/A",((((VLOOKUP(B78,Database!$A:$AS,MATCH($D$1,Database!$A$1:$AS$1,),))))-(((VLOOKUP(EDATE(B78,-12),Database!$A:$AS,MATCH($D$1,Database!$A$1:$AS$1,),)))))/(((VLOOKUP(EDATE(B78,-12),Database!$A:$AS,MATCH($D$1,Database!$A$1:$AS$1,),)))))</f>
        <v/>
      </c>
      <c r="E78" s="13">
        <f>IF(VLOOKUP(B78,Database!$A:$AV,MATCH($E$1,Database!$A$1:$AV$1,),)=0,"#N/A",((((VLOOKUP(B78,Database!$A:$AS,MATCH($E$1,Database!$A$1:$AS$1,),))))-(((VLOOKUP(EDATE(B78,-12),Database!$A:$AS,MATCH($E$1,Database!$A$1:$AS$1,),)))))/(((VLOOKUP(EDATE(B78,-12),Database!$A:$AS,MATCH($E$1,Database!$A$1:$AS$1,),)))))</f>
        <v/>
      </c>
      <c r="F78" s="13">
        <f>IF(VLOOKUP(B78,Database!$A:$AV,MATCH($F$1,Database!$A$1:$AV$1,),)=0,"#N/A",((((VLOOKUP(B78,Database!$A:$AS,MATCH($F$1,Database!$A$1:$AS$1,),))))-(((VLOOKUP(EDATE(B78,-12),Database!$A:$AS,MATCH($F$1,Database!$A$1:$AS$1,),)))))/(((VLOOKUP(EDATE(B78,-12),Database!$A:$AS,MATCH($F$1,Database!$A$1:$AS$1,),)))))</f>
        <v/>
      </c>
      <c r="G78" s="13">
        <f>IF(VLOOKUP(B78,Database!$A:$AV,MATCH($G$1,Database!$A$1:$AV$1,),)=0,"#N/A",((((VLOOKUP(B78,Database!$A:$AS,MATCH($G$1,Database!$A$1:$AS$1,),))))-(((VLOOKUP(EDATE(B78,-12),Database!$A:$AS,MATCH($G$1,Database!$A$1:$AS$1,),)))))/(((VLOOKUP(EDATE(B78,-12),Database!$A:$AS,MATCH($G$1,Database!$A$1:$AS$1,),)))))</f>
        <v/>
      </c>
      <c r="H78" s="13">
        <f>IF(VLOOKUP(B78,Database!$A:$AV,MATCH($H$1,Database!$A$1:$AV$1,),)=0,"#N/A",((((VLOOKUP(B78,Database!$A:$AS,MATCH($H$1,Database!$A$1:$AS$1,),))))-(((VLOOKUP(EDATE(B78,-12),Database!$A:$AS,MATCH($H$1,Database!$A$1:$AS$1,),)))))/(((VLOOKUP(EDATE(B78,-12),Database!$A:$AS,MATCH($H$1,Database!$A$1:$AS$1,),)))))</f>
        <v/>
      </c>
      <c r="I78" s="13">
        <f>IF(VLOOKUP(B78,Database!$A:$AV,MATCH($I$1,Database!$A$1:$AV$1,),)=0,"#N/A",((((VLOOKUP(B78,Database!$A:$AS,MATCH($I$1,Database!$A$1:$AS$1,),))))-(((VLOOKUP(EDATE(B78,-12),Database!$A:$AS,MATCH($I$1,Database!$A$1:$AS$1,),)))))/(((VLOOKUP(EDATE(B78,-12),Database!$A:$AS,MATCH($I$1,Database!$A$1:$AS$1,),)))))</f>
        <v/>
      </c>
      <c r="J78" s="13">
        <f>IF(VLOOKUP(B78,Database!$A:$AV,MATCH($J$1,Database!$A$1:$AV$1,),)=0,"#N/A",((((VLOOKUP(B78,Database!$A:$AS,MATCH($J$1,Database!$A$1:$AS$1,),))))-(((VLOOKUP(EDATE(B78,-12),Database!$A:$AS,MATCH($J$1,Database!$A$1:$AS$1,),)))))/(((VLOOKUP(EDATE(B78,-12),Database!$A:$AS,MATCH($J$1,Database!$A$1:$AS$1,),)))))</f>
        <v/>
      </c>
      <c r="K78" s="13">
        <f>IF(VLOOKUP(B78,Database!$A:$AV,MATCH($K$1,Database!$A$1:$AV$1,),)=0,"#N/A",((((VLOOKUP(B78,Database!$A:$AS,MATCH($K$1,Database!$A$1:$AS$1,),))))-(((VLOOKUP(EDATE(B78,-12),Database!$A:$AS,MATCH($K$1,Database!$A$1:$AS$1,),)))))/(((VLOOKUP(EDATE(B78,-12),Database!$A:$AS,MATCH($K$1,Database!$A$1:$AS$1,),)))))</f>
        <v/>
      </c>
      <c r="L78" s="13">
        <f>((((VLOOKUP(B78,Database!$A:$AS,MATCH($L$1,Database!$A$1:$AS$1,),))))-(((VLOOKUP(EDATE(B78,-12),Database!$A:$AS,MATCH($L$1,Database!$A$1:$AS$1,),)))))/(((VLOOKUP(EDATE(B78,-12),Database!$A:$AS,MATCH($L$1,Database!$A$1:$AS$1,),))))</f>
        <v/>
      </c>
      <c r="M78" s="13">
        <f>((((VLOOKUP(B78,Database!$A:$AS,MATCH($M$1,Database!$A$1:$AS$1,),))))-(((VLOOKUP(EDATE(B78,-12),Database!$A:$AS,MATCH($M$1,Database!$A$1:$AS$1,),)))))/(((VLOOKUP(EDATE(B78,-12),Database!$A:$AS,MATCH($M$1,Database!$A$1:$AS$1,),))))</f>
        <v/>
      </c>
      <c r="N78" s="13">
        <f>((((VLOOKUP(B78,Database!$A:$AS,MATCH($N$1,Database!$A$1:$AS$1,),))))-(((VLOOKUP(EDATE(B78,-12),Database!$A:$AS,MATCH($N$1,Database!$A$1:$AS$1,),)))))/(((VLOOKUP(EDATE(B78,-12),Database!$A:$AS,MATCH($N$1,Database!$A$1:$AS$1,),))))</f>
        <v/>
      </c>
      <c r="O78" s="13">
        <f>IF(VLOOKUP(B78,Database!$A:$AV,MATCH($O$1,Database!$A$1:$AV$1,),)=0,"#N/A",((((VLOOKUP(B78,Database!$A:$AS,MATCH($O$1,Database!$A$1:$AS$1,),))))-(((VLOOKUP(EDATE(B78,-12),Database!$A:$AS,MATCH($O$1,Database!$A$1:$AS$1,),)))))/(((VLOOKUP(EDATE(B78,-12),Database!$A:$AS,MATCH($O$1,Database!$A$1:$AS$1,),)))))</f>
        <v/>
      </c>
      <c r="P78" s="13">
        <f>IF(VLOOKUP(B78,Database!$A:$AV,MATCH($P$1,Database!$A$1:$AV$1,),)=0,"#N/A",((((VLOOKUP(B78,Database!$A:$AS,MATCH($P$1,Database!$A$1:$AS$1,),))))-(((VLOOKUP(EDATE(B78,-12),Database!$A:$AS,MATCH($P$1,Database!$A$1:$AS$1,),)))))/(((VLOOKUP(EDATE(B78,-12),Database!$A:$AS,MATCH($P$1,Database!$A$1:$AS$1,),)))))</f>
        <v/>
      </c>
      <c r="Q78" s="13">
        <f>IF(VLOOKUP(B78,Database!$A:$AV,MATCH($Q$1,Database!$A$1:$AV$1,),)=0,"#N/A",((((VLOOKUP(B78,Database!$A:$AS,MATCH($Q$1,Database!$A$1:$AS$1,),))))-(((VLOOKUP(EDATE(B78,-12),Database!$A:$AS,MATCH($Q$1,Database!$A$1:$AS$1,),)))))/(((VLOOKUP(EDATE(B78,-12),Database!$A:$AS,MATCH($Q$1,Database!$A$1:$AS$1,),)))))</f>
        <v/>
      </c>
      <c r="R78" s="13">
        <f>IF(VLOOKUP(B78,Database!$A:$AV,MATCH($R$1,Database!$A$1:$AV$1,),)=0,"#N/A",((((VLOOKUP(B78,Database!$A:$AS,MATCH($R$1,Database!$A$1:$AS$1,),))))-(((VLOOKUP(EDATE(B78,-12),Database!$A:$AS,MATCH($R$1,Database!$A$1:$AS$1,),)))))/(((VLOOKUP(EDATE(B78,-12),Database!$A:$AS,MATCH($R$1,Database!$A$1:$AS$1,),)))))</f>
        <v/>
      </c>
      <c r="S78" s="13">
        <f>IF(VLOOKUP(B78,Database!$A:$AV,MATCH($S$1,Database!$A$1:$AV$1,),)=0,"#N/A",((((VLOOKUP(B78,Database!$A:$AS,MATCH($S$1,Database!$A$1:$AS$1,),))))-(((VLOOKUP(EDATE(B78,-12),Database!$A:$AS,MATCH($S$1,Database!$A$1:$AS$1,),)))))/(((VLOOKUP(EDATE(B78,-12),Database!$A:$AS,MATCH($S$1,Database!$A$1:$AS$1,),)))))</f>
        <v/>
      </c>
      <c r="T78" s="13">
        <f>IF(VLOOKUP(B78,Database!$A:$AV,MATCH($T$1,Database!$A$1:$AV$1,),)=0,"#N/A",((((VLOOKUP(B78,Database!$A:$AS,MATCH($T$1,Database!$A$1:$AS$1,),))))-(((VLOOKUP(EDATE(B78,-12),Database!$A:$AS,MATCH($T$1,Database!$A$1:$AS$1,),)))))/(((VLOOKUP(EDATE(B78,-12),Database!$A:$AS,MATCH($T$1,Database!$A$1:$AS$1,),)))))</f>
        <v/>
      </c>
      <c r="U78" s="13">
        <f>IF(VLOOKUP(B78,Database!$A:$AV,MATCH($U$1,Database!$A$1:$AV$1,),)=0,"#N/A",((((VLOOKUP(B78,Database!$A:$AS,MATCH($U$1,Database!$A$1:$AS$1,),))))-(((VLOOKUP(EDATE(B78,-12),Database!$A:$AS,MATCH($U$1,Database!$A$1:$AS$1,),)))))/(((VLOOKUP(EDATE(B78,-12),Database!$A:$AS,MATCH($U$1,Database!$A$1:$AS$1,),)))))</f>
        <v/>
      </c>
      <c r="V78" s="13">
        <f>IF(VLOOKUP(B78,Database!$A:$AV,MATCH($V$1,Database!$A$1:$AV$1,),)=0,"#N/A",((((VLOOKUP(B78,Database!$A:$AS,MATCH($V$1,Database!$A$1:$AS$1,),))))-(((VLOOKUP(EDATE(B78,-12),Database!$A:$AS,MATCH($V$1,Database!$A$1:$AS$1,),)))))/(((VLOOKUP(EDATE(B78,-12),Database!$A:$AS,MATCH($V$1,Database!$A$1:$AS$1,),)))))</f>
        <v/>
      </c>
    </row>
    <row r="79" customFormat="1" s="86">
      <c r="A79" s="43" t="n"/>
      <c r="B79" s="75" t="n">
        <v>34547</v>
      </c>
      <c r="C79" s="13">
        <f>IF(VLOOKUP(B79,Database!$A:$AU,MATCH($C$1,Database!$A$1:$AU$1,),)=0,"#N/A",((((VLOOKUP(B79,Database!$A:$AU,MATCH($C$1,Database!$A$1:$AU$1,),))))-(((VLOOKUP(EDATE(B79,-12),Database!$A:$AU,MATCH($C$1,Database!$A$1:$AU$1,),)))))/(((VLOOKUP(EDATE(B79,-12),Database!$A:$AU,MATCH($C$1,Database!$A$1:$AU$1,),)))))</f>
        <v/>
      </c>
      <c r="D79" s="13">
        <f>IF(VLOOKUP(B79,Database!$A:$AV,MATCH($D$1,Database!$A$1:$AV$1,),)=0,"#N/A",((((VLOOKUP(B79,Database!$A:$AS,MATCH($D$1,Database!$A$1:$AS$1,),))))-(((VLOOKUP(EDATE(B79,-12),Database!$A:$AS,MATCH($D$1,Database!$A$1:$AS$1,),)))))/(((VLOOKUP(EDATE(B79,-12),Database!$A:$AS,MATCH($D$1,Database!$A$1:$AS$1,),)))))</f>
        <v/>
      </c>
      <c r="E79" s="13">
        <f>IF(VLOOKUP(B79,Database!$A:$AV,MATCH($E$1,Database!$A$1:$AV$1,),)=0,"#N/A",((((VLOOKUP(B79,Database!$A:$AS,MATCH($E$1,Database!$A$1:$AS$1,),))))-(((VLOOKUP(EDATE(B79,-12),Database!$A:$AS,MATCH($E$1,Database!$A$1:$AS$1,),)))))/(((VLOOKUP(EDATE(B79,-12),Database!$A:$AS,MATCH($E$1,Database!$A$1:$AS$1,),)))))</f>
        <v/>
      </c>
      <c r="F79" s="13">
        <f>IF(VLOOKUP(B79,Database!$A:$AV,MATCH($F$1,Database!$A$1:$AV$1,),)=0,"#N/A",((((VLOOKUP(B79,Database!$A:$AS,MATCH($F$1,Database!$A$1:$AS$1,),))))-(((VLOOKUP(EDATE(B79,-12),Database!$A:$AS,MATCH($F$1,Database!$A$1:$AS$1,),)))))/(((VLOOKUP(EDATE(B79,-12),Database!$A:$AS,MATCH($F$1,Database!$A$1:$AS$1,),)))))</f>
        <v/>
      </c>
      <c r="G79" s="13">
        <f>IF(VLOOKUP(B79,Database!$A:$AV,MATCH($G$1,Database!$A$1:$AV$1,),)=0,"#N/A",((((VLOOKUP(B79,Database!$A:$AS,MATCH($G$1,Database!$A$1:$AS$1,),))))-(((VLOOKUP(EDATE(B79,-12),Database!$A:$AS,MATCH($G$1,Database!$A$1:$AS$1,),)))))/(((VLOOKUP(EDATE(B79,-12),Database!$A:$AS,MATCH($G$1,Database!$A$1:$AS$1,),)))))</f>
        <v/>
      </c>
      <c r="H79" s="13">
        <f>IF(VLOOKUP(B79,Database!$A:$AV,MATCH($H$1,Database!$A$1:$AV$1,),)=0,"#N/A",((((VLOOKUP(B79,Database!$A:$AS,MATCH($H$1,Database!$A$1:$AS$1,),))))-(((VLOOKUP(EDATE(B79,-12),Database!$A:$AS,MATCH($H$1,Database!$A$1:$AS$1,),)))))/(((VLOOKUP(EDATE(B79,-12),Database!$A:$AS,MATCH($H$1,Database!$A$1:$AS$1,),)))))</f>
        <v/>
      </c>
      <c r="I79" s="13">
        <f>IF(VLOOKUP(B79,Database!$A:$AV,MATCH($I$1,Database!$A$1:$AV$1,),)=0,"#N/A",((((VLOOKUP(B79,Database!$A:$AS,MATCH($I$1,Database!$A$1:$AS$1,),))))-(((VLOOKUP(EDATE(B79,-12),Database!$A:$AS,MATCH($I$1,Database!$A$1:$AS$1,),)))))/(((VLOOKUP(EDATE(B79,-12),Database!$A:$AS,MATCH($I$1,Database!$A$1:$AS$1,),)))))</f>
        <v/>
      </c>
      <c r="J79" s="13">
        <f>IF(VLOOKUP(B79,Database!$A:$AV,MATCH($J$1,Database!$A$1:$AV$1,),)=0,"#N/A",((((VLOOKUP(B79,Database!$A:$AS,MATCH($J$1,Database!$A$1:$AS$1,),))))-(((VLOOKUP(EDATE(B79,-12),Database!$A:$AS,MATCH($J$1,Database!$A$1:$AS$1,),)))))/(((VLOOKUP(EDATE(B79,-12),Database!$A:$AS,MATCH($J$1,Database!$A$1:$AS$1,),)))))</f>
        <v/>
      </c>
      <c r="K79" s="13">
        <f>IF(VLOOKUP(B79,Database!$A:$AV,MATCH($K$1,Database!$A$1:$AV$1,),)=0,"#N/A",((((VLOOKUP(B79,Database!$A:$AS,MATCH($K$1,Database!$A$1:$AS$1,),))))-(((VLOOKUP(EDATE(B79,-12),Database!$A:$AS,MATCH($K$1,Database!$A$1:$AS$1,),)))))/(((VLOOKUP(EDATE(B79,-12),Database!$A:$AS,MATCH($K$1,Database!$A$1:$AS$1,),)))))</f>
        <v/>
      </c>
      <c r="L79" s="13">
        <f>((((VLOOKUP(B79,Database!$A:$AS,MATCH($L$1,Database!$A$1:$AS$1,),))))-(((VLOOKUP(EDATE(B79,-12),Database!$A:$AS,MATCH($L$1,Database!$A$1:$AS$1,),)))))/(((VLOOKUP(EDATE(B79,-12),Database!$A:$AS,MATCH($L$1,Database!$A$1:$AS$1,),))))</f>
        <v/>
      </c>
      <c r="M79" s="13">
        <f>((((VLOOKUP(B79,Database!$A:$AS,MATCH($M$1,Database!$A$1:$AS$1,),))))-(((VLOOKUP(EDATE(B79,-12),Database!$A:$AS,MATCH($M$1,Database!$A$1:$AS$1,),)))))/(((VLOOKUP(EDATE(B79,-12),Database!$A:$AS,MATCH($M$1,Database!$A$1:$AS$1,),))))</f>
        <v/>
      </c>
      <c r="N79" s="13">
        <f>((((VLOOKUP(B79,Database!$A:$AS,MATCH($N$1,Database!$A$1:$AS$1,),))))-(((VLOOKUP(EDATE(B79,-12),Database!$A:$AS,MATCH($N$1,Database!$A$1:$AS$1,),)))))/(((VLOOKUP(EDATE(B79,-12),Database!$A:$AS,MATCH($N$1,Database!$A$1:$AS$1,),))))</f>
        <v/>
      </c>
      <c r="O79" s="13">
        <f>IF(VLOOKUP(B79,Database!$A:$AV,MATCH($O$1,Database!$A$1:$AV$1,),)=0,"#N/A",((((VLOOKUP(B79,Database!$A:$AS,MATCH($O$1,Database!$A$1:$AS$1,),))))-(((VLOOKUP(EDATE(B79,-12),Database!$A:$AS,MATCH($O$1,Database!$A$1:$AS$1,),)))))/(((VLOOKUP(EDATE(B79,-12),Database!$A:$AS,MATCH($O$1,Database!$A$1:$AS$1,),)))))</f>
        <v/>
      </c>
      <c r="P79" s="13">
        <f>IF(VLOOKUP(B79,Database!$A:$AV,MATCH($P$1,Database!$A$1:$AV$1,),)=0,"#N/A",((((VLOOKUP(B79,Database!$A:$AS,MATCH($P$1,Database!$A$1:$AS$1,),))))-(((VLOOKUP(EDATE(B79,-12),Database!$A:$AS,MATCH($P$1,Database!$A$1:$AS$1,),)))))/(((VLOOKUP(EDATE(B79,-12),Database!$A:$AS,MATCH($P$1,Database!$A$1:$AS$1,),)))))</f>
        <v/>
      </c>
      <c r="Q79" s="13">
        <f>IF(VLOOKUP(B79,Database!$A:$AV,MATCH($Q$1,Database!$A$1:$AV$1,),)=0,"#N/A",((((VLOOKUP(B79,Database!$A:$AS,MATCH($Q$1,Database!$A$1:$AS$1,),))))-(((VLOOKUP(EDATE(B79,-12),Database!$A:$AS,MATCH($Q$1,Database!$A$1:$AS$1,),)))))/(((VLOOKUP(EDATE(B79,-12),Database!$A:$AS,MATCH($Q$1,Database!$A$1:$AS$1,),)))))</f>
        <v/>
      </c>
      <c r="R79" s="13">
        <f>IF(VLOOKUP(B79,Database!$A:$AV,MATCH($R$1,Database!$A$1:$AV$1,),)=0,"#N/A",((((VLOOKUP(B79,Database!$A:$AS,MATCH($R$1,Database!$A$1:$AS$1,),))))-(((VLOOKUP(EDATE(B79,-12),Database!$A:$AS,MATCH($R$1,Database!$A$1:$AS$1,),)))))/(((VLOOKUP(EDATE(B79,-12),Database!$A:$AS,MATCH($R$1,Database!$A$1:$AS$1,),)))))</f>
        <v/>
      </c>
      <c r="S79" s="13">
        <f>IF(VLOOKUP(B79,Database!$A:$AV,MATCH($S$1,Database!$A$1:$AV$1,),)=0,"#N/A",((((VLOOKUP(B79,Database!$A:$AS,MATCH($S$1,Database!$A$1:$AS$1,),))))-(((VLOOKUP(EDATE(B79,-12),Database!$A:$AS,MATCH($S$1,Database!$A$1:$AS$1,),)))))/(((VLOOKUP(EDATE(B79,-12),Database!$A:$AS,MATCH($S$1,Database!$A$1:$AS$1,),)))))</f>
        <v/>
      </c>
      <c r="T79" s="13">
        <f>IF(VLOOKUP(B79,Database!$A:$AV,MATCH($T$1,Database!$A$1:$AV$1,),)=0,"#N/A",((((VLOOKUP(B79,Database!$A:$AS,MATCH($T$1,Database!$A$1:$AS$1,),))))-(((VLOOKUP(EDATE(B79,-12),Database!$A:$AS,MATCH($T$1,Database!$A$1:$AS$1,),)))))/(((VLOOKUP(EDATE(B79,-12),Database!$A:$AS,MATCH($T$1,Database!$A$1:$AS$1,),)))))</f>
        <v/>
      </c>
      <c r="U79" s="13">
        <f>IF(VLOOKUP(B79,Database!$A:$AV,MATCH($U$1,Database!$A$1:$AV$1,),)=0,"#N/A",((((VLOOKUP(B79,Database!$A:$AS,MATCH($U$1,Database!$A$1:$AS$1,),))))-(((VLOOKUP(EDATE(B79,-12),Database!$A:$AS,MATCH($U$1,Database!$A$1:$AS$1,),)))))/(((VLOOKUP(EDATE(B79,-12),Database!$A:$AS,MATCH($U$1,Database!$A$1:$AS$1,),)))))</f>
        <v/>
      </c>
      <c r="V79" s="13">
        <f>IF(VLOOKUP(B79,Database!$A:$AV,MATCH($V$1,Database!$A$1:$AV$1,),)=0,"#N/A",((((VLOOKUP(B79,Database!$A:$AS,MATCH($V$1,Database!$A$1:$AS$1,),))))-(((VLOOKUP(EDATE(B79,-12),Database!$A:$AS,MATCH($V$1,Database!$A$1:$AS$1,),)))))/(((VLOOKUP(EDATE(B79,-12),Database!$A:$AS,MATCH($V$1,Database!$A$1:$AS$1,),)))))</f>
        <v/>
      </c>
    </row>
    <row r="80" customFormat="1" s="86">
      <c r="A80" s="43" t="n"/>
      <c r="B80" s="75" t="n">
        <v>34578</v>
      </c>
      <c r="C80" s="13">
        <f>IF(VLOOKUP(B80,Database!$A:$AU,MATCH($C$1,Database!$A$1:$AU$1,),)=0,"#N/A",((((VLOOKUP(B80,Database!$A:$AU,MATCH($C$1,Database!$A$1:$AU$1,),))))-(((VLOOKUP(EDATE(B80,-12),Database!$A:$AU,MATCH($C$1,Database!$A$1:$AU$1,),)))))/(((VLOOKUP(EDATE(B80,-12),Database!$A:$AU,MATCH($C$1,Database!$A$1:$AU$1,),)))))</f>
        <v/>
      </c>
      <c r="D80" s="13">
        <f>IF(VLOOKUP(B80,Database!$A:$AV,MATCH($D$1,Database!$A$1:$AV$1,),)=0,"#N/A",((((VLOOKUP(B80,Database!$A:$AS,MATCH($D$1,Database!$A$1:$AS$1,),))))-(((VLOOKUP(EDATE(B80,-12),Database!$A:$AS,MATCH($D$1,Database!$A$1:$AS$1,),)))))/(((VLOOKUP(EDATE(B80,-12),Database!$A:$AS,MATCH($D$1,Database!$A$1:$AS$1,),)))))</f>
        <v/>
      </c>
      <c r="E80" s="13">
        <f>IF(VLOOKUP(B80,Database!$A:$AV,MATCH($E$1,Database!$A$1:$AV$1,),)=0,"#N/A",((((VLOOKUP(B80,Database!$A:$AS,MATCH($E$1,Database!$A$1:$AS$1,),))))-(((VLOOKUP(EDATE(B80,-12),Database!$A:$AS,MATCH($E$1,Database!$A$1:$AS$1,),)))))/(((VLOOKUP(EDATE(B80,-12),Database!$A:$AS,MATCH($E$1,Database!$A$1:$AS$1,),)))))</f>
        <v/>
      </c>
      <c r="F80" s="13">
        <f>IF(VLOOKUP(B80,Database!$A:$AV,MATCH($F$1,Database!$A$1:$AV$1,),)=0,"#N/A",((((VLOOKUP(B80,Database!$A:$AS,MATCH($F$1,Database!$A$1:$AS$1,),))))-(((VLOOKUP(EDATE(B80,-12),Database!$A:$AS,MATCH($F$1,Database!$A$1:$AS$1,),)))))/(((VLOOKUP(EDATE(B80,-12),Database!$A:$AS,MATCH($F$1,Database!$A$1:$AS$1,),)))))</f>
        <v/>
      </c>
      <c r="G80" s="13">
        <f>IF(VLOOKUP(B80,Database!$A:$AV,MATCH($G$1,Database!$A$1:$AV$1,),)=0,"#N/A",((((VLOOKUP(B80,Database!$A:$AS,MATCH($G$1,Database!$A$1:$AS$1,),))))-(((VLOOKUP(EDATE(B80,-12),Database!$A:$AS,MATCH($G$1,Database!$A$1:$AS$1,),)))))/(((VLOOKUP(EDATE(B80,-12),Database!$A:$AS,MATCH($G$1,Database!$A$1:$AS$1,),)))))</f>
        <v/>
      </c>
      <c r="H80" s="13">
        <f>IF(VLOOKUP(B80,Database!$A:$AV,MATCH($H$1,Database!$A$1:$AV$1,),)=0,"#N/A",((((VLOOKUP(B80,Database!$A:$AS,MATCH($H$1,Database!$A$1:$AS$1,),))))-(((VLOOKUP(EDATE(B80,-12),Database!$A:$AS,MATCH($H$1,Database!$A$1:$AS$1,),)))))/(((VLOOKUP(EDATE(B80,-12),Database!$A:$AS,MATCH($H$1,Database!$A$1:$AS$1,),)))))</f>
        <v/>
      </c>
      <c r="I80" s="13">
        <f>IF(VLOOKUP(B80,Database!$A:$AV,MATCH($I$1,Database!$A$1:$AV$1,),)=0,"#N/A",((((VLOOKUP(B80,Database!$A:$AS,MATCH($I$1,Database!$A$1:$AS$1,),))))-(((VLOOKUP(EDATE(B80,-12),Database!$A:$AS,MATCH($I$1,Database!$A$1:$AS$1,),)))))/(((VLOOKUP(EDATE(B80,-12),Database!$A:$AS,MATCH($I$1,Database!$A$1:$AS$1,),)))))</f>
        <v/>
      </c>
      <c r="J80" s="13">
        <f>IF(VLOOKUP(B80,Database!$A:$AV,MATCH($J$1,Database!$A$1:$AV$1,),)=0,"#N/A",((((VLOOKUP(B80,Database!$A:$AS,MATCH($J$1,Database!$A$1:$AS$1,),))))-(((VLOOKUP(EDATE(B80,-12),Database!$A:$AS,MATCH($J$1,Database!$A$1:$AS$1,),)))))/(((VLOOKUP(EDATE(B80,-12),Database!$A:$AS,MATCH($J$1,Database!$A$1:$AS$1,),)))))</f>
        <v/>
      </c>
      <c r="K80" s="13">
        <f>IF(VLOOKUP(B80,Database!$A:$AV,MATCH($K$1,Database!$A$1:$AV$1,),)=0,"#N/A",((((VLOOKUP(B80,Database!$A:$AS,MATCH($K$1,Database!$A$1:$AS$1,),))))-(((VLOOKUP(EDATE(B80,-12),Database!$A:$AS,MATCH($K$1,Database!$A$1:$AS$1,),)))))/(((VLOOKUP(EDATE(B80,-12),Database!$A:$AS,MATCH($K$1,Database!$A$1:$AS$1,),)))))</f>
        <v/>
      </c>
      <c r="L80" s="13">
        <f>((((VLOOKUP(B80,Database!$A:$AS,MATCH($L$1,Database!$A$1:$AS$1,),))))-(((VLOOKUP(EDATE(B80,-12),Database!$A:$AS,MATCH($L$1,Database!$A$1:$AS$1,),)))))/(((VLOOKUP(EDATE(B80,-12),Database!$A:$AS,MATCH($L$1,Database!$A$1:$AS$1,),))))</f>
        <v/>
      </c>
      <c r="M80" s="13">
        <f>((((VLOOKUP(B80,Database!$A:$AS,MATCH($M$1,Database!$A$1:$AS$1,),))))-(((VLOOKUP(EDATE(B80,-12),Database!$A:$AS,MATCH($M$1,Database!$A$1:$AS$1,),)))))/(((VLOOKUP(EDATE(B80,-12),Database!$A:$AS,MATCH($M$1,Database!$A$1:$AS$1,),))))</f>
        <v/>
      </c>
      <c r="N80" s="13">
        <f>((((VLOOKUP(B80,Database!$A:$AS,MATCH($N$1,Database!$A$1:$AS$1,),))))-(((VLOOKUP(EDATE(B80,-12),Database!$A:$AS,MATCH($N$1,Database!$A$1:$AS$1,),)))))/(((VLOOKUP(EDATE(B80,-12),Database!$A:$AS,MATCH($N$1,Database!$A$1:$AS$1,),))))</f>
        <v/>
      </c>
      <c r="O80" s="13">
        <f>IF(VLOOKUP(B80,Database!$A:$AV,MATCH($O$1,Database!$A$1:$AV$1,),)=0,"#N/A",((((VLOOKUP(B80,Database!$A:$AS,MATCH($O$1,Database!$A$1:$AS$1,),))))-(((VLOOKUP(EDATE(B80,-12),Database!$A:$AS,MATCH($O$1,Database!$A$1:$AS$1,),)))))/(((VLOOKUP(EDATE(B80,-12),Database!$A:$AS,MATCH($O$1,Database!$A$1:$AS$1,),)))))</f>
        <v/>
      </c>
      <c r="P80" s="13">
        <f>IF(VLOOKUP(B80,Database!$A:$AV,MATCH($P$1,Database!$A$1:$AV$1,),)=0,"#N/A",((((VLOOKUP(B80,Database!$A:$AS,MATCH($P$1,Database!$A$1:$AS$1,),))))-(((VLOOKUP(EDATE(B80,-12),Database!$A:$AS,MATCH($P$1,Database!$A$1:$AS$1,),)))))/(((VLOOKUP(EDATE(B80,-12),Database!$A:$AS,MATCH($P$1,Database!$A$1:$AS$1,),)))))</f>
        <v/>
      </c>
      <c r="Q80" s="13">
        <f>IF(VLOOKUP(B80,Database!$A:$AV,MATCH($Q$1,Database!$A$1:$AV$1,),)=0,"#N/A",((((VLOOKUP(B80,Database!$A:$AS,MATCH($Q$1,Database!$A$1:$AS$1,),))))-(((VLOOKUP(EDATE(B80,-12),Database!$A:$AS,MATCH($Q$1,Database!$A$1:$AS$1,),)))))/(((VLOOKUP(EDATE(B80,-12),Database!$A:$AS,MATCH($Q$1,Database!$A$1:$AS$1,),)))))</f>
        <v/>
      </c>
      <c r="R80" s="13">
        <f>IF(VLOOKUP(B80,Database!$A:$AV,MATCH($R$1,Database!$A$1:$AV$1,),)=0,"#N/A",((((VLOOKUP(B80,Database!$A:$AS,MATCH($R$1,Database!$A$1:$AS$1,),))))-(((VLOOKUP(EDATE(B80,-12),Database!$A:$AS,MATCH($R$1,Database!$A$1:$AS$1,),)))))/(((VLOOKUP(EDATE(B80,-12),Database!$A:$AS,MATCH($R$1,Database!$A$1:$AS$1,),)))))</f>
        <v/>
      </c>
      <c r="S80" s="13">
        <f>IF(VLOOKUP(B80,Database!$A:$AV,MATCH($S$1,Database!$A$1:$AV$1,),)=0,"#N/A",((((VLOOKUP(B80,Database!$A:$AS,MATCH($S$1,Database!$A$1:$AS$1,),))))-(((VLOOKUP(EDATE(B80,-12),Database!$A:$AS,MATCH($S$1,Database!$A$1:$AS$1,),)))))/(((VLOOKUP(EDATE(B80,-12),Database!$A:$AS,MATCH($S$1,Database!$A$1:$AS$1,),)))))</f>
        <v/>
      </c>
      <c r="T80" s="13">
        <f>IF(VLOOKUP(B80,Database!$A:$AV,MATCH($T$1,Database!$A$1:$AV$1,),)=0,"#N/A",((((VLOOKUP(B80,Database!$A:$AS,MATCH($T$1,Database!$A$1:$AS$1,),))))-(((VLOOKUP(EDATE(B80,-12),Database!$A:$AS,MATCH($T$1,Database!$A$1:$AS$1,),)))))/(((VLOOKUP(EDATE(B80,-12),Database!$A:$AS,MATCH($T$1,Database!$A$1:$AS$1,),)))))</f>
        <v/>
      </c>
      <c r="U80" s="13">
        <f>IF(VLOOKUP(B80,Database!$A:$AV,MATCH($U$1,Database!$A$1:$AV$1,),)=0,"#N/A",((((VLOOKUP(B80,Database!$A:$AS,MATCH($U$1,Database!$A$1:$AS$1,),))))-(((VLOOKUP(EDATE(B80,-12),Database!$A:$AS,MATCH($U$1,Database!$A$1:$AS$1,),)))))/(((VLOOKUP(EDATE(B80,-12),Database!$A:$AS,MATCH($U$1,Database!$A$1:$AS$1,),)))))</f>
        <v/>
      </c>
      <c r="V80" s="13">
        <f>IF(VLOOKUP(B80,Database!$A:$AV,MATCH($V$1,Database!$A$1:$AV$1,),)=0,"#N/A",((((VLOOKUP(B80,Database!$A:$AS,MATCH($V$1,Database!$A$1:$AS$1,),))))-(((VLOOKUP(EDATE(B80,-12),Database!$A:$AS,MATCH($V$1,Database!$A$1:$AS$1,),)))))/(((VLOOKUP(EDATE(B80,-12),Database!$A:$AS,MATCH($V$1,Database!$A$1:$AS$1,),)))))</f>
        <v/>
      </c>
    </row>
    <row r="81" customFormat="1" s="86">
      <c r="A81" s="43" t="n"/>
      <c r="B81" s="75" t="n">
        <v>34608</v>
      </c>
      <c r="C81" s="13">
        <f>IF(VLOOKUP(B81,Database!$A:$AU,MATCH($C$1,Database!$A$1:$AU$1,),)=0,"#N/A",((((VLOOKUP(B81,Database!$A:$AU,MATCH($C$1,Database!$A$1:$AU$1,),))))-(((VLOOKUP(EDATE(B81,-12),Database!$A:$AU,MATCH($C$1,Database!$A$1:$AU$1,),)))))/(((VLOOKUP(EDATE(B81,-12),Database!$A:$AU,MATCH($C$1,Database!$A$1:$AU$1,),)))))</f>
        <v/>
      </c>
      <c r="D81" s="13">
        <f>IF(VLOOKUP(B81,Database!$A:$AV,MATCH($D$1,Database!$A$1:$AV$1,),)=0,"#N/A",((((VLOOKUP(B81,Database!$A:$AS,MATCH($D$1,Database!$A$1:$AS$1,),))))-(((VLOOKUP(EDATE(B81,-12),Database!$A:$AS,MATCH($D$1,Database!$A$1:$AS$1,),)))))/(((VLOOKUP(EDATE(B81,-12),Database!$A:$AS,MATCH($D$1,Database!$A$1:$AS$1,),)))))</f>
        <v/>
      </c>
      <c r="E81" s="13">
        <f>IF(VLOOKUP(B81,Database!$A:$AV,MATCH($E$1,Database!$A$1:$AV$1,),)=0,"#N/A",((((VLOOKUP(B81,Database!$A:$AS,MATCH($E$1,Database!$A$1:$AS$1,),))))-(((VLOOKUP(EDATE(B81,-12),Database!$A:$AS,MATCH($E$1,Database!$A$1:$AS$1,),)))))/(((VLOOKUP(EDATE(B81,-12),Database!$A:$AS,MATCH($E$1,Database!$A$1:$AS$1,),)))))</f>
        <v/>
      </c>
      <c r="F81" s="13">
        <f>IF(VLOOKUP(B81,Database!$A:$AV,MATCH($F$1,Database!$A$1:$AV$1,),)=0,"#N/A",((((VLOOKUP(B81,Database!$A:$AS,MATCH($F$1,Database!$A$1:$AS$1,),))))-(((VLOOKUP(EDATE(B81,-12),Database!$A:$AS,MATCH($F$1,Database!$A$1:$AS$1,),)))))/(((VLOOKUP(EDATE(B81,-12),Database!$A:$AS,MATCH($F$1,Database!$A$1:$AS$1,),)))))</f>
        <v/>
      </c>
      <c r="G81" s="13">
        <f>IF(VLOOKUP(B81,Database!$A:$AV,MATCH($G$1,Database!$A$1:$AV$1,),)=0,"#N/A",((((VLOOKUP(B81,Database!$A:$AS,MATCH($G$1,Database!$A$1:$AS$1,),))))-(((VLOOKUP(EDATE(B81,-12),Database!$A:$AS,MATCH($G$1,Database!$A$1:$AS$1,),)))))/(((VLOOKUP(EDATE(B81,-12),Database!$A:$AS,MATCH($G$1,Database!$A$1:$AS$1,),)))))</f>
        <v/>
      </c>
      <c r="H81" s="13">
        <f>IF(VLOOKUP(B81,Database!$A:$AV,MATCH($H$1,Database!$A$1:$AV$1,),)=0,"#N/A",((((VLOOKUP(B81,Database!$A:$AS,MATCH($H$1,Database!$A$1:$AS$1,),))))-(((VLOOKUP(EDATE(B81,-12),Database!$A:$AS,MATCH($H$1,Database!$A$1:$AS$1,),)))))/(((VLOOKUP(EDATE(B81,-12),Database!$A:$AS,MATCH($H$1,Database!$A$1:$AS$1,),)))))</f>
        <v/>
      </c>
      <c r="I81" s="13">
        <f>IF(VLOOKUP(B81,Database!$A:$AV,MATCH($I$1,Database!$A$1:$AV$1,),)=0,"#N/A",((((VLOOKUP(B81,Database!$A:$AS,MATCH($I$1,Database!$A$1:$AS$1,),))))-(((VLOOKUP(EDATE(B81,-12),Database!$A:$AS,MATCH($I$1,Database!$A$1:$AS$1,),)))))/(((VLOOKUP(EDATE(B81,-12),Database!$A:$AS,MATCH($I$1,Database!$A$1:$AS$1,),)))))</f>
        <v/>
      </c>
      <c r="J81" s="13">
        <f>IF(VLOOKUP(B81,Database!$A:$AV,MATCH($J$1,Database!$A$1:$AV$1,),)=0,"#N/A",((((VLOOKUP(B81,Database!$A:$AS,MATCH($J$1,Database!$A$1:$AS$1,),))))-(((VLOOKUP(EDATE(B81,-12),Database!$A:$AS,MATCH($J$1,Database!$A$1:$AS$1,),)))))/(((VLOOKUP(EDATE(B81,-12),Database!$A:$AS,MATCH($J$1,Database!$A$1:$AS$1,),)))))</f>
        <v/>
      </c>
      <c r="K81" s="13">
        <f>IF(VLOOKUP(B81,Database!$A:$AV,MATCH($K$1,Database!$A$1:$AV$1,),)=0,"#N/A",((((VLOOKUP(B81,Database!$A:$AS,MATCH($K$1,Database!$A$1:$AS$1,),))))-(((VLOOKUP(EDATE(B81,-12),Database!$A:$AS,MATCH($K$1,Database!$A$1:$AS$1,),)))))/(((VLOOKUP(EDATE(B81,-12),Database!$A:$AS,MATCH($K$1,Database!$A$1:$AS$1,),)))))</f>
        <v/>
      </c>
      <c r="L81" s="13">
        <f>((((VLOOKUP(B81,Database!$A:$AS,MATCH($L$1,Database!$A$1:$AS$1,),))))-(((VLOOKUP(EDATE(B81,-12),Database!$A:$AS,MATCH($L$1,Database!$A$1:$AS$1,),)))))/(((VLOOKUP(EDATE(B81,-12),Database!$A:$AS,MATCH($L$1,Database!$A$1:$AS$1,),))))</f>
        <v/>
      </c>
      <c r="M81" s="13">
        <f>((((VLOOKUP(B81,Database!$A:$AS,MATCH($M$1,Database!$A$1:$AS$1,),))))-(((VLOOKUP(EDATE(B81,-12),Database!$A:$AS,MATCH($M$1,Database!$A$1:$AS$1,),)))))/(((VLOOKUP(EDATE(B81,-12),Database!$A:$AS,MATCH($M$1,Database!$A$1:$AS$1,),))))</f>
        <v/>
      </c>
      <c r="N81" s="13">
        <f>((((VLOOKUP(B81,Database!$A:$AS,MATCH($N$1,Database!$A$1:$AS$1,),))))-(((VLOOKUP(EDATE(B81,-12),Database!$A:$AS,MATCH($N$1,Database!$A$1:$AS$1,),)))))/(((VLOOKUP(EDATE(B81,-12),Database!$A:$AS,MATCH($N$1,Database!$A$1:$AS$1,),))))</f>
        <v/>
      </c>
      <c r="O81" s="13">
        <f>IF(VLOOKUP(B81,Database!$A:$AV,MATCH($O$1,Database!$A$1:$AV$1,),)=0,"#N/A",((((VLOOKUP(B81,Database!$A:$AS,MATCH($O$1,Database!$A$1:$AS$1,),))))-(((VLOOKUP(EDATE(B81,-12),Database!$A:$AS,MATCH($O$1,Database!$A$1:$AS$1,),)))))/(((VLOOKUP(EDATE(B81,-12),Database!$A:$AS,MATCH($O$1,Database!$A$1:$AS$1,),)))))</f>
        <v/>
      </c>
      <c r="P81" s="13">
        <f>IF(VLOOKUP(B81,Database!$A:$AV,MATCH($P$1,Database!$A$1:$AV$1,),)=0,"#N/A",((((VLOOKUP(B81,Database!$A:$AS,MATCH($P$1,Database!$A$1:$AS$1,),))))-(((VLOOKUP(EDATE(B81,-12),Database!$A:$AS,MATCH($P$1,Database!$A$1:$AS$1,),)))))/(((VLOOKUP(EDATE(B81,-12),Database!$A:$AS,MATCH($P$1,Database!$A$1:$AS$1,),)))))</f>
        <v/>
      </c>
      <c r="Q81" s="13">
        <f>IF(VLOOKUP(B81,Database!$A:$AV,MATCH($Q$1,Database!$A$1:$AV$1,),)=0,"#N/A",((((VLOOKUP(B81,Database!$A:$AS,MATCH($Q$1,Database!$A$1:$AS$1,),))))-(((VLOOKUP(EDATE(B81,-12),Database!$A:$AS,MATCH($Q$1,Database!$A$1:$AS$1,),)))))/(((VLOOKUP(EDATE(B81,-12),Database!$A:$AS,MATCH($Q$1,Database!$A$1:$AS$1,),)))))</f>
        <v/>
      </c>
      <c r="R81" s="13">
        <f>IF(VLOOKUP(B81,Database!$A:$AV,MATCH($R$1,Database!$A$1:$AV$1,),)=0,"#N/A",((((VLOOKUP(B81,Database!$A:$AS,MATCH($R$1,Database!$A$1:$AS$1,),))))-(((VLOOKUP(EDATE(B81,-12),Database!$A:$AS,MATCH($R$1,Database!$A$1:$AS$1,),)))))/(((VLOOKUP(EDATE(B81,-12),Database!$A:$AS,MATCH($R$1,Database!$A$1:$AS$1,),)))))</f>
        <v/>
      </c>
      <c r="S81" s="13">
        <f>IF(VLOOKUP(B81,Database!$A:$AV,MATCH($S$1,Database!$A$1:$AV$1,),)=0,"#N/A",((((VLOOKUP(B81,Database!$A:$AS,MATCH($S$1,Database!$A$1:$AS$1,),))))-(((VLOOKUP(EDATE(B81,-12),Database!$A:$AS,MATCH($S$1,Database!$A$1:$AS$1,),)))))/(((VLOOKUP(EDATE(B81,-12),Database!$A:$AS,MATCH($S$1,Database!$A$1:$AS$1,),)))))</f>
        <v/>
      </c>
      <c r="T81" s="13">
        <f>IF(VLOOKUP(B81,Database!$A:$AV,MATCH($T$1,Database!$A$1:$AV$1,),)=0,"#N/A",((((VLOOKUP(B81,Database!$A:$AS,MATCH($T$1,Database!$A$1:$AS$1,),))))-(((VLOOKUP(EDATE(B81,-12),Database!$A:$AS,MATCH($T$1,Database!$A$1:$AS$1,),)))))/(((VLOOKUP(EDATE(B81,-12),Database!$A:$AS,MATCH($T$1,Database!$A$1:$AS$1,),)))))</f>
        <v/>
      </c>
      <c r="U81" s="13">
        <f>IF(VLOOKUP(B81,Database!$A:$AV,MATCH($U$1,Database!$A$1:$AV$1,),)=0,"#N/A",((((VLOOKUP(B81,Database!$A:$AS,MATCH($U$1,Database!$A$1:$AS$1,),))))-(((VLOOKUP(EDATE(B81,-12),Database!$A:$AS,MATCH($U$1,Database!$A$1:$AS$1,),)))))/(((VLOOKUP(EDATE(B81,-12),Database!$A:$AS,MATCH($U$1,Database!$A$1:$AS$1,),)))))</f>
        <v/>
      </c>
      <c r="V81" s="13">
        <f>IF(VLOOKUP(B81,Database!$A:$AV,MATCH($V$1,Database!$A$1:$AV$1,),)=0,"#N/A",((((VLOOKUP(B81,Database!$A:$AS,MATCH($V$1,Database!$A$1:$AS$1,),))))-(((VLOOKUP(EDATE(B81,-12),Database!$A:$AS,MATCH($V$1,Database!$A$1:$AS$1,),)))))/(((VLOOKUP(EDATE(B81,-12),Database!$A:$AS,MATCH($V$1,Database!$A$1:$AS$1,),)))))</f>
        <v/>
      </c>
    </row>
    <row r="82" customFormat="1" s="86">
      <c r="A82" s="43" t="n"/>
      <c r="B82" s="75" t="n">
        <v>34639</v>
      </c>
      <c r="C82" s="13">
        <f>IF(VLOOKUP(B82,Database!$A:$AU,MATCH($C$1,Database!$A$1:$AU$1,),)=0,"#N/A",((((VLOOKUP(B82,Database!$A:$AU,MATCH($C$1,Database!$A$1:$AU$1,),))))-(((VLOOKUP(EDATE(B82,-12),Database!$A:$AU,MATCH($C$1,Database!$A$1:$AU$1,),)))))/(((VLOOKUP(EDATE(B82,-12),Database!$A:$AU,MATCH($C$1,Database!$A$1:$AU$1,),)))))</f>
        <v/>
      </c>
      <c r="D82" s="13">
        <f>IF(VLOOKUP(B82,Database!$A:$AV,MATCH($D$1,Database!$A$1:$AV$1,),)=0,"#N/A",((((VLOOKUP(B82,Database!$A:$AS,MATCH($D$1,Database!$A$1:$AS$1,),))))-(((VLOOKUP(EDATE(B82,-12),Database!$A:$AS,MATCH($D$1,Database!$A$1:$AS$1,),)))))/(((VLOOKUP(EDATE(B82,-12),Database!$A:$AS,MATCH($D$1,Database!$A$1:$AS$1,),)))))</f>
        <v/>
      </c>
      <c r="E82" s="13">
        <f>IF(VLOOKUP(B82,Database!$A:$AV,MATCH($E$1,Database!$A$1:$AV$1,),)=0,"#N/A",((((VLOOKUP(B82,Database!$A:$AS,MATCH($E$1,Database!$A$1:$AS$1,),))))-(((VLOOKUP(EDATE(B82,-12),Database!$A:$AS,MATCH($E$1,Database!$A$1:$AS$1,),)))))/(((VLOOKUP(EDATE(B82,-12),Database!$A:$AS,MATCH($E$1,Database!$A$1:$AS$1,),)))))</f>
        <v/>
      </c>
      <c r="F82" s="13">
        <f>IF(VLOOKUP(B82,Database!$A:$AV,MATCH($F$1,Database!$A$1:$AV$1,),)=0,"#N/A",((((VLOOKUP(B82,Database!$A:$AS,MATCH($F$1,Database!$A$1:$AS$1,),))))-(((VLOOKUP(EDATE(B82,-12),Database!$A:$AS,MATCH($F$1,Database!$A$1:$AS$1,),)))))/(((VLOOKUP(EDATE(B82,-12),Database!$A:$AS,MATCH($F$1,Database!$A$1:$AS$1,),)))))</f>
        <v/>
      </c>
      <c r="G82" s="13">
        <f>IF(VLOOKUP(B82,Database!$A:$AV,MATCH($G$1,Database!$A$1:$AV$1,),)=0,"#N/A",((((VLOOKUP(B82,Database!$A:$AS,MATCH($G$1,Database!$A$1:$AS$1,),))))-(((VLOOKUP(EDATE(B82,-12),Database!$A:$AS,MATCH($G$1,Database!$A$1:$AS$1,),)))))/(((VLOOKUP(EDATE(B82,-12),Database!$A:$AS,MATCH($G$1,Database!$A$1:$AS$1,),)))))</f>
        <v/>
      </c>
      <c r="H82" s="13">
        <f>IF(VLOOKUP(B82,Database!$A:$AV,MATCH($H$1,Database!$A$1:$AV$1,),)=0,"#N/A",((((VLOOKUP(B82,Database!$A:$AS,MATCH($H$1,Database!$A$1:$AS$1,),))))-(((VLOOKUP(EDATE(B82,-12),Database!$A:$AS,MATCH($H$1,Database!$A$1:$AS$1,),)))))/(((VLOOKUP(EDATE(B82,-12),Database!$A:$AS,MATCH($H$1,Database!$A$1:$AS$1,),)))))</f>
        <v/>
      </c>
      <c r="I82" s="13">
        <f>IF(VLOOKUP(B82,Database!$A:$AV,MATCH($I$1,Database!$A$1:$AV$1,),)=0,"#N/A",((((VLOOKUP(B82,Database!$A:$AS,MATCH($I$1,Database!$A$1:$AS$1,),))))-(((VLOOKUP(EDATE(B82,-12),Database!$A:$AS,MATCH($I$1,Database!$A$1:$AS$1,),)))))/(((VLOOKUP(EDATE(B82,-12),Database!$A:$AS,MATCH($I$1,Database!$A$1:$AS$1,),)))))</f>
        <v/>
      </c>
      <c r="J82" s="13">
        <f>IF(VLOOKUP(B82,Database!$A:$AV,MATCH($J$1,Database!$A$1:$AV$1,),)=0,"#N/A",((((VLOOKUP(B82,Database!$A:$AS,MATCH($J$1,Database!$A$1:$AS$1,),))))-(((VLOOKUP(EDATE(B82,-12),Database!$A:$AS,MATCH($J$1,Database!$A$1:$AS$1,),)))))/(((VLOOKUP(EDATE(B82,-12),Database!$A:$AS,MATCH($J$1,Database!$A$1:$AS$1,),)))))</f>
        <v/>
      </c>
      <c r="K82" s="13">
        <f>IF(VLOOKUP(B82,Database!$A:$AV,MATCH($K$1,Database!$A$1:$AV$1,),)=0,"#N/A",((((VLOOKUP(B82,Database!$A:$AS,MATCH($K$1,Database!$A$1:$AS$1,),))))-(((VLOOKUP(EDATE(B82,-12),Database!$A:$AS,MATCH($K$1,Database!$A$1:$AS$1,),)))))/(((VLOOKUP(EDATE(B82,-12),Database!$A:$AS,MATCH($K$1,Database!$A$1:$AS$1,),)))))</f>
        <v/>
      </c>
      <c r="L82" s="13">
        <f>((((VLOOKUP(B82,Database!$A:$AS,MATCH($L$1,Database!$A$1:$AS$1,),))))-(((VLOOKUP(EDATE(B82,-12),Database!$A:$AS,MATCH($L$1,Database!$A$1:$AS$1,),)))))/(((VLOOKUP(EDATE(B82,-12),Database!$A:$AS,MATCH($L$1,Database!$A$1:$AS$1,),))))</f>
        <v/>
      </c>
      <c r="M82" s="13">
        <f>((((VLOOKUP(B82,Database!$A:$AS,MATCH($M$1,Database!$A$1:$AS$1,),))))-(((VLOOKUP(EDATE(B82,-12),Database!$A:$AS,MATCH($M$1,Database!$A$1:$AS$1,),)))))/(((VLOOKUP(EDATE(B82,-12),Database!$A:$AS,MATCH($M$1,Database!$A$1:$AS$1,),))))</f>
        <v/>
      </c>
      <c r="N82" s="13">
        <f>((((VLOOKUP(B82,Database!$A:$AS,MATCH($N$1,Database!$A$1:$AS$1,),))))-(((VLOOKUP(EDATE(B82,-12),Database!$A:$AS,MATCH($N$1,Database!$A$1:$AS$1,),)))))/(((VLOOKUP(EDATE(B82,-12),Database!$A:$AS,MATCH($N$1,Database!$A$1:$AS$1,),))))</f>
        <v/>
      </c>
      <c r="O82" s="13">
        <f>IF(VLOOKUP(B82,Database!$A:$AV,MATCH($O$1,Database!$A$1:$AV$1,),)=0,"#N/A",((((VLOOKUP(B82,Database!$A:$AS,MATCH($O$1,Database!$A$1:$AS$1,),))))-(((VLOOKUP(EDATE(B82,-12),Database!$A:$AS,MATCH($O$1,Database!$A$1:$AS$1,),)))))/(((VLOOKUP(EDATE(B82,-12),Database!$A:$AS,MATCH($O$1,Database!$A$1:$AS$1,),)))))</f>
        <v/>
      </c>
      <c r="P82" s="13">
        <f>IF(VLOOKUP(B82,Database!$A:$AV,MATCH($P$1,Database!$A$1:$AV$1,),)=0,"#N/A",((((VLOOKUP(B82,Database!$A:$AS,MATCH($P$1,Database!$A$1:$AS$1,),))))-(((VLOOKUP(EDATE(B82,-12),Database!$A:$AS,MATCH($P$1,Database!$A$1:$AS$1,),)))))/(((VLOOKUP(EDATE(B82,-12),Database!$A:$AS,MATCH($P$1,Database!$A$1:$AS$1,),)))))</f>
        <v/>
      </c>
      <c r="Q82" s="13">
        <f>IF(VLOOKUP(B82,Database!$A:$AV,MATCH($Q$1,Database!$A$1:$AV$1,),)=0,"#N/A",((((VLOOKUP(B82,Database!$A:$AS,MATCH($Q$1,Database!$A$1:$AS$1,),))))-(((VLOOKUP(EDATE(B82,-12),Database!$A:$AS,MATCH($Q$1,Database!$A$1:$AS$1,),)))))/(((VLOOKUP(EDATE(B82,-12),Database!$A:$AS,MATCH($Q$1,Database!$A$1:$AS$1,),)))))</f>
        <v/>
      </c>
      <c r="R82" s="13">
        <f>IF(VLOOKUP(B82,Database!$A:$AV,MATCH($R$1,Database!$A$1:$AV$1,),)=0,"#N/A",((((VLOOKUP(B82,Database!$A:$AS,MATCH($R$1,Database!$A$1:$AS$1,),))))-(((VLOOKUP(EDATE(B82,-12),Database!$A:$AS,MATCH($R$1,Database!$A$1:$AS$1,),)))))/(((VLOOKUP(EDATE(B82,-12),Database!$A:$AS,MATCH($R$1,Database!$A$1:$AS$1,),)))))</f>
        <v/>
      </c>
      <c r="S82" s="13">
        <f>IF(VLOOKUP(B82,Database!$A:$AV,MATCH($S$1,Database!$A$1:$AV$1,),)=0,"#N/A",((((VLOOKUP(B82,Database!$A:$AS,MATCH($S$1,Database!$A$1:$AS$1,),))))-(((VLOOKUP(EDATE(B82,-12),Database!$A:$AS,MATCH($S$1,Database!$A$1:$AS$1,),)))))/(((VLOOKUP(EDATE(B82,-12),Database!$A:$AS,MATCH($S$1,Database!$A$1:$AS$1,),)))))</f>
        <v/>
      </c>
      <c r="T82" s="13">
        <f>IF(VLOOKUP(B82,Database!$A:$AV,MATCH($T$1,Database!$A$1:$AV$1,),)=0,"#N/A",((((VLOOKUP(B82,Database!$A:$AS,MATCH($T$1,Database!$A$1:$AS$1,),))))-(((VLOOKUP(EDATE(B82,-12),Database!$A:$AS,MATCH($T$1,Database!$A$1:$AS$1,),)))))/(((VLOOKUP(EDATE(B82,-12),Database!$A:$AS,MATCH($T$1,Database!$A$1:$AS$1,),)))))</f>
        <v/>
      </c>
      <c r="U82" s="13">
        <f>IF(VLOOKUP(B82,Database!$A:$AV,MATCH($U$1,Database!$A$1:$AV$1,),)=0,"#N/A",((((VLOOKUP(B82,Database!$A:$AS,MATCH($U$1,Database!$A$1:$AS$1,),))))-(((VLOOKUP(EDATE(B82,-12),Database!$A:$AS,MATCH($U$1,Database!$A$1:$AS$1,),)))))/(((VLOOKUP(EDATE(B82,-12),Database!$A:$AS,MATCH($U$1,Database!$A$1:$AS$1,),)))))</f>
        <v/>
      </c>
      <c r="V82" s="13">
        <f>IF(VLOOKUP(B82,Database!$A:$AV,MATCH($V$1,Database!$A$1:$AV$1,),)=0,"#N/A",((((VLOOKUP(B82,Database!$A:$AS,MATCH($V$1,Database!$A$1:$AS$1,),))))-(((VLOOKUP(EDATE(B82,-12),Database!$A:$AS,MATCH($V$1,Database!$A$1:$AS$1,),)))))/(((VLOOKUP(EDATE(B82,-12),Database!$A:$AS,MATCH($V$1,Database!$A$1:$AS$1,),)))))</f>
        <v/>
      </c>
    </row>
    <row r="83" customFormat="1" s="86">
      <c r="A83" s="43" t="n"/>
      <c r="B83" s="75" t="n">
        <v>34669</v>
      </c>
      <c r="C83" s="13">
        <f>IF(VLOOKUP(B83,Database!$A:$AU,MATCH($C$1,Database!$A$1:$AU$1,),)=0,"#N/A",((((VLOOKUP(B83,Database!$A:$AU,MATCH($C$1,Database!$A$1:$AU$1,),))))-(((VLOOKUP(EDATE(B83,-12),Database!$A:$AU,MATCH($C$1,Database!$A$1:$AU$1,),)))))/(((VLOOKUP(EDATE(B83,-12),Database!$A:$AU,MATCH($C$1,Database!$A$1:$AU$1,),)))))</f>
        <v/>
      </c>
      <c r="D83" s="13">
        <f>IF(VLOOKUP(B83,Database!$A:$AV,MATCH($D$1,Database!$A$1:$AV$1,),)=0,"#N/A",((((VLOOKUP(B83,Database!$A:$AS,MATCH($D$1,Database!$A$1:$AS$1,),))))-(((VLOOKUP(EDATE(B83,-12),Database!$A:$AS,MATCH($D$1,Database!$A$1:$AS$1,),)))))/(((VLOOKUP(EDATE(B83,-12),Database!$A:$AS,MATCH($D$1,Database!$A$1:$AS$1,),)))))</f>
        <v/>
      </c>
      <c r="E83" s="13">
        <f>IF(VLOOKUP(B83,Database!$A:$AV,MATCH($E$1,Database!$A$1:$AV$1,),)=0,"#N/A",((((VLOOKUP(B83,Database!$A:$AS,MATCH($E$1,Database!$A$1:$AS$1,),))))-(((VLOOKUP(EDATE(B83,-12),Database!$A:$AS,MATCH($E$1,Database!$A$1:$AS$1,),)))))/(((VLOOKUP(EDATE(B83,-12),Database!$A:$AS,MATCH($E$1,Database!$A$1:$AS$1,),)))))</f>
        <v/>
      </c>
      <c r="F83" s="13">
        <f>IF(VLOOKUP(B83,Database!$A:$AV,MATCH($F$1,Database!$A$1:$AV$1,),)=0,"#N/A",((((VLOOKUP(B83,Database!$A:$AS,MATCH($F$1,Database!$A$1:$AS$1,),))))-(((VLOOKUP(EDATE(B83,-12),Database!$A:$AS,MATCH($F$1,Database!$A$1:$AS$1,),)))))/(((VLOOKUP(EDATE(B83,-12),Database!$A:$AS,MATCH($F$1,Database!$A$1:$AS$1,),)))))</f>
        <v/>
      </c>
      <c r="G83" s="13">
        <f>IF(VLOOKUP(B83,Database!$A:$AV,MATCH($G$1,Database!$A$1:$AV$1,),)=0,"#N/A",((((VLOOKUP(B83,Database!$A:$AS,MATCH($G$1,Database!$A$1:$AS$1,),))))-(((VLOOKUP(EDATE(B83,-12),Database!$A:$AS,MATCH($G$1,Database!$A$1:$AS$1,),)))))/(((VLOOKUP(EDATE(B83,-12),Database!$A:$AS,MATCH($G$1,Database!$A$1:$AS$1,),)))))</f>
        <v/>
      </c>
      <c r="H83" s="13">
        <f>IF(VLOOKUP(B83,Database!$A:$AV,MATCH($H$1,Database!$A$1:$AV$1,),)=0,"#N/A",((((VLOOKUP(B83,Database!$A:$AS,MATCH($H$1,Database!$A$1:$AS$1,),))))-(((VLOOKUP(EDATE(B83,-12),Database!$A:$AS,MATCH($H$1,Database!$A$1:$AS$1,),)))))/(((VLOOKUP(EDATE(B83,-12),Database!$A:$AS,MATCH($H$1,Database!$A$1:$AS$1,),)))))</f>
        <v/>
      </c>
      <c r="I83" s="13">
        <f>IF(VLOOKUP(B83,Database!$A:$AV,MATCH($I$1,Database!$A$1:$AV$1,),)=0,"#N/A",((((VLOOKUP(B83,Database!$A:$AS,MATCH($I$1,Database!$A$1:$AS$1,),))))-(((VLOOKUP(EDATE(B83,-12),Database!$A:$AS,MATCH($I$1,Database!$A$1:$AS$1,),)))))/(((VLOOKUP(EDATE(B83,-12),Database!$A:$AS,MATCH($I$1,Database!$A$1:$AS$1,),)))))</f>
        <v/>
      </c>
      <c r="J83" s="13">
        <f>IF(VLOOKUP(B83,Database!$A:$AV,MATCH($J$1,Database!$A$1:$AV$1,),)=0,"#N/A",((((VLOOKUP(B83,Database!$A:$AS,MATCH($J$1,Database!$A$1:$AS$1,),))))-(((VLOOKUP(EDATE(B83,-12),Database!$A:$AS,MATCH($J$1,Database!$A$1:$AS$1,),)))))/(((VLOOKUP(EDATE(B83,-12),Database!$A:$AS,MATCH($J$1,Database!$A$1:$AS$1,),)))))</f>
        <v/>
      </c>
      <c r="K83" s="13">
        <f>IF(VLOOKUP(B83,Database!$A:$AV,MATCH($K$1,Database!$A$1:$AV$1,),)=0,"#N/A",((((VLOOKUP(B83,Database!$A:$AS,MATCH($K$1,Database!$A$1:$AS$1,),))))-(((VLOOKUP(EDATE(B83,-12),Database!$A:$AS,MATCH($K$1,Database!$A$1:$AS$1,),)))))/(((VLOOKUP(EDATE(B83,-12),Database!$A:$AS,MATCH($K$1,Database!$A$1:$AS$1,),)))))</f>
        <v/>
      </c>
      <c r="L83" s="13">
        <f>((((VLOOKUP(B83,Database!$A:$AS,MATCH($L$1,Database!$A$1:$AS$1,),))))-(((VLOOKUP(EDATE(B83,-12),Database!$A:$AS,MATCH($L$1,Database!$A$1:$AS$1,),)))))/(((VLOOKUP(EDATE(B83,-12),Database!$A:$AS,MATCH($L$1,Database!$A$1:$AS$1,),))))</f>
        <v/>
      </c>
      <c r="M83" s="13">
        <f>((((VLOOKUP(B83,Database!$A:$AS,MATCH($M$1,Database!$A$1:$AS$1,),))))-(((VLOOKUP(EDATE(B83,-12),Database!$A:$AS,MATCH($M$1,Database!$A$1:$AS$1,),)))))/(((VLOOKUP(EDATE(B83,-12),Database!$A:$AS,MATCH($M$1,Database!$A$1:$AS$1,),))))</f>
        <v/>
      </c>
      <c r="N83" s="13">
        <f>((((VLOOKUP(B83,Database!$A:$AS,MATCH($N$1,Database!$A$1:$AS$1,),))))-(((VLOOKUP(EDATE(B83,-12),Database!$A:$AS,MATCH($N$1,Database!$A$1:$AS$1,),)))))/(((VLOOKUP(EDATE(B83,-12),Database!$A:$AS,MATCH($N$1,Database!$A$1:$AS$1,),))))</f>
        <v/>
      </c>
      <c r="O83" s="13">
        <f>IF(VLOOKUP(B83,Database!$A:$AV,MATCH($O$1,Database!$A$1:$AV$1,),)=0,"#N/A",((((VLOOKUP(B83,Database!$A:$AS,MATCH($O$1,Database!$A$1:$AS$1,),))))-(((VLOOKUP(EDATE(B83,-12),Database!$A:$AS,MATCH($O$1,Database!$A$1:$AS$1,),)))))/(((VLOOKUP(EDATE(B83,-12),Database!$A:$AS,MATCH($O$1,Database!$A$1:$AS$1,),)))))</f>
        <v/>
      </c>
      <c r="P83" s="13">
        <f>IF(VLOOKUP(B83,Database!$A:$AV,MATCH($P$1,Database!$A$1:$AV$1,),)=0,"#N/A",((((VLOOKUP(B83,Database!$A:$AS,MATCH($P$1,Database!$A$1:$AS$1,),))))-(((VLOOKUP(EDATE(B83,-12),Database!$A:$AS,MATCH($P$1,Database!$A$1:$AS$1,),)))))/(((VLOOKUP(EDATE(B83,-12),Database!$A:$AS,MATCH($P$1,Database!$A$1:$AS$1,),)))))</f>
        <v/>
      </c>
      <c r="Q83" s="13">
        <f>IF(VLOOKUP(B83,Database!$A:$AV,MATCH($Q$1,Database!$A$1:$AV$1,),)=0,"#N/A",((((VLOOKUP(B83,Database!$A:$AS,MATCH($Q$1,Database!$A$1:$AS$1,),))))-(((VLOOKUP(EDATE(B83,-12),Database!$A:$AS,MATCH($Q$1,Database!$A$1:$AS$1,),)))))/(((VLOOKUP(EDATE(B83,-12),Database!$A:$AS,MATCH($Q$1,Database!$A$1:$AS$1,),)))))</f>
        <v/>
      </c>
      <c r="R83" s="13">
        <f>IF(VLOOKUP(B83,Database!$A:$AV,MATCH($R$1,Database!$A$1:$AV$1,),)=0,"#N/A",((((VLOOKUP(B83,Database!$A:$AS,MATCH($R$1,Database!$A$1:$AS$1,),))))-(((VLOOKUP(EDATE(B83,-12),Database!$A:$AS,MATCH($R$1,Database!$A$1:$AS$1,),)))))/(((VLOOKUP(EDATE(B83,-12),Database!$A:$AS,MATCH($R$1,Database!$A$1:$AS$1,),)))))</f>
        <v/>
      </c>
      <c r="S83" s="13">
        <f>IF(VLOOKUP(B83,Database!$A:$AV,MATCH($S$1,Database!$A$1:$AV$1,),)=0,"#N/A",((((VLOOKUP(B83,Database!$A:$AS,MATCH($S$1,Database!$A$1:$AS$1,),))))-(((VLOOKUP(EDATE(B83,-12),Database!$A:$AS,MATCH($S$1,Database!$A$1:$AS$1,),)))))/(((VLOOKUP(EDATE(B83,-12),Database!$A:$AS,MATCH($S$1,Database!$A$1:$AS$1,),)))))</f>
        <v/>
      </c>
      <c r="T83" s="13">
        <f>IF(VLOOKUP(B83,Database!$A:$AV,MATCH($T$1,Database!$A$1:$AV$1,),)=0,"#N/A",((((VLOOKUP(B83,Database!$A:$AS,MATCH($T$1,Database!$A$1:$AS$1,),))))-(((VLOOKUP(EDATE(B83,-12),Database!$A:$AS,MATCH($T$1,Database!$A$1:$AS$1,),)))))/(((VLOOKUP(EDATE(B83,-12),Database!$A:$AS,MATCH($T$1,Database!$A$1:$AS$1,),)))))</f>
        <v/>
      </c>
      <c r="U83" s="13">
        <f>IF(VLOOKUP(B83,Database!$A:$AV,MATCH($U$1,Database!$A$1:$AV$1,),)=0,"#N/A",((((VLOOKUP(B83,Database!$A:$AS,MATCH($U$1,Database!$A$1:$AS$1,),))))-(((VLOOKUP(EDATE(B83,-12),Database!$A:$AS,MATCH($U$1,Database!$A$1:$AS$1,),)))))/(((VLOOKUP(EDATE(B83,-12),Database!$A:$AS,MATCH($U$1,Database!$A$1:$AS$1,),)))))</f>
        <v/>
      </c>
      <c r="V83" s="13">
        <f>IF(VLOOKUP(B83,Database!$A:$AV,MATCH($V$1,Database!$A$1:$AV$1,),)=0,"#N/A",((((VLOOKUP(B83,Database!$A:$AS,MATCH($V$1,Database!$A$1:$AS$1,),))))-(((VLOOKUP(EDATE(B83,-12),Database!$A:$AS,MATCH($V$1,Database!$A$1:$AS$1,),)))))/(((VLOOKUP(EDATE(B83,-12),Database!$A:$AS,MATCH($V$1,Database!$A$1:$AS$1,),)))))</f>
        <v/>
      </c>
    </row>
    <row r="84" customFormat="1" s="86">
      <c r="A84" s="43" t="n"/>
      <c r="B84" s="75" t="n">
        <v>34700</v>
      </c>
      <c r="C84" s="13">
        <f>IF(VLOOKUP(B84,Database!$A:$AU,MATCH($C$1,Database!$A$1:$AU$1,),)=0,"#N/A",((((VLOOKUP(B84,Database!$A:$AU,MATCH($C$1,Database!$A$1:$AU$1,),))))-(((VLOOKUP(EDATE(B84,-12),Database!$A:$AU,MATCH($C$1,Database!$A$1:$AU$1,),)))))/(((VLOOKUP(EDATE(B84,-12),Database!$A:$AU,MATCH($C$1,Database!$A$1:$AU$1,),)))))</f>
        <v/>
      </c>
      <c r="D84" s="13">
        <f>IF(VLOOKUP(B84,Database!$A:$AV,MATCH($D$1,Database!$A$1:$AV$1,),)=0,"#N/A",((((VLOOKUP(B84,Database!$A:$AS,MATCH($D$1,Database!$A$1:$AS$1,),))))-(((VLOOKUP(EDATE(B84,-12),Database!$A:$AS,MATCH($D$1,Database!$A$1:$AS$1,),)))))/(((VLOOKUP(EDATE(B84,-12),Database!$A:$AS,MATCH($D$1,Database!$A$1:$AS$1,),)))))</f>
        <v/>
      </c>
      <c r="E84" s="13">
        <f>IF(VLOOKUP(B84,Database!$A:$AV,MATCH($E$1,Database!$A$1:$AV$1,),)=0,"#N/A",((((VLOOKUP(B84,Database!$A:$AS,MATCH($E$1,Database!$A$1:$AS$1,),))))-(((VLOOKUP(EDATE(B84,-12),Database!$A:$AS,MATCH($E$1,Database!$A$1:$AS$1,),)))))/(((VLOOKUP(EDATE(B84,-12),Database!$A:$AS,MATCH($E$1,Database!$A$1:$AS$1,),)))))</f>
        <v/>
      </c>
      <c r="F84" s="13">
        <f>IF(VLOOKUP(B84,Database!$A:$AV,MATCH($F$1,Database!$A$1:$AV$1,),)=0,"#N/A",((((VLOOKUP(B84,Database!$A:$AS,MATCH($F$1,Database!$A$1:$AS$1,),))))-(((VLOOKUP(EDATE(B84,-12),Database!$A:$AS,MATCH($F$1,Database!$A$1:$AS$1,),)))))/(((VLOOKUP(EDATE(B84,-12),Database!$A:$AS,MATCH($F$1,Database!$A$1:$AS$1,),)))))</f>
        <v/>
      </c>
      <c r="G84" s="13">
        <f>IF(VLOOKUP(B84,Database!$A:$AV,MATCH($G$1,Database!$A$1:$AV$1,),)=0,"#N/A",((((VLOOKUP(B84,Database!$A:$AS,MATCH($G$1,Database!$A$1:$AS$1,),))))-(((VLOOKUP(EDATE(B84,-12),Database!$A:$AS,MATCH($G$1,Database!$A$1:$AS$1,),)))))/(((VLOOKUP(EDATE(B84,-12),Database!$A:$AS,MATCH($G$1,Database!$A$1:$AS$1,),)))))</f>
        <v/>
      </c>
      <c r="H84" s="13">
        <f>IF(VLOOKUP(B84,Database!$A:$AV,MATCH($H$1,Database!$A$1:$AV$1,),)=0,"#N/A",((((VLOOKUP(B84,Database!$A:$AS,MATCH($H$1,Database!$A$1:$AS$1,),))))-(((VLOOKUP(EDATE(B84,-12),Database!$A:$AS,MATCH($H$1,Database!$A$1:$AS$1,),)))))/(((VLOOKUP(EDATE(B84,-12),Database!$A:$AS,MATCH($H$1,Database!$A$1:$AS$1,),)))))</f>
        <v/>
      </c>
      <c r="I84" s="13">
        <f>IF(VLOOKUP(B84,Database!$A:$AV,MATCH($I$1,Database!$A$1:$AV$1,),)=0,"#N/A",((((VLOOKUP(B84,Database!$A:$AS,MATCH($I$1,Database!$A$1:$AS$1,),))))-(((VLOOKUP(EDATE(B84,-12),Database!$A:$AS,MATCH($I$1,Database!$A$1:$AS$1,),)))))/(((VLOOKUP(EDATE(B84,-12),Database!$A:$AS,MATCH($I$1,Database!$A$1:$AS$1,),)))))</f>
        <v/>
      </c>
      <c r="J84" s="13">
        <f>IF(VLOOKUP(B84,Database!$A:$AV,MATCH($J$1,Database!$A$1:$AV$1,),)=0,"#N/A",((((VLOOKUP(B84,Database!$A:$AS,MATCH($J$1,Database!$A$1:$AS$1,),))))-(((VLOOKUP(EDATE(B84,-12),Database!$A:$AS,MATCH($J$1,Database!$A$1:$AS$1,),)))))/(((VLOOKUP(EDATE(B84,-12),Database!$A:$AS,MATCH($J$1,Database!$A$1:$AS$1,),)))))</f>
        <v/>
      </c>
      <c r="K84" s="13">
        <f>IF(VLOOKUP(B84,Database!$A:$AV,MATCH($K$1,Database!$A$1:$AV$1,),)=0,"#N/A",((((VLOOKUP(B84,Database!$A:$AS,MATCH($K$1,Database!$A$1:$AS$1,),))))-(((VLOOKUP(EDATE(B84,-12),Database!$A:$AS,MATCH($K$1,Database!$A$1:$AS$1,),)))))/(((VLOOKUP(EDATE(B84,-12),Database!$A:$AS,MATCH($K$1,Database!$A$1:$AS$1,),)))))</f>
        <v/>
      </c>
      <c r="L84" s="13">
        <f>((((VLOOKUP(B84,Database!$A:$AS,MATCH($L$1,Database!$A$1:$AS$1,),))))-(((VLOOKUP(EDATE(B84,-12),Database!$A:$AS,MATCH($L$1,Database!$A$1:$AS$1,),)))))/(((VLOOKUP(EDATE(B84,-12),Database!$A:$AS,MATCH($L$1,Database!$A$1:$AS$1,),))))</f>
        <v/>
      </c>
      <c r="M84" s="13">
        <f>((((VLOOKUP(B84,Database!$A:$AS,MATCH($M$1,Database!$A$1:$AS$1,),))))-(((VLOOKUP(EDATE(B84,-12),Database!$A:$AS,MATCH($M$1,Database!$A$1:$AS$1,),)))))/(((VLOOKUP(EDATE(B84,-12),Database!$A:$AS,MATCH($M$1,Database!$A$1:$AS$1,),))))</f>
        <v/>
      </c>
      <c r="N84" s="13">
        <f>((((VLOOKUP(B84,Database!$A:$AS,MATCH($N$1,Database!$A$1:$AS$1,),))))-(((VLOOKUP(EDATE(B84,-12),Database!$A:$AS,MATCH($N$1,Database!$A$1:$AS$1,),)))))/(((VLOOKUP(EDATE(B84,-12),Database!$A:$AS,MATCH($N$1,Database!$A$1:$AS$1,),))))</f>
        <v/>
      </c>
      <c r="O84" s="13">
        <f>IF(VLOOKUP(B84,Database!$A:$AV,MATCH($O$1,Database!$A$1:$AV$1,),)=0,"#N/A",((((VLOOKUP(B84,Database!$A:$AS,MATCH($O$1,Database!$A$1:$AS$1,),))))-(((VLOOKUP(EDATE(B84,-12),Database!$A:$AS,MATCH($O$1,Database!$A$1:$AS$1,),)))))/(((VLOOKUP(EDATE(B84,-12),Database!$A:$AS,MATCH($O$1,Database!$A$1:$AS$1,),)))))</f>
        <v/>
      </c>
      <c r="P84" s="13">
        <f>IF(VLOOKUP(B84,Database!$A:$AV,MATCH($P$1,Database!$A$1:$AV$1,),)=0,"#N/A",((((VLOOKUP(B84,Database!$A:$AS,MATCH($P$1,Database!$A$1:$AS$1,),))))-(((VLOOKUP(EDATE(B84,-12),Database!$A:$AS,MATCH($P$1,Database!$A$1:$AS$1,),)))))/(((VLOOKUP(EDATE(B84,-12),Database!$A:$AS,MATCH($P$1,Database!$A$1:$AS$1,),)))))</f>
        <v/>
      </c>
      <c r="Q84" s="13">
        <f>IF(VLOOKUP(B84,Database!$A:$AV,MATCH($Q$1,Database!$A$1:$AV$1,),)=0,"#N/A",((((VLOOKUP(B84,Database!$A:$AS,MATCH($Q$1,Database!$A$1:$AS$1,),))))-(((VLOOKUP(EDATE(B84,-12),Database!$A:$AS,MATCH($Q$1,Database!$A$1:$AS$1,),)))))/(((VLOOKUP(EDATE(B84,-12),Database!$A:$AS,MATCH($Q$1,Database!$A$1:$AS$1,),)))))</f>
        <v/>
      </c>
      <c r="R84" s="13">
        <f>IF(VLOOKUP(B84,Database!$A:$AV,MATCH($R$1,Database!$A$1:$AV$1,),)=0,"#N/A",((((VLOOKUP(B84,Database!$A:$AS,MATCH($R$1,Database!$A$1:$AS$1,),))))-(((VLOOKUP(EDATE(B84,-12),Database!$A:$AS,MATCH($R$1,Database!$A$1:$AS$1,),)))))/(((VLOOKUP(EDATE(B84,-12),Database!$A:$AS,MATCH($R$1,Database!$A$1:$AS$1,),)))))</f>
        <v/>
      </c>
      <c r="S84" s="13">
        <f>IF(VLOOKUP(B84,Database!$A:$AV,MATCH($S$1,Database!$A$1:$AV$1,),)=0,"#N/A",((((VLOOKUP(B84,Database!$A:$AS,MATCH($S$1,Database!$A$1:$AS$1,),))))-(((VLOOKUP(EDATE(B84,-12),Database!$A:$AS,MATCH($S$1,Database!$A$1:$AS$1,),)))))/(((VLOOKUP(EDATE(B84,-12),Database!$A:$AS,MATCH($S$1,Database!$A$1:$AS$1,),)))))</f>
        <v/>
      </c>
      <c r="T84" s="13">
        <f>IF(VLOOKUP(B84,Database!$A:$AV,MATCH($T$1,Database!$A$1:$AV$1,),)=0,"#N/A",((((VLOOKUP(B84,Database!$A:$AS,MATCH($T$1,Database!$A$1:$AS$1,),))))-(((VLOOKUP(EDATE(B84,-12),Database!$A:$AS,MATCH($T$1,Database!$A$1:$AS$1,),)))))/(((VLOOKUP(EDATE(B84,-12),Database!$A:$AS,MATCH($T$1,Database!$A$1:$AS$1,),)))))</f>
        <v/>
      </c>
      <c r="U84" s="13">
        <f>IF(VLOOKUP(B84,Database!$A:$AV,MATCH($U$1,Database!$A$1:$AV$1,),)=0,"#N/A",((((VLOOKUP(B84,Database!$A:$AS,MATCH($U$1,Database!$A$1:$AS$1,),))))-(((VLOOKUP(EDATE(B84,-12),Database!$A:$AS,MATCH($U$1,Database!$A$1:$AS$1,),)))))/(((VLOOKUP(EDATE(B84,-12),Database!$A:$AS,MATCH($U$1,Database!$A$1:$AS$1,),)))))</f>
        <v/>
      </c>
      <c r="V84" s="13">
        <f>IF(VLOOKUP(B84,Database!$A:$AV,MATCH($V$1,Database!$A$1:$AV$1,),)=0,"#N/A",((((VLOOKUP(B84,Database!$A:$AS,MATCH($V$1,Database!$A$1:$AS$1,),))))-(((VLOOKUP(EDATE(B84,-12),Database!$A:$AS,MATCH($V$1,Database!$A$1:$AS$1,),)))))/(((VLOOKUP(EDATE(B84,-12),Database!$A:$AS,MATCH($V$1,Database!$A$1:$AS$1,),)))))</f>
        <v/>
      </c>
    </row>
    <row r="85" customFormat="1" s="86">
      <c r="A85" s="43" t="n"/>
      <c r="B85" s="75" t="n">
        <v>34731</v>
      </c>
      <c r="C85" s="13">
        <f>IF(VLOOKUP(B85,Database!$A:$AU,MATCH($C$1,Database!$A$1:$AU$1,),)=0,"#N/A",((((VLOOKUP(B85,Database!$A:$AU,MATCH($C$1,Database!$A$1:$AU$1,),))))-(((VLOOKUP(EDATE(B85,-12),Database!$A:$AU,MATCH($C$1,Database!$A$1:$AU$1,),)))))/(((VLOOKUP(EDATE(B85,-12),Database!$A:$AU,MATCH($C$1,Database!$A$1:$AU$1,),)))))</f>
        <v/>
      </c>
      <c r="D85" s="13">
        <f>IF(VLOOKUP(B85,Database!$A:$AV,MATCH($D$1,Database!$A$1:$AV$1,),)=0,"#N/A",((((VLOOKUP(B85,Database!$A:$AS,MATCH($D$1,Database!$A$1:$AS$1,),))))-(((VLOOKUP(EDATE(B85,-12),Database!$A:$AS,MATCH($D$1,Database!$A$1:$AS$1,),)))))/(((VLOOKUP(EDATE(B85,-12),Database!$A:$AS,MATCH($D$1,Database!$A$1:$AS$1,),)))))</f>
        <v/>
      </c>
      <c r="E85" s="13">
        <f>IF(VLOOKUP(B85,Database!$A:$AV,MATCH($E$1,Database!$A$1:$AV$1,),)=0,"#N/A",((((VLOOKUP(B85,Database!$A:$AS,MATCH($E$1,Database!$A$1:$AS$1,),))))-(((VLOOKUP(EDATE(B85,-12),Database!$A:$AS,MATCH($E$1,Database!$A$1:$AS$1,),)))))/(((VLOOKUP(EDATE(B85,-12),Database!$A:$AS,MATCH($E$1,Database!$A$1:$AS$1,),)))))</f>
        <v/>
      </c>
      <c r="F85" s="13">
        <f>IF(VLOOKUP(B85,Database!$A:$AV,MATCH($F$1,Database!$A$1:$AV$1,),)=0,"#N/A",((((VLOOKUP(B85,Database!$A:$AS,MATCH($F$1,Database!$A$1:$AS$1,),))))-(((VLOOKUP(EDATE(B85,-12),Database!$A:$AS,MATCH($F$1,Database!$A$1:$AS$1,),)))))/(((VLOOKUP(EDATE(B85,-12),Database!$A:$AS,MATCH($F$1,Database!$A$1:$AS$1,),)))))</f>
        <v/>
      </c>
      <c r="G85" s="13">
        <f>IF(VLOOKUP(B85,Database!$A:$AV,MATCH($G$1,Database!$A$1:$AV$1,),)=0,"#N/A",((((VLOOKUP(B85,Database!$A:$AS,MATCH($G$1,Database!$A$1:$AS$1,),))))-(((VLOOKUP(EDATE(B85,-12),Database!$A:$AS,MATCH($G$1,Database!$A$1:$AS$1,),)))))/(((VLOOKUP(EDATE(B85,-12),Database!$A:$AS,MATCH($G$1,Database!$A$1:$AS$1,),)))))</f>
        <v/>
      </c>
      <c r="H85" s="13">
        <f>IF(VLOOKUP(B85,Database!$A:$AV,MATCH($H$1,Database!$A$1:$AV$1,),)=0,"#N/A",((((VLOOKUP(B85,Database!$A:$AS,MATCH($H$1,Database!$A$1:$AS$1,),))))-(((VLOOKUP(EDATE(B85,-12),Database!$A:$AS,MATCH($H$1,Database!$A$1:$AS$1,),)))))/(((VLOOKUP(EDATE(B85,-12),Database!$A:$AS,MATCH($H$1,Database!$A$1:$AS$1,),)))))</f>
        <v/>
      </c>
      <c r="I85" s="13">
        <f>IF(VLOOKUP(B85,Database!$A:$AV,MATCH($I$1,Database!$A$1:$AV$1,),)=0,"#N/A",((((VLOOKUP(B85,Database!$A:$AS,MATCH($I$1,Database!$A$1:$AS$1,),))))-(((VLOOKUP(EDATE(B85,-12),Database!$A:$AS,MATCH($I$1,Database!$A$1:$AS$1,),)))))/(((VLOOKUP(EDATE(B85,-12),Database!$A:$AS,MATCH($I$1,Database!$A$1:$AS$1,),)))))</f>
        <v/>
      </c>
      <c r="J85" s="13">
        <f>IF(VLOOKUP(B85,Database!$A:$AV,MATCH($J$1,Database!$A$1:$AV$1,),)=0,"#N/A",((((VLOOKUP(B85,Database!$A:$AS,MATCH($J$1,Database!$A$1:$AS$1,),))))-(((VLOOKUP(EDATE(B85,-12),Database!$A:$AS,MATCH($J$1,Database!$A$1:$AS$1,),)))))/(((VLOOKUP(EDATE(B85,-12),Database!$A:$AS,MATCH($J$1,Database!$A$1:$AS$1,),)))))</f>
        <v/>
      </c>
      <c r="K85" s="13">
        <f>IF(VLOOKUP(B85,Database!$A:$AV,MATCH($K$1,Database!$A$1:$AV$1,),)=0,"#N/A",((((VLOOKUP(B85,Database!$A:$AS,MATCH($K$1,Database!$A$1:$AS$1,),))))-(((VLOOKUP(EDATE(B85,-12),Database!$A:$AS,MATCH($K$1,Database!$A$1:$AS$1,),)))))/(((VLOOKUP(EDATE(B85,-12),Database!$A:$AS,MATCH($K$1,Database!$A$1:$AS$1,),)))))</f>
        <v/>
      </c>
      <c r="L85" s="13">
        <f>((((VLOOKUP(B85,Database!$A:$AS,MATCH($L$1,Database!$A$1:$AS$1,),))))-(((VLOOKUP(EDATE(B85,-12),Database!$A:$AS,MATCH($L$1,Database!$A$1:$AS$1,),)))))/(((VLOOKUP(EDATE(B85,-12),Database!$A:$AS,MATCH($L$1,Database!$A$1:$AS$1,),))))</f>
        <v/>
      </c>
      <c r="M85" s="13">
        <f>((((VLOOKUP(B85,Database!$A:$AS,MATCH($M$1,Database!$A$1:$AS$1,),))))-(((VLOOKUP(EDATE(B85,-12),Database!$A:$AS,MATCH($M$1,Database!$A$1:$AS$1,),)))))/(((VLOOKUP(EDATE(B85,-12),Database!$A:$AS,MATCH($M$1,Database!$A$1:$AS$1,),))))</f>
        <v/>
      </c>
      <c r="N85" s="13">
        <f>((((VLOOKUP(B85,Database!$A:$AS,MATCH($N$1,Database!$A$1:$AS$1,),))))-(((VLOOKUP(EDATE(B85,-12),Database!$A:$AS,MATCH($N$1,Database!$A$1:$AS$1,),)))))/(((VLOOKUP(EDATE(B85,-12),Database!$A:$AS,MATCH($N$1,Database!$A$1:$AS$1,),))))</f>
        <v/>
      </c>
      <c r="O85" s="13">
        <f>IF(VLOOKUP(B85,Database!$A:$AV,MATCH($O$1,Database!$A$1:$AV$1,),)=0,"#N/A",((((VLOOKUP(B85,Database!$A:$AS,MATCH($O$1,Database!$A$1:$AS$1,),))))-(((VLOOKUP(EDATE(B85,-12),Database!$A:$AS,MATCH($O$1,Database!$A$1:$AS$1,),)))))/(((VLOOKUP(EDATE(B85,-12),Database!$A:$AS,MATCH($O$1,Database!$A$1:$AS$1,),)))))</f>
        <v/>
      </c>
      <c r="P85" s="13">
        <f>IF(VLOOKUP(B85,Database!$A:$AV,MATCH($P$1,Database!$A$1:$AV$1,),)=0,"#N/A",((((VLOOKUP(B85,Database!$A:$AS,MATCH($P$1,Database!$A$1:$AS$1,),))))-(((VLOOKUP(EDATE(B85,-12),Database!$A:$AS,MATCH($P$1,Database!$A$1:$AS$1,),)))))/(((VLOOKUP(EDATE(B85,-12),Database!$A:$AS,MATCH($P$1,Database!$A$1:$AS$1,),)))))</f>
        <v/>
      </c>
      <c r="Q85" s="13">
        <f>IF(VLOOKUP(B85,Database!$A:$AV,MATCH($Q$1,Database!$A$1:$AV$1,),)=0,"#N/A",((((VLOOKUP(B85,Database!$A:$AS,MATCH($Q$1,Database!$A$1:$AS$1,),))))-(((VLOOKUP(EDATE(B85,-12),Database!$A:$AS,MATCH($Q$1,Database!$A$1:$AS$1,),)))))/(((VLOOKUP(EDATE(B85,-12),Database!$A:$AS,MATCH($Q$1,Database!$A$1:$AS$1,),)))))</f>
        <v/>
      </c>
      <c r="R85" s="13">
        <f>IF(VLOOKUP(B85,Database!$A:$AV,MATCH($R$1,Database!$A$1:$AV$1,),)=0,"#N/A",((((VLOOKUP(B85,Database!$A:$AS,MATCH($R$1,Database!$A$1:$AS$1,),))))-(((VLOOKUP(EDATE(B85,-12),Database!$A:$AS,MATCH($R$1,Database!$A$1:$AS$1,),)))))/(((VLOOKUP(EDATE(B85,-12),Database!$A:$AS,MATCH($R$1,Database!$A$1:$AS$1,),)))))</f>
        <v/>
      </c>
      <c r="S85" s="13">
        <f>IF(VLOOKUP(B85,Database!$A:$AV,MATCH($S$1,Database!$A$1:$AV$1,),)=0,"#N/A",((((VLOOKUP(B85,Database!$A:$AS,MATCH($S$1,Database!$A$1:$AS$1,),))))-(((VLOOKUP(EDATE(B85,-12),Database!$A:$AS,MATCH($S$1,Database!$A$1:$AS$1,),)))))/(((VLOOKUP(EDATE(B85,-12),Database!$A:$AS,MATCH($S$1,Database!$A$1:$AS$1,),)))))</f>
        <v/>
      </c>
      <c r="T85" s="13">
        <f>IF(VLOOKUP(B85,Database!$A:$AV,MATCH($T$1,Database!$A$1:$AV$1,),)=0,"#N/A",((((VLOOKUP(B85,Database!$A:$AS,MATCH($T$1,Database!$A$1:$AS$1,),))))-(((VLOOKUP(EDATE(B85,-12),Database!$A:$AS,MATCH($T$1,Database!$A$1:$AS$1,),)))))/(((VLOOKUP(EDATE(B85,-12),Database!$A:$AS,MATCH($T$1,Database!$A$1:$AS$1,),)))))</f>
        <v/>
      </c>
      <c r="U85" s="13">
        <f>IF(VLOOKUP(B85,Database!$A:$AV,MATCH($U$1,Database!$A$1:$AV$1,),)=0,"#N/A",((((VLOOKUP(B85,Database!$A:$AS,MATCH($U$1,Database!$A$1:$AS$1,),))))-(((VLOOKUP(EDATE(B85,-12),Database!$A:$AS,MATCH($U$1,Database!$A$1:$AS$1,),)))))/(((VLOOKUP(EDATE(B85,-12),Database!$A:$AS,MATCH($U$1,Database!$A$1:$AS$1,),)))))</f>
        <v/>
      </c>
      <c r="V85" s="13">
        <f>IF(VLOOKUP(B85,Database!$A:$AV,MATCH($V$1,Database!$A$1:$AV$1,),)=0,"#N/A",((((VLOOKUP(B85,Database!$A:$AS,MATCH($V$1,Database!$A$1:$AS$1,),))))-(((VLOOKUP(EDATE(B85,-12),Database!$A:$AS,MATCH($V$1,Database!$A$1:$AS$1,),)))))/(((VLOOKUP(EDATE(B85,-12),Database!$A:$AS,MATCH($V$1,Database!$A$1:$AS$1,),)))))</f>
        <v/>
      </c>
    </row>
    <row r="86" customFormat="1" s="86">
      <c r="A86" s="43" t="n"/>
      <c r="B86" s="75" t="n">
        <v>34759</v>
      </c>
      <c r="C86" s="13">
        <f>IF(VLOOKUP(B86,Database!$A:$AU,MATCH($C$1,Database!$A$1:$AU$1,),)=0,"#N/A",((((VLOOKUP(B86,Database!$A:$AU,MATCH($C$1,Database!$A$1:$AU$1,),))))-(((VLOOKUP(EDATE(B86,-12),Database!$A:$AU,MATCH($C$1,Database!$A$1:$AU$1,),)))))/(((VLOOKUP(EDATE(B86,-12),Database!$A:$AU,MATCH($C$1,Database!$A$1:$AU$1,),)))))</f>
        <v/>
      </c>
      <c r="D86" s="13">
        <f>IF(VLOOKUP(B86,Database!$A:$AV,MATCH($D$1,Database!$A$1:$AV$1,),)=0,"#N/A",((((VLOOKUP(B86,Database!$A:$AS,MATCH($D$1,Database!$A$1:$AS$1,),))))-(((VLOOKUP(EDATE(B86,-12),Database!$A:$AS,MATCH($D$1,Database!$A$1:$AS$1,),)))))/(((VLOOKUP(EDATE(B86,-12),Database!$A:$AS,MATCH($D$1,Database!$A$1:$AS$1,),)))))</f>
        <v/>
      </c>
      <c r="E86" s="13">
        <f>IF(VLOOKUP(B86,Database!$A:$AV,MATCH($E$1,Database!$A$1:$AV$1,),)=0,"#N/A",((((VLOOKUP(B86,Database!$A:$AS,MATCH($E$1,Database!$A$1:$AS$1,),))))-(((VLOOKUP(EDATE(B86,-12),Database!$A:$AS,MATCH($E$1,Database!$A$1:$AS$1,),)))))/(((VLOOKUP(EDATE(B86,-12),Database!$A:$AS,MATCH($E$1,Database!$A$1:$AS$1,),)))))</f>
        <v/>
      </c>
      <c r="F86" s="13">
        <f>IF(VLOOKUP(B86,Database!$A:$AV,MATCH($F$1,Database!$A$1:$AV$1,),)=0,"#N/A",((((VLOOKUP(B86,Database!$A:$AS,MATCH($F$1,Database!$A$1:$AS$1,),))))-(((VLOOKUP(EDATE(B86,-12),Database!$A:$AS,MATCH($F$1,Database!$A$1:$AS$1,),)))))/(((VLOOKUP(EDATE(B86,-12),Database!$A:$AS,MATCH($F$1,Database!$A$1:$AS$1,),)))))</f>
        <v/>
      </c>
      <c r="G86" s="13">
        <f>IF(VLOOKUP(B86,Database!$A:$AV,MATCH($G$1,Database!$A$1:$AV$1,),)=0,"#N/A",((((VLOOKUP(B86,Database!$A:$AS,MATCH($G$1,Database!$A$1:$AS$1,),))))-(((VLOOKUP(EDATE(B86,-12),Database!$A:$AS,MATCH($G$1,Database!$A$1:$AS$1,),)))))/(((VLOOKUP(EDATE(B86,-12),Database!$A:$AS,MATCH($G$1,Database!$A$1:$AS$1,),)))))</f>
        <v/>
      </c>
      <c r="H86" s="13">
        <f>IF(VLOOKUP(B86,Database!$A:$AV,MATCH($H$1,Database!$A$1:$AV$1,),)=0,"#N/A",((((VLOOKUP(B86,Database!$A:$AS,MATCH($H$1,Database!$A$1:$AS$1,),))))-(((VLOOKUP(EDATE(B86,-12),Database!$A:$AS,MATCH($H$1,Database!$A$1:$AS$1,),)))))/(((VLOOKUP(EDATE(B86,-12),Database!$A:$AS,MATCH($H$1,Database!$A$1:$AS$1,),)))))</f>
        <v/>
      </c>
      <c r="I86" s="13">
        <f>IF(VLOOKUP(B86,Database!$A:$AV,MATCH($I$1,Database!$A$1:$AV$1,),)=0,"#N/A",((((VLOOKUP(B86,Database!$A:$AS,MATCH($I$1,Database!$A$1:$AS$1,),))))-(((VLOOKUP(EDATE(B86,-12),Database!$A:$AS,MATCH($I$1,Database!$A$1:$AS$1,),)))))/(((VLOOKUP(EDATE(B86,-12),Database!$A:$AS,MATCH($I$1,Database!$A$1:$AS$1,),)))))</f>
        <v/>
      </c>
      <c r="J86" s="13">
        <f>IF(VLOOKUP(B86,Database!$A:$AV,MATCH($J$1,Database!$A$1:$AV$1,),)=0,"#N/A",((((VLOOKUP(B86,Database!$A:$AS,MATCH($J$1,Database!$A$1:$AS$1,),))))-(((VLOOKUP(EDATE(B86,-12),Database!$A:$AS,MATCH($J$1,Database!$A$1:$AS$1,),)))))/(((VLOOKUP(EDATE(B86,-12),Database!$A:$AS,MATCH($J$1,Database!$A$1:$AS$1,),)))))</f>
        <v/>
      </c>
      <c r="K86" s="13">
        <f>IF(VLOOKUP(B86,Database!$A:$AV,MATCH($K$1,Database!$A$1:$AV$1,),)=0,"#N/A",((((VLOOKUP(B86,Database!$A:$AS,MATCH($K$1,Database!$A$1:$AS$1,),))))-(((VLOOKUP(EDATE(B86,-12),Database!$A:$AS,MATCH($K$1,Database!$A$1:$AS$1,),)))))/(((VLOOKUP(EDATE(B86,-12),Database!$A:$AS,MATCH($K$1,Database!$A$1:$AS$1,),)))))</f>
        <v/>
      </c>
      <c r="L86" s="13">
        <f>((((VLOOKUP(B86,Database!$A:$AS,MATCH($L$1,Database!$A$1:$AS$1,),))))-(((VLOOKUP(EDATE(B86,-12),Database!$A:$AS,MATCH($L$1,Database!$A$1:$AS$1,),)))))/(((VLOOKUP(EDATE(B86,-12),Database!$A:$AS,MATCH($L$1,Database!$A$1:$AS$1,),))))</f>
        <v/>
      </c>
      <c r="M86" s="13">
        <f>((((VLOOKUP(B86,Database!$A:$AS,MATCH($M$1,Database!$A$1:$AS$1,),))))-(((VLOOKUP(EDATE(B86,-12),Database!$A:$AS,MATCH($M$1,Database!$A$1:$AS$1,),)))))/(((VLOOKUP(EDATE(B86,-12),Database!$A:$AS,MATCH($M$1,Database!$A$1:$AS$1,),))))</f>
        <v/>
      </c>
      <c r="N86" s="13">
        <f>((((VLOOKUP(B86,Database!$A:$AS,MATCH($N$1,Database!$A$1:$AS$1,),))))-(((VLOOKUP(EDATE(B86,-12),Database!$A:$AS,MATCH($N$1,Database!$A$1:$AS$1,),)))))/(((VLOOKUP(EDATE(B86,-12),Database!$A:$AS,MATCH($N$1,Database!$A$1:$AS$1,),))))</f>
        <v/>
      </c>
      <c r="O86" s="13">
        <f>IF(VLOOKUP(B86,Database!$A:$AV,MATCH($O$1,Database!$A$1:$AV$1,),)=0,"#N/A",((((VLOOKUP(B86,Database!$A:$AS,MATCH($O$1,Database!$A$1:$AS$1,),))))-(((VLOOKUP(EDATE(B86,-12),Database!$A:$AS,MATCH($O$1,Database!$A$1:$AS$1,),)))))/(((VLOOKUP(EDATE(B86,-12),Database!$A:$AS,MATCH($O$1,Database!$A$1:$AS$1,),)))))</f>
        <v/>
      </c>
      <c r="P86" s="13">
        <f>IF(VLOOKUP(B86,Database!$A:$AV,MATCH($P$1,Database!$A$1:$AV$1,),)=0,"#N/A",((((VLOOKUP(B86,Database!$A:$AS,MATCH($P$1,Database!$A$1:$AS$1,),))))-(((VLOOKUP(EDATE(B86,-12),Database!$A:$AS,MATCH($P$1,Database!$A$1:$AS$1,),)))))/(((VLOOKUP(EDATE(B86,-12),Database!$A:$AS,MATCH($P$1,Database!$A$1:$AS$1,),)))))</f>
        <v/>
      </c>
      <c r="Q86" s="13">
        <f>IF(VLOOKUP(B86,Database!$A:$AV,MATCH($Q$1,Database!$A$1:$AV$1,),)=0,"#N/A",((((VLOOKUP(B86,Database!$A:$AS,MATCH($Q$1,Database!$A$1:$AS$1,),))))-(((VLOOKUP(EDATE(B86,-12),Database!$A:$AS,MATCH($Q$1,Database!$A$1:$AS$1,),)))))/(((VLOOKUP(EDATE(B86,-12),Database!$A:$AS,MATCH($Q$1,Database!$A$1:$AS$1,),)))))</f>
        <v/>
      </c>
      <c r="R86" s="13">
        <f>IF(VLOOKUP(B86,Database!$A:$AV,MATCH($R$1,Database!$A$1:$AV$1,),)=0,"#N/A",((((VLOOKUP(B86,Database!$A:$AS,MATCH($R$1,Database!$A$1:$AS$1,),))))-(((VLOOKUP(EDATE(B86,-12),Database!$A:$AS,MATCH($R$1,Database!$A$1:$AS$1,),)))))/(((VLOOKUP(EDATE(B86,-12),Database!$A:$AS,MATCH($R$1,Database!$A$1:$AS$1,),)))))</f>
        <v/>
      </c>
      <c r="S86" s="13">
        <f>IF(VLOOKUP(B86,Database!$A:$AV,MATCH($S$1,Database!$A$1:$AV$1,),)=0,"#N/A",((((VLOOKUP(B86,Database!$A:$AS,MATCH($S$1,Database!$A$1:$AS$1,),))))-(((VLOOKUP(EDATE(B86,-12),Database!$A:$AS,MATCH($S$1,Database!$A$1:$AS$1,),)))))/(((VLOOKUP(EDATE(B86,-12),Database!$A:$AS,MATCH($S$1,Database!$A$1:$AS$1,),)))))</f>
        <v/>
      </c>
      <c r="T86" s="13">
        <f>IF(VLOOKUP(B86,Database!$A:$AV,MATCH($T$1,Database!$A$1:$AV$1,),)=0,"#N/A",((((VLOOKUP(B86,Database!$A:$AS,MATCH($T$1,Database!$A$1:$AS$1,),))))-(((VLOOKUP(EDATE(B86,-12),Database!$A:$AS,MATCH($T$1,Database!$A$1:$AS$1,),)))))/(((VLOOKUP(EDATE(B86,-12),Database!$A:$AS,MATCH($T$1,Database!$A$1:$AS$1,),)))))</f>
        <v/>
      </c>
      <c r="U86" s="13">
        <f>IF(VLOOKUP(B86,Database!$A:$AV,MATCH($U$1,Database!$A$1:$AV$1,),)=0,"#N/A",((((VLOOKUP(B86,Database!$A:$AS,MATCH($U$1,Database!$A$1:$AS$1,),))))-(((VLOOKUP(EDATE(B86,-12),Database!$A:$AS,MATCH($U$1,Database!$A$1:$AS$1,),)))))/(((VLOOKUP(EDATE(B86,-12),Database!$A:$AS,MATCH($U$1,Database!$A$1:$AS$1,),)))))</f>
        <v/>
      </c>
      <c r="V86" s="13">
        <f>IF(VLOOKUP(B86,Database!$A:$AV,MATCH($V$1,Database!$A$1:$AV$1,),)=0,"#N/A",((((VLOOKUP(B86,Database!$A:$AS,MATCH($V$1,Database!$A$1:$AS$1,),))))-(((VLOOKUP(EDATE(B86,-12),Database!$A:$AS,MATCH($V$1,Database!$A$1:$AS$1,),)))))/(((VLOOKUP(EDATE(B86,-12),Database!$A:$AS,MATCH($V$1,Database!$A$1:$AS$1,),)))))</f>
        <v/>
      </c>
    </row>
    <row r="87" customFormat="1" s="86">
      <c r="A87" s="43" t="n"/>
      <c r="B87" s="75" t="n">
        <v>34790</v>
      </c>
      <c r="C87" s="13">
        <f>IF(VLOOKUP(B87,Database!$A:$AU,MATCH($C$1,Database!$A$1:$AU$1,),)=0,"#N/A",((((VLOOKUP(B87,Database!$A:$AU,MATCH($C$1,Database!$A$1:$AU$1,),))))-(((VLOOKUP(EDATE(B87,-12),Database!$A:$AU,MATCH($C$1,Database!$A$1:$AU$1,),)))))/(((VLOOKUP(EDATE(B87,-12),Database!$A:$AU,MATCH($C$1,Database!$A$1:$AU$1,),)))))</f>
        <v/>
      </c>
      <c r="D87" s="13">
        <f>IF(VLOOKUP(B87,Database!$A:$AV,MATCH($D$1,Database!$A$1:$AV$1,),)=0,"#N/A",((((VLOOKUP(B87,Database!$A:$AS,MATCH($D$1,Database!$A$1:$AS$1,),))))-(((VLOOKUP(EDATE(B87,-12),Database!$A:$AS,MATCH($D$1,Database!$A$1:$AS$1,),)))))/(((VLOOKUP(EDATE(B87,-12),Database!$A:$AS,MATCH($D$1,Database!$A$1:$AS$1,),)))))</f>
        <v/>
      </c>
      <c r="E87" s="13">
        <f>IF(VLOOKUP(B87,Database!$A:$AV,MATCH($E$1,Database!$A$1:$AV$1,),)=0,"#N/A",((((VLOOKUP(B87,Database!$A:$AS,MATCH($E$1,Database!$A$1:$AS$1,),))))-(((VLOOKUP(EDATE(B87,-12),Database!$A:$AS,MATCH($E$1,Database!$A$1:$AS$1,),)))))/(((VLOOKUP(EDATE(B87,-12),Database!$A:$AS,MATCH($E$1,Database!$A$1:$AS$1,),)))))</f>
        <v/>
      </c>
      <c r="F87" s="13">
        <f>IF(VLOOKUP(B87,Database!$A:$AV,MATCH($F$1,Database!$A$1:$AV$1,),)=0,"#N/A",((((VLOOKUP(B87,Database!$A:$AS,MATCH($F$1,Database!$A$1:$AS$1,),))))-(((VLOOKUP(EDATE(B87,-12),Database!$A:$AS,MATCH($F$1,Database!$A$1:$AS$1,),)))))/(((VLOOKUP(EDATE(B87,-12),Database!$A:$AS,MATCH($F$1,Database!$A$1:$AS$1,),)))))</f>
        <v/>
      </c>
      <c r="G87" s="13">
        <f>IF(VLOOKUP(B87,Database!$A:$AV,MATCH($G$1,Database!$A$1:$AV$1,),)=0,"#N/A",((((VLOOKUP(B87,Database!$A:$AS,MATCH($G$1,Database!$A$1:$AS$1,),))))-(((VLOOKUP(EDATE(B87,-12),Database!$A:$AS,MATCH($G$1,Database!$A$1:$AS$1,),)))))/(((VLOOKUP(EDATE(B87,-12),Database!$A:$AS,MATCH($G$1,Database!$A$1:$AS$1,),)))))</f>
        <v/>
      </c>
      <c r="H87" s="13">
        <f>IF(VLOOKUP(B87,Database!$A:$AV,MATCH($H$1,Database!$A$1:$AV$1,),)=0,"#N/A",((((VLOOKUP(B87,Database!$A:$AS,MATCH($H$1,Database!$A$1:$AS$1,),))))-(((VLOOKUP(EDATE(B87,-12),Database!$A:$AS,MATCH($H$1,Database!$A$1:$AS$1,),)))))/(((VLOOKUP(EDATE(B87,-12),Database!$A:$AS,MATCH($H$1,Database!$A$1:$AS$1,),)))))</f>
        <v/>
      </c>
      <c r="I87" s="13">
        <f>IF(VLOOKUP(B87,Database!$A:$AV,MATCH($I$1,Database!$A$1:$AV$1,),)=0,"#N/A",((((VLOOKUP(B87,Database!$A:$AS,MATCH($I$1,Database!$A$1:$AS$1,),))))-(((VLOOKUP(EDATE(B87,-12),Database!$A:$AS,MATCH($I$1,Database!$A$1:$AS$1,),)))))/(((VLOOKUP(EDATE(B87,-12),Database!$A:$AS,MATCH($I$1,Database!$A$1:$AS$1,),)))))</f>
        <v/>
      </c>
      <c r="J87" s="13">
        <f>IF(VLOOKUP(B87,Database!$A:$AV,MATCH($J$1,Database!$A$1:$AV$1,),)=0,"#N/A",((((VLOOKUP(B87,Database!$A:$AS,MATCH($J$1,Database!$A$1:$AS$1,),))))-(((VLOOKUP(EDATE(B87,-12),Database!$A:$AS,MATCH($J$1,Database!$A$1:$AS$1,),)))))/(((VLOOKUP(EDATE(B87,-12),Database!$A:$AS,MATCH($J$1,Database!$A$1:$AS$1,),)))))</f>
        <v/>
      </c>
      <c r="K87" s="13">
        <f>IF(VLOOKUP(B87,Database!$A:$AV,MATCH($K$1,Database!$A$1:$AV$1,),)=0,"#N/A",((((VLOOKUP(B87,Database!$A:$AS,MATCH($K$1,Database!$A$1:$AS$1,),))))-(((VLOOKUP(EDATE(B87,-12),Database!$A:$AS,MATCH($K$1,Database!$A$1:$AS$1,),)))))/(((VLOOKUP(EDATE(B87,-12),Database!$A:$AS,MATCH($K$1,Database!$A$1:$AS$1,),)))))</f>
        <v/>
      </c>
      <c r="L87" s="13">
        <f>((((VLOOKUP(B87,Database!$A:$AS,MATCH($L$1,Database!$A$1:$AS$1,),))))-(((VLOOKUP(EDATE(B87,-12),Database!$A:$AS,MATCH($L$1,Database!$A$1:$AS$1,),)))))/(((VLOOKUP(EDATE(B87,-12),Database!$A:$AS,MATCH($L$1,Database!$A$1:$AS$1,),))))</f>
        <v/>
      </c>
      <c r="M87" s="13">
        <f>((((VLOOKUP(B87,Database!$A:$AS,MATCH($M$1,Database!$A$1:$AS$1,),))))-(((VLOOKUP(EDATE(B87,-12),Database!$A:$AS,MATCH($M$1,Database!$A$1:$AS$1,),)))))/(((VLOOKUP(EDATE(B87,-12),Database!$A:$AS,MATCH($M$1,Database!$A$1:$AS$1,),))))</f>
        <v/>
      </c>
      <c r="N87" s="13">
        <f>((((VLOOKUP(B87,Database!$A:$AS,MATCH($N$1,Database!$A$1:$AS$1,),))))-(((VLOOKUP(EDATE(B87,-12),Database!$A:$AS,MATCH($N$1,Database!$A$1:$AS$1,),)))))/(((VLOOKUP(EDATE(B87,-12),Database!$A:$AS,MATCH($N$1,Database!$A$1:$AS$1,),))))</f>
        <v/>
      </c>
      <c r="O87" s="13">
        <f>IF(VLOOKUP(B87,Database!$A:$AV,MATCH($O$1,Database!$A$1:$AV$1,),)=0,"#N/A",((((VLOOKUP(B87,Database!$A:$AS,MATCH($O$1,Database!$A$1:$AS$1,),))))-(((VLOOKUP(EDATE(B87,-12),Database!$A:$AS,MATCH($O$1,Database!$A$1:$AS$1,),)))))/(((VLOOKUP(EDATE(B87,-12),Database!$A:$AS,MATCH($O$1,Database!$A$1:$AS$1,),)))))</f>
        <v/>
      </c>
      <c r="P87" s="13">
        <f>IF(VLOOKUP(B87,Database!$A:$AV,MATCH($P$1,Database!$A$1:$AV$1,),)=0,"#N/A",((((VLOOKUP(B87,Database!$A:$AS,MATCH($P$1,Database!$A$1:$AS$1,),))))-(((VLOOKUP(EDATE(B87,-12),Database!$A:$AS,MATCH($P$1,Database!$A$1:$AS$1,),)))))/(((VLOOKUP(EDATE(B87,-12),Database!$A:$AS,MATCH($P$1,Database!$A$1:$AS$1,),)))))</f>
        <v/>
      </c>
      <c r="Q87" s="13">
        <f>IF(VLOOKUP(B87,Database!$A:$AV,MATCH($Q$1,Database!$A$1:$AV$1,),)=0,"#N/A",((((VLOOKUP(B87,Database!$A:$AS,MATCH($Q$1,Database!$A$1:$AS$1,),))))-(((VLOOKUP(EDATE(B87,-12),Database!$A:$AS,MATCH($Q$1,Database!$A$1:$AS$1,),)))))/(((VLOOKUP(EDATE(B87,-12),Database!$A:$AS,MATCH($Q$1,Database!$A$1:$AS$1,),)))))</f>
        <v/>
      </c>
      <c r="R87" s="13">
        <f>IF(VLOOKUP(B87,Database!$A:$AV,MATCH($R$1,Database!$A$1:$AV$1,),)=0,"#N/A",((((VLOOKUP(B87,Database!$A:$AS,MATCH($R$1,Database!$A$1:$AS$1,),))))-(((VLOOKUP(EDATE(B87,-12),Database!$A:$AS,MATCH($R$1,Database!$A$1:$AS$1,),)))))/(((VLOOKUP(EDATE(B87,-12),Database!$A:$AS,MATCH($R$1,Database!$A$1:$AS$1,),)))))</f>
        <v/>
      </c>
      <c r="S87" s="13">
        <f>IF(VLOOKUP(B87,Database!$A:$AV,MATCH($S$1,Database!$A$1:$AV$1,),)=0,"#N/A",((((VLOOKUP(B87,Database!$A:$AS,MATCH($S$1,Database!$A$1:$AS$1,),))))-(((VLOOKUP(EDATE(B87,-12),Database!$A:$AS,MATCH($S$1,Database!$A$1:$AS$1,),)))))/(((VLOOKUP(EDATE(B87,-12),Database!$A:$AS,MATCH($S$1,Database!$A$1:$AS$1,),)))))</f>
        <v/>
      </c>
      <c r="T87" s="13">
        <f>IF(VLOOKUP(B87,Database!$A:$AV,MATCH($T$1,Database!$A$1:$AV$1,),)=0,"#N/A",((((VLOOKUP(B87,Database!$A:$AS,MATCH($T$1,Database!$A$1:$AS$1,),))))-(((VLOOKUP(EDATE(B87,-12),Database!$A:$AS,MATCH($T$1,Database!$A$1:$AS$1,),)))))/(((VLOOKUP(EDATE(B87,-12),Database!$A:$AS,MATCH($T$1,Database!$A$1:$AS$1,),)))))</f>
        <v/>
      </c>
      <c r="U87" s="13">
        <f>IF(VLOOKUP(B87,Database!$A:$AV,MATCH($U$1,Database!$A$1:$AV$1,),)=0,"#N/A",((((VLOOKUP(B87,Database!$A:$AS,MATCH($U$1,Database!$A$1:$AS$1,),))))-(((VLOOKUP(EDATE(B87,-12),Database!$A:$AS,MATCH($U$1,Database!$A$1:$AS$1,),)))))/(((VLOOKUP(EDATE(B87,-12),Database!$A:$AS,MATCH($U$1,Database!$A$1:$AS$1,),)))))</f>
        <v/>
      </c>
      <c r="V87" s="13">
        <f>IF(VLOOKUP(B87,Database!$A:$AV,MATCH($V$1,Database!$A$1:$AV$1,),)=0,"#N/A",((((VLOOKUP(B87,Database!$A:$AS,MATCH($V$1,Database!$A$1:$AS$1,),))))-(((VLOOKUP(EDATE(B87,-12),Database!$A:$AS,MATCH($V$1,Database!$A$1:$AS$1,),)))))/(((VLOOKUP(EDATE(B87,-12),Database!$A:$AS,MATCH($V$1,Database!$A$1:$AS$1,),)))))</f>
        <v/>
      </c>
    </row>
    <row r="88" customFormat="1" s="86">
      <c r="A88" s="43" t="n"/>
      <c r="B88" s="75" t="n">
        <v>34820</v>
      </c>
      <c r="C88" s="13">
        <f>IF(VLOOKUP(B88,Database!$A:$AU,MATCH($C$1,Database!$A$1:$AU$1,),)=0,"#N/A",((((VLOOKUP(B88,Database!$A:$AU,MATCH($C$1,Database!$A$1:$AU$1,),))))-(((VLOOKUP(EDATE(B88,-12),Database!$A:$AU,MATCH($C$1,Database!$A$1:$AU$1,),)))))/(((VLOOKUP(EDATE(B88,-12),Database!$A:$AU,MATCH($C$1,Database!$A$1:$AU$1,),)))))</f>
        <v/>
      </c>
      <c r="D88" s="13">
        <f>IF(VLOOKUP(B88,Database!$A:$AV,MATCH($D$1,Database!$A$1:$AV$1,),)=0,"#N/A",((((VLOOKUP(B88,Database!$A:$AS,MATCH($D$1,Database!$A$1:$AS$1,),))))-(((VLOOKUP(EDATE(B88,-12),Database!$A:$AS,MATCH($D$1,Database!$A$1:$AS$1,),)))))/(((VLOOKUP(EDATE(B88,-12),Database!$A:$AS,MATCH($D$1,Database!$A$1:$AS$1,),)))))</f>
        <v/>
      </c>
      <c r="E88" s="13">
        <f>IF(VLOOKUP(B88,Database!$A:$AV,MATCH($E$1,Database!$A$1:$AV$1,),)=0,"#N/A",((((VLOOKUP(B88,Database!$A:$AS,MATCH($E$1,Database!$A$1:$AS$1,),))))-(((VLOOKUP(EDATE(B88,-12),Database!$A:$AS,MATCH($E$1,Database!$A$1:$AS$1,),)))))/(((VLOOKUP(EDATE(B88,-12),Database!$A:$AS,MATCH($E$1,Database!$A$1:$AS$1,),)))))</f>
        <v/>
      </c>
      <c r="F88" s="13">
        <f>IF(VLOOKUP(B88,Database!$A:$AV,MATCH($F$1,Database!$A$1:$AV$1,),)=0,"#N/A",((((VLOOKUP(B88,Database!$A:$AS,MATCH($F$1,Database!$A$1:$AS$1,),))))-(((VLOOKUP(EDATE(B88,-12),Database!$A:$AS,MATCH($F$1,Database!$A$1:$AS$1,),)))))/(((VLOOKUP(EDATE(B88,-12),Database!$A:$AS,MATCH($F$1,Database!$A$1:$AS$1,),)))))</f>
        <v/>
      </c>
      <c r="G88" s="13">
        <f>IF(VLOOKUP(B88,Database!$A:$AV,MATCH($G$1,Database!$A$1:$AV$1,),)=0,"#N/A",((((VLOOKUP(B88,Database!$A:$AS,MATCH($G$1,Database!$A$1:$AS$1,),))))-(((VLOOKUP(EDATE(B88,-12),Database!$A:$AS,MATCH($G$1,Database!$A$1:$AS$1,),)))))/(((VLOOKUP(EDATE(B88,-12),Database!$A:$AS,MATCH($G$1,Database!$A$1:$AS$1,),)))))</f>
        <v/>
      </c>
      <c r="H88" s="13">
        <f>IF(VLOOKUP(B88,Database!$A:$AV,MATCH($H$1,Database!$A$1:$AV$1,),)=0,"#N/A",((((VLOOKUP(B88,Database!$A:$AS,MATCH($H$1,Database!$A$1:$AS$1,),))))-(((VLOOKUP(EDATE(B88,-12),Database!$A:$AS,MATCH($H$1,Database!$A$1:$AS$1,),)))))/(((VLOOKUP(EDATE(B88,-12),Database!$A:$AS,MATCH($H$1,Database!$A$1:$AS$1,),)))))</f>
        <v/>
      </c>
      <c r="I88" s="13">
        <f>IF(VLOOKUP(B88,Database!$A:$AV,MATCH($I$1,Database!$A$1:$AV$1,),)=0,"#N/A",((((VLOOKUP(B88,Database!$A:$AS,MATCH($I$1,Database!$A$1:$AS$1,),))))-(((VLOOKUP(EDATE(B88,-12),Database!$A:$AS,MATCH($I$1,Database!$A$1:$AS$1,),)))))/(((VLOOKUP(EDATE(B88,-12),Database!$A:$AS,MATCH($I$1,Database!$A$1:$AS$1,),)))))</f>
        <v/>
      </c>
      <c r="J88" s="13">
        <f>IF(VLOOKUP(B88,Database!$A:$AV,MATCH($J$1,Database!$A$1:$AV$1,),)=0,"#N/A",((((VLOOKUP(B88,Database!$A:$AS,MATCH($J$1,Database!$A$1:$AS$1,),))))-(((VLOOKUP(EDATE(B88,-12),Database!$A:$AS,MATCH($J$1,Database!$A$1:$AS$1,),)))))/(((VLOOKUP(EDATE(B88,-12),Database!$A:$AS,MATCH($J$1,Database!$A$1:$AS$1,),)))))</f>
        <v/>
      </c>
      <c r="K88" s="13">
        <f>IF(VLOOKUP(B88,Database!$A:$AV,MATCH($K$1,Database!$A$1:$AV$1,),)=0,"#N/A",((((VLOOKUP(B88,Database!$A:$AS,MATCH($K$1,Database!$A$1:$AS$1,),))))-(((VLOOKUP(EDATE(B88,-12),Database!$A:$AS,MATCH($K$1,Database!$A$1:$AS$1,),)))))/(((VLOOKUP(EDATE(B88,-12),Database!$A:$AS,MATCH($K$1,Database!$A$1:$AS$1,),)))))</f>
        <v/>
      </c>
      <c r="L88" s="13">
        <f>((((VLOOKUP(B88,Database!$A:$AS,MATCH($L$1,Database!$A$1:$AS$1,),))))-(((VLOOKUP(EDATE(B88,-12),Database!$A:$AS,MATCH($L$1,Database!$A$1:$AS$1,),)))))/(((VLOOKUP(EDATE(B88,-12),Database!$A:$AS,MATCH($L$1,Database!$A$1:$AS$1,),))))</f>
        <v/>
      </c>
      <c r="M88" s="13">
        <f>((((VLOOKUP(B88,Database!$A:$AS,MATCH($M$1,Database!$A$1:$AS$1,),))))-(((VLOOKUP(EDATE(B88,-12),Database!$A:$AS,MATCH($M$1,Database!$A$1:$AS$1,),)))))/(((VLOOKUP(EDATE(B88,-12),Database!$A:$AS,MATCH($M$1,Database!$A$1:$AS$1,),))))</f>
        <v/>
      </c>
      <c r="N88" s="13">
        <f>((((VLOOKUP(B88,Database!$A:$AS,MATCH($N$1,Database!$A$1:$AS$1,),))))-(((VLOOKUP(EDATE(B88,-12),Database!$A:$AS,MATCH($N$1,Database!$A$1:$AS$1,),)))))/(((VLOOKUP(EDATE(B88,-12),Database!$A:$AS,MATCH($N$1,Database!$A$1:$AS$1,),))))</f>
        <v/>
      </c>
      <c r="O88" s="13">
        <f>IF(VLOOKUP(B88,Database!$A:$AV,MATCH($O$1,Database!$A$1:$AV$1,),)=0,"#N/A",((((VLOOKUP(B88,Database!$A:$AS,MATCH($O$1,Database!$A$1:$AS$1,),))))-(((VLOOKUP(EDATE(B88,-12),Database!$A:$AS,MATCH($O$1,Database!$A$1:$AS$1,),)))))/(((VLOOKUP(EDATE(B88,-12),Database!$A:$AS,MATCH($O$1,Database!$A$1:$AS$1,),)))))</f>
        <v/>
      </c>
      <c r="P88" s="13">
        <f>IF(VLOOKUP(B88,Database!$A:$AV,MATCH($P$1,Database!$A$1:$AV$1,),)=0,"#N/A",((((VLOOKUP(B88,Database!$A:$AS,MATCH($P$1,Database!$A$1:$AS$1,),))))-(((VLOOKUP(EDATE(B88,-12),Database!$A:$AS,MATCH($P$1,Database!$A$1:$AS$1,),)))))/(((VLOOKUP(EDATE(B88,-12),Database!$A:$AS,MATCH($P$1,Database!$A$1:$AS$1,),)))))</f>
        <v/>
      </c>
      <c r="Q88" s="13">
        <f>IF(VLOOKUP(B88,Database!$A:$AV,MATCH($Q$1,Database!$A$1:$AV$1,),)=0,"#N/A",((((VLOOKUP(B88,Database!$A:$AS,MATCH($Q$1,Database!$A$1:$AS$1,),))))-(((VLOOKUP(EDATE(B88,-12),Database!$A:$AS,MATCH($Q$1,Database!$A$1:$AS$1,),)))))/(((VLOOKUP(EDATE(B88,-12),Database!$A:$AS,MATCH($Q$1,Database!$A$1:$AS$1,),)))))</f>
        <v/>
      </c>
      <c r="R88" s="13">
        <f>IF(VLOOKUP(B88,Database!$A:$AV,MATCH($R$1,Database!$A$1:$AV$1,),)=0,"#N/A",((((VLOOKUP(B88,Database!$A:$AS,MATCH($R$1,Database!$A$1:$AS$1,),))))-(((VLOOKUP(EDATE(B88,-12),Database!$A:$AS,MATCH($R$1,Database!$A$1:$AS$1,),)))))/(((VLOOKUP(EDATE(B88,-12),Database!$A:$AS,MATCH($R$1,Database!$A$1:$AS$1,),)))))</f>
        <v/>
      </c>
      <c r="S88" s="13">
        <f>IF(VLOOKUP(B88,Database!$A:$AV,MATCH($S$1,Database!$A$1:$AV$1,),)=0,"#N/A",((((VLOOKUP(B88,Database!$A:$AS,MATCH($S$1,Database!$A$1:$AS$1,),))))-(((VLOOKUP(EDATE(B88,-12),Database!$A:$AS,MATCH($S$1,Database!$A$1:$AS$1,),)))))/(((VLOOKUP(EDATE(B88,-12),Database!$A:$AS,MATCH($S$1,Database!$A$1:$AS$1,),)))))</f>
        <v/>
      </c>
      <c r="T88" s="13">
        <f>IF(VLOOKUP(B88,Database!$A:$AV,MATCH($T$1,Database!$A$1:$AV$1,),)=0,"#N/A",((((VLOOKUP(B88,Database!$A:$AS,MATCH($T$1,Database!$A$1:$AS$1,),))))-(((VLOOKUP(EDATE(B88,-12),Database!$A:$AS,MATCH($T$1,Database!$A$1:$AS$1,),)))))/(((VLOOKUP(EDATE(B88,-12),Database!$A:$AS,MATCH($T$1,Database!$A$1:$AS$1,),)))))</f>
        <v/>
      </c>
      <c r="U88" s="13">
        <f>IF(VLOOKUP(B88,Database!$A:$AV,MATCH($U$1,Database!$A$1:$AV$1,),)=0,"#N/A",((((VLOOKUP(B88,Database!$A:$AS,MATCH($U$1,Database!$A$1:$AS$1,),))))-(((VLOOKUP(EDATE(B88,-12),Database!$A:$AS,MATCH($U$1,Database!$A$1:$AS$1,),)))))/(((VLOOKUP(EDATE(B88,-12),Database!$A:$AS,MATCH($U$1,Database!$A$1:$AS$1,),)))))</f>
        <v/>
      </c>
      <c r="V88" s="13">
        <f>IF(VLOOKUP(B88,Database!$A:$AV,MATCH($V$1,Database!$A$1:$AV$1,),)=0,"#N/A",((((VLOOKUP(B88,Database!$A:$AS,MATCH($V$1,Database!$A$1:$AS$1,),))))-(((VLOOKUP(EDATE(B88,-12),Database!$A:$AS,MATCH($V$1,Database!$A$1:$AS$1,),)))))/(((VLOOKUP(EDATE(B88,-12),Database!$A:$AS,MATCH($V$1,Database!$A$1:$AS$1,),)))))</f>
        <v/>
      </c>
    </row>
    <row r="89" customFormat="1" s="86">
      <c r="A89" s="43" t="n"/>
      <c r="B89" s="75" t="n">
        <v>34851</v>
      </c>
      <c r="C89" s="13">
        <f>IF(VLOOKUP(B89,Database!$A:$AU,MATCH($C$1,Database!$A$1:$AU$1,),)=0,"#N/A",((((VLOOKUP(B89,Database!$A:$AU,MATCH($C$1,Database!$A$1:$AU$1,),))))-(((VLOOKUP(EDATE(B89,-12),Database!$A:$AU,MATCH($C$1,Database!$A$1:$AU$1,),)))))/(((VLOOKUP(EDATE(B89,-12),Database!$A:$AU,MATCH($C$1,Database!$A$1:$AU$1,),)))))</f>
        <v/>
      </c>
      <c r="D89" s="13">
        <f>IF(VLOOKUP(B89,Database!$A:$AV,MATCH($D$1,Database!$A$1:$AV$1,),)=0,"#N/A",((((VLOOKUP(B89,Database!$A:$AS,MATCH($D$1,Database!$A$1:$AS$1,),))))-(((VLOOKUP(EDATE(B89,-12),Database!$A:$AS,MATCH($D$1,Database!$A$1:$AS$1,),)))))/(((VLOOKUP(EDATE(B89,-12),Database!$A:$AS,MATCH($D$1,Database!$A$1:$AS$1,),)))))</f>
        <v/>
      </c>
      <c r="E89" s="13">
        <f>IF(VLOOKUP(B89,Database!$A:$AV,MATCH($E$1,Database!$A$1:$AV$1,),)=0,"#N/A",((((VLOOKUP(B89,Database!$A:$AS,MATCH($E$1,Database!$A$1:$AS$1,),))))-(((VLOOKUP(EDATE(B89,-12),Database!$A:$AS,MATCH($E$1,Database!$A$1:$AS$1,),)))))/(((VLOOKUP(EDATE(B89,-12),Database!$A:$AS,MATCH($E$1,Database!$A$1:$AS$1,),)))))</f>
        <v/>
      </c>
      <c r="F89" s="13">
        <f>IF(VLOOKUP(B89,Database!$A:$AV,MATCH($F$1,Database!$A$1:$AV$1,),)=0,"#N/A",((((VLOOKUP(B89,Database!$A:$AS,MATCH($F$1,Database!$A$1:$AS$1,),))))-(((VLOOKUP(EDATE(B89,-12),Database!$A:$AS,MATCH($F$1,Database!$A$1:$AS$1,),)))))/(((VLOOKUP(EDATE(B89,-12),Database!$A:$AS,MATCH($F$1,Database!$A$1:$AS$1,),)))))</f>
        <v/>
      </c>
      <c r="G89" s="13">
        <f>IF(VLOOKUP(B89,Database!$A:$AV,MATCH($G$1,Database!$A$1:$AV$1,),)=0,"#N/A",((((VLOOKUP(B89,Database!$A:$AS,MATCH($G$1,Database!$A$1:$AS$1,),))))-(((VLOOKUP(EDATE(B89,-12),Database!$A:$AS,MATCH($G$1,Database!$A$1:$AS$1,),)))))/(((VLOOKUP(EDATE(B89,-12),Database!$A:$AS,MATCH($G$1,Database!$A$1:$AS$1,),)))))</f>
        <v/>
      </c>
      <c r="H89" s="13">
        <f>IF(VLOOKUP(B89,Database!$A:$AV,MATCH($H$1,Database!$A$1:$AV$1,),)=0,"#N/A",((((VLOOKUP(B89,Database!$A:$AS,MATCH($H$1,Database!$A$1:$AS$1,),))))-(((VLOOKUP(EDATE(B89,-12),Database!$A:$AS,MATCH($H$1,Database!$A$1:$AS$1,),)))))/(((VLOOKUP(EDATE(B89,-12),Database!$A:$AS,MATCH($H$1,Database!$A$1:$AS$1,),)))))</f>
        <v/>
      </c>
      <c r="I89" s="13">
        <f>IF(VLOOKUP(B89,Database!$A:$AV,MATCH($I$1,Database!$A$1:$AV$1,),)=0,"#N/A",((((VLOOKUP(B89,Database!$A:$AS,MATCH($I$1,Database!$A$1:$AS$1,),))))-(((VLOOKUP(EDATE(B89,-12),Database!$A:$AS,MATCH($I$1,Database!$A$1:$AS$1,),)))))/(((VLOOKUP(EDATE(B89,-12),Database!$A:$AS,MATCH($I$1,Database!$A$1:$AS$1,),)))))</f>
        <v/>
      </c>
      <c r="J89" s="13">
        <f>IF(VLOOKUP(B89,Database!$A:$AV,MATCH($J$1,Database!$A$1:$AV$1,),)=0,"#N/A",((((VLOOKUP(B89,Database!$A:$AS,MATCH($J$1,Database!$A$1:$AS$1,),))))-(((VLOOKUP(EDATE(B89,-12),Database!$A:$AS,MATCH($J$1,Database!$A$1:$AS$1,),)))))/(((VLOOKUP(EDATE(B89,-12),Database!$A:$AS,MATCH($J$1,Database!$A$1:$AS$1,),)))))</f>
        <v/>
      </c>
      <c r="K89" s="13">
        <f>IF(VLOOKUP(B89,Database!$A:$AV,MATCH($K$1,Database!$A$1:$AV$1,),)=0,"#N/A",((((VLOOKUP(B89,Database!$A:$AS,MATCH($K$1,Database!$A$1:$AS$1,),))))-(((VLOOKUP(EDATE(B89,-12),Database!$A:$AS,MATCH($K$1,Database!$A$1:$AS$1,),)))))/(((VLOOKUP(EDATE(B89,-12),Database!$A:$AS,MATCH($K$1,Database!$A$1:$AS$1,),)))))</f>
        <v/>
      </c>
      <c r="L89" s="13">
        <f>((((VLOOKUP(B89,Database!$A:$AS,MATCH($L$1,Database!$A$1:$AS$1,),))))-(((VLOOKUP(EDATE(B89,-12),Database!$A:$AS,MATCH($L$1,Database!$A$1:$AS$1,),)))))/(((VLOOKUP(EDATE(B89,-12),Database!$A:$AS,MATCH($L$1,Database!$A$1:$AS$1,),))))</f>
        <v/>
      </c>
      <c r="M89" s="13">
        <f>((((VLOOKUP(B89,Database!$A:$AS,MATCH($M$1,Database!$A$1:$AS$1,),))))-(((VLOOKUP(EDATE(B89,-12),Database!$A:$AS,MATCH($M$1,Database!$A$1:$AS$1,),)))))/(((VLOOKUP(EDATE(B89,-12),Database!$A:$AS,MATCH($M$1,Database!$A$1:$AS$1,),))))</f>
        <v/>
      </c>
      <c r="N89" s="13">
        <f>((((VLOOKUP(B89,Database!$A:$AS,MATCH($N$1,Database!$A$1:$AS$1,),))))-(((VLOOKUP(EDATE(B89,-12),Database!$A:$AS,MATCH($N$1,Database!$A$1:$AS$1,),)))))/(((VLOOKUP(EDATE(B89,-12),Database!$A:$AS,MATCH($N$1,Database!$A$1:$AS$1,),))))</f>
        <v/>
      </c>
      <c r="O89" s="13">
        <f>IF(VLOOKUP(B89,Database!$A:$AV,MATCH($O$1,Database!$A$1:$AV$1,),)=0,"#N/A",((((VLOOKUP(B89,Database!$A:$AS,MATCH($O$1,Database!$A$1:$AS$1,),))))-(((VLOOKUP(EDATE(B89,-12),Database!$A:$AS,MATCH($O$1,Database!$A$1:$AS$1,),)))))/(((VLOOKUP(EDATE(B89,-12),Database!$A:$AS,MATCH($O$1,Database!$A$1:$AS$1,),)))))</f>
        <v/>
      </c>
      <c r="P89" s="13">
        <f>IF(VLOOKUP(B89,Database!$A:$AV,MATCH($P$1,Database!$A$1:$AV$1,),)=0,"#N/A",((((VLOOKUP(B89,Database!$A:$AS,MATCH($P$1,Database!$A$1:$AS$1,),))))-(((VLOOKUP(EDATE(B89,-12),Database!$A:$AS,MATCH($P$1,Database!$A$1:$AS$1,),)))))/(((VLOOKUP(EDATE(B89,-12),Database!$A:$AS,MATCH($P$1,Database!$A$1:$AS$1,),)))))</f>
        <v/>
      </c>
      <c r="Q89" s="13">
        <f>IF(VLOOKUP(B89,Database!$A:$AV,MATCH($Q$1,Database!$A$1:$AV$1,),)=0,"#N/A",((((VLOOKUP(B89,Database!$A:$AS,MATCH($Q$1,Database!$A$1:$AS$1,),))))-(((VLOOKUP(EDATE(B89,-12),Database!$A:$AS,MATCH($Q$1,Database!$A$1:$AS$1,),)))))/(((VLOOKUP(EDATE(B89,-12),Database!$A:$AS,MATCH($Q$1,Database!$A$1:$AS$1,),)))))</f>
        <v/>
      </c>
      <c r="R89" s="13">
        <f>IF(VLOOKUP(B89,Database!$A:$AV,MATCH($R$1,Database!$A$1:$AV$1,),)=0,"#N/A",((((VLOOKUP(B89,Database!$A:$AS,MATCH($R$1,Database!$A$1:$AS$1,),))))-(((VLOOKUP(EDATE(B89,-12),Database!$A:$AS,MATCH($R$1,Database!$A$1:$AS$1,),)))))/(((VLOOKUP(EDATE(B89,-12),Database!$A:$AS,MATCH($R$1,Database!$A$1:$AS$1,),)))))</f>
        <v/>
      </c>
      <c r="S89" s="13">
        <f>IF(VLOOKUP(B89,Database!$A:$AV,MATCH($S$1,Database!$A$1:$AV$1,),)=0,"#N/A",((((VLOOKUP(B89,Database!$A:$AS,MATCH($S$1,Database!$A$1:$AS$1,),))))-(((VLOOKUP(EDATE(B89,-12),Database!$A:$AS,MATCH($S$1,Database!$A$1:$AS$1,),)))))/(((VLOOKUP(EDATE(B89,-12),Database!$A:$AS,MATCH($S$1,Database!$A$1:$AS$1,),)))))</f>
        <v/>
      </c>
      <c r="T89" s="13">
        <f>IF(VLOOKUP(B89,Database!$A:$AV,MATCH($T$1,Database!$A$1:$AV$1,),)=0,"#N/A",((((VLOOKUP(B89,Database!$A:$AS,MATCH($T$1,Database!$A$1:$AS$1,),))))-(((VLOOKUP(EDATE(B89,-12),Database!$A:$AS,MATCH($T$1,Database!$A$1:$AS$1,),)))))/(((VLOOKUP(EDATE(B89,-12),Database!$A:$AS,MATCH($T$1,Database!$A$1:$AS$1,),)))))</f>
        <v/>
      </c>
      <c r="U89" s="13">
        <f>IF(VLOOKUP(B89,Database!$A:$AV,MATCH($U$1,Database!$A$1:$AV$1,),)=0,"#N/A",((((VLOOKUP(B89,Database!$A:$AS,MATCH($U$1,Database!$A$1:$AS$1,),))))-(((VLOOKUP(EDATE(B89,-12),Database!$A:$AS,MATCH($U$1,Database!$A$1:$AS$1,),)))))/(((VLOOKUP(EDATE(B89,-12),Database!$A:$AS,MATCH($U$1,Database!$A$1:$AS$1,),)))))</f>
        <v/>
      </c>
      <c r="V89" s="13">
        <f>IF(VLOOKUP(B89,Database!$A:$AV,MATCH($V$1,Database!$A$1:$AV$1,),)=0,"#N/A",((((VLOOKUP(B89,Database!$A:$AS,MATCH($V$1,Database!$A$1:$AS$1,),))))-(((VLOOKUP(EDATE(B89,-12),Database!$A:$AS,MATCH($V$1,Database!$A$1:$AS$1,),)))))/(((VLOOKUP(EDATE(B89,-12),Database!$A:$AS,MATCH($V$1,Database!$A$1:$AS$1,),)))))</f>
        <v/>
      </c>
    </row>
    <row r="90" customFormat="1" s="86">
      <c r="A90" s="43" t="n"/>
      <c r="B90" s="75" t="n">
        <v>34881</v>
      </c>
      <c r="C90" s="13">
        <f>IF(VLOOKUP(B90,Database!$A:$AU,MATCH($C$1,Database!$A$1:$AU$1,),)=0,"#N/A",((((VLOOKUP(B90,Database!$A:$AU,MATCH($C$1,Database!$A$1:$AU$1,),))))-(((VLOOKUP(EDATE(B90,-12),Database!$A:$AU,MATCH($C$1,Database!$A$1:$AU$1,),)))))/(((VLOOKUP(EDATE(B90,-12),Database!$A:$AU,MATCH($C$1,Database!$A$1:$AU$1,),)))))</f>
        <v/>
      </c>
      <c r="D90" s="13">
        <f>IF(VLOOKUP(B90,Database!$A:$AV,MATCH($D$1,Database!$A$1:$AV$1,),)=0,"#N/A",((((VLOOKUP(B90,Database!$A:$AS,MATCH($D$1,Database!$A$1:$AS$1,),))))-(((VLOOKUP(EDATE(B90,-12),Database!$A:$AS,MATCH($D$1,Database!$A$1:$AS$1,),)))))/(((VLOOKUP(EDATE(B90,-12),Database!$A:$AS,MATCH($D$1,Database!$A$1:$AS$1,),)))))</f>
        <v/>
      </c>
      <c r="E90" s="13">
        <f>IF(VLOOKUP(B90,Database!$A:$AV,MATCH($E$1,Database!$A$1:$AV$1,),)=0,"#N/A",((((VLOOKUP(B90,Database!$A:$AS,MATCH($E$1,Database!$A$1:$AS$1,),))))-(((VLOOKUP(EDATE(B90,-12),Database!$A:$AS,MATCH($E$1,Database!$A$1:$AS$1,),)))))/(((VLOOKUP(EDATE(B90,-12),Database!$A:$AS,MATCH($E$1,Database!$A$1:$AS$1,),)))))</f>
        <v/>
      </c>
      <c r="F90" s="13">
        <f>IF(VLOOKUP(B90,Database!$A:$AV,MATCH($F$1,Database!$A$1:$AV$1,),)=0,"#N/A",((((VLOOKUP(B90,Database!$A:$AS,MATCH($F$1,Database!$A$1:$AS$1,),))))-(((VLOOKUP(EDATE(B90,-12),Database!$A:$AS,MATCH($F$1,Database!$A$1:$AS$1,),)))))/(((VLOOKUP(EDATE(B90,-12),Database!$A:$AS,MATCH($F$1,Database!$A$1:$AS$1,),)))))</f>
        <v/>
      </c>
      <c r="G90" s="13">
        <f>IF(VLOOKUP(B90,Database!$A:$AV,MATCH($G$1,Database!$A$1:$AV$1,),)=0,"#N/A",((((VLOOKUP(B90,Database!$A:$AS,MATCH($G$1,Database!$A$1:$AS$1,),))))-(((VLOOKUP(EDATE(B90,-12),Database!$A:$AS,MATCH($G$1,Database!$A$1:$AS$1,),)))))/(((VLOOKUP(EDATE(B90,-12),Database!$A:$AS,MATCH($G$1,Database!$A$1:$AS$1,),)))))</f>
        <v/>
      </c>
      <c r="H90" s="13">
        <f>IF(VLOOKUP(B90,Database!$A:$AV,MATCH($H$1,Database!$A$1:$AV$1,),)=0,"#N/A",((((VLOOKUP(B90,Database!$A:$AS,MATCH($H$1,Database!$A$1:$AS$1,),))))-(((VLOOKUP(EDATE(B90,-12),Database!$A:$AS,MATCH($H$1,Database!$A$1:$AS$1,),)))))/(((VLOOKUP(EDATE(B90,-12),Database!$A:$AS,MATCH($H$1,Database!$A$1:$AS$1,),)))))</f>
        <v/>
      </c>
      <c r="I90" s="13">
        <f>IF(VLOOKUP(B90,Database!$A:$AV,MATCH($I$1,Database!$A$1:$AV$1,),)=0,"#N/A",((((VLOOKUP(B90,Database!$A:$AS,MATCH($I$1,Database!$A$1:$AS$1,),))))-(((VLOOKUP(EDATE(B90,-12),Database!$A:$AS,MATCH($I$1,Database!$A$1:$AS$1,),)))))/(((VLOOKUP(EDATE(B90,-12),Database!$A:$AS,MATCH($I$1,Database!$A$1:$AS$1,),)))))</f>
        <v/>
      </c>
      <c r="J90" s="13">
        <f>IF(VLOOKUP(B90,Database!$A:$AV,MATCH($J$1,Database!$A$1:$AV$1,),)=0,"#N/A",((((VLOOKUP(B90,Database!$A:$AS,MATCH($J$1,Database!$A$1:$AS$1,),))))-(((VLOOKUP(EDATE(B90,-12),Database!$A:$AS,MATCH($J$1,Database!$A$1:$AS$1,),)))))/(((VLOOKUP(EDATE(B90,-12),Database!$A:$AS,MATCH($J$1,Database!$A$1:$AS$1,),)))))</f>
        <v/>
      </c>
      <c r="K90" s="13">
        <f>IF(VLOOKUP(B90,Database!$A:$AV,MATCH($K$1,Database!$A$1:$AV$1,),)=0,"#N/A",((((VLOOKUP(B90,Database!$A:$AS,MATCH($K$1,Database!$A$1:$AS$1,),))))-(((VLOOKUP(EDATE(B90,-12),Database!$A:$AS,MATCH($K$1,Database!$A$1:$AS$1,),)))))/(((VLOOKUP(EDATE(B90,-12),Database!$A:$AS,MATCH($K$1,Database!$A$1:$AS$1,),)))))</f>
        <v/>
      </c>
      <c r="L90" s="13">
        <f>((((VLOOKUP(B90,Database!$A:$AS,MATCH($L$1,Database!$A$1:$AS$1,),))))-(((VLOOKUP(EDATE(B90,-12),Database!$A:$AS,MATCH($L$1,Database!$A$1:$AS$1,),)))))/(((VLOOKUP(EDATE(B90,-12),Database!$A:$AS,MATCH($L$1,Database!$A$1:$AS$1,),))))</f>
        <v/>
      </c>
      <c r="M90" s="13">
        <f>((((VLOOKUP(B90,Database!$A:$AS,MATCH($M$1,Database!$A$1:$AS$1,),))))-(((VLOOKUP(EDATE(B90,-12),Database!$A:$AS,MATCH($M$1,Database!$A$1:$AS$1,),)))))/(((VLOOKUP(EDATE(B90,-12),Database!$A:$AS,MATCH($M$1,Database!$A$1:$AS$1,),))))</f>
        <v/>
      </c>
      <c r="N90" s="13">
        <f>((((VLOOKUP(B90,Database!$A:$AS,MATCH($N$1,Database!$A$1:$AS$1,),))))-(((VLOOKUP(EDATE(B90,-12),Database!$A:$AS,MATCH($N$1,Database!$A$1:$AS$1,),)))))/(((VLOOKUP(EDATE(B90,-12),Database!$A:$AS,MATCH($N$1,Database!$A$1:$AS$1,),))))</f>
        <v/>
      </c>
      <c r="O90" s="13">
        <f>IF(VLOOKUP(B90,Database!$A:$AV,MATCH($O$1,Database!$A$1:$AV$1,),)=0,"#N/A",((((VLOOKUP(B90,Database!$A:$AS,MATCH($O$1,Database!$A$1:$AS$1,),))))-(((VLOOKUP(EDATE(B90,-12),Database!$A:$AS,MATCH($O$1,Database!$A$1:$AS$1,),)))))/(((VLOOKUP(EDATE(B90,-12),Database!$A:$AS,MATCH($O$1,Database!$A$1:$AS$1,),)))))</f>
        <v/>
      </c>
      <c r="P90" s="13">
        <f>IF(VLOOKUP(B90,Database!$A:$AV,MATCH($P$1,Database!$A$1:$AV$1,),)=0,"#N/A",((((VLOOKUP(B90,Database!$A:$AS,MATCH($P$1,Database!$A$1:$AS$1,),))))-(((VLOOKUP(EDATE(B90,-12),Database!$A:$AS,MATCH($P$1,Database!$A$1:$AS$1,),)))))/(((VLOOKUP(EDATE(B90,-12),Database!$A:$AS,MATCH($P$1,Database!$A$1:$AS$1,),)))))</f>
        <v/>
      </c>
      <c r="Q90" s="13">
        <f>IF(VLOOKUP(B90,Database!$A:$AV,MATCH($Q$1,Database!$A$1:$AV$1,),)=0,"#N/A",((((VLOOKUP(B90,Database!$A:$AS,MATCH($Q$1,Database!$A$1:$AS$1,),))))-(((VLOOKUP(EDATE(B90,-12),Database!$A:$AS,MATCH($Q$1,Database!$A$1:$AS$1,),)))))/(((VLOOKUP(EDATE(B90,-12),Database!$A:$AS,MATCH($Q$1,Database!$A$1:$AS$1,),)))))</f>
        <v/>
      </c>
      <c r="R90" s="13">
        <f>IF(VLOOKUP(B90,Database!$A:$AV,MATCH($R$1,Database!$A$1:$AV$1,),)=0,"#N/A",((((VLOOKUP(B90,Database!$A:$AS,MATCH($R$1,Database!$A$1:$AS$1,),))))-(((VLOOKUP(EDATE(B90,-12),Database!$A:$AS,MATCH($R$1,Database!$A$1:$AS$1,),)))))/(((VLOOKUP(EDATE(B90,-12),Database!$A:$AS,MATCH($R$1,Database!$A$1:$AS$1,),)))))</f>
        <v/>
      </c>
      <c r="S90" s="13">
        <f>IF(VLOOKUP(B90,Database!$A:$AV,MATCH($S$1,Database!$A$1:$AV$1,),)=0,"#N/A",((((VLOOKUP(B90,Database!$A:$AS,MATCH($S$1,Database!$A$1:$AS$1,),))))-(((VLOOKUP(EDATE(B90,-12),Database!$A:$AS,MATCH($S$1,Database!$A$1:$AS$1,),)))))/(((VLOOKUP(EDATE(B90,-12),Database!$A:$AS,MATCH($S$1,Database!$A$1:$AS$1,),)))))</f>
        <v/>
      </c>
      <c r="T90" s="13">
        <f>IF(VLOOKUP(B90,Database!$A:$AV,MATCH($T$1,Database!$A$1:$AV$1,),)=0,"#N/A",((((VLOOKUP(B90,Database!$A:$AS,MATCH($T$1,Database!$A$1:$AS$1,),))))-(((VLOOKUP(EDATE(B90,-12),Database!$A:$AS,MATCH($T$1,Database!$A$1:$AS$1,),)))))/(((VLOOKUP(EDATE(B90,-12),Database!$A:$AS,MATCH($T$1,Database!$A$1:$AS$1,),)))))</f>
        <v/>
      </c>
      <c r="U90" s="13">
        <f>IF(VLOOKUP(B90,Database!$A:$AV,MATCH($U$1,Database!$A$1:$AV$1,),)=0,"#N/A",((((VLOOKUP(B90,Database!$A:$AS,MATCH($U$1,Database!$A$1:$AS$1,),))))-(((VLOOKUP(EDATE(B90,-12),Database!$A:$AS,MATCH($U$1,Database!$A$1:$AS$1,),)))))/(((VLOOKUP(EDATE(B90,-12),Database!$A:$AS,MATCH($U$1,Database!$A$1:$AS$1,),)))))</f>
        <v/>
      </c>
      <c r="V90" s="13">
        <f>IF(VLOOKUP(B90,Database!$A:$AV,MATCH($V$1,Database!$A$1:$AV$1,),)=0,"#N/A",((((VLOOKUP(B90,Database!$A:$AS,MATCH($V$1,Database!$A$1:$AS$1,),))))-(((VLOOKUP(EDATE(B90,-12),Database!$A:$AS,MATCH($V$1,Database!$A$1:$AS$1,),)))))/(((VLOOKUP(EDATE(B90,-12),Database!$A:$AS,MATCH($V$1,Database!$A$1:$AS$1,),)))))</f>
        <v/>
      </c>
    </row>
    <row r="91" customFormat="1" s="86">
      <c r="A91" s="43" t="n"/>
      <c r="B91" s="75" t="n">
        <v>34912</v>
      </c>
      <c r="C91" s="13">
        <f>IF(VLOOKUP(B91,Database!$A:$AU,MATCH($C$1,Database!$A$1:$AU$1,),)=0,"#N/A",((((VLOOKUP(B91,Database!$A:$AU,MATCH($C$1,Database!$A$1:$AU$1,),))))-(((VLOOKUP(EDATE(B91,-12),Database!$A:$AU,MATCH($C$1,Database!$A$1:$AU$1,),)))))/(((VLOOKUP(EDATE(B91,-12),Database!$A:$AU,MATCH($C$1,Database!$A$1:$AU$1,),)))))</f>
        <v/>
      </c>
      <c r="D91" s="13">
        <f>IF(VLOOKUP(B91,Database!$A:$AV,MATCH($D$1,Database!$A$1:$AV$1,),)=0,"#N/A",((((VLOOKUP(B91,Database!$A:$AS,MATCH($D$1,Database!$A$1:$AS$1,),))))-(((VLOOKUP(EDATE(B91,-12),Database!$A:$AS,MATCH($D$1,Database!$A$1:$AS$1,),)))))/(((VLOOKUP(EDATE(B91,-12),Database!$A:$AS,MATCH($D$1,Database!$A$1:$AS$1,),)))))</f>
        <v/>
      </c>
      <c r="E91" s="13">
        <f>IF(VLOOKUP(B91,Database!$A:$AV,MATCH($E$1,Database!$A$1:$AV$1,),)=0,"#N/A",((((VLOOKUP(B91,Database!$A:$AS,MATCH($E$1,Database!$A$1:$AS$1,),))))-(((VLOOKUP(EDATE(B91,-12),Database!$A:$AS,MATCH($E$1,Database!$A$1:$AS$1,),)))))/(((VLOOKUP(EDATE(B91,-12),Database!$A:$AS,MATCH($E$1,Database!$A$1:$AS$1,),)))))</f>
        <v/>
      </c>
      <c r="F91" s="13">
        <f>IF(VLOOKUP(B91,Database!$A:$AV,MATCH($F$1,Database!$A$1:$AV$1,),)=0,"#N/A",((((VLOOKUP(B91,Database!$A:$AS,MATCH($F$1,Database!$A$1:$AS$1,),))))-(((VLOOKUP(EDATE(B91,-12),Database!$A:$AS,MATCH($F$1,Database!$A$1:$AS$1,),)))))/(((VLOOKUP(EDATE(B91,-12),Database!$A:$AS,MATCH($F$1,Database!$A$1:$AS$1,),)))))</f>
        <v/>
      </c>
      <c r="G91" s="13">
        <f>IF(VLOOKUP(B91,Database!$A:$AV,MATCH($G$1,Database!$A$1:$AV$1,),)=0,"#N/A",((((VLOOKUP(B91,Database!$A:$AS,MATCH($G$1,Database!$A$1:$AS$1,),))))-(((VLOOKUP(EDATE(B91,-12),Database!$A:$AS,MATCH($G$1,Database!$A$1:$AS$1,),)))))/(((VLOOKUP(EDATE(B91,-12),Database!$A:$AS,MATCH($G$1,Database!$A$1:$AS$1,),)))))</f>
        <v/>
      </c>
      <c r="H91" s="13">
        <f>IF(VLOOKUP(B91,Database!$A:$AV,MATCH($H$1,Database!$A$1:$AV$1,),)=0,"#N/A",((((VLOOKUP(B91,Database!$A:$AS,MATCH($H$1,Database!$A$1:$AS$1,),))))-(((VLOOKUP(EDATE(B91,-12),Database!$A:$AS,MATCH($H$1,Database!$A$1:$AS$1,),)))))/(((VLOOKUP(EDATE(B91,-12),Database!$A:$AS,MATCH($H$1,Database!$A$1:$AS$1,),)))))</f>
        <v/>
      </c>
      <c r="I91" s="13">
        <f>IF(VLOOKUP(B91,Database!$A:$AV,MATCH($I$1,Database!$A$1:$AV$1,),)=0,"#N/A",((((VLOOKUP(B91,Database!$A:$AS,MATCH($I$1,Database!$A$1:$AS$1,),))))-(((VLOOKUP(EDATE(B91,-12),Database!$A:$AS,MATCH($I$1,Database!$A$1:$AS$1,),)))))/(((VLOOKUP(EDATE(B91,-12),Database!$A:$AS,MATCH($I$1,Database!$A$1:$AS$1,),)))))</f>
        <v/>
      </c>
      <c r="J91" s="13">
        <f>IF(VLOOKUP(B91,Database!$A:$AV,MATCH($J$1,Database!$A$1:$AV$1,),)=0,"#N/A",((((VLOOKUP(B91,Database!$A:$AS,MATCH($J$1,Database!$A$1:$AS$1,),))))-(((VLOOKUP(EDATE(B91,-12),Database!$A:$AS,MATCH($J$1,Database!$A$1:$AS$1,),)))))/(((VLOOKUP(EDATE(B91,-12),Database!$A:$AS,MATCH($J$1,Database!$A$1:$AS$1,),)))))</f>
        <v/>
      </c>
      <c r="K91" s="13">
        <f>IF(VLOOKUP(B91,Database!$A:$AV,MATCH($K$1,Database!$A$1:$AV$1,),)=0,"#N/A",((((VLOOKUP(B91,Database!$A:$AS,MATCH($K$1,Database!$A$1:$AS$1,),))))-(((VLOOKUP(EDATE(B91,-12),Database!$A:$AS,MATCH($K$1,Database!$A$1:$AS$1,),)))))/(((VLOOKUP(EDATE(B91,-12),Database!$A:$AS,MATCH($K$1,Database!$A$1:$AS$1,),)))))</f>
        <v/>
      </c>
      <c r="L91" s="13">
        <f>((((VLOOKUP(B91,Database!$A:$AS,MATCH($L$1,Database!$A$1:$AS$1,),))))-(((VLOOKUP(EDATE(B91,-12),Database!$A:$AS,MATCH($L$1,Database!$A$1:$AS$1,),)))))/(((VLOOKUP(EDATE(B91,-12),Database!$A:$AS,MATCH($L$1,Database!$A$1:$AS$1,),))))</f>
        <v/>
      </c>
      <c r="M91" s="13">
        <f>((((VLOOKUP(B91,Database!$A:$AS,MATCH($M$1,Database!$A$1:$AS$1,),))))-(((VLOOKUP(EDATE(B91,-12),Database!$A:$AS,MATCH($M$1,Database!$A$1:$AS$1,),)))))/(((VLOOKUP(EDATE(B91,-12),Database!$A:$AS,MATCH($M$1,Database!$A$1:$AS$1,),))))</f>
        <v/>
      </c>
      <c r="N91" s="13">
        <f>((((VLOOKUP(B91,Database!$A:$AS,MATCH($N$1,Database!$A$1:$AS$1,),))))-(((VLOOKUP(EDATE(B91,-12),Database!$A:$AS,MATCH($N$1,Database!$A$1:$AS$1,),)))))/(((VLOOKUP(EDATE(B91,-12),Database!$A:$AS,MATCH($N$1,Database!$A$1:$AS$1,),))))</f>
        <v/>
      </c>
      <c r="O91" s="13">
        <f>IF(VLOOKUP(B91,Database!$A:$AV,MATCH($O$1,Database!$A$1:$AV$1,),)=0,"#N/A",((((VLOOKUP(B91,Database!$A:$AS,MATCH($O$1,Database!$A$1:$AS$1,),))))-(((VLOOKUP(EDATE(B91,-12),Database!$A:$AS,MATCH($O$1,Database!$A$1:$AS$1,),)))))/(((VLOOKUP(EDATE(B91,-12),Database!$A:$AS,MATCH($O$1,Database!$A$1:$AS$1,),)))))</f>
        <v/>
      </c>
      <c r="P91" s="13">
        <f>IF(VLOOKUP(B91,Database!$A:$AV,MATCH($P$1,Database!$A$1:$AV$1,),)=0,"#N/A",((((VLOOKUP(B91,Database!$A:$AS,MATCH($P$1,Database!$A$1:$AS$1,),))))-(((VLOOKUP(EDATE(B91,-12),Database!$A:$AS,MATCH($P$1,Database!$A$1:$AS$1,),)))))/(((VLOOKUP(EDATE(B91,-12),Database!$A:$AS,MATCH($P$1,Database!$A$1:$AS$1,),)))))</f>
        <v/>
      </c>
      <c r="Q91" s="13">
        <f>IF(VLOOKUP(B91,Database!$A:$AV,MATCH($Q$1,Database!$A$1:$AV$1,),)=0,"#N/A",((((VLOOKUP(B91,Database!$A:$AS,MATCH($Q$1,Database!$A$1:$AS$1,),))))-(((VLOOKUP(EDATE(B91,-12),Database!$A:$AS,MATCH($Q$1,Database!$A$1:$AS$1,),)))))/(((VLOOKUP(EDATE(B91,-12),Database!$A:$AS,MATCH($Q$1,Database!$A$1:$AS$1,),)))))</f>
        <v/>
      </c>
      <c r="R91" s="13">
        <f>IF(VLOOKUP(B91,Database!$A:$AV,MATCH($R$1,Database!$A$1:$AV$1,),)=0,"#N/A",((((VLOOKUP(B91,Database!$A:$AS,MATCH($R$1,Database!$A$1:$AS$1,),))))-(((VLOOKUP(EDATE(B91,-12),Database!$A:$AS,MATCH($R$1,Database!$A$1:$AS$1,),)))))/(((VLOOKUP(EDATE(B91,-12),Database!$A:$AS,MATCH($R$1,Database!$A$1:$AS$1,),)))))</f>
        <v/>
      </c>
      <c r="S91" s="13">
        <f>IF(VLOOKUP(B91,Database!$A:$AV,MATCH($S$1,Database!$A$1:$AV$1,),)=0,"#N/A",((((VLOOKUP(B91,Database!$A:$AS,MATCH($S$1,Database!$A$1:$AS$1,),))))-(((VLOOKUP(EDATE(B91,-12),Database!$A:$AS,MATCH($S$1,Database!$A$1:$AS$1,),)))))/(((VLOOKUP(EDATE(B91,-12),Database!$A:$AS,MATCH($S$1,Database!$A$1:$AS$1,),)))))</f>
        <v/>
      </c>
      <c r="T91" s="13">
        <f>IF(VLOOKUP(B91,Database!$A:$AV,MATCH($T$1,Database!$A$1:$AV$1,),)=0,"#N/A",((((VLOOKUP(B91,Database!$A:$AS,MATCH($T$1,Database!$A$1:$AS$1,),))))-(((VLOOKUP(EDATE(B91,-12),Database!$A:$AS,MATCH($T$1,Database!$A$1:$AS$1,),)))))/(((VLOOKUP(EDATE(B91,-12),Database!$A:$AS,MATCH($T$1,Database!$A$1:$AS$1,),)))))</f>
        <v/>
      </c>
      <c r="U91" s="13">
        <f>IF(VLOOKUP(B91,Database!$A:$AV,MATCH($U$1,Database!$A$1:$AV$1,),)=0,"#N/A",((((VLOOKUP(B91,Database!$A:$AS,MATCH($U$1,Database!$A$1:$AS$1,),))))-(((VLOOKUP(EDATE(B91,-12),Database!$A:$AS,MATCH($U$1,Database!$A$1:$AS$1,),)))))/(((VLOOKUP(EDATE(B91,-12),Database!$A:$AS,MATCH($U$1,Database!$A$1:$AS$1,),)))))</f>
        <v/>
      </c>
      <c r="V91" s="13">
        <f>IF(VLOOKUP(B91,Database!$A:$AV,MATCH($V$1,Database!$A$1:$AV$1,),)=0,"#N/A",((((VLOOKUP(B91,Database!$A:$AS,MATCH($V$1,Database!$A$1:$AS$1,),))))-(((VLOOKUP(EDATE(B91,-12),Database!$A:$AS,MATCH($V$1,Database!$A$1:$AS$1,),)))))/(((VLOOKUP(EDATE(B91,-12),Database!$A:$AS,MATCH($V$1,Database!$A$1:$AS$1,),)))))</f>
        <v/>
      </c>
    </row>
    <row r="92" customFormat="1" s="86">
      <c r="A92" s="43" t="n"/>
      <c r="B92" s="75" t="n">
        <v>34943</v>
      </c>
      <c r="C92" s="13">
        <f>IF(VLOOKUP(B92,Database!$A:$AU,MATCH($C$1,Database!$A$1:$AU$1,),)=0,"#N/A",((((VLOOKUP(B92,Database!$A:$AU,MATCH($C$1,Database!$A$1:$AU$1,),))))-(((VLOOKUP(EDATE(B92,-12),Database!$A:$AU,MATCH($C$1,Database!$A$1:$AU$1,),)))))/(((VLOOKUP(EDATE(B92,-12),Database!$A:$AU,MATCH($C$1,Database!$A$1:$AU$1,),)))))</f>
        <v/>
      </c>
      <c r="D92" s="13">
        <f>IF(VLOOKUP(B92,Database!$A:$AV,MATCH($D$1,Database!$A$1:$AV$1,),)=0,"#N/A",((((VLOOKUP(B92,Database!$A:$AS,MATCH($D$1,Database!$A$1:$AS$1,),))))-(((VLOOKUP(EDATE(B92,-12),Database!$A:$AS,MATCH($D$1,Database!$A$1:$AS$1,),)))))/(((VLOOKUP(EDATE(B92,-12),Database!$A:$AS,MATCH($D$1,Database!$A$1:$AS$1,),)))))</f>
        <v/>
      </c>
      <c r="E92" s="13">
        <f>IF(VLOOKUP(B92,Database!$A:$AV,MATCH($E$1,Database!$A$1:$AV$1,),)=0,"#N/A",((((VLOOKUP(B92,Database!$A:$AS,MATCH($E$1,Database!$A$1:$AS$1,),))))-(((VLOOKUP(EDATE(B92,-12),Database!$A:$AS,MATCH($E$1,Database!$A$1:$AS$1,),)))))/(((VLOOKUP(EDATE(B92,-12),Database!$A:$AS,MATCH($E$1,Database!$A$1:$AS$1,),)))))</f>
        <v/>
      </c>
      <c r="F92" s="13">
        <f>IF(VLOOKUP(B92,Database!$A:$AV,MATCH($F$1,Database!$A$1:$AV$1,),)=0,"#N/A",((((VLOOKUP(B92,Database!$A:$AS,MATCH($F$1,Database!$A$1:$AS$1,),))))-(((VLOOKUP(EDATE(B92,-12),Database!$A:$AS,MATCH($F$1,Database!$A$1:$AS$1,),)))))/(((VLOOKUP(EDATE(B92,-12),Database!$A:$AS,MATCH($F$1,Database!$A$1:$AS$1,),)))))</f>
        <v/>
      </c>
      <c r="G92" s="13">
        <f>IF(VLOOKUP(B92,Database!$A:$AV,MATCH($G$1,Database!$A$1:$AV$1,),)=0,"#N/A",((((VLOOKUP(B92,Database!$A:$AS,MATCH($G$1,Database!$A$1:$AS$1,),))))-(((VLOOKUP(EDATE(B92,-12),Database!$A:$AS,MATCH($G$1,Database!$A$1:$AS$1,),)))))/(((VLOOKUP(EDATE(B92,-12),Database!$A:$AS,MATCH($G$1,Database!$A$1:$AS$1,),)))))</f>
        <v/>
      </c>
      <c r="H92" s="13">
        <f>IF(VLOOKUP(B92,Database!$A:$AV,MATCH($H$1,Database!$A$1:$AV$1,),)=0,"#N/A",((((VLOOKUP(B92,Database!$A:$AS,MATCH($H$1,Database!$A$1:$AS$1,),))))-(((VLOOKUP(EDATE(B92,-12),Database!$A:$AS,MATCH($H$1,Database!$A$1:$AS$1,),)))))/(((VLOOKUP(EDATE(B92,-12),Database!$A:$AS,MATCH($H$1,Database!$A$1:$AS$1,),)))))</f>
        <v/>
      </c>
      <c r="I92" s="13">
        <f>IF(VLOOKUP(B92,Database!$A:$AV,MATCH($I$1,Database!$A$1:$AV$1,),)=0,"#N/A",((((VLOOKUP(B92,Database!$A:$AS,MATCH($I$1,Database!$A$1:$AS$1,),))))-(((VLOOKUP(EDATE(B92,-12),Database!$A:$AS,MATCH($I$1,Database!$A$1:$AS$1,),)))))/(((VLOOKUP(EDATE(B92,-12),Database!$A:$AS,MATCH($I$1,Database!$A$1:$AS$1,),)))))</f>
        <v/>
      </c>
      <c r="J92" s="13">
        <f>IF(VLOOKUP(B92,Database!$A:$AV,MATCH($J$1,Database!$A$1:$AV$1,),)=0,"#N/A",((((VLOOKUP(B92,Database!$A:$AS,MATCH($J$1,Database!$A$1:$AS$1,),))))-(((VLOOKUP(EDATE(B92,-12),Database!$A:$AS,MATCH($J$1,Database!$A$1:$AS$1,),)))))/(((VLOOKUP(EDATE(B92,-12),Database!$A:$AS,MATCH($J$1,Database!$A$1:$AS$1,),)))))</f>
        <v/>
      </c>
      <c r="K92" s="13">
        <f>IF(VLOOKUP(B92,Database!$A:$AV,MATCH($K$1,Database!$A$1:$AV$1,),)=0,"#N/A",((((VLOOKUP(B92,Database!$A:$AS,MATCH($K$1,Database!$A$1:$AS$1,),))))-(((VLOOKUP(EDATE(B92,-12),Database!$A:$AS,MATCH($K$1,Database!$A$1:$AS$1,),)))))/(((VLOOKUP(EDATE(B92,-12),Database!$A:$AS,MATCH($K$1,Database!$A$1:$AS$1,),)))))</f>
        <v/>
      </c>
      <c r="L92" s="13">
        <f>((((VLOOKUP(B92,Database!$A:$AS,MATCH($L$1,Database!$A$1:$AS$1,),))))-(((VLOOKUP(EDATE(B92,-12),Database!$A:$AS,MATCH($L$1,Database!$A$1:$AS$1,),)))))/(((VLOOKUP(EDATE(B92,-12),Database!$A:$AS,MATCH($L$1,Database!$A$1:$AS$1,),))))</f>
        <v/>
      </c>
      <c r="M92" s="13">
        <f>((((VLOOKUP(B92,Database!$A:$AS,MATCH($M$1,Database!$A$1:$AS$1,),))))-(((VLOOKUP(EDATE(B92,-12),Database!$A:$AS,MATCH($M$1,Database!$A$1:$AS$1,),)))))/(((VLOOKUP(EDATE(B92,-12),Database!$A:$AS,MATCH($M$1,Database!$A$1:$AS$1,),))))</f>
        <v/>
      </c>
      <c r="N92" s="13">
        <f>((((VLOOKUP(B92,Database!$A:$AS,MATCH($N$1,Database!$A$1:$AS$1,),))))-(((VLOOKUP(EDATE(B92,-12),Database!$A:$AS,MATCH($N$1,Database!$A$1:$AS$1,),)))))/(((VLOOKUP(EDATE(B92,-12),Database!$A:$AS,MATCH($N$1,Database!$A$1:$AS$1,),))))</f>
        <v/>
      </c>
      <c r="O92" s="13">
        <f>IF(VLOOKUP(B92,Database!$A:$AV,MATCH($O$1,Database!$A$1:$AV$1,),)=0,"#N/A",((((VLOOKUP(B92,Database!$A:$AS,MATCH($O$1,Database!$A$1:$AS$1,),))))-(((VLOOKUP(EDATE(B92,-12),Database!$A:$AS,MATCH($O$1,Database!$A$1:$AS$1,),)))))/(((VLOOKUP(EDATE(B92,-12),Database!$A:$AS,MATCH($O$1,Database!$A$1:$AS$1,),)))))</f>
        <v/>
      </c>
      <c r="P92" s="13">
        <f>IF(VLOOKUP(B92,Database!$A:$AV,MATCH($P$1,Database!$A$1:$AV$1,),)=0,"#N/A",((((VLOOKUP(B92,Database!$A:$AS,MATCH($P$1,Database!$A$1:$AS$1,),))))-(((VLOOKUP(EDATE(B92,-12),Database!$A:$AS,MATCH($P$1,Database!$A$1:$AS$1,),)))))/(((VLOOKUP(EDATE(B92,-12),Database!$A:$AS,MATCH($P$1,Database!$A$1:$AS$1,),)))))</f>
        <v/>
      </c>
      <c r="Q92" s="13">
        <f>IF(VLOOKUP(B92,Database!$A:$AV,MATCH($Q$1,Database!$A$1:$AV$1,),)=0,"#N/A",((((VLOOKUP(B92,Database!$A:$AS,MATCH($Q$1,Database!$A$1:$AS$1,),))))-(((VLOOKUP(EDATE(B92,-12),Database!$A:$AS,MATCH($Q$1,Database!$A$1:$AS$1,),)))))/(((VLOOKUP(EDATE(B92,-12),Database!$A:$AS,MATCH($Q$1,Database!$A$1:$AS$1,),)))))</f>
        <v/>
      </c>
      <c r="R92" s="13">
        <f>IF(VLOOKUP(B92,Database!$A:$AV,MATCH($R$1,Database!$A$1:$AV$1,),)=0,"#N/A",((((VLOOKUP(B92,Database!$A:$AS,MATCH($R$1,Database!$A$1:$AS$1,),))))-(((VLOOKUP(EDATE(B92,-12),Database!$A:$AS,MATCH($R$1,Database!$A$1:$AS$1,),)))))/(((VLOOKUP(EDATE(B92,-12),Database!$A:$AS,MATCH($R$1,Database!$A$1:$AS$1,),)))))</f>
        <v/>
      </c>
      <c r="S92" s="13">
        <f>IF(VLOOKUP(B92,Database!$A:$AV,MATCH($S$1,Database!$A$1:$AV$1,),)=0,"#N/A",((((VLOOKUP(B92,Database!$A:$AS,MATCH($S$1,Database!$A$1:$AS$1,),))))-(((VLOOKUP(EDATE(B92,-12),Database!$A:$AS,MATCH($S$1,Database!$A$1:$AS$1,),)))))/(((VLOOKUP(EDATE(B92,-12),Database!$A:$AS,MATCH($S$1,Database!$A$1:$AS$1,),)))))</f>
        <v/>
      </c>
      <c r="T92" s="13">
        <f>IF(VLOOKUP(B92,Database!$A:$AV,MATCH($T$1,Database!$A$1:$AV$1,),)=0,"#N/A",((((VLOOKUP(B92,Database!$A:$AS,MATCH($T$1,Database!$A$1:$AS$1,),))))-(((VLOOKUP(EDATE(B92,-12),Database!$A:$AS,MATCH($T$1,Database!$A$1:$AS$1,),)))))/(((VLOOKUP(EDATE(B92,-12),Database!$A:$AS,MATCH($T$1,Database!$A$1:$AS$1,),)))))</f>
        <v/>
      </c>
      <c r="U92" s="13">
        <f>IF(VLOOKUP(B92,Database!$A:$AV,MATCH($U$1,Database!$A$1:$AV$1,),)=0,"#N/A",((((VLOOKUP(B92,Database!$A:$AS,MATCH($U$1,Database!$A$1:$AS$1,),))))-(((VLOOKUP(EDATE(B92,-12),Database!$A:$AS,MATCH($U$1,Database!$A$1:$AS$1,),)))))/(((VLOOKUP(EDATE(B92,-12),Database!$A:$AS,MATCH($U$1,Database!$A$1:$AS$1,),)))))</f>
        <v/>
      </c>
      <c r="V92" s="13">
        <f>IF(VLOOKUP(B92,Database!$A:$AV,MATCH($V$1,Database!$A$1:$AV$1,),)=0,"#N/A",((((VLOOKUP(B92,Database!$A:$AS,MATCH($V$1,Database!$A$1:$AS$1,),))))-(((VLOOKUP(EDATE(B92,-12),Database!$A:$AS,MATCH($V$1,Database!$A$1:$AS$1,),)))))/(((VLOOKUP(EDATE(B92,-12),Database!$A:$AS,MATCH($V$1,Database!$A$1:$AS$1,),)))))</f>
        <v/>
      </c>
    </row>
    <row r="93" customFormat="1" s="86">
      <c r="A93" s="43" t="n"/>
      <c r="B93" s="75" t="n">
        <v>34973</v>
      </c>
      <c r="C93" s="13">
        <f>IF(VLOOKUP(B93,Database!$A:$AU,MATCH($C$1,Database!$A$1:$AU$1,),)=0,"#N/A",((((VLOOKUP(B93,Database!$A:$AU,MATCH($C$1,Database!$A$1:$AU$1,),))))-(((VLOOKUP(EDATE(B93,-12),Database!$A:$AU,MATCH($C$1,Database!$A$1:$AU$1,),)))))/(((VLOOKUP(EDATE(B93,-12),Database!$A:$AU,MATCH($C$1,Database!$A$1:$AU$1,),)))))</f>
        <v/>
      </c>
      <c r="D93" s="13">
        <f>IF(VLOOKUP(B93,Database!$A:$AV,MATCH($D$1,Database!$A$1:$AV$1,),)=0,"#N/A",((((VLOOKUP(B93,Database!$A:$AS,MATCH($D$1,Database!$A$1:$AS$1,),))))-(((VLOOKUP(EDATE(B93,-12),Database!$A:$AS,MATCH($D$1,Database!$A$1:$AS$1,),)))))/(((VLOOKUP(EDATE(B93,-12),Database!$A:$AS,MATCH($D$1,Database!$A$1:$AS$1,),)))))</f>
        <v/>
      </c>
      <c r="E93" s="13">
        <f>IF(VLOOKUP(B93,Database!$A:$AV,MATCH($E$1,Database!$A$1:$AV$1,),)=0,"#N/A",((((VLOOKUP(B93,Database!$A:$AS,MATCH($E$1,Database!$A$1:$AS$1,),))))-(((VLOOKUP(EDATE(B93,-12),Database!$A:$AS,MATCH($E$1,Database!$A$1:$AS$1,),)))))/(((VLOOKUP(EDATE(B93,-12),Database!$A:$AS,MATCH($E$1,Database!$A$1:$AS$1,),)))))</f>
        <v/>
      </c>
      <c r="F93" s="13">
        <f>IF(VLOOKUP(B93,Database!$A:$AV,MATCH($F$1,Database!$A$1:$AV$1,),)=0,"#N/A",((((VLOOKUP(B93,Database!$A:$AS,MATCH($F$1,Database!$A$1:$AS$1,),))))-(((VLOOKUP(EDATE(B93,-12),Database!$A:$AS,MATCH($F$1,Database!$A$1:$AS$1,),)))))/(((VLOOKUP(EDATE(B93,-12),Database!$A:$AS,MATCH($F$1,Database!$A$1:$AS$1,),)))))</f>
        <v/>
      </c>
      <c r="G93" s="13">
        <f>IF(VLOOKUP(B93,Database!$A:$AV,MATCH($G$1,Database!$A$1:$AV$1,),)=0,"#N/A",((((VLOOKUP(B93,Database!$A:$AS,MATCH($G$1,Database!$A$1:$AS$1,),))))-(((VLOOKUP(EDATE(B93,-12),Database!$A:$AS,MATCH($G$1,Database!$A$1:$AS$1,),)))))/(((VLOOKUP(EDATE(B93,-12),Database!$A:$AS,MATCH($G$1,Database!$A$1:$AS$1,),)))))</f>
        <v/>
      </c>
      <c r="H93" s="13">
        <f>IF(VLOOKUP(B93,Database!$A:$AV,MATCH($H$1,Database!$A$1:$AV$1,),)=0,"#N/A",((((VLOOKUP(B93,Database!$A:$AS,MATCH($H$1,Database!$A$1:$AS$1,),))))-(((VLOOKUP(EDATE(B93,-12),Database!$A:$AS,MATCH($H$1,Database!$A$1:$AS$1,),)))))/(((VLOOKUP(EDATE(B93,-12),Database!$A:$AS,MATCH($H$1,Database!$A$1:$AS$1,),)))))</f>
        <v/>
      </c>
      <c r="I93" s="13">
        <f>IF(VLOOKUP(B93,Database!$A:$AV,MATCH($I$1,Database!$A$1:$AV$1,),)=0,"#N/A",((((VLOOKUP(B93,Database!$A:$AS,MATCH($I$1,Database!$A$1:$AS$1,),))))-(((VLOOKUP(EDATE(B93,-12),Database!$A:$AS,MATCH($I$1,Database!$A$1:$AS$1,),)))))/(((VLOOKUP(EDATE(B93,-12),Database!$A:$AS,MATCH($I$1,Database!$A$1:$AS$1,),)))))</f>
        <v/>
      </c>
      <c r="J93" s="13">
        <f>IF(VLOOKUP(B93,Database!$A:$AV,MATCH($J$1,Database!$A$1:$AV$1,),)=0,"#N/A",((((VLOOKUP(B93,Database!$A:$AS,MATCH($J$1,Database!$A$1:$AS$1,),))))-(((VLOOKUP(EDATE(B93,-12),Database!$A:$AS,MATCH($J$1,Database!$A$1:$AS$1,),)))))/(((VLOOKUP(EDATE(B93,-12),Database!$A:$AS,MATCH($J$1,Database!$A$1:$AS$1,),)))))</f>
        <v/>
      </c>
      <c r="K93" s="13">
        <f>IF(VLOOKUP(B93,Database!$A:$AV,MATCH($K$1,Database!$A$1:$AV$1,),)=0,"#N/A",((((VLOOKUP(B93,Database!$A:$AS,MATCH($K$1,Database!$A$1:$AS$1,),))))-(((VLOOKUP(EDATE(B93,-12),Database!$A:$AS,MATCH($K$1,Database!$A$1:$AS$1,),)))))/(((VLOOKUP(EDATE(B93,-12),Database!$A:$AS,MATCH($K$1,Database!$A$1:$AS$1,),)))))</f>
        <v/>
      </c>
      <c r="L93" s="13">
        <f>((((VLOOKUP(B93,Database!$A:$AS,MATCH($L$1,Database!$A$1:$AS$1,),))))-(((VLOOKUP(EDATE(B93,-12),Database!$A:$AS,MATCH($L$1,Database!$A$1:$AS$1,),)))))/(((VLOOKUP(EDATE(B93,-12),Database!$A:$AS,MATCH($L$1,Database!$A$1:$AS$1,),))))</f>
        <v/>
      </c>
      <c r="M93" s="13">
        <f>((((VLOOKUP(B93,Database!$A:$AS,MATCH($M$1,Database!$A$1:$AS$1,),))))-(((VLOOKUP(EDATE(B93,-12),Database!$A:$AS,MATCH($M$1,Database!$A$1:$AS$1,),)))))/(((VLOOKUP(EDATE(B93,-12),Database!$A:$AS,MATCH($M$1,Database!$A$1:$AS$1,),))))</f>
        <v/>
      </c>
      <c r="N93" s="13">
        <f>((((VLOOKUP(B93,Database!$A:$AS,MATCH($N$1,Database!$A$1:$AS$1,),))))-(((VLOOKUP(EDATE(B93,-12),Database!$A:$AS,MATCH($N$1,Database!$A$1:$AS$1,),)))))/(((VLOOKUP(EDATE(B93,-12),Database!$A:$AS,MATCH($N$1,Database!$A$1:$AS$1,),))))</f>
        <v/>
      </c>
      <c r="O93" s="13">
        <f>IF(VLOOKUP(B93,Database!$A:$AV,MATCH($O$1,Database!$A$1:$AV$1,),)=0,"#N/A",((((VLOOKUP(B93,Database!$A:$AS,MATCH($O$1,Database!$A$1:$AS$1,),))))-(((VLOOKUP(EDATE(B93,-12),Database!$A:$AS,MATCH($O$1,Database!$A$1:$AS$1,),)))))/(((VLOOKUP(EDATE(B93,-12),Database!$A:$AS,MATCH($O$1,Database!$A$1:$AS$1,),)))))</f>
        <v/>
      </c>
      <c r="P93" s="13">
        <f>IF(VLOOKUP(B93,Database!$A:$AV,MATCH($P$1,Database!$A$1:$AV$1,),)=0,"#N/A",((((VLOOKUP(B93,Database!$A:$AS,MATCH($P$1,Database!$A$1:$AS$1,),))))-(((VLOOKUP(EDATE(B93,-12),Database!$A:$AS,MATCH($P$1,Database!$A$1:$AS$1,),)))))/(((VLOOKUP(EDATE(B93,-12),Database!$A:$AS,MATCH($P$1,Database!$A$1:$AS$1,),)))))</f>
        <v/>
      </c>
      <c r="Q93" s="13">
        <f>IF(VLOOKUP(B93,Database!$A:$AV,MATCH($Q$1,Database!$A$1:$AV$1,),)=0,"#N/A",((((VLOOKUP(B93,Database!$A:$AS,MATCH($Q$1,Database!$A$1:$AS$1,),))))-(((VLOOKUP(EDATE(B93,-12),Database!$A:$AS,MATCH($Q$1,Database!$A$1:$AS$1,),)))))/(((VLOOKUP(EDATE(B93,-12),Database!$A:$AS,MATCH($Q$1,Database!$A$1:$AS$1,),)))))</f>
        <v/>
      </c>
      <c r="R93" s="13">
        <f>IF(VLOOKUP(B93,Database!$A:$AV,MATCH($R$1,Database!$A$1:$AV$1,),)=0,"#N/A",((((VLOOKUP(B93,Database!$A:$AS,MATCH($R$1,Database!$A$1:$AS$1,),))))-(((VLOOKUP(EDATE(B93,-12),Database!$A:$AS,MATCH($R$1,Database!$A$1:$AS$1,),)))))/(((VLOOKUP(EDATE(B93,-12),Database!$A:$AS,MATCH($R$1,Database!$A$1:$AS$1,),)))))</f>
        <v/>
      </c>
      <c r="S93" s="13">
        <f>IF(VLOOKUP(B93,Database!$A:$AV,MATCH($S$1,Database!$A$1:$AV$1,),)=0,"#N/A",((((VLOOKUP(B93,Database!$A:$AS,MATCH($S$1,Database!$A$1:$AS$1,),))))-(((VLOOKUP(EDATE(B93,-12),Database!$A:$AS,MATCH($S$1,Database!$A$1:$AS$1,),)))))/(((VLOOKUP(EDATE(B93,-12),Database!$A:$AS,MATCH($S$1,Database!$A$1:$AS$1,),)))))</f>
        <v/>
      </c>
      <c r="T93" s="13">
        <f>IF(VLOOKUP(B93,Database!$A:$AV,MATCH($T$1,Database!$A$1:$AV$1,),)=0,"#N/A",((((VLOOKUP(B93,Database!$A:$AS,MATCH($T$1,Database!$A$1:$AS$1,),))))-(((VLOOKUP(EDATE(B93,-12),Database!$A:$AS,MATCH($T$1,Database!$A$1:$AS$1,),)))))/(((VLOOKUP(EDATE(B93,-12),Database!$A:$AS,MATCH($T$1,Database!$A$1:$AS$1,),)))))</f>
        <v/>
      </c>
      <c r="U93" s="13">
        <f>IF(VLOOKUP(B93,Database!$A:$AV,MATCH($U$1,Database!$A$1:$AV$1,),)=0,"#N/A",((((VLOOKUP(B93,Database!$A:$AS,MATCH($U$1,Database!$A$1:$AS$1,),))))-(((VLOOKUP(EDATE(B93,-12),Database!$A:$AS,MATCH($U$1,Database!$A$1:$AS$1,),)))))/(((VLOOKUP(EDATE(B93,-12),Database!$A:$AS,MATCH($U$1,Database!$A$1:$AS$1,),)))))</f>
        <v/>
      </c>
      <c r="V93" s="13">
        <f>IF(VLOOKUP(B93,Database!$A:$AV,MATCH($V$1,Database!$A$1:$AV$1,),)=0,"#N/A",((((VLOOKUP(B93,Database!$A:$AS,MATCH($V$1,Database!$A$1:$AS$1,),))))-(((VLOOKUP(EDATE(B93,-12),Database!$A:$AS,MATCH($V$1,Database!$A$1:$AS$1,),)))))/(((VLOOKUP(EDATE(B93,-12),Database!$A:$AS,MATCH($V$1,Database!$A$1:$AS$1,),)))))</f>
        <v/>
      </c>
    </row>
    <row r="94" customFormat="1" s="86">
      <c r="A94" s="43" t="n"/>
      <c r="B94" s="75" t="n">
        <v>35004</v>
      </c>
      <c r="C94" s="13">
        <f>IF(VLOOKUP(B94,Database!$A:$AU,MATCH($C$1,Database!$A$1:$AU$1,),)=0,"#N/A",((((VLOOKUP(B94,Database!$A:$AU,MATCH($C$1,Database!$A$1:$AU$1,),))))-(((VLOOKUP(EDATE(B94,-12),Database!$A:$AU,MATCH($C$1,Database!$A$1:$AU$1,),)))))/(((VLOOKUP(EDATE(B94,-12),Database!$A:$AU,MATCH($C$1,Database!$A$1:$AU$1,),)))))</f>
        <v/>
      </c>
      <c r="D94" s="13">
        <f>IF(VLOOKUP(B94,Database!$A:$AV,MATCH($D$1,Database!$A$1:$AV$1,),)=0,"#N/A",((((VLOOKUP(B94,Database!$A:$AS,MATCH($D$1,Database!$A$1:$AS$1,),))))-(((VLOOKUP(EDATE(B94,-12),Database!$A:$AS,MATCH($D$1,Database!$A$1:$AS$1,),)))))/(((VLOOKUP(EDATE(B94,-12),Database!$A:$AS,MATCH($D$1,Database!$A$1:$AS$1,),)))))</f>
        <v/>
      </c>
      <c r="E94" s="13">
        <f>IF(VLOOKUP(B94,Database!$A:$AV,MATCH($E$1,Database!$A$1:$AV$1,),)=0,"#N/A",((((VLOOKUP(B94,Database!$A:$AS,MATCH($E$1,Database!$A$1:$AS$1,),))))-(((VLOOKUP(EDATE(B94,-12),Database!$A:$AS,MATCH($E$1,Database!$A$1:$AS$1,),)))))/(((VLOOKUP(EDATE(B94,-12),Database!$A:$AS,MATCH($E$1,Database!$A$1:$AS$1,),)))))</f>
        <v/>
      </c>
      <c r="F94" s="13">
        <f>IF(VLOOKUP(B94,Database!$A:$AV,MATCH($F$1,Database!$A$1:$AV$1,),)=0,"#N/A",((((VLOOKUP(B94,Database!$A:$AS,MATCH($F$1,Database!$A$1:$AS$1,),))))-(((VLOOKUP(EDATE(B94,-12),Database!$A:$AS,MATCH($F$1,Database!$A$1:$AS$1,),)))))/(((VLOOKUP(EDATE(B94,-12),Database!$A:$AS,MATCH($F$1,Database!$A$1:$AS$1,),)))))</f>
        <v/>
      </c>
      <c r="G94" s="13">
        <f>IF(VLOOKUP(B94,Database!$A:$AV,MATCH($G$1,Database!$A$1:$AV$1,),)=0,"#N/A",((((VLOOKUP(B94,Database!$A:$AS,MATCH($G$1,Database!$A$1:$AS$1,),))))-(((VLOOKUP(EDATE(B94,-12),Database!$A:$AS,MATCH($G$1,Database!$A$1:$AS$1,),)))))/(((VLOOKUP(EDATE(B94,-12),Database!$A:$AS,MATCH($G$1,Database!$A$1:$AS$1,),)))))</f>
        <v/>
      </c>
      <c r="H94" s="13">
        <f>IF(VLOOKUP(B94,Database!$A:$AV,MATCH($H$1,Database!$A$1:$AV$1,),)=0,"#N/A",((((VLOOKUP(B94,Database!$A:$AS,MATCH($H$1,Database!$A$1:$AS$1,),))))-(((VLOOKUP(EDATE(B94,-12),Database!$A:$AS,MATCH($H$1,Database!$A$1:$AS$1,),)))))/(((VLOOKUP(EDATE(B94,-12),Database!$A:$AS,MATCH($H$1,Database!$A$1:$AS$1,),)))))</f>
        <v/>
      </c>
      <c r="I94" s="13">
        <f>IF(VLOOKUP(B94,Database!$A:$AV,MATCH($I$1,Database!$A$1:$AV$1,),)=0,"#N/A",((((VLOOKUP(B94,Database!$A:$AS,MATCH($I$1,Database!$A$1:$AS$1,),))))-(((VLOOKUP(EDATE(B94,-12),Database!$A:$AS,MATCH($I$1,Database!$A$1:$AS$1,),)))))/(((VLOOKUP(EDATE(B94,-12),Database!$A:$AS,MATCH($I$1,Database!$A$1:$AS$1,),)))))</f>
        <v/>
      </c>
      <c r="J94" s="13">
        <f>IF(VLOOKUP(B94,Database!$A:$AV,MATCH($J$1,Database!$A$1:$AV$1,),)=0,"#N/A",((((VLOOKUP(B94,Database!$A:$AS,MATCH($J$1,Database!$A$1:$AS$1,),))))-(((VLOOKUP(EDATE(B94,-12),Database!$A:$AS,MATCH($J$1,Database!$A$1:$AS$1,),)))))/(((VLOOKUP(EDATE(B94,-12),Database!$A:$AS,MATCH($J$1,Database!$A$1:$AS$1,),)))))</f>
        <v/>
      </c>
      <c r="K94" s="13">
        <f>IF(VLOOKUP(B94,Database!$A:$AV,MATCH($K$1,Database!$A$1:$AV$1,),)=0,"#N/A",((((VLOOKUP(B94,Database!$A:$AS,MATCH($K$1,Database!$A$1:$AS$1,),))))-(((VLOOKUP(EDATE(B94,-12),Database!$A:$AS,MATCH($K$1,Database!$A$1:$AS$1,),)))))/(((VLOOKUP(EDATE(B94,-12),Database!$A:$AS,MATCH($K$1,Database!$A$1:$AS$1,),)))))</f>
        <v/>
      </c>
      <c r="L94" s="13">
        <f>((((VLOOKUP(B94,Database!$A:$AS,MATCH($L$1,Database!$A$1:$AS$1,),))))-(((VLOOKUP(EDATE(B94,-12),Database!$A:$AS,MATCH($L$1,Database!$A$1:$AS$1,),)))))/(((VLOOKUP(EDATE(B94,-12),Database!$A:$AS,MATCH($L$1,Database!$A$1:$AS$1,),))))</f>
        <v/>
      </c>
      <c r="M94" s="13">
        <f>((((VLOOKUP(B94,Database!$A:$AS,MATCH($M$1,Database!$A$1:$AS$1,),))))-(((VLOOKUP(EDATE(B94,-12),Database!$A:$AS,MATCH($M$1,Database!$A$1:$AS$1,),)))))/(((VLOOKUP(EDATE(B94,-12),Database!$A:$AS,MATCH($M$1,Database!$A$1:$AS$1,),))))</f>
        <v/>
      </c>
      <c r="N94" s="13">
        <f>((((VLOOKUP(B94,Database!$A:$AS,MATCH($N$1,Database!$A$1:$AS$1,),))))-(((VLOOKUP(EDATE(B94,-12),Database!$A:$AS,MATCH($N$1,Database!$A$1:$AS$1,),)))))/(((VLOOKUP(EDATE(B94,-12),Database!$A:$AS,MATCH($N$1,Database!$A$1:$AS$1,),))))</f>
        <v/>
      </c>
      <c r="O94" s="13">
        <f>IF(VLOOKUP(B94,Database!$A:$AV,MATCH($O$1,Database!$A$1:$AV$1,),)=0,"#N/A",((((VLOOKUP(B94,Database!$A:$AS,MATCH($O$1,Database!$A$1:$AS$1,),))))-(((VLOOKUP(EDATE(B94,-12),Database!$A:$AS,MATCH($O$1,Database!$A$1:$AS$1,),)))))/(((VLOOKUP(EDATE(B94,-12),Database!$A:$AS,MATCH($O$1,Database!$A$1:$AS$1,),)))))</f>
        <v/>
      </c>
      <c r="P94" s="13">
        <f>IF(VLOOKUP(B94,Database!$A:$AV,MATCH($P$1,Database!$A$1:$AV$1,),)=0,"#N/A",((((VLOOKUP(B94,Database!$A:$AS,MATCH($P$1,Database!$A$1:$AS$1,),))))-(((VLOOKUP(EDATE(B94,-12),Database!$A:$AS,MATCH($P$1,Database!$A$1:$AS$1,),)))))/(((VLOOKUP(EDATE(B94,-12),Database!$A:$AS,MATCH($P$1,Database!$A$1:$AS$1,),)))))</f>
        <v/>
      </c>
      <c r="Q94" s="13">
        <f>IF(VLOOKUP(B94,Database!$A:$AV,MATCH($Q$1,Database!$A$1:$AV$1,),)=0,"#N/A",((((VLOOKUP(B94,Database!$A:$AS,MATCH($Q$1,Database!$A$1:$AS$1,),))))-(((VLOOKUP(EDATE(B94,-12),Database!$A:$AS,MATCH($Q$1,Database!$A$1:$AS$1,),)))))/(((VLOOKUP(EDATE(B94,-12),Database!$A:$AS,MATCH($Q$1,Database!$A$1:$AS$1,),)))))</f>
        <v/>
      </c>
      <c r="R94" s="13">
        <f>IF(VLOOKUP(B94,Database!$A:$AV,MATCH($R$1,Database!$A$1:$AV$1,),)=0,"#N/A",((((VLOOKUP(B94,Database!$A:$AS,MATCH($R$1,Database!$A$1:$AS$1,),))))-(((VLOOKUP(EDATE(B94,-12),Database!$A:$AS,MATCH($R$1,Database!$A$1:$AS$1,),)))))/(((VLOOKUP(EDATE(B94,-12),Database!$A:$AS,MATCH($R$1,Database!$A$1:$AS$1,),)))))</f>
        <v/>
      </c>
      <c r="S94" s="13">
        <f>IF(VLOOKUP(B94,Database!$A:$AV,MATCH($S$1,Database!$A$1:$AV$1,),)=0,"#N/A",((((VLOOKUP(B94,Database!$A:$AS,MATCH($S$1,Database!$A$1:$AS$1,),))))-(((VLOOKUP(EDATE(B94,-12),Database!$A:$AS,MATCH($S$1,Database!$A$1:$AS$1,),)))))/(((VLOOKUP(EDATE(B94,-12),Database!$A:$AS,MATCH($S$1,Database!$A$1:$AS$1,),)))))</f>
        <v/>
      </c>
      <c r="T94" s="13">
        <f>IF(VLOOKUP(B94,Database!$A:$AV,MATCH($T$1,Database!$A$1:$AV$1,),)=0,"#N/A",((((VLOOKUP(B94,Database!$A:$AS,MATCH($T$1,Database!$A$1:$AS$1,),))))-(((VLOOKUP(EDATE(B94,-12),Database!$A:$AS,MATCH($T$1,Database!$A$1:$AS$1,),)))))/(((VLOOKUP(EDATE(B94,-12),Database!$A:$AS,MATCH($T$1,Database!$A$1:$AS$1,),)))))</f>
        <v/>
      </c>
      <c r="U94" s="13">
        <f>IF(VLOOKUP(B94,Database!$A:$AV,MATCH($U$1,Database!$A$1:$AV$1,),)=0,"#N/A",((((VLOOKUP(B94,Database!$A:$AS,MATCH($U$1,Database!$A$1:$AS$1,),))))-(((VLOOKUP(EDATE(B94,-12),Database!$A:$AS,MATCH($U$1,Database!$A$1:$AS$1,),)))))/(((VLOOKUP(EDATE(B94,-12),Database!$A:$AS,MATCH($U$1,Database!$A$1:$AS$1,),)))))</f>
        <v/>
      </c>
      <c r="V94" s="13">
        <f>IF(VLOOKUP(B94,Database!$A:$AV,MATCH($V$1,Database!$A$1:$AV$1,),)=0,"#N/A",((((VLOOKUP(B94,Database!$A:$AS,MATCH($V$1,Database!$A$1:$AS$1,),))))-(((VLOOKUP(EDATE(B94,-12),Database!$A:$AS,MATCH($V$1,Database!$A$1:$AS$1,),)))))/(((VLOOKUP(EDATE(B94,-12),Database!$A:$AS,MATCH($V$1,Database!$A$1:$AS$1,),)))))</f>
        <v/>
      </c>
    </row>
    <row r="95" customFormat="1" s="86">
      <c r="A95" s="43" t="n"/>
      <c r="B95" s="75" t="n">
        <v>35034</v>
      </c>
      <c r="C95" s="13">
        <f>IF(VLOOKUP(B95,Database!$A:$AU,MATCH($C$1,Database!$A$1:$AU$1,),)=0,"#N/A",((((VLOOKUP(B95,Database!$A:$AU,MATCH($C$1,Database!$A$1:$AU$1,),))))-(((VLOOKUP(EDATE(B95,-12),Database!$A:$AU,MATCH($C$1,Database!$A$1:$AU$1,),)))))/(((VLOOKUP(EDATE(B95,-12),Database!$A:$AU,MATCH($C$1,Database!$A$1:$AU$1,),)))))</f>
        <v/>
      </c>
      <c r="D95" s="13">
        <f>IF(VLOOKUP(B95,Database!$A:$AV,MATCH($D$1,Database!$A$1:$AV$1,),)=0,"#N/A",((((VLOOKUP(B95,Database!$A:$AS,MATCH($D$1,Database!$A$1:$AS$1,),))))-(((VLOOKUP(EDATE(B95,-12),Database!$A:$AS,MATCH($D$1,Database!$A$1:$AS$1,),)))))/(((VLOOKUP(EDATE(B95,-12),Database!$A:$AS,MATCH($D$1,Database!$A$1:$AS$1,),)))))</f>
        <v/>
      </c>
      <c r="E95" s="13">
        <f>IF(VLOOKUP(B95,Database!$A:$AV,MATCH($E$1,Database!$A$1:$AV$1,),)=0,"#N/A",((((VLOOKUP(B95,Database!$A:$AS,MATCH($E$1,Database!$A$1:$AS$1,),))))-(((VLOOKUP(EDATE(B95,-12),Database!$A:$AS,MATCH($E$1,Database!$A$1:$AS$1,),)))))/(((VLOOKUP(EDATE(B95,-12),Database!$A:$AS,MATCH($E$1,Database!$A$1:$AS$1,),)))))</f>
        <v/>
      </c>
      <c r="F95" s="13">
        <f>IF(VLOOKUP(B95,Database!$A:$AV,MATCH($F$1,Database!$A$1:$AV$1,),)=0,"#N/A",((((VLOOKUP(B95,Database!$A:$AS,MATCH($F$1,Database!$A$1:$AS$1,),))))-(((VLOOKUP(EDATE(B95,-12),Database!$A:$AS,MATCH($F$1,Database!$A$1:$AS$1,),)))))/(((VLOOKUP(EDATE(B95,-12),Database!$A:$AS,MATCH($F$1,Database!$A$1:$AS$1,),)))))</f>
        <v/>
      </c>
      <c r="G95" s="13">
        <f>IF(VLOOKUP(B95,Database!$A:$AV,MATCH($G$1,Database!$A$1:$AV$1,),)=0,"#N/A",((((VLOOKUP(B95,Database!$A:$AS,MATCH($G$1,Database!$A$1:$AS$1,),))))-(((VLOOKUP(EDATE(B95,-12),Database!$A:$AS,MATCH($G$1,Database!$A$1:$AS$1,),)))))/(((VLOOKUP(EDATE(B95,-12),Database!$A:$AS,MATCH($G$1,Database!$A$1:$AS$1,),)))))</f>
        <v/>
      </c>
      <c r="H95" s="13">
        <f>IF(VLOOKUP(B95,Database!$A:$AV,MATCH($H$1,Database!$A$1:$AV$1,),)=0,"#N/A",((((VLOOKUP(B95,Database!$A:$AS,MATCH($H$1,Database!$A$1:$AS$1,),))))-(((VLOOKUP(EDATE(B95,-12),Database!$A:$AS,MATCH($H$1,Database!$A$1:$AS$1,),)))))/(((VLOOKUP(EDATE(B95,-12),Database!$A:$AS,MATCH($H$1,Database!$A$1:$AS$1,),)))))</f>
        <v/>
      </c>
      <c r="I95" s="13">
        <f>IF(VLOOKUP(B95,Database!$A:$AV,MATCH($I$1,Database!$A$1:$AV$1,),)=0,"#N/A",((((VLOOKUP(B95,Database!$A:$AS,MATCH($I$1,Database!$A$1:$AS$1,),))))-(((VLOOKUP(EDATE(B95,-12),Database!$A:$AS,MATCH($I$1,Database!$A$1:$AS$1,),)))))/(((VLOOKUP(EDATE(B95,-12),Database!$A:$AS,MATCH($I$1,Database!$A$1:$AS$1,),)))))</f>
        <v/>
      </c>
      <c r="J95" s="13">
        <f>IF(VLOOKUP(B95,Database!$A:$AV,MATCH($J$1,Database!$A$1:$AV$1,),)=0,"#N/A",((((VLOOKUP(B95,Database!$A:$AS,MATCH($J$1,Database!$A$1:$AS$1,),))))-(((VLOOKUP(EDATE(B95,-12),Database!$A:$AS,MATCH($J$1,Database!$A$1:$AS$1,),)))))/(((VLOOKUP(EDATE(B95,-12),Database!$A:$AS,MATCH($J$1,Database!$A$1:$AS$1,),)))))</f>
        <v/>
      </c>
      <c r="K95" s="13">
        <f>IF(VLOOKUP(B95,Database!$A:$AV,MATCH($K$1,Database!$A$1:$AV$1,),)=0,"#N/A",((((VLOOKUP(B95,Database!$A:$AS,MATCH($K$1,Database!$A$1:$AS$1,),))))-(((VLOOKUP(EDATE(B95,-12),Database!$A:$AS,MATCH($K$1,Database!$A$1:$AS$1,),)))))/(((VLOOKUP(EDATE(B95,-12),Database!$A:$AS,MATCH($K$1,Database!$A$1:$AS$1,),)))))</f>
        <v/>
      </c>
      <c r="L95" s="13">
        <f>((((VLOOKUP(B95,Database!$A:$AS,MATCH($L$1,Database!$A$1:$AS$1,),))))-(((VLOOKUP(EDATE(B95,-12),Database!$A:$AS,MATCH($L$1,Database!$A$1:$AS$1,),)))))/(((VLOOKUP(EDATE(B95,-12),Database!$A:$AS,MATCH($L$1,Database!$A$1:$AS$1,),))))</f>
        <v/>
      </c>
      <c r="M95" s="13">
        <f>((((VLOOKUP(B95,Database!$A:$AS,MATCH($M$1,Database!$A$1:$AS$1,),))))-(((VLOOKUP(EDATE(B95,-12),Database!$A:$AS,MATCH($M$1,Database!$A$1:$AS$1,),)))))/(((VLOOKUP(EDATE(B95,-12),Database!$A:$AS,MATCH($M$1,Database!$A$1:$AS$1,),))))</f>
        <v/>
      </c>
      <c r="N95" s="13">
        <f>((((VLOOKUP(B95,Database!$A:$AS,MATCH($N$1,Database!$A$1:$AS$1,),))))-(((VLOOKUP(EDATE(B95,-12),Database!$A:$AS,MATCH($N$1,Database!$A$1:$AS$1,),)))))/(((VLOOKUP(EDATE(B95,-12),Database!$A:$AS,MATCH($N$1,Database!$A$1:$AS$1,),))))</f>
        <v/>
      </c>
      <c r="O95" s="13">
        <f>IF(VLOOKUP(B95,Database!$A:$AV,MATCH($O$1,Database!$A$1:$AV$1,),)=0,"#N/A",((((VLOOKUP(B95,Database!$A:$AS,MATCH($O$1,Database!$A$1:$AS$1,),))))-(((VLOOKUP(EDATE(B95,-12),Database!$A:$AS,MATCH($O$1,Database!$A$1:$AS$1,),)))))/(((VLOOKUP(EDATE(B95,-12),Database!$A:$AS,MATCH($O$1,Database!$A$1:$AS$1,),)))))</f>
        <v/>
      </c>
      <c r="P95" s="13">
        <f>IF(VLOOKUP(B95,Database!$A:$AV,MATCH($P$1,Database!$A$1:$AV$1,),)=0,"#N/A",((((VLOOKUP(B95,Database!$A:$AS,MATCH($P$1,Database!$A$1:$AS$1,),))))-(((VLOOKUP(EDATE(B95,-12),Database!$A:$AS,MATCH($P$1,Database!$A$1:$AS$1,),)))))/(((VLOOKUP(EDATE(B95,-12),Database!$A:$AS,MATCH($P$1,Database!$A$1:$AS$1,),)))))</f>
        <v/>
      </c>
      <c r="Q95" s="13">
        <f>IF(VLOOKUP(B95,Database!$A:$AV,MATCH($Q$1,Database!$A$1:$AV$1,),)=0,"#N/A",((((VLOOKUP(B95,Database!$A:$AS,MATCH($Q$1,Database!$A$1:$AS$1,),))))-(((VLOOKUP(EDATE(B95,-12),Database!$A:$AS,MATCH($Q$1,Database!$A$1:$AS$1,),)))))/(((VLOOKUP(EDATE(B95,-12),Database!$A:$AS,MATCH($Q$1,Database!$A$1:$AS$1,),)))))</f>
        <v/>
      </c>
      <c r="R95" s="13">
        <f>IF(VLOOKUP(B95,Database!$A:$AV,MATCH($R$1,Database!$A$1:$AV$1,),)=0,"#N/A",((((VLOOKUP(B95,Database!$A:$AS,MATCH($R$1,Database!$A$1:$AS$1,),))))-(((VLOOKUP(EDATE(B95,-12),Database!$A:$AS,MATCH($R$1,Database!$A$1:$AS$1,),)))))/(((VLOOKUP(EDATE(B95,-12),Database!$A:$AS,MATCH($R$1,Database!$A$1:$AS$1,),)))))</f>
        <v/>
      </c>
      <c r="S95" s="13">
        <f>IF(VLOOKUP(B95,Database!$A:$AV,MATCH($S$1,Database!$A$1:$AV$1,),)=0,"#N/A",((((VLOOKUP(B95,Database!$A:$AS,MATCH($S$1,Database!$A$1:$AS$1,),))))-(((VLOOKUP(EDATE(B95,-12),Database!$A:$AS,MATCH($S$1,Database!$A$1:$AS$1,),)))))/(((VLOOKUP(EDATE(B95,-12),Database!$A:$AS,MATCH($S$1,Database!$A$1:$AS$1,),)))))</f>
        <v/>
      </c>
      <c r="T95" s="13">
        <f>IF(VLOOKUP(B95,Database!$A:$AV,MATCH($T$1,Database!$A$1:$AV$1,),)=0,"#N/A",((((VLOOKUP(B95,Database!$A:$AS,MATCH($T$1,Database!$A$1:$AS$1,),))))-(((VLOOKUP(EDATE(B95,-12),Database!$A:$AS,MATCH($T$1,Database!$A$1:$AS$1,),)))))/(((VLOOKUP(EDATE(B95,-12),Database!$A:$AS,MATCH($T$1,Database!$A$1:$AS$1,),)))))</f>
        <v/>
      </c>
      <c r="U95" s="13">
        <f>IF(VLOOKUP(B95,Database!$A:$AV,MATCH($U$1,Database!$A$1:$AV$1,),)=0,"#N/A",((((VLOOKUP(B95,Database!$A:$AS,MATCH($U$1,Database!$A$1:$AS$1,),))))-(((VLOOKUP(EDATE(B95,-12),Database!$A:$AS,MATCH($U$1,Database!$A$1:$AS$1,),)))))/(((VLOOKUP(EDATE(B95,-12),Database!$A:$AS,MATCH($U$1,Database!$A$1:$AS$1,),)))))</f>
        <v/>
      </c>
      <c r="V95" s="13">
        <f>IF(VLOOKUP(B95,Database!$A:$AV,MATCH($V$1,Database!$A$1:$AV$1,),)=0,"#N/A",((((VLOOKUP(B95,Database!$A:$AS,MATCH($V$1,Database!$A$1:$AS$1,),))))-(((VLOOKUP(EDATE(B95,-12),Database!$A:$AS,MATCH($V$1,Database!$A$1:$AS$1,),)))))/(((VLOOKUP(EDATE(B95,-12),Database!$A:$AS,MATCH($V$1,Database!$A$1:$AS$1,),)))))</f>
        <v/>
      </c>
    </row>
    <row r="96" customFormat="1" s="86">
      <c r="A96" s="43" t="n"/>
      <c r="B96" s="75" t="n">
        <v>35065</v>
      </c>
      <c r="C96" s="13">
        <f>IF(VLOOKUP(B96,Database!$A:$AU,MATCH($C$1,Database!$A$1:$AU$1,),)=0,"#N/A",((((VLOOKUP(B96,Database!$A:$AU,MATCH($C$1,Database!$A$1:$AU$1,),))))-(((VLOOKUP(EDATE(B96,-12),Database!$A:$AU,MATCH($C$1,Database!$A$1:$AU$1,),)))))/(((VLOOKUP(EDATE(B96,-12),Database!$A:$AU,MATCH($C$1,Database!$A$1:$AU$1,),)))))</f>
        <v/>
      </c>
      <c r="D96" s="13">
        <f>IF(VLOOKUP(B96,Database!$A:$AV,MATCH($D$1,Database!$A$1:$AV$1,),)=0,"#N/A",((((VLOOKUP(B96,Database!$A:$AS,MATCH($D$1,Database!$A$1:$AS$1,),))))-(((VLOOKUP(EDATE(B96,-12),Database!$A:$AS,MATCH($D$1,Database!$A$1:$AS$1,),)))))/(((VLOOKUP(EDATE(B96,-12),Database!$A:$AS,MATCH($D$1,Database!$A$1:$AS$1,),)))))</f>
        <v/>
      </c>
      <c r="E96" s="13">
        <f>IF(VLOOKUP(B96,Database!$A:$AV,MATCH($E$1,Database!$A$1:$AV$1,),)=0,"#N/A",((((VLOOKUP(B96,Database!$A:$AS,MATCH($E$1,Database!$A$1:$AS$1,),))))-(((VLOOKUP(EDATE(B96,-12),Database!$A:$AS,MATCH($E$1,Database!$A$1:$AS$1,),)))))/(((VLOOKUP(EDATE(B96,-12),Database!$A:$AS,MATCH($E$1,Database!$A$1:$AS$1,),)))))</f>
        <v/>
      </c>
      <c r="F96" s="13">
        <f>IF(VLOOKUP(B96,Database!$A:$AV,MATCH($F$1,Database!$A$1:$AV$1,),)=0,"#N/A",((((VLOOKUP(B96,Database!$A:$AS,MATCH($F$1,Database!$A$1:$AS$1,),))))-(((VLOOKUP(EDATE(B96,-12),Database!$A:$AS,MATCH($F$1,Database!$A$1:$AS$1,),)))))/(((VLOOKUP(EDATE(B96,-12),Database!$A:$AS,MATCH($F$1,Database!$A$1:$AS$1,),)))))</f>
        <v/>
      </c>
      <c r="G96" s="13">
        <f>IF(VLOOKUP(B96,Database!$A:$AV,MATCH($G$1,Database!$A$1:$AV$1,),)=0,"#N/A",((((VLOOKUP(B96,Database!$A:$AS,MATCH($G$1,Database!$A$1:$AS$1,),))))-(((VLOOKUP(EDATE(B96,-12),Database!$A:$AS,MATCH($G$1,Database!$A$1:$AS$1,),)))))/(((VLOOKUP(EDATE(B96,-12),Database!$A:$AS,MATCH($G$1,Database!$A$1:$AS$1,),)))))</f>
        <v/>
      </c>
      <c r="H96" s="13">
        <f>IF(VLOOKUP(B96,Database!$A:$AV,MATCH($H$1,Database!$A$1:$AV$1,),)=0,"#N/A",((((VLOOKUP(B96,Database!$A:$AS,MATCH($H$1,Database!$A$1:$AS$1,),))))-(((VLOOKUP(EDATE(B96,-12),Database!$A:$AS,MATCH($H$1,Database!$A$1:$AS$1,),)))))/(((VLOOKUP(EDATE(B96,-12),Database!$A:$AS,MATCH($H$1,Database!$A$1:$AS$1,),)))))</f>
        <v/>
      </c>
      <c r="I96" s="13">
        <f>IF(VLOOKUP(B96,Database!$A:$AV,MATCH($I$1,Database!$A$1:$AV$1,),)=0,"#N/A",((((VLOOKUP(B96,Database!$A:$AS,MATCH($I$1,Database!$A$1:$AS$1,),))))-(((VLOOKUP(EDATE(B96,-12),Database!$A:$AS,MATCH($I$1,Database!$A$1:$AS$1,),)))))/(((VLOOKUP(EDATE(B96,-12),Database!$A:$AS,MATCH($I$1,Database!$A$1:$AS$1,),)))))</f>
        <v/>
      </c>
      <c r="J96" s="13">
        <f>IF(VLOOKUP(B96,Database!$A:$AV,MATCH($J$1,Database!$A$1:$AV$1,),)=0,"#N/A",((((VLOOKUP(B96,Database!$A:$AS,MATCH($J$1,Database!$A$1:$AS$1,),))))-(((VLOOKUP(EDATE(B96,-12),Database!$A:$AS,MATCH($J$1,Database!$A$1:$AS$1,),)))))/(((VLOOKUP(EDATE(B96,-12),Database!$A:$AS,MATCH($J$1,Database!$A$1:$AS$1,),)))))</f>
        <v/>
      </c>
      <c r="K96" s="13">
        <f>IF(VLOOKUP(B96,Database!$A:$AV,MATCH($K$1,Database!$A$1:$AV$1,),)=0,"#N/A",((((VLOOKUP(B96,Database!$A:$AS,MATCH($K$1,Database!$A$1:$AS$1,),))))-(((VLOOKUP(EDATE(B96,-12),Database!$A:$AS,MATCH($K$1,Database!$A$1:$AS$1,),)))))/(((VLOOKUP(EDATE(B96,-12),Database!$A:$AS,MATCH($K$1,Database!$A$1:$AS$1,),)))))</f>
        <v/>
      </c>
      <c r="L96" s="13">
        <f>((((VLOOKUP(B96,Database!$A:$AS,MATCH($L$1,Database!$A$1:$AS$1,),))))-(((VLOOKUP(EDATE(B96,-12),Database!$A:$AS,MATCH($L$1,Database!$A$1:$AS$1,),)))))/(((VLOOKUP(EDATE(B96,-12),Database!$A:$AS,MATCH($L$1,Database!$A$1:$AS$1,),))))</f>
        <v/>
      </c>
      <c r="M96" s="13">
        <f>((((VLOOKUP(B96,Database!$A:$AS,MATCH($M$1,Database!$A$1:$AS$1,),))))-(((VLOOKUP(EDATE(B96,-12),Database!$A:$AS,MATCH($M$1,Database!$A$1:$AS$1,),)))))/(((VLOOKUP(EDATE(B96,-12),Database!$A:$AS,MATCH($M$1,Database!$A$1:$AS$1,),))))</f>
        <v/>
      </c>
      <c r="N96" s="13">
        <f>((((VLOOKUP(B96,Database!$A:$AS,MATCH($N$1,Database!$A$1:$AS$1,),))))-(((VLOOKUP(EDATE(B96,-12),Database!$A:$AS,MATCH($N$1,Database!$A$1:$AS$1,),)))))/(((VLOOKUP(EDATE(B96,-12),Database!$A:$AS,MATCH($N$1,Database!$A$1:$AS$1,),))))</f>
        <v/>
      </c>
      <c r="O96" s="13">
        <f>IF(VLOOKUP(B96,Database!$A:$AV,MATCH($O$1,Database!$A$1:$AV$1,),)=0,"#N/A",((((VLOOKUP(B96,Database!$A:$AS,MATCH($O$1,Database!$A$1:$AS$1,),))))-(((VLOOKUP(EDATE(B96,-12),Database!$A:$AS,MATCH($O$1,Database!$A$1:$AS$1,),)))))/(((VLOOKUP(EDATE(B96,-12),Database!$A:$AS,MATCH($O$1,Database!$A$1:$AS$1,),)))))</f>
        <v/>
      </c>
      <c r="P96" s="13">
        <f>IF(VLOOKUP(B96,Database!$A:$AV,MATCH($P$1,Database!$A$1:$AV$1,),)=0,"#N/A",((((VLOOKUP(B96,Database!$A:$AS,MATCH($P$1,Database!$A$1:$AS$1,),))))-(((VLOOKUP(EDATE(B96,-12),Database!$A:$AS,MATCH($P$1,Database!$A$1:$AS$1,),)))))/(((VLOOKUP(EDATE(B96,-12),Database!$A:$AS,MATCH($P$1,Database!$A$1:$AS$1,),)))))</f>
        <v/>
      </c>
      <c r="Q96" s="13">
        <f>IF(VLOOKUP(B96,Database!$A:$AV,MATCH($Q$1,Database!$A$1:$AV$1,),)=0,"#N/A",((((VLOOKUP(B96,Database!$A:$AS,MATCH($Q$1,Database!$A$1:$AS$1,),))))-(((VLOOKUP(EDATE(B96,-12),Database!$A:$AS,MATCH($Q$1,Database!$A$1:$AS$1,),)))))/(((VLOOKUP(EDATE(B96,-12),Database!$A:$AS,MATCH($Q$1,Database!$A$1:$AS$1,),)))))</f>
        <v/>
      </c>
      <c r="R96" s="13">
        <f>IF(VLOOKUP(B96,Database!$A:$AV,MATCH($R$1,Database!$A$1:$AV$1,),)=0,"#N/A",((((VLOOKUP(B96,Database!$A:$AS,MATCH($R$1,Database!$A$1:$AS$1,),))))-(((VLOOKUP(EDATE(B96,-12),Database!$A:$AS,MATCH($R$1,Database!$A$1:$AS$1,),)))))/(((VLOOKUP(EDATE(B96,-12),Database!$A:$AS,MATCH($R$1,Database!$A$1:$AS$1,),)))))</f>
        <v/>
      </c>
      <c r="S96" s="13">
        <f>IF(VLOOKUP(B96,Database!$A:$AV,MATCH($S$1,Database!$A$1:$AV$1,),)=0,"#N/A",((((VLOOKUP(B96,Database!$A:$AS,MATCH($S$1,Database!$A$1:$AS$1,),))))-(((VLOOKUP(EDATE(B96,-12),Database!$A:$AS,MATCH($S$1,Database!$A$1:$AS$1,),)))))/(((VLOOKUP(EDATE(B96,-12),Database!$A:$AS,MATCH($S$1,Database!$A$1:$AS$1,),)))))</f>
        <v/>
      </c>
      <c r="T96" s="13">
        <f>IF(VLOOKUP(B96,Database!$A:$AV,MATCH($T$1,Database!$A$1:$AV$1,),)=0,"#N/A",((((VLOOKUP(B96,Database!$A:$AS,MATCH($T$1,Database!$A$1:$AS$1,),))))-(((VLOOKUP(EDATE(B96,-12),Database!$A:$AS,MATCH($T$1,Database!$A$1:$AS$1,),)))))/(((VLOOKUP(EDATE(B96,-12),Database!$A:$AS,MATCH($T$1,Database!$A$1:$AS$1,),)))))</f>
        <v/>
      </c>
      <c r="U96" s="13">
        <f>IF(VLOOKUP(B96,Database!$A:$AV,MATCH($U$1,Database!$A$1:$AV$1,),)=0,"#N/A",((((VLOOKUP(B96,Database!$A:$AS,MATCH($U$1,Database!$A$1:$AS$1,),))))-(((VLOOKUP(EDATE(B96,-12),Database!$A:$AS,MATCH($U$1,Database!$A$1:$AS$1,),)))))/(((VLOOKUP(EDATE(B96,-12),Database!$A:$AS,MATCH($U$1,Database!$A$1:$AS$1,),)))))</f>
        <v/>
      </c>
      <c r="V96" s="13">
        <f>IF(VLOOKUP(B96,Database!$A:$AV,MATCH($V$1,Database!$A$1:$AV$1,),)=0,"#N/A",((((VLOOKUP(B96,Database!$A:$AS,MATCH($V$1,Database!$A$1:$AS$1,),))))-(((VLOOKUP(EDATE(B96,-12),Database!$A:$AS,MATCH($V$1,Database!$A$1:$AS$1,),)))))/(((VLOOKUP(EDATE(B96,-12),Database!$A:$AS,MATCH($V$1,Database!$A$1:$AS$1,),)))))</f>
        <v/>
      </c>
    </row>
    <row r="97" customFormat="1" s="86">
      <c r="A97" s="43" t="n"/>
      <c r="B97" s="75" t="n">
        <v>35096</v>
      </c>
      <c r="C97" s="13">
        <f>IF(VLOOKUP(B97,Database!$A:$AU,MATCH($C$1,Database!$A$1:$AU$1,),)=0,"#N/A",((((VLOOKUP(B97,Database!$A:$AU,MATCH($C$1,Database!$A$1:$AU$1,),))))-(((VLOOKUP(EDATE(B97,-12),Database!$A:$AU,MATCH($C$1,Database!$A$1:$AU$1,),)))))/(((VLOOKUP(EDATE(B97,-12),Database!$A:$AU,MATCH($C$1,Database!$A$1:$AU$1,),)))))</f>
        <v/>
      </c>
      <c r="D97" s="13">
        <f>IF(VLOOKUP(B97,Database!$A:$AV,MATCH($D$1,Database!$A$1:$AV$1,),)=0,"#N/A",((((VLOOKUP(B97,Database!$A:$AS,MATCH($D$1,Database!$A$1:$AS$1,),))))-(((VLOOKUP(EDATE(B97,-12),Database!$A:$AS,MATCH($D$1,Database!$A$1:$AS$1,),)))))/(((VLOOKUP(EDATE(B97,-12),Database!$A:$AS,MATCH($D$1,Database!$A$1:$AS$1,),)))))</f>
        <v/>
      </c>
      <c r="E97" s="13">
        <f>IF(VLOOKUP(B97,Database!$A:$AV,MATCH($E$1,Database!$A$1:$AV$1,),)=0,"#N/A",((((VLOOKUP(B97,Database!$A:$AS,MATCH($E$1,Database!$A$1:$AS$1,),))))-(((VLOOKUP(EDATE(B97,-12),Database!$A:$AS,MATCH($E$1,Database!$A$1:$AS$1,),)))))/(((VLOOKUP(EDATE(B97,-12),Database!$A:$AS,MATCH($E$1,Database!$A$1:$AS$1,),)))))</f>
        <v/>
      </c>
      <c r="F97" s="13">
        <f>IF(VLOOKUP(B97,Database!$A:$AV,MATCH($F$1,Database!$A$1:$AV$1,),)=0,"#N/A",((((VLOOKUP(B97,Database!$A:$AS,MATCH($F$1,Database!$A$1:$AS$1,),))))-(((VLOOKUP(EDATE(B97,-12),Database!$A:$AS,MATCH($F$1,Database!$A$1:$AS$1,),)))))/(((VLOOKUP(EDATE(B97,-12),Database!$A:$AS,MATCH($F$1,Database!$A$1:$AS$1,),)))))</f>
        <v/>
      </c>
      <c r="G97" s="13">
        <f>IF(VLOOKUP(B97,Database!$A:$AV,MATCH($G$1,Database!$A$1:$AV$1,),)=0,"#N/A",((((VLOOKUP(B97,Database!$A:$AS,MATCH($G$1,Database!$A$1:$AS$1,),))))-(((VLOOKUP(EDATE(B97,-12),Database!$A:$AS,MATCH($G$1,Database!$A$1:$AS$1,),)))))/(((VLOOKUP(EDATE(B97,-12),Database!$A:$AS,MATCH($G$1,Database!$A$1:$AS$1,),)))))</f>
        <v/>
      </c>
      <c r="H97" s="13">
        <f>IF(VLOOKUP(B97,Database!$A:$AV,MATCH($H$1,Database!$A$1:$AV$1,),)=0,"#N/A",((((VLOOKUP(B97,Database!$A:$AS,MATCH($H$1,Database!$A$1:$AS$1,),))))-(((VLOOKUP(EDATE(B97,-12),Database!$A:$AS,MATCH($H$1,Database!$A$1:$AS$1,),)))))/(((VLOOKUP(EDATE(B97,-12),Database!$A:$AS,MATCH($H$1,Database!$A$1:$AS$1,),)))))</f>
        <v/>
      </c>
      <c r="I97" s="13">
        <f>IF(VLOOKUP(B97,Database!$A:$AV,MATCH($I$1,Database!$A$1:$AV$1,),)=0,"#N/A",((((VLOOKUP(B97,Database!$A:$AS,MATCH($I$1,Database!$A$1:$AS$1,),))))-(((VLOOKUP(EDATE(B97,-12),Database!$A:$AS,MATCH($I$1,Database!$A$1:$AS$1,),)))))/(((VLOOKUP(EDATE(B97,-12),Database!$A:$AS,MATCH($I$1,Database!$A$1:$AS$1,),)))))</f>
        <v/>
      </c>
      <c r="J97" s="13">
        <f>IF(VLOOKUP(B97,Database!$A:$AV,MATCH($J$1,Database!$A$1:$AV$1,),)=0,"#N/A",((((VLOOKUP(B97,Database!$A:$AS,MATCH($J$1,Database!$A$1:$AS$1,),))))-(((VLOOKUP(EDATE(B97,-12),Database!$A:$AS,MATCH($J$1,Database!$A$1:$AS$1,),)))))/(((VLOOKUP(EDATE(B97,-12),Database!$A:$AS,MATCH($J$1,Database!$A$1:$AS$1,),)))))</f>
        <v/>
      </c>
      <c r="K97" s="13">
        <f>IF(VLOOKUP(B97,Database!$A:$AV,MATCH($K$1,Database!$A$1:$AV$1,),)=0,"#N/A",((((VLOOKUP(B97,Database!$A:$AS,MATCH($K$1,Database!$A$1:$AS$1,),))))-(((VLOOKUP(EDATE(B97,-12),Database!$A:$AS,MATCH($K$1,Database!$A$1:$AS$1,),)))))/(((VLOOKUP(EDATE(B97,-12),Database!$A:$AS,MATCH($K$1,Database!$A$1:$AS$1,),)))))</f>
        <v/>
      </c>
      <c r="L97" s="13">
        <f>((((VLOOKUP(B97,Database!$A:$AS,MATCH($L$1,Database!$A$1:$AS$1,),))))-(((VLOOKUP(EDATE(B97,-12),Database!$A:$AS,MATCH($L$1,Database!$A$1:$AS$1,),)))))/(((VLOOKUP(EDATE(B97,-12),Database!$A:$AS,MATCH($L$1,Database!$A$1:$AS$1,),))))</f>
        <v/>
      </c>
      <c r="M97" s="13">
        <f>((((VLOOKUP(B97,Database!$A:$AS,MATCH($M$1,Database!$A$1:$AS$1,),))))-(((VLOOKUP(EDATE(B97,-12),Database!$A:$AS,MATCH($M$1,Database!$A$1:$AS$1,),)))))/(((VLOOKUP(EDATE(B97,-12),Database!$A:$AS,MATCH($M$1,Database!$A$1:$AS$1,),))))</f>
        <v/>
      </c>
      <c r="N97" s="13">
        <f>((((VLOOKUP(B97,Database!$A:$AS,MATCH($N$1,Database!$A$1:$AS$1,),))))-(((VLOOKUP(EDATE(B97,-12),Database!$A:$AS,MATCH($N$1,Database!$A$1:$AS$1,),)))))/(((VLOOKUP(EDATE(B97,-12),Database!$A:$AS,MATCH($N$1,Database!$A$1:$AS$1,),))))</f>
        <v/>
      </c>
      <c r="O97" s="13">
        <f>IF(VLOOKUP(B97,Database!$A:$AV,MATCH($O$1,Database!$A$1:$AV$1,),)=0,"#N/A",((((VLOOKUP(B97,Database!$A:$AS,MATCH($O$1,Database!$A$1:$AS$1,),))))-(((VLOOKUP(EDATE(B97,-12),Database!$A:$AS,MATCH($O$1,Database!$A$1:$AS$1,),)))))/(((VLOOKUP(EDATE(B97,-12),Database!$A:$AS,MATCH($O$1,Database!$A$1:$AS$1,),)))))</f>
        <v/>
      </c>
      <c r="P97" s="13">
        <f>IF(VLOOKUP(B97,Database!$A:$AV,MATCH($P$1,Database!$A$1:$AV$1,),)=0,"#N/A",((((VLOOKUP(B97,Database!$A:$AS,MATCH($P$1,Database!$A$1:$AS$1,),))))-(((VLOOKUP(EDATE(B97,-12),Database!$A:$AS,MATCH($P$1,Database!$A$1:$AS$1,),)))))/(((VLOOKUP(EDATE(B97,-12),Database!$A:$AS,MATCH($P$1,Database!$A$1:$AS$1,),)))))</f>
        <v/>
      </c>
      <c r="Q97" s="13">
        <f>IF(VLOOKUP(B97,Database!$A:$AV,MATCH($Q$1,Database!$A$1:$AV$1,),)=0,"#N/A",((((VLOOKUP(B97,Database!$A:$AS,MATCH($Q$1,Database!$A$1:$AS$1,),))))-(((VLOOKUP(EDATE(B97,-12),Database!$A:$AS,MATCH($Q$1,Database!$A$1:$AS$1,),)))))/(((VLOOKUP(EDATE(B97,-12),Database!$A:$AS,MATCH($Q$1,Database!$A$1:$AS$1,),)))))</f>
        <v/>
      </c>
      <c r="R97" s="13">
        <f>IF(VLOOKUP(B97,Database!$A:$AV,MATCH($R$1,Database!$A$1:$AV$1,),)=0,"#N/A",((((VLOOKUP(B97,Database!$A:$AS,MATCH($R$1,Database!$A$1:$AS$1,),))))-(((VLOOKUP(EDATE(B97,-12),Database!$A:$AS,MATCH($R$1,Database!$A$1:$AS$1,),)))))/(((VLOOKUP(EDATE(B97,-12),Database!$A:$AS,MATCH($R$1,Database!$A$1:$AS$1,),)))))</f>
        <v/>
      </c>
      <c r="S97" s="13">
        <f>IF(VLOOKUP(B97,Database!$A:$AV,MATCH($S$1,Database!$A$1:$AV$1,),)=0,"#N/A",((((VLOOKUP(B97,Database!$A:$AS,MATCH($S$1,Database!$A$1:$AS$1,),))))-(((VLOOKUP(EDATE(B97,-12),Database!$A:$AS,MATCH($S$1,Database!$A$1:$AS$1,),)))))/(((VLOOKUP(EDATE(B97,-12),Database!$A:$AS,MATCH($S$1,Database!$A$1:$AS$1,),)))))</f>
        <v/>
      </c>
      <c r="T97" s="13">
        <f>IF(VLOOKUP(B97,Database!$A:$AV,MATCH($T$1,Database!$A$1:$AV$1,),)=0,"#N/A",((((VLOOKUP(B97,Database!$A:$AS,MATCH($T$1,Database!$A$1:$AS$1,),))))-(((VLOOKUP(EDATE(B97,-12),Database!$A:$AS,MATCH($T$1,Database!$A$1:$AS$1,),)))))/(((VLOOKUP(EDATE(B97,-12),Database!$A:$AS,MATCH($T$1,Database!$A$1:$AS$1,),)))))</f>
        <v/>
      </c>
      <c r="U97" s="13">
        <f>IF(VLOOKUP(B97,Database!$A:$AV,MATCH($U$1,Database!$A$1:$AV$1,),)=0,"#N/A",((((VLOOKUP(B97,Database!$A:$AS,MATCH($U$1,Database!$A$1:$AS$1,),))))-(((VLOOKUP(EDATE(B97,-12),Database!$A:$AS,MATCH($U$1,Database!$A$1:$AS$1,),)))))/(((VLOOKUP(EDATE(B97,-12),Database!$A:$AS,MATCH($U$1,Database!$A$1:$AS$1,),)))))</f>
        <v/>
      </c>
      <c r="V97" s="13">
        <f>IF(VLOOKUP(B97,Database!$A:$AV,MATCH($V$1,Database!$A$1:$AV$1,),)=0,"#N/A",((((VLOOKUP(B97,Database!$A:$AS,MATCH($V$1,Database!$A$1:$AS$1,),))))-(((VLOOKUP(EDATE(B97,-12),Database!$A:$AS,MATCH($V$1,Database!$A$1:$AS$1,),)))))/(((VLOOKUP(EDATE(B97,-12),Database!$A:$AS,MATCH($V$1,Database!$A$1:$AS$1,),)))))</f>
        <v/>
      </c>
    </row>
    <row r="98" customFormat="1" s="86">
      <c r="A98" s="43" t="n"/>
      <c r="B98" s="75" t="n">
        <v>35125</v>
      </c>
      <c r="C98" s="13">
        <f>IF(VLOOKUP(B98,Database!$A:$AU,MATCH($C$1,Database!$A$1:$AU$1,),)=0,"#N/A",((((VLOOKUP(B98,Database!$A:$AU,MATCH($C$1,Database!$A$1:$AU$1,),))))-(((VLOOKUP(EDATE(B98,-12),Database!$A:$AU,MATCH($C$1,Database!$A$1:$AU$1,),)))))/(((VLOOKUP(EDATE(B98,-12),Database!$A:$AU,MATCH($C$1,Database!$A$1:$AU$1,),)))))</f>
        <v/>
      </c>
      <c r="D98" s="13">
        <f>IF(VLOOKUP(B98,Database!$A:$AV,MATCH($D$1,Database!$A$1:$AV$1,),)=0,"#N/A",((((VLOOKUP(B98,Database!$A:$AS,MATCH($D$1,Database!$A$1:$AS$1,),))))-(((VLOOKUP(EDATE(B98,-12),Database!$A:$AS,MATCH($D$1,Database!$A$1:$AS$1,),)))))/(((VLOOKUP(EDATE(B98,-12),Database!$A:$AS,MATCH($D$1,Database!$A$1:$AS$1,),)))))</f>
        <v/>
      </c>
      <c r="E98" s="13">
        <f>IF(VLOOKUP(B98,Database!$A:$AV,MATCH($E$1,Database!$A$1:$AV$1,),)=0,"#N/A",((((VLOOKUP(B98,Database!$A:$AS,MATCH($E$1,Database!$A$1:$AS$1,),))))-(((VLOOKUP(EDATE(B98,-12),Database!$A:$AS,MATCH($E$1,Database!$A$1:$AS$1,),)))))/(((VLOOKUP(EDATE(B98,-12),Database!$A:$AS,MATCH($E$1,Database!$A$1:$AS$1,),)))))</f>
        <v/>
      </c>
      <c r="F98" s="13">
        <f>IF(VLOOKUP(B98,Database!$A:$AV,MATCH($F$1,Database!$A$1:$AV$1,),)=0,"#N/A",((((VLOOKUP(B98,Database!$A:$AS,MATCH($F$1,Database!$A$1:$AS$1,),))))-(((VLOOKUP(EDATE(B98,-12),Database!$A:$AS,MATCH($F$1,Database!$A$1:$AS$1,),)))))/(((VLOOKUP(EDATE(B98,-12),Database!$A:$AS,MATCH($F$1,Database!$A$1:$AS$1,),)))))</f>
        <v/>
      </c>
      <c r="G98" s="13">
        <f>IF(VLOOKUP(B98,Database!$A:$AV,MATCH($G$1,Database!$A$1:$AV$1,),)=0,"#N/A",((((VLOOKUP(B98,Database!$A:$AS,MATCH($G$1,Database!$A$1:$AS$1,),))))-(((VLOOKUP(EDATE(B98,-12),Database!$A:$AS,MATCH($G$1,Database!$A$1:$AS$1,),)))))/(((VLOOKUP(EDATE(B98,-12),Database!$A:$AS,MATCH($G$1,Database!$A$1:$AS$1,),)))))</f>
        <v/>
      </c>
      <c r="H98" s="13">
        <f>IF(VLOOKUP(B98,Database!$A:$AV,MATCH($H$1,Database!$A$1:$AV$1,),)=0,"#N/A",((((VLOOKUP(B98,Database!$A:$AS,MATCH($H$1,Database!$A$1:$AS$1,),))))-(((VLOOKUP(EDATE(B98,-12),Database!$A:$AS,MATCH($H$1,Database!$A$1:$AS$1,),)))))/(((VLOOKUP(EDATE(B98,-12),Database!$A:$AS,MATCH($H$1,Database!$A$1:$AS$1,),)))))</f>
        <v/>
      </c>
      <c r="I98" s="13">
        <f>IF(VLOOKUP(B98,Database!$A:$AV,MATCH($I$1,Database!$A$1:$AV$1,),)=0,"#N/A",((((VLOOKUP(B98,Database!$A:$AS,MATCH($I$1,Database!$A$1:$AS$1,),))))-(((VLOOKUP(EDATE(B98,-12),Database!$A:$AS,MATCH($I$1,Database!$A$1:$AS$1,),)))))/(((VLOOKUP(EDATE(B98,-12),Database!$A:$AS,MATCH($I$1,Database!$A$1:$AS$1,),)))))</f>
        <v/>
      </c>
      <c r="J98" s="13">
        <f>IF(VLOOKUP(B98,Database!$A:$AV,MATCH($J$1,Database!$A$1:$AV$1,),)=0,"#N/A",((((VLOOKUP(B98,Database!$A:$AS,MATCH($J$1,Database!$A$1:$AS$1,),))))-(((VLOOKUP(EDATE(B98,-12),Database!$A:$AS,MATCH($J$1,Database!$A$1:$AS$1,),)))))/(((VLOOKUP(EDATE(B98,-12),Database!$A:$AS,MATCH($J$1,Database!$A$1:$AS$1,),)))))</f>
        <v/>
      </c>
      <c r="K98" s="13">
        <f>IF(VLOOKUP(B98,Database!$A:$AV,MATCH($K$1,Database!$A$1:$AV$1,),)=0,"#N/A",((((VLOOKUP(B98,Database!$A:$AS,MATCH($K$1,Database!$A$1:$AS$1,),))))-(((VLOOKUP(EDATE(B98,-12),Database!$A:$AS,MATCH($K$1,Database!$A$1:$AS$1,),)))))/(((VLOOKUP(EDATE(B98,-12),Database!$A:$AS,MATCH($K$1,Database!$A$1:$AS$1,),)))))</f>
        <v/>
      </c>
      <c r="L98" s="13">
        <f>((((VLOOKUP(B98,Database!$A:$AS,MATCH($L$1,Database!$A$1:$AS$1,),))))-(((VLOOKUP(EDATE(B98,-12),Database!$A:$AS,MATCH($L$1,Database!$A$1:$AS$1,),)))))/(((VLOOKUP(EDATE(B98,-12),Database!$A:$AS,MATCH($L$1,Database!$A$1:$AS$1,),))))</f>
        <v/>
      </c>
      <c r="M98" s="13">
        <f>((((VLOOKUP(B98,Database!$A:$AS,MATCH($M$1,Database!$A$1:$AS$1,),))))-(((VLOOKUP(EDATE(B98,-12),Database!$A:$AS,MATCH($M$1,Database!$A$1:$AS$1,),)))))/(((VLOOKUP(EDATE(B98,-12),Database!$A:$AS,MATCH($M$1,Database!$A$1:$AS$1,),))))</f>
        <v/>
      </c>
      <c r="N98" s="13">
        <f>((((VLOOKUP(B98,Database!$A:$AS,MATCH($N$1,Database!$A$1:$AS$1,),))))-(((VLOOKUP(EDATE(B98,-12),Database!$A:$AS,MATCH($N$1,Database!$A$1:$AS$1,),)))))/(((VLOOKUP(EDATE(B98,-12),Database!$A:$AS,MATCH($N$1,Database!$A$1:$AS$1,),))))</f>
        <v/>
      </c>
      <c r="O98" s="13">
        <f>IF(VLOOKUP(B98,Database!$A:$AV,MATCH($O$1,Database!$A$1:$AV$1,),)=0,"#N/A",((((VLOOKUP(B98,Database!$A:$AS,MATCH($O$1,Database!$A$1:$AS$1,),))))-(((VLOOKUP(EDATE(B98,-12),Database!$A:$AS,MATCH($O$1,Database!$A$1:$AS$1,),)))))/(((VLOOKUP(EDATE(B98,-12),Database!$A:$AS,MATCH($O$1,Database!$A$1:$AS$1,),)))))</f>
        <v/>
      </c>
      <c r="P98" s="13">
        <f>IF(VLOOKUP(B98,Database!$A:$AV,MATCH($P$1,Database!$A$1:$AV$1,),)=0,"#N/A",((((VLOOKUP(B98,Database!$A:$AS,MATCH($P$1,Database!$A$1:$AS$1,),))))-(((VLOOKUP(EDATE(B98,-12),Database!$A:$AS,MATCH($P$1,Database!$A$1:$AS$1,),)))))/(((VLOOKUP(EDATE(B98,-12),Database!$A:$AS,MATCH($P$1,Database!$A$1:$AS$1,),)))))</f>
        <v/>
      </c>
      <c r="Q98" s="13">
        <f>IF(VLOOKUP(B98,Database!$A:$AV,MATCH($Q$1,Database!$A$1:$AV$1,),)=0,"#N/A",((((VLOOKUP(B98,Database!$A:$AS,MATCH($Q$1,Database!$A$1:$AS$1,),))))-(((VLOOKUP(EDATE(B98,-12),Database!$A:$AS,MATCH($Q$1,Database!$A$1:$AS$1,),)))))/(((VLOOKUP(EDATE(B98,-12),Database!$A:$AS,MATCH($Q$1,Database!$A$1:$AS$1,),)))))</f>
        <v/>
      </c>
      <c r="R98" s="13">
        <f>IF(VLOOKUP(B98,Database!$A:$AV,MATCH($R$1,Database!$A$1:$AV$1,),)=0,"#N/A",((((VLOOKUP(B98,Database!$A:$AS,MATCH($R$1,Database!$A$1:$AS$1,),))))-(((VLOOKUP(EDATE(B98,-12),Database!$A:$AS,MATCH($R$1,Database!$A$1:$AS$1,),)))))/(((VLOOKUP(EDATE(B98,-12),Database!$A:$AS,MATCH($R$1,Database!$A$1:$AS$1,),)))))</f>
        <v/>
      </c>
      <c r="S98" s="13">
        <f>IF(VLOOKUP(B98,Database!$A:$AV,MATCH($S$1,Database!$A$1:$AV$1,),)=0,"#N/A",((((VLOOKUP(B98,Database!$A:$AS,MATCH($S$1,Database!$A$1:$AS$1,),))))-(((VLOOKUP(EDATE(B98,-12),Database!$A:$AS,MATCH($S$1,Database!$A$1:$AS$1,),)))))/(((VLOOKUP(EDATE(B98,-12),Database!$A:$AS,MATCH($S$1,Database!$A$1:$AS$1,),)))))</f>
        <v/>
      </c>
      <c r="T98" s="13">
        <f>IF(VLOOKUP(B98,Database!$A:$AV,MATCH($T$1,Database!$A$1:$AV$1,),)=0,"#N/A",((((VLOOKUP(B98,Database!$A:$AS,MATCH($T$1,Database!$A$1:$AS$1,),))))-(((VLOOKUP(EDATE(B98,-12),Database!$A:$AS,MATCH($T$1,Database!$A$1:$AS$1,),)))))/(((VLOOKUP(EDATE(B98,-12),Database!$A:$AS,MATCH($T$1,Database!$A$1:$AS$1,),)))))</f>
        <v/>
      </c>
      <c r="U98" s="13">
        <f>IF(VLOOKUP(B98,Database!$A:$AV,MATCH($U$1,Database!$A$1:$AV$1,),)=0,"#N/A",((((VLOOKUP(B98,Database!$A:$AS,MATCH($U$1,Database!$A$1:$AS$1,),))))-(((VLOOKUP(EDATE(B98,-12),Database!$A:$AS,MATCH($U$1,Database!$A$1:$AS$1,),)))))/(((VLOOKUP(EDATE(B98,-12),Database!$A:$AS,MATCH($U$1,Database!$A$1:$AS$1,),)))))</f>
        <v/>
      </c>
      <c r="V98" s="13">
        <f>IF(VLOOKUP(B98,Database!$A:$AV,MATCH($V$1,Database!$A$1:$AV$1,),)=0,"#N/A",((((VLOOKUP(B98,Database!$A:$AS,MATCH($V$1,Database!$A$1:$AS$1,),))))-(((VLOOKUP(EDATE(B98,-12),Database!$A:$AS,MATCH($V$1,Database!$A$1:$AS$1,),)))))/(((VLOOKUP(EDATE(B98,-12),Database!$A:$AS,MATCH($V$1,Database!$A$1:$AS$1,),)))))</f>
        <v/>
      </c>
    </row>
    <row r="99" customFormat="1" s="86">
      <c r="A99" s="43" t="n"/>
      <c r="B99" s="75" t="n">
        <v>35156</v>
      </c>
      <c r="C99" s="13">
        <f>IF(VLOOKUP(B99,Database!$A:$AU,MATCH($C$1,Database!$A$1:$AU$1,),)=0,"#N/A",((((VLOOKUP(B99,Database!$A:$AU,MATCH($C$1,Database!$A$1:$AU$1,),))))-(((VLOOKUP(EDATE(B99,-12),Database!$A:$AU,MATCH($C$1,Database!$A$1:$AU$1,),)))))/(((VLOOKUP(EDATE(B99,-12),Database!$A:$AU,MATCH($C$1,Database!$A$1:$AU$1,),)))))</f>
        <v/>
      </c>
      <c r="D99" s="13">
        <f>IF(VLOOKUP(B99,Database!$A:$AV,MATCH($D$1,Database!$A$1:$AV$1,),)=0,"#N/A",((((VLOOKUP(B99,Database!$A:$AS,MATCH($D$1,Database!$A$1:$AS$1,),))))-(((VLOOKUP(EDATE(B99,-12),Database!$A:$AS,MATCH($D$1,Database!$A$1:$AS$1,),)))))/(((VLOOKUP(EDATE(B99,-12),Database!$A:$AS,MATCH($D$1,Database!$A$1:$AS$1,),)))))</f>
        <v/>
      </c>
      <c r="E99" s="13">
        <f>IF(VLOOKUP(B99,Database!$A:$AV,MATCH($E$1,Database!$A$1:$AV$1,),)=0,"#N/A",((((VLOOKUP(B99,Database!$A:$AS,MATCH($E$1,Database!$A$1:$AS$1,),))))-(((VLOOKUP(EDATE(B99,-12),Database!$A:$AS,MATCH($E$1,Database!$A$1:$AS$1,),)))))/(((VLOOKUP(EDATE(B99,-12),Database!$A:$AS,MATCH($E$1,Database!$A$1:$AS$1,),)))))</f>
        <v/>
      </c>
      <c r="F99" s="13">
        <f>IF(VLOOKUP(B99,Database!$A:$AV,MATCH($F$1,Database!$A$1:$AV$1,),)=0,"#N/A",((((VLOOKUP(B99,Database!$A:$AS,MATCH($F$1,Database!$A$1:$AS$1,),))))-(((VLOOKUP(EDATE(B99,-12),Database!$A:$AS,MATCH($F$1,Database!$A$1:$AS$1,),)))))/(((VLOOKUP(EDATE(B99,-12),Database!$A:$AS,MATCH($F$1,Database!$A$1:$AS$1,),)))))</f>
        <v/>
      </c>
      <c r="G99" s="13">
        <f>IF(VLOOKUP(B99,Database!$A:$AV,MATCH($G$1,Database!$A$1:$AV$1,),)=0,"#N/A",((((VLOOKUP(B99,Database!$A:$AS,MATCH($G$1,Database!$A$1:$AS$1,),))))-(((VLOOKUP(EDATE(B99,-12),Database!$A:$AS,MATCH($G$1,Database!$A$1:$AS$1,),)))))/(((VLOOKUP(EDATE(B99,-12),Database!$A:$AS,MATCH($G$1,Database!$A$1:$AS$1,),)))))</f>
        <v/>
      </c>
      <c r="H99" s="13">
        <f>IF(VLOOKUP(B99,Database!$A:$AV,MATCH($H$1,Database!$A$1:$AV$1,),)=0,"#N/A",((((VLOOKUP(B99,Database!$A:$AS,MATCH($H$1,Database!$A$1:$AS$1,),))))-(((VLOOKUP(EDATE(B99,-12),Database!$A:$AS,MATCH($H$1,Database!$A$1:$AS$1,),)))))/(((VLOOKUP(EDATE(B99,-12),Database!$A:$AS,MATCH($H$1,Database!$A$1:$AS$1,),)))))</f>
        <v/>
      </c>
      <c r="I99" s="13">
        <f>IF(VLOOKUP(B99,Database!$A:$AV,MATCH($I$1,Database!$A$1:$AV$1,),)=0,"#N/A",((((VLOOKUP(B99,Database!$A:$AS,MATCH($I$1,Database!$A$1:$AS$1,),))))-(((VLOOKUP(EDATE(B99,-12),Database!$A:$AS,MATCH($I$1,Database!$A$1:$AS$1,),)))))/(((VLOOKUP(EDATE(B99,-12),Database!$A:$AS,MATCH($I$1,Database!$A$1:$AS$1,),)))))</f>
        <v/>
      </c>
      <c r="J99" s="13">
        <f>IF(VLOOKUP(B99,Database!$A:$AV,MATCH($J$1,Database!$A$1:$AV$1,),)=0,"#N/A",((((VLOOKUP(B99,Database!$A:$AS,MATCH($J$1,Database!$A$1:$AS$1,),))))-(((VLOOKUP(EDATE(B99,-12),Database!$A:$AS,MATCH($J$1,Database!$A$1:$AS$1,),)))))/(((VLOOKUP(EDATE(B99,-12),Database!$A:$AS,MATCH($J$1,Database!$A$1:$AS$1,),)))))</f>
        <v/>
      </c>
      <c r="K99" s="13">
        <f>IF(VLOOKUP(B99,Database!$A:$AV,MATCH($K$1,Database!$A$1:$AV$1,),)=0,"#N/A",((((VLOOKUP(B99,Database!$A:$AS,MATCH($K$1,Database!$A$1:$AS$1,),))))-(((VLOOKUP(EDATE(B99,-12),Database!$A:$AS,MATCH($K$1,Database!$A$1:$AS$1,),)))))/(((VLOOKUP(EDATE(B99,-12),Database!$A:$AS,MATCH($K$1,Database!$A$1:$AS$1,),)))))</f>
        <v/>
      </c>
      <c r="L99" s="13">
        <f>((((VLOOKUP(B99,Database!$A:$AS,MATCH($L$1,Database!$A$1:$AS$1,),))))-(((VLOOKUP(EDATE(B99,-12),Database!$A:$AS,MATCH($L$1,Database!$A$1:$AS$1,),)))))/(((VLOOKUP(EDATE(B99,-12),Database!$A:$AS,MATCH($L$1,Database!$A$1:$AS$1,),))))</f>
        <v/>
      </c>
      <c r="M99" s="13">
        <f>((((VLOOKUP(B99,Database!$A:$AS,MATCH($M$1,Database!$A$1:$AS$1,),))))-(((VLOOKUP(EDATE(B99,-12),Database!$A:$AS,MATCH($M$1,Database!$A$1:$AS$1,),)))))/(((VLOOKUP(EDATE(B99,-12),Database!$A:$AS,MATCH($M$1,Database!$A$1:$AS$1,),))))</f>
        <v/>
      </c>
      <c r="N99" s="13">
        <f>((((VLOOKUP(B99,Database!$A:$AS,MATCH($N$1,Database!$A$1:$AS$1,),))))-(((VLOOKUP(EDATE(B99,-12),Database!$A:$AS,MATCH($N$1,Database!$A$1:$AS$1,),)))))/(((VLOOKUP(EDATE(B99,-12),Database!$A:$AS,MATCH($N$1,Database!$A$1:$AS$1,),))))</f>
        <v/>
      </c>
      <c r="O99" s="13">
        <f>IF(VLOOKUP(B99,Database!$A:$AV,MATCH($O$1,Database!$A$1:$AV$1,),)=0,"#N/A",((((VLOOKUP(B99,Database!$A:$AS,MATCH($O$1,Database!$A$1:$AS$1,),))))-(((VLOOKUP(EDATE(B99,-12),Database!$A:$AS,MATCH($O$1,Database!$A$1:$AS$1,),)))))/(((VLOOKUP(EDATE(B99,-12),Database!$A:$AS,MATCH($O$1,Database!$A$1:$AS$1,),)))))</f>
        <v/>
      </c>
      <c r="P99" s="13">
        <f>IF(VLOOKUP(B99,Database!$A:$AV,MATCH($P$1,Database!$A$1:$AV$1,),)=0,"#N/A",((((VLOOKUP(B99,Database!$A:$AS,MATCH($P$1,Database!$A$1:$AS$1,),))))-(((VLOOKUP(EDATE(B99,-12),Database!$A:$AS,MATCH($P$1,Database!$A$1:$AS$1,),)))))/(((VLOOKUP(EDATE(B99,-12),Database!$A:$AS,MATCH($P$1,Database!$A$1:$AS$1,),)))))</f>
        <v/>
      </c>
      <c r="Q99" s="13">
        <f>IF(VLOOKUP(B99,Database!$A:$AV,MATCH($Q$1,Database!$A$1:$AV$1,),)=0,"#N/A",((((VLOOKUP(B99,Database!$A:$AS,MATCH($Q$1,Database!$A$1:$AS$1,),))))-(((VLOOKUP(EDATE(B99,-12),Database!$A:$AS,MATCH($Q$1,Database!$A$1:$AS$1,),)))))/(((VLOOKUP(EDATE(B99,-12),Database!$A:$AS,MATCH($Q$1,Database!$A$1:$AS$1,),)))))</f>
        <v/>
      </c>
      <c r="R99" s="13">
        <f>IF(VLOOKUP(B99,Database!$A:$AV,MATCH($R$1,Database!$A$1:$AV$1,),)=0,"#N/A",((((VLOOKUP(B99,Database!$A:$AS,MATCH($R$1,Database!$A$1:$AS$1,),))))-(((VLOOKUP(EDATE(B99,-12),Database!$A:$AS,MATCH($R$1,Database!$A$1:$AS$1,),)))))/(((VLOOKUP(EDATE(B99,-12),Database!$A:$AS,MATCH($R$1,Database!$A$1:$AS$1,),)))))</f>
        <v/>
      </c>
      <c r="S99" s="13">
        <f>IF(VLOOKUP(B99,Database!$A:$AV,MATCH($S$1,Database!$A$1:$AV$1,),)=0,"#N/A",((((VLOOKUP(B99,Database!$A:$AS,MATCH($S$1,Database!$A$1:$AS$1,),))))-(((VLOOKUP(EDATE(B99,-12),Database!$A:$AS,MATCH($S$1,Database!$A$1:$AS$1,),)))))/(((VLOOKUP(EDATE(B99,-12),Database!$A:$AS,MATCH($S$1,Database!$A$1:$AS$1,),)))))</f>
        <v/>
      </c>
      <c r="T99" s="13">
        <f>IF(VLOOKUP(B99,Database!$A:$AV,MATCH($T$1,Database!$A$1:$AV$1,),)=0,"#N/A",((((VLOOKUP(B99,Database!$A:$AS,MATCH($T$1,Database!$A$1:$AS$1,),))))-(((VLOOKUP(EDATE(B99,-12),Database!$A:$AS,MATCH($T$1,Database!$A$1:$AS$1,),)))))/(((VLOOKUP(EDATE(B99,-12),Database!$A:$AS,MATCH($T$1,Database!$A$1:$AS$1,),)))))</f>
        <v/>
      </c>
      <c r="U99" s="13">
        <f>IF(VLOOKUP(B99,Database!$A:$AV,MATCH($U$1,Database!$A$1:$AV$1,),)=0,"#N/A",((((VLOOKUP(B99,Database!$A:$AS,MATCH($U$1,Database!$A$1:$AS$1,),))))-(((VLOOKUP(EDATE(B99,-12),Database!$A:$AS,MATCH($U$1,Database!$A$1:$AS$1,),)))))/(((VLOOKUP(EDATE(B99,-12),Database!$A:$AS,MATCH($U$1,Database!$A$1:$AS$1,),)))))</f>
        <v/>
      </c>
      <c r="V99" s="13">
        <f>IF(VLOOKUP(B99,Database!$A:$AV,MATCH($V$1,Database!$A$1:$AV$1,),)=0,"#N/A",((((VLOOKUP(B99,Database!$A:$AS,MATCH($V$1,Database!$A$1:$AS$1,),))))-(((VLOOKUP(EDATE(B99,-12),Database!$A:$AS,MATCH($V$1,Database!$A$1:$AS$1,),)))))/(((VLOOKUP(EDATE(B99,-12),Database!$A:$AS,MATCH($V$1,Database!$A$1:$AS$1,),)))))</f>
        <v/>
      </c>
    </row>
    <row r="100" customFormat="1" s="86">
      <c r="A100" s="43" t="n"/>
      <c r="B100" s="75" t="n">
        <v>35186</v>
      </c>
      <c r="C100" s="13">
        <f>IF(VLOOKUP(B100,Database!$A:$AU,MATCH($C$1,Database!$A$1:$AU$1,),)=0,"#N/A",((((VLOOKUP(B100,Database!$A:$AU,MATCH($C$1,Database!$A$1:$AU$1,),))))-(((VLOOKUP(EDATE(B100,-12),Database!$A:$AU,MATCH($C$1,Database!$A$1:$AU$1,),)))))/(((VLOOKUP(EDATE(B100,-12),Database!$A:$AU,MATCH($C$1,Database!$A$1:$AU$1,),)))))</f>
        <v/>
      </c>
      <c r="D100" s="13">
        <f>IF(VLOOKUP(B100,Database!$A:$AV,MATCH($D$1,Database!$A$1:$AV$1,),)=0,"#N/A",((((VLOOKUP(B100,Database!$A:$AS,MATCH($D$1,Database!$A$1:$AS$1,),))))-(((VLOOKUP(EDATE(B100,-12),Database!$A:$AS,MATCH($D$1,Database!$A$1:$AS$1,),)))))/(((VLOOKUP(EDATE(B100,-12),Database!$A:$AS,MATCH($D$1,Database!$A$1:$AS$1,),)))))</f>
        <v/>
      </c>
      <c r="E100" s="13">
        <f>IF(VLOOKUP(B100,Database!$A:$AV,MATCH($E$1,Database!$A$1:$AV$1,),)=0,"#N/A",((((VLOOKUP(B100,Database!$A:$AS,MATCH($E$1,Database!$A$1:$AS$1,),))))-(((VLOOKUP(EDATE(B100,-12),Database!$A:$AS,MATCH($E$1,Database!$A$1:$AS$1,),)))))/(((VLOOKUP(EDATE(B100,-12),Database!$A:$AS,MATCH($E$1,Database!$A$1:$AS$1,),)))))</f>
        <v/>
      </c>
      <c r="F100" s="13">
        <f>IF(VLOOKUP(B100,Database!$A:$AV,MATCH($F$1,Database!$A$1:$AV$1,),)=0,"#N/A",((((VLOOKUP(B100,Database!$A:$AS,MATCH($F$1,Database!$A$1:$AS$1,),))))-(((VLOOKUP(EDATE(B100,-12),Database!$A:$AS,MATCH($F$1,Database!$A$1:$AS$1,),)))))/(((VLOOKUP(EDATE(B100,-12),Database!$A:$AS,MATCH($F$1,Database!$A$1:$AS$1,),)))))</f>
        <v/>
      </c>
      <c r="G100" s="13">
        <f>IF(VLOOKUP(B100,Database!$A:$AV,MATCH($G$1,Database!$A$1:$AV$1,),)=0,"#N/A",((((VLOOKUP(B100,Database!$A:$AS,MATCH($G$1,Database!$A$1:$AS$1,),))))-(((VLOOKUP(EDATE(B100,-12),Database!$A:$AS,MATCH($G$1,Database!$A$1:$AS$1,),)))))/(((VLOOKUP(EDATE(B100,-12),Database!$A:$AS,MATCH($G$1,Database!$A$1:$AS$1,),)))))</f>
        <v/>
      </c>
      <c r="H100" s="13">
        <f>IF(VLOOKUP(B100,Database!$A:$AV,MATCH($H$1,Database!$A$1:$AV$1,),)=0,"#N/A",((((VLOOKUP(B100,Database!$A:$AS,MATCH($H$1,Database!$A$1:$AS$1,),))))-(((VLOOKUP(EDATE(B100,-12),Database!$A:$AS,MATCH($H$1,Database!$A$1:$AS$1,),)))))/(((VLOOKUP(EDATE(B100,-12),Database!$A:$AS,MATCH($H$1,Database!$A$1:$AS$1,),)))))</f>
        <v/>
      </c>
      <c r="I100" s="13">
        <f>IF(VLOOKUP(B100,Database!$A:$AV,MATCH($I$1,Database!$A$1:$AV$1,),)=0,"#N/A",((((VLOOKUP(B100,Database!$A:$AS,MATCH($I$1,Database!$A$1:$AS$1,),))))-(((VLOOKUP(EDATE(B100,-12),Database!$A:$AS,MATCH($I$1,Database!$A$1:$AS$1,),)))))/(((VLOOKUP(EDATE(B100,-12),Database!$A:$AS,MATCH($I$1,Database!$A$1:$AS$1,),)))))</f>
        <v/>
      </c>
      <c r="J100" s="13">
        <f>IF(VLOOKUP(B100,Database!$A:$AV,MATCH($J$1,Database!$A$1:$AV$1,),)=0,"#N/A",((((VLOOKUP(B100,Database!$A:$AS,MATCH($J$1,Database!$A$1:$AS$1,),))))-(((VLOOKUP(EDATE(B100,-12),Database!$A:$AS,MATCH($J$1,Database!$A$1:$AS$1,),)))))/(((VLOOKUP(EDATE(B100,-12),Database!$A:$AS,MATCH($J$1,Database!$A$1:$AS$1,),)))))</f>
        <v/>
      </c>
      <c r="K100" s="13">
        <f>IF(VLOOKUP(B100,Database!$A:$AV,MATCH($K$1,Database!$A$1:$AV$1,),)=0,"#N/A",((((VLOOKUP(B100,Database!$A:$AS,MATCH($K$1,Database!$A$1:$AS$1,),))))-(((VLOOKUP(EDATE(B100,-12),Database!$A:$AS,MATCH($K$1,Database!$A$1:$AS$1,),)))))/(((VLOOKUP(EDATE(B100,-12),Database!$A:$AS,MATCH($K$1,Database!$A$1:$AS$1,),)))))</f>
        <v/>
      </c>
      <c r="L100" s="13">
        <f>((((VLOOKUP(B100,Database!$A:$AS,MATCH($L$1,Database!$A$1:$AS$1,),))))-(((VLOOKUP(EDATE(B100,-12),Database!$A:$AS,MATCH($L$1,Database!$A$1:$AS$1,),)))))/(((VLOOKUP(EDATE(B100,-12),Database!$A:$AS,MATCH($L$1,Database!$A$1:$AS$1,),))))</f>
        <v/>
      </c>
      <c r="M100" s="13">
        <f>((((VLOOKUP(B100,Database!$A:$AS,MATCH($M$1,Database!$A$1:$AS$1,),))))-(((VLOOKUP(EDATE(B100,-12),Database!$A:$AS,MATCH($M$1,Database!$A$1:$AS$1,),)))))/(((VLOOKUP(EDATE(B100,-12),Database!$A:$AS,MATCH($M$1,Database!$A$1:$AS$1,),))))</f>
        <v/>
      </c>
      <c r="N100" s="13">
        <f>((((VLOOKUP(B100,Database!$A:$AS,MATCH($N$1,Database!$A$1:$AS$1,),))))-(((VLOOKUP(EDATE(B100,-12),Database!$A:$AS,MATCH($N$1,Database!$A$1:$AS$1,),)))))/(((VLOOKUP(EDATE(B100,-12),Database!$A:$AS,MATCH($N$1,Database!$A$1:$AS$1,),))))</f>
        <v/>
      </c>
      <c r="O100" s="13">
        <f>IF(VLOOKUP(B100,Database!$A:$AV,MATCH($O$1,Database!$A$1:$AV$1,),)=0,"#N/A",((((VLOOKUP(B100,Database!$A:$AS,MATCH($O$1,Database!$A$1:$AS$1,),))))-(((VLOOKUP(EDATE(B100,-12),Database!$A:$AS,MATCH($O$1,Database!$A$1:$AS$1,),)))))/(((VLOOKUP(EDATE(B100,-12),Database!$A:$AS,MATCH($O$1,Database!$A$1:$AS$1,),)))))</f>
        <v/>
      </c>
      <c r="P100" s="13">
        <f>IF(VLOOKUP(B100,Database!$A:$AV,MATCH($P$1,Database!$A$1:$AV$1,),)=0,"#N/A",((((VLOOKUP(B100,Database!$A:$AS,MATCH($P$1,Database!$A$1:$AS$1,),))))-(((VLOOKUP(EDATE(B100,-12),Database!$A:$AS,MATCH($P$1,Database!$A$1:$AS$1,),)))))/(((VLOOKUP(EDATE(B100,-12),Database!$A:$AS,MATCH($P$1,Database!$A$1:$AS$1,),)))))</f>
        <v/>
      </c>
      <c r="Q100" s="13">
        <f>IF(VLOOKUP(B100,Database!$A:$AV,MATCH($Q$1,Database!$A$1:$AV$1,),)=0,"#N/A",((((VLOOKUP(B100,Database!$A:$AS,MATCH($Q$1,Database!$A$1:$AS$1,),))))-(((VLOOKUP(EDATE(B100,-12),Database!$A:$AS,MATCH($Q$1,Database!$A$1:$AS$1,),)))))/(((VLOOKUP(EDATE(B100,-12),Database!$A:$AS,MATCH($Q$1,Database!$A$1:$AS$1,),)))))</f>
        <v/>
      </c>
      <c r="R100" s="13">
        <f>IF(VLOOKUP(B100,Database!$A:$AV,MATCH($R$1,Database!$A$1:$AV$1,),)=0,"#N/A",((((VLOOKUP(B100,Database!$A:$AS,MATCH($R$1,Database!$A$1:$AS$1,),))))-(((VLOOKUP(EDATE(B100,-12),Database!$A:$AS,MATCH($R$1,Database!$A$1:$AS$1,),)))))/(((VLOOKUP(EDATE(B100,-12),Database!$A:$AS,MATCH($R$1,Database!$A$1:$AS$1,),)))))</f>
        <v/>
      </c>
      <c r="S100" s="13">
        <f>IF(VLOOKUP(B100,Database!$A:$AV,MATCH($S$1,Database!$A$1:$AV$1,),)=0,"#N/A",((((VLOOKUP(B100,Database!$A:$AS,MATCH($S$1,Database!$A$1:$AS$1,),))))-(((VLOOKUP(EDATE(B100,-12),Database!$A:$AS,MATCH($S$1,Database!$A$1:$AS$1,),)))))/(((VLOOKUP(EDATE(B100,-12),Database!$A:$AS,MATCH($S$1,Database!$A$1:$AS$1,),)))))</f>
        <v/>
      </c>
      <c r="T100" s="13">
        <f>IF(VLOOKUP(B100,Database!$A:$AV,MATCH($T$1,Database!$A$1:$AV$1,),)=0,"#N/A",((((VLOOKUP(B100,Database!$A:$AS,MATCH($T$1,Database!$A$1:$AS$1,),))))-(((VLOOKUP(EDATE(B100,-12),Database!$A:$AS,MATCH($T$1,Database!$A$1:$AS$1,),)))))/(((VLOOKUP(EDATE(B100,-12),Database!$A:$AS,MATCH($T$1,Database!$A$1:$AS$1,),)))))</f>
        <v/>
      </c>
      <c r="U100" s="13">
        <f>IF(VLOOKUP(B100,Database!$A:$AV,MATCH($U$1,Database!$A$1:$AV$1,),)=0,"#N/A",((((VLOOKUP(B100,Database!$A:$AS,MATCH($U$1,Database!$A$1:$AS$1,),))))-(((VLOOKUP(EDATE(B100,-12),Database!$A:$AS,MATCH($U$1,Database!$A$1:$AS$1,),)))))/(((VLOOKUP(EDATE(B100,-12),Database!$A:$AS,MATCH($U$1,Database!$A$1:$AS$1,),)))))</f>
        <v/>
      </c>
      <c r="V100" s="13">
        <f>IF(VLOOKUP(B100,Database!$A:$AV,MATCH($V$1,Database!$A$1:$AV$1,),)=0,"#N/A",((((VLOOKUP(B100,Database!$A:$AS,MATCH($V$1,Database!$A$1:$AS$1,),))))-(((VLOOKUP(EDATE(B100,-12),Database!$A:$AS,MATCH($V$1,Database!$A$1:$AS$1,),)))))/(((VLOOKUP(EDATE(B100,-12),Database!$A:$AS,MATCH($V$1,Database!$A$1:$AS$1,),)))))</f>
        <v/>
      </c>
    </row>
    <row r="101" customFormat="1" s="86">
      <c r="A101" s="43" t="n"/>
      <c r="B101" s="75" t="n">
        <v>35217</v>
      </c>
      <c r="C101" s="13">
        <f>IF(VLOOKUP(B101,Database!$A:$AU,MATCH($C$1,Database!$A$1:$AU$1,),)=0,"#N/A",((((VLOOKUP(B101,Database!$A:$AU,MATCH($C$1,Database!$A$1:$AU$1,),))))-(((VLOOKUP(EDATE(B101,-12),Database!$A:$AU,MATCH($C$1,Database!$A$1:$AU$1,),)))))/(((VLOOKUP(EDATE(B101,-12),Database!$A:$AU,MATCH($C$1,Database!$A$1:$AU$1,),)))))</f>
        <v/>
      </c>
      <c r="D101" s="13">
        <f>IF(VLOOKUP(B101,Database!$A:$AV,MATCH($D$1,Database!$A$1:$AV$1,),)=0,"#N/A",((((VLOOKUP(B101,Database!$A:$AS,MATCH($D$1,Database!$A$1:$AS$1,),))))-(((VLOOKUP(EDATE(B101,-12),Database!$A:$AS,MATCH($D$1,Database!$A$1:$AS$1,),)))))/(((VLOOKUP(EDATE(B101,-12),Database!$A:$AS,MATCH($D$1,Database!$A$1:$AS$1,),)))))</f>
        <v/>
      </c>
      <c r="E101" s="13">
        <f>IF(VLOOKUP(B101,Database!$A:$AV,MATCH($E$1,Database!$A$1:$AV$1,),)=0,"#N/A",((((VLOOKUP(B101,Database!$A:$AS,MATCH($E$1,Database!$A$1:$AS$1,),))))-(((VLOOKUP(EDATE(B101,-12),Database!$A:$AS,MATCH($E$1,Database!$A$1:$AS$1,),)))))/(((VLOOKUP(EDATE(B101,-12),Database!$A:$AS,MATCH($E$1,Database!$A$1:$AS$1,),)))))</f>
        <v/>
      </c>
      <c r="F101" s="13">
        <f>IF(VLOOKUP(B101,Database!$A:$AV,MATCH($F$1,Database!$A$1:$AV$1,),)=0,"#N/A",((((VLOOKUP(B101,Database!$A:$AS,MATCH($F$1,Database!$A$1:$AS$1,),))))-(((VLOOKUP(EDATE(B101,-12),Database!$A:$AS,MATCH($F$1,Database!$A$1:$AS$1,),)))))/(((VLOOKUP(EDATE(B101,-12),Database!$A:$AS,MATCH($F$1,Database!$A$1:$AS$1,),)))))</f>
        <v/>
      </c>
      <c r="G101" s="13">
        <f>IF(VLOOKUP(B101,Database!$A:$AV,MATCH($G$1,Database!$A$1:$AV$1,),)=0,"#N/A",((((VLOOKUP(B101,Database!$A:$AS,MATCH($G$1,Database!$A$1:$AS$1,),))))-(((VLOOKUP(EDATE(B101,-12),Database!$A:$AS,MATCH($G$1,Database!$A$1:$AS$1,),)))))/(((VLOOKUP(EDATE(B101,-12),Database!$A:$AS,MATCH($G$1,Database!$A$1:$AS$1,),)))))</f>
        <v/>
      </c>
      <c r="H101" s="13">
        <f>IF(VLOOKUP(B101,Database!$A:$AV,MATCH($H$1,Database!$A$1:$AV$1,),)=0,"#N/A",((((VLOOKUP(B101,Database!$A:$AS,MATCH($H$1,Database!$A$1:$AS$1,),))))-(((VLOOKUP(EDATE(B101,-12),Database!$A:$AS,MATCH($H$1,Database!$A$1:$AS$1,),)))))/(((VLOOKUP(EDATE(B101,-12),Database!$A:$AS,MATCH($H$1,Database!$A$1:$AS$1,),)))))</f>
        <v/>
      </c>
      <c r="I101" s="13">
        <f>IF(VLOOKUP(B101,Database!$A:$AV,MATCH($I$1,Database!$A$1:$AV$1,),)=0,"#N/A",((((VLOOKUP(B101,Database!$A:$AS,MATCH($I$1,Database!$A$1:$AS$1,),))))-(((VLOOKUP(EDATE(B101,-12),Database!$A:$AS,MATCH($I$1,Database!$A$1:$AS$1,),)))))/(((VLOOKUP(EDATE(B101,-12),Database!$A:$AS,MATCH($I$1,Database!$A$1:$AS$1,),)))))</f>
        <v/>
      </c>
      <c r="J101" s="13">
        <f>IF(VLOOKUP(B101,Database!$A:$AV,MATCH($J$1,Database!$A$1:$AV$1,),)=0,"#N/A",((((VLOOKUP(B101,Database!$A:$AS,MATCH($J$1,Database!$A$1:$AS$1,),))))-(((VLOOKUP(EDATE(B101,-12),Database!$A:$AS,MATCH($J$1,Database!$A$1:$AS$1,),)))))/(((VLOOKUP(EDATE(B101,-12),Database!$A:$AS,MATCH($J$1,Database!$A$1:$AS$1,),)))))</f>
        <v/>
      </c>
      <c r="K101" s="13">
        <f>IF(VLOOKUP(B101,Database!$A:$AV,MATCH($K$1,Database!$A$1:$AV$1,),)=0,"#N/A",((((VLOOKUP(B101,Database!$A:$AS,MATCH($K$1,Database!$A$1:$AS$1,),))))-(((VLOOKUP(EDATE(B101,-12),Database!$A:$AS,MATCH($K$1,Database!$A$1:$AS$1,),)))))/(((VLOOKUP(EDATE(B101,-12),Database!$A:$AS,MATCH($K$1,Database!$A$1:$AS$1,),)))))</f>
        <v/>
      </c>
      <c r="L101" s="13">
        <f>((((VLOOKUP(B101,Database!$A:$AS,MATCH($L$1,Database!$A$1:$AS$1,),))))-(((VLOOKUP(EDATE(B101,-12),Database!$A:$AS,MATCH($L$1,Database!$A$1:$AS$1,),)))))/(((VLOOKUP(EDATE(B101,-12),Database!$A:$AS,MATCH($L$1,Database!$A$1:$AS$1,),))))</f>
        <v/>
      </c>
      <c r="M101" s="13">
        <f>((((VLOOKUP(B101,Database!$A:$AS,MATCH($M$1,Database!$A$1:$AS$1,),))))-(((VLOOKUP(EDATE(B101,-12),Database!$A:$AS,MATCH($M$1,Database!$A$1:$AS$1,),)))))/(((VLOOKUP(EDATE(B101,-12),Database!$A:$AS,MATCH($M$1,Database!$A$1:$AS$1,),))))</f>
        <v/>
      </c>
      <c r="N101" s="13">
        <f>((((VLOOKUP(B101,Database!$A:$AS,MATCH($N$1,Database!$A$1:$AS$1,),))))-(((VLOOKUP(EDATE(B101,-12),Database!$A:$AS,MATCH($N$1,Database!$A$1:$AS$1,),)))))/(((VLOOKUP(EDATE(B101,-12),Database!$A:$AS,MATCH($N$1,Database!$A$1:$AS$1,),))))</f>
        <v/>
      </c>
      <c r="O101" s="13">
        <f>IF(VLOOKUP(B101,Database!$A:$AV,MATCH($O$1,Database!$A$1:$AV$1,),)=0,"#N/A",((((VLOOKUP(B101,Database!$A:$AS,MATCH($O$1,Database!$A$1:$AS$1,),))))-(((VLOOKUP(EDATE(B101,-12),Database!$A:$AS,MATCH($O$1,Database!$A$1:$AS$1,),)))))/(((VLOOKUP(EDATE(B101,-12),Database!$A:$AS,MATCH($O$1,Database!$A$1:$AS$1,),)))))</f>
        <v/>
      </c>
      <c r="P101" s="13">
        <f>IF(VLOOKUP(B101,Database!$A:$AV,MATCH($P$1,Database!$A$1:$AV$1,),)=0,"#N/A",((((VLOOKUP(B101,Database!$A:$AS,MATCH($P$1,Database!$A$1:$AS$1,),))))-(((VLOOKUP(EDATE(B101,-12),Database!$A:$AS,MATCH($P$1,Database!$A$1:$AS$1,),)))))/(((VLOOKUP(EDATE(B101,-12),Database!$A:$AS,MATCH($P$1,Database!$A$1:$AS$1,),)))))</f>
        <v/>
      </c>
      <c r="Q101" s="13">
        <f>IF(VLOOKUP(B101,Database!$A:$AV,MATCH($Q$1,Database!$A$1:$AV$1,),)=0,"#N/A",((((VLOOKUP(B101,Database!$A:$AS,MATCH($Q$1,Database!$A$1:$AS$1,),))))-(((VLOOKUP(EDATE(B101,-12),Database!$A:$AS,MATCH($Q$1,Database!$A$1:$AS$1,),)))))/(((VLOOKUP(EDATE(B101,-12),Database!$A:$AS,MATCH($Q$1,Database!$A$1:$AS$1,),)))))</f>
        <v/>
      </c>
      <c r="R101" s="13">
        <f>IF(VLOOKUP(B101,Database!$A:$AV,MATCH($R$1,Database!$A$1:$AV$1,),)=0,"#N/A",((((VLOOKUP(B101,Database!$A:$AS,MATCH($R$1,Database!$A$1:$AS$1,),))))-(((VLOOKUP(EDATE(B101,-12),Database!$A:$AS,MATCH($R$1,Database!$A$1:$AS$1,),)))))/(((VLOOKUP(EDATE(B101,-12),Database!$A:$AS,MATCH($R$1,Database!$A$1:$AS$1,),)))))</f>
        <v/>
      </c>
      <c r="S101" s="13">
        <f>IF(VLOOKUP(B101,Database!$A:$AV,MATCH($S$1,Database!$A$1:$AV$1,),)=0,"#N/A",((((VLOOKUP(B101,Database!$A:$AS,MATCH($S$1,Database!$A$1:$AS$1,),))))-(((VLOOKUP(EDATE(B101,-12),Database!$A:$AS,MATCH($S$1,Database!$A$1:$AS$1,),)))))/(((VLOOKUP(EDATE(B101,-12),Database!$A:$AS,MATCH($S$1,Database!$A$1:$AS$1,),)))))</f>
        <v/>
      </c>
      <c r="T101" s="13">
        <f>IF(VLOOKUP(B101,Database!$A:$AV,MATCH($T$1,Database!$A$1:$AV$1,),)=0,"#N/A",((((VLOOKUP(B101,Database!$A:$AS,MATCH($T$1,Database!$A$1:$AS$1,),))))-(((VLOOKUP(EDATE(B101,-12),Database!$A:$AS,MATCH($T$1,Database!$A$1:$AS$1,),)))))/(((VLOOKUP(EDATE(B101,-12),Database!$A:$AS,MATCH($T$1,Database!$A$1:$AS$1,),)))))</f>
        <v/>
      </c>
      <c r="U101" s="13">
        <f>IF(VLOOKUP(B101,Database!$A:$AV,MATCH($U$1,Database!$A$1:$AV$1,),)=0,"#N/A",((((VLOOKUP(B101,Database!$A:$AS,MATCH($U$1,Database!$A$1:$AS$1,),))))-(((VLOOKUP(EDATE(B101,-12),Database!$A:$AS,MATCH($U$1,Database!$A$1:$AS$1,),)))))/(((VLOOKUP(EDATE(B101,-12),Database!$A:$AS,MATCH($U$1,Database!$A$1:$AS$1,),)))))</f>
        <v/>
      </c>
      <c r="V101" s="13">
        <f>IF(VLOOKUP(B101,Database!$A:$AV,MATCH($V$1,Database!$A$1:$AV$1,),)=0,"#N/A",((((VLOOKUP(B101,Database!$A:$AS,MATCH($V$1,Database!$A$1:$AS$1,),))))-(((VLOOKUP(EDATE(B101,-12),Database!$A:$AS,MATCH($V$1,Database!$A$1:$AS$1,),)))))/(((VLOOKUP(EDATE(B101,-12),Database!$A:$AS,MATCH($V$1,Database!$A$1:$AS$1,),)))))</f>
        <v/>
      </c>
    </row>
    <row r="102" customFormat="1" s="86">
      <c r="A102" s="43" t="n"/>
      <c r="B102" s="75" t="n">
        <v>35247</v>
      </c>
      <c r="C102" s="13">
        <f>IF(VLOOKUP(B102,Database!$A:$AU,MATCH($C$1,Database!$A$1:$AU$1,),)=0,"#N/A",((((VLOOKUP(B102,Database!$A:$AU,MATCH($C$1,Database!$A$1:$AU$1,),))))-(((VLOOKUP(EDATE(B102,-12),Database!$A:$AU,MATCH($C$1,Database!$A$1:$AU$1,),)))))/(((VLOOKUP(EDATE(B102,-12),Database!$A:$AU,MATCH($C$1,Database!$A$1:$AU$1,),)))))</f>
        <v/>
      </c>
      <c r="D102" s="13">
        <f>IF(VLOOKUP(B102,Database!$A:$AV,MATCH($D$1,Database!$A$1:$AV$1,),)=0,"#N/A",((((VLOOKUP(B102,Database!$A:$AS,MATCH($D$1,Database!$A$1:$AS$1,),))))-(((VLOOKUP(EDATE(B102,-12),Database!$A:$AS,MATCH($D$1,Database!$A$1:$AS$1,),)))))/(((VLOOKUP(EDATE(B102,-12),Database!$A:$AS,MATCH($D$1,Database!$A$1:$AS$1,),)))))</f>
        <v/>
      </c>
      <c r="E102" s="13">
        <f>IF(VLOOKUP(B102,Database!$A:$AV,MATCH($E$1,Database!$A$1:$AV$1,),)=0,"#N/A",((((VLOOKUP(B102,Database!$A:$AS,MATCH($E$1,Database!$A$1:$AS$1,),))))-(((VLOOKUP(EDATE(B102,-12),Database!$A:$AS,MATCH($E$1,Database!$A$1:$AS$1,),)))))/(((VLOOKUP(EDATE(B102,-12),Database!$A:$AS,MATCH($E$1,Database!$A$1:$AS$1,),)))))</f>
        <v/>
      </c>
      <c r="F102" s="13">
        <f>IF(VLOOKUP(B102,Database!$A:$AV,MATCH($F$1,Database!$A$1:$AV$1,),)=0,"#N/A",((((VLOOKUP(B102,Database!$A:$AS,MATCH($F$1,Database!$A$1:$AS$1,),))))-(((VLOOKUP(EDATE(B102,-12),Database!$A:$AS,MATCH($F$1,Database!$A$1:$AS$1,),)))))/(((VLOOKUP(EDATE(B102,-12),Database!$A:$AS,MATCH($F$1,Database!$A$1:$AS$1,),)))))</f>
        <v/>
      </c>
      <c r="G102" s="13">
        <f>IF(VLOOKUP(B102,Database!$A:$AV,MATCH($G$1,Database!$A$1:$AV$1,),)=0,"#N/A",((((VLOOKUP(B102,Database!$A:$AS,MATCH($G$1,Database!$A$1:$AS$1,),))))-(((VLOOKUP(EDATE(B102,-12),Database!$A:$AS,MATCH($G$1,Database!$A$1:$AS$1,),)))))/(((VLOOKUP(EDATE(B102,-12),Database!$A:$AS,MATCH($G$1,Database!$A$1:$AS$1,),)))))</f>
        <v/>
      </c>
      <c r="H102" s="13">
        <f>IF(VLOOKUP(B102,Database!$A:$AV,MATCH($H$1,Database!$A$1:$AV$1,),)=0,"#N/A",((((VLOOKUP(B102,Database!$A:$AS,MATCH($H$1,Database!$A$1:$AS$1,),))))-(((VLOOKUP(EDATE(B102,-12),Database!$A:$AS,MATCH($H$1,Database!$A$1:$AS$1,),)))))/(((VLOOKUP(EDATE(B102,-12),Database!$A:$AS,MATCH($H$1,Database!$A$1:$AS$1,),)))))</f>
        <v/>
      </c>
      <c r="I102" s="13">
        <f>IF(VLOOKUP(B102,Database!$A:$AV,MATCH($I$1,Database!$A$1:$AV$1,),)=0,"#N/A",((((VLOOKUP(B102,Database!$A:$AS,MATCH($I$1,Database!$A$1:$AS$1,),))))-(((VLOOKUP(EDATE(B102,-12),Database!$A:$AS,MATCH($I$1,Database!$A$1:$AS$1,),)))))/(((VLOOKUP(EDATE(B102,-12),Database!$A:$AS,MATCH($I$1,Database!$A$1:$AS$1,),)))))</f>
        <v/>
      </c>
      <c r="J102" s="13">
        <f>IF(VLOOKUP(B102,Database!$A:$AV,MATCH($J$1,Database!$A$1:$AV$1,),)=0,"#N/A",((((VLOOKUP(B102,Database!$A:$AS,MATCH($J$1,Database!$A$1:$AS$1,),))))-(((VLOOKUP(EDATE(B102,-12),Database!$A:$AS,MATCH($J$1,Database!$A$1:$AS$1,),)))))/(((VLOOKUP(EDATE(B102,-12),Database!$A:$AS,MATCH($J$1,Database!$A$1:$AS$1,),)))))</f>
        <v/>
      </c>
      <c r="K102" s="13">
        <f>IF(VLOOKUP(B102,Database!$A:$AV,MATCH($K$1,Database!$A$1:$AV$1,),)=0,"#N/A",((((VLOOKUP(B102,Database!$A:$AS,MATCH($K$1,Database!$A$1:$AS$1,),))))-(((VLOOKUP(EDATE(B102,-12),Database!$A:$AS,MATCH($K$1,Database!$A$1:$AS$1,),)))))/(((VLOOKUP(EDATE(B102,-12),Database!$A:$AS,MATCH($K$1,Database!$A$1:$AS$1,),)))))</f>
        <v/>
      </c>
      <c r="L102" s="13">
        <f>((((VLOOKUP(B102,Database!$A:$AS,MATCH($L$1,Database!$A$1:$AS$1,),))))-(((VLOOKUP(EDATE(B102,-12),Database!$A:$AS,MATCH($L$1,Database!$A$1:$AS$1,),)))))/(((VLOOKUP(EDATE(B102,-12),Database!$A:$AS,MATCH($L$1,Database!$A$1:$AS$1,),))))</f>
        <v/>
      </c>
      <c r="M102" s="13">
        <f>((((VLOOKUP(B102,Database!$A:$AS,MATCH($M$1,Database!$A$1:$AS$1,),))))-(((VLOOKUP(EDATE(B102,-12),Database!$A:$AS,MATCH($M$1,Database!$A$1:$AS$1,),)))))/(((VLOOKUP(EDATE(B102,-12),Database!$A:$AS,MATCH($M$1,Database!$A$1:$AS$1,),))))</f>
        <v/>
      </c>
      <c r="N102" s="13">
        <f>((((VLOOKUP(B102,Database!$A:$AS,MATCH($N$1,Database!$A$1:$AS$1,),))))-(((VLOOKUP(EDATE(B102,-12),Database!$A:$AS,MATCH($N$1,Database!$A$1:$AS$1,),)))))/(((VLOOKUP(EDATE(B102,-12),Database!$A:$AS,MATCH($N$1,Database!$A$1:$AS$1,),))))</f>
        <v/>
      </c>
      <c r="O102" s="13">
        <f>IF(VLOOKUP(B102,Database!$A:$AV,MATCH($O$1,Database!$A$1:$AV$1,),)=0,"#N/A",((((VLOOKUP(B102,Database!$A:$AS,MATCH($O$1,Database!$A$1:$AS$1,),))))-(((VLOOKUP(EDATE(B102,-12),Database!$A:$AS,MATCH($O$1,Database!$A$1:$AS$1,),)))))/(((VLOOKUP(EDATE(B102,-12),Database!$A:$AS,MATCH($O$1,Database!$A$1:$AS$1,),)))))</f>
        <v/>
      </c>
      <c r="P102" s="13">
        <f>IF(VLOOKUP(B102,Database!$A:$AV,MATCH($P$1,Database!$A$1:$AV$1,),)=0,"#N/A",((((VLOOKUP(B102,Database!$A:$AS,MATCH($P$1,Database!$A$1:$AS$1,),))))-(((VLOOKUP(EDATE(B102,-12),Database!$A:$AS,MATCH($P$1,Database!$A$1:$AS$1,),)))))/(((VLOOKUP(EDATE(B102,-12),Database!$A:$AS,MATCH($P$1,Database!$A$1:$AS$1,),)))))</f>
        <v/>
      </c>
      <c r="Q102" s="13">
        <f>IF(VLOOKUP(B102,Database!$A:$AV,MATCH($Q$1,Database!$A$1:$AV$1,),)=0,"#N/A",((((VLOOKUP(B102,Database!$A:$AS,MATCH($Q$1,Database!$A$1:$AS$1,),))))-(((VLOOKUP(EDATE(B102,-12),Database!$A:$AS,MATCH($Q$1,Database!$A$1:$AS$1,),)))))/(((VLOOKUP(EDATE(B102,-12),Database!$A:$AS,MATCH($Q$1,Database!$A$1:$AS$1,),)))))</f>
        <v/>
      </c>
      <c r="R102" s="13">
        <f>IF(VLOOKUP(B102,Database!$A:$AV,MATCH($R$1,Database!$A$1:$AV$1,),)=0,"#N/A",((((VLOOKUP(B102,Database!$A:$AS,MATCH($R$1,Database!$A$1:$AS$1,),))))-(((VLOOKUP(EDATE(B102,-12),Database!$A:$AS,MATCH($R$1,Database!$A$1:$AS$1,),)))))/(((VLOOKUP(EDATE(B102,-12),Database!$A:$AS,MATCH($R$1,Database!$A$1:$AS$1,),)))))</f>
        <v/>
      </c>
      <c r="S102" s="13">
        <f>IF(VLOOKUP(B102,Database!$A:$AV,MATCH($S$1,Database!$A$1:$AV$1,),)=0,"#N/A",((((VLOOKUP(B102,Database!$A:$AS,MATCH($S$1,Database!$A$1:$AS$1,),))))-(((VLOOKUP(EDATE(B102,-12),Database!$A:$AS,MATCH($S$1,Database!$A$1:$AS$1,),)))))/(((VLOOKUP(EDATE(B102,-12),Database!$A:$AS,MATCH($S$1,Database!$A$1:$AS$1,),)))))</f>
        <v/>
      </c>
      <c r="T102" s="13">
        <f>IF(VLOOKUP(B102,Database!$A:$AV,MATCH($T$1,Database!$A$1:$AV$1,),)=0,"#N/A",((((VLOOKUP(B102,Database!$A:$AS,MATCH($T$1,Database!$A$1:$AS$1,),))))-(((VLOOKUP(EDATE(B102,-12),Database!$A:$AS,MATCH($T$1,Database!$A$1:$AS$1,),)))))/(((VLOOKUP(EDATE(B102,-12),Database!$A:$AS,MATCH($T$1,Database!$A$1:$AS$1,),)))))</f>
        <v/>
      </c>
      <c r="U102" s="13">
        <f>IF(VLOOKUP(B102,Database!$A:$AV,MATCH($U$1,Database!$A$1:$AV$1,),)=0,"#N/A",((((VLOOKUP(B102,Database!$A:$AS,MATCH($U$1,Database!$A$1:$AS$1,),))))-(((VLOOKUP(EDATE(B102,-12),Database!$A:$AS,MATCH($U$1,Database!$A$1:$AS$1,),)))))/(((VLOOKUP(EDATE(B102,-12),Database!$A:$AS,MATCH($U$1,Database!$A$1:$AS$1,),)))))</f>
        <v/>
      </c>
      <c r="V102" s="13">
        <f>IF(VLOOKUP(B102,Database!$A:$AV,MATCH($V$1,Database!$A$1:$AV$1,),)=0,"#N/A",((((VLOOKUP(B102,Database!$A:$AS,MATCH($V$1,Database!$A$1:$AS$1,),))))-(((VLOOKUP(EDATE(B102,-12),Database!$A:$AS,MATCH($V$1,Database!$A$1:$AS$1,),)))))/(((VLOOKUP(EDATE(B102,-12),Database!$A:$AS,MATCH($V$1,Database!$A$1:$AS$1,),)))))</f>
        <v/>
      </c>
    </row>
    <row r="103" customFormat="1" s="86">
      <c r="A103" s="43" t="n"/>
      <c r="B103" s="75" t="n">
        <v>35278</v>
      </c>
      <c r="C103" s="13">
        <f>IF(VLOOKUP(B103,Database!$A:$AU,MATCH($C$1,Database!$A$1:$AU$1,),)=0,"#N/A",((((VLOOKUP(B103,Database!$A:$AU,MATCH($C$1,Database!$A$1:$AU$1,),))))-(((VLOOKUP(EDATE(B103,-12),Database!$A:$AU,MATCH($C$1,Database!$A$1:$AU$1,),)))))/(((VLOOKUP(EDATE(B103,-12),Database!$A:$AU,MATCH($C$1,Database!$A$1:$AU$1,),)))))</f>
        <v/>
      </c>
      <c r="D103" s="13">
        <f>IF(VLOOKUP(B103,Database!$A:$AV,MATCH($D$1,Database!$A$1:$AV$1,),)=0,"#N/A",((((VLOOKUP(B103,Database!$A:$AS,MATCH($D$1,Database!$A$1:$AS$1,),))))-(((VLOOKUP(EDATE(B103,-12),Database!$A:$AS,MATCH($D$1,Database!$A$1:$AS$1,),)))))/(((VLOOKUP(EDATE(B103,-12),Database!$A:$AS,MATCH($D$1,Database!$A$1:$AS$1,),)))))</f>
        <v/>
      </c>
      <c r="E103" s="13">
        <f>IF(VLOOKUP(B103,Database!$A:$AV,MATCH($E$1,Database!$A$1:$AV$1,),)=0,"#N/A",((((VLOOKUP(B103,Database!$A:$AS,MATCH($E$1,Database!$A$1:$AS$1,),))))-(((VLOOKUP(EDATE(B103,-12),Database!$A:$AS,MATCH($E$1,Database!$A$1:$AS$1,),)))))/(((VLOOKUP(EDATE(B103,-12),Database!$A:$AS,MATCH($E$1,Database!$A$1:$AS$1,),)))))</f>
        <v/>
      </c>
      <c r="F103" s="13">
        <f>IF(VLOOKUP(B103,Database!$A:$AV,MATCH($F$1,Database!$A$1:$AV$1,),)=0,"#N/A",((((VLOOKUP(B103,Database!$A:$AS,MATCH($F$1,Database!$A$1:$AS$1,),))))-(((VLOOKUP(EDATE(B103,-12),Database!$A:$AS,MATCH($F$1,Database!$A$1:$AS$1,),)))))/(((VLOOKUP(EDATE(B103,-12),Database!$A:$AS,MATCH($F$1,Database!$A$1:$AS$1,),)))))</f>
        <v/>
      </c>
      <c r="G103" s="13">
        <f>IF(VLOOKUP(B103,Database!$A:$AV,MATCH($G$1,Database!$A$1:$AV$1,),)=0,"#N/A",((((VLOOKUP(B103,Database!$A:$AS,MATCH($G$1,Database!$A$1:$AS$1,),))))-(((VLOOKUP(EDATE(B103,-12),Database!$A:$AS,MATCH($G$1,Database!$A$1:$AS$1,),)))))/(((VLOOKUP(EDATE(B103,-12),Database!$A:$AS,MATCH($G$1,Database!$A$1:$AS$1,),)))))</f>
        <v/>
      </c>
      <c r="H103" s="13">
        <f>IF(VLOOKUP(B103,Database!$A:$AV,MATCH($H$1,Database!$A$1:$AV$1,),)=0,"#N/A",((((VLOOKUP(B103,Database!$A:$AS,MATCH($H$1,Database!$A$1:$AS$1,),))))-(((VLOOKUP(EDATE(B103,-12),Database!$A:$AS,MATCH($H$1,Database!$A$1:$AS$1,),)))))/(((VLOOKUP(EDATE(B103,-12),Database!$A:$AS,MATCH($H$1,Database!$A$1:$AS$1,),)))))</f>
        <v/>
      </c>
      <c r="I103" s="13">
        <f>IF(VLOOKUP(B103,Database!$A:$AV,MATCH($I$1,Database!$A$1:$AV$1,),)=0,"#N/A",((((VLOOKUP(B103,Database!$A:$AS,MATCH($I$1,Database!$A$1:$AS$1,),))))-(((VLOOKUP(EDATE(B103,-12),Database!$A:$AS,MATCH($I$1,Database!$A$1:$AS$1,),)))))/(((VLOOKUP(EDATE(B103,-12),Database!$A:$AS,MATCH($I$1,Database!$A$1:$AS$1,),)))))</f>
        <v/>
      </c>
      <c r="J103" s="13">
        <f>IF(VLOOKUP(B103,Database!$A:$AV,MATCH($J$1,Database!$A$1:$AV$1,),)=0,"#N/A",((((VLOOKUP(B103,Database!$A:$AS,MATCH($J$1,Database!$A$1:$AS$1,),))))-(((VLOOKUP(EDATE(B103,-12),Database!$A:$AS,MATCH($J$1,Database!$A$1:$AS$1,),)))))/(((VLOOKUP(EDATE(B103,-12),Database!$A:$AS,MATCH($J$1,Database!$A$1:$AS$1,),)))))</f>
        <v/>
      </c>
      <c r="K103" s="13">
        <f>IF(VLOOKUP(B103,Database!$A:$AV,MATCH($K$1,Database!$A$1:$AV$1,),)=0,"#N/A",((((VLOOKUP(B103,Database!$A:$AS,MATCH($K$1,Database!$A$1:$AS$1,),))))-(((VLOOKUP(EDATE(B103,-12),Database!$A:$AS,MATCH($K$1,Database!$A$1:$AS$1,),)))))/(((VLOOKUP(EDATE(B103,-12),Database!$A:$AS,MATCH($K$1,Database!$A$1:$AS$1,),)))))</f>
        <v/>
      </c>
      <c r="L103" s="13">
        <f>((((VLOOKUP(B103,Database!$A:$AS,MATCH($L$1,Database!$A$1:$AS$1,),))))-(((VLOOKUP(EDATE(B103,-12),Database!$A:$AS,MATCH($L$1,Database!$A$1:$AS$1,),)))))/(((VLOOKUP(EDATE(B103,-12),Database!$A:$AS,MATCH($L$1,Database!$A$1:$AS$1,),))))</f>
        <v/>
      </c>
      <c r="M103" s="13">
        <f>((((VLOOKUP(B103,Database!$A:$AS,MATCH($M$1,Database!$A$1:$AS$1,),))))-(((VLOOKUP(EDATE(B103,-12),Database!$A:$AS,MATCH($M$1,Database!$A$1:$AS$1,),)))))/(((VLOOKUP(EDATE(B103,-12),Database!$A:$AS,MATCH($M$1,Database!$A$1:$AS$1,),))))</f>
        <v/>
      </c>
      <c r="N103" s="13">
        <f>((((VLOOKUP(B103,Database!$A:$AS,MATCH($N$1,Database!$A$1:$AS$1,),))))-(((VLOOKUP(EDATE(B103,-12),Database!$A:$AS,MATCH($N$1,Database!$A$1:$AS$1,),)))))/(((VLOOKUP(EDATE(B103,-12),Database!$A:$AS,MATCH($N$1,Database!$A$1:$AS$1,),))))</f>
        <v/>
      </c>
      <c r="O103" s="13">
        <f>IF(VLOOKUP(B103,Database!$A:$AV,MATCH($O$1,Database!$A$1:$AV$1,),)=0,"#N/A",((((VLOOKUP(B103,Database!$A:$AS,MATCH($O$1,Database!$A$1:$AS$1,),))))-(((VLOOKUP(EDATE(B103,-12),Database!$A:$AS,MATCH($O$1,Database!$A$1:$AS$1,),)))))/(((VLOOKUP(EDATE(B103,-12),Database!$A:$AS,MATCH($O$1,Database!$A$1:$AS$1,),)))))</f>
        <v/>
      </c>
      <c r="P103" s="13">
        <f>IF(VLOOKUP(B103,Database!$A:$AV,MATCH($P$1,Database!$A$1:$AV$1,),)=0,"#N/A",((((VLOOKUP(B103,Database!$A:$AS,MATCH($P$1,Database!$A$1:$AS$1,),))))-(((VLOOKUP(EDATE(B103,-12),Database!$A:$AS,MATCH($P$1,Database!$A$1:$AS$1,),)))))/(((VLOOKUP(EDATE(B103,-12),Database!$A:$AS,MATCH($P$1,Database!$A$1:$AS$1,),)))))</f>
        <v/>
      </c>
      <c r="Q103" s="13">
        <f>IF(VLOOKUP(B103,Database!$A:$AV,MATCH($Q$1,Database!$A$1:$AV$1,),)=0,"#N/A",((((VLOOKUP(B103,Database!$A:$AS,MATCH($Q$1,Database!$A$1:$AS$1,),))))-(((VLOOKUP(EDATE(B103,-12),Database!$A:$AS,MATCH($Q$1,Database!$A$1:$AS$1,),)))))/(((VLOOKUP(EDATE(B103,-12),Database!$A:$AS,MATCH($Q$1,Database!$A$1:$AS$1,),)))))</f>
        <v/>
      </c>
      <c r="R103" s="13">
        <f>IF(VLOOKUP(B103,Database!$A:$AV,MATCH($R$1,Database!$A$1:$AV$1,),)=0,"#N/A",((((VLOOKUP(B103,Database!$A:$AS,MATCH($R$1,Database!$A$1:$AS$1,),))))-(((VLOOKUP(EDATE(B103,-12),Database!$A:$AS,MATCH($R$1,Database!$A$1:$AS$1,),)))))/(((VLOOKUP(EDATE(B103,-12),Database!$A:$AS,MATCH($R$1,Database!$A$1:$AS$1,),)))))</f>
        <v/>
      </c>
      <c r="S103" s="13">
        <f>IF(VLOOKUP(B103,Database!$A:$AV,MATCH($S$1,Database!$A$1:$AV$1,),)=0,"#N/A",((((VLOOKUP(B103,Database!$A:$AS,MATCH($S$1,Database!$A$1:$AS$1,),))))-(((VLOOKUP(EDATE(B103,-12),Database!$A:$AS,MATCH($S$1,Database!$A$1:$AS$1,),)))))/(((VLOOKUP(EDATE(B103,-12),Database!$A:$AS,MATCH($S$1,Database!$A$1:$AS$1,),)))))</f>
        <v/>
      </c>
      <c r="T103" s="13">
        <f>IF(VLOOKUP(B103,Database!$A:$AV,MATCH($T$1,Database!$A$1:$AV$1,),)=0,"#N/A",((((VLOOKUP(B103,Database!$A:$AS,MATCH($T$1,Database!$A$1:$AS$1,),))))-(((VLOOKUP(EDATE(B103,-12),Database!$A:$AS,MATCH($T$1,Database!$A$1:$AS$1,),)))))/(((VLOOKUP(EDATE(B103,-12),Database!$A:$AS,MATCH($T$1,Database!$A$1:$AS$1,),)))))</f>
        <v/>
      </c>
      <c r="U103" s="13">
        <f>IF(VLOOKUP(B103,Database!$A:$AV,MATCH($U$1,Database!$A$1:$AV$1,),)=0,"#N/A",((((VLOOKUP(B103,Database!$A:$AS,MATCH($U$1,Database!$A$1:$AS$1,),))))-(((VLOOKUP(EDATE(B103,-12),Database!$A:$AS,MATCH($U$1,Database!$A$1:$AS$1,),)))))/(((VLOOKUP(EDATE(B103,-12),Database!$A:$AS,MATCH($U$1,Database!$A$1:$AS$1,),)))))</f>
        <v/>
      </c>
      <c r="V103" s="13">
        <f>IF(VLOOKUP(B103,Database!$A:$AV,MATCH($V$1,Database!$A$1:$AV$1,),)=0,"#N/A",((((VLOOKUP(B103,Database!$A:$AS,MATCH($V$1,Database!$A$1:$AS$1,),))))-(((VLOOKUP(EDATE(B103,-12),Database!$A:$AS,MATCH($V$1,Database!$A$1:$AS$1,),)))))/(((VLOOKUP(EDATE(B103,-12),Database!$A:$AS,MATCH($V$1,Database!$A$1:$AS$1,),)))))</f>
        <v/>
      </c>
    </row>
    <row r="104" customFormat="1" s="86">
      <c r="A104" s="43" t="n"/>
      <c r="B104" s="75" t="n">
        <v>35309</v>
      </c>
      <c r="C104" s="13">
        <f>IF(VLOOKUP(B104,Database!$A:$AU,MATCH($C$1,Database!$A$1:$AU$1,),)=0,"#N/A",((((VLOOKUP(B104,Database!$A:$AU,MATCH($C$1,Database!$A$1:$AU$1,),))))-(((VLOOKUP(EDATE(B104,-12),Database!$A:$AU,MATCH($C$1,Database!$A$1:$AU$1,),)))))/(((VLOOKUP(EDATE(B104,-12),Database!$A:$AU,MATCH($C$1,Database!$A$1:$AU$1,),)))))</f>
        <v/>
      </c>
      <c r="D104" s="13">
        <f>IF(VLOOKUP(B104,Database!$A:$AV,MATCH($D$1,Database!$A$1:$AV$1,),)=0,"#N/A",((((VLOOKUP(B104,Database!$A:$AS,MATCH($D$1,Database!$A$1:$AS$1,),))))-(((VLOOKUP(EDATE(B104,-12),Database!$A:$AS,MATCH($D$1,Database!$A$1:$AS$1,),)))))/(((VLOOKUP(EDATE(B104,-12),Database!$A:$AS,MATCH($D$1,Database!$A$1:$AS$1,),)))))</f>
        <v/>
      </c>
      <c r="E104" s="13">
        <f>IF(VLOOKUP(B104,Database!$A:$AV,MATCH($E$1,Database!$A$1:$AV$1,),)=0,"#N/A",((((VLOOKUP(B104,Database!$A:$AS,MATCH($E$1,Database!$A$1:$AS$1,),))))-(((VLOOKUP(EDATE(B104,-12),Database!$A:$AS,MATCH($E$1,Database!$A$1:$AS$1,),)))))/(((VLOOKUP(EDATE(B104,-12),Database!$A:$AS,MATCH($E$1,Database!$A$1:$AS$1,),)))))</f>
        <v/>
      </c>
      <c r="F104" s="13">
        <f>IF(VLOOKUP(B104,Database!$A:$AV,MATCH($F$1,Database!$A$1:$AV$1,),)=0,"#N/A",((((VLOOKUP(B104,Database!$A:$AS,MATCH($F$1,Database!$A$1:$AS$1,),))))-(((VLOOKUP(EDATE(B104,-12),Database!$A:$AS,MATCH($F$1,Database!$A$1:$AS$1,),)))))/(((VLOOKUP(EDATE(B104,-12),Database!$A:$AS,MATCH($F$1,Database!$A$1:$AS$1,),)))))</f>
        <v/>
      </c>
      <c r="G104" s="13">
        <f>IF(VLOOKUP(B104,Database!$A:$AV,MATCH($G$1,Database!$A$1:$AV$1,),)=0,"#N/A",((((VLOOKUP(B104,Database!$A:$AS,MATCH($G$1,Database!$A$1:$AS$1,),))))-(((VLOOKUP(EDATE(B104,-12),Database!$A:$AS,MATCH($G$1,Database!$A$1:$AS$1,),)))))/(((VLOOKUP(EDATE(B104,-12),Database!$A:$AS,MATCH($G$1,Database!$A$1:$AS$1,),)))))</f>
        <v/>
      </c>
      <c r="H104" s="13">
        <f>IF(VLOOKUP(B104,Database!$A:$AV,MATCH($H$1,Database!$A$1:$AV$1,),)=0,"#N/A",((((VLOOKUP(B104,Database!$A:$AS,MATCH($H$1,Database!$A$1:$AS$1,),))))-(((VLOOKUP(EDATE(B104,-12),Database!$A:$AS,MATCH($H$1,Database!$A$1:$AS$1,),)))))/(((VLOOKUP(EDATE(B104,-12),Database!$A:$AS,MATCH($H$1,Database!$A$1:$AS$1,),)))))</f>
        <v/>
      </c>
      <c r="I104" s="13">
        <f>IF(VLOOKUP(B104,Database!$A:$AV,MATCH($I$1,Database!$A$1:$AV$1,),)=0,"#N/A",((((VLOOKUP(B104,Database!$A:$AS,MATCH($I$1,Database!$A$1:$AS$1,),))))-(((VLOOKUP(EDATE(B104,-12),Database!$A:$AS,MATCH($I$1,Database!$A$1:$AS$1,),)))))/(((VLOOKUP(EDATE(B104,-12),Database!$A:$AS,MATCH($I$1,Database!$A$1:$AS$1,),)))))</f>
        <v/>
      </c>
      <c r="J104" s="13">
        <f>IF(VLOOKUP(B104,Database!$A:$AV,MATCH($J$1,Database!$A$1:$AV$1,),)=0,"#N/A",((((VLOOKUP(B104,Database!$A:$AS,MATCH($J$1,Database!$A$1:$AS$1,),))))-(((VLOOKUP(EDATE(B104,-12),Database!$A:$AS,MATCH($J$1,Database!$A$1:$AS$1,),)))))/(((VLOOKUP(EDATE(B104,-12),Database!$A:$AS,MATCH($J$1,Database!$A$1:$AS$1,),)))))</f>
        <v/>
      </c>
      <c r="K104" s="13">
        <f>IF(VLOOKUP(B104,Database!$A:$AV,MATCH($K$1,Database!$A$1:$AV$1,),)=0,"#N/A",((((VLOOKUP(B104,Database!$A:$AS,MATCH($K$1,Database!$A$1:$AS$1,),))))-(((VLOOKUP(EDATE(B104,-12),Database!$A:$AS,MATCH($K$1,Database!$A$1:$AS$1,),)))))/(((VLOOKUP(EDATE(B104,-12),Database!$A:$AS,MATCH($K$1,Database!$A$1:$AS$1,),)))))</f>
        <v/>
      </c>
      <c r="L104" s="13">
        <f>((((VLOOKUP(B104,Database!$A:$AS,MATCH($L$1,Database!$A$1:$AS$1,),))))-(((VLOOKUP(EDATE(B104,-12),Database!$A:$AS,MATCH($L$1,Database!$A$1:$AS$1,),)))))/(((VLOOKUP(EDATE(B104,-12),Database!$A:$AS,MATCH($L$1,Database!$A$1:$AS$1,),))))</f>
        <v/>
      </c>
      <c r="M104" s="13">
        <f>((((VLOOKUP(B104,Database!$A:$AS,MATCH($M$1,Database!$A$1:$AS$1,),))))-(((VLOOKUP(EDATE(B104,-12),Database!$A:$AS,MATCH($M$1,Database!$A$1:$AS$1,),)))))/(((VLOOKUP(EDATE(B104,-12),Database!$A:$AS,MATCH($M$1,Database!$A$1:$AS$1,),))))</f>
        <v/>
      </c>
      <c r="N104" s="13">
        <f>((((VLOOKUP(B104,Database!$A:$AS,MATCH($N$1,Database!$A$1:$AS$1,),))))-(((VLOOKUP(EDATE(B104,-12),Database!$A:$AS,MATCH($N$1,Database!$A$1:$AS$1,),)))))/(((VLOOKUP(EDATE(B104,-12),Database!$A:$AS,MATCH($N$1,Database!$A$1:$AS$1,),))))</f>
        <v/>
      </c>
      <c r="O104" s="13">
        <f>IF(VLOOKUP(B104,Database!$A:$AV,MATCH($O$1,Database!$A$1:$AV$1,),)=0,"#N/A",((((VLOOKUP(B104,Database!$A:$AS,MATCH($O$1,Database!$A$1:$AS$1,),))))-(((VLOOKUP(EDATE(B104,-12),Database!$A:$AS,MATCH($O$1,Database!$A$1:$AS$1,),)))))/(((VLOOKUP(EDATE(B104,-12),Database!$A:$AS,MATCH($O$1,Database!$A$1:$AS$1,),)))))</f>
        <v/>
      </c>
      <c r="P104" s="13">
        <f>IF(VLOOKUP(B104,Database!$A:$AV,MATCH($P$1,Database!$A$1:$AV$1,),)=0,"#N/A",((((VLOOKUP(B104,Database!$A:$AS,MATCH($P$1,Database!$A$1:$AS$1,),))))-(((VLOOKUP(EDATE(B104,-12),Database!$A:$AS,MATCH($P$1,Database!$A$1:$AS$1,),)))))/(((VLOOKUP(EDATE(B104,-12),Database!$A:$AS,MATCH($P$1,Database!$A$1:$AS$1,),)))))</f>
        <v/>
      </c>
      <c r="Q104" s="13">
        <f>IF(VLOOKUP(B104,Database!$A:$AV,MATCH($Q$1,Database!$A$1:$AV$1,),)=0,"#N/A",((((VLOOKUP(B104,Database!$A:$AS,MATCH($Q$1,Database!$A$1:$AS$1,),))))-(((VLOOKUP(EDATE(B104,-12),Database!$A:$AS,MATCH($Q$1,Database!$A$1:$AS$1,),)))))/(((VLOOKUP(EDATE(B104,-12),Database!$A:$AS,MATCH($Q$1,Database!$A$1:$AS$1,),)))))</f>
        <v/>
      </c>
      <c r="R104" s="13">
        <f>IF(VLOOKUP(B104,Database!$A:$AV,MATCH($R$1,Database!$A$1:$AV$1,),)=0,"#N/A",((((VLOOKUP(B104,Database!$A:$AS,MATCH($R$1,Database!$A$1:$AS$1,),))))-(((VLOOKUP(EDATE(B104,-12),Database!$A:$AS,MATCH($R$1,Database!$A$1:$AS$1,),)))))/(((VLOOKUP(EDATE(B104,-12),Database!$A:$AS,MATCH($R$1,Database!$A$1:$AS$1,),)))))</f>
        <v/>
      </c>
      <c r="S104" s="13">
        <f>IF(VLOOKUP(B104,Database!$A:$AV,MATCH($S$1,Database!$A$1:$AV$1,),)=0,"#N/A",((((VLOOKUP(B104,Database!$A:$AS,MATCH($S$1,Database!$A$1:$AS$1,),))))-(((VLOOKUP(EDATE(B104,-12),Database!$A:$AS,MATCH($S$1,Database!$A$1:$AS$1,),)))))/(((VLOOKUP(EDATE(B104,-12),Database!$A:$AS,MATCH($S$1,Database!$A$1:$AS$1,),)))))</f>
        <v/>
      </c>
      <c r="T104" s="13">
        <f>IF(VLOOKUP(B104,Database!$A:$AV,MATCH($T$1,Database!$A$1:$AV$1,),)=0,"#N/A",((((VLOOKUP(B104,Database!$A:$AS,MATCH($T$1,Database!$A$1:$AS$1,),))))-(((VLOOKUP(EDATE(B104,-12),Database!$A:$AS,MATCH($T$1,Database!$A$1:$AS$1,),)))))/(((VLOOKUP(EDATE(B104,-12),Database!$A:$AS,MATCH($T$1,Database!$A$1:$AS$1,),)))))</f>
        <v/>
      </c>
      <c r="U104" s="13">
        <f>IF(VLOOKUP(B104,Database!$A:$AV,MATCH($U$1,Database!$A$1:$AV$1,),)=0,"#N/A",((((VLOOKUP(B104,Database!$A:$AS,MATCH($U$1,Database!$A$1:$AS$1,),))))-(((VLOOKUP(EDATE(B104,-12),Database!$A:$AS,MATCH($U$1,Database!$A$1:$AS$1,),)))))/(((VLOOKUP(EDATE(B104,-12),Database!$A:$AS,MATCH($U$1,Database!$A$1:$AS$1,),)))))</f>
        <v/>
      </c>
      <c r="V104" s="13">
        <f>IF(VLOOKUP(B104,Database!$A:$AV,MATCH($V$1,Database!$A$1:$AV$1,),)=0,"#N/A",((((VLOOKUP(B104,Database!$A:$AS,MATCH($V$1,Database!$A$1:$AS$1,),))))-(((VLOOKUP(EDATE(B104,-12),Database!$A:$AS,MATCH($V$1,Database!$A$1:$AS$1,),)))))/(((VLOOKUP(EDATE(B104,-12),Database!$A:$AS,MATCH($V$1,Database!$A$1:$AS$1,),)))))</f>
        <v/>
      </c>
    </row>
    <row r="105" customFormat="1" s="86">
      <c r="A105" s="43" t="n"/>
      <c r="B105" s="75" t="n">
        <v>35339</v>
      </c>
      <c r="C105" s="13">
        <f>IF(VLOOKUP(B105,Database!$A:$AU,MATCH($C$1,Database!$A$1:$AU$1,),)=0,"#N/A",((((VLOOKUP(B105,Database!$A:$AU,MATCH($C$1,Database!$A$1:$AU$1,),))))-(((VLOOKUP(EDATE(B105,-12),Database!$A:$AU,MATCH($C$1,Database!$A$1:$AU$1,),)))))/(((VLOOKUP(EDATE(B105,-12),Database!$A:$AU,MATCH($C$1,Database!$A$1:$AU$1,),)))))</f>
        <v/>
      </c>
      <c r="D105" s="13">
        <f>IF(VLOOKUP(B105,Database!$A:$AV,MATCH($D$1,Database!$A$1:$AV$1,),)=0,"#N/A",((((VLOOKUP(B105,Database!$A:$AS,MATCH($D$1,Database!$A$1:$AS$1,),))))-(((VLOOKUP(EDATE(B105,-12),Database!$A:$AS,MATCH($D$1,Database!$A$1:$AS$1,),)))))/(((VLOOKUP(EDATE(B105,-12),Database!$A:$AS,MATCH($D$1,Database!$A$1:$AS$1,),)))))</f>
        <v/>
      </c>
      <c r="E105" s="13">
        <f>IF(VLOOKUP(B105,Database!$A:$AV,MATCH($E$1,Database!$A$1:$AV$1,),)=0,"#N/A",((((VLOOKUP(B105,Database!$A:$AS,MATCH($E$1,Database!$A$1:$AS$1,),))))-(((VLOOKUP(EDATE(B105,-12),Database!$A:$AS,MATCH($E$1,Database!$A$1:$AS$1,),)))))/(((VLOOKUP(EDATE(B105,-12),Database!$A:$AS,MATCH($E$1,Database!$A$1:$AS$1,),)))))</f>
        <v/>
      </c>
      <c r="F105" s="13">
        <f>IF(VLOOKUP(B105,Database!$A:$AV,MATCH($F$1,Database!$A$1:$AV$1,),)=0,"#N/A",((((VLOOKUP(B105,Database!$A:$AS,MATCH($F$1,Database!$A$1:$AS$1,),))))-(((VLOOKUP(EDATE(B105,-12),Database!$A:$AS,MATCH($F$1,Database!$A$1:$AS$1,),)))))/(((VLOOKUP(EDATE(B105,-12),Database!$A:$AS,MATCH($F$1,Database!$A$1:$AS$1,),)))))</f>
        <v/>
      </c>
      <c r="G105" s="13">
        <f>IF(VLOOKUP(B105,Database!$A:$AV,MATCH($G$1,Database!$A$1:$AV$1,),)=0,"#N/A",((((VLOOKUP(B105,Database!$A:$AS,MATCH($G$1,Database!$A$1:$AS$1,),))))-(((VLOOKUP(EDATE(B105,-12),Database!$A:$AS,MATCH($G$1,Database!$A$1:$AS$1,),)))))/(((VLOOKUP(EDATE(B105,-12),Database!$A:$AS,MATCH($G$1,Database!$A$1:$AS$1,),)))))</f>
        <v/>
      </c>
      <c r="H105" s="13">
        <f>IF(VLOOKUP(B105,Database!$A:$AV,MATCH($H$1,Database!$A$1:$AV$1,),)=0,"#N/A",((((VLOOKUP(B105,Database!$A:$AS,MATCH($H$1,Database!$A$1:$AS$1,),))))-(((VLOOKUP(EDATE(B105,-12),Database!$A:$AS,MATCH($H$1,Database!$A$1:$AS$1,),)))))/(((VLOOKUP(EDATE(B105,-12),Database!$A:$AS,MATCH($H$1,Database!$A$1:$AS$1,),)))))</f>
        <v/>
      </c>
      <c r="I105" s="13">
        <f>IF(VLOOKUP(B105,Database!$A:$AV,MATCH($I$1,Database!$A$1:$AV$1,),)=0,"#N/A",((((VLOOKUP(B105,Database!$A:$AS,MATCH($I$1,Database!$A$1:$AS$1,),))))-(((VLOOKUP(EDATE(B105,-12),Database!$A:$AS,MATCH($I$1,Database!$A$1:$AS$1,),)))))/(((VLOOKUP(EDATE(B105,-12),Database!$A:$AS,MATCH($I$1,Database!$A$1:$AS$1,),)))))</f>
        <v/>
      </c>
      <c r="J105" s="13">
        <f>IF(VLOOKUP(B105,Database!$A:$AV,MATCH($J$1,Database!$A$1:$AV$1,),)=0,"#N/A",((((VLOOKUP(B105,Database!$A:$AS,MATCH($J$1,Database!$A$1:$AS$1,),))))-(((VLOOKUP(EDATE(B105,-12),Database!$A:$AS,MATCH($J$1,Database!$A$1:$AS$1,),)))))/(((VLOOKUP(EDATE(B105,-12),Database!$A:$AS,MATCH($J$1,Database!$A$1:$AS$1,),)))))</f>
        <v/>
      </c>
      <c r="K105" s="13">
        <f>IF(VLOOKUP(B105,Database!$A:$AV,MATCH($K$1,Database!$A$1:$AV$1,),)=0,"#N/A",((((VLOOKUP(B105,Database!$A:$AS,MATCH($K$1,Database!$A$1:$AS$1,),))))-(((VLOOKUP(EDATE(B105,-12),Database!$A:$AS,MATCH($K$1,Database!$A$1:$AS$1,),)))))/(((VLOOKUP(EDATE(B105,-12),Database!$A:$AS,MATCH($K$1,Database!$A$1:$AS$1,),)))))</f>
        <v/>
      </c>
      <c r="L105" s="13">
        <f>((((VLOOKUP(B105,Database!$A:$AS,MATCH($L$1,Database!$A$1:$AS$1,),))))-(((VLOOKUP(EDATE(B105,-12),Database!$A:$AS,MATCH($L$1,Database!$A$1:$AS$1,),)))))/(((VLOOKUP(EDATE(B105,-12),Database!$A:$AS,MATCH($L$1,Database!$A$1:$AS$1,),))))</f>
        <v/>
      </c>
      <c r="M105" s="13">
        <f>((((VLOOKUP(B105,Database!$A:$AS,MATCH($M$1,Database!$A$1:$AS$1,),))))-(((VLOOKUP(EDATE(B105,-12),Database!$A:$AS,MATCH($M$1,Database!$A$1:$AS$1,),)))))/(((VLOOKUP(EDATE(B105,-12),Database!$A:$AS,MATCH($M$1,Database!$A$1:$AS$1,),))))</f>
        <v/>
      </c>
      <c r="N105" s="13">
        <f>((((VLOOKUP(B105,Database!$A:$AS,MATCH($N$1,Database!$A$1:$AS$1,),))))-(((VLOOKUP(EDATE(B105,-12),Database!$A:$AS,MATCH($N$1,Database!$A$1:$AS$1,),)))))/(((VLOOKUP(EDATE(B105,-12),Database!$A:$AS,MATCH($N$1,Database!$A$1:$AS$1,),))))</f>
        <v/>
      </c>
      <c r="O105" s="13">
        <f>IF(VLOOKUP(B105,Database!$A:$AV,MATCH($O$1,Database!$A$1:$AV$1,),)=0,"#N/A",((((VLOOKUP(B105,Database!$A:$AS,MATCH($O$1,Database!$A$1:$AS$1,),))))-(((VLOOKUP(EDATE(B105,-12),Database!$A:$AS,MATCH($O$1,Database!$A$1:$AS$1,),)))))/(((VLOOKUP(EDATE(B105,-12),Database!$A:$AS,MATCH($O$1,Database!$A$1:$AS$1,),)))))</f>
        <v/>
      </c>
      <c r="P105" s="13">
        <f>IF(VLOOKUP(B105,Database!$A:$AV,MATCH($P$1,Database!$A$1:$AV$1,),)=0,"#N/A",((((VLOOKUP(B105,Database!$A:$AS,MATCH($P$1,Database!$A$1:$AS$1,),))))-(((VLOOKUP(EDATE(B105,-12),Database!$A:$AS,MATCH($P$1,Database!$A$1:$AS$1,),)))))/(((VLOOKUP(EDATE(B105,-12),Database!$A:$AS,MATCH($P$1,Database!$A$1:$AS$1,),)))))</f>
        <v/>
      </c>
      <c r="Q105" s="13">
        <f>IF(VLOOKUP(B105,Database!$A:$AV,MATCH($Q$1,Database!$A$1:$AV$1,),)=0,"#N/A",((((VLOOKUP(B105,Database!$A:$AS,MATCH($Q$1,Database!$A$1:$AS$1,),))))-(((VLOOKUP(EDATE(B105,-12),Database!$A:$AS,MATCH($Q$1,Database!$A$1:$AS$1,),)))))/(((VLOOKUP(EDATE(B105,-12),Database!$A:$AS,MATCH($Q$1,Database!$A$1:$AS$1,),)))))</f>
        <v/>
      </c>
      <c r="R105" s="13">
        <f>IF(VLOOKUP(B105,Database!$A:$AV,MATCH($R$1,Database!$A$1:$AV$1,),)=0,"#N/A",((((VLOOKUP(B105,Database!$A:$AS,MATCH($R$1,Database!$A$1:$AS$1,),))))-(((VLOOKUP(EDATE(B105,-12),Database!$A:$AS,MATCH($R$1,Database!$A$1:$AS$1,),)))))/(((VLOOKUP(EDATE(B105,-12),Database!$A:$AS,MATCH($R$1,Database!$A$1:$AS$1,),)))))</f>
        <v/>
      </c>
      <c r="S105" s="13">
        <f>IF(VLOOKUP(B105,Database!$A:$AV,MATCH($S$1,Database!$A$1:$AV$1,),)=0,"#N/A",((((VLOOKUP(B105,Database!$A:$AS,MATCH($S$1,Database!$A$1:$AS$1,),))))-(((VLOOKUP(EDATE(B105,-12),Database!$A:$AS,MATCH($S$1,Database!$A$1:$AS$1,),)))))/(((VLOOKUP(EDATE(B105,-12),Database!$A:$AS,MATCH($S$1,Database!$A$1:$AS$1,),)))))</f>
        <v/>
      </c>
      <c r="T105" s="13">
        <f>IF(VLOOKUP(B105,Database!$A:$AV,MATCH($T$1,Database!$A$1:$AV$1,),)=0,"#N/A",((((VLOOKUP(B105,Database!$A:$AS,MATCH($T$1,Database!$A$1:$AS$1,),))))-(((VLOOKUP(EDATE(B105,-12),Database!$A:$AS,MATCH($T$1,Database!$A$1:$AS$1,),)))))/(((VLOOKUP(EDATE(B105,-12),Database!$A:$AS,MATCH($T$1,Database!$A$1:$AS$1,),)))))</f>
        <v/>
      </c>
      <c r="U105" s="13">
        <f>IF(VLOOKUP(B105,Database!$A:$AV,MATCH($U$1,Database!$A$1:$AV$1,),)=0,"#N/A",((((VLOOKUP(B105,Database!$A:$AS,MATCH($U$1,Database!$A$1:$AS$1,),))))-(((VLOOKUP(EDATE(B105,-12),Database!$A:$AS,MATCH($U$1,Database!$A$1:$AS$1,),)))))/(((VLOOKUP(EDATE(B105,-12),Database!$A:$AS,MATCH($U$1,Database!$A$1:$AS$1,),)))))</f>
        <v/>
      </c>
      <c r="V105" s="13">
        <f>IF(VLOOKUP(B105,Database!$A:$AV,MATCH($V$1,Database!$A$1:$AV$1,),)=0,"#N/A",((((VLOOKUP(B105,Database!$A:$AS,MATCH($V$1,Database!$A$1:$AS$1,),))))-(((VLOOKUP(EDATE(B105,-12),Database!$A:$AS,MATCH($V$1,Database!$A$1:$AS$1,),)))))/(((VLOOKUP(EDATE(B105,-12),Database!$A:$AS,MATCH($V$1,Database!$A$1:$AS$1,),)))))</f>
        <v/>
      </c>
    </row>
    <row r="106" customFormat="1" s="86">
      <c r="A106" s="43" t="n"/>
      <c r="B106" s="75" t="n">
        <v>35370</v>
      </c>
      <c r="C106" s="13">
        <f>IF(VLOOKUP(B106,Database!$A:$AU,MATCH($C$1,Database!$A$1:$AU$1,),)=0,"#N/A",((((VLOOKUP(B106,Database!$A:$AU,MATCH($C$1,Database!$A$1:$AU$1,),))))-(((VLOOKUP(EDATE(B106,-12),Database!$A:$AU,MATCH($C$1,Database!$A$1:$AU$1,),)))))/(((VLOOKUP(EDATE(B106,-12),Database!$A:$AU,MATCH($C$1,Database!$A$1:$AU$1,),)))))</f>
        <v/>
      </c>
      <c r="D106" s="13">
        <f>IF(VLOOKUP(B106,Database!$A:$AV,MATCH($D$1,Database!$A$1:$AV$1,),)=0,"#N/A",((((VLOOKUP(B106,Database!$A:$AS,MATCH($D$1,Database!$A$1:$AS$1,),))))-(((VLOOKUP(EDATE(B106,-12),Database!$A:$AS,MATCH($D$1,Database!$A$1:$AS$1,),)))))/(((VLOOKUP(EDATE(B106,-12),Database!$A:$AS,MATCH($D$1,Database!$A$1:$AS$1,),)))))</f>
        <v/>
      </c>
      <c r="E106" s="13">
        <f>IF(VLOOKUP(B106,Database!$A:$AV,MATCH($E$1,Database!$A$1:$AV$1,),)=0,"#N/A",((((VLOOKUP(B106,Database!$A:$AS,MATCH($E$1,Database!$A$1:$AS$1,),))))-(((VLOOKUP(EDATE(B106,-12),Database!$A:$AS,MATCH($E$1,Database!$A$1:$AS$1,),)))))/(((VLOOKUP(EDATE(B106,-12),Database!$A:$AS,MATCH($E$1,Database!$A$1:$AS$1,),)))))</f>
        <v/>
      </c>
      <c r="F106" s="13">
        <f>IF(VLOOKUP(B106,Database!$A:$AV,MATCH($F$1,Database!$A$1:$AV$1,),)=0,"#N/A",((((VLOOKUP(B106,Database!$A:$AS,MATCH($F$1,Database!$A$1:$AS$1,),))))-(((VLOOKUP(EDATE(B106,-12),Database!$A:$AS,MATCH($F$1,Database!$A$1:$AS$1,),)))))/(((VLOOKUP(EDATE(B106,-12),Database!$A:$AS,MATCH($F$1,Database!$A$1:$AS$1,),)))))</f>
        <v/>
      </c>
      <c r="G106" s="13">
        <f>IF(VLOOKUP(B106,Database!$A:$AV,MATCH($G$1,Database!$A$1:$AV$1,),)=0,"#N/A",((((VLOOKUP(B106,Database!$A:$AS,MATCH($G$1,Database!$A$1:$AS$1,),))))-(((VLOOKUP(EDATE(B106,-12),Database!$A:$AS,MATCH($G$1,Database!$A$1:$AS$1,),)))))/(((VLOOKUP(EDATE(B106,-12),Database!$A:$AS,MATCH($G$1,Database!$A$1:$AS$1,),)))))</f>
        <v/>
      </c>
      <c r="H106" s="13">
        <f>IF(VLOOKUP(B106,Database!$A:$AV,MATCH($H$1,Database!$A$1:$AV$1,),)=0,"#N/A",((((VLOOKUP(B106,Database!$A:$AS,MATCH($H$1,Database!$A$1:$AS$1,),))))-(((VLOOKUP(EDATE(B106,-12),Database!$A:$AS,MATCH($H$1,Database!$A$1:$AS$1,),)))))/(((VLOOKUP(EDATE(B106,-12),Database!$A:$AS,MATCH($H$1,Database!$A$1:$AS$1,),)))))</f>
        <v/>
      </c>
      <c r="I106" s="13">
        <f>IF(VLOOKUP(B106,Database!$A:$AV,MATCH($I$1,Database!$A$1:$AV$1,),)=0,"#N/A",((((VLOOKUP(B106,Database!$A:$AS,MATCH($I$1,Database!$A$1:$AS$1,),))))-(((VLOOKUP(EDATE(B106,-12),Database!$A:$AS,MATCH($I$1,Database!$A$1:$AS$1,),)))))/(((VLOOKUP(EDATE(B106,-12),Database!$A:$AS,MATCH($I$1,Database!$A$1:$AS$1,),)))))</f>
        <v/>
      </c>
      <c r="J106" s="13">
        <f>IF(VLOOKUP(B106,Database!$A:$AV,MATCH($J$1,Database!$A$1:$AV$1,),)=0,"#N/A",((((VLOOKUP(B106,Database!$A:$AS,MATCH($J$1,Database!$A$1:$AS$1,),))))-(((VLOOKUP(EDATE(B106,-12),Database!$A:$AS,MATCH($J$1,Database!$A$1:$AS$1,),)))))/(((VLOOKUP(EDATE(B106,-12),Database!$A:$AS,MATCH($J$1,Database!$A$1:$AS$1,),)))))</f>
        <v/>
      </c>
      <c r="K106" s="13">
        <f>IF(VLOOKUP(B106,Database!$A:$AV,MATCH($K$1,Database!$A$1:$AV$1,),)=0,"#N/A",((((VLOOKUP(B106,Database!$A:$AS,MATCH($K$1,Database!$A$1:$AS$1,),))))-(((VLOOKUP(EDATE(B106,-12),Database!$A:$AS,MATCH($K$1,Database!$A$1:$AS$1,),)))))/(((VLOOKUP(EDATE(B106,-12),Database!$A:$AS,MATCH($K$1,Database!$A$1:$AS$1,),)))))</f>
        <v/>
      </c>
      <c r="L106" s="13">
        <f>((((VLOOKUP(B106,Database!$A:$AS,MATCH($L$1,Database!$A$1:$AS$1,),))))-(((VLOOKUP(EDATE(B106,-12),Database!$A:$AS,MATCH($L$1,Database!$A$1:$AS$1,),)))))/(((VLOOKUP(EDATE(B106,-12),Database!$A:$AS,MATCH($L$1,Database!$A$1:$AS$1,),))))</f>
        <v/>
      </c>
      <c r="M106" s="13">
        <f>((((VLOOKUP(B106,Database!$A:$AS,MATCH($M$1,Database!$A$1:$AS$1,),))))-(((VLOOKUP(EDATE(B106,-12),Database!$A:$AS,MATCH($M$1,Database!$A$1:$AS$1,),)))))/(((VLOOKUP(EDATE(B106,-12),Database!$A:$AS,MATCH($M$1,Database!$A$1:$AS$1,),))))</f>
        <v/>
      </c>
      <c r="N106" s="13">
        <f>((((VLOOKUP(B106,Database!$A:$AS,MATCH($N$1,Database!$A$1:$AS$1,),))))-(((VLOOKUP(EDATE(B106,-12),Database!$A:$AS,MATCH($N$1,Database!$A$1:$AS$1,),)))))/(((VLOOKUP(EDATE(B106,-12),Database!$A:$AS,MATCH($N$1,Database!$A$1:$AS$1,),))))</f>
        <v/>
      </c>
      <c r="O106" s="13">
        <f>IF(VLOOKUP(B106,Database!$A:$AV,MATCH($O$1,Database!$A$1:$AV$1,),)=0,"#N/A",((((VLOOKUP(B106,Database!$A:$AS,MATCH($O$1,Database!$A$1:$AS$1,),))))-(((VLOOKUP(EDATE(B106,-12),Database!$A:$AS,MATCH($O$1,Database!$A$1:$AS$1,),)))))/(((VLOOKUP(EDATE(B106,-12),Database!$A:$AS,MATCH($O$1,Database!$A$1:$AS$1,),)))))</f>
        <v/>
      </c>
      <c r="P106" s="13">
        <f>IF(VLOOKUP(B106,Database!$A:$AV,MATCH($P$1,Database!$A$1:$AV$1,),)=0,"#N/A",((((VLOOKUP(B106,Database!$A:$AS,MATCH($P$1,Database!$A$1:$AS$1,),))))-(((VLOOKUP(EDATE(B106,-12),Database!$A:$AS,MATCH($P$1,Database!$A$1:$AS$1,),)))))/(((VLOOKUP(EDATE(B106,-12),Database!$A:$AS,MATCH($P$1,Database!$A$1:$AS$1,),)))))</f>
        <v/>
      </c>
      <c r="Q106" s="13">
        <f>IF(VLOOKUP(B106,Database!$A:$AV,MATCH($Q$1,Database!$A$1:$AV$1,),)=0,"#N/A",((((VLOOKUP(B106,Database!$A:$AS,MATCH($Q$1,Database!$A$1:$AS$1,),))))-(((VLOOKUP(EDATE(B106,-12),Database!$A:$AS,MATCH($Q$1,Database!$A$1:$AS$1,),)))))/(((VLOOKUP(EDATE(B106,-12),Database!$A:$AS,MATCH($Q$1,Database!$A$1:$AS$1,),)))))</f>
        <v/>
      </c>
      <c r="R106" s="13">
        <f>IF(VLOOKUP(B106,Database!$A:$AV,MATCH($R$1,Database!$A$1:$AV$1,),)=0,"#N/A",((((VLOOKUP(B106,Database!$A:$AS,MATCH($R$1,Database!$A$1:$AS$1,),))))-(((VLOOKUP(EDATE(B106,-12),Database!$A:$AS,MATCH($R$1,Database!$A$1:$AS$1,),)))))/(((VLOOKUP(EDATE(B106,-12),Database!$A:$AS,MATCH($R$1,Database!$A$1:$AS$1,),)))))</f>
        <v/>
      </c>
      <c r="S106" s="13">
        <f>IF(VLOOKUP(B106,Database!$A:$AV,MATCH($S$1,Database!$A$1:$AV$1,),)=0,"#N/A",((((VLOOKUP(B106,Database!$A:$AS,MATCH($S$1,Database!$A$1:$AS$1,),))))-(((VLOOKUP(EDATE(B106,-12),Database!$A:$AS,MATCH($S$1,Database!$A$1:$AS$1,),)))))/(((VLOOKUP(EDATE(B106,-12),Database!$A:$AS,MATCH($S$1,Database!$A$1:$AS$1,),)))))</f>
        <v/>
      </c>
      <c r="T106" s="13">
        <f>IF(VLOOKUP(B106,Database!$A:$AV,MATCH($T$1,Database!$A$1:$AV$1,),)=0,"#N/A",((((VLOOKUP(B106,Database!$A:$AS,MATCH($T$1,Database!$A$1:$AS$1,),))))-(((VLOOKUP(EDATE(B106,-12),Database!$A:$AS,MATCH($T$1,Database!$A$1:$AS$1,),)))))/(((VLOOKUP(EDATE(B106,-12),Database!$A:$AS,MATCH($T$1,Database!$A$1:$AS$1,),)))))</f>
        <v/>
      </c>
      <c r="U106" s="13">
        <f>IF(VLOOKUP(B106,Database!$A:$AV,MATCH($U$1,Database!$A$1:$AV$1,),)=0,"#N/A",((((VLOOKUP(B106,Database!$A:$AS,MATCH($U$1,Database!$A$1:$AS$1,),))))-(((VLOOKUP(EDATE(B106,-12),Database!$A:$AS,MATCH($U$1,Database!$A$1:$AS$1,),)))))/(((VLOOKUP(EDATE(B106,-12),Database!$A:$AS,MATCH($U$1,Database!$A$1:$AS$1,),)))))</f>
        <v/>
      </c>
      <c r="V106" s="13">
        <f>IF(VLOOKUP(B106,Database!$A:$AV,MATCH($V$1,Database!$A$1:$AV$1,),)=0,"#N/A",((((VLOOKUP(B106,Database!$A:$AS,MATCH($V$1,Database!$A$1:$AS$1,),))))-(((VLOOKUP(EDATE(B106,-12),Database!$A:$AS,MATCH($V$1,Database!$A$1:$AS$1,),)))))/(((VLOOKUP(EDATE(B106,-12),Database!$A:$AS,MATCH($V$1,Database!$A$1:$AS$1,),)))))</f>
        <v/>
      </c>
    </row>
    <row r="107" customFormat="1" s="86">
      <c r="A107" s="43" t="n"/>
      <c r="B107" s="75" t="n">
        <v>35400</v>
      </c>
      <c r="C107" s="13">
        <f>IF(VLOOKUP(B107,Database!$A:$AU,MATCH($C$1,Database!$A$1:$AU$1,),)=0,"#N/A",((((VLOOKUP(B107,Database!$A:$AU,MATCH($C$1,Database!$A$1:$AU$1,),))))-(((VLOOKUP(EDATE(B107,-12),Database!$A:$AU,MATCH($C$1,Database!$A$1:$AU$1,),)))))/(((VLOOKUP(EDATE(B107,-12),Database!$A:$AU,MATCH($C$1,Database!$A$1:$AU$1,),)))))</f>
        <v/>
      </c>
      <c r="D107" s="13">
        <f>IF(VLOOKUP(B107,Database!$A:$AV,MATCH($D$1,Database!$A$1:$AV$1,),)=0,"#N/A",((((VLOOKUP(B107,Database!$A:$AS,MATCH($D$1,Database!$A$1:$AS$1,),))))-(((VLOOKUP(EDATE(B107,-12),Database!$A:$AS,MATCH($D$1,Database!$A$1:$AS$1,),)))))/(((VLOOKUP(EDATE(B107,-12),Database!$A:$AS,MATCH($D$1,Database!$A$1:$AS$1,),)))))</f>
        <v/>
      </c>
      <c r="E107" s="13">
        <f>IF(VLOOKUP(B107,Database!$A:$AV,MATCH($E$1,Database!$A$1:$AV$1,),)=0,"#N/A",((((VLOOKUP(B107,Database!$A:$AS,MATCH($E$1,Database!$A$1:$AS$1,),))))-(((VLOOKUP(EDATE(B107,-12),Database!$A:$AS,MATCH($E$1,Database!$A$1:$AS$1,),)))))/(((VLOOKUP(EDATE(B107,-12),Database!$A:$AS,MATCH($E$1,Database!$A$1:$AS$1,),)))))</f>
        <v/>
      </c>
      <c r="F107" s="13">
        <f>IF(VLOOKUP(B107,Database!$A:$AV,MATCH($F$1,Database!$A$1:$AV$1,),)=0,"#N/A",((((VLOOKUP(B107,Database!$A:$AS,MATCH($F$1,Database!$A$1:$AS$1,),))))-(((VLOOKUP(EDATE(B107,-12),Database!$A:$AS,MATCH($F$1,Database!$A$1:$AS$1,),)))))/(((VLOOKUP(EDATE(B107,-12),Database!$A:$AS,MATCH($F$1,Database!$A$1:$AS$1,),)))))</f>
        <v/>
      </c>
      <c r="G107" s="13">
        <f>IF(VLOOKUP(B107,Database!$A:$AV,MATCH($G$1,Database!$A$1:$AV$1,),)=0,"#N/A",((((VLOOKUP(B107,Database!$A:$AS,MATCH($G$1,Database!$A$1:$AS$1,),))))-(((VLOOKUP(EDATE(B107,-12),Database!$A:$AS,MATCH($G$1,Database!$A$1:$AS$1,),)))))/(((VLOOKUP(EDATE(B107,-12),Database!$A:$AS,MATCH($G$1,Database!$A$1:$AS$1,),)))))</f>
        <v/>
      </c>
      <c r="H107" s="13">
        <f>IF(VLOOKUP(B107,Database!$A:$AV,MATCH($H$1,Database!$A$1:$AV$1,),)=0,"#N/A",((((VLOOKUP(B107,Database!$A:$AS,MATCH($H$1,Database!$A$1:$AS$1,),))))-(((VLOOKUP(EDATE(B107,-12),Database!$A:$AS,MATCH($H$1,Database!$A$1:$AS$1,),)))))/(((VLOOKUP(EDATE(B107,-12),Database!$A:$AS,MATCH($H$1,Database!$A$1:$AS$1,),)))))</f>
        <v/>
      </c>
      <c r="I107" s="13">
        <f>IF(VLOOKUP(B107,Database!$A:$AV,MATCH($I$1,Database!$A$1:$AV$1,),)=0,"#N/A",((((VLOOKUP(B107,Database!$A:$AS,MATCH($I$1,Database!$A$1:$AS$1,),))))-(((VLOOKUP(EDATE(B107,-12),Database!$A:$AS,MATCH($I$1,Database!$A$1:$AS$1,),)))))/(((VLOOKUP(EDATE(B107,-12),Database!$A:$AS,MATCH($I$1,Database!$A$1:$AS$1,),)))))</f>
        <v/>
      </c>
      <c r="J107" s="13">
        <f>IF(VLOOKUP(B107,Database!$A:$AV,MATCH($J$1,Database!$A$1:$AV$1,),)=0,"#N/A",((((VLOOKUP(B107,Database!$A:$AS,MATCH($J$1,Database!$A$1:$AS$1,),))))-(((VLOOKUP(EDATE(B107,-12),Database!$A:$AS,MATCH($J$1,Database!$A$1:$AS$1,),)))))/(((VLOOKUP(EDATE(B107,-12),Database!$A:$AS,MATCH($J$1,Database!$A$1:$AS$1,),)))))</f>
        <v/>
      </c>
      <c r="K107" s="13">
        <f>IF(VLOOKUP(B107,Database!$A:$AV,MATCH($K$1,Database!$A$1:$AV$1,),)=0,"#N/A",((((VLOOKUP(B107,Database!$A:$AS,MATCH($K$1,Database!$A$1:$AS$1,),))))-(((VLOOKUP(EDATE(B107,-12),Database!$A:$AS,MATCH($K$1,Database!$A$1:$AS$1,),)))))/(((VLOOKUP(EDATE(B107,-12),Database!$A:$AS,MATCH($K$1,Database!$A$1:$AS$1,),)))))</f>
        <v/>
      </c>
      <c r="L107" s="13">
        <f>((((VLOOKUP(B107,Database!$A:$AS,MATCH($L$1,Database!$A$1:$AS$1,),))))-(((VLOOKUP(EDATE(B107,-12),Database!$A:$AS,MATCH($L$1,Database!$A$1:$AS$1,),)))))/(((VLOOKUP(EDATE(B107,-12),Database!$A:$AS,MATCH($L$1,Database!$A$1:$AS$1,),))))</f>
        <v/>
      </c>
      <c r="M107" s="13">
        <f>((((VLOOKUP(B107,Database!$A:$AS,MATCH($M$1,Database!$A$1:$AS$1,),))))-(((VLOOKUP(EDATE(B107,-12),Database!$A:$AS,MATCH($M$1,Database!$A$1:$AS$1,),)))))/(((VLOOKUP(EDATE(B107,-12),Database!$A:$AS,MATCH($M$1,Database!$A$1:$AS$1,),))))</f>
        <v/>
      </c>
      <c r="N107" s="13">
        <f>((((VLOOKUP(B107,Database!$A:$AS,MATCH($N$1,Database!$A$1:$AS$1,),))))-(((VLOOKUP(EDATE(B107,-12),Database!$A:$AS,MATCH($N$1,Database!$A$1:$AS$1,),)))))/(((VLOOKUP(EDATE(B107,-12),Database!$A:$AS,MATCH($N$1,Database!$A$1:$AS$1,),))))</f>
        <v/>
      </c>
      <c r="O107" s="13">
        <f>IF(VLOOKUP(B107,Database!$A:$AV,MATCH($O$1,Database!$A$1:$AV$1,),)=0,"#N/A",((((VLOOKUP(B107,Database!$A:$AS,MATCH($O$1,Database!$A$1:$AS$1,),))))-(((VLOOKUP(EDATE(B107,-12),Database!$A:$AS,MATCH($O$1,Database!$A$1:$AS$1,),)))))/(((VLOOKUP(EDATE(B107,-12),Database!$A:$AS,MATCH($O$1,Database!$A$1:$AS$1,),)))))</f>
        <v/>
      </c>
      <c r="P107" s="13">
        <f>IF(VLOOKUP(B107,Database!$A:$AV,MATCH($P$1,Database!$A$1:$AV$1,),)=0,"#N/A",((((VLOOKUP(B107,Database!$A:$AS,MATCH($P$1,Database!$A$1:$AS$1,),))))-(((VLOOKUP(EDATE(B107,-12),Database!$A:$AS,MATCH($P$1,Database!$A$1:$AS$1,),)))))/(((VLOOKUP(EDATE(B107,-12),Database!$A:$AS,MATCH($P$1,Database!$A$1:$AS$1,),)))))</f>
        <v/>
      </c>
      <c r="Q107" s="13">
        <f>IF(VLOOKUP(B107,Database!$A:$AV,MATCH($Q$1,Database!$A$1:$AV$1,),)=0,"#N/A",((((VLOOKUP(B107,Database!$A:$AS,MATCH($Q$1,Database!$A$1:$AS$1,),))))-(((VLOOKUP(EDATE(B107,-12),Database!$A:$AS,MATCH($Q$1,Database!$A$1:$AS$1,),)))))/(((VLOOKUP(EDATE(B107,-12),Database!$A:$AS,MATCH($Q$1,Database!$A$1:$AS$1,),)))))</f>
        <v/>
      </c>
      <c r="R107" s="13">
        <f>IF(VLOOKUP(B107,Database!$A:$AV,MATCH($R$1,Database!$A$1:$AV$1,),)=0,"#N/A",((((VLOOKUP(B107,Database!$A:$AS,MATCH($R$1,Database!$A$1:$AS$1,),))))-(((VLOOKUP(EDATE(B107,-12),Database!$A:$AS,MATCH($R$1,Database!$A$1:$AS$1,),)))))/(((VLOOKUP(EDATE(B107,-12),Database!$A:$AS,MATCH($R$1,Database!$A$1:$AS$1,),)))))</f>
        <v/>
      </c>
      <c r="S107" s="13">
        <f>IF(VLOOKUP(B107,Database!$A:$AV,MATCH($S$1,Database!$A$1:$AV$1,),)=0,"#N/A",((((VLOOKUP(B107,Database!$A:$AS,MATCH($S$1,Database!$A$1:$AS$1,),))))-(((VLOOKUP(EDATE(B107,-12),Database!$A:$AS,MATCH($S$1,Database!$A$1:$AS$1,),)))))/(((VLOOKUP(EDATE(B107,-12),Database!$A:$AS,MATCH($S$1,Database!$A$1:$AS$1,),)))))</f>
        <v/>
      </c>
      <c r="T107" s="13">
        <f>IF(VLOOKUP(B107,Database!$A:$AV,MATCH($T$1,Database!$A$1:$AV$1,),)=0,"#N/A",((((VLOOKUP(B107,Database!$A:$AS,MATCH($T$1,Database!$A$1:$AS$1,),))))-(((VLOOKUP(EDATE(B107,-12),Database!$A:$AS,MATCH($T$1,Database!$A$1:$AS$1,),)))))/(((VLOOKUP(EDATE(B107,-12),Database!$A:$AS,MATCH($T$1,Database!$A$1:$AS$1,),)))))</f>
        <v/>
      </c>
      <c r="U107" s="13">
        <f>IF(VLOOKUP(B107,Database!$A:$AV,MATCH($U$1,Database!$A$1:$AV$1,),)=0,"#N/A",((((VLOOKUP(B107,Database!$A:$AS,MATCH($U$1,Database!$A$1:$AS$1,),))))-(((VLOOKUP(EDATE(B107,-12),Database!$A:$AS,MATCH($U$1,Database!$A$1:$AS$1,),)))))/(((VLOOKUP(EDATE(B107,-12),Database!$A:$AS,MATCH($U$1,Database!$A$1:$AS$1,),)))))</f>
        <v/>
      </c>
      <c r="V107" s="13">
        <f>IF(VLOOKUP(B107,Database!$A:$AV,MATCH($V$1,Database!$A$1:$AV$1,),)=0,"#N/A",((((VLOOKUP(B107,Database!$A:$AS,MATCH($V$1,Database!$A$1:$AS$1,),))))-(((VLOOKUP(EDATE(B107,-12),Database!$A:$AS,MATCH($V$1,Database!$A$1:$AS$1,),)))))/(((VLOOKUP(EDATE(B107,-12),Database!$A:$AS,MATCH($V$1,Database!$A$1:$AS$1,),)))))</f>
        <v/>
      </c>
    </row>
    <row r="108" customFormat="1" s="86">
      <c r="A108" s="43" t="n"/>
      <c r="B108" s="75" t="n">
        <v>35431</v>
      </c>
      <c r="C108" s="13">
        <f>IF(VLOOKUP(B108,Database!$A:$AU,MATCH($C$1,Database!$A$1:$AU$1,),)=0,"#N/A",((((VLOOKUP(B108,Database!$A:$AU,MATCH($C$1,Database!$A$1:$AU$1,),))))-(((VLOOKUP(EDATE(B108,-12),Database!$A:$AU,MATCH($C$1,Database!$A$1:$AU$1,),)))))/(((VLOOKUP(EDATE(B108,-12),Database!$A:$AU,MATCH($C$1,Database!$A$1:$AU$1,),)))))</f>
        <v/>
      </c>
      <c r="D108" s="13">
        <f>IF(VLOOKUP(B108,Database!$A:$AV,MATCH($D$1,Database!$A$1:$AV$1,),)=0,"#N/A",((((VLOOKUP(B108,Database!$A:$AS,MATCH($D$1,Database!$A$1:$AS$1,),))))-(((VLOOKUP(EDATE(B108,-12),Database!$A:$AS,MATCH($D$1,Database!$A$1:$AS$1,),)))))/(((VLOOKUP(EDATE(B108,-12),Database!$A:$AS,MATCH($D$1,Database!$A$1:$AS$1,),)))))</f>
        <v/>
      </c>
      <c r="E108" s="13">
        <f>IF(VLOOKUP(B108,Database!$A:$AV,MATCH($E$1,Database!$A$1:$AV$1,),)=0,"#N/A",((((VLOOKUP(B108,Database!$A:$AS,MATCH($E$1,Database!$A$1:$AS$1,),))))-(((VLOOKUP(EDATE(B108,-12),Database!$A:$AS,MATCH($E$1,Database!$A$1:$AS$1,),)))))/(((VLOOKUP(EDATE(B108,-12),Database!$A:$AS,MATCH($E$1,Database!$A$1:$AS$1,),)))))</f>
        <v/>
      </c>
      <c r="F108" s="13">
        <f>IF(VLOOKUP(B108,Database!$A:$AV,MATCH($F$1,Database!$A$1:$AV$1,),)=0,"#N/A",((((VLOOKUP(B108,Database!$A:$AS,MATCH($F$1,Database!$A$1:$AS$1,),))))-(((VLOOKUP(EDATE(B108,-12),Database!$A:$AS,MATCH($F$1,Database!$A$1:$AS$1,),)))))/(((VLOOKUP(EDATE(B108,-12),Database!$A:$AS,MATCH($F$1,Database!$A$1:$AS$1,),)))))</f>
        <v/>
      </c>
      <c r="G108" s="13">
        <f>IF(VLOOKUP(B108,Database!$A:$AV,MATCH($G$1,Database!$A$1:$AV$1,),)=0,"#N/A",((((VLOOKUP(B108,Database!$A:$AS,MATCH($G$1,Database!$A$1:$AS$1,),))))-(((VLOOKUP(EDATE(B108,-12),Database!$A:$AS,MATCH($G$1,Database!$A$1:$AS$1,),)))))/(((VLOOKUP(EDATE(B108,-12),Database!$A:$AS,MATCH($G$1,Database!$A$1:$AS$1,),)))))</f>
        <v/>
      </c>
      <c r="H108" s="13">
        <f>IF(VLOOKUP(B108,Database!$A:$AV,MATCH($H$1,Database!$A$1:$AV$1,),)=0,"#N/A",((((VLOOKUP(B108,Database!$A:$AS,MATCH($H$1,Database!$A$1:$AS$1,),))))-(((VLOOKUP(EDATE(B108,-12),Database!$A:$AS,MATCH($H$1,Database!$A$1:$AS$1,),)))))/(((VLOOKUP(EDATE(B108,-12),Database!$A:$AS,MATCH($H$1,Database!$A$1:$AS$1,),)))))</f>
        <v/>
      </c>
      <c r="I108" s="13">
        <f>IF(VLOOKUP(B108,Database!$A:$AV,MATCH($I$1,Database!$A$1:$AV$1,),)=0,"#N/A",((((VLOOKUP(B108,Database!$A:$AS,MATCH($I$1,Database!$A$1:$AS$1,),))))-(((VLOOKUP(EDATE(B108,-12),Database!$A:$AS,MATCH($I$1,Database!$A$1:$AS$1,),)))))/(((VLOOKUP(EDATE(B108,-12),Database!$A:$AS,MATCH($I$1,Database!$A$1:$AS$1,),)))))</f>
        <v/>
      </c>
      <c r="J108" s="13">
        <f>IF(VLOOKUP(B108,Database!$A:$AV,MATCH($J$1,Database!$A$1:$AV$1,),)=0,"#N/A",((((VLOOKUP(B108,Database!$A:$AS,MATCH($J$1,Database!$A$1:$AS$1,),))))-(((VLOOKUP(EDATE(B108,-12),Database!$A:$AS,MATCH($J$1,Database!$A$1:$AS$1,),)))))/(((VLOOKUP(EDATE(B108,-12),Database!$A:$AS,MATCH($J$1,Database!$A$1:$AS$1,),)))))</f>
        <v/>
      </c>
      <c r="K108" s="13">
        <f>IF(VLOOKUP(B108,Database!$A:$AV,MATCH($K$1,Database!$A$1:$AV$1,),)=0,"#N/A",((((VLOOKUP(B108,Database!$A:$AS,MATCH($K$1,Database!$A$1:$AS$1,),))))-(((VLOOKUP(EDATE(B108,-12),Database!$A:$AS,MATCH($K$1,Database!$A$1:$AS$1,),)))))/(((VLOOKUP(EDATE(B108,-12),Database!$A:$AS,MATCH($K$1,Database!$A$1:$AS$1,),)))))</f>
        <v/>
      </c>
      <c r="L108" s="13">
        <f>((((VLOOKUP(B108,Database!$A:$AS,MATCH($L$1,Database!$A$1:$AS$1,),))))-(((VLOOKUP(EDATE(B108,-12),Database!$A:$AS,MATCH($L$1,Database!$A$1:$AS$1,),)))))/(((VLOOKUP(EDATE(B108,-12),Database!$A:$AS,MATCH($L$1,Database!$A$1:$AS$1,),))))</f>
        <v/>
      </c>
      <c r="M108" s="13">
        <f>((((VLOOKUP(B108,Database!$A:$AS,MATCH($M$1,Database!$A$1:$AS$1,),))))-(((VLOOKUP(EDATE(B108,-12),Database!$A:$AS,MATCH($M$1,Database!$A$1:$AS$1,),)))))/(((VLOOKUP(EDATE(B108,-12),Database!$A:$AS,MATCH($M$1,Database!$A$1:$AS$1,),))))</f>
        <v/>
      </c>
      <c r="N108" s="13">
        <f>((((VLOOKUP(B108,Database!$A:$AS,MATCH($N$1,Database!$A$1:$AS$1,),))))-(((VLOOKUP(EDATE(B108,-12),Database!$A:$AS,MATCH($N$1,Database!$A$1:$AS$1,),)))))/(((VLOOKUP(EDATE(B108,-12),Database!$A:$AS,MATCH($N$1,Database!$A$1:$AS$1,),))))</f>
        <v/>
      </c>
      <c r="O108" s="13">
        <f>IF(VLOOKUP(B108,Database!$A:$AV,MATCH($O$1,Database!$A$1:$AV$1,),)=0,"#N/A",((((VLOOKUP(B108,Database!$A:$AS,MATCH($O$1,Database!$A$1:$AS$1,),))))-(((VLOOKUP(EDATE(B108,-12),Database!$A:$AS,MATCH($O$1,Database!$A$1:$AS$1,),)))))/(((VLOOKUP(EDATE(B108,-12),Database!$A:$AS,MATCH($O$1,Database!$A$1:$AS$1,),)))))</f>
        <v/>
      </c>
      <c r="P108" s="13">
        <f>IF(VLOOKUP(B108,Database!$A:$AV,MATCH($P$1,Database!$A$1:$AV$1,),)=0,"#N/A",((((VLOOKUP(B108,Database!$A:$AS,MATCH($P$1,Database!$A$1:$AS$1,),))))-(((VLOOKUP(EDATE(B108,-12),Database!$A:$AS,MATCH($P$1,Database!$A$1:$AS$1,),)))))/(((VLOOKUP(EDATE(B108,-12),Database!$A:$AS,MATCH($P$1,Database!$A$1:$AS$1,),)))))</f>
        <v/>
      </c>
      <c r="Q108" s="13">
        <f>IF(VLOOKUP(B108,Database!$A:$AV,MATCH($Q$1,Database!$A$1:$AV$1,),)=0,"#N/A",((((VLOOKUP(B108,Database!$A:$AS,MATCH($Q$1,Database!$A$1:$AS$1,),))))-(((VLOOKUP(EDATE(B108,-12),Database!$A:$AS,MATCH($Q$1,Database!$A$1:$AS$1,),)))))/(((VLOOKUP(EDATE(B108,-12),Database!$A:$AS,MATCH($Q$1,Database!$A$1:$AS$1,),)))))</f>
        <v/>
      </c>
      <c r="R108" s="13">
        <f>IF(VLOOKUP(B108,Database!$A:$AV,MATCH($R$1,Database!$A$1:$AV$1,),)=0,"#N/A",((((VLOOKUP(B108,Database!$A:$AS,MATCH($R$1,Database!$A$1:$AS$1,),))))-(((VLOOKUP(EDATE(B108,-12),Database!$A:$AS,MATCH($R$1,Database!$A$1:$AS$1,),)))))/(((VLOOKUP(EDATE(B108,-12),Database!$A:$AS,MATCH($R$1,Database!$A$1:$AS$1,),)))))</f>
        <v/>
      </c>
      <c r="S108" s="13">
        <f>IF(VLOOKUP(B108,Database!$A:$AV,MATCH($S$1,Database!$A$1:$AV$1,),)=0,"#N/A",((((VLOOKUP(B108,Database!$A:$AS,MATCH($S$1,Database!$A$1:$AS$1,),))))-(((VLOOKUP(EDATE(B108,-12),Database!$A:$AS,MATCH($S$1,Database!$A$1:$AS$1,),)))))/(((VLOOKUP(EDATE(B108,-12),Database!$A:$AS,MATCH($S$1,Database!$A$1:$AS$1,),)))))</f>
        <v/>
      </c>
      <c r="T108" s="13">
        <f>IF(VLOOKUP(B108,Database!$A:$AV,MATCH($T$1,Database!$A$1:$AV$1,),)=0,"#N/A",((((VLOOKUP(B108,Database!$A:$AS,MATCH($T$1,Database!$A$1:$AS$1,),))))-(((VLOOKUP(EDATE(B108,-12),Database!$A:$AS,MATCH($T$1,Database!$A$1:$AS$1,),)))))/(((VLOOKUP(EDATE(B108,-12),Database!$A:$AS,MATCH($T$1,Database!$A$1:$AS$1,),)))))</f>
        <v/>
      </c>
      <c r="U108" s="13">
        <f>IF(VLOOKUP(B108,Database!$A:$AV,MATCH($U$1,Database!$A$1:$AV$1,),)=0,"#N/A",((((VLOOKUP(B108,Database!$A:$AS,MATCH($U$1,Database!$A$1:$AS$1,),))))-(((VLOOKUP(EDATE(B108,-12),Database!$A:$AS,MATCH($U$1,Database!$A$1:$AS$1,),)))))/(((VLOOKUP(EDATE(B108,-12),Database!$A:$AS,MATCH($U$1,Database!$A$1:$AS$1,),)))))</f>
        <v/>
      </c>
      <c r="V108" s="13">
        <f>IF(VLOOKUP(B108,Database!$A:$AV,MATCH($V$1,Database!$A$1:$AV$1,),)=0,"#N/A",((((VLOOKUP(B108,Database!$A:$AS,MATCH($V$1,Database!$A$1:$AS$1,),))))-(((VLOOKUP(EDATE(B108,-12),Database!$A:$AS,MATCH($V$1,Database!$A$1:$AS$1,),)))))/(((VLOOKUP(EDATE(B108,-12),Database!$A:$AS,MATCH($V$1,Database!$A$1:$AS$1,),)))))</f>
        <v/>
      </c>
    </row>
    <row r="109" customFormat="1" s="86">
      <c r="A109" s="43" t="n"/>
      <c r="B109" s="75" t="n">
        <v>35462</v>
      </c>
      <c r="C109" s="13">
        <f>IF(VLOOKUP(B109,Database!$A:$AU,MATCH($C$1,Database!$A$1:$AU$1,),)=0,"#N/A",((((VLOOKUP(B109,Database!$A:$AU,MATCH($C$1,Database!$A$1:$AU$1,),))))-(((VLOOKUP(EDATE(B109,-12),Database!$A:$AU,MATCH($C$1,Database!$A$1:$AU$1,),)))))/(((VLOOKUP(EDATE(B109,-12),Database!$A:$AU,MATCH($C$1,Database!$A$1:$AU$1,),)))))</f>
        <v/>
      </c>
      <c r="D109" s="13">
        <f>IF(VLOOKUP(B109,Database!$A:$AV,MATCH($D$1,Database!$A$1:$AV$1,),)=0,"#N/A",((((VLOOKUP(B109,Database!$A:$AS,MATCH($D$1,Database!$A$1:$AS$1,),))))-(((VLOOKUP(EDATE(B109,-12),Database!$A:$AS,MATCH($D$1,Database!$A$1:$AS$1,),)))))/(((VLOOKUP(EDATE(B109,-12),Database!$A:$AS,MATCH($D$1,Database!$A$1:$AS$1,),)))))</f>
        <v/>
      </c>
      <c r="E109" s="13">
        <f>IF(VLOOKUP(B109,Database!$A:$AV,MATCH($E$1,Database!$A$1:$AV$1,),)=0,"#N/A",((((VLOOKUP(B109,Database!$A:$AS,MATCH($E$1,Database!$A$1:$AS$1,),))))-(((VLOOKUP(EDATE(B109,-12),Database!$A:$AS,MATCH($E$1,Database!$A$1:$AS$1,),)))))/(((VLOOKUP(EDATE(B109,-12),Database!$A:$AS,MATCH($E$1,Database!$A$1:$AS$1,),)))))</f>
        <v/>
      </c>
      <c r="F109" s="13">
        <f>IF(VLOOKUP(B109,Database!$A:$AV,MATCH($F$1,Database!$A$1:$AV$1,),)=0,"#N/A",((((VLOOKUP(B109,Database!$A:$AS,MATCH($F$1,Database!$A$1:$AS$1,),))))-(((VLOOKUP(EDATE(B109,-12),Database!$A:$AS,MATCH($F$1,Database!$A$1:$AS$1,),)))))/(((VLOOKUP(EDATE(B109,-12),Database!$A:$AS,MATCH($F$1,Database!$A$1:$AS$1,),)))))</f>
        <v/>
      </c>
      <c r="G109" s="13">
        <f>IF(VLOOKUP(B109,Database!$A:$AV,MATCH($G$1,Database!$A$1:$AV$1,),)=0,"#N/A",((((VLOOKUP(B109,Database!$A:$AS,MATCH($G$1,Database!$A$1:$AS$1,),))))-(((VLOOKUP(EDATE(B109,-12),Database!$A:$AS,MATCH($G$1,Database!$A$1:$AS$1,),)))))/(((VLOOKUP(EDATE(B109,-12),Database!$A:$AS,MATCH($G$1,Database!$A$1:$AS$1,),)))))</f>
        <v/>
      </c>
      <c r="H109" s="13">
        <f>IF(VLOOKUP(B109,Database!$A:$AV,MATCH($H$1,Database!$A$1:$AV$1,),)=0,"#N/A",((((VLOOKUP(B109,Database!$A:$AS,MATCH($H$1,Database!$A$1:$AS$1,),))))-(((VLOOKUP(EDATE(B109,-12),Database!$A:$AS,MATCH($H$1,Database!$A$1:$AS$1,),)))))/(((VLOOKUP(EDATE(B109,-12),Database!$A:$AS,MATCH($H$1,Database!$A$1:$AS$1,),)))))</f>
        <v/>
      </c>
      <c r="I109" s="13">
        <f>IF(VLOOKUP(B109,Database!$A:$AV,MATCH($I$1,Database!$A$1:$AV$1,),)=0,"#N/A",((((VLOOKUP(B109,Database!$A:$AS,MATCH($I$1,Database!$A$1:$AS$1,),))))-(((VLOOKUP(EDATE(B109,-12),Database!$A:$AS,MATCH($I$1,Database!$A$1:$AS$1,),)))))/(((VLOOKUP(EDATE(B109,-12),Database!$A:$AS,MATCH($I$1,Database!$A$1:$AS$1,),)))))</f>
        <v/>
      </c>
      <c r="J109" s="13">
        <f>IF(VLOOKUP(B109,Database!$A:$AV,MATCH($J$1,Database!$A$1:$AV$1,),)=0,"#N/A",((((VLOOKUP(B109,Database!$A:$AS,MATCH($J$1,Database!$A$1:$AS$1,),))))-(((VLOOKUP(EDATE(B109,-12),Database!$A:$AS,MATCH($J$1,Database!$A$1:$AS$1,),)))))/(((VLOOKUP(EDATE(B109,-12),Database!$A:$AS,MATCH($J$1,Database!$A$1:$AS$1,),)))))</f>
        <v/>
      </c>
      <c r="K109" s="13">
        <f>IF(VLOOKUP(B109,Database!$A:$AV,MATCH($K$1,Database!$A$1:$AV$1,),)=0,"#N/A",((((VLOOKUP(B109,Database!$A:$AS,MATCH($K$1,Database!$A$1:$AS$1,),))))-(((VLOOKUP(EDATE(B109,-12),Database!$A:$AS,MATCH($K$1,Database!$A$1:$AS$1,),)))))/(((VLOOKUP(EDATE(B109,-12),Database!$A:$AS,MATCH($K$1,Database!$A$1:$AS$1,),)))))</f>
        <v/>
      </c>
      <c r="L109" s="13">
        <f>((((VLOOKUP(B109,Database!$A:$AS,MATCH($L$1,Database!$A$1:$AS$1,),))))-(((VLOOKUP(EDATE(B109,-12),Database!$A:$AS,MATCH($L$1,Database!$A$1:$AS$1,),)))))/(((VLOOKUP(EDATE(B109,-12),Database!$A:$AS,MATCH($L$1,Database!$A$1:$AS$1,),))))</f>
        <v/>
      </c>
      <c r="M109" s="13">
        <f>((((VLOOKUP(B109,Database!$A:$AS,MATCH($M$1,Database!$A$1:$AS$1,),))))-(((VLOOKUP(EDATE(B109,-12),Database!$A:$AS,MATCH($M$1,Database!$A$1:$AS$1,),)))))/(((VLOOKUP(EDATE(B109,-12),Database!$A:$AS,MATCH($M$1,Database!$A$1:$AS$1,),))))</f>
        <v/>
      </c>
      <c r="N109" s="13">
        <f>((((VLOOKUP(B109,Database!$A:$AS,MATCH($N$1,Database!$A$1:$AS$1,),))))-(((VLOOKUP(EDATE(B109,-12),Database!$A:$AS,MATCH($N$1,Database!$A$1:$AS$1,),)))))/(((VLOOKUP(EDATE(B109,-12),Database!$A:$AS,MATCH($N$1,Database!$A$1:$AS$1,),))))</f>
        <v/>
      </c>
      <c r="O109" s="13">
        <f>IF(VLOOKUP(B109,Database!$A:$AV,MATCH($O$1,Database!$A$1:$AV$1,),)=0,"#N/A",((((VLOOKUP(B109,Database!$A:$AS,MATCH($O$1,Database!$A$1:$AS$1,),))))-(((VLOOKUP(EDATE(B109,-12),Database!$A:$AS,MATCH($O$1,Database!$A$1:$AS$1,),)))))/(((VLOOKUP(EDATE(B109,-12),Database!$A:$AS,MATCH($O$1,Database!$A$1:$AS$1,),)))))</f>
        <v/>
      </c>
      <c r="P109" s="13">
        <f>IF(VLOOKUP(B109,Database!$A:$AV,MATCH($P$1,Database!$A$1:$AV$1,),)=0,"#N/A",((((VLOOKUP(B109,Database!$A:$AS,MATCH($P$1,Database!$A$1:$AS$1,),))))-(((VLOOKUP(EDATE(B109,-12),Database!$A:$AS,MATCH($P$1,Database!$A$1:$AS$1,),)))))/(((VLOOKUP(EDATE(B109,-12),Database!$A:$AS,MATCH($P$1,Database!$A$1:$AS$1,),)))))</f>
        <v/>
      </c>
      <c r="Q109" s="13">
        <f>IF(VLOOKUP(B109,Database!$A:$AV,MATCH($Q$1,Database!$A$1:$AV$1,),)=0,"#N/A",((((VLOOKUP(B109,Database!$A:$AS,MATCH($Q$1,Database!$A$1:$AS$1,),))))-(((VLOOKUP(EDATE(B109,-12),Database!$A:$AS,MATCH($Q$1,Database!$A$1:$AS$1,),)))))/(((VLOOKUP(EDATE(B109,-12),Database!$A:$AS,MATCH($Q$1,Database!$A$1:$AS$1,),)))))</f>
        <v/>
      </c>
      <c r="R109" s="13">
        <f>IF(VLOOKUP(B109,Database!$A:$AV,MATCH($R$1,Database!$A$1:$AV$1,),)=0,"#N/A",((((VLOOKUP(B109,Database!$A:$AS,MATCH($R$1,Database!$A$1:$AS$1,),))))-(((VLOOKUP(EDATE(B109,-12),Database!$A:$AS,MATCH($R$1,Database!$A$1:$AS$1,),)))))/(((VLOOKUP(EDATE(B109,-12),Database!$A:$AS,MATCH($R$1,Database!$A$1:$AS$1,),)))))</f>
        <v/>
      </c>
      <c r="S109" s="13">
        <f>IF(VLOOKUP(B109,Database!$A:$AV,MATCH($S$1,Database!$A$1:$AV$1,),)=0,"#N/A",((((VLOOKUP(B109,Database!$A:$AS,MATCH($S$1,Database!$A$1:$AS$1,),))))-(((VLOOKUP(EDATE(B109,-12),Database!$A:$AS,MATCH($S$1,Database!$A$1:$AS$1,),)))))/(((VLOOKUP(EDATE(B109,-12),Database!$A:$AS,MATCH($S$1,Database!$A$1:$AS$1,),)))))</f>
        <v/>
      </c>
      <c r="T109" s="13">
        <f>IF(VLOOKUP(B109,Database!$A:$AV,MATCH($T$1,Database!$A$1:$AV$1,),)=0,"#N/A",((((VLOOKUP(B109,Database!$A:$AS,MATCH($T$1,Database!$A$1:$AS$1,),))))-(((VLOOKUP(EDATE(B109,-12),Database!$A:$AS,MATCH($T$1,Database!$A$1:$AS$1,),)))))/(((VLOOKUP(EDATE(B109,-12),Database!$A:$AS,MATCH($T$1,Database!$A$1:$AS$1,),)))))</f>
        <v/>
      </c>
      <c r="U109" s="13">
        <f>IF(VLOOKUP(B109,Database!$A:$AV,MATCH($U$1,Database!$A$1:$AV$1,),)=0,"#N/A",((((VLOOKUP(B109,Database!$A:$AS,MATCH($U$1,Database!$A$1:$AS$1,),))))-(((VLOOKUP(EDATE(B109,-12),Database!$A:$AS,MATCH($U$1,Database!$A$1:$AS$1,),)))))/(((VLOOKUP(EDATE(B109,-12),Database!$A:$AS,MATCH($U$1,Database!$A$1:$AS$1,),)))))</f>
        <v/>
      </c>
      <c r="V109" s="13">
        <f>IF(VLOOKUP(B109,Database!$A:$AV,MATCH($V$1,Database!$A$1:$AV$1,),)=0,"#N/A",((((VLOOKUP(B109,Database!$A:$AS,MATCH($V$1,Database!$A$1:$AS$1,),))))-(((VLOOKUP(EDATE(B109,-12),Database!$A:$AS,MATCH($V$1,Database!$A$1:$AS$1,),)))))/(((VLOOKUP(EDATE(B109,-12),Database!$A:$AS,MATCH($V$1,Database!$A$1:$AS$1,),)))))</f>
        <v/>
      </c>
    </row>
    <row r="110" customFormat="1" s="86">
      <c r="A110" s="43" t="n"/>
      <c r="B110" s="75" t="n">
        <v>35490</v>
      </c>
      <c r="C110" s="13">
        <f>IF(VLOOKUP(B110,Database!$A:$AU,MATCH($C$1,Database!$A$1:$AU$1,),)=0,"#N/A",((((VLOOKUP(B110,Database!$A:$AU,MATCH($C$1,Database!$A$1:$AU$1,),))))-(((VLOOKUP(EDATE(B110,-12),Database!$A:$AU,MATCH($C$1,Database!$A$1:$AU$1,),)))))/(((VLOOKUP(EDATE(B110,-12),Database!$A:$AU,MATCH($C$1,Database!$A$1:$AU$1,),)))))</f>
        <v/>
      </c>
      <c r="D110" s="13">
        <f>IF(VLOOKUP(B110,Database!$A:$AV,MATCH($D$1,Database!$A$1:$AV$1,),)=0,"#N/A",((((VLOOKUP(B110,Database!$A:$AS,MATCH($D$1,Database!$A$1:$AS$1,),))))-(((VLOOKUP(EDATE(B110,-12),Database!$A:$AS,MATCH($D$1,Database!$A$1:$AS$1,),)))))/(((VLOOKUP(EDATE(B110,-12),Database!$A:$AS,MATCH($D$1,Database!$A$1:$AS$1,),)))))</f>
        <v/>
      </c>
      <c r="E110" s="13">
        <f>IF(VLOOKUP(B110,Database!$A:$AV,MATCH($E$1,Database!$A$1:$AV$1,),)=0,"#N/A",((((VLOOKUP(B110,Database!$A:$AS,MATCH($E$1,Database!$A$1:$AS$1,),))))-(((VLOOKUP(EDATE(B110,-12),Database!$A:$AS,MATCH($E$1,Database!$A$1:$AS$1,),)))))/(((VLOOKUP(EDATE(B110,-12),Database!$A:$AS,MATCH($E$1,Database!$A$1:$AS$1,),)))))</f>
        <v/>
      </c>
      <c r="F110" s="13">
        <f>IF(VLOOKUP(B110,Database!$A:$AV,MATCH($F$1,Database!$A$1:$AV$1,),)=0,"#N/A",((((VLOOKUP(B110,Database!$A:$AS,MATCH($F$1,Database!$A$1:$AS$1,),))))-(((VLOOKUP(EDATE(B110,-12),Database!$A:$AS,MATCH($F$1,Database!$A$1:$AS$1,),)))))/(((VLOOKUP(EDATE(B110,-12),Database!$A:$AS,MATCH($F$1,Database!$A$1:$AS$1,),)))))</f>
        <v/>
      </c>
      <c r="G110" s="13">
        <f>IF(VLOOKUP(B110,Database!$A:$AV,MATCH($G$1,Database!$A$1:$AV$1,),)=0,"#N/A",((((VLOOKUP(B110,Database!$A:$AS,MATCH($G$1,Database!$A$1:$AS$1,),))))-(((VLOOKUP(EDATE(B110,-12),Database!$A:$AS,MATCH($G$1,Database!$A$1:$AS$1,),)))))/(((VLOOKUP(EDATE(B110,-12),Database!$A:$AS,MATCH($G$1,Database!$A$1:$AS$1,),)))))</f>
        <v/>
      </c>
      <c r="H110" s="13">
        <f>IF(VLOOKUP(B110,Database!$A:$AV,MATCH($H$1,Database!$A$1:$AV$1,),)=0,"#N/A",((((VLOOKUP(B110,Database!$A:$AS,MATCH($H$1,Database!$A$1:$AS$1,),))))-(((VLOOKUP(EDATE(B110,-12),Database!$A:$AS,MATCH($H$1,Database!$A$1:$AS$1,),)))))/(((VLOOKUP(EDATE(B110,-12),Database!$A:$AS,MATCH($H$1,Database!$A$1:$AS$1,),)))))</f>
        <v/>
      </c>
      <c r="I110" s="13">
        <f>IF(VLOOKUP(B110,Database!$A:$AV,MATCH($I$1,Database!$A$1:$AV$1,),)=0,"#N/A",((((VLOOKUP(B110,Database!$A:$AS,MATCH($I$1,Database!$A$1:$AS$1,),))))-(((VLOOKUP(EDATE(B110,-12),Database!$A:$AS,MATCH($I$1,Database!$A$1:$AS$1,),)))))/(((VLOOKUP(EDATE(B110,-12),Database!$A:$AS,MATCH($I$1,Database!$A$1:$AS$1,),)))))</f>
        <v/>
      </c>
      <c r="J110" s="13">
        <f>IF(VLOOKUP(B110,Database!$A:$AV,MATCH($J$1,Database!$A$1:$AV$1,),)=0,"#N/A",((((VLOOKUP(B110,Database!$A:$AS,MATCH($J$1,Database!$A$1:$AS$1,),))))-(((VLOOKUP(EDATE(B110,-12),Database!$A:$AS,MATCH($J$1,Database!$A$1:$AS$1,),)))))/(((VLOOKUP(EDATE(B110,-12),Database!$A:$AS,MATCH($J$1,Database!$A$1:$AS$1,),)))))</f>
        <v/>
      </c>
      <c r="K110" s="13">
        <f>IF(VLOOKUP(B110,Database!$A:$AV,MATCH($K$1,Database!$A$1:$AV$1,),)=0,"#N/A",((((VLOOKUP(B110,Database!$A:$AS,MATCH($K$1,Database!$A$1:$AS$1,),))))-(((VLOOKUP(EDATE(B110,-12),Database!$A:$AS,MATCH($K$1,Database!$A$1:$AS$1,),)))))/(((VLOOKUP(EDATE(B110,-12),Database!$A:$AS,MATCH($K$1,Database!$A$1:$AS$1,),)))))</f>
        <v/>
      </c>
      <c r="L110" s="13">
        <f>((((VLOOKUP(B110,Database!$A:$AS,MATCH($L$1,Database!$A$1:$AS$1,),))))-(((VLOOKUP(EDATE(B110,-12),Database!$A:$AS,MATCH($L$1,Database!$A$1:$AS$1,),)))))/(((VLOOKUP(EDATE(B110,-12),Database!$A:$AS,MATCH($L$1,Database!$A$1:$AS$1,),))))</f>
        <v/>
      </c>
      <c r="M110" s="13">
        <f>((((VLOOKUP(B110,Database!$A:$AS,MATCH($M$1,Database!$A$1:$AS$1,),))))-(((VLOOKUP(EDATE(B110,-12),Database!$A:$AS,MATCH($M$1,Database!$A$1:$AS$1,),)))))/(((VLOOKUP(EDATE(B110,-12),Database!$A:$AS,MATCH($M$1,Database!$A$1:$AS$1,),))))</f>
        <v/>
      </c>
      <c r="N110" s="13">
        <f>((((VLOOKUP(B110,Database!$A:$AS,MATCH($N$1,Database!$A$1:$AS$1,),))))-(((VLOOKUP(EDATE(B110,-12),Database!$A:$AS,MATCH($N$1,Database!$A$1:$AS$1,),)))))/(((VLOOKUP(EDATE(B110,-12),Database!$A:$AS,MATCH($N$1,Database!$A$1:$AS$1,),))))</f>
        <v/>
      </c>
      <c r="O110" s="13">
        <f>IF(VLOOKUP(B110,Database!$A:$AV,MATCH($O$1,Database!$A$1:$AV$1,),)=0,"#N/A",((((VLOOKUP(B110,Database!$A:$AS,MATCH($O$1,Database!$A$1:$AS$1,),))))-(((VLOOKUP(EDATE(B110,-12),Database!$A:$AS,MATCH($O$1,Database!$A$1:$AS$1,),)))))/(((VLOOKUP(EDATE(B110,-12),Database!$A:$AS,MATCH($O$1,Database!$A$1:$AS$1,),)))))</f>
        <v/>
      </c>
      <c r="P110" s="13">
        <f>IF(VLOOKUP(B110,Database!$A:$AV,MATCH($P$1,Database!$A$1:$AV$1,),)=0,"#N/A",((((VLOOKUP(B110,Database!$A:$AS,MATCH($P$1,Database!$A$1:$AS$1,),))))-(((VLOOKUP(EDATE(B110,-12),Database!$A:$AS,MATCH($P$1,Database!$A$1:$AS$1,),)))))/(((VLOOKUP(EDATE(B110,-12),Database!$A:$AS,MATCH($P$1,Database!$A$1:$AS$1,),)))))</f>
        <v/>
      </c>
      <c r="Q110" s="13">
        <f>IF(VLOOKUP(B110,Database!$A:$AV,MATCH($Q$1,Database!$A$1:$AV$1,),)=0,"#N/A",((((VLOOKUP(B110,Database!$A:$AS,MATCH($Q$1,Database!$A$1:$AS$1,),))))-(((VLOOKUP(EDATE(B110,-12),Database!$A:$AS,MATCH($Q$1,Database!$A$1:$AS$1,),)))))/(((VLOOKUP(EDATE(B110,-12),Database!$A:$AS,MATCH($Q$1,Database!$A$1:$AS$1,),)))))</f>
        <v/>
      </c>
      <c r="R110" s="13">
        <f>IF(VLOOKUP(B110,Database!$A:$AV,MATCH($R$1,Database!$A$1:$AV$1,),)=0,"#N/A",((((VLOOKUP(B110,Database!$A:$AS,MATCH($R$1,Database!$A$1:$AS$1,),))))-(((VLOOKUP(EDATE(B110,-12),Database!$A:$AS,MATCH($R$1,Database!$A$1:$AS$1,),)))))/(((VLOOKUP(EDATE(B110,-12),Database!$A:$AS,MATCH($R$1,Database!$A$1:$AS$1,),)))))</f>
        <v/>
      </c>
      <c r="S110" s="13">
        <f>IF(VLOOKUP(B110,Database!$A:$AV,MATCH($S$1,Database!$A$1:$AV$1,),)=0,"#N/A",((((VLOOKUP(B110,Database!$A:$AS,MATCH($S$1,Database!$A$1:$AS$1,),))))-(((VLOOKUP(EDATE(B110,-12),Database!$A:$AS,MATCH($S$1,Database!$A$1:$AS$1,),)))))/(((VLOOKUP(EDATE(B110,-12),Database!$A:$AS,MATCH($S$1,Database!$A$1:$AS$1,),)))))</f>
        <v/>
      </c>
      <c r="T110" s="13">
        <f>IF(VLOOKUP(B110,Database!$A:$AV,MATCH($T$1,Database!$A$1:$AV$1,),)=0,"#N/A",((((VLOOKUP(B110,Database!$A:$AS,MATCH($T$1,Database!$A$1:$AS$1,),))))-(((VLOOKUP(EDATE(B110,-12),Database!$A:$AS,MATCH($T$1,Database!$A$1:$AS$1,),)))))/(((VLOOKUP(EDATE(B110,-12),Database!$A:$AS,MATCH($T$1,Database!$A$1:$AS$1,),)))))</f>
        <v/>
      </c>
      <c r="U110" s="13">
        <f>IF(VLOOKUP(B110,Database!$A:$AV,MATCH($U$1,Database!$A$1:$AV$1,),)=0,"#N/A",((((VLOOKUP(B110,Database!$A:$AS,MATCH($U$1,Database!$A$1:$AS$1,),))))-(((VLOOKUP(EDATE(B110,-12),Database!$A:$AS,MATCH($U$1,Database!$A$1:$AS$1,),)))))/(((VLOOKUP(EDATE(B110,-12),Database!$A:$AS,MATCH($U$1,Database!$A$1:$AS$1,),)))))</f>
        <v/>
      </c>
      <c r="V110" s="13">
        <f>IF(VLOOKUP(B110,Database!$A:$AV,MATCH($V$1,Database!$A$1:$AV$1,),)=0,"#N/A",((((VLOOKUP(B110,Database!$A:$AS,MATCH($V$1,Database!$A$1:$AS$1,),))))-(((VLOOKUP(EDATE(B110,-12),Database!$A:$AS,MATCH($V$1,Database!$A$1:$AS$1,),)))))/(((VLOOKUP(EDATE(B110,-12),Database!$A:$AS,MATCH($V$1,Database!$A$1:$AS$1,),)))))</f>
        <v/>
      </c>
    </row>
    <row r="111" customFormat="1" s="86">
      <c r="A111" s="43" t="n"/>
      <c r="B111" s="75" t="n">
        <v>35521</v>
      </c>
      <c r="C111" s="13">
        <f>IF(VLOOKUP(B111,Database!$A:$AU,MATCH($C$1,Database!$A$1:$AU$1,),)=0,"#N/A",((((VLOOKUP(B111,Database!$A:$AU,MATCH($C$1,Database!$A$1:$AU$1,),))))-(((VLOOKUP(EDATE(B111,-12),Database!$A:$AU,MATCH($C$1,Database!$A$1:$AU$1,),)))))/(((VLOOKUP(EDATE(B111,-12),Database!$A:$AU,MATCH($C$1,Database!$A$1:$AU$1,),)))))</f>
        <v/>
      </c>
      <c r="D111" s="13">
        <f>IF(VLOOKUP(B111,Database!$A:$AV,MATCH($D$1,Database!$A$1:$AV$1,),)=0,"#N/A",((((VLOOKUP(B111,Database!$A:$AS,MATCH($D$1,Database!$A$1:$AS$1,),))))-(((VLOOKUP(EDATE(B111,-12),Database!$A:$AS,MATCH($D$1,Database!$A$1:$AS$1,),)))))/(((VLOOKUP(EDATE(B111,-12),Database!$A:$AS,MATCH($D$1,Database!$A$1:$AS$1,),)))))</f>
        <v/>
      </c>
      <c r="E111" s="13">
        <f>IF(VLOOKUP(B111,Database!$A:$AV,MATCH($E$1,Database!$A$1:$AV$1,),)=0,"#N/A",((((VLOOKUP(B111,Database!$A:$AS,MATCH($E$1,Database!$A$1:$AS$1,),))))-(((VLOOKUP(EDATE(B111,-12),Database!$A:$AS,MATCH($E$1,Database!$A$1:$AS$1,),)))))/(((VLOOKUP(EDATE(B111,-12),Database!$A:$AS,MATCH($E$1,Database!$A$1:$AS$1,),)))))</f>
        <v/>
      </c>
      <c r="F111" s="13">
        <f>IF(VLOOKUP(B111,Database!$A:$AV,MATCH($F$1,Database!$A$1:$AV$1,),)=0,"#N/A",((((VLOOKUP(B111,Database!$A:$AS,MATCH($F$1,Database!$A$1:$AS$1,),))))-(((VLOOKUP(EDATE(B111,-12),Database!$A:$AS,MATCH($F$1,Database!$A$1:$AS$1,),)))))/(((VLOOKUP(EDATE(B111,-12),Database!$A:$AS,MATCH($F$1,Database!$A$1:$AS$1,),)))))</f>
        <v/>
      </c>
      <c r="G111" s="13">
        <f>IF(VLOOKUP(B111,Database!$A:$AV,MATCH($G$1,Database!$A$1:$AV$1,),)=0,"#N/A",((((VLOOKUP(B111,Database!$A:$AS,MATCH($G$1,Database!$A$1:$AS$1,),))))-(((VLOOKUP(EDATE(B111,-12),Database!$A:$AS,MATCH($G$1,Database!$A$1:$AS$1,),)))))/(((VLOOKUP(EDATE(B111,-12),Database!$A:$AS,MATCH($G$1,Database!$A$1:$AS$1,),)))))</f>
        <v/>
      </c>
      <c r="H111" s="13">
        <f>IF(VLOOKUP(B111,Database!$A:$AV,MATCH($H$1,Database!$A$1:$AV$1,),)=0,"#N/A",((((VLOOKUP(B111,Database!$A:$AS,MATCH($H$1,Database!$A$1:$AS$1,),))))-(((VLOOKUP(EDATE(B111,-12),Database!$A:$AS,MATCH($H$1,Database!$A$1:$AS$1,),)))))/(((VLOOKUP(EDATE(B111,-12),Database!$A:$AS,MATCH($H$1,Database!$A$1:$AS$1,),)))))</f>
        <v/>
      </c>
      <c r="I111" s="13">
        <f>IF(VLOOKUP(B111,Database!$A:$AV,MATCH($I$1,Database!$A$1:$AV$1,),)=0,"#N/A",((((VLOOKUP(B111,Database!$A:$AS,MATCH($I$1,Database!$A$1:$AS$1,),))))-(((VLOOKUP(EDATE(B111,-12),Database!$A:$AS,MATCH($I$1,Database!$A$1:$AS$1,),)))))/(((VLOOKUP(EDATE(B111,-12),Database!$A:$AS,MATCH($I$1,Database!$A$1:$AS$1,),)))))</f>
        <v/>
      </c>
      <c r="J111" s="13">
        <f>IF(VLOOKUP(B111,Database!$A:$AV,MATCH($J$1,Database!$A$1:$AV$1,),)=0,"#N/A",((((VLOOKUP(B111,Database!$A:$AS,MATCH($J$1,Database!$A$1:$AS$1,),))))-(((VLOOKUP(EDATE(B111,-12),Database!$A:$AS,MATCH($J$1,Database!$A$1:$AS$1,),)))))/(((VLOOKUP(EDATE(B111,-12),Database!$A:$AS,MATCH($J$1,Database!$A$1:$AS$1,),)))))</f>
        <v/>
      </c>
      <c r="K111" s="13">
        <f>IF(VLOOKUP(B111,Database!$A:$AV,MATCH($K$1,Database!$A$1:$AV$1,),)=0,"#N/A",((((VLOOKUP(B111,Database!$A:$AS,MATCH($K$1,Database!$A$1:$AS$1,),))))-(((VLOOKUP(EDATE(B111,-12),Database!$A:$AS,MATCH($K$1,Database!$A$1:$AS$1,),)))))/(((VLOOKUP(EDATE(B111,-12),Database!$A:$AS,MATCH($K$1,Database!$A$1:$AS$1,),)))))</f>
        <v/>
      </c>
      <c r="L111" s="13">
        <f>((((VLOOKUP(B111,Database!$A:$AS,MATCH($L$1,Database!$A$1:$AS$1,),))))-(((VLOOKUP(EDATE(B111,-12),Database!$A:$AS,MATCH($L$1,Database!$A$1:$AS$1,),)))))/(((VLOOKUP(EDATE(B111,-12),Database!$A:$AS,MATCH($L$1,Database!$A$1:$AS$1,),))))</f>
        <v/>
      </c>
      <c r="M111" s="13">
        <f>((((VLOOKUP(B111,Database!$A:$AS,MATCH($M$1,Database!$A$1:$AS$1,),))))-(((VLOOKUP(EDATE(B111,-12),Database!$A:$AS,MATCH($M$1,Database!$A$1:$AS$1,),)))))/(((VLOOKUP(EDATE(B111,-12),Database!$A:$AS,MATCH($M$1,Database!$A$1:$AS$1,),))))</f>
        <v/>
      </c>
      <c r="N111" s="13">
        <f>((((VLOOKUP(B111,Database!$A:$AS,MATCH($N$1,Database!$A$1:$AS$1,),))))-(((VLOOKUP(EDATE(B111,-12),Database!$A:$AS,MATCH($N$1,Database!$A$1:$AS$1,),)))))/(((VLOOKUP(EDATE(B111,-12),Database!$A:$AS,MATCH($N$1,Database!$A$1:$AS$1,),))))</f>
        <v/>
      </c>
      <c r="O111" s="13">
        <f>IF(VLOOKUP(B111,Database!$A:$AV,MATCH($O$1,Database!$A$1:$AV$1,),)=0,"#N/A",((((VLOOKUP(B111,Database!$A:$AS,MATCH($O$1,Database!$A$1:$AS$1,),))))-(((VLOOKUP(EDATE(B111,-12),Database!$A:$AS,MATCH($O$1,Database!$A$1:$AS$1,),)))))/(((VLOOKUP(EDATE(B111,-12),Database!$A:$AS,MATCH($O$1,Database!$A$1:$AS$1,),)))))</f>
        <v/>
      </c>
      <c r="P111" s="13">
        <f>IF(VLOOKUP(B111,Database!$A:$AV,MATCH($P$1,Database!$A$1:$AV$1,),)=0,"#N/A",((((VLOOKUP(B111,Database!$A:$AS,MATCH($P$1,Database!$A$1:$AS$1,),))))-(((VLOOKUP(EDATE(B111,-12),Database!$A:$AS,MATCH($P$1,Database!$A$1:$AS$1,),)))))/(((VLOOKUP(EDATE(B111,-12),Database!$A:$AS,MATCH($P$1,Database!$A$1:$AS$1,),)))))</f>
        <v/>
      </c>
      <c r="Q111" s="13">
        <f>IF(VLOOKUP(B111,Database!$A:$AV,MATCH($Q$1,Database!$A$1:$AV$1,),)=0,"#N/A",((((VLOOKUP(B111,Database!$A:$AS,MATCH($Q$1,Database!$A$1:$AS$1,),))))-(((VLOOKUP(EDATE(B111,-12),Database!$A:$AS,MATCH($Q$1,Database!$A$1:$AS$1,),)))))/(((VLOOKUP(EDATE(B111,-12),Database!$A:$AS,MATCH($Q$1,Database!$A$1:$AS$1,),)))))</f>
        <v/>
      </c>
      <c r="R111" s="13">
        <f>IF(VLOOKUP(B111,Database!$A:$AV,MATCH($R$1,Database!$A$1:$AV$1,),)=0,"#N/A",((((VLOOKUP(B111,Database!$A:$AS,MATCH($R$1,Database!$A$1:$AS$1,),))))-(((VLOOKUP(EDATE(B111,-12),Database!$A:$AS,MATCH($R$1,Database!$A$1:$AS$1,),)))))/(((VLOOKUP(EDATE(B111,-12),Database!$A:$AS,MATCH($R$1,Database!$A$1:$AS$1,),)))))</f>
        <v/>
      </c>
      <c r="S111" s="13">
        <f>IF(VLOOKUP(B111,Database!$A:$AV,MATCH($S$1,Database!$A$1:$AV$1,),)=0,"#N/A",((((VLOOKUP(B111,Database!$A:$AS,MATCH($S$1,Database!$A$1:$AS$1,),))))-(((VLOOKUP(EDATE(B111,-12),Database!$A:$AS,MATCH($S$1,Database!$A$1:$AS$1,),)))))/(((VLOOKUP(EDATE(B111,-12),Database!$A:$AS,MATCH($S$1,Database!$A$1:$AS$1,),)))))</f>
        <v/>
      </c>
      <c r="T111" s="13">
        <f>IF(VLOOKUP(B111,Database!$A:$AV,MATCH($T$1,Database!$A$1:$AV$1,),)=0,"#N/A",((((VLOOKUP(B111,Database!$A:$AS,MATCH($T$1,Database!$A$1:$AS$1,),))))-(((VLOOKUP(EDATE(B111,-12),Database!$A:$AS,MATCH($T$1,Database!$A$1:$AS$1,),)))))/(((VLOOKUP(EDATE(B111,-12),Database!$A:$AS,MATCH($T$1,Database!$A$1:$AS$1,),)))))</f>
        <v/>
      </c>
      <c r="U111" s="13">
        <f>IF(VLOOKUP(B111,Database!$A:$AV,MATCH($U$1,Database!$A$1:$AV$1,),)=0,"#N/A",((((VLOOKUP(B111,Database!$A:$AS,MATCH($U$1,Database!$A$1:$AS$1,),))))-(((VLOOKUP(EDATE(B111,-12),Database!$A:$AS,MATCH($U$1,Database!$A$1:$AS$1,),)))))/(((VLOOKUP(EDATE(B111,-12),Database!$A:$AS,MATCH($U$1,Database!$A$1:$AS$1,),)))))</f>
        <v/>
      </c>
      <c r="V111" s="13">
        <f>IF(VLOOKUP(B111,Database!$A:$AV,MATCH($V$1,Database!$A$1:$AV$1,),)=0,"#N/A",((((VLOOKUP(B111,Database!$A:$AS,MATCH($V$1,Database!$A$1:$AS$1,),))))-(((VLOOKUP(EDATE(B111,-12),Database!$A:$AS,MATCH($V$1,Database!$A$1:$AS$1,),)))))/(((VLOOKUP(EDATE(B111,-12),Database!$A:$AS,MATCH($V$1,Database!$A$1:$AS$1,),)))))</f>
        <v/>
      </c>
    </row>
    <row r="112" customFormat="1" s="86">
      <c r="A112" s="43" t="n"/>
      <c r="B112" s="75" t="n">
        <v>35551</v>
      </c>
      <c r="C112" s="13">
        <f>IF(VLOOKUP(B112,Database!$A:$AU,MATCH($C$1,Database!$A$1:$AU$1,),)=0,"#N/A",((((VLOOKUP(B112,Database!$A:$AU,MATCH($C$1,Database!$A$1:$AU$1,),))))-(((VLOOKUP(EDATE(B112,-12),Database!$A:$AU,MATCH($C$1,Database!$A$1:$AU$1,),)))))/(((VLOOKUP(EDATE(B112,-12),Database!$A:$AU,MATCH($C$1,Database!$A$1:$AU$1,),)))))</f>
        <v/>
      </c>
      <c r="D112" s="13">
        <f>IF(VLOOKUP(B112,Database!$A:$AV,MATCH($D$1,Database!$A$1:$AV$1,),)=0,"#N/A",((((VLOOKUP(B112,Database!$A:$AS,MATCH($D$1,Database!$A$1:$AS$1,),))))-(((VLOOKUP(EDATE(B112,-12),Database!$A:$AS,MATCH($D$1,Database!$A$1:$AS$1,),)))))/(((VLOOKUP(EDATE(B112,-12),Database!$A:$AS,MATCH($D$1,Database!$A$1:$AS$1,),)))))</f>
        <v/>
      </c>
      <c r="E112" s="13">
        <f>IF(VLOOKUP(B112,Database!$A:$AV,MATCH($E$1,Database!$A$1:$AV$1,),)=0,"#N/A",((((VLOOKUP(B112,Database!$A:$AS,MATCH($E$1,Database!$A$1:$AS$1,),))))-(((VLOOKUP(EDATE(B112,-12),Database!$A:$AS,MATCH($E$1,Database!$A$1:$AS$1,),)))))/(((VLOOKUP(EDATE(B112,-12),Database!$A:$AS,MATCH($E$1,Database!$A$1:$AS$1,),)))))</f>
        <v/>
      </c>
      <c r="F112" s="13">
        <f>IF(VLOOKUP(B112,Database!$A:$AV,MATCH($F$1,Database!$A$1:$AV$1,),)=0,"#N/A",((((VLOOKUP(B112,Database!$A:$AS,MATCH($F$1,Database!$A$1:$AS$1,),))))-(((VLOOKUP(EDATE(B112,-12),Database!$A:$AS,MATCH($F$1,Database!$A$1:$AS$1,),)))))/(((VLOOKUP(EDATE(B112,-12),Database!$A:$AS,MATCH($F$1,Database!$A$1:$AS$1,),)))))</f>
        <v/>
      </c>
      <c r="G112" s="13">
        <f>IF(VLOOKUP(B112,Database!$A:$AV,MATCH($G$1,Database!$A$1:$AV$1,),)=0,"#N/A",((((VLOOKUP(B112,Database!$A:$AS,MATCH($G$1,Database!$A$1:$AS$1,),))))-(((VLOOKUP(EDATE(B112,-12),Database!$A:$AS,MATCH($G$1,Database!$A$1:$AS$1,),)))))/(((VLOOKUP(EDATE(B112,-12),Database!$A:$AS,MATCH($G$1,Database!$A$1:$AS$1,),)))))</f>
        <v/>
      </c>
      <c r="H112" s="13">
        <f>IF(VLOOKUP(B112,Database!$A:$AV,MATCH($H$1,Database!$A$1:$AV$1,),)=0,"#N/A",((((VLOOKUP(B112,Database!$A:$AS,MATCH($H$1,Database!$A$1:$AS$1,),))))-(((VLOOKUP(EDATE(B112,-12),Database!$A:$AS,MATCH($H$1,Database!$A$1:$AS$1,),)))))/(((VLOOKUP(EDATE(B112,-12),Database!$A:$AS,MATCH($H$1,Database!$A$1:$AS$1,),)))))</f>
        <v/>
      </c>
      <c r="I112" s="13">
        <f>IF(VLOOKUP(B112,Database!$A:$AV,MATCH($I$1,Database!$A$1:$AV$1,),)=0,"#N/A",((((VLOOKUP(B112,Database!$A:$AS,MATCH($I$1,Database!$A$1:$AS$1,),))))-(((VLOOKUP(EDATE(B112,-12),Database!$A:$AS,MATCH($I$1,Database!$A$1:$AS$1,),)))))/(((VLOOKUP(EDATE(B112,-12),Database!$A:$AS,MATCH($I$1,Database!$A$1:$AS$1,),)))))</f>
        <v/>
      </c>
      <c r="J112" s="13">
        <f>IF(VLOOKUP(B112,Database!$A:$AV,MATCH($J$1,Database!$A$1:$AV$1,),)=0,"#N/A",((((VLOOKUP(B112,Database!$A:$AS,MATCH($J$1,Database!$A$1:$AS$1,),))))-(((VLOOKUP(EDATE(B112,-12),Database!$A:$AS,MATCH($J$1,Database!$A$1:$AS$1,),)))))/(((VLOOKUP(EDATE(B112,-12),Database!$A:$AS,MATCH($J$1,Database!$A$1:$AS$1,),)))))</f>
        <v/>
      </c>
      <c r="K112" s="13">
        <f>IF(VLOOKUP(B112,Database!$A:$AV,MATCH($K$1,Database!$A$1:$AV$1,),)=0,"#N/A",((((VLOOKUP(B112,Database!$A:$AS,MATCH($K$1,Database!$A$1:$AS$1,),))))-(((VLOOKUP(EDATE(B112,-12),Database!$A:$AS,MATCH($K$1,Database!$A$1:$AS$1,),)))))/(((VLOOKUP(EDATE(B112,-12),Database!$A:$AS,MATCH($K$1,Database!$A$1:$AS$1,),)))))</f>
        <v/>
      </c>
      <c r="L112" s="13">
        <f>((((VLOOKUP(B112,Database!$A:$AS,MATCH($L$1,Database!$A$1:$AS$1,),))))-(((VLOOKUP(EDATE(B112,-12),Database!$A:$AS,MATCH($L$1,Database!$A$1:$AS$1,),)))))/(((VLOOKUP(EDATE(B112,-12),Database!$A:$AS,MATCH($L$1,Database!$A$1:$AS$1,),))))</f>
        <v/>
      </c>
      <c r="M112" s="13">
        <f>((((VLOOKUP(B112,Database!$A:$AS,MATCH($M$1,Database!$A$1:$AS$1,),))))-(((VLOOKUP(EDATE(B112,-12),Database!$A:$AS,MATCH($M$1,Database!$A$1:$AS$1,),)))))/(((VLOOKUP(EDATE(B112,-12),Database!$A:$AS,MATCH($M$1,Database!$A$1:$AS$1,),))))</f>
        <v/>
      </c>
      <c r="N112" s="13">
        <f>((((VLOOKUP(B112,Database!$A:$AS,MATCH($N$1,Database!$A$1:$AS$1,),))))-(((VLOOKUP(EDATE(B112,-12),Database!$A:$AS,MATCH($N$1,Database!$A$1:$AS$1,),)))))/(((VLOOKUP(EDATE(B112,-12),Database!$A:$AS,MATCH($N$1,Database!$A$1:$AS$1,),))))</f>
        <v/>
      </c>
      <c r="O112" s="13">
        <f>IF(VLOOKUP(B112,Database!$A:$AV,MATCH($O$1,Database!$A$1:$AV$1,),)=0,"#N/A",((((VLOOKUP(B112,Database!$A:$AS,MATCH($O$1,Database!$A$1:$AS$1,),))))-(((VLOOKUP(EDATE(B112,-12),Database!$A:$AS,MATCH($O$1,Database!$A$1:$AS$1,),)))))/(((VLOOKUP(EDATE(B112,-12),Database!$A:$AS,MATCH($O$1,Database!$A$1:$AS$1,),)))))</f>
        <v/>
      </c>
      <c r="P112" s="13">
        <f>IF(VLOOKUP(B112,Database!$A:$AV,MATCH($P$1,Database!$A$1:$AV$1,),)=0,"#N/A",((((VLOOKUP(B112,Database!$A:$AS,MATCH($P$1,Database!$A$1:$AS$1,),))))-(((VLOOKUP(EDATE(B112,-12),Database!$A:$AS,MATCH($P$1,Database!$A$1:$AS$1,),)))))/(((VLOOKUP(EDATE(B112,-12),Database!$A:$AS,MATCH($P$1,Database!$A$1:$AS$1,),)))))</f>
        <v/>
      </c>
      <c r="Q112" s="13">
        <f>IF(VLOOKUP(B112,Database!$A:$AV,MATCH($Q$1,Database!$A$1:$AV$1,),)=0,"#N/A",((((VLOOKUP(B112,Database!$A:$AS,MATCH($Q$1,Database!$A$1:$AS$1,),))))-(((VLOOKUP(EDATE(B112,-12),Database!$A:$AS,MATCH($Q$1,Database!$A$1:$AS$1,),)))))/(((VLOOKUP(EDATE(B112,-12),Database!$A:$AS,MATCH($Q$1,Database!$A$1:$AS$1,),)))))</f>
        <v/>
      </c>
      <c r="R112" s="13">
        <f>IF(VLOOKUP(B112,Database!$A:$AV,MATCH($R$1,Database!$A$1:$AV$1,),)=0,"#N/A",((((VLOOKUP(B112,Database!$A:$AS,MATCH($R$1,Database!$A$1:$AS$1,),))))-(((VLOOKUP(EDATE(B112,-12),Database!$A:$AS,MATCH($R$1,Database!$A$1:$AS$1,),)))))/(((VLOOKUP(EDATE(B112,-12),Database!$A:$AS,MATCH($R$1,Database!$A$1:$AS$1,),)))))</f>
        <v/>
      </c>
      <c r="S112" s="13">
        <f>IF(VLOOKUP(B112,Database!$A:$AV,MATCH($S$1,Database!$A$1:$AV$1,),)=0,"#N/A",((((VLOOKUP(B112,Database!$A:$AS,MATCH($S$1,Database!$A$1:$AS$1,),))))-(((VLOOKUP(EDATE(B112,-12),Database!$A:$AS,MATCH($S$1,Database!$A$1:$AS$1,),)))))/(((VLOOKUP(EDATE(B112,-12),Database!$A:$AS,MATCH($S$1,Database!$A$1:$AS$1,),)))))</f>
        <v/>
      </c>
      <c r="T112" s="13">
        <f>IF(VLOOKUP(B112,Database!$A:$AV,MATCH($T$1,Database!$A$1:$AV$1,),)=0,"#N/A",((((VLOOKUP(B112,Database!$A:$AS,MATCH($T$1,Database!$A$1:$AS$1,),))))-(((VLOOKUP(EDATE(B112,-12),Database!$A:$AS,MATCH($T$1,Database!$A$1:$AS$1,),)))))/(((VLOOKUP(EDATE(B112,-12),Database!$A:$AS,MATCH($T$1,Database!$A$1:$AS$1,),)))))</f>
        <v/>
      </c>
      <c r="U112" s="13">
        <f>IF(VLOOKUP(B112,Database!$A:$AV,MATCH($U$1,Database!$A$1:$AV$1,),)=0,"#N/A",((((VLOOKUP(B112,Database!$A:$AS,MATCH($U$1,Database!$A$1:$AS$1,),))))-(((VLOOKUP(EDATE(B112,-12),Database!$A:$AS,MATCH($U$1,Database!$A$1:$AS$1,),)))))/(((VLOOKUP(EDATE(B112,-12),Database!$A:$AS,MATCH($U$1,Database!$A$1:$AS$1,),)))))</f>
        <v/>
      </c>
      <c r="V112" s="13">
        <f>IF(VLOOKUP(B112,Database!$A:$AV,MATCH($V$1,Database!$A$1:$AV$1,),)=0,"#N/A",((((VLOOKUP(B112,Database!$A:$AS,MATCH($V$1,Database!$A$1:$AS$1,),))))-(((VLOOKUP(EDATE(B112,-12),Database!$A:$AS,MATCH($V$1,Database!$A$1:$AS$1,),)))))/(((VLOOKUP(EDATE(B112,-12),Database!$A:$AS,MATCH($V$1,Database!$A$1:$AS$1,),)))))</f>
        <v/>
      </c>
    </row>
    <row r="113" customFormat="1" s="86">
      <c r="A113" s="43" t="n"/>
      <c r="B113" s="75" t="n">
        <v>35582</v>
      </c>
      <c r="C113" s="13">
        <f>IF(VLOOKUP(B113,Database!$A:$AU,MATCH($C$1,Database!$A$1:$AU$1,),)=0,"#N/A",((((VLOOKUP(B113,Database!$A:$AU,MATCH($C$1,Database!$A$1:$AU$1,),))))-(((VLOOKUP(EDATE(B113,-12),Database!$A:$AU,MATCH($C$1,Database!$A$1:$AU$1,),)))))/(((VLOOKUP(EDATE(B113,-12),Database!$A:$AU,MATCH($C$1,Database!$A$1:$AU$1,),)))))</f>
        <v/>
      </c>
      <c r="D113" s="13">
        <f>IF(VLOOKUP(B113,Database!$A:$AV,MATCH($D$1,Database!$A$1:$AV$1,),)=0,"#N/A",((((VLOOKUP(B113,Database!$A:$AS,MATCH($D$1,Database!$A$1:$AS$1,),))))-(((VLOOKUP(EDATE(B113,-12),Database!$A:$AS,MATCH($D$1,Database!$A$1:$AS$1,),)))))/(((VLOOKUP(EDATE(B113,-12),Database!$A:$AS,MATCH($D$1,Database!$A$1:$AS$1,),)))))</f>
        <v/>
      </c>
      <c r="E113" s="13">
        <f>IF(VLOOKUP(B113,Database!$A:$AV,MATCH($E$1,Database!$A$1:$AV$1,),)=0,"#N/A",((((VLOOKUP(B113,Database!$A:$AS,MATCH($E$1,Database!$A$1:$AS$1,),))))-(((VLOOKUP(EDATE(B113,-12),Database!$A:$AS,MATCH($E$1,Database!$A$1:$AS$1,),)))))/(((VLOOKUP(EDATE(B113,-12),Database!$A:$AS,MATCH($E$1,Database!$A$1:$AS$1,),)))))</f>
        <v/>
      </c>
      <c r="F113" s="13">
        <f>IF(VLOOKUP(B113,Database!$A:$AV,MATCH($F$1,Database!$A$1:$AV$1,),)=0,"#N/A",((((VLOOKUP(B113,Database!$A:$AS,MATCH($F$1,Database!$A$1:$AS$1,),))))-(((VLOOKUP(EDATE(B113,-12),Database!$A:$AS,MATCH($F$1,Database!$A$1:$AS$1,),)))))/(((VLOOKUP(EDATE(B113,-12),Database!$A:$AS,MATCH($F$1,Database!$A$1:$AS$1,),)))))</f>
        <v/>
      </c>
      <c r="G113" s="13">
        <f>IF(VLOOKUP(B113,Database!$A:$AV,MATCH($G$1,Database!$A$1:$AV$1,),)=0,"#N/A",((((VLOOKUP(B113,Database!$A:$AS,MATCH($G$1,Database!$A$1:$AS$1,),))))-(((VLOOKUP(EDATE(B113,-12),Database!$A:$AS,MATCH($G$1,Database!$A$1:$AS$1,),)))))/(((VLOOKUP(EDATE(B113,-12),Database!$A:$AS,MATCH($G$1,Database!$A$1:$AS$1,),)))))</f>
        <v/>
      </c>
      <c r="H113" s="13">
        <f>IF(VLOOKUP(B113,Database!$A:$AV,MATCH($H$1,Database!$A$1:$AV$1,),)=0,"#N/A",((((VLOOKUP(B113,Database!$A:$AS,MATCH($H$1,Database!$A$1:$AS$1,),))))-(((VLOOKUP(EDATE(B113,-12),Database!$A:$AS,MATCH($H$1,Database!$A$1:$AS$1,),)))))/(((VLOOKUP(EDATE(B113,-12),Database!$A:$AS,MATCH($H$1,Database!$A$1:$AS$1,),)))))</f>
        <v/>
      </c>
      <c r="I113" s="13">
        <f>IF(VLOOKUP(B113,Database!$A:$AV,MATCH($I$1,Database!$A$1:$AV$1,),)=0,"#N/A",((((VLOOKUP(B113,Database!$A:$AS,MATCH($I$1,Database!$A$1:$AS$1,),))))-(((VLOOKUP(EDATE(B113,-12),Database!$A:$AS,MATCH($I$1,Database!$A$1:$AS$1,),)))))/(((VLOOKUP(EDATE(B113,-12),Database!$A:$AS,MATCH($I$1,Database!$A$1:$AS$1,),)))))</f>
        <v/>
      </c>
      <c r="J113" s="13">
        <f>IF(VLOOKUP(B113,Database!$A:$AV,MATCH($J$1,Database!$A$1:$AV$1,),)=0,"#N/A",((((VLOOKUP(B113,Database!$A:$AS,MATCH($J$1,Database!$A$1:$AS$1,),))))-(((VLOOKUP(EDATE(B113,-12),Database!$A:$AS,MATCH($J$1,Database!$A$1:$AS$1,),)))))/(((VLOOKUP(EDATE(B113,-12),Database!$A:$AS,MATCH($J$1,Database!$A$1:$AS$1,),)))))</f>
        <v/>
      </c>
      <c r="K113" s="13">
        <f>IF(VLOOKUP(B113,Database!$A:$AV,MATCH($K$1,Database!$A$1:$AV$1,),)=0,"#N/A",((((VLOOKUP(B113,Database!$A:$AS,MATCH($K$1,Database!$A$1:$AS$1,),))))-(((VLOOKUP(EDATE(B113,-12),Database!$A:$AS,MATCH($K$1,Database!$A$1:$AS$1,),)))))/(((VLOOKUP(EDATE(B113,-12),Database!$A:$AS,MATCH($K$1,Database!$A$1:$AS$1,),)))))</f>
        <v/>
      </c>
      <c r="L113" s="13">
        <f>((((VLOOKUP(B113,Database!$A:$AS,MATCH($L$1,Database!$A$1:$AS$1,),))))-(((VLOOKUP(EDATE(B113,-12),Database!$A:$AS,MATCH($L$1,Database!$A$1:$AS$1,),)))))/(((VLOOKUP(EDATE(B113,-12),Database!$A:$AS,MATCH($L$1,Database!$A$1:$AS$1,),))))</f>
        <v/>
      </c>
      <c r="M113" s="13">
        <f>((((VLOOKUP(B113,Database!$A:$AS,MATCH($M$1,Database!$A$1:$AS$1,),))))-(((VLOOKUP(EDATE(B113,-12),Database!$A:$AS,MATCH($M$1,Database!$A$1:$AS$1,),)))))/(((VLOOKUP(EDATE(B113,-12),Database!$A:$AS,MATCH($M$1,Database!$A$1:$AS$1,),))))</f>
        <v/>
      </c>
      <c r="N113" s="13">
        <f>((((VLOOKUP(B113,Database!$A:$AS,MATCH($N$1,Database!$A$1:$AS$1,),))))-(((VLOOKUP(EDATE(B113,-12),Database!$A:$AS,MATCH($N$1,Database!$A$1:$AS$1,),)))))/(((VLOOKUP(EDATE(B113,-12),Database!$A:$AS,MATCH($N$1,Database!$A$1:$AS$1,),))))</f>
        <v/>
      </c>
      <c r="O113" s="13">
        <f>IF(VLOOKUP(B113,Database!$A:$AV,MATCH($O$1,Database!$A$1:$AV$1,),)=0,"#N/A",((((VLOOKUP(B113,Database!$A:$AS,MATCH($O$1,Database!$A$1:$AS$1,),))))-(((VLOOKUP(EDATE(B113,-12),Database!$A:$AS,MATCH($O$1,Database!$A$1:$AS$1,),)))))/(((VLOOKUP(EDATE(B113,-12),Database!$A:$AS,MATCH($O$1,Database!$A$1:$AS$1,),)))))</f>
        <v/>
      </c>
      <c r="P113" s="13">
        <f>IF(VLOOKUP(B113,Database!$A:$AV,MATCH($P$1,Database!$A$1:$AV$1,),)=0,"#N/A",((((VLOOKUP(B113,Database!$A:$AS,MATCH($P$1,Database!$A$1:$AS$1,),))))-(((VLOOKUP(EDATE(B113,-12),Database!$A:$AS,MATCH($P$1,Database!$A$1:$AS$1,),)))))/(((VLOOKUP(EDATE(B113,-12),Database!$A:$AS,MATCH($P$1,Database!$A$1:$AS$1,),)))))</f>
        <v/>
      </c>
      <c r="Q113" s="13">
        <f>IF(VLOOKUP(B113,Database!$A:$AV,MATCH($Q$1,Database!$A$1:$AV$1,),)=0,"#N/A",((((VLOOKUP(B113,Database!$A:$AS,MATCH($Q$1,Database!$A$1:$AS$1,),))))-(((VLOOKUP(EDATE(B113,-12),Database!$A:$AS,MATCH($Q$1,Database!$A$1:$AS$1,),)))))/(((VLOOKUP(EDATE(B113,-12),Database!$A:$AS,MATCH($Q$1,Database!$A$1:$AS$1,),)))))</f>
        <v/>
      </c>
      <c r="R113" s="13">
        <f>IF(VLOOKUP(B113,Database!$A:$AV,MATCH($R$1,Database!$A$1:$AV$1,),)=0,"#N/A",((((VLOOKUP(B113,Database!$A:$AS,MATCH($R$1,Database!$A$1:$AS$1,),))))-(((VLOOKUP(EDATE(B113,-12),Database!$A:$AS,MATCH($R$1,Database!$A$1:$AS$1,),)))))/(((VLOOKUP(EDATE(B113,-12),Database!$A:$AS,MATCH($R$1,Database!$A$1:$AS$1,),)))))</f>
        <v/>
      </c>
      <c r="S113" s="13">
        <f>IF(VLOOKUP(B113,Database!$A:$AV,MATCH($S$1,Database!$A$1:$AV$1,),)=0,"#N/A",((((VLOOKUP(B113,Database!$A:$AS,MATCH($S$1,Database!$A$1:$AS$1,),))))-(((VLOOKUP(EDATE(B113,-12),Database!$A:$AS,MATCH($S$1,Database!$A$1:$AS$1,),)))))/(((VLOOKUP(EDATE(B113,-12),Database!$A:$AS,MATCH($S$1,Database!$A$1:$AS$1,),)))))</f>
        <v/>
      </c>
      <c r="T113" s="13">
        <f>IF(VLOOKUP(B113,Database!$A:$AV,MATCH($T$1,Database!$A$1:$AV$1,),)=0,"#N/A",((((VLOOKUP(B113,Database!$A:$AS,MATCH($T$1,Database!$A$1:$AS$1,),))))-(((VLOOKUP(EDATE(B113,-12),Database!$A:$AS,MATCH($T$1,Database!$A$1:$AS$1,),)))))/(((VLOOKUP(EDATE(B113,-12),Database!$A:$AS,MATCH($T$1,Database!$A$1:$AS$1,),)))))</f>
        <v/>
      </c>
      <c r="U113" s="13">
        <f>IF(VLOOKUP(B113,Database!$A:$AV,MATCH($U$1,Database!$A$1:$AV$1,),)=0,"#N/A",((((VLOOKUP(B113,Database!$A:$AS,MATCH($U$1,Database!$A$1:$AS$1,),))))-(((VLOOKUP(EDATE(B113,-12),Database!$A:$AS,MATCH($U$1,Database!$A$1:$AS$1,),)))))/(((VLOOKUP(EDATE(B113,-12),Database!$A:$AS,MATCH($U$1,Database!$A$1:$AS$1,),)))))</f>
        <v/>
      </c>
      <c r="V113" s="13">
        <f>IF(VLOOKUP(B113,Database!$A:$AV,MATCH($V$1,Database!$A$1:$AV$1,),)=0,"#N/A",((((VLOOKUP(B113,Database!$A:$AS,MATCH($V$1,Database!$A$1:$AS$1,),))))-(((VLOOKUP(EDATE(B113,-12),Database!$A:$AS,MATCH($V$1,Database!$A$1:$AS$1,),)))))/(((VLOOKUP(EDATE(B113,-12),Database!$A:$AS,MATCH($V$1,Database!$A$1:$AS$1,),)))))</f>
        <v/>
      </c>
    </row>
    <row r="114" customFormat="1" s="86">
      <c r="A114" s="43" t="n"/>
      <c r="B114" s="75" t="n">
        <v>35612</v>
      </c>
      <c r="C114" s="13">
        <f>IF(VLOOKUP(B114,Database!$A:$AU,MATCH($C$1,Database!$A$1:$AU$1,),)=0,"#N/A",((((VLOOKUP(B114,Database!$A:$AU,MATCH($C$1,Database!$A$1:$AU$1,),))))-(((VLOOKUP(EDATE(B114,-12),Database!$A:$AU,MATCH($C$1,Database!$A$1:$AU$1,),)))))/(((VLOOKUP(EDATE(B114,-12),Database!$A:$AU,MATCH($C$1,Database!$A$1:$AU$1,),)))))</f>
        <v/>
      </c>
      <c r="D114" s="13">
        <f>IF(VLOOKUP(B114,Database!$A:$AV,MATCH($D$1,Database!$A$1:$AV$1,),)=0,"#N/A",((((VLOOKUP(B114,Database!$A:$AS,MATCH($D$1,Database!$A$1:$AS$1,),))))-(((VLOOKUP(EDATE(B114,-12),Database!$A:$AS,MATCH($D$1,Database!$A$1:$AS$1,),)))))/(((VLOOKUP(EDATE(B114,-12),Database!$A:$AS,MATCH($D$1,Database!$A$1:$AS$1,),)))))</f>
        <v/>
      </c>
      <c r="E114" s="13">
        <f>IF(VLOOKUP(B114,Database!$A:$AV,MATCH($E$1,Database!$A$1:$AV$1,),)=0,"#N/A",((((VLOOKUP(B114,Database!$A:$AS,MATCH($E$1,Database!$A$1:$AS$1,),))))-(((VLOOKUP(EDATE(B114,-12),Database!$A:$AS,MATCH($E$1,Database!$A$1:$AS$1,),)))))/(((VLOOKUP(EDATE(B114,-12),Database!$A:$AS,MATCH($E$1,Database!$A$1:$AS$1,),)))))</f>
        <v/>
      </c>
      <c r="F114" s="13">
        <f>IF(VLOOKUP(B114,Database!$A:$AV,MATCH($F$1,Database!$A$1:$AV$1,),)=0,"#N/A",((((VLOOKUP(B114,Database!$A:$AS,MATCH($F$1,Database!$A$1:$AS$1,),))))-(((VLOOKUP(EDATE(B114,-12),Database!$A:$AS,MATCH($F$1,Database!$A$1:$AS$1,),)))))/(((VLOOKUP(EDATE(B114,-12),Database!$A:$AS,MATCH($F$1,Database!$A$1:$AS$1,),)))))</f>
        <v/>
      </c>
      <c r="G114" s="13">
        <f>IF(VLOOKUP(B114,Database!$A:$AV,MATCH($G$1,Database!$A$1:$AV$1,),)=0,"#N/A",((((VLOOKUP(B114,Database!$A:$AS,MATCH($G$1,Database!$A$1:$AS$1,),))))-(((VLOOKUP(EDATE(B114,-12),Database!$A:$AS,MATCH($G$1,Database!$A$1:$AS$1,),)))))/(((VLOOKUP(EDATE(B114,-12),Database!$A:$AS,MATCH($G$1,Database!$A$1:$AS$1,),)))))</f>
        <v/>
      </c>
      <c r="H114" s="13">
        <f>IF(VLOOKUP(B114,Database!$A:$AV,MATCH($H$1,Database!$A$1:$AV$1,),)=0,"#N/A",((((VLOOKUP(B114,Database!$A:$AS,MATCH($H$1,Database!$A$1:$AS$1,),))))-(((VLOOKUP(EDATE(B114,-12),Database!$A:$AS,MATCH($H$1,Database!$A$1:$AS$1,),)))))/(((VLOOKUP(EDATE(B114,-12),Database!$A:$AS,MATCH($H$1,Database!$A$1:$AS$1,),)))))</f>
        <v/>
      </c>
      <c r="I114" s="13">
        <f>IF(VLOOKUP(B114,Database!$A:$AV,MATCH($I$1,Database!$A$1:$AV$1,),)=0,"#N/A",((((VLOOKUP(B114,Database!$A:$AS,MATCH($I$1,Database!$A$1:$AS$1,),))))-(((VLOOKUP(EDATE(B114,-12),Database!$A:$AS,MATCH($I$1,Database!$A$1:$AS$1,),)))))/(((VLOOKUP(EDATE(B114,-12),Database!$A:$AS,MATCH($I$1,Database!$A$1:$AS$1,),)))))</f>
        <v/>
      </c>
      <c r="J114" s="13">
        <f>IF(VLOOKUP(B114,Database!$A:$AV,MATCH($J$1,Database!$A$1:$AV$1,),)=0,"#N/A",((((VLOOKUP(B114,Database!$A:$AS,MATCH($J$1,Database!$A$1:$AS$1,),))))-(((VLOOKUP(EDATE(B114,-12),Database!$A:$AS,MATCH($J$1,Database!$A$1:$AS$1,),)))))/(((VLOOKUP(EDATE(B114,-12),Database!$A:$AS,MATCH($J$1,Database!$A$1:$AS$1,),)))))</f>
        <v/>
      </c>
      <c r="K114" s="13">
        <f>IF(VLOOKUP(B114,Database!$A:$AV,MATCH($K$1,Database!$A$1:$AV$1,),)=0,"#N/A",((((VLOOKUP(B114,Database!$A:$AS,MATCH($K$1,Database!$A$1:$AS$1,),))))-(((VLOOKUP(EDATE(B114,-12),Database!$A:$AS,MATCH($K$1,Database!$A$1:$AS$1,),)))))/(((VLOOKUP(EDATE(B114,-12),Database!$A:$AS,MATCH($K$1,Database!$A$1:$AS$1,),)))))</f>
        <v/>
      </c>
      <c r="L114" s="13">
        <f>((((VLOOKUP(B114,Database!$A:$AS,MATCH($L$1,Database!$A$1:$AS$1,),))))-(((VLOOKUP(EDATE(B114,-12),Database!$A:$AS,MATCH($L$1,Database!$A$1:$AS$1,),)))))/(((VLOOKUP(EDATE(B114,-12),Database!$A:$AS,MATCH($L$1,Database!$A$1:$AS$1,),))))</f>
        <v/>
      </c>
      <c r="M114" s="13">
        <f>((((VLOOKUP(B114,Database!$A:$AS,MATCH($M$1,Database!$A$1:$AS$1,),))))-(((VLOOKUP(EDATE(B114,-12),Database!$A:$AS,MATCH($M$1,Database!$A$1:$AS$1,),)))))/(((VLOOKUP(EDATE(B114,-12),Database!$A:$AS,MATCH($M$1,Database!$A$1:$AS$1,),))))</f>
        <v/>
      </c>
      <c r="N114" s="13">
        <f>((((VLOOKUP(B114,Database!$A:$AS,MATCH($N$1,Database!$A$1:$AS$1,),))))-(((VLOOKUP(EDATE(B114,-12),Database!$A:$AS,MATCH($N$1,Database!$A$1:$AS$1,),)))))/(((VLOOKUP(EDATE(B114,-12),Database!$A:$AS,MATCH($N$1,Database!$A$1:$AS$1,),))))</f>
        <v/>
      </c>
      <c r="O114" s="13">
        <f>IF(VLOOKUP(B114,Database!$A:$AV,MATCH($O$1,Database!$A$1:$AV$1,),)=0,"#N/A",((((VLOOKUP(B114,Database!$A:$AS,MATCH($O$1,Database!$A$1:$AS$1,),))))-(((VLOOKUP(EDATE(B114,-12),Database!$A:$AS,MATCH($O$1,Database!$A$1:$AS$1,),)))))/(((VLOOKUP(EDATE(B114,-12),Database!$A:$AS,MATCH($O$1,Database!$A$1:$AS$1,),)))))</f>
        <v/>
      </c>
      <c r="P114" s="13">
        <f>IF(VLOOKUP(B114,Database!$A:$AV,MATCH($P$1,Database!$A$1:$AV$1,),)=0,"#N/A",((((VLOOKUP(B114,Database!$A:$AS,MATCH($P$1,Database!$A$1:$AS$1,),))))-(((VLOOKUP(EDATE(B114,-12),Database!$A:$AS,MATCH($P$1,Database!$A$1:$AS$1,),)))))/(((VLOOKUP(EDATE(B114,-12),Database!$A:$AS,MATCH($P$1,Database!$A$1:$AS$1,),)))))</f>
        <v/>
      </c>
      <c r="Q114" s="13">
        <f>IF(VLOOKUP(B114,Database!$A:$AV,MATCH($Q$1,Database!$A$1:$AV$1,),)=0,"#N/A",((((VLOOKUP(B114,Database!$A:$AS,MATCH($Q$1,Database!$A$1:$AS$1,),))))-(((VLOOKUP(EDATE(B114,-12),Database!$A:$AS,MATCH($Q$1,Database!$A$1:$AS$1,),)))))/(((VLOOKUP(EDATE(B114,-12),Database!$A:$AS,MATCH($Q$1,Database!$A$1:$AS$1,),)))))</f>
        <v/>
      </c>
      <c r="R114" s="13">
        <f>IF(VLOOKUP(B114,Database!$A:$AV,MATCH($R$1,Database!$A$1:$AV$1,),)=0,"#N/A",((((VLOOKUP(B114,Database!$A:$AS,MATCH($R$1,Database!$A$1:$AS$1,),))))-(((VLOOKUP(EDATE(B114,-12),Database!$A:$AS,MATCH($R$1,Database!$A$1:$AS$1,),)))))/(((VLOOKUP(EDATE(B114,-12),Database!$A:$AS,MATCH($R$1,Database!$A$1:$AS$1,),)))))</f>
        <v/>
      </c>
      <c r="S114" s="13">
        <f>IF(VLOOKUP(B114,Database!$A:$AV,MATCH($S$1,Database!$A$1:$AV$1,),)=0,"#N/A",((((VLOOKUP(B114,Database!$A:$AS,MATCH($S$1,Database!$A$1:$AS$1,),))))-(((VLOOKUP(EDATE(B114,-12),Database!$A:$AS,MATCH($S$1,Database!$A$1:$AS$1,),)))))/(((VLOOKUP(EDATE(B114,-12),Database!$A:$AS,MATCH($S$1,Database!$A$1:$AS$1,),)))))</f>
        <v/>
      </c>
      <c r="T114" s="13">
        <f>IF(VLOOKUP(B114,Database!$A:$AV,MATCH($T$1,Database!$A$1:$AV$1,),)=0,"#N/A",((((VLOOKUP(B114,Database!$A:$AS,MATCH($T$1,Database!$A$1:$AS$1,),))))-(((VLOOKUP(EDATE(B114,-12),Database!$A:$AS,MATCH($T$1,Database!$A$1:$AS$1,),)))))/(((VLOOKUP(EDATE(B114,-12),Database!$A:$AS,MATCH($T$1,Database!$A$1:$AS$1,),)))))</f>
        <v/>
      </c>
      <c r="U114" s="13">
        <f>IF(VLOOKUP(B114,Database!$A:$AV,MATCH($U$1,Database!$A$1:$AV$1,),)=0,"#N/A",((((VLOOKUP(B114,Database!$A:$AS,MATCH($U$1,Database!$A$1:$AS$1,),))))-(((VLOOKUP(EDATE(B114,-12),Database!$A:$AS,MATCH($U$1,Database!$A$1:$AS$1,),)))))/(((VLOOKUP(EDATE(B114,-12),Database!$A:$AS,MATCH($U$1,Database!$A$1:$AS$1,),)))))</f>
        <v/>
      </c>
      <c r="V114" s="13">
        <f>IF(VLOOKUP(B114,Database!$A:$AV,MATCH($V$1,Database!$A$1:$AV$1,),)=0,"#N/A",((((VLOOKUP(B114,Database!$A:$AS,MATCH($V$1,Database!$A$1:$AS$1,),))))-(((VLOOKUP(EDATE(B114,-12),Database!$A:$AS,MATCH($V$1,Database!$A$1:$AS$1,),)))))/(((VLOOKUP(EDATE(B114,-12),Database!$A:$AS,MATCH($V$1,Database!$A$1:$AS$1,),)))))</f>
        <v/>
      </c>
    </row>
    <row r="115" customFormat="1" s="86">
      <c r="A115" s="43" t="n"/>
      <c r="B115" s="75" t="n">
        <v>35643</v>
      </c>
      <c r="C115" s="13">
        <f>IF(VLOOKUP(B115,Database!$A:$AU,MATCH($C$1,Database!$A$1:$AU$1,),)=0,"#N/A",((((VLOOKUP(B115,Database!$A:$AU,MATCH($C$1,Database!$A$1:$AU$1,),))))-(((VLOOKUP(EDATE(B115,-12),Database!$A:$AU,MATCH($C$1,Database!$A$1:$AU$1,),)))))/(((VLOOKUP(EDATE(B115,-12),Database!$A:$AU,MATCH($C$1,Database!$A$1:$AU$1,),)))))</f>
        <v/>
      </c>
      <c r="D115" s="13">
        <f>IF(VLOOKUP(B115,Database!$A:$AV,MATCH($D$1,Database!$A$1:$AV$1,),)=0,"#N/A",((((VLOOKUP(B115,Database!$A:$AS,MATCH($D$1,Database!$A$1:$AS$1,),))))-(((VLOOKUP(EDATE(B115,-12),Database!$A:$AS,MATCH($D$1,Database!$A$1:$AS$1,),)))))/(((VLOOKUP(EDATE(B115,-12),Database!$A:$AS,MATCH($D$1,Database!$A$1:$AS$1,),)))))</f>
        <v/>
      </c>
      <c r="E115" s="13">
        <f>IF(VLOOKUP(B115,Database!$A:$AV,MATCH($E$1,Database!$A$1:$AV$1,),)=0,"#N/A",((((VLOOKUP(B115,Database!$A:$AS,MATCH($E$1,Database!$A$1:$AS$1,),))))-(((VLOOKUP(EDATE(B115,-12),Database!$A:$AS,MATCH($E$1,Database!$A$1:$AS$1,),)))))/(((VLOOKUP(EDATE(B115,-12),Database!$A:$AS,MATCH($E$1,Database!$A$1:$AS$1,),)))))</f>
        <v/>
      </c>
      <c r="F115" s="13">
        <f>IF(VLOOKUP(B115,Database!$A:$AV,MATCH($F$1,Database!$A$1:$AV$1,),)=0,"#N/A",((((VLOOKUP(B115,Database!$A:$AS,MATCH($F$1,Database!$A$1:$AS$1,),))))-(((VLOOKUP(EDATE(B115,-12),Database!$A:$AS,MATCH($F$1,Database!$A$1:$AS$1,),)))))/(((VLOOKUP(EDATE(B115,-12),Database!$A:$AS,MATCH($F$1,Database!$A$1:$AS$1,),)))))</f>
        <v/>
      </c>
      <c r="G115" s="13">
        <f>IF(VLOOKUP(B115,Database!$A:$AV,MATCH($G$1,Database!$A$1:$AV$1,),)=0,"#N/A",((((VLOOKUP(B115,Database!$A:$AS,MATCH($G$1,Database!$A$1:$AS$1,),))))-(((VLOOKUP(EDATE(B115,-12),Database!$A:$AS,MATCH($G$1,Database!$A$1:$AS$1,),)))))/(((VLOOKUP(EDATE(B115,-12),Database!$A:$AS,MATCH($G$1,Database!$A$1:$AS$1,),)))))</f>
        <v/>
      </c>
      <c r="H115" s="13">
        <f>IF(VLOOKUP(B115,Database!$A:$AV,MATCH($H$1,Database!$A$1:$AV$1,),)=0,"#N/A",((((VLOOKUP(B115,Database!$A:$AS,MATCH($H$1,Database!$A$1:$AS$1,),))))-(((VLOOKUP(EDATE(B115,-12),Database!$A:$AS,MATCH($H$1,Database!$A$1:$AS$1,),)))))/(((VLOOKUP(EDATE(B115,-12),Database!$A:$AS,MATCH($H$1,Database!$A$1:$AS$1,),)))))</f>
        <v/>
      </c>
      <c r="I115" s="13">
        <f>IF(VLOOKUP(B115,Database!$A:$AV,MATCH($I$1,Database!$A$1:$AV$1,),)=0,"#N/A",((((VLOOKUP(B115,Database!$A:$AS,MATCH($I$1,Database!$A$1:$AS$1,),))))-(((VLOOKUP(EDATE(B115,-12),Database!$A:$AS,MATCH($I$1,Database!$A$1:$AS$1,),)))))/(((VLOOKUP(EDATE(B115,-12),Database!$A:$AS,MATCH($I$1,Database!$A$1:$AS$1,),)))))</f>
        <v/>
      </c>
      <c r="J115" s="13">
        <f>IF(VLOOKUP(B115,Database!$A:$AV,MATCH($J$1,Database!$A$1:$AV$1,),)=0,"#N/A",((((VLOOKUP(B115,Database!$A:$AS,MATCH($J$1,Database!$A$1:$AS$1,),))))-(((VLOOKUP(EDATE(B115,-12),Database!$A:$AS,MATCH($J$1,Database!$A$1:$AS$1,),)))))/(((VLOOKUP(EDATE(B115,-12),Database!$A:$AS,MATCH($J$1,Database!$A$1:$AS$1,),)))))</f>
        <v/>
      </c>
      <c r="K115" s="13">
        <f>IF(VLOOKUP(B115,Database!$A:$AV,MATCH($K$1,Database!$A$1:$AV$1,),)=0,"#N/A",((((VLOOKUP(B115,Database!$A:$AS,MATCH($K$1,Database!$A$1:$AS$1,),))))-(((VLOOKUP(EDATE(B115,-12),Database!$A:$AS,MATCH($K$1,Database!$A$1:$AS$1,),)))))/(((VLOOKUP(EDATE(B115,-12),Database!$A:$AS,MATCH($K$1,Database!$A$1:$AS$1,),)))))</f>
        <v/>
      </c>
      <c r="L115" s="13">
        <f>((((VLOOKUP(B115,Database!$A:$AS,MATCH($L$1,Database!$A$1:$AS$1,),))))-(((VLOOKUP(EDATE(B115,-12),Database!$A:$AS,MATCH($L$1,Database!$A$1:$AS$1,),)))))/(((VLOOKUP(EDATE(B115,-12),Database!$A:$AS,MATCH($L$1,Database!$A$1:$AS$1,),))))</f>
        <v/>
      </c>
      <c r="M115" s="13">
        <f>((((VLOOKUP(B115,Database!$A:$AS,MATCH($M$1,Database!$A$1:$AS$1,),))))-(((VLOOKUP(EDATE(B115,-12),Database!$A:$AS,MATCH($M$1,Database!$A$1:$AS$1,),)))))/(((VLOOKUP(EDATE(B115,-12),Database!$A:$AS,MATCH($M$1,Database!$A$1:$AS$1,),))))</f>
        <v/>
      </c>
      <c r="N115" s="13">
        <f>((((VLOOKUP(B115,Database!$A:$AS,MATCH($N$1,Database!$A$1:$AS$1,),))))-(((VLOOKUP(EDATE(B115,-12),Database!$A:$AS,MATCH($N$1,Database!$A$1:$AS$1,),)))))/(((VLOOKUP(EDATE(B115,-12),Database!$A:$AS,MATCH($N$1,Database!$A$1:$AS$1,),))))</f>
        <v/>
      </c>
      <c r="O115" s="13">
        <f>IF(VLOOKUP(B115,Database!$A:$AV,MATCH($O$1,Database!$A$1:$AV$1,),)=0,"#N/A",((((VLOOKUP(B115,Database!$A:$AS,MATCH($O$1,Database!$A$1:$AS$1,),))))-(((VLOOKUP(EDATE(B115,-12),Database!$A:$AS,MATCH($O$1,Database!$A$1:$AS$1,),)))))/(((VLOOKUP(EDATE(B115,-12),Database!$A:$AS,MATCH($O$1,Database!$A$1:$AS$1,),)))))</f>
        <v/>
      </c>
      <c r="P115" s="13">
        <f>IF(VLOOKUP(B115,Database!$A:$AV,MATCH($P$1,Database!$A$1:$AV$1,),)=0,"#N/A",((((VLOOKUP(B115,Database!$A:$AS,MATCH($P$1,Database!$A$1:$AS$1,),))))-(((VLOOKUP(EDATE(B115,-12),Database!$A:$AS,MATCH($P$1,Database!$A$1:$AS$1,),)))))/(((VLOOKUP(EDATE(B115,-12),Database!$A:$AS,MATCH($P$1,Database!$A$1:$AS$1,),)))))</f>
        <v/>
      </c>
      <c r="Q115" s="13">
        <f>IF(VLOOKUP(B115,Database!$A:$AV,MATCH($Q$1,Database!$A$1:$AV$1,),)=0,"#N/A",((((VLOOKUP(B115,Database!$A:$AS,MATCH($Q$1,Database!$A$1:$AS$1,),))))-(((VLOOKUP(EDATE(B115,-12),Database!$A:$AS,MATCH($Q$1,Database!$A$1:$AS$1,),)))))/(((VLOOKUP(EDATE(B115,-12),Database!$A:$AS,MATCH($Q$1,Database!$A$1:$AS$1,),)))))</f>
        <v/>
      </c>
      <c r="R115" s="13">
        <f>IF(VLOOKUP(B115,Database!$A:$AV,MATCH($R$1,Database!$A$1:$AV$1,),)=0,"#N/A",((((VLOOKUP(B115,Database!$A:$AS,MATCH($R$1,Database!$A$1:$AS$1,),))))-(((VLOOKUP(EDATE(B115,-12),Database!$A:$AS,MATCH($R$1,Database!$A$1:$AS$1,),)))))/(((VLOOKUP(EDATE(B115,-12),Database!$A:$AS,MATCH($R$1,Database!$A$1:$AS$1,),)))))</f>
        <v/>
      </c>
      <c r="S115" s="13">
        <f>IF(VLOOKUP(B115,Database!$A:$AV,MATCH($S$1,Database!$A$1:$AV$1,),)=0,"#N/A",((((VLOOKUP(B115,Database!$A:$AS,MATCH($S$1,Database!$A$1:$AS$1,),))))-(((VLOOKUP(EDATE(B115,-12),Database!$A:$AS,MATCH($S$1,Database!$A$1:$AS$1,),)))))/(((VLOOKUP(EDATE(B115,-12),Database!$A:$AS,MATCH($S$1,Database!$A$1:$AS$1,),)))))</f>
        <v/>
      </c>
      <c r="T115" s="13">
        <f>IF(VLOOKUP(B115,Database!$A:$AV,MATCH($T$1,Database!$A$1:$AV$1,),)=0,"#N/A",((((VLOOKUP(B115,Database!$A:$AS,MATCH($T$1,Database!$A$1:$AS$1,),))))-(((VLOOKUP(EDATE(B115,-12),Database!$A:$AS,MATCH($T$1,Database!$A$1:$AS$1,),)))))/(((VLOOKUP(EDATE(B115,-12),Database!$A:$AS,MATCH($T$1,Database!$A$1:$AS$1,),)))))</f>
        <v/>
      </c>
      <c r="U115" s="13">
        <f>IF(VLOOKUP(B115,Database!$A:$AV,MATCH($U$1,Database!$A$1:$AV$1,),)=0,"#N/A",((((VLOOKUP(B115,Database!$A:$AS,MATCH($U$1,Database!$A$1:$AS$1,),))))-(((VLOOKUP(EDATE(B115,-12),Database!$A:$AS,MATCH($U$1,Database!$A$1:$AS$1,),)))))/(((VLOOKUP(EDATE(B115,-12),Database!$A:$AS,MATCH($U$1,Database!$A$1:$AS$1,),)))))</f>
        <v/>
      </c>
      <c r="V115" s="13">
        <f>IF(VLOOKUP(B115,Database!$A:$AV,MATCH($V$1,Database!$A$1:$AV$1,),)=0,"#N/A",((((VLOOKUP(B115,Database!$A:$AS,MATCH($V$1,Database!$A$1:$AS$1,),))))-(((VLOOKUP(EDATE(B115,-12),Database!$A:$AS,MATCH($V$1,Database!$A$1:$AS$1,),)))))/(((VLOOKUP(EDATE(B115,-12),Database!$A:$AS,MATCH($V$1,Database!$A$1:$AS$1,),)))))</f>
        <v/>
      </c>
    </row>
    <row r="116" customFormat="1" s="86">
      <c r="A116" s="43" t="n"/>
      <c r="B116" s="75" t="n">
        <v>35674</v>
      </c>
      <c r="C116" s="13">
        <f>IF(VLOOKUP(B116,Database!$A:$AU,MATCH($C$1,Database!$A$1:$AU$1,),)=0,"#N/A",((((VLOOKUP(B116,Database!$A:$AU,MATCH($C$1,Database!$A$1:$AU$1,),))))-(((VLOOKUP(EDATE(B116,-12),Database!$A:$AU,MATCH($C$1,Database!$A$1:$AU$1,),)))))/(((VLOOKUP(EDATE(B116,-12),Database!$A:$AU,MATCH($C$1,Database!$A$1:$AU$1,),)))))</f>
        <v/>
      </c>
      <c r="D116" s="13">
        <f>IF(VLOOKUP(B116,Database!$A:$AV,MATCH($D$1,Database!$A$1:$AV$1,),)=0,"#N/A",((((VLOOKUP(B116,Database!$A:$AS,MATCH($D$1,Database!$A$1:$AS$1,),))))-(((VLOOKUP(EDATE(B116,-12),Database!$A:$AS,MATCH($D$1,Database!$A$1:$AS$1,),)))))/(((VLOOKUP(EDATE(B116,-12),Database!$A:$AS,MATCH($D$1,Database!$A$1:$AS$1,),)))))</f>
        <v/>
      </c>
      <c r="E116" s="13">
        <f>IF(VLOOKUP(B116,Database!$A:$AV,MATCH($E$1,Database!$A$1:$AV$1,),)=0,"#N/A",((((VLOOKUP(B116,Database!$A:$AS,MATCH($E$1,Database!$A$1:$AS$1,),))))-(((VLOOKUP(EDATE(B116,-12),Database!$A:$AS,MATCH($E$1,Database!$A$1:$AS$1,),)))))/(((VLOOKUP(EDATE(B116,-12),Database!$A:$AS,MATCH($E$1,Database!$A$1:$AS$1,),)))))</f>
        <v/>
      </c>
      <c r="F116" s="13">
        <f>IF(VLOOKUP(B116,Database!$A:$AV,MATCH($F$1,Database!$A$1:$AV$1,),)=0,"#N/A",((((VLOOKUP(B116,Database!$A:$AS,MATCH($F$1,Database!$A$1:$AS$1,),))))-(((VLOOKUP(EDATE(B116,-12),Database!$A:$AS,MATCH($F$1,Database!$A$1:$AS$1,),)))))/(((VLOOKUP(EDATE(B116,-12),Database!$A:$AS,MATCH($F$1,Database!$A$1:$AS$1,),)))))</f>
        <v/>
      </c>
      <c r="G116" s="13">
        <f>IF(VLOOKUP(B116,Database!$A:$AV,MATCH($G$1,Database!$A$1:$AV$1,),)=0,"#N/A",((((VLOOKUP(B116,Database!$A:$AS,MATCH($G$1,Database!$A$1:$AS$1,),))))-(((VLOOKUP(EDATE(B116,-12),Database!$A:$AS,MATCH($G$1,Database!$A$1:$AS$1,),)))))/(((VLOOKUP(EDATE(B116,-12),Database!$A:$AS,MATCH($G$1,Database!$A$1:$AS$1,),)))))</f>
        <v/>
      </c>
      <c r="H116" s="13">
        <f>IF(VLOOKUP(B116,Database!$A:$AV,MATCH($H$1,Database!$A$1:$AV$1,),)=0,"#N/A",((((VLOOKUP(B116,Database!$A:$AS,MATCH($H$1,Database!$A$1:$AS$1,),))))-(((VLOOKUP(EDATE(B116,-12),Database!$A:$AS,MATCH($H$1,Database!$A$1:$AS$1,),)))))/(((VLOOKUP(EDATE(B116,-12),Database!$A:$AS,MATCH($H$1,Database!$A$1:$AS$1,),)))))</f>
        <v/>
      </c>
      <c r="I116" s="13">
        <f>IF(VLOOKUP(B116,Database!$A:$AV,MATCH($I$1,Database!$A$1:$AV$1,),)=0,"#N/A",((((VLOOKUP(B116,Database!$A:$AS,MATCH($I$1,Database!$A$1:$AS$1,),))))-(((VLOOKUP(EDATE(B116,-12),Database!$A:$AS,MATCH($I$1,Database!$A$1:$AS$1,),)))))/(((VLOOKUP(EDATE(B116,-12),Database!$A:$AS,MATCH($I$1,Database!$A$1:$AS$1,),)))))</f>
        <v/>
      </c>
      <c r="J116" s="13">
        <f>IF(VLOOKUP(B116,Database!$A:$AV,MATCH($J$1,Database!$A$1:$AV$1,),)=0,"#N/A",((((VLOOKUP(B116,Database!$A:$AS,MATCH($J$1,Database!$A$1:$AS$1,),))))-(((VLOOKUP(EDATE(B116,-12),Database!$A:$AS,MATCH($J$1,Database!$A$1:$AS$1,),)))))/(((VLOOKUP(EDATE(B116,-12),Database!$A:$AS,MATCH($J$1,Database!$A$1:$AS$1,),)))))</f>
        <v/>
      </c>
      <c r="K116" s="13">
        <f>IF(VLOOKUP(B116,Database!$A:$AV,MATCH($K$1,Database!$A$1:$AV$1,),)=0,"#N/A",((((VLOOKUP(B116,Database!$A:$AS,MATCH($K$1,Database!$A$1:$AS$1,),))))-(((VLOOKUP(EDATE(B116,-12),Database!$A:$AS,MATCH($K$1,Database!$A$1:$AS$1,),)))))/(((VLOOKUP(EDATE(B116,-12),Database!$A:$AS,MATCH($K$1,Database!$A$1:$AS$1,),)))))</f>
        <v/>
      </c>
      <c r="L116" s="13">
        <f>((((VLOOKUP(B116,Database!$A:$AS,MATCH($L$1,Database!$A$1:$AS$1,),))))-(((VLOOKUP(EDATE(B116,-12),Database!$A:$AS,MATCH($L$1,Database!$A$1:$AS$1,),)))))/(((VLOOKUP(EDATE(B116,-12),Database!$A:$AS,MATCH($L$1,Database!$A$1:$AS$1,),))))</f>
        <v/>
      </c>
      <c r="M116" s="13">
        <f>((((VLOOKUP(B116,Database!$A:$AS,MATCH($M$1,Database!$A$1:$AS$1,),))))-(((VLOOKUP(EDATE(B116,-12),Database!$A:$AS,MATCH($M$1,Database!$A$1:$AS$1,),)))))/(((VLOOKUP(EDATE(B116,-12),Database!$A:$AS,MATCH($M$1,Database!$A$1:$AS$1,),))))</f>
        <v/>
      </c>
      <c r="N116" s="13">
        <f>((((VLOOKUP(B116,Database!$A:$AS,MATCH($N$1,Database!$A$1:$AS$1,),))))-(((VLOOKUP(EDATE(B116,-12),Database!$A:$AS,MATCH($N$1,Database!$A$1:$AS$1,),)))))/(((VLOOKUP(EDATE(B116,-12),Database!$A:$AS,MATCH($N$1,Database!$A$1:$AS$1,),))))</f>
        <v/>
      </c>
      <c r="O116" s="13">
        <f>IF(VLOOKUP(B116,Database!$A:$AV,MATCH($O$1,Database!$A$1:$AV$1,),)=0,"#N/A",((((VLOOKUP(B116,Database!$A:$AS,MATCH($O$1,Database!$A$1:$AS$1,),))))-(((VLOOKUP(EDATE(B116,-12),Database!$A:$AS,MATCH($O$1,Database!$A$1:$AS$1,),)))))/(((VLOOKUP(EDATE(B116,-12),Database!$A:$AS,MATCH($O$1,Database!$A$1:$AS$1,),)))))</f>
        <v/>
      </c>
      <c r="P116" s="13">
        <f>IF(VLOOKUP(B116,Database!$A:$AV,MATCH($P$1,Database!$A$1:$AV$1,),)=0,"#N/A",((((VLOOKUP(B116,Database!$A:$AS,MATCH($P$1,Database!$A$1:$AS$1,),))))-(((VLOOKUP(EDATE(B116,-12),Database!$A:$AS,MATCH($P$1,Database!$A$1:$AS$1,),)))))/(((VLOOKUP(EDATE(B116,-12),Database!$A:$AS,MATCH($P$1,Database!$A$1:$AS$1,),)))))</f>
        <v/>
      </c>
      <c r="Q116" s="13">
        <f>IF(VLOOKUP(B116,Database!$A:$AV,MATCH($Q$1,Database!$A$1:$AV$1,),)=0,"#N/A",((((VLOOKUP(B116,Database!$A:$AS,MATCH($Q$1,Database!$A$1:$AS$1,),))))-(((VLOOKUP(EDATE(B116,-12),Database!$A:$AS,MATCH($Q$1,Database!$A$1:$AS$1,),)))))/(((VLOOKUP(EDATE(B116,-12),Database!$A:$AS,MATCH($Q$1,Database!$A$1:$AS$1,),)))))</f>
        <v/>
      </c>
      <c r="R116" s="13">
        <f>IF(VLOOKUP(B116,Database!$A:$AV,MATCH($R$1,Database!$A$1:$AV$1,),)=0,"#N/A",((((VLOOKUP(B116,Database!$A:$AS,MATCH($R$1,Database!$A$1:$AS$1,),))))-(((VLOOKUP(EDATE(B116,-12),Database!$A:$AS,MATCH($R$1,Database!$A$1:$AS$1,),)))))/(((VLOOKUP(EDATE(B116,-12),Database!$A:$AS,MATCH($R$1,Database!$A$1:$AS$1,),)))))</f>
        <v/>
      </c>
      <c r="S116" s="13">
        <f>IF(VLOOKUP(B116,Database!$A:$AV,MATCH($S$1,Database!$A$1:$AV$1,),)=0,"#N/A",((((VLOOKUP(B116,Database!$A:$AS,MATCH($S$1,Database!$A$1:$AS$1,),))))-(((VLOOKUP(EDATE(B116,-12),Database!$A:$AS,MATCH($S$1,Database!$A$1:$AS$1,),)))))/(((VLOOKUP(EDATE(B116,-12),Database!$A:$AS,MATCH($S$1,Database!$A$1:$AS$1,),)))))</f>
        <v/>
      </c>
      <c r="T116" s="13">
        <f>IF(VLOOKUP(B116,Database!$A:$AV,MATCH($T$1,Database!$A$1:$AV$1,),)=0,"#N/A",((((VLOOKUP(B116,Database!$A:$AS,MATCH($T$1,Database!$A$1:$AS$1,),))))-(((VLOOKUP(EDATE(B116,-12),Database!$A:$AS,MATCH($T$1,Database!$A$1:$AS$1,),)))))/(((VLOOKUP(EDATE(B116,-12),Database!$A:$AS,MATCH($T$1,Database!$A$1:$AS$1,),)))))</f>
        <v/>
      </c>
      <c r="U116" s="13">
        <f>IF(VLOOKUP(B116,Database!$A:$AV,MATCH($U$1,Database!$A$1:$AV$1,),)=0,"#N/A",((((VLOOKUP(B116,Database!$A:$AS,MATCH($U$1,Database!$A$1:$AS$1,),))))-(((VLOOKUP(EDATE(B116,-12),Database!$A:$AS,MATCH($U$1,Database!$A$1:$AS$1,),)))))/(((VLOOKUP(EDATE(B116,-12),Database!$A:$AS,MATCH($U$1,Database!$A$1:$AS$1,),)))))</f>
        <v/>
      </c>
      <c r="V116" s="13">
        <f>IF(VLOOKUP(B116,Database!$A:$AV,MATCH($V$1,Database!$A$1:$AV$1,),)=0,"#N/A",((((VLOOKUP(B116,Database!$A:$AS,MATCH($V$1,Database!$A$1:$AS$1,),))))-(((VLOOKUP(EDATE(B116,-12),Database!$A:$AS,MATCH($V$1,Database!$A$1:$AS$1,),)))))/(((VLOOKUP(EDATE(B116,-12),Database!$A:$AS,MATCH($V$1,Database!$A$1:$AS$1,),)))))</f>
        <v/>
      </c>
    </row>
    <row r="117" customFormat="1" s="86">
      <c r="A117" s="43" t="n"/>
      <c r="B117" s="75" t="n">
        <v>35704</v>
      </c>
      <c r="C117" s="13">
        <f>IF(VLOOKUP(B117,Database!$A:$AU,MATCH($C$1,Database!$A$1:$AU$1,),)=0,"#N/A",((((VLOOKUP(B117,Database!$A:$AU,MATCH($C$1,Database!$A$1:$AU$1,),))))-(((VLOOKUP(EDATE(B117,-12),Database!$A:$AU,MATCH($C$1,Database!$A$1:$AU$1,),)))))/(((VLOOKUP(EDATE(B117,-12),Database!$A:$AU,MATCH($C$1,Database!$A$1:$AU$1,),)))))</f>
        <v/>
      </c>
      <c r="D117" s="13">
        <f>IF(VLOOKUP(B117,Database!$A:$AV,MATCH($D$1,Database!$A$1:$AV$1,),)=0,"#N/A",((((VLOOKUP(B117,Database!$A:$AS,MATCH($D$1,Database!$A$1:$AS$1,),))))-(((VLOOKUP(EDATE(B117,-12),Database!$A:$AS,MATCH($D$1,Database!$A$1:$AS$1,),)))))/(((VLOOKUP(EDATE(B117,-12),Database!$A:$AS,MATCH($D$1,Database!$A$1:$AS$1,),)))))</f>
        <v/>
      </c>
      <c r="E117" s="13">
        <f>IF(VLOOKUP(B117,Database!$A:$AV,MATCH($E$1,Database!$A$1:$AV$1,),)=0,"#N/A",((((VLOOKUP(B117,Database!$A:$AS,MATCH($E$1,Database!$A$1:$AS$1,),))))-(((VLOOKUP(EDATE(B117,-12),Database!$A:$AS,MATCH($E$1,Database!$A$1:$AS$1,),)))))/(((VLOOKUP(EDATE(B117,-12),Database!$A:$AS,MATCH($E$1,Database!$A$1:$AS$1,),)))))</f>
        <v/>
      </c>
      <c r="F117" s="13">
        <f>IF(VLOOKUP(B117,Database!$A:$AV,MATCH($F$1,Database!$A$1:$AV$1,),)=0,"#N/A",((((VLOOKUP(B117,Database!$A:$AS,MATCH($F$1,Database!$A$1:$AS$1,),))))-(((VLOOKUP(EDATE(B117,-12),Database!$A:$AS,MATCH($F$1,Database!$A$1:$AS$1,),)))))/(((VLOOKUP(EDATE(B117,-12),Database!$A:$AS,MATCH($F$1,Database!$A$1:$AS$1,),)))))</f>
        <v/>
      </c>
      <c r="G117" s="13">
        <f>IF(VLOOKUP(B117,Database!$A:$AV,MATCH($G$1,Database!$A$1:$AV$1,),)=0,"#N/A",((((VLOOKUP(B117,Database!$A:$AS,MATCH($G$1,Database!$A$1:$AS$1,),))))-(((VLOOKUP(EDATE(B117,-12),Database!$A:$AS,MATCH($G$1,Database!$A$1:$AS$1,),)))))/(((VLOOKUP(EDATE(B117,-12),Database!$A:$AS,MATCH($G$1,Database!$A$1:$AS$1,),)))))</f>
        <v/>
      </c>
      <c r="H117" s="13">
        <f>IF(VLOOKUP(B117,Database!$A:$AV,MATCH($H$1,Database!$A$1:$AV$1,),)=0,"#N/A",((((VLOOKUP(B117,Database!$A:$AS,MATCH($H$1,Database!$A$1:$AS$1,),))))-(((VLOOKUP(EDATE(B117,-12),Database!$A:$AS,MATCH($H$1,Database!$A$1:$AS$1,),)))))/(((VLOOKUP(EDATE(B117,-12),Database!$A:$AS,MATCH($H$1,Database!$A$1:$AS$1,),)))))</f>
        <v/>
      </c>
      <c r="I117" s="13">
        <f>IF(VLOOKUP(B117,Database!$A:$AV,MATCH($I$1,Database!$A$1:$AV$1,),)=0,"#N/A",((((VLOOKUP(B117,Database!$A:$AS,MATCH($I$1,Database!$A$1:$AS$1,),))))-(((VLOOKUP(EDATE(B117,-12),Database!$A:$AS,MATCH($I$1,Database!$A$1:$AS$1,),)))))/(((VLOOKUP(EDATE(B117,-12),Database!$A:$AS,MATCH($I$1,Database!$A$1:$AS$1,),)))))</f>
        <v/>
      </c>
      <c r="J117" s="13">
        <f>IF(VLOOKUP(B117,Database!$A:$AV,MATCH($J$1,Database!$A$1:$AV$1,),)=0,"#N/A",((((VLOOKUP(B117,Database!$A:$AS,MATCH($J$1,Database!$A$1:$AS$1,),))))-(((VLOOKUP(EDATE(B117,-12),Database!$A:$AS,MATCH($J$1,Database!$A$1:$AS$1,),)))))/(((VLOOKUP(EDATE(B117,-12),Database!$A:$AS,MATCH($J$1,Database!$A$1:$AS$1,),)))))</f>
        <v/>
      </c>
      <c r="K117" s="13">
        <f>IF(VLOOKUP(B117,Database!$A:$AV,MATCH($K$1,Database!$A$1:$AV$1,),)=0,"#N/A",((((VLOOKUP(B117,Database!$A:$AS,MATCH($K$1,Database!$A$1:$AS$1,),))))-(((VLOOKUP(EDATE(B117,-12),Database!$A:$AS,MATCH($K$1,Database!$A$1:$AS$1,),)))))/(((VLOOKUP(EDATE(B117,-12),Database!$A:$AS,MATCH($K$1,Database!$A$1:$AS$1,),)))))</f>
        <v/>
      </c>
      <c r="L117" s="13">
        <f>((((VLOOKUP(B117,Database!$A:$AS,MATCH($L$1,Database!$A$1:$AS$1,),))))-(((VLOOKUP(EDATE(B117,-12),Database!$A:$AS,MATCH($L$1,Database!$A$1:$AS$1,),)))))/(((VLOOKUP(EDATE(B117,-12),Database!$A:$AS,MATCH($L$1,Database!$A$1:$AS$1,),))))</f>
        <v/>
      </c>
      <c r="M117" s="13">
        <f>((((VLOOKUP(B117,Database!$A:$AS,MATCH($M$1,Database!$A$1:$AS$1,),))))-(((VLOOKUP(EDATE(B117,-12),Database!$A:$AS,MATCH($M$1,Database!$A$1:$AS$1,),)))))/(((VLOOKUP(EDATE(B117,-12),Database!$A:$AS,MATCH($M$1,Database!$A$1:$AS$1,),))))</f>
        <v/>
      </c>
      <c r="N117" s="13">
        <f>((((VLOOKUP(B117,Database!$A:$AS,MATCH($N$1,Database!$A$1:$AS$1,),))))-(((VLOOKUP(EDATE(B117,-12),Database!$A:$AS,MATCH($N$1,Database!$A$1:$AS$1,),)))))/(((VLOOKUP(EDATE(B117,-12),Database!$A:$AS,MATCH($N$1,Database!$A$1:$AS$1,),))))</f>
        <v/>
      </c>
      <c r="O117" s="13">
        <f>IF(VLOOKUP(B117,Database!$A:$AV,MATCH($O$1,Database!$A$1:$AV$1,),)=0,"#N/A",((((VLOOKUP(B117,Database!$A:$AS,MATCH($O$1,Database!$A$1:$AS$1,),))))-(((VLOOKUP(EDATE(B117,-12),Database!$A:$AS,MATCH($O$1,Database!$A$1:$AS$1,),)))))/(((VLOOKUP(EDATE(B117,-12),Database!$A:$AS,MATCH($O$1,Database!$A$1:$AS$1,),)))))</f>
        <v/>
      </c>
      <c r="P117" s="13">
        <f>IF(VLOOKUP(B117,Database!$A:$AV,MATCH($P$1,Database!$A$1:$AV$1,),)=0,"#N/A",((((VLOOKUP(B117,Database!$A:$AS,MATCH($P$1,Database!$A$1:$AS$1,),))))-(((VLOOKUP(EDATE(B117,-12),Database!$A:$AS,MATCH($P$1,Database!$A$1:$AS$1,),)))))/(((VLOOKUP(EDATE(B117,-12),Database!$A:$AS,MATCH($P$1,Database!$A$1:$AS$1,),)))))</f>
        <v/>
      </c>
      <c r="Q117" s="13">
        <f>IF(VLOOKUP(B117,Database!$A:$AV,MATCH($Q$1,Database!$A$1:$AV$1,),)=0,"#N/A",((((VLOOKUP(B117,Database!$A:$AS,MATCH($Q$1,Database!$A$1:$AS$1,),))))-(((VLOOKUP(EDATE(B117,-12),Database!$A:$AS,MATCH($Q$1,Database!$A$1:$AS$1,),)))))/(((VLOOKUP(EDATE(B117,-12),Database!$A:$AS,MATCH($Q$1,Database!$A$1:$AS$1,),)))))</f>
        <v/>
      </c>
      <c r="R117" s="13">
        <f>IF(VLOOKUP(B117,Database!$A:$AV,MATCH($R$1,Database!$A$1:$AV$1,),)=0,"#N/A",((((VLOOKUP(B117,Database!$A:$AS,MATCH($R$1,Database!$A$1:$AS$1,),))))-(((VLOOKUP(EDATE(B117,-12),Database!$A:$AS,MATCH($R$1,Database!$A$1:$AS$1,),)))))/(((VLOOKUP(EDATE(B117,-12),Database!$A:$AS,MATCH($R$1,Database!$A$1:$AS$1,),)))))</f>
        <v/>
      </c>
      <c r="S117" s="13">
        <f>IF(VLOOKUP(B117,Database!$A:$AV,MATCH($S$1,Database!$A$1:$AV$1,),)=0,"#N/A",((((VLOOKUP(B117,Database!$A:$AS,MATCH($S$1,Database!$A$1:$AS$1,),))))-(((VLOOKUP(EDATE(B117,-12),Database!$A:$AS,MATCH($S$1,Database!$A$1:$AS$1,),)))))/(((VLOOKUP(EDATE(B117,-12),Database!$A:$AS,MATCH($S$1,Database!$A$1:$AS$1,),)))))</f>
        <v/>
      </c>
      <c r="T117" s="13">
        <f>IF(VLOOKUP(B117,Database!$A:$AV,MATCH($T$1,Database!$A$1:$AV$1,),)=0,"#N/A",((((VLOOKUP(B117,Database!$A:$AS,MATCH($T$1,Database!$A$1:$AS$1,),))))-(((VLOOKUP(EDATE(B117,-12),Database!$A:$AS,MATCH($T$1,Database!$A$1:$AS$1,),)))))/(((VLOOKUP(EDATE(B117,-12),Database!$A:$AS,MATCH($T$1,Database!$A$1:$AS$1,),)))))</f>
        <v/>
      </c>
      <c r="U117" s="13">
        <f>IF(VLOOKUP(B117,Database!$A:$AV,MATCH($U$1,Database!$A$1:$AV$1,),)=0,"#N/A",((((VLOOKUP(B117,Database!$A:$AS,MATCH($U$1,Database!$A$1:$AS$1,),))))-(((VLOOKUP(EDATE(B117,-12),Database!$A:$AS,MATCH($U$1,Database!$A$1:$AS$1,),)))))/(((VLOOKUP(EDATE(B117,-12),Database!$A:$AS,MATCH($U$1,Database!$A$1:$AS$1,),)))))</f>
        <v/>
      </c>
      <c r="V117" s="13">
        <f>IF(VLOOKUP(B117,Database!$A:$AV,MATCH($V$1,Database!$A$1:$AV$1,),)=0,"#N/A",((((VLOOKUP(B117,Database!$A:$AS,MATCH($V$1,Database!$A$1:$AS$1,),))))-(((VLOOKUP(EDATE(B117,-12),Database!$A:$AS,MATCH($V$1,Database!$A$1:$AS$1,),)))))/(((VLOOKUP(EDATE(B117,-12),Database!$A:$AS,MATCH($V$1,Database!$A$1:$AS$1,),)))))</f>
        <v/>
      </c>
    </row>
    <row r="118" customFormat="1" s="86">
      <c r="A118" s="43" t="n"/>
      <c r="B118" s="75" t="n">
        <v>35735</v>
      </c>
      <c r="C118" s="13">
        <f>IF(VLOOKUP(B118,Database!$A:$AU,MATCH($C$1,Database!$A$1:$AU$1,),)=0,"#N/A",((((VLOOKUP(B118,Database!$A:$AU,MATCH($C$1,Database!$A$1:$AU$1,),))))-(((VLOOKUP(EDATE(B118,-12),Database!$A:$AU,MATCH($C$1,Database!$A$1:$AU$1,),)))))/(((VLOOKUP(EDATE(B118,-12),Database!$A:$AU,MATCH($C$1,Database!$A$1:$AU$1,),)))))</f>
        <v/>
      </c>
      <c r="D118" s="13">
        <f>IF(VLOOKUP(B118,Database!$A:$AV,MATCH($D$1,Database!$A$1:$AV$1,),)=0,"#N/A",((((VLOOKUP(B118,Database!$A:$AS,MATCH($D$1,Database!$A$1:$AS$1,),))))-(((VLOOKUP(EDATE(B118,-12),Database!$A:$AS,MATCH($D$1,Database!$A$1:$AS$1,),)))))/(((VLOOKUP(EDATE(B118,-12),Database!$A:$AS,MATCH($D$1,Database!$A$1:$AS$1,),)))))</f>
        <v/>
      </c>
      <c r="E118" s="13">
        <f>IF(VLOOKUP(B118,Database!$A:$AV,MATCH($E$1,Database!$A$1:$AV$1,),)=0,"#N/A",((((VLOOKUP(B118,Database!$A:$AS,MATCH($E$1,Database!$A$1:$AS$1,),))))-(((VLOOKUP(EDATE(B118,-12),Database!$A:$AS,MATCH($E$1,Database!$A$1:$AS$1,),)))))/(((VLOOKUP(EDATE(B118,-12),Database!$A:$AS,MATCH($E$1,Database!$A$1:$AS$1,),)))))</f>
        <v/>
      </c>
      <c r="F118" s="13">
        <f>IF(VLOOKUP(B118,Database!$A:$AV,MATCH($F$1,Database!$A$1:$AV$1,),)=0,"#N/A",((((VLOOKUP(B118,Database!$A:$AS,MATCH($F$1,Database!$A$1:$AS$1,),))))-(((VLOOKUP(EDATE(B118,-12),Database!$A:$AS,MATCH($F$1,Database!$A$1:$AS$1,),)))))/(((VLOOKUP(EDATE(B118,-12),Database!$A:$AS,MATCH($F$1,Database!$A$1:$AS$1,),)))))</f>
        <v/>
      </c>
      <c r="G118" s="13">
        <f>IF(VLOOKUP(B118,Database!$A:$AV,MATCH($G$1,Database!$A$1:$AV$1,),)=0,"#N/A",((((VLOOKUP(B118,Database!$A:$AS,MATCH($G$1,Database!$A$1:$AS$1,),))))-(((VLOOKUP(EDATE(B118,-12),Database!$A:$AS,MATCH($G$1,Database!$A$1:$AS$1,),)))))/(((VLOOKUP(EDATE(B118,-12),Database!$A:$AS,MATCH($G$1,Database!$A$1:$AS$1,),)))))</f>
        <v/>
      </c>
      <c r="H118" s="13">
        <f>IF(VLOOKUP(B118,Database!$A:$AV,MATCH($H$1,Database!$A$1:$AV$1,),)=0,"#N/A",((((VLOOKUP(B118,Database!$A:$AS,MATCH($H$1,Database!$A$1:$AS$1,),))))-(((VLOOKUP(EDATE(B118,-12),Database!$A:$AS,MATCH($H$1,Database!$A$1:$AS$1,),)))))/(((VLOOKUP(EDATE(B118,-12),Database!$A:$AS,MATCH($H$1,Database!$A$1:$AS$1,),)))))</f>
        <v/>
      </c>
      <c r="I118" s="13">
        <f>IF(VLOOKUP(B118,Database!$A:$AV,MATCH($I$1,Database!$A$1:$AV$1,),)=0,"#N/A",((((VLOOKUP(B118,Database!$A:$AS,MATCH($I$1,Database!$A$1:$AS$1,),))))-(((VLOOKUP(EDATE(B118,-12),Database!$A:$AS,MATCH($I$1,Database!$A$1:$AS$1,),)))))/(((VLOOKUP(EDATE(B118,-12),Database!$A:$AS,MATCH($I$1,Database!$A$1:$AS$1,),)))))</f>
        <v/>
      </c>
      <c r="J118" s="13">
        <f>IF(VLOOKUP(B118,Database!$A:$AV,MATCH($J$1,Database!$A$1:$AV$1,),)=0,"#N/A",((((VLOOKUP(B118,Database!$A:$AS,MATCH($J$1,Database!$A$1:$AS$1,),))))-(((VLOOKUP(EDATE(B118,-12),Database!$A:$AS,MATCH($J$1,Database!$A$1:$AS$1,),)))))/(((VLOOKUP(EDATE(B118,-12),Database!$A:$AS,MATCH($J$1,Database!$A$1:$AS$1,),)))))</f>
        <v/>
      </c>
      <c r="K118" s="13">
        <f>IF(VLOOKUP(B118,Database!$A:$AV,MATCH($K$1,Database!$A$1:$AV$1,),)=0,"#N/A",((((VLOOKUP(B118,Database!$A:$AS,MATCH($K$1,Database!$A$1:$AS$1,),))))-(((VLOOKUP(EDATE(B118,-12),Database!$A:$AS,MATCH($K$1,Database!$A$1:$AS$1,),)))))/(((VLOOKUP(EDATE(B118,-12),Database!$A:$AS,MATCH($K$1,Database!$A$1:$AS$1,),)))))</f>
        <v/>
      </c>
      <c r="L118" s="13">
        <f>((((VLOOKUP(B118,Database!$A:$AS,MATCH($L$1,Database!$A$1:$AS$1,),))))-(((VLOOKUP(EDATE(B118,-12),Database!$A:$AS,MATCH($L$1,Database!$A$1:$AS$1,),)))))/(((VLOOKUP(EDATE(B118,-12),Database!$A:$AS,MATCH($L$1,Database!$A$1:$AS$1,),))))</f>
        <v/>
      </c>
      <c r="M118" s="13">
        <f>((((VLOOKUP(B118,Database!$A:$AS,MATCH($M$1,Database!$A$1:$AS$1,),))))-(((VLOOKUP(EDATE(B118,-12),Database!$A:$AS,MATCH($M$1,Database!$A$1:$AS$1,),)))))/(((VLOOKUP(EDATE(B118,-12),Database!$A:$AS,MATCH($M$1,Database!$A$1:$AS$1,),))))</f>
        <v/>
      </c>
      <c r="N118" s="13">
        <f>((((VLOOKUP(B118,Database!$A:$AS,MATCH($N$1,Database!$A$1:$AS$1,),))))-(((VLOOKUP(EDATE(B118,-12),Database!$A:$AS,MATCH($N$1,Database!$A$1:$AS$1,),)))))/(((VLOOKUP(EDATE(B118,-12),Database!$A:$AS,MATCH($N$1,Database!$A$1:$AS$1,),))))</f>
        <v/>
      </c>
      <c r="O118" s="13">
        <f>IF(VLOOKUP(B118,Database!$A:$AV,MATCH($O$1,Database!$A$1:$AV$1,),)=0,"#N/A",((((VLOOKUP(B118,Database!$A:$AS,MATCH($O$1,Database!$A$1:$AS$1,),))))-(((VLOOKUP(EDATE(B118,-12),Database!$A:$AS,MATCH($O$1,Database!$A$1:$AS$1,),)))))/(((VLOOKUP(EDATE(B118,-12),Database!$A:$AS,MATCH($O$1,Database!$A$1:$AS$1,),)))))</f>
        <v/>
      </c>
      <c r="P118" s="13">
        <f>IF(VLOOKUP(B118,Database!$A:$AV,MATCH($P$1,Database!$A$1:$AV$1,),)=0,"#N/A",((((VLOOKUP(B118,Database!$A:$AS,MATCH($P$1,Database!$A$1:$AS$1,),))))-(((VLOOKUP(EDATE(B118,-12),Database!$A:$AS,MATCH($P$1,Database!$A$1:$AS$1,),)))))/(((VLOOKUP(EDATE(B118,-12),Database!$A:$AS,MATCH($P$1,Database!$A$1:$AS$1,),)))))</f>
        <v/>
      </c>
      <c r="Q118" s="13">
        <f>IF(VLOOKUP(B118,Database!$A:$AV,MATCH($Q$1,Database!$A$1:$AV$1,),)=0,"#N/A",((((VLOOKUP(B118,Database!$A:$AS,MATCH($Q$1,Database!$A$1:$AS$1,),))))-(((VLOOKUP(EDATE(B118,-12),Database!$A:$AS,MATCH($Q$1,Database!$A$1:$AS$1,),)))))/(((VLOOKUP(EDATE(B118,-12),Database!$A:$AS,MATCH($Q$1,Database!$A$1:$AS$1,),)))))</f>
        <v/>
      </c>
      <c r="R118" s="13">
        <f>IF(VLOOKUP(B118,Database!$A:$AV,MATCH($R$1,Database!$A$1:$AV$1,),)=0,"#N/A",((((VLOOKUP(B118,Database!$A:$AS,MATCH($R$1,Database!$A$1:$AS$1,),))))-(((VLOOKUP(EDATE(B118,-12),Database!$A:$AS,MATCH($R$1,Database!$A$1:$AS$1,),)))))/(((VLOOKUP(EDATE(B118,-12),Database!$A:$AS,MATCH($R$1,Database!$A$1:$AS$1,),)))))</f>
        <v/>
      </c>
      <c r="S118" s="13">
        <f>IF(VLOOKUP(B118,Database!$A:$AV,MATCH($S$1,Database!$A$1:$AV$1,),)=0,"#N/A",((((VLOOKUP(B118,Database!$A:$AS,MATCH($S$1,Database!$A$1:$AS$1,),))))-(((VLOOKUP(EDATE(B118,-12),Database!$A:$AS,MATCH($S$1,Database!$A$1:$AS$1,),)))))/(((VLOOKUP(EDATE(B118,-12),Database!$A:$AS,MATCH($S$1,Database!$A$1:$AS$1,),)))))</f>
        <v/>
      </c>
      <c r="T118" s="13">
        <f>IF(VLOOKUP(B118,Database!$A:$AV,MATCH($T$1,Database!$A$1:$AV$1,),)=0,"#N/A",((((VLOOKUP(B118,Database!$A:$AS,MATCH($T$1,Database!$A$1:$AS$1,),))))-(((VLOOKUP(EDATE(B118,-12),Database!$A:$AS,MATCH($T$1,Database!$A$1:$AS$1,),)))))/(((VLOOKUP(EDATE(B118,-12),Database!$A:$AS,MATCH($T$1,Database!$A$1:$AS$1,),)))))</f>
        <v/>
      </c>
      <c r="U118" s="13">
        <f>IF(VLOOKUP(B118,Database!$A:$AV,MATCH($U$1,Database!$A$1:$AV$1,),)=0,"#N/A",((((VLOOKUP(B118,Database!$A:$AS,MATCH($U$1,Database!$A$1:$AS$1,),))))-(((VLOOKUP(EDATE(B118,-12),Database!$A:$AS,MATCH($U$1,Database!$A$1:$AS$1,),)))))/(((VLOOKUP(EDATE(B118,-12),Database!$A:$AS,MATCH($U$1,Database!$A$1:$AS$1,),)))))</f>
        <v/>
      </c>
      <c r="V118" s="13">
        <f>IF(VLOOKUP(B118,Database!$A:$AV,MATCH($V$1,Database!$A$1:$AV$1,),)=0,"#N/A",((((VLOOKUP(B118,Database!$A:$AS,MATCH($V$1,Database!$A$1:$AS$1,),))))-(((VLOOKUP(EDATE(B118,-12),Database!$A:$AS,MATCH($V$1,Database!$A$1:$AS$1,),)))))/(((VLOOKUP(EDATE(B118,-12),Database!$A:$AS,MATCH($V$1,Database!$A$1:$AS$1,),)))))</f>
        <v/>
      </c>
    </row>
    <row r="119" customFormat="1" s="86">
      <c r="A119" s="43" t="n"/>
      <c r="B119" s="75" t="n">
        <v>35765</v>
      </c>
      <c r="C119" s="13">
        <f>IF(VLOOKUP(B119,Database!$A:$AU,MATCH($C$1,Database!$A$1:$AU$1,),)=0,"#N/A",((((VLOOKUP(B119,Database!$A:$AU,MATCH($C$1,Database!$A$1:$AU$1,),))))-(((VLOOKUP(EDATE(B119,-12),Database!$A:$AU,MATCH($C$1,Database!$A$1:$AU$1,),)))))/(((VLOOKUP(EDATE(B119,-12),Database!$A:$AU,MATCH($C$1,Database!$A$1:$AU$1,),)))))</f>
        <v/>
      </c>
      <c r="D119" s="13">
        <f>IF(VLOOKUP(B119,Database!$A:$AV,MATCH($D$1,Database!$A$1:$AV$1,),)=0,"#N/A",((((VLOOKUP(B119,Database!$A:$AS,MATCH($D$1,Database!$A$1:$AS$1,),))))-(((VLOOKUP(EDATE(B119,-12),Database!$A:$AS,MATCH($D$1,Database!$A$1:$AS$1,),)))))/(((VLOOKUP(EDATE(B119,-12),Database!$A:$AS,MATCH($D$1,Database!$A$1:$AS$1,),)))))</f>
        <v/>
      </c>
      <c r="E119" s="13">
        <f>IF(VLOOKUP(B119,Database!$A:$AV,MATCH($E$1,Database!$A$1:$AV$1,),)=0,"#N/A",((((VLOOKUP(B119,Database!$A:$AS,MATCH($E$1,Database!$A$1:$AS$1,),))))-(((VLOOKUP(EDATE(B119,-12),Database!$A:$AS,MATCH($E$1,Database!$A$1:$AS$1,),)))))/(((VLOOKUP(EDATE(B119,-12),Database!$A:$AS,MATCH($E$1,Database!$A$1:$AS$1,),)))))</f>
        <v/>
      </c>
      <c r="F119" s="13">
        <f>IF(VLOOKUP(B119,Database!$A:$AV,MATCH($F$1,Database!$A$1:$AV$1,),)=0,"#N/A",((((VLOOKUP(B119,Database!$A:$AS,MATCH($F$1,Database!$A$1:$AS$1,),))))-(((VLOOKUP(EDATE(B119,-12),Database!$A:$AS,MATCH($F$1,Database!$A$1:$AS$1,),)))))/(((VLOOKUP(EDATE(B119,-12),Database!$A:$AS,MATCH($F$1,Database!$A$1:$AS$1,),)))))</f>
        <v/>
      </c>
      <c r="G119" s="13">
        <f>IF(VLOOKUP(B119,Database!$A:$AV,MATCH($G$1,Database!$A$1:$AV$1,),)=0,"#N/A",((((VLOOKUP(B119,Database!$A:$AS,MATCH($G$1,Database!$A$1:$AS$1,),))))-(((VLOOKUP(EDATE(B119,-12),Database!$A:$AS,MATCH($G$1,Database!$A$1:$AS$1,),)))))/(((VLOOKUP(EDATE(B119,-12),Database!$A:$AS,MATCH($G$1,Database!$A$1:$AS$1,),)))))</f>
        <v/>
      </c>
      <c r="H119" s="13">
        <f>IF(VLOOKUP(B119,Database!$A:$AV,MATCH($H$1,Database!$A$1:$AV$1,),)=0,"#N/A",((((VLOOKUP(B119,Database!$A:$AS,MATCH($H$1,Database!$A$1:$AS$1,),))))-(((VLOOKUP(EDATE(B119,-12),Database!$A:$AS,MATCH($H$1,Database!$A$1:$AS$1,),)))))/(((VLOOKUP(EDATE(B119,-12),Database!$A:$AS,MATCH($H$1,Database!$A$1:$AS$1,),)))))</f>
        <v/>
      </c>
      <c r="I119" s="13">
        <f>IF(VLOOKUP(B119,Database!$A:$AV,MATCH($I$1,Database!$A$1:$AV$1,),)=0,"#N/A",((((VLOOKUP(B119,Database!$A:$AS,MATCH($I$1,Database!$A$1:$AS$1,),))))-(((VLOOKUP(EDATE(B119,-12),Database!$A:$AS,MATCH($I$1,Database!$A$1:$AS$1,),)))))/(((VLOOKUP(EDATE(B119,-12),Database!$A:$AS,MATCH($I$1,Database!$A$1:$AS$1,),)))))</f>
        <v/>
      </c>
      <c r="J119" s="13">
        <f>IF(VLOOKUP(B119,Database!$A:$AV,MATCH($J$1,Database!$A$1:$AV$1,),)=0,"#N/A",((((VLOOKUP(B119,Database!$A:$AS,MATCH($J$1,Database!$A$1:$AS$1,),))))-(((VLOOKUP(EDATE(B119,-12),Database!$A:$AS,MATCH($J$1,Database!$A$1:$AS$1,),)))))/(((VLOOKUP(EDATE(B119,-12),Database!$A:$AS,MATCH($J$1,Database!$A$1:$AS$1,),)))))</f>
        <v/>
      </c>
      <c r="K119" s="13">
        <f>IF(VLOOKUP(B119,Database!$A:$AV,MATCH($K$1,Database!$A$1:$AV$1,),)=0,"#N/A",((((VLOOKUP(B119,Database!$A:$AS,MATCH($K$1,Database!$A$1:$AS$1,),))))-(((VLOOKUP(EDATE(B119,-12),Database!$A:$AS,MATCH($K$1,Database!$A$1:$AS$1,),)))))/(((VLOOKUP(EDATE(B119,-12),Database!$A:$AS,MATCH($K$1,Database!$A$1:$AS$1,),)))))</f>
        <v/>
      </c>
      <c r="L119" s="13">
        <f>((((VLOOKUP(B119,Database!$A:$AS,MATCH($L$1,Database!$A$1:$AS$1,),))))-(((VLOOKUP(EDATE(B119,-12),Database!$A:$AS,MATCH($L$1,Database!$A$1:$AS$1,),)))))/(((VLOOKUP(EDATE(B119,-12),Database!$A:$AS,MATCH($L$1,Database!$A$1:$AS$1,),))))</f>
        <v/>
      </c>
      <c r="M119" s="13">
        <f>((((VLOOKUP(B119,Database!$A:$AS,MATCH($M$1,Database!$A$1:$AS$1,),))))-(((VLOOKUP(EDATE(B119,-12),Database!$A:$AS,MATCH($M$1,Database!$A$1:$AS$1,),)))))/(((VLOOKUP(EDATE(B119,-12),Database!$A:$AS,MATCH($M$1,Database!$A$1:$AS$1,),))))</f>
        <v/>
      </c>
      <c r="N119" s="13">
        <f>((((VLOOKUP(B119,Database!$A:$AS,MATCH($N$1,Database!$A$1:$AS$1,),))))-(((VLOOKUP(EDATE(B119,-12),Database!$A:$AS,MATCH($N$1,Database!$A$1:$AS$1,),)))))/(((VLOOKUP(EDATE(B119,-12),Database!$A:$AS,MATCH($N$1,Database!$A$1:$AS$1,),))))</f>
        <v/>
      </c>
      <c r="O119" s="13">
        <f>IF(VLOOKUP(B119,Database!$A:$AV,MATCH($O$1,Database!$A$1:$AV$1,),)=0,"#N/A",((((VLOOKUP(B119,Database!$A:$AS,MATCH($O$1,Database!$A$1:$AS$1,),))))-(((VLOOKUP(EDATE(B119,-12),Database!$A:$AS,MATCH($O$1,Database!$A$1:$AS$1,),)))))/(((VLOOKUP(EDATE(B119,-12),Database!$A:$AS,MATCH($O$1,Database!$A$1:$AS$1,),)))))</f>
        <v/>
      </c>
      <c r="P119" s="13">
        <f>IF(VLOOKUP(B119,Database!$A:$AV,MATCH($P$1,Database!$A$1:$AV$1,),)=0,"#N/A",((((VLOOKUP(B119,Database!$A:$AS,MATCH($P$1,Database!$A$1:$AS$1,),))))-(((VLOOKUP(EDATE(B119,-12),Database!$A:$AS,MATCH($P$1,Database!$A$1:$AS$1,),)))))/(((VLOOKUP(EDATE(B119,-12),Database!$A:$AS,MATCH($P$1,Database!$A$1:$AS$1,),)))))</f>
        <v/>
      </c>
      <c r="Q119" s="13">
        <f>IF(VLOOKUP(B119,Database!$A:$AV,MATCH($Q$1,Database!$A$1:$AV$1,),)=0,"#N/A",((((VLOOKUP(B119,Database!$A:$AS,MATCH($Q$1,Database!$A$1:$AS$1,),))))-(((VLOOKUP(EDATE(B119,-12),Database!$A:$AS,MATCH($Q$1,Database!$A$1:$AS$1,),)))))/(((VLOOKUP(EDATE(B119,-12),Database!$A:$AS,MATCH($Q$1,Database!$A$1:$AS$1,),)))))</f>
        <v/>
      </c>
      <c r="R119" s="13">
        <f>IF(VLOOKUP(B119,Database!$A:$AV,MATCH($R$1,Database!$A$1:$AV$1,),)=0,"#N/A",((((VLOOKUP(B119,Database!$A:$AS,MATCH($R$1,Database!$A$1:$AS$1,),))))-(((VLOOKUP(EDATE(B119,-12),Database!$A:$AS,MATCH($R$1,Database!$A$1:$AS$1,),)))))/(((VLOOKUP(EDATE(B119,-12),Database!$A:$AS,MATCH($R$1,Database!$A$1:$AS$1,),)))))</f>
        <v/>
      </c>
      <c r="S119" s="13">
        <f>IF(VLOOKUP(B119,Database!$A:$AV,MATCH($S$1,Database!$A$1:$AV$1,),)=0,"#N/A",((((VLOOKUP(B119,Database!$A:$AS,MATCH($S$1,Database!$A$1:$AS$1,),))))-(((VLOOKUP(EDATE(B119,-12),Database!$A:$AS,MATCH($S$1,Database!$A$1:$AS$1,),)))))/(((VLOOKUP(EDATE(B119,-12),Database!$A:$AS,MATCH($S$1,Database!$A$1:$AS$1,),)))))</f>
        <v/>
      </c>
      <c r="T119" s="13">
        <f>IF(VLOOKUP(B119,Database!$A:$AV,MATCH($T$1,Database!$A$1:$AV$1,),)=0,"#N/A",((((VLOOKUP(B119,Database!$A:$AS,MATCH($T$1,Database!$A$1:$AS$1,),))))-(((VLOOKUP(EDATE(B119,-12),Database!$A:$AS,MATCH($T$1,Database!$A$1:$AS$1,),)))))/(((VLOOKUP(EDATE(B119,-12),Database!$A:$AS,MATCH($T$1,Database!$A$1:$AS$1,),)))))</f>
        <v/>
      </c>
      <c r="U119" s="13">
        <f>IF(VLOOKUP(B119,Database!$A:$AV,MATCH($U$1,Database!$A$1:$AV$1,),)=0,"#N/A",((((VLOOKUP(B119,Database!$A:$AS,MATCH($U$1,Database!$A$1:$AS$1,),))))-(((VLOOKUP(EDATE(B119,-12),Database!$A:$AS,MATCH($U$1,Database!$A$1:$AS$1,),)))))/(((VLOOKUP(EDATE(B119,-12),Database!$A:$AS,MATCH($U$1,Database!$A$1:$AS$1,),)))))</f>
        <v/>
      </c>
      <c r="V119" s="13">
        <f>IF(VLOOKUP(B119,Database!$A:$AV,MATCH($V$1,Database!$A$1:$AV$1,),)=0,"#N/A",((((VLOOKUP(B119,Database!$A:$AS,MATCH($V$1,Database!$A$1:$AS$1,),))))-(((VLOOKUP(EDATE(B119,-12),Database!$A:$AS,MATCH($V$1,Database!$A$1:$AS$1,),)))))/(((VLOOKUP(EDATE(B119,-12),Database!$A:$AS,MATCH($V$1,Database!$A$1:$AS$1,),)))))</f>
        <v/>
      </c>
    </row>
    <row r="120" customFormat="1" s="86">
      <c r="A120" s="43" t="n"/>
      <c r="B120" s="75" t="n">
        <v>35796</v>
      </c>
      <c r="C120" s="13">
        <f>IF(VLOOKUP(B120,Database!$A:$AU,MATCH($C$1,Database!$A$1:$AU$1,),)=0,"#N/A",((((VLOOKUP(B120,Database!$A:$AU,MATCH($C$1,Database!$A$1:$AU$1,),))))-(((VLOOKUP(EDATE(B120,-12),Database!$A:$AU,MATCH($C$1,Database!$A$1:$AU$1,),)))))/(((VLOOKUP(EDATE(B120,-12),Database!$A:$AU,MATCH($C$1,Database!$A$1:$AU$1,),)))))</f>
        <v/>
      </c>
      <c r="D120" s="13">
        <f>IF(VLOOKUP(B120,Database!$A:$AV,MATCH($D$1,Database!$A$1:$AV$1,),)=0,"#N/A",((((VLOOKUP(B120,Database!$A:$AS,MATCH($D$1,Database!$A$1:$AS$1,),))))-(((VLOOKUP(EDATE(B120,-12),Database!$A:$AS,MATCH($D$1,Database!$A$1:$AS$1,),)))))/(((VLOOKUP(EDATE(B120,-12),Database!$A:$AS,MATCH($D$1,Database!$A$1:$AS$1,),)))))</f>
        <v/>
      </c>
      <c r="E120" s="13">
        <f>IF(VLOOKUP(B120,Database!$A:$AV,MATCH($E$1,Database!$A$1:$AV$1,),)=0,"#N/A",((((VLOOKUP(B120,Database!$A:$AS,MATCH($E$1,Database!$A$1:$AS$1,),))))-(((VLOOKUP(EDATE(B120,-12),Database!$A:$AS,MATCH($E$1,Database!$A$1:$AS$1,),)))))/(((VLOOKUP(EDATE(B120,-12),Database!$A:$AS,MATCH($E$1,Database!$A$1:$AS$1,),)))))</f>
        <v/>
      </c>
      <c r="F120" s="13">
        <f>IF(VLOOKUP(B120,Database!$A:$AV,MATCH($F$1,Database!$A$1:$AV$1,),)=0,"#N/A",((((VLOOKUP(B120,Database!$A:$AS,MATCH($F$1,Database!$A$1:$AS$1,),))))-(((VLOOKUP(EDATE(B120,-12),Database!$A:$AS,MATCH($F$1,Database!$A$1:$AS$1,),)))))/(((VLOOKUP(EDATE(B120,-12),Database!$A:$AS,MATCH($F$1,Database!$A$1:$AS$1,),)))))</f>
        <v/>
      </c>
      <c r="G120" s="13">
        <f>IF(VLOOKUP(B120,Database!$A:$AV,MATCH($G$1,Database!$A$1:$AV$1,),)=0,"#N/A",((((VLOOKUP(B120,Database!$A:$AS,MATCH($G$1,Database!$A$1:$AS$1,),))))-(((VLOOKUP(EDATE(B120,-12),Database!$A:$AS,MATCH($G$1,Database!$A$1:$AS$1,),)))))/(((VLOOKUP(EDATE(B120,-12),Database!$A:$AS,MATCH($G$1,Database!$A$1:$AS$1,),)))))</f>
        <v/>
      </c>
      <c r="H120" s="13">
        <f>IF(VLOOKUP(B120,Database!$A:$AV,MATCH($H$1,Database!$A$1:$AV$1,),)=0,"#N/A",((((VLOOKUP(B120,Database!$A:$AS,MATCH($H$1,Database!$A$1:$AS$1,),))))-(((VLOOKUP(EDATE(B120,-12),Database!$A:$AS,MATCH($H$1,Database!$A$1:$AS$1,),)))))/(((VLOOKUP(EDATE(B120,-12),Database!$A:$AS,MATCH($H$1,Database!$A$1:$AS$1,),)))))</f>
        <v/>
      </c>
      <c r="I120" s="13">
        <f>IF(VLOOKUP(B120,Database!$A:$AV,MATCH($I$1,Database!$A$1:$AV$1,),)=0,"#N/A",((((VLOOKUP(B120,Database!$A:$AS,MATCH($I$1,Database!$A$1:$AS$1,),))))-(((VLOOKUP(EDATE(B120,-12),Database!$A:$AS,MATCH($I$1,Database!$A$1:$AS$1,),)))))/(((VLOOKUP(EDATE(B120,-12),Database!$A:$AS,MATCH($I$1,Database!$A$1:$AS$1,),)))))</f>
        <v/>
      </c>
      <c r="J120" s="13">
        <f>IF(VLOOKUP(B120,Database!$A:$AV,MATCH($J$1,Database!$A$1:$AV$1,),)=0,"#N/A",((((VLOOKUP(B120,Database!$A:$AS,MATCH($J$1,Database!$A$1:$AS$1,),))))-(((VLOOKUP(EDATE(B120,-12),Database!$A:$AS,MATCH($J$1,Database!$A$1:$AS$1,),)))))/(((VLOOKUP(EDATE(B120,-12),Database!$A:$AS,MATCH($J$1,Database!$A$1:$AS$1,),)))))</f>
        <v/>
      </c>
      <c r="K120" s="13">
        <f>IF(VLOOKUP(B120,Database!$A:$AV,MATCH($K$1,Database!$A$1:$AV$1,),)=0,"#N/A",((((VLOOKUP(B120,Database!$A:$AS,MATCH($K$1,Database!$A$1:$AS$1,),))))-(((VLOOKUP(EDATE(B120,-12),Database!$A:$AS,MATCH($K$1,Database!$A$1:$AS$1,),)))))/(((VLOOKUP(EDATE(B120,-12),Database!$A:$AS,MATCH($K$1,Database!$A$1:$AS$1,),)))))</f>
        <v/>
      </c>
      <c r="L120" s="13">
        <f>((((VLOOKUP(B120,Database!$A:$AS,MATCH($L$1,Database!$A$1:$AS$1,),))))-(((VLOOKUP(EDATE(B120,-12),Database!$A:$AS,MATCH($L$1,Database!$A$1:$AS$1,),)))))/(((VLOOKUP(EDATE(B120,-12),Database!$A:$AS,MATCH($L$1,Database!$A$1:$AS$1,),))))</f>
        <v/>
      </c>
      <c r="M120" s="13">
        <f>((((VLOOKUP(B120,Database!$A:$AS,MATCH($M$1,Database!$A$1:$AS$1,),))))-(((VLOOKUP(EDATE(B120,-12),Database!$A:$AS,MATCH($M$1,Database!$A$1:$AS$1,),)))))/(((VLOOKUP(EDATE(B120,-12),Database!$A:$AS,MATCH($M$1,Database!$A$1:$AS$1,),))))</f>
        <v/>
      </c>
      <c r="N120" s="13">
        <f>((((VLOOKUP(B120,Database!$A:$AS,MATCH($N$1,Database!$A$1:$AS$1,),))))-(((VLOOKUP(EDATE(B120,-12),Database!$A:$AS,MATCH($N$1,Database!$A$1:$AS$1,),)))))/(((VLOOKUP(EDATE(B120,-12),Database!$A:$AS,MATCH($N$1,Database!$A$1:$AS$1,),))))</f>
        <v/>
      </c>
      <c r="O120" s="13">
        <f>IF(VLOOKUP(B120,Database!$A:$AV,MATCH($O$1,Database!$A$1:$AV$1,),)=0,"#N/A",((((VLOOKUP(B120,Database!$A:$AS,MATCH($O$1,Database!$A$1:$AS$1,),))))-(((VLOOKUP(EDATE(B120,-12),Database!$A:$AS,MATCH($O$1,Database!$A$1:$AS$1,),)))))/(((VLOOKUP(EDATE(B120,-12),Database!$A:$AS,MATCH($O$1,Database!$A$1:$AS$1,),)))))</f>
        <v/>
      </c>
      <c r="P120" s="13">
        <f>IF(VLOOKUP(B120,Database!$A:$AV,MATCH($P$1,Database!$A$1:$AV$1,),)=0,"#N/A",((((VLOOKUP(B120,Database!$A:$AS,MATCH($P$1,Database!$A$1:$AS$1,),))))-(((VLOOKUP(EDATE(B120,-12),Database!$A:$AS,MATCH($P$1,Database!$A$1:$AS$1,),)))))/(((VLOOKUP(EDATE(B120,-12),Database!$A:$AS,MATCH($P$1,Database!$A$1:$AS$1,),)))))</f>
        <v/>
      </c>
      <c r="Q120" s="13">
        <f>IF(VLOOKUP(B120,Database!$A:$AV,MATCH($Q$1,Database!$A$1:$AV$1,),)=0,"#N/A",((((VLOOKUP(B120,Database!$A:$AS,MATCH($Q$1,Database!$A$1:$AS$1,),))))-(((VLOOKUP(EDATE(B120,-12),Database!$A:$AS,MATCH($Q$1,Database!$A$1:$AS$1,),)))))/(((VLOOKUP(EDATE(B120,-12),Database!$A:$AS,MATCH($Q$1,Database!$A$1:$AS$1,),)))))</f>
        <v/>
      </c>
      <c r="R120" s="13">
        <f>IF(VLOOKUP(B120,Database!$A:$AV,MATCH($R$1,Database!$A$1:$AV$1,),)=0,"#N/A",((((VLOOKUP(B120,Database!$A:$AS,MATCH($R$1,Database!$A$1:$AS$1,),))))-(((VLOOKUP(EDATE(B120,-12),Database!$A:$AS,MATCH($R$1,Database!$A$1:$AS$1,),)))))/(((VLOOKUP(EDATE(B120,-12),Database!$A:$AS,MATCH($R$1,Database!$A$1:$AS$1,),)))))</f>
        <v/>
      </c>
      <c r="S120" s="13">
        <f>IF(VLOOKUP(B120,Database!$A:$AV,MATCH($S$1,Database!$A$1:$AV$1,),)=0,"#N/A",((((VLOOKUP(B120,Database!$A:$AS,MATCH($S$1,Database!$A$1:$AS$1,),))))-(((VLOOKUP(EDATE(B120,-12),Database!$A:$AS,MATCH($S$1,Database!$A$1:$AS$1,),)))))/(((VLOOKUP(EDATE(B120,-12),Database!$A:$AS,MATCH($S$1,Database!$A$1:$AS$1,),)))))</f>
        <v/>
      </c>
      <c r="T120" s="13">
        <f>IF(VLOOKUP(B120,Database!$A:$AV,MATCH($T$1,Database!$A$1:$AV$1,),)=0,"#N/A",((((VLOOKUP(B120,Database!$A:$AS,MATCH($T$1,Database!$A$1:$AS$1,),))))-(((VLOOKUP(EDATE(B120,-12),Database!$A:$AS,MATCH($T$1,Database!$A$1:$AS$1,),)))))/(((VLOOKUP(EDATE(B120,-12),Database!$A:$AS,MATCH($T$1,Database!$A$1:$AS$1,),)))))</f>
        <v/>
      </c>
      <c r="U120" s="13">
        <f>IF(VLOOKUP(B120,Database!$A:$AV,MATCH($U$1,Database!$A$1:$AV$1,),)=0,"#N/A",((((VLOOKUP(B120,Database!$A:$AS,MATCH($U$1,Database!$A$1:$AS$1,),))))-(((VLOOKUP(EDATE(B120,-12),Database!$A:$AS,MATCH($U$1,Database!$A$1:$AS$1,),)))))/(((VLOOKUP(EDATE(B120,-12),Database!$A:$AS,MATCH($U$1,Database!$A$1:$AS$1,),)))))</f>
        <v/>
      </c>
      <c r="V120" s="13">
        <f>IF(VLOOKUP(B120,Database!$A:$AV,MATCH($V$1,Database!$A$1:$AV$1,),)=0,"#N/A",((((VLOOKUP(B120,Database!$A:$AS,MATCH($V$1,Database!$A$1:$AS$1,),))))-(((VLOOKUP(EDATE(B120,-12),Database!$A:$AS,MATCH($V$1,Database!$A$1:$AS$1,),)))))/(((VLOOKUP(EDATE(B120,-12),Database!$A:$AS,MATCH($V$1,Database!$A$1:$AS$1,),)))))</f>
        <v/>
      </c>
    </row>
    <row r="121" customFormat="1" s="86">
      <c r="A121" s="43" t="n"/>
      <c r="B121" s="75" t="n">
        <v>35827</v>
      </c>
      <c r="C121" s="13">
        <f>IF(VLOOKUP(B121,Database!$A:$AU,MATCH($C$1,Database!$A$1:$AU$1,),)=0,"#N/A",((((VLOOKUP(B121,Database!$A:$AU,MATCH($C$1,Database!$A$1:$AU$1,),))))-(((VLOOKUP(EDATE(B121,-12),Database!$A:$AU,MATCH($C$1,Database!$A$1:$AU$1,),)))))/(((VLOOKUP(EDATE(B121,-12),Database!$A:$AU,MATCH($C$1,Database!$A$1:$AU$1,),)))))</f>
        <v/>
      </c>
      <c r="D121" s="13">
        <f>IF(VLOOKUP(B121,Database!$A:$AV,MATCH($D$1,Database!$A$1:$AV$1,),)=0,"#N/A",((((VLOOKUP(B121,Database!$A:$AS,MATCH($D$1,Database!$A$1:$AS$1,),))))-(((VLOOKUP(EDATE(B121,-12),Database!$A:$AS,MATCH($D$1,Database!$A$1:$AS$1,),)))))/(((VLOOKUP(EDATE(B121,-12),Database!$A:$AS,MATCH($D$1,Database!$A$1:$AS$1,),)))))</f>
        <v/>
      </c>
      <c r="E121" s="13">
        <f>IF(VLOOKUP(B121,Database!$A:$AV,MATCH($E$1,Database!$A$1:$AV$1,),)=0,"#N/A",((((VLOOKUP(B121,Database!$A:$AS,MATCH($E$1,Database!$A$1:$AS$1,),))))-(((VLOOKUP(EDATE(B121,-12),Database!$A:$AS,MATCH($E$1,Database!$A$1:$AS$1,),)))))/(((VLOOKUP(EDATE(B121,-12),Database!$A:$AS,MATCH($E$1,Database!$A$1:$AS$1,),)))))</f>
        <v/>
      </c>
      <c r="F121" s="13">
        <f>IF(VLOOKUP(B121,Database!$A:$AV,MATCH($F$1,Database!$A$1:$AV$1,),)=0,"#N/A",((((VLOOKUP(B121,Database!$A:$AS,MATCH($F$1,Database!$A$1:$AS$1,),))))-(((VLOOKUP(EDATE(B121,-12),Database!$A:$AS,MATCH($F$1,Database!$A$1:$AS$1,),)))))/(((VLOOKUP(EDATE(B121,-12),Database!$A:$AS,MATCH($F$1,Database!$A$1:$AS$1,),)))))</f>
        <v/>
      </c>
      <c r="G121" s="13">
        <f>IF(VLOOKUP(B121,Database!$A:$AV,MATCH($G$1,Database!$A$1:$AV$1,),)=0,"#N/A",((((VLOOKUP(B121,Database!$A:$AS,MATCH($G$1,Database!$A$1:$AS$1,),))))-(((VLOOKUP(EDATE(B121,-12),Database!$A:$AS,MATCH($G$1,Database!$A$1:$AS$1,),)))))/(((VLOOKUP(EDATE(B121,-12),Database!$A:$AS,MATCH($G$1,Database!$A$1:$AS$1,),)))))</f>
        <v/>
      </c>
      <c r="H121" s="13">
        <f>IF(VLOOKUP(B121,Database!$A:$AV,MATCH($H$1,Database!$A$1:$AV$1,),)=0,"#N/A",((((VLOOKUP(B121,Database!$A:$AS,MATCH($H$1,Database!$A$1:$AS$1,),))))-(((VLOOKUP(EDATE(B121,-12),Database!$A:$AS,MATCH($H$1,Database!$A$1:$AS$1,),)))))/(((VLOOKUP(EDATE(B121,-12),Database!$A:$AS,MATCH($H$1,Database!$A$1:$AS$1,),)))))</f>
        <v/>
      </c>
      <c r="I121" s="13">
        <f>IF(VLOOKUP(B121,Database!$A:$AV,MATCH($I$1,Database!$A$1:$AV$1,),)=0,"#N/A",((((VLOOKUP(B121,Database!$A:$AS,MATCH($I$1,Database!$A$1:$AS$1,),))))-(((VLOOKUP(EDATE(B121,-12),Database!$A:$AS,MATCH($I$1,Database!$A$1:$AS$1,),)))))/(((VLOOKUP(EDATE(B121,-12),Database!$A:$AS,MATCH($I$1,Database!$A$1:$AS$1,),)))))</f>
        <v/>
      </c>
      <c r="J121" s="13">
        <f>IF(VLOOKUP(B121,Database!$A:$AV,MATCH($J$1,Database!$A$1:$AV$1,),)=0,"#N/A",((((VLOOKUP(B121,Database!$A:$AS,MATCH($J$1,Database!$A$1:$AS$1,),))))-(((VLOOKUP(EDATE(B121,-12),Database!$A:$AS,MATCH($J$1,Database!$A$1:$AS$1,),)))))/(((VLOOKUP(EDATE(B121,-12),Database!$A:$AS,MATCH($J$1,Database!$A$1:$AS$1,),)))))</f>
        <v/>
      </c>
      <c r="K121" s="13">
        <f>IF(VLOOKUP(B121,Database!$A:$AV,MATCH($K$1,Database!$A$1:$AV$1,),)=0,"#N/A",((((VLOOKUP(B121,Database!$A:$AS,MATCH($K$1,Database!$A$1:$AS$1,),))))-(((VLOOKUP(EDATE(B121,-12),Database!$A:$AS,MATCH($K$1,Database!$A$1:$AS$1,),)))))/(((VLOOKUP(EDATE(B121,-12),Database!$A:$AS,MATCH($K$1,Database!$A$1:$AS$1,),)))))</f>
        <v/>
      </c>
      <c r="L121" s="13">
        <f>((((VLOOKUP(B121,Database!$A:$AS,MATCH($L$1,Database!$A$1:$AS$1,),))))-(((VLOOKUP(EDATE(B121,-12),Database!$A:$AS,MATCH($L$1,Database!$A$1:$AS$1,),)))))/(((VLOOKUP(EDATE(B121,-12),Database!$A:$AS,MATCH($L$1,Database!$A$1:$AS$1,),))))</f>
        <v/>
      </c>
      <c r="M121" s="13">
        <f>((((VLOOKUP(B121,Database!$A:$AS,MATCH($M$1,Database!$A$1:$AS$1,),))))-(((VLOOKUP(EDATE(B121,-12),Database!$A:$AS,MATCH($M$1,Database!$A$1:$AS$1,),)))))/(((VLOOKUP(EDATE(B121,-12),Database!$A:$AS,MATCH($M$1,Database!$A$1:$AS$1,),))))</f>
        <v/>
      </c>
      <c r="N121" s="13">
        <f>((((VLOOKUP(B121,Database!$A:$AS,MATCH($N$1,Database!$A$1:$AS$1,),))))-(((VLOOKUP(EDATE(B121,-12),Database!$A:$AS,MATCH($N$1,Database!$A$1:$AS$1,),)))))/(((VLOOKUP(EDATE(B121,-12),Database!$A:$AS,MATCH($N$1,Database!$A$1:$AS$1,),))))</f>
        <v/>
      </c>
      <c r="O121" s="13">
        <f>IF(VLOOKUP(B121,Database!$A:$AV,MATCH($O$1,Database!$A$1:$AV$1,),)=0,"#N/A",((((VLOOKUP(B121,Database!$A:$AS,MATCH($O$1,Database!$A$1:$AS$1,),))))-(((VLOOKUP(EDATE(B121,-12),Database!$A:$AS,MATCH($O$1,Database!$A$1:$AS$1,),)))))/(((VLOOKUP(EDATE(B121,-12),Database!$A:$AS,MATCH($O$1,Database!$A$1:$AS$1,),)))))</f>
        <v/>
      </c>
      <c r="P121" s="13">
        <f>IF(VLOOKUP(B121,Database!$A:$AV,MATCH($P$1,Database!$A$1:$AV$1,),)=0,"#N/A",((((VLOOKUP(B121,Database!$A:$AS,MATCH($P$1,Database!$A$1:$AS$1,),))))-(((VLOOKUP(EDATE(B121,-12),Database!$A:$AS,MATCH($P$1,Database!$A$1:$AS$1,),)))))/(((VLOOKUP(EDATE(B121,-12),Database!$A:$AS,MATCH($P$1,Database!$A$1:$AS$1,),)))))</f>
        <v/>
      </c>
      <c r="Q121" s="13">
        <f>IF(VLOOKUP(B121,Database!$A:$AV,MATCH($Q$1,Database!$A$1:$AV$1,),)=0,"#N/A",((((VLOOKUP(B121,Database!$A:$AS,MATCH($Q$1,Database!$A$1:$AS$1,),))))-(((VLOOKUP(EDATE(B121,-12),Database!$A:$AS,MATCH($Q$1,Database!$A$1:$AS$1,),)))))/(((VLOOKUP(EDATE(B121,-12),Database!$A:$AS,MATCH($Q$1,Database!$A$1:$AS$1,),)))))</f>
        <v/>
      </c>
      <c r="R121" s="13">
        <f>IF(VLOOKUP(B121,Database!$A:$AV,MATCH($R$1,Database!$A$1:$AV$1,),)=0,"#N/A",((((VLOOKUP(B121,Database!$A:$AS,MATCH($R$1,Database!$A$1:$AS$1,),))))-(((VLOOKUP(EDATE(B121,-12),Database!$A:$AS,MATCH($R$1,Database!$A$1:$AS$1,),)))))/(((VLOOKUP(EDATE(B121,-12),Database!$A:$AS,MATCH($R$1,Database!$A$1:$AS$1,),)))))</f>
        <v/>
      </c>
      <c r="S121" s="13">
        <f>IF(VLOOKUP(B121,Database!$A:$AV,MATCH($S$1,Database!$A$1:$AV$1,),)=0,"#N/A",((((VLOOKUP(B121,Database!$A:$AS,MATCH($S$1,Database!$A$1:$AS$1,),))))-(((VLOOKUP(EDATE(B121,-12),Database!$A:$AS,MATCH($S$1,Database!$A$1:$AS$1,),)))))/(((VLOOKUP(EDATE(B121,-12),Database!$A:$AS,MATCH($S$1,Database!$A$1:$AS$1,),)))))</f>
        <v/>
      </c>
      <c r="T121" s="13">
        <f>IF(VLOOKUP(B121,Database!$A:$AV,MATCH($T$1,Database!$A$1:$AV$1,),)=0,"#N/A",((((VLOOKUP(B121,Database!$A:$AS,MATCH($T$1,Database!$A$1:$AS$1,),))))-(((VLOOKUP(EDATE(B121,-12),Database!$A:$AS,MATCH($T$1,Database!$A$1:$AS$1,),)))))/(((VLOOKUP(EDATE(B121,-12),Database!$A:$AS,MATCH($T$1,Database!$A$1:$AS$1,),)))))</f>
        <v/>
      </c>
      <c r="U121" s="13">
        <f>IF(VLOOKUP(B121,Database!$A:$AV,MATCH($U$1,Database!$A$1:$AV$1,),)=0,"#N/A",((((VLOOKUP(B121,Database!$A:$AS,MATCH($U$1,Database!$A$1:$AS$1,),))))-(((VLOOKUP(EDATE(B121,-12),Database!$A:$AS,MATCH($U$1,Database!$A$1:$AS$1,),)))))/(((VLOOKUP(EDATE(B121,-12),Database!$A:$AS,MATCH($U$1,Database!$A$1:$AS$1,),)))))</f>
        <v/>
      </c>
      <c r="V121" s="13">
        <f>IF(VLOOKUP(B121,Database!$A:$AV,MATCH($V$1,Database!$A$1:$AV$1,),)=0,"#N/A",((((VLOOKUP(B121,Database!$A:$AS,MATCH($V$1,Database!$A$1:$AS$1,),))))-(((VLOOKUP(EDATE(B121,-12),Database!$A:$AS,MATCH($V$1,Database!$A$1:$AS$1,),)))))/(((VLOOKUP(EDATE(B121,-12),Database!$A:$AS,MATCH($V$1,Database!$A$1:$AS$1,),)))))</f>
        <v/>
      </c>
    </row>
    <row r="122" customFormat="1" s="86">
      <c r="A122" s="43" t="n"/>
      <c r="B122" s="75" t="n">
        <v>35855</v>
      </c>
      <c r="C122" s="13">
        <f>IF(VLOOKUP(B122,Database!$A:$AU,MATCH($C$1,Database!$A$1:$AU$1,),)=0,"#N/A",((((VLOOKUP(B122,Database!$A:$AU,MATCH($C$1,Database!$A$1:$AU$1,),))))-(((VLOOKUP(EDATE(B122,-12),Database!$A:$AU,MATCH($C$1,Database!$A$1:$AU$1,),)))))/(((VLOOKUP(EDATE(B122,-12),Database!$A:$AU,MATCH($C$1,Database!$A$1:$AU$1,),)))))</f>
        <v/>
      </c>
      <c r="D122" s="13">
        <f>IF(VLOOKUP(B122,Database!$A:$AV,MATCH($D$1,Database!$A$1:$AV$1,),)=0,"#N/A",((((VLOOKUP(B122,Database!$A:$AS,MATCH($D$1,Database!$A$1:$AS$1,),))))-(((VLOOKUP(EDATE(B122,-12),Database!$A:$AS,MATCH($D$1,Database!$A$1:$AS$1,),)))))/(((VLOOKUP(EDATE(B122,-12),Database!$A:$AS,MATCH($D$1,Database!$A$1:$AS$1,),)))))</f>
        <v/>
      </c>
      <c r="E122" s="13">
        <f>IF(VLOOKUP(B122,Database!$A:$AV,MATCH($E$1,Database!$A$1:$AV$1,),)=0,"#N/A",((((VLOOKUP(B122,Database!$A:$AS,MATCH($E$1,Database!$A$1:$AS$1,),))))-(((VLOOKUP(EDATE(B122,-12),Database!$A:$AS,MATCH($E$1,Database!$A$1:$AS$1,),)))))/(((VLOOKUP(EDATE(B122,-12),Database!$A:$AS,MATCH($E$1,Database!$A$1:$AS$1,),)))))</f>
        <v/>
      </c>
      <c r="F122" s="13">
        <f>IF(VLOOKUP(B122,Database!$A:$AV,MATCH($F$1,Database!$A$1:$AV$1,),)=0,"#N/A",((((VLOOKUP(B122,Database!$A:$AS,MATCH($F$1,Database!$A$1:$AS$1,),))))-(((VLOOKUP(EDATE(B122,-12),Database!$A:$AS,MATCH($F$1,Database!$A$1:$AS$1,),)))))/(((VLOOKUP(EDATE(B122,-12),Database!$A:$AS,MATCH($F$1,Database!$A$1:$AS$1,),)))))</f>
        <v/>
      </c>
      <c r="G122" s="13">
        <f>IF(VLOOKUP(B122,Database!$A:$AV,MATCH($G$1,Database!$A$1:$AV$1,),)=0,"#N/A",((((VLOOKUP(B122,Database!$A:$AS,MATCH($G$1,Database!$A$1:$AS$1,),))))-(((VLOOKUP(EDATE(B122,-12),Database!$A:$AS,MATCH($G$1,Database!$A$1:$AS$1,),)))))/(((VLOOKUP(EDATE(B122,-12),Database!$A:$AS,MATCH($G$1,Database!$A$1:$AS$1,),)))))</f>
        <v/>
      </c>
      <c r="H122" s="13">
        <f>IF(VLOOKUP(B122,Database!$A:$AV,MATCH($H$1,Database!$A$1:$AV$1,),)=0,"#N/A",((((VLOOKUP(B122,Database!$A:$AS,MATCH($H$1,Database!$A$1:$AS$1,),))))-(((VLOOKUP(EDATE(B122,-12),Database!$A:$AS,MATCH($H$1,Database!$A$1:$AS$1,),)))))/(((VLOOKUP(EDATE(B122,-12),Database!$A:$AS,MATCH($H$1,Database!$A$1:$AS$1,),)))))</f>
        <v/>
      </c>
      <c r="I122" s="13">
        <f>IF(VLOOKUP(B122,Database!$A:$AV,MATCH($I$1,Database!$A$1:$AV$1,),)=0,"#N/A",((((VLOOKUP(B122,Database!$A:$AS,MATCH($I$1,Database!$A$1:$AS$1,),))))-(((VLOOKUP(EDATE(B122,-12),Database!$A:$AS,MATCH($I$1,Database!$A$1:$AS$1,),)))))/(((VLOOKUP(EDATE(B122,-12),Database!$A:$AS,MATCH($I$1,Database!$A$1:$AS$1,),)))))</f>
        <v/>
      </c>
      <c r="J122" s="13">
        <f>IF(VLOOKUP(B122,Database!$A:$AV,MATCH($J$1,Database!$A$1:$AV$1,),)=0,"#N/A",((((VLOOKUP(B122,Database!$A:$AS,MATCH($J$1,Database!$A$1:$AS$1,),))))-(((VLOOKUP(EDATE(B122,-12),Database!$A:$AS,MATCH($J$1,Database!$A$1:$AS$1,),)))))/(((VLOOKUP(EDATE(B122,-12),Database!$A:$AS,MATCH($J$1,Database!$A$1:$AS$1,),)))))</f>
        <v/>
      </c>
      <c r="K122" s="13">
        <f>IF(VLOOKUP(B122,Database!$A:$AV,MATCH($K$1,Database!$A$1:$AV$1,),)=0,"#N/A",((((VLOOKUP(B122,Database!$A:$AS,MATCH($K$1,Database!$A$1:$AS$1,),))))-(((VLOOKUP(EDATE(B122,-12),Database!$A:$AS,MATCH($K$1,Database!$A$1:$AS$1,),)))))/(((VLOOKUP(EDATE(B122,-12),Database!$A:$AS,MATCH($K$1,Database!$A$1:$AS$1,),)))))</f>
        <v/>
      </c>
      <c r="L122" s="13">
        <f>((((VLOOKUP(B122,Database!$A:$AS,MATCH($L$1,Database!$A$1:$AS$1,),))))-(((VLOOKUP(EDATE(B122,-12),Database!$A:$AS,MATCH($L$1,Database!$A$1:$AS$1,),)))))/(((VLOOKUP(EDATE(B122,-12),Database!$A:$AS,MATCH($L$1,Database!$A$1:$AS$1,),))))</f>
        <v/>
      </c>
      <c r="M122" s="13">
        <f>((((VLOOKUP(B122,Database!$A:$AS,MATCH($M$1,Database!$A$1:$AS$1,),))))-(((VLOOKUP(EDATE(B122,-12),Database!$A:$AS,MATCH($M$1,Database!$A$1:$AS$1,),)))))/(((VLOOKUP(EDATE(B122,-12),Database!$A:$AS,MATCH($M$1,Database!$A$1:$AS$1,),))))</f>
        <v/>
      </c>
      <c r="N122" s="13">
        <f>((((VLOOKUP(B122,Database!$A:$AS,MATCH($N$1,Database!$A$1:$AS$1,),))))-(((VLOOKUP(EDATE(B122,-12),Database!$A:$AS,MATCH($N$1,Database!$A$1:$AS$1,),)))))/(((VLOOKUP(EDATE(B122,-12),Database!$A:$AS,MATCH($N$1,Database!$A$1:$AS$1,),))))</f>
        <v/>
      </c>
      <c r="O122" s="13">
        <f>IF(VLOOKUP(B122,Database!$A:$AV,MATCH($O$1,Database!$A$1:$AV$1,),)=0,"#N/A",((((VLOOKUP(B122,Database!$A:$AS,MATCH($O$1,Database!$A$1:$AS$1,),))))-(((VLOOKUP(EDATE(B122,-12),Database!$A:$AS,MATCH($O$1,Database!$A$1:$AS$1,),)))))/(((VLOOKUP(EDATE(B122,-12),Database!$A:$AS,MATCH($O$1,Database!$A$1:$AS$1,),)))))</f>
        <v/>
      </c>
      <c r="P122" s="13">
        <f>IF(VLOOKUP(B122,Database!$A:$AV,MATCH($P$1,Database!$A$1:$AV$1,),)=0,"#N/A",((((VLOOKUP(B122,Database!$A:$AS,MATCH($P$1,Database!$A$1:$AS$1,),))))-(((VLOOKUP(EDATE(B122,-12),Database!$A:$AS,MATCH($P$1,Database!$A$1:$AS$1,),)))))/(((VLOOKUP(EDATE(B122,-12),Database!$A:$AS,MATCH($P$1,Database!$A$1:$AS$1,),)))))</f>
        <v/>
      </c>
      <c r="Q122" s="13">
        <f>IF(VLOOKUP(B122,Database!$A:$AV,MATCH($Q$1,Database!$A$1:$AV$1,),)=0,"#N/A",((((VLOOKUP(B122,Database!$A:$AS,MATCH($Q$1,Database!$A$1:$AS$1,),))))-(((VLOOKUP(EDATE(B122,-12),Database!$A:$AS,MATCH($Q$1,Database!$A$1:$AS$1,),)))))/(((VLOOKUP(EDATE(B122,-12),Database!$A:$AS,MATCH($Q$1,Database!$A$1:$AS$1,),)))))</f>
        <v/>
      </c>
      <c r="R122" s="13">
        <f>IF(VLOOKUP(B122,Database!$A:$AV,MATCH($R$1,Database!$A$1:$AV$1,),)=0,"#N/A",((((VLOOKUP(B122,Database!$A:$AS,MATCH($R$1,Database!$A$1:$AS$1,),))))-(((VLOOKUP(EDATE(B122,-12),Database!$A:$AS,MATCH($R$1,Database!$A$1:$AS$1,),)))))/(((VLOOKUP(EDATE(B122,-12),Database!$A:$AS,MATCH($R$1,Database!$A$1:$AS$1,),)))))</f>
        <v/>
      </c>
      <c r="S122" s="13">
        <f>IF(VLOOKUP(B122,Database!$A:$AV,MATCH($S$1,Database!$A$1:$AV$1,),)=0,"#N/A",((((VLOOKUP(B122,Database!$A:$AS,MATCH($S$1,Database!$A$1:$AS$1,),))))-(((VLOOKUP(EDATE(B122,-12),Database!$A:$AS,MATCH($S$1,Database!$A$1:$AS$1,),)))))/(((VLOOKUP(EDATE(B122,-12),Database!$A:$AS,MATCH($S$1,Database!$A$1:$AS$1,),)))))</f>
        <v/>
      </c>
      <c r="T122" s="13">
        <f>IF(VLOOKUP(B122,Database!$A:$AV,MATCH($T$1,Database!$A$1:$AV$1,),)=0,"#N/A",((((VLOOKUP(B122,Database!$A:$AS,MATCH($T$1,Database!$A$1:$AS$1,),))))-(((VLOOKUP(EDATE(B122,-12),Database!$A:$AS,MATCH($T$1,Database!$A$1:$AS$1,),)))))/(((VLOOKUP(EDATE(B122,-12),Database!$A:$AS,MATCH($T$1,Database!$A$1:$AS$1,),)))))</f>
        <v/>
      </c>
      <c r="U122" s="13">
        <f>IF(VLOOKUP(B122,Database!$A:$AV,MATCH($U$1,Database!$A$1:$AV$1,),)=0,"#N/A",((((VLOOKUP(B122,Database!$A:$AS,MATCH($U$1,Database!$A$1:$AS$1,),))))-(((VLOOKUP(EDATE(B122,-12),Database!$A:$AS,MATCH($U$1,Database!$A$1:$AS$1,),)))))/(((VLOOKUP(EDATE(B122,-12),Database!$A:$AS,MATCH($U$1,Database!$A$1:$AS$1,),)))))</f>
        <v/>
      </c>
      <c r="V122" s="13">
        <f>IF(VLOOKUP(B122,Database!$A:$AV,MATCH($V$1,Database!$A$1:$AV$1,),)=0,"#N/A",((((VLOOKUP(B122,Database!$A:$AS,MATCH($V$1,Database!$A$1:$AS$1,),))))-(((VLOOKUP(EDATE(B122,-12),Database!$A:$AS,MATCH($V$1,Database!$A$1:$AS$1,),)))))/(((VLOOKUP(EDATE(B122,-12),Database!$A:$AS,MATCH($V$1,Database!$A$1:$AS$1,),)))))</f>
        <v/>
      </c>
    </row>
    <row r="123" customFormat="1" s="86">
      <c r="A123" s="43" t="n"/>
      <c r="B123" s="75" t="n">
        <v>35886</v>
      </c>
      <c r="C123" s="13">
        <f>IF(VLOOKUP(B123,Database!$A:$AU,MATCH($C$1,Database!$A$1:$AU$1,),)=0,"#N/A",((((VLOOKUP(B123,Database!$A:$AU,MATCH($C$1,Database!$A$1:$AU$1,),))))-(((VLOOKUP(EDATE(B123,-12),Database!$A:$AU,MATCH($C$1,Database!$A$1:$AU$1,),)))))/(((VLOOKUP(EDATE(B123,-12),Database!$A:$AU,MATCH($C$1,Database!$A$1:$AU$1,),)))))</f>
        <v/>
      </c>
      <c r="D123" s="13">
        <f>IF(VLOOKUP(B123,Database!$A:$AV,MATCH($D$1,Database!$A$1:$AV$1,),)=0,"#N/A",((((VLOOKUP(B123,Database!$A:$AS,MATCH($D$1,Database!$A$1:$AS$1,),))))-(((VLOOKUP(EDATE(B123,-12),Database!$A:$AS,MATCH($D$1,Database!$A$1:$AS$1,),)))))/(((VLOOKUP(EDATE(B123,-12),Database!$A:$AS,MATCH($D$1,Database!$A$1:$AS$1,),)))))</f>
        <v/>
      </c>
      <c r="E123" s="13">
        <f>IF(VLOOKUP(B123,Database!$A:$AV,MATCH($E$1,Database!$A$1:$AV$1,),)=0,"#N/A",((((VLOOKUP(B123,Database!$A:$AS,MATCH($E$1,Database!$A$1:$AS$1,),))))-(((VLOOKUP(EDATE(B123,-12),Database!$A:$AS,MATCH($E$1,Database!$A$1:$AS$1,),)))))/(((VLOOKUP(EDATE(B123,-12),Database!$A:$AS,MATCH($E$1,Database!$A$1:$AS$1,),)))))</f>
        <v/>
      </c>
      <c r="F123" s="13">
        <f>IF(VLOOKUP(B123,Database!$A:$AV,MATCH($F$1,Database!$A$1:$AV$1,),)=0,"#N/A",((((VLOOKUP(B123,Database!$A:$AS,MATCH($F$1,Database!$A$1:$AS$1,),))))-(((VLOOKUP(EDATE(B123,-12),Database!$A:$AS,MATCH($F$1,Database!$A$1:$AS$1,),)))))/(((VLOOKUP(EDATE(B123,-12),Database!$A:$AS,MATCH($F$1,Database!$A$1:$AS$1,),)))))</f>
        <v/>
      </c>
      <c r="G123" s="13">
        <f>IF(VLOOKUP(B123,Database!$A:$AV,MATCH($G$1,Database!$A$1:$AV$1,),)=0,"#N/A",((((VLOOKUP(B123,Database!$A:$AS,MATCH($G$1,Database!$A$1:$AS$1,),))))-(((VLOOKUP(EDATE(B123,-12),Database!$A:$AS,MATCH($G$1,Database!$A$1:$AS$1,),)))))/(((VLOOKUP(EDATE(B123,-12),Database!$A:$AS,MATCH($G$1,Database!$A$1:$AS$1,),)))))</f>
        <v/>
      </c>
      <c r="H123" s="13">
        <f>IF(VLOOKUP(B123,Database!$A:$AV,MATCH($H$1,Database!$A$1:$AV$1,),)=0,"#N/A",((((VLOOKUP(B123,Database!$A:$AS,MATCH($H$1,Database!$A$1:$AS$1,),))))-(((VLOOKUP(EDATE(B123,-12),Database!$A:$AS,MATCH($H$1,Database!$A$1:$AS$1,),)))))/(((VLOOKUP(EDATE(B123,-12),Database!$A:$AS,MATCH($H$1,Database!$A$1:$AS$1,),)))))</f>
        <v/>
      </c>
      <c r="I123" s="13">
        <f>IF(VLOOKUP(B123,Database!$A:$AV,MATCH($I$1,Database!$A$1:$AV$1,),)=0,"#N/A",((((VLOOKUP(B123,Database!$A:$AS,MATCH($I$1,Database!$A$1:$AS$1,),))))-(((VLOOKUP(EDATE(B123,-12),Database!$A:$AS,MATCH($I$1,Database!$A$1:$AS$1,),)))))/(((VLOOKUP(EDATE(B123,-12),Database!$A:$AS,MATCH($I$1,Database!$A$1:$AS$1,),)))))</f>
        <v/>
      </c>
      <c r="J123" s="13">
        <f>IF(VLOOKUP(B123,Database!$A:$AV,MATCH($J$1,Database!$A$1:$AV$1,),)=0,"#N/A",((((VLOOKUP(B123,Database!$A:$AS,MATCH($J$1,Database!$A$1:$AS$1,),))))-(((VLOOKUP(EDATE(B123,-12),Database!$A:$AS,MATCH($J$1,Database!$A$1:$AS$1,),)))))/(((VLOOKUP(EDATE(B123,-12),Database!$A:$AS,MATCH($J$1,Database!$A$1:$AS$1,),)))))</f>
        <v/>
      </c>
      <c r="K123" s="13">
        <f>IF(VLOOKUP(B123,Database!$A:$AV,MATCH($K$1,Database!$A$1:$AV$1,),)=0,"#N/A",((((VLOOKUP(B123,Database!$A:$AS,MATCH($K$1,Database!$A$1:$AS$1,),))))-(((VLOOKUP(EDATE(B123,-12),Database!$A:$AS,MATCH($K$1,Database!$A$1:$AS$1,),)))))/(((VLOOKUP(EDATE(B123,-12),Database!$A:$AS,MATCH($K$1,Database!$A$1:$AS$1,),)))))</f>
        <v/>
      </c>
      <c r="L123" s="13">
        <f>((((VLOOKUP(B123,Database!$A:$AS,MATCH($L$1,Database!$A$1:$AS$1,),))))-(((VLOOKUP(EDATE(B123,-12),Database!$A:$AS,MATCH($L$1,Database!$A$1:$AS$1,),)))))/(((VLOOKUP(EDATE(B123,-12),Database!$A:$AS,MATCH($L$1,Database!$A$1:$AS$1,),))))</f>
        <v/>
      </c>
      <c r="M123" s="13">
        <f>((((VLOOKUP(B123,Database!$A:$AS,MATCH($M$1,Database!$A$1:$AS$1,),))))-(((VLOOKUP(EDATE(B123,-12),Database!$A:$AS,MATCH($M$1,Database!$A$1:$AS$1,),)))))/(((VLOOKUP(EDATE(B123,-12),Database!$A:$AS,MATCH($M$1,Database!$A$1:$AS$1,),))))</f>
        <v/>
      </c>
      <c r="N123" s="13">
        <f>((((VLOOKUP(B123,Database!$A:$AS,MATCH($N$1,Database!$A$1:$AS$1,),))))-(((VLOOKUP(EDATE(B123,-12),Database!$A:$AS,MATCH($N$1,Database!$A$1:$AS$1,),)))))/(((VLOOKUP(EDATE(B123,-12),Database!$A:$AS,MATCH($N$1,Database!$A$1:$AS$1,),))))</f>
        <v/>
      </c>
      <c r="O123" s="13">
        <f>IF(VLOOKUP(B123,Database!$A:$AV,MATCH($O$1,Database!$A$1:$AV$1,),)=0,"#N/A",((((VLOOKUP(B123,Database!$A:$AS,MATCH($O$1,Database!$A$1:$AS$1,),))))-(((VLOOKUP(EDATE(B123,-12),Database!$A:$AS,MATCH($O$1,Database!$A$1:$AS$1,),)))))/(((VLOOKUP(EDATE(B123,-12),Database!$A:$AS,MATCH($O$1,Database!$A$1:$AS$1,),)))))</f>
        <v/>
      </c>
      <c r="P123" s="13">
        <f>IF(VLOOKUP(B123,Database!$A:$AV,MATCH($P$1,Database!$A$1:$AV$1,),)=0,"#N/A",((((VLOOKUP(B123,Database!$A:$AS,MATCH($P$1,Database!$A$1:$AS$1,),))))-(((VLOOKUP(EDATE(B123,-12),Database!$A:$AS,MATCH($P$1,Database!$A$1:$AS$1,),)))))/(((VLOOKUP(EDATE(B123,-12),Database!$A:$AS,MATCH($P$1,Database!$A$1:$AS$1,),)))))</f>
        <v/>
      </c>
      <c r="Q123" s="13">
        <f>IF(VLOOKUP(B123,Database!$A:$AV,MATCH($Q$1,Database!$A$1:$AV$1,),)=0,"#N/A",((((VLOOKUP(B123,Database!$A:$AS,MATCH($Q$1,Database!$A$1:$AS$1,),))))-(((VLOOKUP(EDATE(B123,-12),Database!$A:$AS,MATCH($Q$1,Database!$A$1:$AS$1,),)))))/(((VLOOKUP(EDATE(B123,-12),Database!$A:$AS,MATCH($Q$1,Database!$A$1:$AS$1,),)))))</f>
        <v/>
      </c>
      <c r="R123" s="13">
        <f>IF(VLOOKUP(B123,Database!$A:$AV,MATCH($R$1,Database!$A$1:$AV$1,),)=0,"#N/A",((((VLOOKUP(B123,Database!$A:$AS,MATCH($R$1,Database!$A$1:$AS$1,),))))-(((VLOOKUP(EDATE(B123,-12),Database!$A:$AS,MATCH($R$1,Database!$A$1:$AS$1,),)))))/(((VLOOKUP(EDATE(B123,-12),Database!$A:$AS,MATCH($R$1,Database!$A$1:$AS$1,),)))))</f>
        <v/>
      </c>
      <c r="S123" s="13">
        <f>IF(VLOOKUP(B123,Database!$A:$AV,MATCH($S$1,Database!$A$1:$AV$1,),)=0,"#N/A",((((VLOOKUP(B123,Database!$A:$AS,MATCH($S$1,Database!$A$1:$AS$1,),))))-(((VLOOKUP(EDATE(B123,-12),Database!$A:$AS,MATCH($S$1,Database!$A$1:$AS$1,),)))))/(((VLOOKUP(EDATE(B123,-12),Database!$A:$AS,MATCH($S$1,Database!$A$1:$AS$1,),)))))</f>
        <v/>
      </c>
      <c r="T123" s="13">
        <f>IF(VLOOKUP(B123,Database!$A:$AV,MATCH($T$1,Database!$A$1:$AV$1,),)=0,"#N/A",((((VLOOKUP(B123,Database!$A:$AS,MATCH($T$1,Database!$A$1:$AS$1,),))))-(((VLOOKUP(EDATE(B123,-12),Database!$A:$AS,MATCH($T$1,Database!$A$1:$AS$1,),)))))/(((VLOOKUP(EDATE(B123,-12),Database!$A:$AS,MATCH($T$1,Database!$A$1:$AS$1,),)))))</f>
        <v/>
      </c>
      <c r="U123" s="13">
        <f>IF(VLOOKUP(B123,Database!$A:$AV,MATCH($U$1,Database!$A$1:$AV$1,),)=0,"#N/A",((((VLOOKUP(B123,Database!$A:$AS,MATCH($U$1,Database!$A$1:$AS$1,),))))-(((VLOOKUP(EDATE(B123,-12),Database!$A:$AS,MATCH($U$1,Database!$A$1:$AS$1,),)))))/(((VLOOKUP(EDATE(B123,-12),Database!$A:$AS,MATCH($U$1,Database!$A$1:$AS$1,),)))))</f>
        <v/>
      </c>
      <c r="V123" s="13">
        <f>IF(VLOOKUP(B123,Database!$A:$AV,MATCH($V$1,Database!$A$1:$AV$1,),)=0,"#N/A",((((VLOOKUP(B123,Database!$A:$AS,MATCH($V$1,Database!$A$1:$AS$1,),))))-(((VLOOKUP(EDATE(B123,-12),Database!$A:$AS,MATCH($V$1,Database!$A$1:$AS$1,),)))))/(((VLOOKUP(EDATE(B123,-12),Database!$A:$AS,MATCH($V$1,Database!$A$1:$AS$1,),)))))</f>
        <v/>
      </c>
    </row>
    <row r="124" customFormat="1" s="86">
      <c r="A124" s="43" t="n"/>
      <c r="B124" s="75" t="n">
        <v>35916</v>
      </c>
      <c r="C124" s="13">
        <f>IF(VLOOKUP(B124,Database!$A:$AU,MATCH($C$1,Database!$A$1:$AU$1,),)=0,"#N/A",((((VLOOKUP(B124,Database!$A:$AU,MATCH($C$1,Database!$A$1:$AU$1,),))))-(((VLOOKUP(EDATE(B124,-12),Database!$A:$AU,MATCH($C$1,Database!$A$1:$AU$1,),)))))/(((VLOOKUP(EDATE(B124,-12),Database!$A:$AU,MATCH($C$1,Database!$A$1:$AU$1,),)))))</f>
        <v/>
      </c>
      <c r="D124" s="13">
        <f>IF(VLOOKUP(B124,Database!$A:$AV,MATCH($D$1,Database!$A$1:$AV$1,),)=0,"#N/A",((((VLOOKUP(B124,Database!$A:$AS,MATCH($D$1,Database!$A$1:$AS$1,),))))-(((VLOOKUP(EDATE(B124,-12),Database!$A:$AS,MATCH($D$1,Database!$A$1:$AS$1,),)))))/(((VLOOKUP(EDATE(B124,-12),Database!$A:$AS,MATCH($D$1,Database!$A$1:$AS$1,),)))))</f>
        <v/>
      </c>
      <c r="E124" s="13">
        <f>IF(VLOOKUP(B124,Database!$A:$AV,MATCH($E$1,Database!$A$1:$AV$1,),)=0,"#N/A",((((VLOOKUP(B124,Database!$A:$AS,MATCH($E$1,Database!$A$1:$AS$1,),))))-(((VLOOKUP(EDATE(B124,-12),Database!$A:$AS,MATCH($E$1,Database!$A$1:$AS$1,),)))))/(((VLOOKUP(EDATE(B124,-12),Database!$A:$AS,MATCH($E$1,Database!$A$1:$AS$1,),)))))</f>
        <v/>
      </c>
      <c r="F124" s="13">
        <f>IF(VLOOKUP(B124,Database!$A:$AV,MATCH($F$1,Database!$A$1:$AV$1,),)=0,"#N/A",((((VLOOKUP(B124,Database!$A:$AS,MATCH($F$1,Database!$A$1:$AS$1,),))))-(((VLOOKUP(EDATE(B124,-12),Database!$A:$AS,MATCH($F$1,Database!$A$1:$AS$1,),)))))/(((VLOOKUP(EDATE(B124,-12),Database!$A:$AS,MATCH($F$1,Database!$A$1:$AS$1,),)))))</f>
        <v/>
      </c>
      <c r="G124" s="13">
        <f>IF(VLOOKUP(B124,Database!$A:$AV,MATCH($G$1,Database!$A$1:$AV$1,),)=0,"#N/A",((((VLOOKUP(B124,Database!$A:$AS,MATCH($G$1,Database!$A$1:$AS$1,),))))-(((VLOOKUP(EDATE(B124,-12),Database!$A:$AS,MATCH($G$1,Database!$A$1:$AS$1,),)))))/(((VLOOKUP(EDATE(B124,-12),Database!$A:$AS,MATCH($G$1,Database!$A$1:$AS$1,),)))))</f>
        <v/>
      </c>
      <c r="H124" s="13">
        <f>IF(VLOOKUP(B124,Database!$A:$AV,MATCH($H$1,Database!$A$1:$AV$1,),)=0,"#N/A",((((VLOOKUP(B124,Database!$A:$AS,MATCH($H$1,Database!$A$1:$AS$1,),))))-(((VLOOKUP(EDATE(B124,-12),Database!$A:$AS,MATCH($H$1,Database!$A$1:$AS$1,),)))))/(((VLOOKUP(EDATE(B124,-12),Database!$A:$AS,MATCH($H$1,Database!$A$1:$AS$1,),)))))</f>
        <v/>
      </c>
      <c r="I124" s="13">
        <f>IF(VLOOKUP(B124,Database!$A:$AV,MATCH($I$1,Database!$A$1:$AV$1,),)=0,"#N/A",((((VLOOKUP(B124,Database!$A:$AS,MATCH($I$1,Database!$A$1:$AS$1,),))))-(((VLOOKUP(EDATE(B124,-12),Database!$A:$AS,MATCH($I$1,Database!$A$1:$AS$1,),)))))/(((VLOOKUP(EDATE(B124,-12),Database!$A:$AS,MATCH($I$1,Database!$A$1:$AS$1,),)))))</f>
        <v/>
      </c>
      <c r="J124" s="13">
        <f>IF(VLOOKUP(B124,Database!$A:$AV,MATCH($J$1,Database!$A$1:$AV$1,),)=0,"#N/A",((((VLOOKUP(B124,Database!$A:$AS,MATCH($J$1,Database!$A$1:$AS$1,),))))-(((VLOOKUP(EDATE(B124,-12),Database!$A:$AS,MATCH($J$1,Database!$A$1:$AS$1,),)))))/(((VLOOKUP(EDATE(B124,-12),Database!$A:$AS,MATCH($J$1,Database!$A$1:$AS$1,),)))))</f>
        <v/>
      </c>
      <c r="K124" s="13">
        <f>IF(VLOOKUP(B124,Database!$A:$AV,MATCH($K$1,Database!$A$1:$AV$1,),)=0,"#N/A",((((VLOOKUP(B124,Database!$A:$AS,MATCH($K$1,Database!$A$1:$AS$1,),))))-(((VLOOKUP(EDATE(B124,-12),Database!$A:$AS,MATCH($K$1,Database!$A$1:$AS$1,),)))))/(((VLOOKUP(EDATE(B124,-12),Database!$A:$AS,MATCH($K$1,Database!$A$1:$AS$1,),)))))</f>
        <v/>
      </c>
      <c r="L124" s="13">
        <f>((((VLOOKUP(B124,Database!$A:$AS,MATCH($L$1,Database!$A$1:$AS$1,),))))-(((VLOOKUP(EDATE(B124,-12),Database!$A:$AS,MATCH($L$1,Database!$A$1:$AS$1,),)))))/(((VLOOKUP(EDATE(B124,-12),Database!$A:$AS,MATCH($L$1,Database!$A$1:$AS$1,),))))</f>
        <v/>
      </c>
      <c r="M124" s="13">
        <f>((((VLOOKUP(B124,Database!$A:$AS,MATCH($M$1,Database!$A$1:$AS$1,),))))-(((VLOOKUP(EDATE(B124,-12),Database!$A:$AS,MATCH($M$1,Database!$A$1:$AS$1,),)))))/(((VLOOKUP(EDATE(B124,-12),Database!$A:$AS,MATCH($M$1,Database!$A$1:$AS$1,),))))</f>
        <v/>
      </c>
      <c r="N124" s="13">
        <f>((((VLOOKUP(B124,Database!$A:$AS,MATCH($N$1,Database!$A$1:$AS$1,),))))-(((VLOOKUP(EDATE(B124,-12),Database!$A:$AS,MATCH($N$1,Database!$A$1:$AS$1,),)))))/(((VLOOKUP(EDATE(B124,-12),Database!$A:$AS,MATCH($N$1,Database!$A$1:$AS$1,),))))</f>
        <v/>
      </c>
      <c r="O124" s="13">
        <f>IF(VLOOKUP(B124,Database!$A:$AV,MATCH($O$1,Database!$A$1:$AV$1,),)=0,"#N/A",((((VLOOKUP(B124,Database!$A:$AS,MATCH($O$1,Database!$A$1:$AS$1,),))))-(((VLOOKUP(EDATE(B124,-12),Database!$A:$AS,MATCH($O$1,Database!$A$1:$AS$1,),)))))/(((VLOOKUP(EDATE(B124,-12),Database!$A:$AS,MATCH($O$1,Database!$A$1:$AS$1,),)))))</f>
        <v/>
      </c>
      <c r="P124" s="13">
        <f>IF(VLOOKUP(B124,Database!$A:$AV,MATCH($P$1,Database!$A$1:$AV$1,),)=0,"#N/A",((((VLOOKUP(B124,Database!$A:$AS,MATCH($P$1,Database!$A$1:$AS$1,),))))-(((VLOOKUP(EDATE(B124,-12),Database!$A:$AS,MATCH($P$1,Database!$A$1:$AS$1,),)))))/(((VLOOKUP(EDATE(B124,-12),Database!$A:$AS,MATCH($P$1,Database!$A$1:$AS$1,),)))))</f>
        <v/>
      </c>
      <c r="Q124" s="13">
        <f>IF(VLOOKUP(B124,Database!$A:$AV,MATCH($Q$1,Database!$A$1:$AV$1,),)=0,"#N/A",((((VLOOKUP(B124,Database!$A:$AS,MATCH($Q$1,Database!$A$1:$AS$1,),))))-(((VLOOKUP(EDATE(B124,-12),Database!$A:$AS,MATCH($Q$1,Database!$A$1:$AS$1,),)))))/(((VLOOKUP(EDATE(B124,-12),Database!$A:$AS,MATCH($Q$1,Database!$A$1:$AS$1,),)))))</f>
        <v/>
      </c>
      <c r="R124" s="13">
        <f>IF(VLOOKUP(B124,Database!$A:$AV,MATCH($R$1,Database!$A$1:$AV$1,),)=0,"#N/A",((((VLOOKUP(B124,Database!$A:$AS,MATCH($R$1,Database!$A$1:$AS$1,),))))-(((VLOOKUP(EDATE(B124,-12),Database!$A:$AS,MATCH($R$1,Database!$A$1:$AS$1,),)))))/(((VLOOKUP(EDATE(B124,-12),Database!$A:$AS,MATCH($R$1,Database!$A$1:$AS$1,),)))))</f>
        <v/>
      </c>
      <c r="S124" s="13">
        <f>IF(VLOOKUP(B124,Database!$A:$AV,MATCH($S$1,Database!$A$1:$AV$1,),)=0,"#N/A",((((VLOOKUP(B124,Database!$A:$AS,MATCH($S$1,Database!$A$1:$AS$1,),))))-(((VLOOKUP(EDATE(B124,-12),Database!$A:$AS,MATCH($S$1,Database!$A$1:$AS$1,),)))))/(((VLOOKUP(EDATE(B124,-12),Database!$A:$AS,MATCH($S$1,Database!$A$1:$AS$1,),)))))</f>
        <v/>
      </c>
      <c r="T124" s="13">
        <f>IF(VLOOKUP(B124,Database!$A:$AV,MATCH($T$1,Database!$A$1:$AV$1,),)=0,"#N/A",((((VLOOKUP(B124,Database!$A:$AS,MATCH($T$1,Database!$A$1:$AS$1,),))))-(((VLOOKUP(EDATE(B124,-12),Database!$A:$AS,MATCH($T$1,Database!$A$1:$AS$1,),)))))/(((VLOOKUP(EDATE(B124,-12),Database!$A:$AS,MATCH($T$1,Database!$A$1:$AS$1,),)))))</f>
        <v/>
      </c>
      <c r="U124" s="13">
        <f>IF(VLOOKUP(B124,Database!$A:$AV,MATCH($U$1,Database!$A$1:$AV$1,),)=0,"#N/A",((((VLOOKUP(B124,Database!$A:$AS,MATCH($U$1,Database!$A$1:$AS$1,),))))-(((VLOOKUP(EDATE(B124,-12),Database!$A:$AS,MATCH($U$1,Database!$A$1:$AS$1,),)))))/(((VLOOKUP(EDATE(B124,-12),Database!$A:$AS,MATCH($U$1,Database!$A$1:$AS$1,),)))))</f>
        <v/>
      </c>
      <c r="V124" s="13">
        <f>IF(VLOOKUP(B124,Database!$A:$AV,MATCH($V$1,Database!$A$1:$AV$1,),)=0,"#N/A",((((VLOOKUP(B124,Database!$A:$AS,MATCH($V$1,Database!$A$1:$AS$1,),))))-(((VLOOKUP(EDATE(B124,-12),Database!$A:$AS,MATCH($V$1,Database!$A$1:$AS$1,),)))))/(((VLOOKUP(EDATE(B124,-12),Database!$A:$AS,MATCH($V$1,Database!$A$1:$AS$1,),)))))</f>
        <v/>
      </c>
    </row>
    <row r="125" customFormat="1" s="86">
      <c r="A125" s="43" t="n"/>
      <c r="B125" s="75" t="n">
        <v>35947</v>
      </c>
      <c r="C125" s="13">
        <f>IF(VLOOKUP(B125,Database!$A:$AU,MATCH($C$1,Database!$A$1:$AU$1,),)=0,"#N/A",((((VLOOKUP(B125,Database!$A:$AU,MATCH($C$1,Database!$A$1:$AU$1,),))))-(((VLOOKUP(EDATE(B125,-12),Database!$A:$AU,MATCH($C$1,Database!$A$1:$AU$1,),)))))/(((VLOOKUP(EDATE(B125,-12),Database!$A:$AU,MATCH($C$1,Database!$A$1:$AU$1,),)))))</f>
        <v/>
      </c>
      <c r="D125" s="13">
        <f>IF(VLOOKUP(B125,Database!$A:$AV,MATCH($D$1,Database!$A$1:$AV$1,),)=0,"#N/A",((((VLOOKUP(B125,Database!$A:$AS,MATCH($D$1,Database!$A$1:$AS$1,),))))-(((VLOOKUP(EDATE(B125,-12),Database!$A:$AS,MATCH($D$1,Database!$A$1:$AS$1,),)))))/(((VLOOKUP(EDATE(B125,-12),Database!$A:$AS,MATCH($D$1,Database!$A$1:$AS$1,),)))))</f>
        <v/>
      </c>
      <c r="E125" s="13">
        <f>IF(VLOOKUP(B125,Database!$A:$AV,MATCH($E$1,Database!$A$1:$AV$1,),)=0,"#N/A",((((VLOOKUP(B125,Database!$A:$AS,MATCH($E$1,Database!$A$1:$AS$1,),))))-(((VLOOKUP(EDATE(B125,-12),Database!$A:$AS,MATCH($E$1,Database!$A$1:$AS$1,),)))))/(((VLOOKUP(EDATE(B125,-12),Database!$A:$AS,MATCH($E$1,Database!$A$1:$AS$1,),)))))</f>
        <v/>
      </c>
      <c r="F125" s="13">
        <f>IF(VLOOKUP(B125,Database!$A:$AV,MATCH($F$1,Database!$A$1:$AV$1,),)=0,"#N/A",((((VLOOKUP(B125,Database!$A:$AS,MATCH($F$1,Database!$A$1:$AS$1,),))))-(((VLOOKUP(EDATE(B125,-12),Database!$A:$AS,MATCH($F$1,Database!$A$1:$AS$1,),)))))/(((VLOOKUP(EDATE(B125,-12),Database!$A:$AS,MATCH($F$1,Database!$A$1:$AS$1,),)))))</f>
        <v/>
      </c>
      <c r="G125" s="13">
        <f>IF(VLOOKUP(B125,Database!$A:$AV,MATCH($G$1,Database!$A$1:$AV$1,),)=0,"#N/A",((((VLOOKUP(B125,Database!$A:$AS,MATCH($G$1,Database!$A$1:$AS$1,),))))-(((VLOOKUP(EDATE(B125,-12),Database!$A:$AS,MATCH($G$1,Database!$A$1:$AS$1,),)))))/(((VLOOKUP(EDATE(B125,-12),Database!$A:$AS,MATCH($G$1,Database!$A$1:$AS$1,),)))))</f>
        <v/>
      </c>
      <c r="H125" s="13">
        <f>IF(VLOOKUP(B125,Database!$A:$AV,MATCH($H$1,Database!$A$1:$AV$1,),)=0,"#N/A",((((VLOOKUP(B125,Database!$A:$AS,MATCH($H$1,Database!$A$1:$AS$1,),))))-(((VLOOKUP(EDATE(B125,-12),Database!$A:$AS,MATCH($H$1,Database!$A$1:$AS$1,),)))))/(((VLOOKUP(EDATE(B125,-12),Database!$A:$AS,MATCH($H$1,Database!$A$1:$AS$1,),)))))</f>
        <v/>
      </c>
      <c r="I125" s="13">
        <f>IF(VLOOKUP(B125,Database!$A:$AV,MATCH($I$1,Database!$A$1:$AV$1,),)=0,"#N/A",((((VLOOKUP(B125,Database!$A:$AS,MATCH($I$1,Database!$A$1:$AS$1,),))))-(((VLOOKUP(EDATE(B125,-12),Database!$A:$AS,MATCH($I$1,Database!$A$1:$AS$1,),)))))/(((VLOOKUP(EDATE(B125,-12),Database!$A:$AS,MATCH($I$1,Database!$A$1:$AS$1,),)))))</f>
        <v/>
      </c>
      <c r="J125" s="13">
        <f>IF(VLOOKUP(B125,Database!$A:$AV,MATCH($J$1,Database!$A$1:$AV$1,),)=0,"#N/A",((((VLOOKUP(B125,Database!$A:$AS,MATCH($J$1,Database!$A$1:$AS$1,),))))-(((VLOOKUP(EDATE(B125,-12),Database!$A:$AS,MATCH($J$1,Database!$A$1:$AS$1,),)))))/(((VLOOKUP(EDATE(B125,-12),Database!$A:$AS,MATCH($J$1,Database!$A$1:$AS$1,),)))))</f>
        <v/>
      </c>
      <c r="K125" s="13">
        <f>IF(VLOOKUP(B125,Database!$A:$AV,MATCH($K$1,Database!$A$1:$AV$1,),)=0,"#N/A",((((VLOOKUP(B125,Database!$A:$AS,MATCH($K$1,Database!$A$1:$AS$1,),))))-(((VLOOKUP(EDATE(B125,-12),Database!$A:$AS,MATCH($K$1,Database!$A$1:$AS$1,),)))))/(((VLOOKUP(EDATE(B125,-12),Database!$A:$AS,MATCH($K$1,Database!$A$1:$AS$1,),)))))</f>
        <v/>
      </c>
      <c r="L125" s="13">
        <f>((((VLOOKUP(B125,Database!$A:$AS,MATCH($L$1,Database!$A$1:$AS$1,),))))-(((VLOOKUP(EDATE(B125,-12),Database!$A:$AS,MATCH($L$1,Database!$A$1:$AS$1,),)))))/(((VLOOKUP(EDATE(B125,-12),Database!$A:$AS,MATCH($L$1,Database!$A$1:$AS$1,),))))</f>
        <v/>
      </c>
      <c r="M125" s="13">
        <f>((((VLOOKUP(B125,Database!$A:$AS,MATCH($M$1,Database!$A$1:$AS$1,),))))-(((VLOOKUP(EDATE(B125,-12),Database!$A:$AS,MATCH($M$1,Database!$A$1:$AS$1,),)))))/(((VLOOKUP(EDATE(B125,-12),Database!$A:$AS,MATCH($M$1,Database!$A$1:$AS$1,),))))</f>
        <v/>
      </c>
      <c r="N125" s="13">
        <f>((((VLOOKUP(B125,Database!$A:$AS,MATCH($N$1,Database!$A$1:$AS$1,),))))-(((VLOOKUP(EDATE(B125,-12),Database!$A:$AS,MATCH($N$1,Database!$A$1:$AS$1,),)))))/(((VLOOKUP(EDATE(B125,-12),Database!$A:$AS,MATCH($N$1,Database!$A$1:$AS$1,),))))</f>
        <v/>
      </c>
      <c r="O125" s="13">
        <f>IF(VLOOKUP(B125,Database!$A:$AV,MATCH($O$1,Database!$A$1:$AV$1,),)=0,"#N/A",((((VLOOKUP(B125,Database!$A:$AS,MATCH($O$1,Database!$A$1:$AS$1,),))))-(((VLOOKUP(EDATE(B125,-12),Database!$A:$AS,MATCH($O$1,Database!$A$1:$AS$1,),)))))/(((VLOOKUP(EDATE(B125,-12),Database!$A:$AS,MATCH($O$1,Database!$A$1:$AS$1,),)))))</f>
        <v/>
      </c>
      <c r="P125" s="13">
        <f>IF(VLOOKUP(B125,Database!$A:$AV,MATCH($P$1,Database!$A$1:$AV$1,),)=0,"#N/A",((((VLOOKUP(B125,Database!$A:$AS,MATCH($P$1,Database!$A$1:$AS$1,),))))-(((VLOOKUP(EDATE(B125,-12),Database!$A:$AS,MATCH($P$1,Database!$A$1:$AS$1,),)))))/(((VLOOKUP(EDATE(B125,-12),Database!$A:$AS,MATCH($P$1,Database!$A$1:$AS$1,),)))))</f>
        <v/>
      </c>
      <c r="Q125" s="13">
        <f>IF(VLOOKUP(B125,Database!$A:$AV,MATCH($Q$1,Database!$A$1:$AV$1,),)=0,"#N/A",((((VLOOKUP(B125,Database!$A:$AS,MATCH($Q$1,Database!$A$1:$AS$1,),))))-(((VLOOKUP(EDATE(B125,-12),Database!$A:$AS,MATCH($Q$1,Database!$A$1:$AS$1,),)))))/(((VLOOKUP(EDATE(B125,-12),Database!$A:$AS,MATCH($Q$1,Database!$A$1:$AS$1,),)))))</f>
        <v/>
      </c>
      <c r="R125" s="13">
        <f>IF(VLOOKUP(B125,Database!$A:$AV,MATCH($R$1,Database!$A$1:$AV$1,),)=0,"#N/A",((((VLOOKUP(B125,Database!$A:$AS,MATCH($R$1,Database!$A$1:$AS$1,),))))-(((VLOOKUP(EDATE(B125,-12),Database!$A:$AS,MATCH($R$1,Database!$A$1:$AS$1,),)))))/(((VLOOKUP(EDATE(B125,-12),Database!$A:$AS,MATCH($R$1,Database!$A$1:$AS$1,),)))))</f>
        <v/>
      </c>
      <c r="S125" s="13">
        <f>IF(VLOOKUP(B125,Database!$A:$AV,MATCH($S$1,Database!$A$1:$AV$1,),)=0,"#N/A",((((VLOOKUP(B125,Database!$A:$AS,MATCH($S$1,Database!$A$1:$AS$1,),))))-(((VLOOKUP(EDATE(B125,-12),Database!$A:$AS,MATCH($S$1,Database!$A$1:$AS$1,),)))))/(((VLOOKUP(EDATE(B125,-12),Database!$A:$AS,MATCH($S$1,Database!$A$1:$AS$1,),)))))</f>
        <v/>
      </c>
      <c r="T125" s="13">
        <f>IF(VLOOKUP(B125,Database!$A:$AV,MATCH($T$1,Database!$A$1:$AV$1,),)=0,"#N/A",((((VLOOKUP(B125,Database!$A:$AS,MATCH($T$1,Database!$A$1:$AS$1,),))))-(((VLOOKUP(EDATE(B125,-12),Database!$A:$AS,MATCH($T$1,Database!$A$1:$AS$1,),)))))/(((VLOOKUP(EDATE(B125,-12),Database!$A:$AS,MATCH($T$1,Database!$A$1:$AS$1,),)))))</f>
        <v/>
      </c>
      <c r="U125" s="13">
        <f>IF(VLOOKUP(B125,Database!$A:$AV,MATCH($U$1,Database!$A$1:$AV$1,),)=0,"#N/A",((((VLOOKUP(B125,Database!$A:$AS,MATCH($U$1,Database!$A$1:$AS$1,),))))-(((VLOOKUP(EDATE(B125,-12),Database!$A:$AS,MATCH($U$1,Database!$A$1:$AS$1,),)))))/(((VLOOKUP(EDATE(B125,-12),Database!$A:$AS,MATCH($U$1,Database!$A$1:$AS$1,),)))))</f>
        <v/>
      </c>
      <c r="V125" s="13">
        <f>IF(VLOOKUP(B125,Database!$A:$AV,MATCH($V$1,Database!$A$1:$AV$1,),)=0,"#N/A",((((VLOOKUP(B125,Database!$A:$AS,MATCH($V$1,Database!$A$1:$AS$1,),))))-(((VLOOKUP(EDATE(B125,-12),Database!$A:$AS,MATCH($V$1,Database!$A$1:$AS$1,),)))))/(((VLOOKUP(EDATE(B125,-12),Database!$A:$AS,MATCH($V$1,Database!$A$1:$AS$1,),)))))</f>
        <v/>
      </c>
    </row>
    <row r="126" customFormat="1" s="86">
      <c r="A126" s="43" t="n"/>
      <c r="B126" s="75" t="n">
        <v>35977</v>
      </c>
      <c r="C126" s="13">
        <f>IF(VLOOKUP(B126,Database!$A:$AU,MATCH($C$1,Database!$A$1:$AU$1,),)=0,"#N/A",((((VLOOKUP(B126,Database!$A:$AU,MATCH($C$1,Database!$A$1:$AU$1,),))))-(((VLOOKUP(EDATE(B126,-12),Database!$A:$AU,MATCH($C$1,Database!$A$1:$AU$1,),)))))/(((VLOOKUP(EDATE(B126,-12),Database!$A:$AU,MATCH($C$1,Database!$A$1:$AU$1,),)))))</f>
        <v/>
      </c>
      <c r="D126" s="13">
        <f>IF(VLOOKUP(B126,Database!$A:$AV,MATCH($D$1,Database!$A$1:$AV$1,),)=0,"#N/A",((((VLOOKUP(B126,Database!$A:$AS,MATCH($D$1,Database!$A$1:$AS$1,),))))-(((VLOOKUP(EDATE(B126,-12),Database!$A:$AS,MATCH($D$1,Database!$A$1:$AS$1,),)))))/(((VLOOKUP(EDATE(B126,-12),Database!$A:$AS,MATCH($D$1,Database!$A$1:$AS$1,),)))))</f>
        <v/>
      </c>
      <c r="E126" s="13">
        <f>IF(VLOOKUP(B126,Database!$A:$AV,MATCH($E$1,Database!$A$1:$AV$1,),)=0,"#N/A",((((VLOOKUP(B126,Database!$A:$AS,MATCH($E$1,Database!$A$1:$AS$1,),))))-(((VLOOKUP(EDATE(B126,-12),Database!$A:$AS,MATCH($E$1,Database!$A$1:$AS$1,),)))))/(((VLOOKUP(EDATE(B126,-12),Database!$A:$AS,MATCH($E$1,Database!$A$1:$AS$1,),)))))</f>
        <v/>
      </c>
      <c r="F126" s="13">
        <f>IF(VLOOKUP(B126,Database!$A:$AV,MATCH($F$1,Database!$A$1:$AV$1,),)=0,"#N/A",((((VLOOKUP(B126,Database!$A:$AS,MATCH($F$1,Database!$A$1:$AS$1,),))))-(((VLOOKUP(EDATE(B126,-12),Database!$A:$AS,MATCH($F$1,Database!$A$1:$AS$1,),)))))/(((VLOOKUP(EDATE(B126,-12),Database!$A:$AS,MATCH($F$1,Database!$A$1:$AS$1,),)))))</f>
        <v/>
      </c>
      <c r="G126" s="13">
        <f>IF(VLOOKUP(B126,Database!$A:$AV,MATCH($G$1,Database!$A$1:$AV$1,),)=0,"#N/A",((((VLOOKUP(B126,Database!$A:$AS,MATCH($G$1,Database!$A$1:$AS$1,),))))-(((VLOOKUP(EDATE(B126,-12),Database!$A:$AS,MATCH($G$1,Database!$A$1:$AS$1,),)))))/(((VLOOKUP(EDATE(B126,-12),Database!$A:$AS,MATCH($G$1,Database!$A$1:$AS$1,),)))))</f>
        <v/>
      </c>
      <c r="H126" s="13">
        <f>IF(VLOOKUP(B126,Database!$A:$AV,MATCH($H$1,Database!$A$1:$AV$1,),)=0,"#N/A",((((VLOOKUP(B126,Database!$A:$AS,MATCH($H$1,Database!$A$1:$AS$1,),))))-(((VLOOKUP(EDATE(B126,-12),Database!$A:$AS,MATCH($H$1,Database!$A$1:$AS$1,),)))))/(((VLOOKUP(EDATE(B126,-12),Database!$A:$AS,MATCH($H$1,Database!$A$1:$AS$1,),)))))</f>
        <v/>
      </c>
      <c r="I126" s="13">
        <f>IF(VLOOKUP(B126,Database!$A:$AV,MATCH($I$1,Database!$A$1:$AV$1,),)=0,"#N/A",((((VLOOKUP(B126,Database!$A:$AS,MATCH($I$1,Database!$A$1:$AS$1,),))))-(((VLOOKUP(EDATE(B126,-12),Database!$A:$AS,MATCH($I$1,Database!$A$1:$AS$1,),)))))/(((VLOOKUP(EDATE(B126,-12),Database!$A:$AS,MATCH($I$1,Database!$A$1:$AS$1,),)))))</f>
        <v/>
      </c>
      <c r="J126" s="13">
        <f>IF(VLOOKUP(B126,Database!$A:$AV,MATCH($J$1,Database!$A$1:$AV$1,),)=0,"#N/A",((((VLOOKUP(B126,Database!$A:$AS,MATCH($J$1,Database!$A$1:$AS$1,),))))-(((VLOOKUP(EDATE(B126,-12),Database!$A:$AS,MATCH($J$1,Database!$A$1:$AS$1,),)))))/(((VLOOKUP(EDATE(B126,-12),Database!$A:$AS,MATCH($J$1,Database!$A$1:$AS$1,),)))))</f>
        <v/>
      </c>
      <c r="K126" s="13">
        <f>IF(VLOOKUP(B126,Database!$A:$AV,MATCH($K$1,Database!$A$1:$AV$1,),)=0,"#N/A",((((VLOOKUP(B126,Database!$A:$AS,MATCH($K$1,Database!$A$1:$AS$1,),))))-(((VLOOKUP(EDATE(B126,-12),Database!$A:$AS,MATCH($K$1,Database!$A$1:$AS$1,),)))))/(((VLOOKUP(EDATE(B126,-12),Database!$A:$AS,MATCH($K$1,Database!$A$1:$AS$1,),)))))</f>
        <v/>
      </c>
      <c r="L126" s="13">
        <f>((((VLOOKUP(B126,Database!$A:$AS,MATCH($L$1,Database!$A$1:$AS$1,),))))-(((VLOOKUP(EDATE(B126,-12),Database!$A:$AS,MATCH($L$1,Database!$A$1:$AS$1,),)))))/(((VLOOKUP(EDATE(B126,-12),Database!$A:$AS,MATCH($L$1,Database!$A$1:$AS$1,),))))</f>
        <v/>
      </c>
      <c r="M126" s="13">
        <f>((((VLOOKUP(B126,Database!$A:$AS,MATCH($M$1,Database!$A$1:$AS$1,),))))-(((VLOOKUP(EDATE(B126,-12),Database!$A:$AS,MATCH($M$1,Database!$A$1:$AS$1,),)))))/(((VLOOKUP(EDATE(B126,-12),Database!$A:$AS,MATCH($M$1,Database!$A$1:$AS$1,),))))</f>
        <v/>
      </c>
      <c r="N126" s="13">
        <f>((((VLOOKUP(B126,Database!$A:$AS,MATCH($N$1,Database!$A$1:$AS$1,),))))-(((VLOOKUP(EDATE(B126,-12),Database!$A:$AS,MATCH($N$1,Database!$A$1:$AS$1,),)))))/(((VLOOKUP(EDATE(B126,-12),Database!$A:$AS,MATCH($N$1,Database!$A$1:$AS$1,),))))</f>
        <v/>
      </c>
      <c r="O126" s="13">
        <f>IF(VLOOKUP(B126,Database!$A:$AV,MATCH($O$1,Database!$A$1:$AV$1,),)=0,"#N/A",((((VLOOKUP(B126,Database!$A:$AS,MATCH($O$1,Database!$A$1:$AS$1,),))))-(((VLOOKUP(EDATE(B126,-12),Database!$A:$AS,MATCH($O$1,Database!$A$1:$AS$1,),)))))/(((VLOOKUP(EDATE(B126,-12),Database!$A:$AS,MATCH($O$1,Database!$A$1:$AS$1,),)))))</f>
        <v/>
      </c>
      <c r="P126" s="13">
        <f>IF(VLOOKUP(B126,Database!$A:$AV,MATCH($P$1,Database!$A$1:$AV$1,),)=0,"#N/A",((((VLOOKUP(B126,Database!$A:$AS,MATCH($P$1,Database!$A$1:$AS$1,),))))-(((VLOOKUP(EDATE(B126,-12),Database!$A:$AS,MATCH($P$1,Database!$A$1:$AS$1,),)))))/(((VLOOKUP(EDATE(B126,-12),Database!$A:$AS,MATCH($P$1,Database!$A$1:$AS$1,),)))))</f>
        <v/>
      </c>
      <c r="Q126" s="13">
        <f>IF(VLOOKUP(B126,Database!$A:$AV,MATCH($Q$1,Database!$A$1:$AV$1,),)=0,"#N/A",((((VLOOKUP(B126,Database!$A:$AS,MATCH($Q$1,Database!$A$1:$AS$1,),))))-(((VLOOKUP(EDATE(B126,-12),Database!$A:$AS,MATCH($Q$1,Database!$A$1:$AS$1,),)))))/(((VLOOKUP(EDATE(B126,-12),Database!$A:$AS,MATCH($Q$1,Database!$A$1:$AS$1,),)))))</f>
        <v/>
      </c>
      <c r="R126" s="13">
        <f>IF(VLOOKUP(B126,Database!$A:$AV,MATCH($R$1,Database!$A$1:$AV$1,),)=0,"#N/A",((((VLOOKUP(B126,Database!$A:$AS,MATCH($R$1,Database!$A$1:$AS$1,),))))-(((VLOOKUP(EDATE(B126,-12),Database!$A:$AS,MATCH($R$1,Database!$A$1:$AS$1,),)))))/(((VLOOKUP(EDATE(B126,-12),Database!$A:$AS,MATCH($R$1,Database!$A$1:$AS$1,),)))))</f>
        <v/>
      </c>
      <c r="S126" s="13">
        <f>IF(VLOOKUP(B126,Database!$A:$AV,MATCH($S$1,Database!$A$1:$AV$1,),)=0,"#N/A",((((VLOOKUP(B126,Database!$A:$AS,MATCH($S$1,Database!$A$1:$AS$1,),))))-(((VLOOKUP(EDATE(B126,-12),Database!$A:$AS,MATCH($S$1,Database!$A$1:$AS$1,),)))))/(((VLOOKUP(EDATE(B126,-12),Database!$A:$AS,MATCH($S$1,Database!$A$1:$AS$1,),)))))</f>
        <v/>
      </c>
      <c r="T126" s="13">
        <f>IF(VLOOKUP(B126,Database!$A:$AV,MATCH($T$1,Database!$A$1:$AV$1,),)=0,"#N/A",((((VLOOKUP(B126,Database!$A:$AS,MATCH($T$1,Database!$A$1:$AS$1,),))))-(((VLOOKUP(EDATE(B126,-12),Database!$A:$AS,MATCH($T$1,Database!$A$1:$AS$1,),)))))/(((VLOOKUP(EDATE(B126,-12),Database!$A:$AS,MATCH($T$1,Database!$A$1:$AS$1,),)))))</f>
        <v/>
      </c>
      <c r="U126" s="13">
        <f>IF(VLOOKUP(B126,Database!$A:$AV,MATCH($U$1,Database!$A$1:$AV$1,),)=0,"#N/A",((((VLOOKUP(B126,Database!$A:$AS,MATCH($U$1,Database!$A$1:$AS$1,),))))-(((VLOOKUP(EDATE(B126,-12),Database!$A:$AS,MATCH($U$1,Database!$A$1:$AS$1,),)))))/(((VLOOKUP(EDATE(B126,-12),Database!$A:$AS,MATCH($U$1,Database!$A$1:$AS$1,),)))))</f>
        <v/>
      </c>
      <c r="V126" s="13">
        <f>IF(VLOOKUP(B126,Database!$A:$AV,MATCH($V$1,Database!$A$1:$AV$1,),)=0,"#N/A",((((VLOOKUP(B126,Database!$A:$AS,MATCH($V$1,Database!$A$1:$AS$1,),))))-(((VLOOKUP(EDATE(B126,-12),Database!$A:$AS,MATCH($V$1,Database!$A$1:$AS$1,),)))))/(((VLOOKUP(EDATE(B126,-12),Database!$A:$AS,MATCH($V$1,Database!$A$1:$AS$1,),)))))</f>
        <v/>
      </c>
    </row>
    <row r="127" customFormat="1" s="86">
      <c r="A127" s="43" t="n"/>
      <c r="B127" s="75" t="n">
        <v>36008</v>
      </c>
      <c r="C127" s="13">
        <f>IF(VLOOKUP(B127,Database!$A:$AU,MATCH($C$1,Database!$A$1:$AU$1,),)=0,"#N/A",((((VLOOKUP(B127,Database!$A:$AU,MATCH($C$1,Database!$A$1:$AU$1,),))))-(((VLOOKUP(EDATE(B127,-12),Database!$A:$AU,MATCH($C$1,Database!$A$1:$AU$1,),)))))/(((VLOOKUP(EDATE(B127,-12),Database!$A:$AU,MATCH($C$1,Database!$A$1:$AU$1,),)))))</f>
        <v/>
      </c>
      <c r="D127" s="13">
        <f>IF(VLOOKUP(B127,Database!$A:$AV,MATCH($D$1,Database!$A$1:$AV$1,),)=0,"#N/A",((((VLOOKUP(B127,Database!$A:$AS,MATCH($D$1,Database!$A$1:$AS$1,),))))-(((VLOOKUP(EDATE(B127,-12),Database!$A:$AS,MATCH($D$1,Database!$A$1:$AS$1,),)))))/(((VLOOKUP(EDATE(B127,-12),Database!$A:$AS,MATCH($D$1,Database!$A$1:$AS$1,),)))))</f>
        <v/>
      </c>
      <c r="E127" s="13">
        <f>IF(VLOOKUP(B127,Database!$A:$AV,MATCH($E$1,Database!$A$1:$AV$1,),)=0,"#N/A",((((VLOOKUP(B127,Database!$A:$AS,MATCH($E$1,Database!$A$1:$AS$1,),))))-(((VLOOKUP(EDATE(B127,-12),Database!$A:$AS,MATCH($E$1,Database!$A$1:$AS$1,),)))))/(((VLOOKUP(EDATE(B127,-12),Database!$A:$AS,MATCH($E$1,Database!$A$1:$AS$1,),)))))</f>
        <v/>
      </c>
      <c r="F127" s="13">
        <f>IF(VLOOKUP(B127,Database!$A:$AV,MATCH($F$1,Database!$A$1:$AV$1,),)=0,"#N/A",((((VLOOKUP(B127,Database!$A:$AS,MATCH($F$1,Database!$A$1:$AS$1,),))))-(((VLOOKUP(EDATE(B127,-12),Database!$A:$AS,MATCH($F$1,Database!$A$1:$AS$1,),)))))/(((VLOOKUP(EDATE(B127,-12),Database!$A:$AS,MATCH($F$1,Database!$A$1:$AS$1,),)))))</f>
        <v/>
      </c>
      <c r="G127" s="13">
        <f>IF(VLOOKUP(B127,Database!$A:$AV,MATCH($G$1,Database!$A$1:$AV$1,),)=0,"#N/A",((((VLOOKUP(B127,Database!$A:$AS,MATCH($G$1,Database!$A$1:$AS$1,),))))-(((VLOOKUP(EDATE(B127,-12),Database!$A:$AS,MATCH($G$1,Database!$A$1:$AS$1,),)))))/(((VLOOKUP(EDATE(B127,-12),Database!$A:$AS,MATCH($G$1,Database!$A$1:$AS$1,),)))))</f>
        <v/>
      </c>
      <c r="H127" s="13">
        <f>IF(VLOOKUP(B127,Database!$A:$AV,MATCH($H$1,Database!$A$1:$AV$1,),)=0,"#N/A",((((VLOOKUP(B127,Database!$A:$AS,MATCH($H$1,Database!$A$1:$AS$1,),))))-(((VLOOKUP(EDATE(B127,-12),Database!$A:$AS,MATCH($H$1,Database!$A$1:$AS$1,),)))))/(((VLOOKUP(EDATE(B127,-12),Database!$A:$AS,MATCH($H$1,Database!$A$1:$AS$1,),)))))</f>
        <v/>
      </c>
      <c r="I127" s="13">
        <f>IF(VLOOKUP(B127,Database!$A:$AV,MATCH($I$1,Database!$A$1:$AV$1,),)=0,"#N/A",((((VLOOKUP(B127,Database!$A:$AS,MATCH($I$1,Database!$A$1:$AS$1,),))))-(((VLOOKUP(EDATE(B127,-12),Database!$A:$AS,MATCH($I$1,Database!$A$1:$AS$1,),)))))/(((VLOOKUP(EDATE(B127,-12),Database!$A:$AS,MATCH($I$1,Database!$A$1:$AS$1,),)))))</f>
        <v/>
      </c>
      <c r="J127" s="13">
        <f>IF(VLOOKUP(B127,Database!$A:$AV,MATCH($J$1,Database!$A$1:$AV$1,),)=0,"#N/A",((((VLOOKUP(B127,Database!$A:$AS,MATCH($J$1,Database!$A$1:$AS$1,),))))-(((VLOOKUP(EDATE(B127,-12),Database!$A:$AS,MATCH($J$1,Database!$A$1:$AS$1,),)))))/(((VLOOKUP(EDATE(B127,-12),Database!$A:$AS,MATCH($J$1,Database!$A$1:$AS$1,),)))))</f>
        <v/>
      </c>
      <c r="K127" s="13">
        <f>IF(VLOOKUP(B127,Database!$A:$AV,MATCH($K$1,Database!$A$1:$AV$1,),)=0,"#N/A",((((VLOOKUP(B127,Database!$A:$AS,MATCH($K$1,Database!$A$1:$AS$1,),))))-(((VLOOKUP(EDATE(B127,-12),Database!$A:$AS,MATCH($K$1,Database!$A$1:$AS$1,),)))))/(((VLOOKUP(EDATE(B127,-12),Database!$A:$AS,MATCH($K$1,Database!$A$1:$AS$1,),)))))</f>
        <v/>
      </c>
      <c r="L127" s="13">
        <f>((((VLOOKUP(B127,Database!$A:$AS,MATCH($L$1,Database!$A$1:$AS$1,),))))-(((VLOOKUP(EDATE(B127,-12),Database!$A:$AS,MATCH($L$1,Database!$A$1:$AS$1,),)))))/(((VLOOKUP(EDATE(B127,-12),Database!$A:$AS,MATCH($L$1,Database!$A$1:$AS$1,),))))</f>
        <v/>
      </c>
      <c r="M127" s="13">
        <f>((((VLOOKUP(B127,Database!$A:$AS,MATCH($M$1,Database!$A$1:$AS$1,),))))-(((VLOOKUP(EDATE(B127,-12),Database!$A:$AS,MATCH($M$1,Database!$A$1:$AS$1,),)))))/(((VLOOKUP(EDATE(B127,-12),Database!$A:$AS,MATCH($M$1,Database!$A$1:$AS$1,),))))</f>
        <v/>
      </c>
      <c r="N127" s="13">
        <f>((((VLOOKUP(B127,Database!$A:$AS,MATCH($N$1,Database!$A$1:$AS$1,),))))-(((VLOOKUP(EDATE(B127,-12),Database!$A:$AS,MATCH($N$1,Database!$A$1:$AS$1,),)))))/(((VLOOKUP(EDATE(B127,-12),Database!$A:$AS,MATCH($N$1,Database!$A$1:$AS$1,),))))</f>
        <v/>
      </c>
      <c r="O127" s="13">
        <f>IF(VLOOKUP(B127,Database!$A:$AV,MATCH($O$1,Database!$A$1:$AV$1,),)=0,"#N/A",((((VLOOKUP(B127,Database!$A:$AS,MATCH($O$1,Database!$A$1:$AS$1,),))))-(((VLOOKUP(EDATE(B127,-12),Database!$A:$AS,MATCH($O$1,Database!$A$1:$AS$1,),)))))/(((VLOOKUP(EDATE(B127,-12),Database!$A:$AS,MATCH($O$1,Database!$A$1:$AS$1,),)))))</f>
        <v/>
      </c>
      <c r="P127" s="13">
        <f>IF(VLOOKUP(B127,Database!$A:$AV,MATCH($P$1,Database!$A$1:$AV$1,),)=0,"#N/A",((((VLOOKUP(B127,Database!$A:$AS,MATCH($P$1,Database!$A$1:$AS$1,),))))-(((VLOOKUP(EDATE(B127,-12),Database!$A:$AS,MATCH($P$1,Database!$A$1:$AS$1,),)))))/(((VLOOKUP(EDATE(B127,-12),Database!$A:$AS,MATCH($P$1,Database!$A$1:$AS$1,),)))))</f>
        <v/>
      </c>
      <c r="Q127" s="13">
        <f>IF(VLOOKUP(B127,Database!$A:$AV,MATCH($Q$1,Database!$A$1:$AV$1,),)=0,"#N/A",((((VLOOKUP(B127,Database!$A:$AS,MATCH($Q$1,Database!$A$1:$AS$1,),))))-(((VLOOKUP(EDATE(B127,-12),Database!$A:$AS,MATCH($Q$1,Database!$A$1:$AS$1,),)))))/(((VLOOKUP(EDATE(B127,-12),Database!$A:$AS,MATCH($Q$1,Database!$A$1:$AS$1,),)))))</f>
        <v/>
      </c>
      <c r="R127" s="13">
        <f>IF(VLOOKUP(B127,Database!$A:$AV,MATCH($R$1,Database!$A$1:$AV$1,),)=0,"#N/A",((((VLOOKUP(B127,Database!$A:$AS,MATCH($R$1,Database!$A$1:$AS$1,),))))-(((VLOOKUP(EDATE(B127,-12),Database!$A:$AS,MATCH($R$1,Database!$A$1:$AS$1,),)))))/(((VLOOKUP(EDATE(B127,-12),Database!$A:$AS,MATCH($R$1,Database!$A$1:$AS$1,),)))))</f>
        <v/>
      </c>
      <c r="S127" s="13">
        <f>IF(VLOOKUP(B127,Database!$A:$AV,MATCH($S$1,Database!$A$1:$AV$1,),)=0,"#N/A",((((VLOOKUP(B127,Database!$A:$AS,MATCH($S$1,Database!$A$1:$AS$1,),))))-(((VLOOKUP(EDATE(B127,-12),Database!$A:$AS,MATCH($S$1,Database!$A$1:$AS$1,),)))))/(((VLOOKUP(EDATE(B127,-12),Database!$A:$AS,MATCH($S$1,Database!$A$1:$AS$1,),)))))</f>
        <v/>
      </c>
      <c r="T127" s="13">
        <f>IF(VLOOKUP(B127,Database!$A:$AV,MATCH($T$1,Database!$A$1:$AV$1,),)=0,"#N/A",((((VLOOKUP(B127,Database!$A:$AS,MATCH($T$1,Database!$A$1:$AS$1,),))))-(((VLOOKUP(EDATE(B127,-12),Database!$A:$AS,MATCH($T$1,Database!$A$1:$AS$1,),)))))/(((VLOOKUP(EDATE(B127,-12),Database!$A:$AS,MATCH($T$1,Database!$A$1:$AS$1,),)))))</f>
        <v/>
      </c>
      <c r="U127" s="13">
        <f>IF(VLOOKUP(B127,Database!$A:$AV,MATCH($U$1,Database!$A$1:$AV$1,),)=0,"#N/A",((((VLOOKUP(B127,Database!$A:$AS,MATCH($U$1,Database!$A$1:$AS$1,),))))-(((VLOOKUP(EDATE(B127,-12),Database!$A:$AS,MATCH($U$1,Database!$A$1:$AS$1,),)))))/(((VLOOKUP(EDATE(B127,-12),Database!$A:$AS,MATCH($U$1,Database!$A$1:$AS$1,),)))))</f>
        <v/>
      </c>
      <c r="V127" s="13">
        <f>IF(VLOOKUP(B127,Database!$A:$AV,MATCH($V$1,Database!$A$1:$AV$1,),)=0,"#N/A",((((VLOOKUP(B127,Database!$A:$AS,MATCH($V$1,Database!$A$1:$AS$1,),))))-(((VLOOKUP(EDATE(B127,-12),Database!$A:$AS,MATCH($V$1,Database!$A$1:$AS$1,),)))))/(((VLOOKUP(EDATE(B127,-12),Database!$A:$AS,MATCH($V$1,Database!$A$1:$AS$1,),)))))</f>
        <v/>
      </c>
    </row>
    <row r="128" customFormat="1" s="86">
      <c r="A128" s="43" t="n"/>
      <c r="B128" s="75" t="n">
        <v>36039</v>
      </c>
      <c r="C128" s="13">
        <f>IF(VLOOKUP(B128,Database!$A:$AU,MATCH($C$1,Database!$A$1:$AU$1,),)=0,"#N/A",((((VLOOKUP(B128,Database!$A:$AU,MATCH($C$1,Database!$A$1:$AU$1,),))))-(((VLOOKUP(EDATE(B128,-12),Database!$A:$AU,MATCH($C$1,Database!$A$1:$AU$1,),)))))/(((VLOOKUP(EDATE(B128,-12),Database!$A:$AU,MATCH($C$1,Database!$A$1:$AU$1,),)))))</f>
        <v/>
      </c>
      <c r="D128" s="13">
        <f>IF(VLOOKUP(B128,Database!$A:$AV,MATCH($D$1,Database!$A$1:$AV$1,),)=0,"#N/A",((((VLOOKUP(B128,Database!$A:$AS,MATCH($D$1,Database!$A$1:$AS$1,),))))-(((VLOOKUP(EDATE(B128,-12),Database!$A:$AS,MATCH($D$1,Database!$A$1:$AS$1,),)))))/(((VLOOKUP(EDATE(B128,-12),Database!$A:$AS,MATCH($D$1,Database!$A$1:$AS$1,),)))))</f>
        <v/>
      </c>
      <c r="E128" s="13">
        <f>IF(VLOOKUP(B128,Database!$A:$AV,MATCH($E$1,Database!$A$1:$AV$1,),)=0,"#N/A",((((VLOOKUP(B128,Database!$A:$AS,MATCH($E$1,Database!$A$1:$AS$1,),))))-(((VLOOKUP(EDATE(B128,-12),Database!$A:$AS,MATCH($E$1,Database!$A$1:$AS$1,),)))))/(((VLOOKUP(EDATE(B128,-12),Database!$A:$AS,MATCH($E$1,Database!$A$1:$AS$1,),)))))</f>
        <v/>
      </c>
      <c r="F128" s="13">
        <f>IF(VLOOKUP(B128,Database!$A:$AV,MATCH($F$1,Database!$A$1:$AV$1,),)=0,"#N/A",((((VLOOKUP(B128,Database!$A:$AS,MATCH($F$1,Database!$A$1:$AS$1,),))))-(((VLOOKUP(EDATE(B128,-12),Database!$A:$AS,MATCH($F$1,Database!$A$1:$AS$1,),)))))/(((VLOOKUP(EDATE(B128,-12),Database!$A:$AS,MATCH($F$1,Database!$A$1:$AS$1,),)))))</f>
        <v/>
      </c>
      <c r="G128" s="13">
        <f>IF(VLOOKUP(B128,Database!$A:$AV,MATCH($G$1,Database!$A$1:$AV$1,),)=0,"#N/A",((((VLOOKUP(B128,Database!$A:$AS,MATCH($G$1,Database!$A$1:$AS$1,),))))-(((VLOOKUP(EDATE(B128,-12),Database!$A:$AS,MATCH($G$1,Database!$A$1:$AS$1,),)))))/(((VLOOKUP(EDATE(B128,-12),Database!$A:$AS,MATCH($G$1,Database!$A$1:$AS$1,),)))))</f>
        <v/>
      </c>
      <c r="H128" s="13">
        <f>IF(VLOOKUP(B128,Database!$A:$AV,MATCH($H$1,Database!$A$1:$AV$1,),)=0,"#N/A",((((VLOOKUP(B128,Database!$A:$AS,MATCH($H$1,Database!$A$1:$AS$1,),))))-(((VLOOKUP(EDATE(B128,-12),Database!$A:$AS,MATCH($H$1,Database!$A$1:$AS$1,),)))))/(((VLOOKUP(EDATE(B128,-12),Database!$A:$AS,MATCH($H$1,Database!$A$1:$AS$1,),)))))</f>
        <v/>
      </c>
      <c r="I128" s="13">
        <f>IF(VLOOKUP(B128,Database!$A:$AV,MATCH($I$1,Database!$A$1:$AV$1,),)=0,"#N/A",((((VLOOKUP(B128,Database!$A:$AS,MATCH($I$1,Database!$A$1:$AS$1,),))))-(((VLOOKUP(EDATE(B128,-12),Database!$A:$AS,MATCH($I$1,Database!$A$1:$AS$1,),)))))/(((VLOOKUP(EDATE(B128,-12),Database!$A:$AS,MATCH($I$1,Database!$A$1:$AS$1,),)))))</f>
        <v/>
      </c>
      <c r="J128" s="13">
        <f>IF(VLOOKUP(B128,Database!$A:$AV,MATCH($J$1,Database!$A$1:$AV$1,),)=0,"#N/A",((((VLOOKUP(B128,Database!$A:$AS,MATCH($J$1,Database!$A$1:$AS$1,),))))-(((VLOOKUP(EDATE(B128,-12),Database!$A:$AS,MATCH($J$1,Database!$A$1:$AS$1,),)))))/(((VLOOKUP(EDATE(B128,-12),Database!$A:$AS,MATCH($J$1,Database!$A$1:$AS$1,),)))))</f>
        <v/>
      </c>
      <c r="K128" s="13">
        <f>IF(VLOOKUP(B128,Database!$A:$AV,MATCH($K$1,Database!$A$1:$AV$1,),)=0,"#N/A",((((VLOOKUP(B128,Database!$A:$AS,MATCH($K$1,Database!$A$1:$AS$1,),))))-(((VLOOKUP(EDATE(B128,-12),Database!$A:$AS,MATCH($K$1,Database!$A$1:$AS$1,),)))))/(((VLOOKUP(EDATE(B128,-12),Database!$A:$AS,MATCH($K$1,Database!$A$1:$AS$1,),)))))</f>
        <v/>
      </c>
      <c r="L128" s="13">
        <f>((((VLOOKUP(B128,Database!$A:$AS,MATCH($L$1,Database!$A$1:$AS$1,),))))-(((VLOOKUP(EDATE(B128,-12),Database!$A:$AS,MATCH($L$1,Database!$A$1:$AS$1,),)))))/(((VLOOKUP(EDATE(B128,-12),Database!$A:$AS,MATCH($L$1,Database!$A$1:$AS$1,),))))</f>
        <v/>
      </c>
      <c r="M128" s="13">
        <f>((((VLOOKUP(B128,Database!$A:$AS,MATCH($M$1,Database!$A$1:$AS$1,),))))-(((VLOOKUP(EDATE(B128,-12),Database!$A:$AS,MATCH($M$1,Database!$A$1:$AS$1,),)))))/(((VLOOKUP(EDATE(B128,-12),Database!$A:$AS,MATCH($M$1,Database!$A$1:$AS$1,),))))</f>
        <v/>
      </c>
      <c r="N128" s="13">
        <f>((((VLOOKUP(B128,Database!$A:$AS,MATCH($N$1,Database!$A$1:$AS$1,),))))-(((VLOOKUP(EDATE(B128,-12),Database!$A:$AS,MATCH($N$1,Database!$A$1:$AS$1,),)))))/(((VLOOKUP(EDATE(B128,-12),Database!$A:$AS,MATCH($N$1,Database!$A$1:$AS$1,),))))</f>
        <v/>
      </c>
      <c r="O128" s="13">
        <f>IF(VLOOKUP(B128,Database!$A:$AV,MATCH($O$1,Database!$A$1:$AV$1,),)=0,"#N/A",((((VLOOKUP(B128,Database!$A:$AS,MATCH($O$1,Database!$A$1:$AS$1,),))))-(((VLOOKUP(EDATE(B128,-12),Database!$A:$AS,MATCH($O$1,Database!$A$1:$AS$1,),)))))/(((VLOOKUP(EDATE(B128,-12),Database!$A:$AS,MATCH($O$1,Database!$A$1:$AS$1,),)))))</f>
        <v/>
      </c>
      <c r="P128" s="13">
        <f>IF(VLOOKUP(B128,Database!$A:$AV,MATCH($P$1,Database!$A$1:$AV$1,),)=0,"#N/A",((((VLOOKUP(B128,Database!$A:$AS,MATCH($P$1,Database!$A$1:$AS$1,),))))-(((VLOOKUP(EDATE(B128,-12),Database!$A:$AS,MATCH($P$1,Database!$A$1:$AS$1,),)))))/(((VLOOKUP(EDATE(B128,-12),Database!$A:$AS,MATCH($P$1,Database!$A$1:$AS$1,),)))))</f>
        <v/>
      </c>
      <c r="Q128" s="13">
        <f>IF(VLOOKUP(B128,Database!$A:$AV,MATCH($Q$1,Database!$A$1:$AV$1,),)=0,"#N/A",((((VLOOKUP(B128,Database!$A:$AS,MATCH($Q$1,Database!$A$1:$AS$1,),))))-(((VLOOKUP(EDATE(B128,-12),Database!$A:$AS,MATCH($Q$1,Database!$A$1:$AS$1,),)))))/(((VLOOKUP(EDATE(B128,-12),Database!$A:$AS,MATCH($Q$1,Database!$A$1:$AS$1,),)))))</f>
        <v/>
      </c>
      <c r="R128" s="13">
        <f>IF(VLOOKUP(B128,Database!$A:$AV,MATCH($R$1,Database!$A$1:$AV$1,),)=0,"#N/A",((((VLOOKUP(B128,Database!$A:$AS,MATCH($R$1,Database!$A$1:$AS$1,),))))-(((VLOOKUP(EDATE(B128,-12),Database!$A:$AS,MATCH($R$1,Database!$A$1:$AS$1,),)))))/(((VLOOKUP(EDATE(B128,-12),Database!$A:$AS,MATCH($R$1,Database!$A$1:$AS$1,),)))))</f>
        <v/>
      </c>
      <c r="S128" s="13">
        <f>IF(VLOOKUP(B128,Database!$A:$AV,MATCH($S$1,Database!$A$1:$AV$1,),)=0,"#N/A",((((VLOOKUP(B128,Database!$A:$AS,MATCH($S$1,Database!$A$1:$AS$1,),))))-(((VLOOKUP(EDATE(B128,-12),Database!$A:$AS,MATCH($S$1,Database!$A$1:$AS$1,),)))))/(((VLOOKUP(EDATE(B128,-12),Database!$A:$AS,MATCH($S$1,Database!$A$1:$AS$1,),)))))</f>
        <v/>
      </c>
      <c r="T128" s="13">
        <f>IF(VLOOKUP(B128,Database!$A:$AV,MATCH($T$1,Database!$A$1:$AV$1,),)=0,"#N/A",((((VLOOKUP(B128,Database!$A:$AS,MATCH($T$1,Database!$A$1:$AS$1,),))))-(((VLOOKUP(EDATE(B128,-12),Database!$A:$AS,MATCH($T$1,Database!$A$1:$AS$1,),)))))/(((VLOOKUP(EDATE(B128,-12),Database!$A:$AS,MATCH($T$1,Database!$A$1:$AS$1,),)))))</f>
        <v/>
      </c>
      <c r="U128" s="13">
        <f>IF(VLOOKUP(B128,Database!$A:$AV,MATCH($U$1,Database!$A$1:$AV$1,),)=0,"#N/A",((((VLOOKUP(B128,Database!$A:$AS,MATCH($U$1,Database!$A$1:$AS$1,),))))-(((VLOOKUP(EDATE(B128,-12),Database!$A:$AS,MATCH($U$1,Database!$A$1:$AS$1,),)))))/(((VLOOKUP(EDATE(B128,-12),Database!$A:$AS,MATCH($U$1,Database!$A$1:$AS$1,),)))))</f>
        <v/>
      </c>
      <c r="V128" s="13">
        <f>IF(VLOOKUP(B128,Database!$A:$AV,MATCH($V$1,Database!$A$1:$AV$1,),)=0,"#N/A",((((VLOOKUP(B128,Database!$A:$AS,MATCH($V$1,Database!$A$1:$AS$1,),))))-(((VLOOKUP(EDATE(B128,-12),Database!$A:$AS,MATCH($V$1,Database!$A$1:$AS$1,),)))))/(((VLOOKUP(EDATE(B128,-12),Database!$A:$AS,MATCH($V$1,Database!$A$1:$AS$1,),)))))</f>
        <v/>
      </c>
    </row>
    <row r="129" customFormat="1" s="86">
      <c r="A129" s="43" t="n"/>
      <c r="B129" s="75" t="n">
        <v>36069</v>
      </c>
      <c r="C129" s="13">
        <f>IF(VLOOKUP(B129,Database!$A:$AU,MATCH($C$1,Database!$A$1:$AU$1,),)=0,"#N/A",((((VLOOKUP(B129,Database!$A:$AU,MATCH($C$1,Database!$A$1:$AU$1,),))))-(((VLOOKUP(EDATE(B129,-12),Database!$A:$AU,MATCH($C$1,Database!$A$1:$AU$1,),)))))/(((VLOOKUP(EDATE(B129,-12),Database!$A:$AU,MATCH($C$1,Database!$A$1:$AU$1,),)))))</f>
        <v/>
      </c>
      <c r="D129" s="13">
        <f>IF(VLOOKUP(B129,Database!$A:$AV,MATCH($D$1,Database!$A$1:$AV$1,),)=0,"#N/A",((((VLOOKUP(B129,Database!$A:$AS,MATCH($D$1,Database!$A$1:$AS$1,),))))-(((VLOOKUP(EDATE(B129,-12),Database!$A:$AS,MATCH($D$1,Database!$A$1:$AS$1,),)))))/(((VLOOKUP(EDATE(B129,-12),Database!$A:$AS,MATCH($D$1,Database!$A$1:$AS$1,),)))))</f>
        <v/>
      </c>
      <c r="E129" s="13">
        <f>IF(VLOOKUP(B129,Database!$A:$AV,MATCH($E$1,Database!$A$1:$AV$1,),)=0,"#N/A",((((VLOOKUP(B129,Database!$A:$AS,MATCH($E$1,Database!$A$1:$AS$1,),))))-(((VLOOKUP(EDATE(B129,-12),Database!$A:$AS,MATCH($E$1,Database!$A$1:$AS$1,),)))))/(((VLOOKUP(EDATE(B129,-12),Database!$A:$AS,MATCH($E$1,Database!$A$1:$AS$1,),)))))</f>
        <v/>
      </c>
      <c r="F129" s="13">
        <f>IF(VLOOKUP(B129,Database!$A:$AV,MATCH($F$1,Database!$A$1:$AV$1,),)=0,"#N/A",((((VLOOKUP(B129,Database!$A:$AS,MATCH($F$1,Database!$A$1:$AS$1,),))))-(((VLOOKUP(EDATE(B129,-12),Database!$A:$AS,MATCH($F$1,Database!$A$1:$AS$1,),)))))/(((VLOOKUP(EDATE(B129,-12),Database!$A:$AS,MATCH($F$1,Database!$A$1:$AS$1,),)))))</f>
        <v/>
      </c>
      <c r="G129" s="13">
        <f>IF(VLOOKUP(B129,Database!$A:$AV,MATCH($G$1,Database!$A$1:$AV$1,),)=0,"#N/A",((((VLOOKUP(B129,Database!$A:$AS,MATCH($G$1,Database!$A$1:$AS$1,),))))-(((VLOOKUP(EDATE(B129,-12),Database!$A:$AS,MATCH($G$1,Database!$A$1:$AS$1,),)))))/(((VLOOKUP(EDATE(B129,-12),Database!$A:$AS,MATCH($G$1,Database!$A$1:$AS$1,),)))))</f>
        <v/>
      </c>
      <c r="H129" s="13">
        <f>IF(VLOOKUP(B129,Database!$A:$AV,MATCH($H$1,Database!$A$1:$AV$1,),)=0,"#N/A",((((VLOOKUP(B129,Database!$A:$AS,MATCH($H$1,Database!$A$1:$AS$1,),))))-(((VLOOKUP(EDATE(B129,-12),Database!$A:$AS,MATCH($H$1,Database!$A$1:$AS$1,),)))))/(((VLOOKUP(EDATE(B129,-12),Database!$A:$AS,MATCH($H$1,Database!$A$1:$AS$1,),)))))</f>
        <v/>
      </c>
      <c r="I129" s="13">
        <f>IF(VLOOKUP(B129,Database!$A:$AV,MATCH($I$1,Database!$A$1:$AV$1,),)=0,"#N/A",((((VLOOKUP(B129,Database!$A:$AS,MATCH($I$1,Database!$A$1:$AS$1,),))))-(((VLOOKUP(EDATE(B129,-12),Database!$A:$AS,MATCH($I$1,Database!$A$1:$AS$1,),)))))/(((VLOOKUP(EDATE(B129,-12),Database!$A:$AS,MATCH($I$1,Database!$A$1:$AS$1,),)))))</f>
        <v/>
      </c>
      <c r="J129" s="13">
        <f>IF(VLOOKUP(B129,Database!$A:$AV,MATCH($J$1,Database!$A$1:$AV$1,),)=0,"#N/A",((((VLOOKUP(B129,Database!$A:$AS,MATCH($J$1,Database!$A$1:$AS$1,),))))-(((VLOOKUP(EDATE(B129,-12),Database!$A:$AS,MATCH($J$1,Database!$A$1:$AS$1,),)))))/(((VLOOKUP(EDATE(B129,-12),Database!$A:$AS,MATCH($J$1,Database!$A$1:$AS$1,),)))))</f>
        <v/>
      </c>
      <c r="K129" s="13">
        <f>IF(VLOOKUP(B129,Database!$A:$AV,MATCH($K$1,Database!$A$1:$AV$1,),)=0,"#N/A",((((VLOOKUP(B129,Database!$A:$AS,MATCH($K$1,Database!$A$1:$AS$1,),))))-(((VLOOKUP(EDATE(B129,-12),Database!$A:$AS,MATCH($K$1,Database!$A$1:$AS$1,),)))))/(((VLOOKUP(EDATE(B129,-12),Database!$A:$AS,MATCH($K$1,Database!$A$1:$AS$1,),)))))</f>
        <v/>
      </c>
      <c r="L129" s="13">
        <f>((((VLOOKUP(B129,Database!$A:$AS,MATCH($L$1,Database!$A$1:$AS$1,),))))-(((VLOOKUP(EDATE(B129,-12),Database!$A:$AS,MATCH($L$1,Database!$A$1:$AS$1,),)))))/(((VLOOKUP(EDATE(B129,-12),Database!$A:$AS,MATCH($L$1,Database!$A$1:$AS$1,),))))</f>
        <v/>
      </c>
      <c r="M129" s="13">
        <f>((((VLOOKUP(B129,Database!$A:$AS,MATCH($M$1,Database!$A$1:$AS$1,),))))-(((VLOOKUP(EDATE(B129,-12),Database!$A:$AS,MATCH($M$1,Database!$A$1:$AS$1,),)))))/(((VLOOKUP(EDATE(B129,-12),Database!$A:$AS,MATCH($M$1,Database!$A$1:$AS$1,),))))</f>
        <v/>
      </c>
      <c r="N129" s="13">
        <f>((((VLOOKUP(B129,Database!$A:$AS,MATCH($N$1,Database!$A$1:$AS$1,),))))-(((VLOOKUP(EDATE(B129,-12),Database!$A:$AS,MATCH($N$1,Database!$A$1:$AS$1,),)))))/(((VLOOKUP(EDATE(B129,-12),Database!$A:$AS,MATCH($N$1,Database!$A$1:$AS$1,),))))</f>
        <v/>
      </c>
      <c r="O129" s="13">
        <f>IF(VLOOKUP(B129,Database!$A:$AV,MATCH($O$1,Database!$A$1:$AV$1,),)=0,"#N/A",((((VLOOKUP(B129,Database!$A:$AS,MATCH($O$1,Database!$A$1:$AS$1,),))))-(((VLOOKUP(EDATE(B129,-12),Database!$A:$AS,MATCH($O$1,Database!$A$1:$AS$1,),)))))/(((VLOOKUP(EDATE(B129,-12),Database!$A:$AS,MATCH($O$1,Database!$A$1:$AS$1,),)))))</f>
        <v/>
      </c>
      <c r="P129" s="13">
        <f>IF(VLOOKUP(B129,Database!$A:$AV,MATCH($P$1,Database!$A$1:$AV$1,),)=0,"#N/A",((((VLOOKUP(B129,Database!$A:$AS,MATCH($P$1,Database!$A$1:$AS$1,),))))-(((VLOOKUP(EDATE(B129,-12),Database!$A:$AS,MATCH($P$1,Database!$A$1:$AS$1,),)))))/(((VLOOKUP(EDATE(B129,-12),Database!$A:$AS,MATCH($P$1,Database!$A$1:$AS$1,),)))))</f>
        <v/>
      </c>
      <c r="Q129" s="13">
        <f>IF(VLOOKUP(B129,Database!$A:$AV,MATCH($Q$1,Database!$A$1:$AV$1,),)=0,"#N/A",((((VLOOKUP(B129,Database!$A:$AS,MATCH($Q$1,Database!$A$1:$AS$1,),))))-(((VLOOKUP(EDATE(B129,-12),Database!$A:$AS,MATCH($Q$1,Database!$A$1:$AS$1,),)))))/(((VLOOKUP(EDATE(B129,-12),Database!$A:$AS,MATCH($Q$1,Database!$A$1:$AS$1,),)))))</f>
        <v/>
      </c>
      <c r="R129" s="13">
        <f>IF(VLOOKUP(B129,Database!$A:$AV,MATCH($R$1,Database!$A$1:$AV$1,),)=0,"#N/A",((((VLOOKUP(B129,Database!$A:$AS,MATCH($R$1,Database!$A$1:$AS$1,),))))-(((VLOOKUP(EDATE(B129,-12),Database!$A:$AS,MATCH($R$1,Database!$A$1:$AS$1,),)))))/(((VLOOKUP(EDATE(B129,-12),Database!$A:$AS,MATCH($R$1,Database!$A$1:$AS$1,),)))))</f>
        <v/>
      </c>
      <c r="S129" s="13">
        <f>IF(VLOOKUP(B129,Database!$A:$AV,MATCH($S$1,Database!$A$1:$AV$1,),)=0,"#N/A",((((VLOOKUP(B129,Database!$A:$AS,MATCH($S$1,Database!$A$1:$AS$1,),))))-(((VLOOKUP(EDATE(B129,-12),Database!$A:$AS,MATCH($S$1,Database!$A$1:$AS$1,),)))))/(((VLOOKUP(EDATE(B129,-12),Database!$A:$AS,MATCH($S$1,Database!$A$1:$AS$1,),)))))</f>
        <v/>
      </c>
      <c r="T129" s="13">
        <f>IF(VLOOKUP(B129,Database!$A:$AV,MATCH($T$1,Database!$A$1:$AV$1,),)=0,"#N/A",((((VLOOKUP(B129,Database!$A:$AS,MATCH($T$1,Database!$A$1:$AS$1,),))))-(((VLOOKUP(EDATE(B129,-12),Database!$A:$AS,MATCH($T$1,Database!$A$1:$AS$1,),)))))/(((VLOOKUP(EDATE(B129,-12),Database!$A:$AS,MATCH($T$1,Database!$A$1:$AS$1,),)))))</f>
        <v/>
      </c>
      <c r="U129" s="13">
        <f>IF(VLOOKUP(B129,Database!$A:$AV,MATCH($U$1,Database!$A$1:$AV$1,),)=0,"#N/A",((((VLOOKUP(B129,Database!$A:$AS,MATCH($U$1,Database!$A$1:$AS$1,),))))-(((VLOOKUP(EDATE(B129,-12),Database!$A:$AS,MATCH($U$1,Database!$A$1:$AS$1,),)))))/(((VLOOKUP(EDATE(B129,-12),Database!$A:$AS,MATCH($U$1,Database!$A$1:$AS$1,),)))))</f>
        <v/>
      </c>
      <c r="V129" s="13">
        <f>IF(VLOOKUP(B129,Database!$A:$AV,MATCH($V$1,Database!$A$1:$AV$1,),)=0,"#N/A",((((VLOOKUP(B129,Database!$A:$AS,MATCH($V$1,Database!$A$1:$AS$1,),))))-(((VLOOKUP(EDATE(B129,-12),Database!$A:$AS,MATCH($V$1,Database!$A$1:$AS$1,),)))))/(((VLOOKUP(EDATE(B129,-12),Database!$A:$AS,MATCH($V$1,Database!$A$1:$AS$1,),)))))</f>
        <v/>
      </c>
    </row>
    <row r="130" customFormat="1" s="86">
      <c r="A130" s="43" t="n"/>
      <c r="B130" s="75" t="n">
        <v>36100</v>
      </c>
      <c r="C130" s="13">
        <f>IF(VLOOKUP(B130,Database!$A:$AU,MATCH($C$1,Database!$A$1:$AU$1,),)=0,"#N/A",((((VLOOKUP(B130,Database!$A:$AU,MATCH($C$1,Database!$A$1:$AU$1,),))))-(((VLOOKUP(EDATE(B130,-12),Database!$A:$AU,MATCH($C$1,Database!$A$1:$AU$1,),)))))/(((VLOOKUP(EDATE(B130,-12),Database!$A:$AU,MATCH($C$1,Database!$A$1:$AU$1,),)))))</f>
        <v/>
      </c>
      <c r="D130" s="13">
        <f>IF(VLOOKUP(B130,Database!$A:$AV,MATCH($D$1,Database!$A$1:$AV$1,),)=0,"#N/A",((((VLOOKUP(B130,Database!$A:$AS,MATCH($D$1,Database!$A$1:$AS$1,),))))-(((VLOOKUP(EDATE(B130,-12),Database!$A:$AS,MATCH($D$1,Database!$A$1:$AS$1,),)))))/(((VLOOKUP(EDATE(B130,-12),Database!$A:$AS,MATCH($D$1,Database!$A$1:$AS$1,),)))))</f>
        <v/>
      </c>
      <c r="E130" s="13">
        <f>IF(VLOOKUP(B130,Database!$A:$AV,MATCH($E$1,Database!$A$1:$AV$1,),)=0,"#N/A",((((VLOOKUP(B130,Database!$A:$AS,MATCH($E$1,Database!$A$1:$AS$1,),))))-(((VLOOKUP(EDATE(B130,-12),Database!$A:$AS,MATCH($E$1,Database!$A$1:$AS$1,),)))))/(((VLOOKUP(EDATE(B130,-12),Database!$A:$AS,MATCH($E$1,Database!$A$1:$AS$1,),)))))</f>
        <v/>
      </c>
      <c r="F130" s="13">
        <f>IF(VLOOKUP(B130,Database!$A:$AV,MATCH($F$1,Database!$A$1:$AV$1,),)=0,"#N/A",((((VLOOKUP(B130,Database!$A:$AS,MATCH($F$1,Database!$A$1:$AS$1,),))))-(((VLOOKUP(EDATE(B130,-12),Database!$A:$AS,MATCH($F$1,Database!$A$1:$AS$1,),)))))/(((VLOOKUP(EDATE(B130,-12),Database!$A:$AS,MATCH($F$1,Database!$A$1:$AS$1,),)))))</f>
        <v/>
      </c>
      <c r="G130" s="13">
        <f>IF(VLOOKUP(B130,Database!$A:$AV,MATCH($G$1,Database!$A$1:$AV$1,),)=0,"#N/A",((((VLOOKUP(B130,Database!$A:$AS,MATCH($G$1,Database!$A$1:$AS$1,),))))-(((VLOOKUP(EDATE(B130,-12),Database!$A:$AS,MATCH($G$1,Database!$A$1:$AS$1,),)))))/(((VLOOKUP(EDATE(B130,-12),Database!$A:$AS,MATCH($G$1,Database!$A$1:$AS$1,),)))))</f>
        <v/>
      </c>
      <c r="H130" s="13">
        <f>IF(VLOOKUP(B130,Database!$A:$AV,MATCH($H$1,Database!$A$1:$AV$1,),)=0,"#N/A",((((VLOOKUP(B130,Database!$A:$AS,MATCH($H$1,Database!$A$1:$AS$1,),))))-(((VLOOKUP(EDATE(B130,-12),Database!$A:$AS,MATCH($H$1,Database!$A$1:$AS$1,),)))))/(((VLOOKUP(EDATE(B130,-12),Database!$A:$AS,MATCH($H$1,Database!$A$1:$AS$1,),)))))</f>
        <v/>
      </c>
      <c r="I130" s="13">
        <f>IF(VLOOKUP(B130,Database!$A:$AV,MATCH($I$1,Database!$A$1:$AV$1,),)=0,"#N/A",((((VLOOKUP(B130,Database!$A:$AS,MATCH($I$1,Database!$A$1:$AS$1,),))))-(((VLOOKUP(EDATE(B130,-12),Database!$A:$AS,MATCH($I$1,Database!$A$1:$AS$1,),)))))/(((VLOOKUP(EDATE(B130,-12),Database!$A:$AS,MATCH($I$1,Database!$A$1:$AS$1,),)))))</f>
        <v/>
      </c>
      <c r="J130" s="13">
        <f>IF(VLOOKUP(B130,Database!$A:$AV,MATCH($J$1,Database!$A$1:$AV$1,),)=0,"#N/A",((((VLOOKUP(B130,Database!$A:$AS,MATCH($J$1,Database!$A$1:$AS$1,),))))-(((VLOOKUP(EDATE(B130,-12),Database!$A:$AS,MATCH($J$1,Database!$A$1:$AS$1,),)))))/(((VLOOKUP(EDATE(B130,-12),Database!$A:$AS,MATCH($J$1,Database!$A$1:$AS$1,),)))))</f>
        <v/>
      </c>
      <c r="K130" s="13">
        <f>IF(VLOOKUP(B130,Database!$A:$AV,MATCH($K$1,Database!$A$1:$AV$1,),)=0,"#N/A",((((VLOOKUP(B130,Database!$A:$AS,MATCH($K$1,Database!$A$1:$AS$1,),))))-(((VLOOKUP(EDATE(B130,-12),Database!$A:$AS,MATCH($K$1,Database!$A$1:$AS$1,),)))))/(((VLOOKUP(EDATE(B130,-12),Database!$A:$AS,MATCH($K$1,Database!$A$1:$AS$1,),)))))</f>
        <v/>
      </c>
      <c r="L130" s="13">
        <f>((((VLOOKUP(B130,Database!$A:$AS,MATCH($L$1,Database!$A$1:$AS$1,),))))-(((VLOOKUP(EDATE(B130,-12),Database!$A:$AS,MATCH($L$1,Database!$A$1:$AS$1,),)))))/(((VLOOKUP(EDATE(B130,-12),Database!$A:$AS,MATCH($L$1,Database!$A$1:$AS$1,),))))</f>
        <v/>
      </c>
      <c r="M130" s="13">
        <f>((((VLOOKUP(B130,Database!$A:$AS,MATCH($M$1,Database!$A$1:$AS$1,),))))-(((VLOOKUP(EDATE(B130,-12),Database!$A:$AS,MATCH($M$1,Database!$A$1:$AS$1,),)))))/(((VLOOKUP(EDATE(B130,-12),Database!$A:$AS,MATCH($M$1,Database!$A$1:$AS$1,),))))</f>
        <v/>
      </c>
      <c r="N130" s="13">
        <f>((((VLOOKUP(B130,Database!$A:$AS,MATCH($N$1,Database!$A$1:$AS$1,),))))-(((VLOOKUP(EDATE(B130,-12),Database!$A:$AS,MATCH($N$1,Database!$A$1:$AS$1,),)))))/(((VLOOKUP(EDATE(B130,-12),Database!$A:$AS,MATCH($N$1,Database!$A$1:$AS$1,),))))</f>
        <v/>
      </c>
      <c r="O130" s="13">
        <f>IF(VLOOKUP(B130,Database!$A:$AV,MATCH($O$1,Database!$A$1:$AV$1,),)=0,"#N/A",((((VLOOKUP(B130,Database!$A:$AS,MATCH($O$1,Database!$A$1:$AS$1,),))))-(((VLOOKUP(EDATE(B130,-12),Database!$A:$AS,MATCH($O$1,Database!$A$1:$AS$1,),)))))/(((VLOOKUP(EDATE(B130,-12),Database!$A:$AS,MATCH($O$1,Database!$A$1:$AS$1,),)))))</f>
        <v/>
      </c>
      <c r="P130" s="13">
        <f>IF(VLOOKUP(B130,Database!$A:$AV,MATCH($P$1,Database!$A$1:$AV$1,),)=0,"#N/A",((((VLOOKUP(B130,Database!$A:$AS,MATCH($P$1,Database!$A$1:$AS$1,),))))-(((VLOOKUP(EDATE(B130,-12),Database!$A:$AS,MATCH($P$1,Database!$A$1:$AS$1,),)))))/(((VLOOKUP(EDATE(B130,-12),Database!$A:$AS,MATCH($P$1,Database!$A$1:$AS$1,),)))))</f>
        <v/>
      </c>
      <c r="Q130" s="13">
        <f>IF(VLOOKUP(B130,Database!$A:$AV,MATCH($Q$1,Database!$A$1:$AV$1,),)=0,"#N/A",((((VLOOKUP(B130,Database!$A:$AS,MATCH($Q$1,Database!$A$1:$AS$1,),))))-(((VLOOKUP(EDATE(B130,-12),Database!$A:$AS,MATCH($Q$1,Database!$A$1:$AS$1,),)))))/(((VLOOKUP(EDATE(B130,-12),Database!$A:$AS,MATCH($Q$1,Database!$A$1:$AS$1,),)))))</f>
        <v/>
      </c>
      <c r="R130" s="13">
        <f>IF(VLOOKUP(B130,Database!$A:$AV,MATCH($R$1,Database!$A$1:$AV$1,),)=0,"#N/A",((((VLOOKUP(B130,Database!$A:$AS,MATCH($R$1,Database!$A$1:$AS$1,),))))-(((VLOOKUP(EDATE(B130,-12),Database!$A:$AS,MATCH($R$1,Database!$A$1:$AS$1,),)))))/(((VLOOKUP(EDATE(B130,-12),Database!$A:$AS,MATCH($R$1,Database!$A$1:$AS$1,),)))))</f>
        <v/>
      </c>
      <c r="S130" s="13">
        <f>IF(VLOOKUP(B130,Database!$A:$AV,MATCH($S$1,Database!$A$1:$AV$1,),)=0,"#N/A",((((VLOOKUP(B130,Database!$A:$AS,MATCH($S$1,Database!$A$1:$AS$1,),))))-(((VLOOKUP(EDATE(B130,-12),Database!$A:$AS,MATCH($S$1,Database!$A$1:$AS$1,),)))))/(((VLOOKUP(EDATE(B130,-12),Database!$A:$AS,MATCH($S$1,Database!$A$1:$AS$1,),)))))</f>
        <v/>
      </c>
      <c r="T130" s="13">
        <f>IF(VLOOKUP(B130,Database!$A:$AV,MATCH($T$1,Database!$A$1:$AV$1,),)=0,"#N/A",((((VLOOKUP(B130,Database!$A:$AS,MATCH($T$1,Database!$A$1:$AS$1,),))))-(((VLOOKUP(EDATE(B130,-12),Database!$A:$AS,MATCH($T$1,Database!$A$1:$AS$1,),)))))/(((VLOOKUP(EDATE(B130,-12),Database!$A:$AS,MATCH($T$1,Database!$A$1:$AS$1,),)))))</f>
        <v/>
      </c>
      <c r="U130" s="13">
        <f>IF(VLOOKUP(B130,Database!$A:$AV,MATCH($U$1,Database!$A$1:$AV$1,),)=0,"#N/A",((((VLOOKUP(B130,Database!$A:$AS,MATCH($U$1,Database!$A$1:$AS$1,),))))-(((VLOOKUP(EDATE(B130,-12),Database!$A:$AS,MATCH($U$1,Database!$A$1:$AS$1,),)))))/(((VLOOKUP(EDATE(B130,-12),Database!$A:$AS,MATCH($U$1,Database!$A$1:$AS$1,),)))))</f>
        <v/>
      </c>
      <c r="V130" s="13">
        <f>IF(VLOOKUP(B130,Database!$A:$AV,MATCH($V$1,Database!$A$1:$AV$1,),)=0,"#N/A",((((VLOOKUP(B130,Database!$A:$AS,MATCH($V$1,Database!$A$1:$AS$1,),))))-(((VLOOKUP(EDATE(B130,-12),Database!$A:$AS,MATCH($V$1,Database!$A$1:$AS$1,),)))))/(((VLOOKUP(EDATE(B130,-12),Database!$A:$AS,MATCH($V$1,Database!$A$1:$AS$1,),)))))</f>
        <v/>
      </c>
    </row>
    <row r="131" customFormat="1" s="86">
      <c r="A131" s="43" t="n"/>
      <c r="B131" s="75" t="n">
        <v>36130</v>
      </c>
      <c r="C131" s="13">
        <f>IF(VLOOKUP(B131,Database!$A:$AU,MATCH($C$1,Database!$A$1:$AU$1,),)=0,"#N/A",((((VLOOKUP(B131,Database!$A:$AU,MATCH($C$1,Database!$A$1:$AU$1,),))))-(((VLOOKUP(EDATE(B131,-12),Database!$A:$AU,MATCH($C$1,Database!$A$1:$AU$1,),)))))/(((VLOOKUP(EDATE(B131,-12),Database!$A:$AU,MATCH($C$1,Database!$A$1:$AU$1,),)))))</f>
        <v/>
      </c>
      <c r="D131" s="13">
        <f>IF(VLOOKUP(B131,Database!$A:$AV,MATCH($D$1,Database!$A$1:$AV$1,),)=0,"#N/A",((((VLOOKUP(B131,Database!$A:$AS,MATCH($D$1,Database!$A$1:$AS$1,),))))-(((VLOOKUP(EDATE(B131,-12),Database!$A:$AS,MATCH($D$1,Database!$A$1:$AS$1,),)))))/(((VLOOKUP(EDATE(B131,-12),Database!$A:$AS,MATCH($D$1,Database!$A$1:$AS$1,),)))))</f>
        <v/>
      </c>
      <c r="E131" s="13">
        <f>IF(VLOOKUP(B131,Database!$A:$AV,MATCH($E$1,Database!$A$1:$AV$1,),)=0,"#N/A",((((VLOOKUP(B131,Database!$A:$AS,MATCH($E$1,Database!$A$1:$AS$1,),))))-(((VLOOKUP(EDATE(B131,-12),Database!$A:$AS,MATCH($E$1,Database!$A$1:$AS$1,),)))))/(((VLOOKUP(EDATE(B131,-12),Database!$A:$AS,MATCH($E$1,Database!$A$1:$AS$1,),)))))</f>
        <v/>
      </c>
      <c r="F131" s="13">
        <f>IF(VLOOKUP(B131,Database!$A:$AV,MATCH($F$1,Database!$A$1:$AV$1,),)=0,"#N/A",((((VLOOKUP(B131,Database!$A:$AS,MATCH($F$1,Database!$A$1:$AS$1,),))))-(((VLOOKUP(EDATE(B131,-12),Database!$A:$AS,MATCH($F$1,Database!$A$1:$AS$1,),)))))/(((VLOOKUP(EDATE(B131,-12),Database!$A:$AS,MATCH($F$1,Database!$A$1:$AS$1,),)))))</f>
        <v/>
      </c>
      <c r="G131" s="13">
        <f>IF(VLOOKUP(B131,Database!$A:$AV,MATCH($G$1,Database!$A$1:$AV$1,),)=0,"#N/A",((((VLOOKUP(B131,Database!$A:$AS,MATCH($G$1,Database!$A$1:$AS$1,),))))-(((VLOOKUP(EDATE(B131,-12),Database!$A:$AS,MATCH($G$1,Database!$A$1:$AS$1,),)))))/(((VLOOKUP(EDATE(B131,-12),Database!$A:$AS,MATCH($G$1,Database!$A$1:$AS$1,),)))))</f>
        <v/>
      </c>
      <c r="H131" s="13">
        <f>IF(VLOOKUP(B131,Database!$A:$AV,MATCH($H$1,Database!$A$1:$AV$1,),)=0,"#N/A",((((VLOOKUP(B131,Database!$A:$AS,MATCH($H$1,Database!$A$1:$AS$1,),))))-(((VLOOKUP(EDATE(B131,-12),Database!$A:$AS,MATCH($H$1,Database!$A$1:$AS$1,),)))))/(((VLOOKUP(EDATE(B131,-12),Database!$A:$AS,MATCH($H$1,Database!$A$1:$AS$1,),)))))</f>
        <v/>
      </c>
      <c r="I131" s="13">
        <f>IF(VLOOKUP(B131,Database!$A:$AV,MATCH($I$1,Database!$A$1:$AV$1,),)=0,"#N/A",((((VLOOKUP(B131,Database!$A:$AS,MATCH($I$1,Database!$A$1:$AS$1,),))))-(((VLOOKUP(EDATE(B131,-12),Database!$A:$AS,MATCH($I$1,Database!$A$1:$AS$1,),)))))/(((VLOOKUP(EDATE(B131,-12),Database!$A:$AS,MATCH($I$1,Database!$A$1:$AS$1,),)))))</f>
        <v/>
      </c>
      <c r="J131" s="13">
        <f>IF(VLOOKUP(B131,Database!$A:$AV,MATCH($J$1,Database!$A$1:$AV$1,),)=0,"#N/A",((((VLOOKUP(B131,Database!$A:$AS,MATCH($J$1,Database!$A$1:$AS$1,),))))-(((VLOOKUP(EDATE(B131,-12),Database!$A:$AS,MATCH($J$1,Database!$A$1:$AS$1,),)))))/(((VLOOKUP(EDATE(B131,-12),Database!$A:$AS,MATCH($J$1,Database!$A$1:$AS$1,),)))))</f>
        <v/>
      </c>
      <c r="K131" s="13">
        <f>IF(VLOOKUP(B131,Database!$A:$AV,MATCH($K$1,Database!$A$1:$AV$1,),)=0,"#N/A",((((VLOOKUP(B131,Database!$A:$AS,MATCH($K$1,Database!$A$1:$AS$1,),))))-(((VLOOKUP(EDATE(B131,-12),Database!$A:$AS,MATCH($K$1,Database!$A$1:$AS$1,),)))))/(((VLOOKUP(EDATE(B131,-12),Database!$A:$AS,MATCH($K$1,Database!$A$1:$AS$1,),)))))</f>
        <v/>
      </c>
      <c r="L131" s="13">
        <f>((((VLOOKUP(B131,Database!$A:$AS,MATCH($L$1,Database!$A$1:$AS$1,),))))-(((VLOOKUP(EDATE(B131,-12),Database!$A:$AS,MATCH($L$1,Database!$A$1:$AS$1,),)))))/(((VLOOKUP(EDATE(B131,-12),Database!$A:$AS,MATCH($L$1,Database!$A$1:$AS$1,),))))</f>
        <v/>
      </c>
      <c r="M131" s="13">
        <f>((((VLOOKUP(B131,Database!$A:$AS,MATCH($M$1,Database!$A$1:$AS$1,),))))-(((VLOOKUP(EDATE(B131,-12),Database!$A:$AS,MATCH($M$1,Database!$A$1:$AS$1,),)))))/(((VLOOKUP(EDATE(B131,-12),Database!$A:$AS,MATCH($M$1,Database!$A$1:$AS$1,),))))</f>
        <v/>
      </c>
      <c r="N131" s="13">
        <f>((((VLOOKUP(B131,Database!$A:$AS,MATCH($N$1,Database!$A$1:$AS$1,),))))-(((VLOOKUP(EDATE(B131,-12),Database!$A:$AS,MATCH($N$1,Database!$A$1:$AS$1,),)))))/(((VLOOKUP(EDATE(B131,-12),Database!$A:$AS,MATCH($N$1,Database!$A$1:$AS$1,),))))</f>
        <v/>
      </c>
      <c r="O131" s="13">
        <f>IF(VLOOKUP(B131,Database!$A:$AV,MATCH($O$1,Database!$A$1:$AV$1,),)=0,"#N/A",((((VLOOKUP(B131,Database!$A:$AS,MATCH($O$1,Database!$A$1:$AS$1,),))))-(((VLOOKUP(EDATE(B131,-12),Database!$A:$AS,MATCH($O$1,Database!$A$1:$AS$1,),)))))/(((VLOOKUP(EDATE(B131,-12),Database!$A:$AS,MATCH($O$1,Database!$A$1:$AS$1,),)))))</f>
        <v/>
      </c>
      <c r="P131" s="13">
        <f>IF(VLOOKUP(B131,Database!$A:$AV,MATCH($P$1,Database!$A$1:$AV$1,),)=0,"#N/A",((((VLOOKUP(B131,Database!$A:$AS,MATCH($P$1,Database!$A$1:$AS$1,),))))-(((VLOOKUP(EDATE(B131,-12),Database!$A:$AS,MATCH($P$1,Database!$A$1:$AS$1,),)))))/(((VLOOKUP(EDATE(B131,-12),Database!$A:$AS,MATCH($P$1,Database!$A$1:$AS$1,),)))))</f>
        <v/>
      </c>
      <c r="Q131" s="13">
        <f>IF(VLOOKUP(B131,Database!$A:$AV,MATCH($Q$1,Database!$A$1:$AV$1,),)=0,"#N/A",((((VLOOKUP(B131,Database!$A:$AS,MATCH($Q$1,Database!$A$1:$AS$1,),))))-(((VLOOKUP(EDATE(B131,-12),Database!$A:$AS,MATCH($Q$1,Database!$A$1:$AS$1,),)))))/(((VLOOKUP(EDATE(B131,-12),Database!$A:$AS,MATCH($Q$1,Database!$A$1:$AS$1,),)))))</f>
        <v/>
      </c>
      <c r="R131" s="13">
        <f>IF(VLOOKUP(B131,Database!$A:$AV,MATCH($R$1,Database!$A$1:$AV$1,),)=0,"#N/A",((((VLOOKUP(B131,Database!$A:$AS,MATCH($R$1,Database!$A$1:$AS$1,),))))-(((VLOOKUP(EDATE(B131,-12),Database!$A:$AS,MATCH($R$1,Database!$A$1:$AS$1,),)))))/(((VLOOKUP(EDATE(B131,-12),Database!$A:$AS,MATCH($R$1,Database!$A$1:$AS$1,),)))))</f>
        <v/>
      </c>
      <c r="S131" s="13">
        <f>IF(VLOOKUP(B131,Database!$A:$AV,MATCH($S$1,Database!$A$1:$AV$1,),)=0,"#N/A",((((VLOOKUP(B131,Database!$A:$AS,MATCH($S$1,Database!$A$1:$AS$1,),))))-(((VLOOKUP(EDATE(B131,-12),Database!$A:$AS,MATCH($S$1,Database!$A$1:$AS$1,),)))))/(((VLOOKUP(EDATE(B131,-12),Database!$A:$AS,MATCH($S$1,Database!$A$1:$AS$1,),)))))</f>
        <v/>
      </c>
      <c r="T131" s="13">
        <f>IF(VLOOKUP(B131,Database!$A:$AV,MATCH($T$1,Database!$A$1:$AV$1,),)=0,"#N/A",((((VLOOKUP(B131,Database!$A:$AS,MATCH($T$1,Database!$A$1:$AS$1,),))))-(((VLOOKUP(EDATE(B131,-12),Database!$A:$AS,MATCH($T$1,Database!$A$1:$AS$1,),)))))/(((VLOOKUP(EDATE(B131,-12),Database!$A:$AS,MATCH($T$1,Database!$A$1:$AS$1,),)))))</f>
        <v/>
      </c>
      <c r="U131" s="13">
        <f>IF(VLOOKUP(B131,Database!$A:$AV,MATCH($U$1,Database!$A$1:$AV$1,),)=0,"#N/A",((((VLOOKUP(B131,Database!$A:$AS,MATCH($U$1,Database!$A$1:$AS$1,),))))-(((VLOOKUP(EDATE(B131,-12),Database!$A:$AS,MATCH($U$1,Database!$A$1:$AS$1,),)))))/(((VLOOKUP(EDATE(B131,-12),Database!$A:$AS,MATCH($U$1,Database!$A$1:$AS$1,),)))))</f>
        <v/>
      </c>
      <c r="V131" s="13">
        <f>IF(VLOOKUP(B131,Database!$A:$AV,MATCH($V$1,Database!$A$1:$AV$1,),)=0,"#N/A",((((VLOOKUP(B131,Database!$A:$AS,MATCH($V$1,Database!$A$1:$AS$1,),))))-(((VLOOKUP(EDATE(B131,-12),Database!$A:$AS,MATCH($V$1,Database!$A$1:$AS$1,),)))))/(((VLOOKUP(EDATE(B131,-12),Database!$A:$AS,MATCH($V$1,Database!$A$1:$AS$1,),)))))</f>
        <v/>
      </c>
    </row>
    <row r="132" customFormat="1" s="86">
      <c r="A132" s="43" t="n"/>
      <c r="B132" s="75" t="n">
        <v>36161</v>
      </c>
      <c r="C132" s="13">
        <f>IF(VLOOKUP(B132,Database!$A:$AU,MATCH($C$1,Database!$A$1:$AU$1,),)=0,"#N/A",((((VLOOKUP(B132,Database!$A:$AU,MATCH($C$1,Database!$A$1:$AU$1,),))))-(((VLOOKUP(EDATE(B132,-12),Database!$A:$AU,MATCH($C$1,Database!$A$1:$AU$1,),)))))/(((VLOOKUP(EDATE(B132,-12),Database!$A:$AU,MATCH($C$1,Database!$A$1:$AU$1,),)))))</f>
        <v/>
      </c>
      <c r="D132" s="13">
        <f>IF(VLOOKUP(B132,Database!$A:$AV,MATCH($D$1,Database!$A$1:$AV$1,),)=0,"#N/A",((((VLOOKUP(B132,Database!$A:$AS,MATCH($D$1,Database!$A$1:$AS$1,),))))-(((VLOOKUP(EDATE(B132,-12),Database!$A:$AS,MATCH($D$1,Database!$A$1:$AS$1,),)))))/(((VLOOKUP(EDATE(B132,-12),Database!$A:$AS,MATCH($D$1,Database!$A$1:$AS$1,),)))))</f>
        <v/>
      </c>
      <c r="E132" s="13">
        <f>IF(VLOOKUP(B132,Database!$A:$AV,MATCH($E$1,Database!$A$1:$AV$1,),)=0,"#N/A",((((VLOOKUP(B132,Database!$A:$AS,MATCH($E$1,Database!$A$1:$AS$1,),))))-(((VLOOKUP(EDATE(B132,-12),Database!$A:$AS,MATCH($E$1,Database!$A$1:$AS$1,),)))))/(((VLOOKUP(EDATE(B132,-12),Database!$A:$AS,MATCH($E$1,Database!$A$1:$AS$1,),)))))</f>
        <v/>
      </c>
      <c r="F132" s="13">
        <f>IF(VLOOKUP(B132,Database!$A:$AV,MATCH($F$1,Database!$A$1:$AV$1,),)=0,"#N/A",((((VLOOKUP(B132,Database!$A:$AS,MATCH($F$1,Database!$A$1:$AS$1,),))))-(((VLOOKUP(EDATE(B132,-12),Database!$A:$AS,MATCH($F$1,Database!$A$1:$AS$1,),)))))/(((VLOOKUP(EDATE(B132,-12),Database!$A:$AS,MATCH($F$1,Database!$A$1:$AS$1,),)))))</f>
        <v/>
      </c>
      <c r="G132" s="13">
        <f>IF(VLOOKUP(B132,Database!$A:$AV,MATCH($G$1,Database!$A$1:$AV$1,),)=0,"#N/A",((((VLOOKUP(B132,Database!$A:$AS,MATCH($G$1,Database!$A$1:$AS$1,),))))-(((VLOOKUP(EDATE(B132,-12),Database!$A:$AS,MATCH($G$1,Database!$A$1:$AS$1,),)))))/(((VLOOKUP(EDATE(B132,-12),Database!$A:$AS,MATCH($G$1,Database!$A$1:$AS$1,),)))))</f>
        <v/>
      </c>
      <c r="H132" s="13">
        <f>IF(VLOOKUP(B132,Database!$A:$AV,MATCH($H$1,Database!$A$1:$AV$1,),)=0,"#N/A",((((VLOOKUP(B132,Database!$A:$AS,MATCH($H$1,Database!$A$1:$AS$1,),))))-(((VLOOKUP(EDATE(B132,-12),Database!$A:$AS,MATCH($H$1,Database!$A$1:$AS$1,),)))))/(((VLOOKUP(EDATE(B132,-12),Database!$A:$AS,MATCH($H$1,Database!$A$1:$AS$1,),)))))</f>
        <v/>
      </c>
      <c r="I132" s="13">
        <f>IF(VLOOKUP(B132,Database!$A:$AV,MATCH($I$1,Database!$A$1:$AV$1,),)=0,"#N/A",((((VLOOKUP(B132,Database!$A:$AS,MATCH($I$1,Database!$A$1:$AS$1,),))))-(((VLOOKUP(EDATE(B132,-12),Database!$A:$AS,MATCH($I$1,Database!$A$1:$AS$1,),)))))/(((VLOOKUP(EDATE(B132,-12),Database!$A:$AS,MATCH($I$1,Database!$A$1:$AS$1,),)))))</f>
        <v/>
      </c>
      <c r="J132" s="13">
        <f>IF(VLOOKUP(B132,Database!$A:$AV,MATCH($J$1,Database!$A$1:$AV$1,),)=0,"#N/A",((((VLOOKUP(B132,Database!$A:$AS,MATCH($J$1,Database!$A$1:$AS$1,),))))-(((VLOOKUP(EDATE(B132,-12),Database!$A:$AS,MATCH($J$1,Database!$A$1:$AS$1,),)))))/(((VLOOKUP(EDATE(B132,-12),Database!$A:$AS,MATCH($J$1,Database!$A$1:$AS$1,),)))))</f>
        <v/>
      </c>
      <c r="K132" s="13">
        <f>IF(VLOOKUP(B132,Database!$A:$AV,MATCH($K$1,Database!$A$1:$AV$1,),)=0,"#N/A",((((VLOOKUP(B132,Database!$A:$AS,MATCH($K$1,Database!$A$1:$AS$1,),))))-(((VLOOKUP(EDATE(B132,-12),Database!$A:$AS,MATCH($K$1,Database!$A$1:$AS$1,),)))))/(((VLOOKUP(EDATE(B132,-12),Database!$A:$AS,MATCH($K$1,Database!$A$1:$AS$1,),)))))</f>
        <v/>
      </c>
      <c r="L132" s="13">
        <f>((((VLOOKUP(B132,Database!$A:$AS,MATCH($L$1,Database!$A$1:$AS$1,),))))-(((VLOOKUP(EDATE(B132,-12),Database!$A:$AS,MATCH($L$1,Database!$A$1:$AS$1,),)))))/(((VLOOKUP(EDATE(B132,-12),Database!$A:$AS,MATCH($L$1,Database!$A$1:$AS$1,),))))</f>
        <v/>
      </c>
      <c r="M132" s="13">
        <f>((((VLOOKUP(B132,Database!$A:$AS,MATCH($M$1,Database!$A$1:$AS$1,),))))-(((VLOOKUP(EDATE(B132,-12),Database!$A:$AS,MATCH($M$1,Database!$A$1:$AS$1,),)))))/(((VLOOKUP(EDATE(B132,-12),Database!$A:$AS,MATCH($M$1,Database!$A$1:$AS$1,),))))</f>
        <v/>
      </c>
      <c r="N132" s="13">
        <f>((((VLOOKUP(B132,Database!$A:$AS,MATCH($N$1,Database!$A$1:$AS$1,),))))-(((VLOOKUP(EDATE(B132,-12),Database!$A:$AS,MATCH($N$1,Database!$A$1:$AS$1,),)))))/(((VLOOKUP(EDATE(B132,-12),Database!$A:$AS,MATCH($N$1,Database!$A$1:$AS$1,),))))</f>
        <v/>
      </c>
      <c r="O132" s="13">
        <f>IF(VLOOKUP(B132,Database!$A:$AV,MATCH($O$1,Database!$A$1:$AV$1,),)=0,"#N/A",((((VLOOKUP(B132,Database!$A:$AS,MATCH($O$1,Database!$A$1:$AS$1,),))))-(((VLOOKUP(EDATE(B132,-12),Database!$A:$AS,MATCH($O$1,Database!$A$1:$AS$1,),)))))/(((VLOOKUP(EDATE(B132,-12),Database!$A:$AS,MATCH($O$1,Database!$A$1:$AS$1,),)))))</f>
        <v/>
      </c>
      <c r="P132" s="13">
        <f>IF(VLOOKUP(B132,Database!$A:$AV,MATCH($P$1,Database!$A$1:$AV$1,),)=0,"#N/A",((((VLOOKUP(B132,Database!$A:$AS,MATCH($P$1,Database!$A$1:$AS$1,),))))-(((VLOOKUP(EDATE(B132,-12),Database!$A:$AS,MATCH($P$1,Database!$A$1:$AS$1,),)))))/(((VLOOKUP(EDATE(B132,-12),Database!$A:$AS,MATCH($P$1,Database!$A$1:$AS$1,),)))))</f>
        <v/>
      </c>
      <c r="Q132" s="13">
        <f>IF(VLOOKUP(B132,Database!$A:$AV,MATCH($Q$1,Database!$A$1:$AV$1,),)=0,"#N/A",((((VLOOKUP(B132,Database!$A:$AS,MATCH($Q$1,Database!$A$1:$AS$1,),))))-(((VLOOKUP(EDATE(B132,-12),Database!$A:$AS,MATCH($Q$1,Database!$A$1:$AS$1,),)))))/(((VLOOKUP(EDATE(B132,-12),Database!$A:$AS,MATCH($Q$1,Database!$A$1:$AS$1,),)))))</f>
        <v/>
      </c>
      <c r="R132" s="13">
        <f>IF(VLOOKUP(B132,Database!$A:$AV,MATCH($R$1,Database!$A$1:$AV$1,),)=0,"#N/A",((((VLOOKUP(B132,Database!$A:$AS,MATCH($R$1,Database!$A$1:$AS$1,),))))-(((VLOOKUP(EDATE(B132,-12),Database!$A:$AS,MATCH($R$1,Database!$A$1:$AS$1,),)))))/(((VLOOKUP(EDATE(B132,-12),Database!$A:$AS,MATCH($R$1,Database!$A$1:$AS$1,),)))))</f>
        <v/>
      </c>
      <c r="S132" s="13">
        <f>IF(VLOOKUP(B132,Database!$A:$AV,MATCH($S$1,Database!$A$1:$AV$1,),)=0,"#N/A",((((VLOOKUP(B132,Database!$A:$AS,MATCH($S$1,Database!$A$1:$AS$1,),))))-(((VLOOKUP(EDATE(B132,-12),Database!$A:$AS,MATCH($S$1,Database!$A$1:$AS$1,),)))))/(((VLOOKUP(EDATE(B132,-12),Database!$A:$AS,MATCH($S$1,Database!$A$1:$AS$1,),)))))</f>
        <v/>
      </c>
      <c r="T132" s="13">
        <f>IF(VLOOKUP(B132,Database!$A:$AV,MATCH($T$1,Database!$A$1:$AV$1,),)=0,"#N/A",((((VLOOKUP(B132,Database!$A:$AS,MATCH($T$1,Database!$A$1:$AS$1,),))))-(((VLOOKUP(EDATE(B132,-12),Database!$A:$AS,MATCH($T$1,Database!$A$1:$AS$1,),)))))/(((VLOOKUP(EDATE(B132,-12),Database!$A:$AS,MATCH($T$1,Database!$A$1:$AS$1,),)))))</f>
        <v/>
      </c>
      <c r="U132" s="13">
        <f>IF(VLOOKUP(B132,Database!$A:$AV,MATCH($U$1,Database!$A$1:$AV$1,),)=0,"#N/A",((((VLOOKUP(B132,Database!$A:$AS,MATCH($U$1,Database!$A$1:$AS$1,),))))-(((VLOOKUP(EDATE(B132,-12),Database!$A:$AS,MATCH($U$1,Database!$A$1:$AS$1,),)))))/(((VLOOKUP(EDATE(B132,-12),Database!$A:$AS,MATCH($U$1,Database!$A$1:$AS$1,),)))))</f>
        <v/>
      </c>
      <c r="V132" s="13">
        <f>IF(VLOOKUP(B132,Database!$A:$AV,MATCH($V$1,Database!$A$1:$AV$1,),)=0,"#N/A",((((VLOOKUP(B132,Database!$A:$AS,MATCH($V$1,Database!$A$1:$AS$1,),))))-(((VLOOKUP(EDATE(B132,-12),Database!$A:$AS,MATCH($V$1,Database!$A$1:$AS$1,),)))))/(((VLOOKUP(EDATE(B132,-12),Database!$A:$AS,MATCH($V$1,Database!$A$1:$AS$1,),)))))</f>
        <v/>
      </c>
    </row>
    <row r="133" customFormat="1" s="86">
      <c r="A133" s="43" t="n"/>
      <c r="B133" s="75" t="n">
        <v>36192</v>
      </c>
      <c r="C133" s="13">
        <f>IF(VLOOKUP(B133,Database!$A:$AU,MATCH($C$1,Database!$A$1:$AU$1,),)=0,"#N/A",((((VLOOKUP(B133,Database!$A:$AU,MATCH($C$1,Database!$A$1:$AU$1,),))))-(((VLOOKUP(EDATE(B133,-12),Database!$A:$AU,MATCH($C$1,Database!$A$1:$AU$1,),)))))/(((VLOOKUP(EDATE(B133,-12),Database!$A:$AU,MATCH($C$1,Database!$A$1:$AU$1,),)))))</f>
        <v/>
      </c>
      <c r="D133" s="13">
        <f>IF(VLOOKUP(B133,Database!$A:$AV,MATCH($D$1,Database!$A$1:$AV$1,),)=0,"#N/A",((((VLOOKUP(B133,Database!$A:$AS,MATCH($D$1,Database!$A$1:$AS$1,),))))-(((VLOOKUP(EDATE(B133,-12),Database!$A:$AS,MATCH($D$1,Database!$A$1:$AS$1,),)))))/(((VLOOKUP(EDATE(B133,-12),Database!$A:$AS,MATCH($D$1,Database!$A$1:$AS$1,),)))))</f>
        <v/>
      </c>
      <c r="E133" s="13">
        <f>IF(VLOOKUP(B133,Database!$A:$AV,MATCH($E$1,Database!$A$1:$AV$1,),)=0,"#N/A",((((VLOOKUP(B133,Database!$A:$AS,MATCH($E$1,Database!$A$1:$AS$1,),))))-(((VLOOKUP(EDATE(B133,-12),Database!$A:$AS,MATCH($E$1,Database!$A$1:$AS$1,),)))))/(((VLOOKUP(EDATE(B133,-12),Database!$A:$AS,MATCH($E$1,Database!$A$1:$AS$1,),)))))</f>
        <v/>
      </c>
      <c r="F133" s="13">
        <f>IF(VLOOKUP(B133,Database!$A:$AV,MATCH($F$1,Database!$A$1:$AV$1,),)=0,"#N/A",((((VLOOKUP(B133,Database!$A:$AS,MATCH($F$1,Database!$A$1:$AS$1,),))))-(((VLOOKUP(EDATE(B133,-12),Database!$A:$AS,MATCH($F$1,Database!$A$1:$AS$1,),)))))/(((VLOOKUP(EDATE(B133,-12),Database!$A:$AS,MATCH($F$1,Database!$A$1:$AS$1,),)))))</f>
        <v/>
      </c>
      <c r="G133" s="13">
        <f>IF(VLOOKUP(B133,Database!$A:$AV,MATCH($G$1,Database!$A$1:$AV$1,),)=0,"#N/A",((((VLOOKUP(B133,Database!$A:$AS,MATCH($G$1,Database!$A$1:$AS$1,),))))-(((VLOOKUP(EDATE(B133,-12),Database!$A:$AS,MATCH($G$1,Database!$A$1:$AS$1,),)))))/(((VLOOKUP(EDATE(B133,-12),Database!$A:$AS,MATCH($G$1,Database!$A$1:$AS$1,),)))))</f>
        <v/>
      </c>
      <c r="H133" s="13">
        <f>IF(VLOOKUP(B133,Database!$A:$AV,MATCH($H$1,Database!$A$1:$AV$1,),)=0,"#N/A",((((VLOOKUP(B133,Database!$A:$AS,MATCH($H$1,Database!$A$1:$AS$1,),))))-(((VLOOKUP(EDATE(B133,-12),Database!$A:$AS,MATCH($H$1,Database!$A$1:$AS$1,),)))))/(((VLOOKUP(EDATE(B133,-12),Database!$A:$AS,MATCH($H$1,Database!$A$1:$AS$1,),)))))</f>
        <v/>
      </c>
      <c r="I133" s="13">
        <f>IF(VLOOKUP(B133,Database!$A:$AV,MATCH($I$1,Database!$A$1:$AV$1,),)=0,"#N/A",((((VLOOKUP(B133,Database!$A:$AS,MATCH($I$1,Database!$A$1:$AS$1,),))))-(((VLOOKUP(EDATE(B133,-12),Database!$A:$AS,MATCH($I$1,Database!$A$1:$AS$1,),)))))/(((VLOOKUP(EDATE(B133,-12),Database!$A:$AS,MATCH($I$1,Database!$A$1:$AS$1,),)))))</f>
        <v/>
      </c>
      <c r="J133" s="13">
        <f>IF(VLOOKUP(B133,Database!$A:$AV,MATCH($J$1,Database!$A$1:$AV$1,),)=0,"#N/A",((((VLOOKUP(B133,Database!$A:$AS,MATCH($J$1,Database!$A$1:$AS$1,),))))-(((VLOOKUP(EDATE(B133,-12),Database!$A:$AS,MATCH($J$1,Database!$A$1:$AS$1,),)))))/(((VLOOKUP(EDATE(B133,-12),Database!$A:$AS,MATCH($J$1,Database!$A$1:$AS$1,),)))))</f>
        <v/>
      </c>
      <c r="K133" s="13">
        <f>IF(VLOOKUP(B133,Database!$A:$AV,MATCH($K$1,Database!$A$1:$AV$1,),)=0,"#N/A",((((VLOOKUP(B133,Database!$A:$AS,MATCH($K$1,Database!$A$1:$AS$1,),))))-(((VLOOKUP(EDATE(B133,-12),Database!$A:$AS,MATCH($K$1,Database!$A$1:$AS$1,),)))))/(((VLOOKUP(EDATE(B133,-12),Database!$A:$AS,MATCH($K$1,Database!$A$1:$AS$1,),)))))</f>
        <v/>
      </c>
      <c r="L133" s="13">
        <f>((((VLOOKUP(B133,Database!$A:$AS,MATCH($L$1,Database!$A$1:$AS$1,),))))-(((VLOOKUP(EDATE(B133,-12),Database!$A:$AS,MATCH($L$1,Database!$A$1:$AS$1,),)))))/(((VLOOKUP(EDATE(B133,-12),Database!$A:$AS,MATCH($L$1,Database!$A$1:$AS$1,),))))</f>
        <v/>
      </c>
      <c r="M133" s="13">
        <f>((((VLOOKUP(B133,Database!$A:$AS,MATCH($M$1,Database!$A$1:$AS$1,),))))-(((VLOOKUP(EDATE(B133,-12),Database!$A:$AS,MATCH($M$1,Database!$A$1:$AS$1,),)))))/(((VLOOKUP(EDATE(B133,-12),Database!$A:$AS,MATCH($M$1,Database!$A$1:$AS$1,),))))</f>
        <v/>
      </c>
      <c r="N133" s="13">
        <f>((((VLOOKUP(B133,Database!$A:$AS,MATCH($N$1,Database!$A$1:$AS$1,),))))-(((VLOOKUP(EDATE(B133,-12),Database!$A:$AS,MATCH($N$1,Database!$A$1:$AS$1,),)))))/(((VLOOKUP(EDATE(B133,-12),Database!$A:$AS,MATCH($N$1,Database!$A$1:$AS$1,),))))</f>
        <v/>
      </c>
      <c r="O133" s="13">
        <f>IF(VLOOKUP(B133,Database!$A:$AV,MATCH($O$1,Database!$A$1:$AV$1,),)=0,"#N/A",((((VLOOKUP(B133,Database!$A:$AS,MATCH($O$1,Database!$A$1:$AS$1,),))))-(((VLOOKUP(EDATE(B133,-12),Database!$A:$AS,MATCH($O$1,Database!$A$1:$AS$1,),)))))/(((VLOOKUP(EDATE(B133,-12),Database!$A:$AS,MATCH($O$1,Database!$A$1:$AS$1,),)))))</f>
        <v/>
      </c>
      <c r="P133" s="13">
        <f>IF(VLOOKUP(B133,Database!$A:$AV,MATCH($P$1,Database!$A$1:$AV$1,),)=0,"#N/A",((((VLOOKUP(B133,Database!$A:$AS,MATCH($P$1,Database!$A$1:$AS$1,),))))-(((VLOOKUP(EDATE(B133,-12),Database!$A:$AS,MATCH($P$1,Database!$A$1:$AS$1,),)))))/(((VLOOKUP(EDATE(B133,-12),Database!$A:$AS,MATCH($P$1,Database!$A$1:$AS$1,),)))))</f>
        <v/>
      </c>
      <c r="Q133" s="13">
        <f>IF(VLOOKUP(B133,Database!$A:$AV,MATCH($Q$1,Database!$A$1:$AV$1,),)=0,"#N/A",((((VLOOKUP(B133,Database!$A:$AS,MATCH($Q$1,Database!$A$1:$AS$1,),))))-(((VLOOKUP(EDATE(B133,-12),Database!$A:$AS,MATCH($Q$1,Database!$A$1:$AS$1,),)))))/(((VLOOKUP(EDATE(B133,-12),Database!$A:$AS,MATCH($Q$1,Database!$A$1:$AS$1,),)))))</f>
        <v/>
      </c>
      <c r="R133" s="13">
        <f>IF(VLOOKUP(B133,Database!$A:$AV,MATCH($R$1,Database!$A$1:$AV$1,),)=0,"#N/A",((((VLOOKUP(B133,Database!$A:$AS,MATCH($R$1,Database!$A$1:$AS$1,),))))-(((VLOOKUP(EDATE(B133,-12),Database!$A:$AS,MATCH($R$1,Database!$A$1:$AS$1,),)))))/(((VLOOKUP(EDATE(B133,-12),Database!$A:$AS,MATCH($R$1,Database!$A$1:$AS$1,),)))))</f>
        <v/>
      </c>
      <c r="S133" s="13">
        <f>IF(VLOOKUP(B133,Database!$A:$AV,MATCH($S$1,Database!$A$1:$AV$1,),)=0,"#N/A",((((VLOOKUP(B133,Database!$A:$AS,MATCH($S$1,Database!$A$1:$AS$1,),))))-(((VLOOKUP(EDATE(B133,-12),Database!$A:$AS,MATCH($S$1,Database!$A$1:$AS$1,),)))))/(((VLOOKUP(EDATE(B133,-12),Database!$A:$AS,MATCH($S$1,Database!$A$1:$AS$1,),)))))</f>
        <v/>
      </c>
      <c r="T133" s="13">
        <f>IF(VLOOKUP(B133,Database!$A:$AV,MATCH($T$1,Database!$A$1:$AV$1,),)=0,"#N/A",((((VLOOKUP(B133,Database!$A:$AS,MATCH($T$1,Database!$A$1:$AS$1,),))))-(((VLOOKUP(EDATE(B133,-12),Database!$A:$AS,MATCH($T$1,Database!$A$1:$AS$1,),)))))/(((VLOOKUP(EDATE(B133,-12),Database!$A:$AS,MATCH($T$1,Database!$A$1:$AS$1,),)))))</f>
        <v/>
      </c>
      <c r="U133" s="13">
        <f>IF(VLOOKUP(B133,Database!$A:$AV,MATCH($U$1,Database!$A$1:$AV$1,),)=0,"#N/A",((((VLOOKUP(B133,Database!$A:$AS,MATCH($U$1,Database!$A$1:$AS$1,),))))-(((VLOOKUP(EDATE(B133,-12),Database!$A:$AS,MATCH($U$1,Database!$A$1:$AS$1,),)))))/(((VLOOKUP(EDATE(B133,-12),Database!$A:$AS,MATCH($U$1,Database!$A$1:$AS$1,),)))))</f>
        <v/>
      </c>
      <c r="V133" s="13">
        <f>IF(VLOOKUP(B133,Database!$A:$AV,MATCH($V$1,Database!$A$1:$AV$1,),)=0,"#N/A",((((VLOOKUP(B133,Database!$A:$AS,MATCH($V$1,Database!$A$1:$AS$1,),))))-(((VLOOKUP(EDATE(B133,-12),Database!$A:$AS,MATCH($V$1,Database!$A$1:$AS$1,),)))))/(((VLOOKUP(EDATE(B133,-12),Database!$A:$AS,MATCH($V$1,Database!$A$1:$AS$1,),)))))</f>
        <v/>
      </c>
    </row>
    <row r="134" customFormat="1" s="86">
      <c r="A134" s="43" t="n"/>
      <c r="B134" s="75" t="n">
        <v>36220</v>
      </c>
      <c r="C134" s="13">
        <f>IF(VLOOKUP(B134,Database!$A:$AU,MATCH($C$1,Database!$A$1:$AU$1,),)=0,"#N/A",((((VLOOKUP(B134,Database!$A:$AU,MATCH($C$1,Database!$A$1:$AU$1,),))))-(((VLOOKUP(EDATE(B134,-12),Database!$A:$AU,MATCH($C$1,Database!$A$1:$AU$1,),)))))/(((VLOOKUP(EDATE(B134,-12),Database!$A:$AU,MATCH($C$1,Database!$A$1:$AU$1,),)))))</f>
        <v/>
      </c>
      <c r="D134" s="13">
        <f>IF(VLOOKUP(B134,Database!$A:$AV,MATCH($D$1,Database!$A$1:$AV$1,),)=0,"#N/A",((((VLOOKUP(B134,Database!$A:$AS,MATCH($D$1,Database!$A$1:$AS$1,),))))-(((VLOOKUP(EDATE(B134,-12),Database!$A:$AS,MATCH($D$1,Database!$A$1:$AS$1,),)))))/(((VLOOKUP(EDATE(B134,-12),Database!$A:$AS,MATCH($D$1,Database!$A$1:$AS$1,),)))))</f>
        <v/>
      </c>
      <c r="E134" s="13">
        <f>IF(VLOOKUP(B134,Database!$A:$AV,MATCH($E$1,Database!$A$1:$AV$1,),)=0,"#N/A",((((VLOOKUP(B134,Database!$A:$AS,MATCH($E$1,Database!$A$1:$AS$1,),))))-(((VLOOKUP(EDATE(B134,-12),Database!$A:$AS,MATCH($E$1,Database!$A$1:$AS$1,),)))))/(((VLOOKUP(EDATE(B134,-12),Database!$A:$AS,MATCH($E$1,Database!$A$1:$AS$1,),)))))</f>
        <v/>
      </c>
      <c r="F134" s="13">
        <f>IF(VLOOKUP(B134,Database!$A:$AV,MATCH($F$1,Database!$A$1:$AV$1,),)=0,"#N/A",((((VLOOKUP(B134,Database!$A:$AS,MATCH($F$1,Database!$A$1:$AS$1,),))))-(((VLOOKUP(EDATE(B134,-12),Database!$A:$AS,MATCH($F$1,Database!$A$1:$AS$1,),)))))/(((VLOOKUP(EDATE(B134,-12),Database!$A:$AS,MATCH($F$1,Database!$A$1:$AS$1,),)))))</f>
        <v/>
      </c>
      <c r="G134" s="13">
        <f>IF(VLOOKUP(B134,Database!$A:$AV,MATCH($G$1,Database!$A$1:$AV$1,),)=0,"#N/A",((((VLOOKUP(B134,Database!$A:$AS,MATCH($G$1,Database!$A$1:$AS$1,),))))-(((VLOOKUP(EDATE(B134,-12),Database!$A:$AS,MATCH($G$1,Database!$A$1:$AS$1,),)))))/(((VLOOKUP(EDATE(B134,-12),Database!$A:$AS,MATCH($G$1,Database!$A$1:$AS$1,),)))))</f>
        <v/>
      </c>
      <c r="H134" s="13">
        <f>IF(VLOOKUP(B134,Database!$A:$AV,MATCH($H$1,Database!$A$1:$AV$1,),)=0,"#N/A",((((VLOOKUP(B134,Database!$A:$AS,MATCH($H$1,Database!$A$1:$AS$1,),))))-(((VLOOKUP(EDATE(B134,-12),Database!$A:$AS,MATCH($H$1,Database!$A$1:$AS$1,),)))))/(((VLOOKUP(EDATE(B134,-12),Database!$A:$AS,MATCH($H$1,Database!$A$1:$AS$1,),)))))</f>
        <v/>
      </c>
      <c r="I134" s="13">
        <f>IF(VLOOKUP(B134,Database!$A:$AV,MATCH($I$1,Database!$A$1:$AV$1,),)=0,"#N/A",((((VLOOKUP(B134,Database!$A:$AS,MATCH($I$1,Database!$A$1:$AS$1,),))))-(((VLOOKUP(EDATE(B134,-12),Database!$A:$AS,MATCH($I$1,Database!$A$1:$AS$1,),)))))/(((VLOOKUP(EDATE(B134,-12),Database!$A:$AS,MATCH($I$1,Database!$A$1:$AS$1,),)))))</f>
        <v/>
      </c>
      <c r="J134" s="13">
        <f>IF(VLOOKUP(B134,Database!$A:$AV,MATCH($J$1,Database!$A$1:$AV$1,),)=0,"#N/A",((((VLOOKUP(B134,Database!$A:$AS,MATCH($J$1,Database!$A$1:$AS$1,),))))-(((VLOOKUP(EDATE(B134,-12),Database!$A:$AS,MATCH($J$1,Database!$A$1:$AS$1,),)))))/(((VLOOKUP(EDATE(B134,-12),Database!$A:$AS,MATCH($J$1,Database!$A$1:$AS$1,),)))))</f>
        <v/>
      </c>
      <c r="K134" s="13">
        <f>IF(VLOOKUP(B134,Database!$A:$AV,MATCH($K$1,Database!$A$1:$AV$1,),)=0,"#N/A",((((VLOOKUP(B134,Database!$A:$AS,MATCH($K$1,Database!$A$1:$AS$1,),))))-(((VLOOKUP(EDATE(B134,-12),Database!$A:$AS,MATCH($K$1,Database!$A$1:$AS$1,),)))))/(((VLOOKUP(EDATE(B134,-12),Database!$A:$AS,MATCH($K$1,Database!$A$1:$AS$1,),)))))</f>
        <v/>
      </c>
      <c r="L134" s="13">
        <f>((((VLOOKUP(B134,Database!$A:$AS,MATCH($L$1,Database!$A$1:$AS$1,),))))-(((VLOOKUP(EDATE(B134,-12),Database!$A:$AS,MATCH($L$1,Database!$A$1:$AS$1,),)))))/(((VLOOKUP(EDATE(B134,-12),Database!$A:$AS,MATCH($L$1,Database!$A$1:$AS$1,),))))</f>
        <v/>
      </c>
      <c r="M134" s="13">
        <f>((((VLOOKUP(B134,Database!$A:$AS,MATCH($M$1,Database!$A$1:$AS$1,),))))-(((VLOOKUP(EDATE(B134,-12),Database!$A:$AS,MATCH($M$1,Database!$A$1:$AS$1,),)))))/(((VLOOKUP(EDATE(B134,-12),Database!$A:$AS,MATCH($M$1,Database!$A$1:$AS$1,),))))</f>
        <v/>
      </c>
      <c r="N134" s="13">
        <f>((((VLOOKUP(B134,Database!$A:$AS,MATCH($N$1,Database!$A$1:$AS$1,),))))-(((VLOOKUP(EDATE(B134,-12),Database!$A:$AS,MATCH($N$1,Database!$A$1:$AS$1,),)))))/(((VLOOKUP(EDATE(B134,-12),Database!$A:$AS,MATCH($N$1,Database!$A$1:$AS$1,),))))</f>
        <v/>
      </c>
      <c r="O134" s="13">
        <f>IF(VLOOKUP(B134,Database!$A:$AV,MATCH($O$1,Database!$A$1:$AV$1,),)=0,"#N/A",((((VLOOKUP(B134,Database!$A:$AS,MATCH($O$1,Database!$A$1:$AS$1,),))))-(((VLOOKUP(EDATE(B134,-12),Database!$A:$AS,MATCH($O$1,Database!$A$1:$AS$1,),)))))/(((VLOOKUP(EDATE(B134,-12),Database!$A:$AS,MATCH($O$1,Database!$A$1:$AS$1,),)))))</f>
        <v/>
      </c>
      <c r="P134" s="13">
        <f>IF(VLOOKUP(B134,Database!$A:$AV,MATCH($P$1,Database!$A$1:$AV$1,),)=0,"#N/A",((((VLOOKUP(B134,Database!$A:$AS,MATCH($P$1,Database!$A$1:$AS$1,),))))-(((VLOOKUP(EDATE(B134,-12),Database!$A:$AS,MATCH($P$1,Database!$A$1:$AS$1,),)))))/(((VLOOKUP(EDATE(B134,-12),Database!$A:$AS,MATCH($P$1,Database!$A$1:$AS$1,),)))))</f>
        <v/>
      </c>
      <c r="Q134" s="13">
        <f>IF(VLOOKUP(B134,Database!$A:$AV,MATCH($Q$1,Database!$A$1:$AV$1,),)=0,"#N/A",((((VLOOKUP(B134,Database!$A:$AS,MATCH($Q$1,Database!$A$1:$AS$1,),))))-(((VLOOKUP(EDATE(B134,-12),Database!$A:$AS,MATCH($Q$1,Database!$A$1:$AS$1,),)))))/(((VLOOKUP(EDATE(B134,-12),Database!$A:$AS,MATCH($Q$1,Database!$A$1:$AS$1,),)))))</f>
        <v/>
      </c>
      <c r="R134" s="13">
        <f>IF(VLOOKUP(B134,Database!$A:$AV,MATCH($R$1,Database!$A$1:$AV$1,),)=0,"#N/A",((((VLOOKUP(B134,Database!$A:$AS,MATCH($R$1,Database!$A$1:$AS$1,),))))-(((VLOOKUP(EDATE(B134,-12),Database!$A:$AS,MATCH($R$1,Database!$A$1:$AS$1,),)))))/(((VLOOKUP(EDATE(B134,-12),Database!$A:$AS,MATCH($R$1,Database!$A$1:$AS$1,),)))))</f>
        <v/>
      </c>
      <c r="S134" s="13">
        <f>IF(VLOOKUP(B134,Database!$A:$AV,MATCH($S$1,Database!$A$1:$AV$1,),)=0,"#N/A",((((VLOOKUP(B134,Database!$A:$AS,MATCH($S$1,Database!$A$1:$AS$1,),))))-(((VLOOKUP(EDATE(B134,-12),Database!$A:$AS,MATCH($S$1,Database!$A$1:$AS$1,),)))))/(((VLOOKUP(EDATE(B134,-12),Database!$A:$AS,MATCH($S$1,Database!$A$1:$AS$1,),)))))</f>
        <v/>
      </c>
      <c r="T134" s="13">
        <f>IF(VLOOKUP(B134,Database!$A:$AV,MATCH($T$1,Database!$A$1:$AV$1,),)=0,"#N/A",((((VLOOKUP(B134,Database!$A:$AS,MATCH($T$1,Database!$A$1:$AS$1,),))))-(((VLOOKUP(EDATE(B134,-12),Database!$A:$AS,MATCH($T$1,Database!$A$1:$AS$1,),)))))/(((VLOOKUP(EDATE(B134,-12),Database!$A:$AS,MATCH($T$1,Database!$A$1:$AS$1,),)))))</f>
        <v/>
      </c>
      <c r="U134" s="13">
        <f>IF(VLOOKUP(B134,Database!$A:$AV,MATCH($U$1,Database!$A$1:$AV$1,),)=0,"#N/A",((((VLOOKUP(B134,Database!$A:$AS,MATCH($U$1,Database!$A$1:$AS$1,),))))-(((VLOOKUP(EDATE(B134,-12),Database!$A:$AS,MATCH($U$1,Database!$A$1:$AS$1,),)))))/(((VLOOKUP(EDATE(B134,-12),Database!$A:$AS,MATCH($U$1,Database!$A$1:$AS$1,),)))))</f>
        <v/>
      </c>
      <c r="V134" s="13">
        <f>IF(VLOOKUP(B134,Database!$A:$AV,MATCH($V$1,Database!$A$1:$AV$1,),)=0,"#N/A",((((VLOOKUP(B134,Database!$A:$AS,MATCH($V$1,Database!$A$1:$AS$1,),))))-(((VLOOKUP(EDATE(B134,-12),Database!$A:$AS,MATCH($V$1,Database!$A$1:$AS$1,),)))))/(((VLOOKUP(EDATE(B134,-12),Database!$A:$AS,MATCH($V$1,Database!$A$1:$AS$1,),)))))</f>
        <v/>
      </c>
    </row>
    <row r="135" customFormat="1" s="86">
      <c r="A135" s="43" t="n"/>
      <c r="B135" s="75" t="n">
        <v>36251</v>
      </c>
      <c r="C135" s="13">
        <f>IF(VLOOKUP(B135,Database!$A:$AU,MATCH($C$1,Database!$A$1:$AU$1,),)=0,"#N/A",((((VLOOKUP(B135,Database!$A:$AU,MATCH($C$1,Database!$A$1:$AU$1,),))))-(((VLOOKUP(EDATE(B135,-12),Database!$A:$AU,MATCH($C$1,Database!$A$1:$AU$1,),)))))/(((VLOOKUP(EDATE(B135,-12),Database!$A:$AU,MATCH($C$1,Database!$A$1:$AU$1,),)))))</f>
        <v/>
      </c>
      <c r="D135" s="13">
        <f>IF(VLOOKUP(B135,Database!$A:$AV,MATCH($D$1,Database!$A$1:$AV$1,),)=0,"#N/A",((((VLOOKUP(B135,Database!$A:$AS,MATCH($D$1,Database!$A$1:$AS$1,),))))-(((VLOOKUP(EDATE(B135,-12),Database!$A:$AS,MATCH($D$1,Database!$A$1:$AS$1,),)))))/(((VLOOKUP(EDATE(B135,-12),Database!$A:$AS,MATCH($D$1,Database!$A$1:$AS$1,),)))))</f>
        <v/>
      </c>
      <c r="E135" s="13">
        <f>IF(VLOOKUP(B135,Database!$A:$AV,MATCH($E$1,Database!$A$1:$AV$1,),)=0,"#N/A",((((VLOOKUP(B135,Database!$A:$AS,MATCH($E$1,Database!$A$1:$AS$1,),))))-(((VLOOKUP(EDATE(B135,-12),Database!$A:$AS,MATCH($E$1,Database!$A$1:$AS$1,),)))))/(((VLOOKUP(EDATE(B135,-12),Database!$A:$AS,MATCH($E$1,Database!$A$1:$AS$1,),)))))</f>
        <v/>
      </c>
      <c r="F135" s="13">
        <f>IF(VLOOKUP(B135,Database!$A:$AV,MATCH($F$1,Database!$A$1:$AV$1,),)=0,"#N/A",((((VLOOKUP(B135,Database!$A:$AS,MATCH($F$1,Database!$A$1:$AS$1,),))))-(((VLOOKUP(EDATE(B135,-12),Database!$A:$AS,MATCH($F$1,Database!$A$1:$AS$1,),)))))/(((VLOOKUP(EDATE(B135,-12),Database!$A:$AS,MATCH($F$1,Database!$A$1:$AS$1,),)))))</f>
        <v/>
      </c>
      <c r="G135" s="13">
        <f>IF(VLOOKUP(B135,Database!$A:$AV,MATCH($G$1,Database!$A$1:$AV$1,),)=0,"#N/A",((((VLOOKUP(B135,Database!$A:$AS,MATCH($G$1,Database!$A$1:$AS$1,),))))-(((VLOOKUP(EDATE(B135,-12),Database!$A:$AS,MATCH($G$1,Database!$A$1:$AS$1,),)))))/(((VLOOKUP(EDATE(B135,-12),Database!$A:$AS,MATCH($G$1,Database!$A$1:$AS$1,),)))))</f>
        <v/>
      </c>
      <c r="H135" s="13">
        <f>IF(VLOOKUP(B135,Database!$A:$AV,MATCH($H$1,Database!$A$1:$AV$1,),)=0,"#N/A",((((VLOOKUP(B135,Database!$A:$AS,MATCH($H$1,Database!$A$1:$AS$1,),))))-(((VLOOKUP(EDATE(B135,-12),Database!$A:$AS,MATCH($H$1,Database!$A$1:$AS$1,),)))))/(((VLOOKUP(EDATE(B135,-12),Database!$A:$AS,MATCH($H$1,Database!$A$1:$AS$1,),)))))</f>
        <v/>
      </c>
      <c r="I135" s="13">
        <f>IF(VLOOKUP(B135,Database!$A:$AV,MATCH($I$1,Database!$A$1:$AV$1,),)=0,"#N/A",((((VLOOKUP(B135,Database!$A:$AS,MATCH($I$1,Database!$A$1:$AS$1,),))))-(((VLOOKUP(EDATE(B135,-12),Database!$A:$AS,MATCH($I$1,Database!$A$1:$AS$1,),)))))/(((VLOOKUP(EDATE(B135,-12),Database!$A:$AS,MATCH($I$1,Database!$A$1:$AS$1,),)))))</f>
        <v/>
      </c>
      <c r="J135" s="13">
        <f>IF(VLOOKUP(B135,Database!$A:$AV,MATCH($J$1,Database!$A$1:$AV$1,),)=0,"#N/A",((((VLOOKUP(B135,Database!$A:$AS,MATCH($J$1,Database!$A$1:$AS$1,),))))-(((VLOOKUP(EDATE(B135,-12),Database!$A:$AS,MATCH($J$1,Database!$A$1:$AS$1,),)))))/(((VLOOKUP(EDATE(B135,-12),Database!$A:$AS,MATCH($J$1,Database!$A$1:$AS$1,),)))))</f>
        <v/>
      </c>
      <c r="K135" s="13">
        <f>IF(VLOOKUP(B135,Database!$A:$AV,MATCH($K$1,Database!$A$1:$AV$1,),)=0,"#N/A",((((VLOOKUP(B135,Database!$A:$AS,MATCH($K$1,Database!$A$1:$AS$1,),))))-(((VLOOKUP(EDATE(B135,-12),Database!$A:$AS,MATCH($K$1,Database!$A$1:$AS$1,),)))))/(((VLOOKUP(EDATE(B135,-12),Database!$A:$AS,MATCH($K$1,Database!$A$1:$AS$1,),)))))</f>
        <v/>
      </c>
      <c r="L135" s="13">
        <f>((((VLOOKUP(B135,Database!$A:$AS,MATCH($L$1,Database!$A$1:$AS$1,),))))-(((VLOOKUP(EDATE(B135,-12),Database!$A:$AS,MATCH($L$1,Database!$A$1:$AS$1,),)))))/(((VLOOKUP(EDATE(B135,-12),Database!$A:$AS,MATCH($L$1,Database!$A$1:$AS$1,),))))</f>
        <v/>
      </c>
      <c r="M135" s="13">
        <f>((((VLOOKUP(B135,Database!$A:$AS,MATCH($M$1,Database!$A$1:$AS$1,),))))-(((VLOOKUP(EDATE(B135,-12),Database!$A:$AS,MATCH($M$1,Database!$A$1:$AS$1,),)))))/(((VLOOKUP(EDATE(B135,-12),Database!$A:$AS,MATCH($M$1,Database!$A$1:$AS$1,),))))</f>
        <v/>
      </c>
      <c r="N135" s="13">
        <f>((((VLOOKUP(B135,Database!$A:$AS,MATCH($N$1,Database!$A$1:$AS$1,),))))-(((VLOOKUP(EDATE(B135,-12),Database!$A:$AS,MATCH($N$1,Database!$A$1:$AS$1,),)))))/(((VLOOKUP(EDATE(B135,-12),Database!$A:$AS,MATCH($N$1,Database!$A$1:$AS$1,),))))</f>
        <v/>
      </c>
      <c r="O135" s="13">
        <f>IF(VLOOKUP(B135,Database!$A:$AV,MATCH($O$1,Database!$A$1:$AV$1,),)=0,"#N/A",((((VLOOKUP(B135,Database!$A:$AS,MATCH($O$1,Database!$A$1:$AS$1,),))))-(((VLOOKUP(EDATE(B135,-12),Database!$A:$AS,MATCH($O$1,Database!$A$1:$AS$1,),)))))/(((VLOOKUP(EDATE(B135,-12),Database!$A:$AS,MATCH($O$1,Database!$A$1:$AS$1,),)))))</f>
        <v/>
      </c>
      <c r="P135" s="13">
        <f>IF(VLOOKUP(B135,Database!$A:$AV,MATCH($P$1,Database!$A$1:$AV$1,),)=0,"#N/A",((((VLOOKUP(B135,Database!$A:$AS,MATCH($P$1,Database!$A$1:$AS$1,),))))-(((VLOOKUP(EDATE(B135,-12),Database!$A:$AS,MATCH($P$1,Database!$A$1:$AS$1,),)))))/(((VLOOKUP(EDATE(B135,-12),Database!$A:$AS,MATCH($P$1,Database!$A$1:$AS$1,),)))))</f>
        <v/>
      </c>
      <c r="Q135" s="13">
        <f>IF(VLOOKUP(B135,Database!$A:$AV,MATCH($Q$1,Database!$A$1:$AV$1,),)=0,"#N/A",((((VLOOKUP(B135,Database!$A:$AS,MATCH($Q$1,Database!$A$1:$AS$1,),))))-(((VLOOKUP(EDATE(B135,-12),Database!$A:$AS,MATCH($Q$1,Database!$A$1:$AS$1,),)))))/(((VLOOKUP(EDATE(B135,-12),Database!$A:$AS,MATCH($Q$1,Database!$A$1:$AS$1,),)))))</f>
        <v/>
      </c>
      <c r="R135" s="13">
        <f>IF(VLOOKUP(B135,Database!$A:$AV,MATCH($R$1,Database!$A$1:$AV$1,),)=0,"#N/A",((((VLOOKUP(B135,Database!$A:$AS,MATCH($R$1,Database!$A$1:$AS$1,),))))-(((VLOOKUP(EDATE(B135,-12),Database!$A:$AS,MATCH($R$1,Database!$A$1:$AS$1,),)))))/(((VLOOKUP(EDATE(B135,-12),Database!$A:$AS,MATCH($R$1,Database!$A$1:$AS$1,),)))))</f>
        <v/>
      </c>
      <c r="S135" s="13">
        <f>IF(VLOOKUP(B135,Database!$A:$AV,MATCH($S$1,Database!$A$1:$AV$1,),)=0,"#N/A",((((VLOOKUP(B135,Database!$A:$AS,MATCH($S$1,Database!$A$1:$AS$1,),))))-(((VLOOKUP(EDATE(B135,-12),Database!$A:$AS,MATCH($S$1,Database!$A$1:$AS$1,),)))))/(((VLOOKUP(EDATE(B135,-12),Database!$A:$AS,MATCH($S$1,Database!$A$1:$AS$1,),)))))</f>
        <v/>
      </c>
      <c r="T135" s="13">
        <f>IF(VLOOKUP(B135,Database!$A:$AV,MATCH($T$1,Database!$A$1:$AV$1,),)=0,"#N/A",((((VLOOKUP(B135,Database!$A:$AS,MATCH($T$1,Database!$A$1:$AS$1,),))))-(((VLOOKUP(EDATE(B135,-12),Database!$A:$AS,MATCH($T$1,Database!$A$1:$AS$1,),)))))/(((VLOOKUP(EDATE(B135,-12),Database!$A:$AS,MATCH($T$1,Database!$A$1:$AS$1,),)))))</f>
        <v/>
      </c>
      <c r="U135" s="13">
        <f>IF(VLOOKUP(B135,Database!$A:$AV,MATCH($U$1,Database!$A$1:$AV$1,),)=0,"#N/A",((((VLOOKUP(B135,Database!$A:$AS,MATCH($U$1,Database!$A$1:$AS$1,),))))-(((VLOOKUP(EDATE(B135,-12),Database!$A:$AS,MATCH($U$1,Database!$A$1:$AS$1,),)))))/(((VLOOKUP(EDATE(B135,-12),Database!$A:$AS,MATCH($U$1,Database!$A$1:$AS$1,),)))))</f>
        <v/>
      </c>
      <c r="V135" s="13">
        <f>IF(VLOOKUP(B135,Database!$A:$AV,MATCH($V$1,Database!$A$1:$AV$1,),)=0,"#N/A",((((VLOOKUP(B135,Database!$A:$AS,MATCH($V$1,Database!$A$1:$AS$1,),))))-(((VLOOKUP(EDATE(B135,-12),Database!$A:$AS,MATCH($V$1,Database!$A$1:$AS$1,),)))))/(((VLOOKUP(EDATE(B135,-12),Database!$A:$AS,MATCH($V$1,Database!$A$1:$AS$1,),)))))</f>
        <v/>
      </c>
    </row>
    <row r="136" customFormat="1" s="86">
      <c r="A136" s="43" t="n"/>
      <c r="B136" s="75" t="n">
        <v>36281</v>
      </c>
      <c r="C136" s="13">
        <f>IF(VLOOKUP(B136,Database!$A:$AU,MATCH($C$1,Database!$A$1:$AU$1,),)=0,"#N/A",((((VLOOKUP(B136,Database!$A:$AU,MATCH($C$1,Database!$A$1:$AU$1,),))))-(((VLOOKUP(EDATE(B136,-12),Database!$A:$AU,MATCH($C$1,Database!$A$1:$AU$1,),)))))/(((VLOOKUP(EDATE(B136,-12),Database!$A:$AU,MATCH($C$1,Database!$A$1:$AU$1,),)))))</f>
        <v/>
      </c>
      <c r="D136" s="13">
        <f>IF(VLOOKUP(B136,Database!$A:$AV,MATCH($D$1,Database!$A$1:$AV$1,),)=0,"#N/A",((((VLOOKUP(B136,Database!$A:$AS,MATCH($D$1,Database!$A$1:$AS$1,),))))-(((VLOOKUP(EDATE(B136,-12),Database!$A:$AS,MATCH($D$1,Database!$A$1:$AS$1,),)))))/(((VLOOKUP(EDATE(B136,-12),Database!$A:$AS,MATCH($D$1,Database!$A$1:$AS$1,),)))))</f>
        <v/>
      </c>
      <c r="E136" s="13">
        <f>IF(VLOOKUP(B136,Database!$A:$AV,MATCH($E$1,Database!$A$1:$AV$1,),)=0,"#N/A",((((VLOOKUP(B136,Database!$A:$AS,MATCH($E$1,Database!$A$1:$AS$1,),))))-(((VLOOKUP(EDATE(B136,-12),Database!$A:$AS,MATCH($E$1,Database!$A$1:$AS$1,),)))))/(((VLOOKUP(EDATE(B136,-12),Database!$A:$AS,MATCH($E$1,Database!$A$1:$AS$1,),)))))</f>
        <v/>
      </c>
      <c r="F136" s="13">
        <f>IF(VLOOKUP(B136,Database!$A:$AV,MATCH($F$1,Database!$A$1:$AV$1,),)=0,"#N/A",((((VLOOKUP(B136,Database!$A:$AS,MATCH($F$1,Database!$A$1:$AS$1,),))))-(((VLOOKUP(EDATE(B136,-12),Database!$A:$AS,MATCH($F$1,Database!$A$1:$AS$1,),)))))/(((VLOOKUP(EDATE(B136,-12),Database!$A:$AS,MATCH($F$1,Database!$A$1:$AS$1,),)))))</f>
        <v/>
      </c>
      <c r="G136" s="13">
        <f>IF(VLOOKUP(B136,Database!$A:$AV,MATCH($G$1,Database!$A$1:$AV$1,),)=0,"#N/A",((((VLOOKUP(B136,Database!$A:$AS,MATCH($G$1,Database!$A$1:$AS$1,),))))-(((VLOOKUP(EDATE(B136,-12),Database!$A:$AS,MATCH($G$1,Database!$A$1:$AS$1,),)))))/(((VLOOKUP(EDATE(B136,-12),Database!$A:$AS,MATCH($G$1,Database!$A$1:$AS$1,),)))))</f>
        <v/>
      </c>
      <c r="H136" s="13">
        <f>IF(VLOOKUP(B136,Database!$A:$AV,MATCH($H$1,Database!$A$1:$AV$1,),)=0,"#N/A",((((VLOOKUP(B136,Database!$A:$AS,MATCH($H$1,Database!$A$1:$AS$1,),))))-(((VLOOKUP(EDATE(B136,-12),Database!$A:$AS,MATCH($H$1,Database!$A$1:$AS$1,),)))))/(((VLOOKUP(EDATE(B136,-12),Database!$A:$AS,MATCH($H$1,Database!$A$1:$AS$1,),)))))</f>
        <v/>
      </c>
      <c r="I136" s="13">
        <f>IF(VLOOKUP(B136,Database!$A:$AV,MATCH($I$1,Database!$A$1:$AV$1,),)=0,"#N/A",((((VLOOKUP(B136,Database!$A:$AS,MATCH($I$1,Database!$A$1:$AS$1,),))))-(((VLOOKUP(EDATE(B136,-12),Database!$A:$AS,MATCH($I$1,Database!$A$1:$AS$1,),)))))/(((VLOOKUP(EDATE(B136,-12),Database!$A:$AS,MATCH($I$1,Database!$A$1:$AS$1,),)))))</f>
        <v/>
      </c>
      <c r="J136" s="13">
        <f>IF(VLOOKUP(B136,Database!$A:$AV,MATCH($J$1,Database!$A$1:$AV$1,),)=0,"#N/A",((((VLOOKUP(B136,Database!$A:$AS,MATCH($J$1,Database!$A$1:$AS$1,),))))-(((VLOOKUP(EDATE(B136,-12),Database!$A:$AS,MATCH($J$1,Database!$A$1:$AS$1,),)))))/(((VLOOKUP(EDATE(B136,-12),Database!$A:$AS,MATCH($J$1,Database!$A$1:$AS$1,),)))))</f>
        <v/>
      </c>
      <c r="K136" s="13">
        <f>IF(VLOOKUP(B136,Database!$A:$AV,MATCH($K$1,Database!$A$1:$AV$1,),)=0,"#N/A",((((VLOOKUP(B136,Database!$A:$AS,MATCH($K$1,Database!$A$1:$AS$1,),))))-(((VLOOKUP(EDATE(B136,-12),Database!$A:$AS,MATCH($K$1,Database!$A$1:$AS$1,),)))))/(((VLOOKUP(EDATE(B136,-12),Database!$A:$AS,MATCH($K$1,Database!$A$1:$AS$1,),)))))</f>
        <v/>
      </c>
      <c r="L136" s="13">
        <f>((((VLOOKUP(B136,Database!$A:$AS,MATCH($L$1,Database!$A$1:$AS$1,),))))-(((VLOOKUP(EDATE(B136,-12),Database!$A:$AS,MATCH($L$1,Database!$A$1:$AS$1,),)))))/(((VLOOKUP(EDATE(B136,-12),Database!$A:$AS,MATCH($L$1,Database!$A$1:$AS$1,),))))</f>
        <v/>
      </c>
      <c r="M136" s="13">
        <f>((((VLOOKUP(B136,Database!$A:$AS,MATCH($M$1,Database!$A$1:$AS$1,),))))-(((VLOOKUP(EDATE(B136,-12),Database!$A:$AS,MATCH($M$1,Database!$A$1:$AS$1,),)))))/(((VLOOKUP(EDATE(B136,-12),Database!$A:$AS,MATCH($M$1,Database!$A$1:$AS$1,),))))</f>
        <v/>
      </c>
      <c r="N136" s="13">
        <f>((((VLOOKUP(B136,Database!$A:$AS,MATCH($N$1,Database!$A$1:$AS$1,),))))-(((VLOOKUP(EDATE(B136,-12),Database!$A:$AS,MATCH($N$1,Database!$A$1:$AS$1,),)))))/(((VLOOKUP(EDATE(B136,-12),Database!$A:$AS,MATCH($N$1,Database!$A$1:$AS$1,),))))</f>
        <v/>
      </c>
      <c r="O136" s="13">
        <f>IF(VLOOKUP(B136,Database!$A:$AV,MATCH($O$1,Database!$A$1:$AV$1,),)=0,"#N/A",((((VLOOKUP(B136,Database!$A:$AS,MATCH($O$1,Database!$A$1:$AS$1,),))))-(((VLOOKUP(EDATE(B136,-12),Database!$A:$AS,MATCH($O$1,Database!$A$1:$AS$1,),)))))/(((VLOOKUP(EDATE(B136,-12),Database!$A:$AS,MATCH($O$1,Database!$A$1:$AS$1,),)))))</f>
        <v/>
      </c>
      <c r="P136" s="13">
        <f>IF(VLOOKUP(B136,Database!$A:$AV,MATCH($P$1,Database!$A$1:$AV$1,),)=0,"#N/A",((((VLOOKUP(B136,Database!$A:$AS,MATCH($P$1,Database!$A$1:$AS$1,),))))-(((VLOOKUP(EDATE(B136,-12),Database!$A:$AS,MATCH($P$1,Database!$A$1:$AS$1,),)))))/(((VLOOKUP(EDATE(B136,-12),Database!$A:$AS,MATCH($P$1,Database!$A$1:$AS$1,),)))))</f>
        <v/>
      </c>
      <c r="Q136" s="13">
        <f>IF(VLOOKUP(B136,Database!$A:$AV,MATCH($Q$1,Database!$A$1:$AV$1,),)=0,"#N/A",((((VLOOKUP(B136,Database!$A:$AS,MATCH($Q$1,Database!$A$1:$AS$1,),))))-(((VLOOKUP(EDATE(B136,-12),Database!$A:$AS,MATCH($Q$1,Database!$A$1:$AS$1,),)))))/(((VLOOKUP(EDATE(B136,-12),Database!$A:$AS,MATCH($Q$1,Database!$A$1:$AS$1,),)))))</f>
        <v/>
      </c>
      <c r="R136" s="13">
        <f>IF(VLOOKUP(B136,Database!$A:$AV,MATCH($R$1,Database!$A$1:$AV$1,),)=0,"#N/A",((((VLOOKUP(B136,Database!$A:$AS,MATCH($R$1,Database!$A$1:$AS$1,),))))-(((VLOOKUP(EDATE(B136,-12),Database!$A:$AS,MATCH($R$1,Database!$A$1:$AS$1,),)))))/(((VLOOKUP(EDATE(B136,-12),Database!$A:$AS,MATCH($R$1,Database!$A$1:$AS$1,),)))))</f>
        <v/>
      </c>
      <c r="S136" s="13">
        <f>IF(VLOOKUP(B136,Database!$A:$AV,MATCH($S$1,Database!$A$1:$AV$1,),)=0,"#N/A",((((VLOOKUP(B136,Database!$A:$AS,MATCH($S$1,Database!$A$1:$AS$1,),))))-(((VLOOKUP(EDATE(B136,-12),Database!$A:$AS,MATCH($S$1,Database!$A$1:$AS$1,),)))))/(((VLOOKUP(EDATE(B136,-12),Database!$A:$AS,MATCH($S$1,Database!$A$1:$AS$1,),)))))</f>
        <v/>
      </c>
      <c r="T136" s="13">
        <f>IF(VLOOKUP(B136,Database!$A:$AV,MATCH($T$1,Database!$A$1:$AV$1,),)=0,"#N/A",((((VLOOKUP(B136,Database!$A:$AS,MATCH($T$1,Database!$A$1:$AS$1,),))))-(((VLOOKUP(EDATE(B136,-12),Database!$A:$AS,MATCH($T$1,Database!$A$1:$AS$1,),)))))/(((VLOOKUP(EDATE(B136,-12),Database!$A:$AS,MATCH($T$1,Database!$A$1:$AS$1,),)))))</f>
        <v/>
      </c>
      <c r="U136" s="13">
        <f>IF(VLOOKUP(B136,Database!$A:$AV,MATCH($U$1,Database!$A$1:$AV$1,),)=0,"#N/A",((((VLOOKUP(B136,Database!$A:$AS,MATCH($U$1,Database!$A$1:$AS$1,),))))-(((VLOOKUP(EDATE(B136,-12),Database!$A:$AS,MATCH($U$1,Database!$A$1:$AS$1,),)))))/(((VLOOKUP(EDATE(B136,-12),Database!$A:$AS,MATCH($U$1,Database!$A$1:$AS$1,),)))))</f>
        <v/>
      </c>
      <c r="V136" s="13">
        <f>IF(VLOOKUP(B136,Database!$A:$AV,MATCH($V$1,Database!$A$1:$AV$1,),)=0,"#N/A",((((VLOOKUP(B136,Database!$A:$AS,MATCH($V$1,Database!$A$1:$AS$1,),))))-(((VLOOKUP(EDATE(B136,-12),Database!$A:$AS,MATCH($V$1,Database!$A$1:$AS$1,),)))))/(((VLOOKUP(EDATE(B136,-12),Database!$A:$AS,MATCH($V$1,Database!$A$1:$AS$1,),)))))</f>
        <v/>
      </c>
    </row>
    <row r="137" customFormat="1" s="86">
      <c r="A137" s="43" t="n"/>
      <c r="B137" s="75" t="n">
        <v>36312</v>
      </c>
      <c r="C137" s="13">
        <f>IF(VLOOKUP(B137,Database!$A:$AU,MATCH($C$1,Database!$A$1:$AU$1,),)=0,"#N/A",((((VLOOKUP(B137,Database!$A:$AU,MATCH($C$1,Database!$A$1:$AU$1,),))))-(((VLOOKUP(EDATE(B137,-12),Database!$A:$AU,MATCH($C$1,Database!$A$1:$AU$1,),)))))/(((VLOOKUP(EDATE(B137,-12),Database!$A:$AU,MATCH($C$1,Database!$A$1:$AU$1,),)))))</f>
        <v/>
      </c>
      <c r="D137" s="13">
        <f>IF(VLOOKUP(B137,Database!$A:$AV,MATCH($D$1,Database!$A$1:$AV$1,),)=0,"#N/A",((((VLOOKUP(B137,Database!$A:$AS,MATCH($D$1,Database!$A$1:$AS$1,),))))-(((VLOOKUP(EDATE(B137,-12),Database!$A:$AS,MATCH($D$1,Database!$A$1:$AS$1,),)))))/(((VLOOKUP(EDATE(B137,-12),Database!$A:$AS,MATCH($D$1,Database!$A$1:$AS$1,),)))))</f>
        <v/>
      </c>
      <c r="E137" s="13">
        <f>IF(VLOOKUP(B137,Database!$A:$AV,MATCH($E$1,Database!$A$1:$AV$1,),)=0,"#N/A",((((VLOOKUP(B137,Database!$A:$AS,MATCH($E$1,Database!$A$1:$AS$1,),))))-(((VLOOKUP(EDATE(B137,-12),Database!$A:$AS,MATCH($E$1,Database!$A$1:$AS$1,),)))))/(((VLOOKUP(EDATE(B137,-12),Database!$A:$AS,MATCH($E$1,Database!$A$1:$AS$1,),)))))</f>
        <v/>
      </c>
      <c r="F137" s="13">
        <f>IF(VLOOKUP(B137,Database!$A:$AV,MATCH($F$1,Database!$A$1:$AV$1,),)=0,"#N/A",((((VLOOKUP(B137,Database!$A:$AS,MATCH($F$1,Database!$A$1:$AS$1,),))))-(((VLOOKUP(EDATE(B137,-12),Database!$A:$AS,MATCH($F$1,Database!$A$1:$AS$1,),)))))/(((VLOOKUP(EDATE(B137,-12),Database!$A:$AS,MATCH($F$1,Database!$A$1:$AS$1,),)))))</f>
        <v/>
      </c>
      <c r="G137" s="13">
        <f>IF(VLOOKUP(B137,Database!$A:$AV,MATCH($G$1,Database!$A$1:$AV$1,),)=0,"#N/A",((((VLOOKUP(B137,Database!$A:$AS,MATCH($G$1,Database!$A$1:$AS$1,),))))-(((VLOOKUP(EDATE(B137,-12),Database!$A:$AS,MATCH($G$1,Database!$A$1:$AS$1,),)))))/(((VLOOKUP(EDATE(B137,-12),Database!$A:$AS,MATCH($G$1,Database!$A$1:$AS$1,),)))))</f>
        <v/>
      </c>
      <c r="H137" s="13">
        <f>IF(VLOOKUP(B137,Database!$A:$AV,MATCH($H$1,Database!$A$1:$AV$1,),)=0,"#N/A",((((VLOOKUP(B137,Database!$A:$AS,MATCH($H$1,Database!$A$1:$AS$1,),))))-(((VLOOKUP(EDATE(B137,-12),Database!$A:$AS,MATCH($H$1,Database!$A$1:$AS$1,),)))))/(((VLOOKUP(EDATE(B137,-12),Database!$A:$AS,MATCH($H$1,Database!$A$1:$AS$1,),)))))</f>
        <v/>
      </c>
      <c r="I137" s="13">
        <f>IF(VLOOKUP(B137,Database!$A:$AV,MATCH($I$1,Database!$A$1:$AV$1,),)=0,"#N/A",((((VLOOKUP(B137,Database!$A:$AS,MATCH($I$1,Database!$A$1:$AS$1,),))))-(((VLOOKUP(EDATE(B137,-12),Database!$A:$AS,MATCH($I$1,Database!$A$1:$AS$1,),)))))/(((VLOOKUP(EDATE(B137,-12),Database!$A:$AS,MATCH($I$1,Database!$A$1:$AS$1,),)))))</f>
        <v/>
      </c>
      <c r="J137" s="13">
        <f>IF(VLOOKUP(B137,Database!$A:$AV,MATCH($J$1,Database!$A$1:$AV$1,),)=0,"#N/A",((((VLOOKUP(B137,Database!$A:$AS,MATCH($J$1,Database!$A$1:$AS$1,),))))-(((VLOOKUP(EDATE(B137,-12),Database!$A:$AS,MATCH($J$1,Database!$A$1:$AS$1,),)))))/(((VLOOKUP(EDATE(B137,-12),Database!$A:$AS,MATCH($J$1,Database!$A$1:$AS$1,),)))))</f>
        <v/>
      </c>
      <c r="K137" s="13">
        <f>IF(VLOOKUP(B137,Database!$A:$AV,MATCH($K$1,Database!$A$1:$AV$1,),)=0,"#N/A",((((VLOOKUP(B137,Database!$A:$AS,MATCH($K$1,Database!$A$1:$AS$1,),))))-(((VLOOKUP(EDATE(B137,-12),Database!$A:$AS,MATCH($K$1,Database!$A$1:$AS$1,),)))))/(((VLOOKUP(EDATE(B137,-12),Database!$A:$AS,MATCH($K$1,Database!$A$1:$AS$1,),)))))</f>
        <v/>
      </c>
      <c r="L137" s="13">
        <f>((((VLOOKUP(B137,Database!$A:$AS,MATCH($L$1,Database!$A$1:$AS$1,),))))-(((VLOOKUP(EDATE(B137,-12),Database!$A:$AS,MATCH($L$1,Database!$A$1:$AS$1,),)))))/(((VLOOKUP(EDATE(B137,-12),Database!$A:$AS,MATCH($L$1,Database!$A$1:$AS$1,),))))</f>
        <v/>
      </c>
      <c r="M137" s="13">
        <f>((((VLOOKUP(B137,Database!$A:$AS,MATCH($M$1,Database!$A$1:$AS$1,),))))-(((VLOOKUP(EDATE(B137,-12),Database!$A:$AS,MATCH($M$1,Database!$A$1:$AS$1,),)))))/(((VLOOKUP(EDATE(B137,-12),Database!$A:$AS,MATCH($M$1,Database!$A$1:$AS$1,),))))</f>
        <v/>
      </c>
      <c r="N137" s="13">
        <f>((((VLOOKUP(B137,Database!$A:$AS,MATCH($N$1,Database!$A$1:$AS$1,),))))-(((VLOOKUP(EDATE(B137,-12),Database!$A:$AS,MATCH($N$1,Database!$A$1:$AS$1,),)))))/(((VLOOKUP(EDATE(B137,-12),Database!$A:$AS,MATCH($N$1,Database!$A$1:$AS$1,),))))</f>
        <v/>
      </c>
      <c r="O137" s="13">
        <f>IF(VLOOKUP(B137,Database!$A:$AV,MATCH($O$1,Database!$A$1:$AV$1,),)=0,"#N/A",((((VLOOKUP(B137,Database!$A:$AS,MATCH($O$1,Database!$A$1:$AS$1,),))))-(((VLOOKUP(EDATE(B137,-12),Database!$A:$AS,MATCH($O$1,Database!$A$1:$AS$1,),)))))/(((VLOOKUP(EDATE(B137,-12),Database!$A:$AS,MATCH($O$1,Database!$A$1:$AS$1,),)))))</f>
        <v/>
      </c>
      <c r="P137" s="13">
        <f>IF(VLOOKUP(B137,Database!$A:$AV,MATCH($P$1,Database!$A$1:$AV$1,),)=0,"#N/A",((((VLOOKUP(B137,Database!$A:$AS,MATCH($P$1,Database!$A$1:$AS$1,),))))-(((VLOOKUP(EDATE(B137,-12),Database!$A:$AS,MATCH($P$1,Database!$A$1:$AS$1,),)))))/(((VLOOKUP(EDATE(B137,-12),Database!$A:$AS,MATCH($P$1,Database!$A$1:$AS$1,),)))))</f>
        <v/>
      </c>
      <c r="Q137" s="13">
        <f>IF(VLOOKUP(B137,Database!$A:$AV,MATCH($Q$1,Database!$A$1:$AV$1,),)=0,"#N/A",((((VLOOKUP(B137,Database!$A:$AS,MATCH($Q$1,Database!$A$1:$AS$1,),))))-(((VLOOKUP(EDATE(B137,-12),Database!$A:$AS,MATCH($Q$1,Database!$A$1:$AS$1,),)))))/(((VLOOKUP(EDATE(B137,-12),Database!$A:$AS,MATCH($Q$1,Database!$A$1:$AS$1,),)))))</f>
        <v/>
      </c>
      <c r="R137" s="13">
        <f>IF(VLOOKUP(B137,Database!$A:$AV,MATCH($R$1,Database!$A$1:$AV$1,),)=0,"#N/A",((((VLOOKUP(B137,Database!$A:$AS,MATCH($R$1,Database!$A$1:$AS$1,),))))-(((VLOOKUP(EDATE(B137,-12),Database!$A:$AS,MATCH($R$1,Database!$A$1:$AS$1,),)))))/(((VLOOKUP(EDATE(B137,-12),Database!$A:$AS,MATCH($R$1,Database!$A$1:$AS$1,),)))))</f>
        <v/>
      </c>
      <c r="S137" s="13">
        <f>IF(VLOOKUP(B137,Database!$A:$AV,MATCH($S$1,Database!$A$1:$AV$1,),)=0,"#N/A",((((VLOOKUP(B137,Database!$A:$AS,MATCH($S$1,Database!$A$1:$AS$1,),))))-(((VLOOKUP(EDATE(B137,-12),Database!$A:$AS,MATCH($S$1,Database!$A$1:$AS$1,),)))))/(((VLOOKUP(EDATE(B137,-12),Database!$A:$AS,MATCH($S$1,Database!$A$1:$AS$1,),)))))</f>
        <v/>
      </c>
      <c r="T137" s="13">
        <f>IF(VLOOKUP(B137,Database!$A:$AV,MATCH($T$1,Database!$A$1:$AV$1,),)=0,"#N/A",((((VLOOKUP(B137,Database!$A:$AS,MATCH($T$1,Database!$A$1:$AS$1,),))))-(((VLOOKUP(EDATE(B137,-12),Database!$A:$AS,MATCH($T$1,Database!$A$1:$AS$1,),)))))/(((VLOOKUP(EDATE(B137,-12),Database!$A:$AS,MATCH($T$1,Database!$A$1:$AS$1,),)))))</f>
        <v/>
      </c>
      <c r="U137" s="13">
        <f>IF(VLOOKUP(B137,Database!$A:$AV,MATCH($U$1,Database!$A$1:$AV$1,),)=0,"#N/A",((((VLOOKUP(B137,Database!$A:$AS,MATCH($U$1,Database!$A$1:$AS$1,),))))-(((VLOOKUP(EDATE(B137,-12),Database!$A:$AS,MATCH($U$1,Database!$A$1:$AS$1,),)))))/(((VLOOKUP(EDATE(B137,-12),Database!$A:$AS,MATCH($U$1,Database!$A$1:$AS$1,),)))))</f>
        <v/>
      </c>
      <c r="V137" s="13">
        <f>IF(VLOOKUP(B137,Database!$A:$AV,MATCH($V$1,Database!$A$1:$AV$1,),)=0,"#N/A",((((VLOOKUP(B137,Database!$A:$AS,MATCH($V$1,Database!$A$1:$AS$1,),))))-(((VLOOKUP(EDATE(B137,-12),Database!$A:$AS,MATCH($V$1,Database!$A$1:$AS$1,),)))))/(((VLOOKUP(EDATE(B137,-12),Database!$A:$AS,MATCH($V$1,Database!$A$1:$AS$1,),)))))</f>
        <v/>
      </c>
    </row>
    <row r="138" customFormat="1" s="86">
      <c r="A138" s="43" t="n"/>
      <c r="B138" s="75" t="n">
        <v>36342</v>
      </c>
      <c r="C138" s="13">
        <f>IF(VLOOKUP(B138,Database!$A:$AU,MATCH($C$1,Database!$A$1:$AU$1,),)=0,"#N/A",((((VLOOKUP(B138,Database!$A:$AU,MATCH($C$1,Database!$A$1:$AU$1,),))))-(((VLOOKUP(EDATE(B138,-12),Database!$A:$AU,MATCH($C$1,Database!$A$1:$AU$1,),)))))/(((VLOOKUP(EDATE(B138,-12),Database!$A:$AU,MATCH($C$1,Database!$A$1:$AU$1,),)))))</f>
        <v/>
      </c>
      <c r="D138" s="13">
        <f>IF(VLOOKUP(B138,Database!$A:$AV,MATCH($D$1,Database!$A$1:$AV$1,),)=0,"#N/A",((((VLOOKUP(B138,Database!$A:$AS,MATCH($D$1,Database!$A$1:$AS$1,),))))-(((VLOOKUP(EDATE(B138,-12),Database!$A:$AS,MATCH($D$1,Database!$A$1:$AS$1,),)))))/(((VLOOKUP(EDATE(B138,-12),Database!$A:$AS,MATCH($D$1,Database!$A$1:$AS$1,),)))))</f>
        <v/>
      </c>
      <c r="E138" s="13">
        <f>IF(VLOOKUP(B138,Database!$A:$AV,MATCH($E$1,Database!$A$1:$AV$1,),)=0,"#N/A",((((VLOOKUP(B138,Database!$A:$AS,MATCH($E$1,Database!$A$1:$AS$1,),))))-(((VLOOKUP(EDATE(B138,-12),Database!$A:$AS,MATCH($E$1,Database!$A$1:$AS$1,),)))))/(((VLOOKUP(EDATE(B138,-12),Database!$A:$AS,MATCH($E$1,Database!$A$1:$AS$1,),)))))</f>
        <v/>
      </c>
      <c r="F138" s="13">
        <f>IF(VLOOKUP(B138,Database!$A:$AV,MATCH($F$1,Database!$A$1:$AV$1,),)=0,"#N/A",((((VLOOKUP(B138,Database!$A:$AS,MATCH($F$1,Database!$A$1:$AS$1,),))))-(((VLOOKUP(EDATE(B138,-12),Database!$A:$AS,MATCH($F$1,Database!$A$1:$AS$1,),)))))/(((VLOOKUP(EDATE(B138,-12),Database!$A:$AS,MATCH($F$1,Database!$A$1:$AS$1,),)))))</f>
        <v/>
      </c>
      <c r="G138" s="13">
        <f>IF(VLOOKUP(B138,Database!$A:$AV,MATCH($G$1,Database!$A$1:$AV$1,),)=0,"#N/A",((((VLOOKUP(B138,Database!$A:$AS,MATCH($G$1,Database!$A$1:$AS$1,),))))-(((VLOOKUP(EDATE(B138,-12),Database!$A:$AS,MATCH($G$1,Database!$A$1:$AS$1,),)))))/(((VLOOKUP(EDATE(B138,-12),Database!$A:$AS,MATCH($G$1,Database!$A$1:$AS$1,),)))))</f>
        <v/>
      </c>
      <c r="H138" s="13">
        <f>IF(VLOOKUP(B138,Database!$A:$AV,MATCH($H$1,Database!$A$1:$AV$1,),)=0,"#N/A",((((VLOOKUP(B138,Database!$A:$AS,MATCH($H$1,Database!$A$1:$AS$1,),))))-(((VLOOKUP(EDATE(B138,-12),Database!$A:$AS,MATCH($H$1,Database!$A$1:$AS$1,),)))))/(((VLOOKUP(EDATE(B138,-12),Database!$A:$AS,MATCH($H$1,Database!$A$1:$AS$1,),)))))</f>
        <v/>
      </c>
      <c r="I138" s="13">
        <f>IF(VLOOKUP(B138,Database!$A:$AV,MATCH($I$1,Database!$A$1:$AV$1,),)=0,"#N/A",((((VLOOKUP(B138,Database!$A:$AS,MATCH($I$1,Database!$A$1:$AS$1,),))))-(((VLOOKUP(EDATE(B138,-12),Database!$A:$AS,MATCH($I$1,Database!$A$1:$AS$1,),)))))/(((VLOOKUP(EDATE(B138,-12),Database!$A:$AS,MATCH($I$1,Database!$A$1:$AS$1,),)))))</f>
        <v/>
      </c>
      <c r="J138" s="13">
        <f>IF(VLOOKUP(B138,Database!$A:$AV,MATCH($J$1,Database!$A$1:$AV$1,),)=0,"#N/A",((((VLOOKUP(B138,Database!$A:$AS,MATCH($J$1,Database!$A$1:$AS$1,),))))-(((VLOOKUP(EDATE(B138,-12),Database!$A:$AS,MATCH($J$1,Database!$A$1:$AS$1,),)))))/(((VLOOKUP(EDATE(B138,-12),Database!$A:$AS,MATCH($J$1,Database!$A$1:$AS$1,),)))))</f>
        <v/>
      </c>
      <c r="K138" s="13">
        <f>IF(VLOOKUP(B138,Database!$A:$AV,MATCH($K$1,Database!$A$1:$AV$1,),)=0,"#N/A",((((VLOOKUP(B138,Database!$A:$AS,MATCH($K$1,Database!$A$1:$AS$1,),))))-(((VLOOKUP(EDATE(B138,-12),Database!$A:$AS,MATCH($K$1,Database!$A$1:$AS$1,),)))))/(((VLOOKUP(EDATE(B138,-12),Database!$A:$AS,MATCH($K$1,Database!$A$1:$AS$1,),)))))</f>
        <v/>
      </c>
      <c r="L138" s="13">
        <f>((((VLOOKUP(B138,Database!$A:$AS,MATCH($L$1,Database!$A$1:$AS$1,),))))-(((VLOOKUP(EDATE(B138,-12),Database!$A:$AS,MATCH($L$1,Database!$A$1:$AS$1,),)))))/(((VLOOKUP(EDATE(B138,-12),Database!$A:$AS,MATCH($L$1,Database!$A$1:$AS$1,),))))</f>
        <v/>
      </c>
      <c r="M138" s="13">
        <f>((((VLOOKUP(B138,Database!$A:$AS,MATCH($M$1,Database!$A$1:$AS$1,),))))-(((VLOOKUP(EDATE(B138,-12),Database!$A:$AS,MATCH($M$1,Database!$A$1:$AS$1,),)))))/(((VLOOKUP(EDATE(B138,-12),Database!$A:$AS,MATCH($M$1,Database!$A$1:$AS$1,),))))</f>
        <v/>
      </c>
      <c r="N138" s="13">
        <f>((((VLOOKUP(B138,Database!$A:$AS,MATCH($N$1,Database!$A$1:$AS$1,),))))-(((VLOOKUP(EDATE(B138,-12),Database!$A:$AS,MATCH($N$1,Database!$A$1:$AS$1,),)))))/(((VLOOKUP(EDATE(B138,-12),Database!$A:$AS,MATCH($N$1,Database!$A$1:$AS$1,),))))</f>
        <v/>
      </c>
      <c r="O138" s="13">
        <f>IF(VLOOKUP(B138,Database!$A:$AV,MATCH($O$1,Database!$A$1:$AV$1,),)=0,"#N/A",((((VLOOKUP(B138,Database!$A:$AS,MATCH($O$1,Database!$A$1:$AS$1,),))))-(((VLOOKUP(EDATE(B138,-12),Database!$A:$AS,MATCH($O$1,Database!$A$1:$AS$1,),)))))/(((VLOOKUP(EDATE(B138,-12),Database!$A:$AS,MATCH($O$1,Database!$A$1:$AS$1,),)))))</f>
        <v/>
      </c>
      <c r="P138" s="13">
        <f>IF(VLOOKUP(B138,Database!$A:$AV,MATCH($P$1,Database!$A$1:$AV$1,),)=0,"#N/A",((((VLOOKUP(B138,Database!$A:$AS,MATCH($P$1,Database!$A$1:$AS$1,),))))-(((VLOOKUP(EDATE(B138,-12),Database!$A:$AS,MATCH($P$1,Database!$A$1:$AS$1,),)))))/(((VLOOKUP(EDATE(B138,-12),Database!$A:$AS,MATCH($P$1,Database!$A$1:$AS$1,),)))))</f>
        <v/>
      </c>
      <c r="Q138" s="13">
        <f>IF(VLOOKUP(B138,Database!$A:$AV,MATCH($Q$1,Database!$A$1:$AV$1,),)=0,"#N/A",((((VLOOKUP(B138,Database!$A:$AS,MATCH($Q$1,Database!$A$1:$AS$1,),))))-(((VLOOKUP(EDATE(B138,-12),Database!$A:$AS,MATCH($Q$1,Database!$A$1:$AS$1,),)))))/(((VLOOKUP(EDATE(B138,-12),Database!$A:$AS,MATCH($Q$1,Database!$A$1:$AS$1,),)))))</f>
        <v/>
      </c>
      <c r="R138" s="13">
        <f>IF(VLOOKUP(B138,Database!$A:$AV,MATCH($R$1,Database!$A$1:$AV$1,),)=0,"#N/A",((((VLOOKUP(B138,Database!$A:$AS,MATCH($R$1,Database!$A$1:$AS$1,),))))-(((VLOOKUP(EDATE(B138,-12),Database!$A:$AS,MATCH($R$1,Database!$A$1:$AS$1,),)))))/(((VLOOKUP(EDATE(B138,-12),Database!$A:$AS,MATCH($R$1,Database!$A$1:$AS$1,),)))))</f>
        <v/>
      </c>
      <c r="S138" s="13">
        <f>IF(VLOOKUP(B138,Database!$A:$AV,MATCH($S$1,Database!$A$1:$AV$1,),)=0,"#N/A",((((VLOOKUP(B138,Database!$A:$AS,MATCH($S$1,Database!$A$1:$AS$1,),))))-(((VLOOKUP(EDATE(B138,-12),Database!$A:$AS,MATCH($S$1,Database!$A$1:$AS$1,),)))))/(((VLOOKUP(EDATE(B138,-12),Database!$A:$AS,MATCH($S$1,Database!$A$1:$AS$1,),)))))</f>
        <v/>
      </c>
      <c r="T138" s="13">
        <f>IF(VLOOKUP(B138,Database!$A:$AV,MATCH($T$1,Database!$A$1:$AV$1,),)=0,"#N/A",((((VLOOKUP(B138,Database!$A:$AS,MATCH($T$1,Database!$A$1:$AS$1,),))))-(((VLOOKUP(EDATE(B138,-12),Database!$A:$AS,MATCH($T$1,Database!$A$1:$AS$1,),)))))/(((VLOOKUP(EDATE(B138,-12),Database!$A:$AS,MATCH($T$1,Database!$A$1:$AS$1,),)))))</f>
        <v/>
      </c>
      <c r="U138" s="13">
        <f>IF(VLOOKUP(B138,Database!$A:$AV,MATCH($U$1,Database!$A$1:$AV$1,),)=0,"#N/A",((((VLOOKUP(B138,Database!$A:$AS,MATCH($U$1,Database!$A$1:$AS$1,),))))-(((VLOOKUP(EDATE(B138,-12),Database!$A:$AS,MATCH($U$1,Database!$A$1:$AS$1,),)))))/(((VLOOKUP(EDATE(B138,-12),Database!$A:$AS,MATCH($U$1,Database!$A$1:$AS$1,),)))))</f>
        <v/>
      </c>
      <c r="V138" s="13">
        <f>IF(VLOOKUP(B138,Database!$A:$AV,MATCH($V$1,Database!$A$1:$AV$1,),)=0,"#N/A",((((VLOOKUP(B138,Database!$A:$AS,MATCH($V$1,Database!$A$1:$AS$1,),))))-(((VLOOKUP(EDATE(B138,-12),Database!$A:$AS,MATCH($V$1,Database!$A$1:$AS$1,),)))))/(((VLOOKUP(EDATE(B138,-12),Database!$A:$AS,MATCH($V$1,Database!$A$1:$AS$1,),)))))</f>
        <v/>
      </c>
    </row>
    <row r="139" customFormat="1" s="86">
      <c r="A139" s="43" t="n"/>
      <c r="B139" s="75" t="n">
        <v>36373</v>
      </c>
      <c r="C139" s="13">
        <f>IF(VLOOKUP(B139,Database!$A:$AU,MATCH($C$1,Database!$A$1:$AU$1,),)=0,"#N/A",((((VLOOKUP(B139,Database!$A:$AU,MATCH($C$1,Database!$A$1:$AU$1,),))))-(((VLOOKUP(EDATE(B139,-12),Database!$A:$AU,MATCH($C$1,Database!$A$1:$AU$1,),)))))/(((VLOOKUP(EDATE(B139,-12),Database!$A:$AU,MATCH($C$1,Database!$A$1:$AU$1,),)))))</f>
        <v/>
      </c>
      <c r="D139" s="13">
        <f>IF(VLOOKUP(B139,Database!$A:$AV,MATCH($D$1,Database!$A$1:$AV$1,),)=0,"#N/A",((((VLOOKUP(B139,Database!$A:$AS,MATCH($D$1,Database!$A$1:$AS$1,),))))-(((VLOOKUP(EDATE(B139,-12),Database!$A:$AS,MATCH($D$1,Database!$A$1:$AS$1,),)))))/(((VLOOKUP(EDATE(B139,-12),Database!$A:$AS,MATCH($D$1,Database!$A$1:$AS$1,),)))))</f>
        <v/>
      </c>
      <c r="E139" s="13">
        <f>IF(VLOOKUP(B139,Database!$A:$AV,MATCH($E$1,Database!$A$1:$AV$1,),)=0,"#N/A",((((VLOOKUP(B139,Database!$A:$AS,MATCH($E$1,Database!$A$1:$AS$1,),))))-(((VLOOKUP(EDATE(B139,-12),Database!$A:$AS,MATCH($E$1,Database!$A$1:$AS$1,),)))))/(((VLOOKUP(EDATE(B139,-12),Database!$A:$AS,MATCH($E$1,Database!$A$1:$AS$1,),)))))</f>
        <v/>
      </c>
      <c r="F139" s="13">
        <f>IF(VLOOKUP(B139,Database!$A:$AV,MATCH($F$1,Database!$A$1:$AV$1,),)=0,"#N/A",((((VLOOKUP(B139,Database!$A:$AS,MATCH($F$1,Database!$A$1:$AS$1,),))))-(((VLOOKUP(EDATE(B139,-12),Database!$A:$AS,MATCH($F$1,Database!$A$1:$AS$1,),)))))/(((VLOOKUP(EDATE(B139,-12),Database!$A:$AS,MATCH($F$1,Database!$A$1:$AS$1,),)))))</f>
        <v/>
      </c>
      <c r="G139" s="13">
        <f>IF(VLOOKUP(B139,Database!$A:$AV,MATCH($G$1,Database!$A$1:$AV$1,),)=0,"#N/A",((((VLOOKUP(B139,Database!$A:$AS,MATCH($G$1,Database!$A$1:$AS$1,),))))-(((VLOOKUP(EDATE(B139,-12),Database!$A:$AS,MATCH($G$1,Database!$A$1:$AS$1,),)))))/(((VLOOKUP(EDATE(B139,-12),Database!$A:$AS,MATCH($G$1,Database!$A$1:$AS$1,),)))))</f>
        <v/>
      </c>
      <c r="H139" s="13">
        <f>IF(VLOOKUP(B139,Database!$A:$AV,MATCH($H$1,Database!$A$1:$AV$1,),)=0,"#N/A",((((VLOOKUP(B139,Database!$A:$AS,MATCH($H$1,Database!$A$1:$AS$1,),))))-(((VLOOKUP(EDATE(B139,-12),Database!$A:$AS,MATCH($H$1,Database!$A$1:$AS$1,),)))))/(((VLOOKUP(EDATE(B139,-12),Database!$A:$AS,MATCH($H$1,Database!$A$1:$AS$1,),)))))</f>
        <v/>
      </c>
      <c r="I139" s="13">
        <f>IF(VLOOKUP(B139,Database!$A:$AV,MATCH($I$1,Database!$A$1:$AV$1,),)=0,"#N/A",((((VLOOKUP(B139,Database!$A:$AS,MATCH($I$1,Database!$A$1:$AS$1,),))))-(((VLOOKUP(EDATE(B139,-12),Database!$A:$AS,MATCH($I$1,Database!$A$1:$AS$1,),)))))/(((VLOOKUP(EDATE(B139,-12),Database!$A:$AS,MATCH($I$1,Database!$A$1:$AS$1,),)))))</f>
        <v/>
      </c>
      <c r="J139" s="13">
        <f>IF(VLOOKUP(B139,Database!$A:$AV,MATCH($J$1,Database!$A$1:$AV$1,),)=0,"#N/A",((((VLOOKUP(B139,Database!$A:$AS,MATCH($J$1,Database!$A$1:$AS$1,),))))-(((VLOOKUP(EDATE(B139,-12),Database!$A:$AS,MATCH($J$1,Database!$A$1:$AS$1,),)))))/(((VLOOKUP(EDATE(B139,-12),Database!$A:$AS,MATCH($J$1,Database!$A$1:$AS$1,),)))))</f>
        <v/>
      </c>
      <c r="K139" s="13">
        <f>IF(VLOOKUP(B139,Database!$A:$AV,MATCH($K$1,Database!$A$1:$AV$1,),)=0,"#N/A",((((VLOOKUP(B139,Database!$A:$AS,MATCH($K$1,Database!$A$1:$AS$1,),))))-(((VLOOKUP(EDATE(B139,-12),Database!$A:$AS,MATCH($K$1,Database!$A$1:$AS$1,),)))))/(((VLOOKUP(EDATE(B139,-12),Database!$A:$AS,MATCH($K$1,Database!$A$1:$AS$1,),)))))</f>
        <v/>
      </c>
      <c r="L139" s="13">
        <f>((((VLOOKUP(B139,Database!$A:$AS,MATCH($L$1,Database!$A$1:$AS$1,),))))-(((VLOOKUP(EDATE(B139,-12),Database!$A:$AS,MATCH($L$1,Database!$A$1:$AS$1,),)))))/(((VLOOKUP(EDATE(B139,-12),Database!$A:$AS,MATCH($L$1,Database!$A$1:$AS$1,),))))</f>
        <v/>
      </c>
      <c r="M139" s="13">
        <f>((((VLOOKUP(B139,Database!$A:$AS,MATCH($M$1,Database!$A$1:$AS$1,),))))-(((VLOOKUP(EDATE(B139,-12),Database!$A:$AS,MATCH($M$1,Database!$A$1:$AS$1,),)))))/(((VLOOKUP(EDATE(B139,-12),Database!$A:$AS,MATCH($M$1,Database!$A$1:$AS$1,),))))</f>
        <v/>
      </c>
      <c r="N139" s="13">
        <f>((((VLOOKUP(B139,Database!$A:$AS,MATCH($N$1,Database!$A$1:$AS$1,),))))-(((VLOOKUP(EDATE(B139,-12),Database!$A:$AS,MATCH($N$1,Database!$A$1:$AS$1,),)))))/(((VLOOKUP(EDATE(B139,-12),Database!$A:$AS,MATCH($N$1,Database!$A$1:$AS$1,),))))</f>
        <v/>
      </c>
      <c r="O139" s="13">
        <f>IF(VLOOKUP(B139,Database!$A:$AV,MATCH($O$1,Database!$A$1:$AV$1,),)=0,"#N/A",((((VLOOKUP(B139,Database!$A:$AS,MATCH($O$1,Database!$A$1:$AS$1,),))))-(((VLOOKUP(EDATE(B139,-12),Database!$A:$AS,MATCH($O$1,Database!$A$1:$AS$1,),)))))/(((VLOOKUP(EDATE(B139,-12),Database!$A:$AS,MATCH($O$1,Database!$A$1:$AS$1,),)))))</f>
        <v/>
      </c>
      <c r="P139" s="13">
        <f>IF(VLOOKUP(B139,Database!$A:$AV,MATCH($P$1,Database!$A$1:$AV$1,),)=0,"#N/A",((((VLOOKUP(B139,Database!$A:$AS,MATCH($P$1,Database!$A$1:$AS$1,),))))-(((VLOOKUP(EDATE(B139,-12),Database!$A:$AS,MATCH($P$1,Database!$A$1:$AS$1,),)))))/(((VLOOKUP(EDATE(B139,-12),Database!$A:$AS,MATCH($P$1,Database!$A$1:$AS$1,),)))))</f>
        <v/>
      </c>
      <c r="Q139" s="13">
        <f>IF(VLOOKUP(B139,Database!$A:$AV,MATCH($Q$1,Database!$A$1:$AV$1,),)=0,"#N/A",((((VLOOKUP(B139,Database!$A:$AS,MATCH($Q$1,Database!$A$1:$AS$1,),))))-(((VLOOKUP(EDATE(B139,-12),Database!$A:$AS,MATCH($Q$1,Database!$A$1:$AS$1,),)))))/(((VLOOKUP(EDATE(B139,-12),Database!$A:$AS,MATCH($Q$1,Database!$A$1:$AS$1,),)))))</f>
        <v/>
      </c>
      <c r="R139" s="13">
        <f>IF(VLOOKUP(B139,Database!$A:$AV,MATCH($R$1,Database!$A$1:$AV$1,),)=0,"#N/A",((((VLOOKUP(B139,Database!$A:$AS,MATCH($R$1,Database!$A$1:$AS$1,),))))-(((VLOOKUP(EDATE(B139,-12),Database!$A:$AS,MATCH($R$1,Database!$A$1:$AS$1,),)))))/(((VLOOKUP(EDATE(B139,-12),Database!$A:$AS,MATCH($R$1,Database!$A$1:$AS$1,),)))))</f>
        <v/>
      </c>
      <c r="S139" s="13">
        <f>IF(VLOOKUP(B139,Database!$A:$AV,MATCH($S$1,Database!$A$1:$AV$1,),)=0,"#N/A",((((VLOOKUP(B139,Database!$A:$AS,MATCH($S$1,Database!$A$1:$AS$1,),))))-(((VLOOKUP(EDATE(B139,-12),Database!$A:$AS,MATCH($S$1,Database!$A$1:$AS$1,),)))))/(((VLOOKUP(EDATE(B139,-12),Database!$A:$AS,MATCH($S$1,Database!$A$1:$AS$1,),)))))</f>
        <v/>
      </c>
      <c r="T139" s="13">
        <f>IF(VLOOKUP(B139,Database!$A:$AV,MATCH($T$1,Database!$A$1:$AV$1,),)=0,"#N/A",((((VLOOKUP(B139,Database!$A:$AS,MATCH($T$1,Database!$A$1:$AS$1,),))))-(((VLOOKUP(EDATE(B139,-12),Database!$A:$AS,MATCH($T$1,Database!$A$1:$AS$1,),)))))/(((VLOOKUP(EDATE(B139,-12),Database!$A:$AS,MATCH($T$1,Database!$A$1:$AS$1,),)))))</f>
        <v/>
      </c>
      <c r="U139" s="13">
        <f>IF(VLOOKUP(B139,Database!$A:$AV,MATCH($U$1,Database!$A$1:$AV$1,),)=0,"#N/A",((((VLOOKUP(B139,Database!$A:$AS,MATCH($U$1,Database!$A$1:$AS$1,),))))-(((VLOOKUP(EDATE(B139,-12),Database!$A:$AS,MATCH($U$1,Database!$A$1:$AS$1,),)))))/(((VLOOKUP(EDATE(B139,-12),Database!$A:$AS,MATCH($U$1,Database!$A$1:$AS$1,),)))))</f>
        <v/>
      </c>
      <c r="V139" s="13">
        <f>IF(VLOOKUP(B139,Database!$A:$AV,MATCH($V$1,Database!$A$1:$AV$1,),)=0,"#N/A",((((VLOOKUP(B139,Database!$A:$AS,MATCH($V$1,Database!$A$1:$AS$1,),))))-(((VLOOKUP(EDATE(B139,-12),Database!$A:$AS,MATCH($V$1,Database!$A$1:$AS$1,),)))))/(((VLOOKUP(EDATE(B139,-12),Database!$A:$AS,MATCH($V$1,Database!$A$1:$AS$1,),)))))</f>
        <v/>
      </c>
    </row>
    <row r="140" customFormat="1" s="86">
      <c r="A140" s="43" t="n"/>
      <c r="B140" s="75" t="n">
        <v>36404</v>
      </c>
      <c r="C140" s="13">
        <f>IF(VLOOKUP(B140,Database!$A:$AU,MATCH($C$1,Database!$A$1:$AU$1,),)=0,"#N/A",((((VLOOKUP(B140,Database!$A:$AU,MATCH($C$1,Database!$A$1:$AU$1,),))))-(((VLOOKUP(EDATE(B140,-12),Database!$A:$AU,MATCH($C$1,Database!$A$1:$AU$1,),)))))/(((VLOOKUP(EDATE(B140,-12),Database!$A:$AU,MATCH($C$1,Database!$A$1:$AU$1,),)))))</f>
        <v/>
      </c>
      <c r="D140" s="13">
        <f>IF(VLOOKUP(B140,Database!$A:$AV,MATCH($D$1,Database!$A$1:$AV$1,),)=0,"#N/A",((((VLOOKUP(B140,Database!$A:$AS,MATCH($D$1,Database!$A$1:$AS$1,),))))-(((VLOOKUP(EDATE(B140,-12),Database!$A:$AS,MATCH($D$1,Database!$A$1:$AS$1,),)))))/(((VLOOKUP(EDATE(B140,-12),Database!$A:$AS,MATCH($D$1,Database!$A$1:$AS$1,),)))))</f>
        <v/>
      </c>
      <c r="E140" s="13">
        <f>IF(VLOOKUP(B140,Database!$A:$AV,MATCH($E$1,Database!$A$1:$AV$1,),)=0,"#N/A",((((VLOOKUP(B140,Database!$A:$AS,MATCH($E$1,Database!$A$1:$AS$1,),))))-(((VLOOKUP(EDATE(B140,-12),Database!$A:$AS,MATCH($E$1,Database!$A$1:$AS$1,),)))))/(((VLOOKUP(EDATE(B140,-12),Database!$A:$AS,MATCH($E$1,Database!$A$1:$AS$1,),)))))</f>
        <v/>
      </c>
      <c r="F140" s="13">
        <f>IF(VLOOKUP(B140,Database!$A:$AV,MATCH($F$1,Database!$A$1:$AV$1,),)=0,"#N/A",((((VLOOKUP(B140,Database!$A:$AS,MATCH($F$1,Database!$A$1:$AS$1,),))))-(((VLOOKUP(EDATE(B140,-12),Database!$A:$AS,MATCH($F$1,Database!$A$1:$AS$1,),)))))/(((VLOOKUP(EDATE(B140,-12),Database!$A:$AS,MATCH($F$1,Database!$A$1:$AS$1,),)))))</f>
        <v/>
      </c>
      <c r="G140" s="13">
        <f>IF(VLOOKUP(B140,Database!$A:$AV,MATCH($G$1,Database!$A$1:$AV$1,),)=0,"#N/A",((((VLOOKUP(B140,Database!$A:$AS,MATCH($G$1,Database!$A$1:$AS$1,),))))-(((VLOOKUP(EDATE(B140,-12),Database!$A:$AS,MATCH($G$1,Database!$A$1:$AS$1,),)))))/(((VLOOKUP(EDATE(B140,-12),Database!$A:$AS,MATCH($G$1,Database!$A$1:$AS$1,),)))))</f>
        <v/>
      </c>
      <c r="H140" s="13">
        <f>IF(VLOOKUP(B140,Database!$A:$AV,MATCH($H$1,Database!$A$1:$AV$1,),)=0,"#N/A",((((VLOOKUP(B140,Database!$A:$AS,MATCH($H$1,Database!$A$1:$AS$1,),))))-(((VLOOKUP(EDATE(B140,-12),Database!$A:$AS,MATCH($H$1,Database!$A$1:$AS$1,),)))))/(((VLOOKUP(EDATE(B140,-12),Database!$A:$AS,MATCH($H$1,Database!$A$1:$AS$1,),)))))</f>
        <v/>
      </c>
      <c r="I140" s="13">
        <f>IF(VLOOKUP(B140,Database!$A:$AV,MATCH($I$1,Database!$A$1:$AV$1,),)=0,"#N/A",((((VLOOKUP(B140,Database!$A:$AS,MATCH($I$1,Database!$A$1:$AS$1,),))))-(((VLOOKUP(EDATE(B140,-12),Database!$A:$AS,MATCH($I$1,Database!$A$1:$AS$1,),)))))/(((VLOOKUP(EDATE(B140,-12),Database!$A:$AS,MATCH($I$1,Database!$A$1:$AS$1,),)))))</f>
        <v/>
      </c>
      <c r="J140" s="13">
        <f>IF(VLOOKUP(B140,Database!$A:$AV,MATCH($J$1,Database!$A$1:$AV$1,),)=0,"#N/A",((((VLOOKUP(B140,Database!$A:$AS,MATCH($J$1,Database!$A$1:$AS$1,),))))-(((VLOOKUP(EDATE(B140,-12),Database!$A:$AS,MATCH($J$1,Database!$A$1:$AS$1,),)))))/(((VLOOKUP(EDATE(B140,-12),Database!$A:$AS,MATCH($J$1,Database!$A$1:$AS$1,),)))))</f>
        <v/>
      </c>
      <c r="K140" s="13">
        <f>IF(VLOOKUP(B140,Database!$A:$AV,MATCH($K$1,Database!$A$1:$AV$1,),)=0,"#N/A",((((VLOOKUP(B140,Database!$A:$AS,MATCH($K$1,Database!$A$1:$AS$1,),))))-(((VLOOKUP(EDATE(B140,-12),Database!$A:$AS,MATCH($K$1,Database!$A$1:$AS$1,),)))))/(((VLOOKUP(EDATE(B140,-12),Database!$A:$AS,MATCH($K$1,Database!$A$1:$AS$1,),)))))</f>
        <v/>
      </c>
      <c r="L140" s="13">
        <f>((((VLOOKUP(B140,Database!$A:$AS,MATCH($L$1,Database!$A$1:$AS$1,),))))-(((VLOOKUP(EDATE(B140,-12),Database!$A:$AS,MATCH($L$1,Database!$A$1:$AS$1,),)))))/(((VLOOKUP(EDATE(B140,-12),Database!$A:$AS,MATCH($L$1,Database!$A$1:$AS$1,),))))</f>
        <v/>
      </c>
      <c r="M140" s="13">
        <f>((((VLOOKUP(B140,Database!$A:$AS,MATCH($M$1,Database!$A$1:$AS$1,),))))-(((VLOOKUP(EDATE(B140,-12),Database!$A:$AS,MATCH($M$1,Database!$A$1:$AS$1,),)))))/(((VLOOKUP(EDATE(B140,-12),Database!$A:$AS,MATCH($M$1,Database!$A$1:$AS$1,),))))</f>
        <v/>
      </c>
      <c r="N140" s="13">
        <f>((((VLOOKUP(B140,Database!$A:$AS,MATCH($N$1,Database!$A$1:$AS$1,),))))-(((VLOOKUP(EDATE(B140,-12),Database!$A:$AS,MATCH($N$1,Database!$A$1:$AS$1,),)))))/(((VLOOKUP(EDATE(B140,-12),Database!$A:$AS,MATCH($N$1,Database!$A$1:$AS$1,),))))</f>
        <v/>
      </c>
      <c r="O140" s="13">
        <f>IF(VLOOKUP(B140,Database!$A:$AV,MATCH($O$1,Database!$A$1:$AV$1,),)=0,"#N/A",((((VLOOKUP(B140,Database!$A:$AS,MATCH($O$1,Database!$A$1:$AS$1,),))))-(((VLOOKUP(EDATE(B140,-12),Database!$A:$AS,MATCH($O$1,Database!$A$1:$AS$1,),)))))/(((VLOOKUP(EDATE(B140,-12),Database!$A:$AS,MATCH($O$1,Database!$A$1:$AS$1,),)))))</f>
        <v/>
      </c>
      <c r="P140" s="13">
        <f>IF(VLOOKUP(B140,Database!$A:$AV,MATCH($P$1,Database!$A$1:$AV$1,),)=0,"#N/A",((((VLOOKUP(B140,Database!$A:$AS,MATCH($P$1,Database!$A$1:$AS$1,),))))-(((VLOOKUP(EDATE(B140,-12),Database!$A:$AS,MATCH($P$1,Database!$A$1:$AS$1,),)))))/(((VLOOKUP(EDATE(B140,-12),Database!$A:$AS,MATCH($P$1,Database!$A$1:$AS$1,),)))))</f>
        <v/>
      </c>
      <c r="Q140" s="13">
        <f>IF(VLOOKUP(B140,Database!$A:$AV,MATCH($Q$1,Database!$A$1:$AV$1,),)=0,"#N/A",((((VLOOKUP(B140,Database!$A:$AS,MATCH($Q$1,Database!$A$1:$AS$1,),))))-(((VLOOKUP(EDATE(B140,-12),Database!$A:$AS,MATCH($Q$1,Database!$A$1:$AS$1,),)))))/(((VLOOKUP(EDATE(B140,-12),Database!$A:$AS,MATCH($Q$1,Database!$A$1:$AS$1,),)))))</f>
        <v/>
      </c>
      <c r="R140" s="13">
        <f>IF(VLOOKUP(B140,Database!$A:$AV,MATCH($R$1,Database!$A$1:$AV$1,),)=0,"#N/A",((((VLOOKUP(B140,Database!$A:$AS,MATCH($R$1,Database!$A$1:$AS$1,),))))-(((VLOOKUP(EDATE(B140,-12),Database!$A:$AS,MATCH($R$1,Database!$A$1:$AS$1,),)))))/(((VLOOKUP(EDATE(B140,-12),Database!$A:$AS,MATCH($R$1,Database!$A$1:$AS$1,),)))))</f>
        <v/>
      </c>
      <c r="S140" s="13">
        <f>IF(VLOOKUP(B140,Database!$A:$AV,MATCH($S$1,Database!$A$1:$AV$1,),)=0,"#N/A",((((VLOOKUP(B140,Database!$A:$AS,MATCH($S$1,Database!$A$1:$AS$1,),))))-(((VLOOKUP(EDATE(B140,-12),Database!$A:$AS,MATCH($S$1,Database!$A$1:$AS$1,),)))))/(((VLOOKUP(EDATE(B140,-12),Database!$A:$AS,MATCH($S$1,Database!$A$1:$AS$1,),)))))</f>
        <v/>
      </c>
      <c r="T140" s="13">
        <f>IF(VLOOKUP(B140,Database!$A:$AV,MATCH($T$1,Database!$A$1:$AV$1,),)=0,"#N/A",((((VLOOKUP(B140,Database!$A:$AS,MATCH($T$1,Database!$A$1:$AS$1,),))))-(((VLOOKUP(EDATE(B140,-12),Database!$A:$AS,MATCH($T$1,Database!$A$1:$AS$1,),)))))/(((VLOOKUP(EDATE(B140,-12),Database!$A:$AS,MATCH($T$1,Database!$A$1:$AS$1,),)))))</f>
        <v/>
      </c>
      <c r="U140" s="13">
        <f>IF(VLOOKUP(B140,Database!$A:$AV,MATCH($U$1,Database!$A$1:$AV$1,),)=0,"#N/A",((((VLOOKUP(B140,Database!$A:$AS,MATCH($U$1,Database!$A$1:$AS$1,),))))-(((VLOOKUP(EDATE(B140,-12),Database!$A:$AS,MATCH($U$1,Database!$A$1:$AS$1,),)))))/(((VLOOKUP(EDATE(B140,-12),Database!$A:$AS,MATCH($U$1,Database!$A$1:$AS$1,),)))))</f>
        <v/>
      </c>
      <c r="V140" s="13">
        <f>IF(VLOOKUP(B140,Database!$A:$AV,MATCH($V$1,Database!$A$1:$AV$1,),)=0,"#N/A",((((VLOOKUP(B140,Database!$A:$AS,MATCH($V$1,Database!$A$1:$AS$1,),))))-(((VLOOKUP(EDATE(B140,-12),Database!$A:$AS,MATCH($V$1,Database!$A$1:$AS$1,),)))))/(((VLOOKUP(EDATE(B140,-12),Database!$A:$AS,MATCH($V$1,Database!$A$1:$AS$1,),)))))</f>
        <v/>
      </c>
    </row>
    <row r="141" customFormat="1" s="86">
      <c r="A141" s="43" t="n"/>
      <c r="B141" s="75" t="n">
        <v>36434</v>
      </c>
      <c r="C141" s="13">
        <f>IF(VLOOKUP(B141,Database!$A:$AU,MATCH($C$1,Database!$A$1:$AU$1,),)=0,"#N/A",((((VLOOKUP(B141,Database!$A:$AU,MATCH($C$1,Database!$A$1:$AU$1,),))))-(((VLOOKUP(EDATE(B141,-12),Database!$A:$AU,MATCH($C$1,Database!$A$1:$AU$1,),)))))/(((VLOOKUP(EDATE(B141,-12),Database!$A:$AU,MATCH($C$1,Database!$A$1:$AU$1,),)))))</f>
        <v/>
      </c>
      <c r="D141" s="13">
        <f>IF(VLOOKUP(B141,Database!$A:$AV,MATCH($D$1,Database!$A$1:$AV$1,),)=0,"#N/A",((((VLOOKUP(B141,Database!$A:$AS,MATCH($D$1,Database!$A$1:$AS$1,),))))-(((VLOOKUP(EDATE(B141,-12),Database!$A:$AS,MATCH($D$1,Database!$A$1:$AS$1,),)))))/(((VLOOKUP(EDATE(B141,-12),Database!$A:$AS,MATCH($D$1,Database!$A$1:$AS$1,),)))))</f>
        <v/>
      </c>
      <c r="E141" s="13">
        <f>IF(VLOOKUP(B141,Database!$A:$AV,MATCH($E$1,Database!$A$1:$AV$1,),)=0,"#N/A",((((VLOOKUP(B141,Database!$A:$AS,MATCH($E$1,Database!$A$1:$AS$1,),))))-(((VLOOKUP(EDATE(B141,-12),Database!$A:$AS,MATCH($E$1,Database!$A$1:$AS$1,),)))))/(((VLOOKUP(EDATE(B141,-12),Database!$A:$AS,MATCH($E$1,Database!$A$1:$AS$1,),)))))</f>
        <v/>
      </c>
      <c r="F141" s="13">
        <f>IF(VLOOKUP(B141,Database!$A:$AV,MATCH($F$1,Database!$A$1:$AV$1,),)=0,"#N/A",((((VLOOKUP(B141,Database!$A:$AS,MATCH($F$1,Database!$A$1:$AS$1,),))))-(((VLOOKUP(EDATE(B141,-12),Database!$A:$AS,MATCH($F$1,Database!$A$1:$AS$1,),)))))/(((VLOOKUP(EDATE(B141,-12),Database!$A:$AS,MATCH($F$1,Database!$A$1:$AS$1,),)))))</f>
        <v/>
      </c>
      <c r="G141" s="13">
        <f>IF(VLOOKUP(B141,Database!$A:$AV,MATCH($G$1,Database!$A$1:$AV$1,),)=0,"#N/A",((((VLOOKUP(B141,Database!$A:$AS,MATCH($G$1,Database!$A$1:$AS$1,),))))-(((VLOOKUP(EDATE(B141,-12),Database!$A:$AS,MATCH($G$1,Database!$A$1:$AS$1,),)))))/(((VLOOKUP(EDATE(B141,-12),Database!$A:$AS,MATCH($G$1,Database!$A$1:$AS$1,),)))))</f>
        <v/>
      </c>
      <c r="H141" s="13">
        <f>IF(VLOOKUP(B141,Database!$A:$AV,MATCH($H$1,Database!$A$1:$AV$1,),)=0,"#N/A",((((VLOOKUP(B141,Database!$A:$AS,MATCH($H$1,Database!$A$1:$AS$1,),))))-(((VLOOKUP(EDATE(B141,-12),Database!$A:$AS,MATCH($H$1,Database!$A$1:$AS$1,),)))))/(((VLOOKUP(EDATE(B141,-12),Database!$A:$AS,MATCH($H$1,Database!$A$1:$AS$1,),)))))</f>
        <v/>
      </c>
      <c r="I141" s="13">
        <f>IF(VLOOKUP(B141,Database!$A:$AV,MATCH($I$1,Database!$A$1:$AV$1,),)=0,"#N/A",((((VLOOKUP(B141,Database!$A:$AS,MATCH($I$1,Database!$A$1:$AS$1,),))))-(((VLOOKUP(EDATE(B141,-12),Database!$A:$AS,MATCH($I$1,Database!$A$1:$AS$1,),)))))/(((VLOOKUP(EDATE(B141,-12),Database!$A:$AS,MATCH($I$1,Database!$A$1:$AS$1,),)))))</f>
        <v/>
      </c>
      <c r="J141" s="13">
        <f>IF(VLOOKUP(B141,Database!$A:$AV,MATCH($J$1,Database!$A$1:$AV$1,),)=0,"#N/A",((((VLOOKUP(B141,Database!$A:$AS,MATCH($J$1,Database!$A$1:$AS$1,),))))-(((VLOOKUP(EDATE(B141,-12),Database!$A:$AS,MATCH($J$1,Database!$A$1:$AS$1,),)))))/(((VLOOKUP(EDATE(B141,-12),Database!$A:$AS,MATCH($J$1,Database!$A$1:$AS$1,),)))))</f>
        <v/>
      </c>
      <c r="K141" s="13">
        <f>IF(VLOOKUP(B141,Database!$A:$AV,MATCH($K$1,Database!$A$1:$AV$1,),)=0,"#N/A",((((VLOOKUP(B141,Database!$A:$AS,MATCH($K$1,Database!$A$1:$AS$1,),))))-(((VLOOKUP(EDATE(B141,-12),Database!$A:$AS,MATCH($K$1,Database!$A$1:$AS$1,),)))))/(((VLOOKUP(EDATE(B141,-12),Database!$A:$AS,MATCH($K$1,Database!$A$1:$AS$1,),)))))</f>
        <v/>
      </c>
      <c r="L141" s="13">
        <f>((((VLOOKUP(B141,Database!$A:$AS,MATCH($L$1,Database!$A$1:$AS$1,),))))-(((VLOOKUP(EDATE(B141,-12),Database!$A:$AS,MATCH($L$1,Database!$A$1:$AS$1,),)))))/(((VLOOKUP(EDATE(B141,-12),Database!$A:$AS,MATCH($L$1,Database!$A$1:$AS$1,),))))</f>
        <v/>
      </c>
      <c r="M141" s="13">
        <f>((((VLOOKUP(B141,Database!$A:$AS,MATCH($M$1,Database!$A$1:$AS$1,),))))-(((VLOOKUP(EDATE(B141,-12),Database!$A:$AS,MATCH($M$1,Database!$A$1:$AS$1,),)))))/(((VLOOKUP(EDATE(B141,-12),Database!$A:$AS,MATCH($M$1,Database!$A$1:$AS$1,),))))</f>
        <v/>
      </c>
      <c r="N141" s="13">
        <f>((((VLOOKUP(B141,Database!$A:$AS,MATCH($N$1,Database!$A$1:$AS$1,),))))-(((VLOOKUP(EDATE(B141,-12),Database!$A:$AS,MATCH($N$1,Database!$A$1:$AS$1,),)))))/(((VLOOKUP(EDATE(B141,-12),Database!$A:$AS,MATCH($N$1,Database!$A$1:$AS$1,),))))</f>
        <v/>
      </c>
      <c r="O141" s="13">
        <f>IF(VLOOKUP(B141,Database!$A:$AV,MATCH($O$1,Database!$A$1:$AV$1,),)=0,"#N/A",((((VLOOKUP(B141,Database!$A:$AS,MATCH($O$1,Database!$A$1:$AS$1,),))))-(((VLOOKUP(EDATE(B141,-12),Database!$A:$AS,MATCH($O$1,Database!$A$1:$AS$1,),)))))/(((VLOOKUP(EDATE(B141,-12),Database!$A:$AS,MATCH($O$1,Database!$A$1:$AS$1,),)))))</f>
        <v/>
      </c>
      <c r="P141" s="13">
        <f>IF(VLOOKUP(B141,Database!$A:$AV,MATCH($P$1,Database!$A$1:$AV$1,),)=0,"#N/A",((((VLOOKUP(B141,Database!$A:$AS,MATCH($P$1,Database!$A$1:$AS$1,),))))-(((VLOOKUP(EDATE(B141,-12),Database!$A:$AS,MATCH($P$1,Database!$A$1:$AS$1,),)))))/(((VLOOKUP(EDATE(B141,-12),Database!$A:$AS,MATCH($P$1,Database!$A$1:$AS$1,),)))))</f>
        <v/>
      </c>
      <c r="Q141" s="13">
        <f>IF(VLOOKUP(B141,Database!$A:$AV,MATCH($Q$1,Database!$A$1:$AV$1,),)=0,"#N/A",((((VLOOKUP(B141,Database!$A:$AS,MATCH($Q$1,Database!$A$1:$AS$1,),))))-(((VLOOKUP(EDATE(B141,-12),Database!$A:$AS,MATCH($Q$1,Database!$A$1:$AS$1,),)))))/(((VLOOKUP(EDATE(B141,-12),Database!$A:$AS,MATCH($Q$1,Database!$A$1:$AS$1,),)))))</f>
        <v/>
      </c>
      <c r="R141" s="13">
        <f>IF(VLOOKUP(B141,Database!$A:$AV,MATCH($R$1,Database!$A$1:$AV$1,),)=0,"#N/A",((((VLOOKUP(B141,Database!$A:$AS,MATCH($R$1,Database!$A$1:$AS$1,),))))-(((VLOOKUP(EDATE(B141,-12),Database!$A:$AS,MATCH($R$1,Database!$A$1:$AS$1,),)))))/(((VLOOKUP(EDATE(B141,-12),Database!$A:$AS,MATCH($R$1,Database!$A$1:$AS$1,),)))))</f>
        <v/>
      </c>
      <c r="S141" s="13">
        <f>IF(VLOOKUP(B141,Database!$A:$AV,MATCH($S$1,Database!$A$1:$AV$1,),)=0,"#N/A",((((VLOOKUP(B141,Database!$A:$AS,MATCH($S$1,Database!$A$1:$AS$1,),))))-(((VLOOKUP(EDATE(B141,-12),Database!$A:$AS,MATCH($S$1,Database!$A$1:$AS$1,),)))))/(((VLOOKUP(EDATE(B141,-12),Database!$A:$AS,MATCH($S$1,Database!$A$1:$AS$1,),)))))</f>
        <v/>
      </c>
      <c r="T141" s="13">
        <f>IF(VLOOKUP(B141,Database!$A:$AV,MATCH($T$1,Database!$A$1:$AV$1,),)=0,"#N/A",((((VLOOKUP(B141,Database!$A:$AS,MATCH($T$1,Database!$A$1:$AS$1,),))))-(((VLOOKUP(EDATE(B141,-12),Database!$A:$AS,MATCH($T$1,Database!$A$1:$AS$1,),)))))/(((VLOOKUP(EDATE(B141,-12),Database!$A:$AS,MATCH($T$1,Database!$A$1:$AS$1,),)))))</f>
        <v/>
      </c>
      <c r="U141" s="13">
        <f>IF(VLOOKUP(B141,Database!$A:$AV,MATCH($U$1,Database!$A$1:$AV$1,),)=0,"#N/A",((((VLOOKUP(B141,Database!$A:$AS,MATCH($U$1,Database!$A$1:$AS$1,),))))-(((VLOOKUP(EDATE(B141,-12),Database!$A:$AS,MATCH($U$1,Database!$A$1:$AS$1,),)))))/(((VLOOKUP(EDATE(B141,-12),Database!$A:$AS,MATCH($U$1,Database!$A$1:$AS$1,),)))))</f>
        <v/>
      </c>
      <c r="V141" s="13">
        <f>IF(VLOOKUP(B141,Database!$A:$AV,MATCH($V$1,Database!$A$1:$AV$1,),)=0,"#N/A",((((VLOOKUP(B141,Database!$A:$AS,MATCH($V$1,Database!$A$1:$AS$1,),))))-(((VLOOKUP(EDATE(B141,-12),Database!$A:$AS,MATCH($V$1,Database!$A$1:$AS$1,),)))))/(((VLOOKUP(EDATE(B141,-12),Database!$A:$AS,MATCH($V$1,Database!$A$1:$AS$1,),)))))</f>
        <v/>
      </c>
    </row>
    <row r="142" customFormat="1" s="86">
      <c r="A142" s="43" t="n"/>
      <c r="B142" s="75" t="n">
        <v>36465</v>
      </c>
      <c r="C142" s="13">
        <f>IF(VLOOKUP(B142,Database!$A:$AU,MATCH($C$1,Database!$A$1:$AU$1,),)=0,"#N/A",((((VLOOKUP(B142,Database!$A:$AU,MATCH($C$1,Database!$A$1:$AU$1,),))))-(((VLOOKUP(EDATE(B142,-12),Database!$A:$AU,MATCH($C$1,Database!$A$1:$AU$1,),)))))/(((VLOOKUP(EDATE(B142,-12),Database!$A:$AU,MATCH($C$1,Database!$A$1:$AU$1,),)))))</f>
        <v/>
      </c>
      <c r="D142" s="13">
        <f>IF(VLOOKUP(B142,Database!$A:$AV,MATCH($D$1,Database!$A$1:$AV$1,),)=0,"#N/A",((((VLOOKUP(B142,Database!$A:$AS,MATCH($D$1,Database!$A$1:$AS$1,),))))-(((VLOOKUP(EDATE(B142,-12),Database!$A:$AS,MATCH($D$1,Database!$A$1:$AS$1,),)))))/(((VLOOKUP(EDATE(B142,-12),Database!$A:$AS,MATCH($D$1,Database!$A$1:$AS$1,),)))))</f>
        <v/>
      </c>
      <c r="E142" s="13">
        <f>IF(VLOOKUP(B142,Database!$A:$AV,MATCH($E$1,Database!$A$1:$AV$1,),)=0,"#N/A",((((VLOOKUP(B142,Database!$A:$AS,MATCH($E$1,Database!$A$1:$AS$1,),))))-(((VLOOKUP(EDATE(B142,-12),Database!$A:$AS,MATCH($E$1,Database!$A$1:$AS$1,),)))))/(((VLOOKUP(EDATE(B142,-12),Database!$A:$AS,MATCH($E$1,Database!$A$1:$AS$1,),)))))</f>
        <v/>
      </c>
      <c r="F142" s="13">
        <f>IF(VLOOKUP(B142,Database!$A:$AV,MATCH($F$1,Database!$A$1:$AV$1,),)=0,"#N/A",((((VLOOKUP(B142,Database!$A:$AS,MATCH($F$1,Database!$A$1:$AS$1,),))))-(((VLOOKUP(EDATE(B142,-12),Database!$A:$AS,MATCH($F$1,Database!$A$1:$AS$1,),)))))/(((VLOOKUP(EDATE(B142,-12),Database!$A:$AS,MATCH($F$1,Database!$A$1:$AS$1,),)))))</f>
        <v/>
      </c>
      <c r="G142" s="13">
        <f>IF(VLOOKUP(B142,Database!$A:$AV,MATCH($G$1,Database!$A$1:$AV$1,),)=0,"#N/A",((((VLOOKUP(B142,Database!$A:$AS,MATCH($G$1,Database!$A$1:$AS$1,),))))-(((VLOOKUP(EDATE(B142,-12),Database!$A:$AS,MATCH($G$1,Database!$A$1:$AS$1,),)))))/(((VLOOKUP(EDATE(B142,-12),Database!$A:$AS,MATCH($G$1,Database!$A$1:$AS$1,),)))))</f>
        <v/>
      </c>
      <c r="H142" s="13">
        <f>IF(VLOOKUP(B142,Database!$A:$AV,MATCH($H$1,Database!$A$1:$AV$1,),)=0,"#N/A",((((VLOOKUP(B142,Database!$A:$AS,MATCH($H$1,Database!$A$1:$AS$1,),))))-(((VLOOKUP(EDATE(B142,-12),Database!$A:$AS,MATCH($H$1,Database!$A$1:$AS$1,),)))))/(((VLOOKUP(EDATE(B142,-12),Database!$A:$AS,MATCH($H$1,Database!$A$1:$AS$1,),)))))</f>
        <v/>
      </c>
      <c r="I142" s="13">
        <f>IF(VLOOKUP(B142,Database!$A:$AV,MATCH($I$1,Database!$A$1:$AV$1,),)=0,"#N/A",((((VLOOKUP(B142,Database!$A:$AS,MATCH($I$1,Database!$A$1:$AS$1,),))))-(((VLOOKUP(EDATE(B142,-12),Database!$A:$AS,MATCH($I$1,Database!$A$1:$AS$1,),)))))/(((VLOOKUP(EDATE(B142,-12),Database!$A:$AS,MATCH($I$1,Database!$A$1:$AS$1,),)))))</f>
        <v/>
      </c>
      <c r="J142" s="13">
        <f>IF(VLOOKUP(B142,Database!$A:$AV,MATCH($J$1,Database!$A$1:$AV$1,),)=0,"#N/A",((((VLOOKUP(B142,Database!$A:$AS,MATCH($J$1,Database!$A$1:$AS$1,),))))-(((VLOOKUP(EDATE(B142,-12),Database!$A:$AS,MATCH($J$1,Database!$A$1:$AS$1,),)))))/(((VLOOKUP(EDATE(B142,-12),Database!$A:$AS,MATCH($J$1,Database!$A$1:$AS$1,),)))))</f>
        <v/>
      </c>
      <c r="K142" s="13">
        <f>IF(VLOOKUP(B142,Database!$A:$AV,MATCH($K$1,Database!$A$1:$AV$1,),)=0,"#N/A",((((VLOOKUP(B142,Database!$A:$AS,MATCH($K$1,Database!$A$1:$AS$1,),))))-(((VLOOKUP(EDATE(B142,-12),Database!$A:$AS,MATCH($K$1,Database!$A$1:$AS$1,),)))))/(((VLOOKUP(EDATE(B142,-12),Database!$A:$AS,MATCH($K$1,Database!$A$1:$AS$1,),)))))</f>
        <v/>
      </c>
      <c r="L142" s="13">
        <f>((((VLOOKUP(B142,Database!$A:$AS,MATCH($L$1,Database!$A$1:$AS$1,),))))-(((VLOOKUP(EDATE(B142,-12),Database!$A:$AS,MATCH($L$1,Database!$A$1:$AS$1,),)))))/(((VLOOKUP(EDATE(B142,-12),Database!$A:$AS,MATCH($L$1,Database!$A$1:$AS$1,),))))</f>
        <v/>
      </c>
      <c r="M142" s="13">
        <f>((((VLOOKUP(B142,Database!$A:$AS,MATCH($M$1,Database!$A$1:$AS$1,),))))-(((VLOOKUP(EDATE(B142,-12),Database!$A:$AS,MATCH($M$1,Database!$A$1:$AS$1,),)))))/(((VLOOKUP(EDATE(B142,-12),Database!$A:$AS,MATCH($M$1,Database!$A$1:$AS$1,),))))</f>
        <v/>
      </c>
      <c r="N142" s="13">
        <f>((((VLOOKUP(B142,Database!$A:$AS,MATCH($N$1,Database!$A$1:$AS$1,),))))-(((VLOOKUP(EDATE(B142,-12),Database!$A:$AS,MATCH($N$1,Database!$A$1:$AS$1,),)))))/(((VLOOKUP(EDATE(B142,-12),Database!$A:$AS,MATCH($N$1,Database!$A$1:$AS$1,),))))</f>
        <v/>
      </c>
      <c r="O142" s="13">
        <f>IF(VLOOKUP(B142,Database!$A:$AV,MATCH($O$1,Database!$A$1:$AV$1,),)=0,"#N/A",((((VLOOKUP(B142,Database!$A:$AS,MATCH($O$1,Database!$A$1:$AS$1,),))))-(((VLOOKUP(EDATE(B142,-12),Database!$A:$AS,MATCH($O$1,Database!$A$1:$AS$1,),)))))/(((VLOOKUP(EDATE(B142,-12),Database!$A:$AS,MATCH($O$1,Database!$A$1:$AS$1,),)))))</f>
        <v/>
      </c>
      <c r="P142" s="13">
        <f>IF(VLOOKUP(B142,Database!$A:$AV,MATCH($P$1,Database!$A$1:$AV$1,),)=0,"#N/A",((((VLOOKUP(B142,Database!$A:$AS,MATCH($P$1,Database!$A$1:$AS$1,),))))-(((VLOOKUP(EDATE(B142,-12),Database!$A:$AS,MATCH($P$1,Database!$A$1:$AS$1,),)))))/(((VLOOKUP(EDATE(B142,-12),Database!$A:$AS,MATCH($P$1,Database!$A$1:$AS$1,),)))))</f>
        <v/>
      </c>
      <c r="Q142" s="13">
        <f>IF(VLOOKUP(B142,Database!$A:$AV,MATCH($Q$1,Database!$A$1:$AV$1,),)=0,"#N/A",((((VLOOKUP(B142,Database!$A:$AS,MATCH($Q$1,Database!$A$1:$AS$1,),))))-(((VLOOKUP(EDATE(B142,-12),Database!$A:$AS,MATCH($Q$1,Database!$A$1:$AS$1,),)))))/(((VLOOKUP(EDATE(B142,-12),Database!$A:$AS,MATCH($Q$1,Database!$A$1:$AS$1,),)))))</f>
        <v/>
      </c>
      <c r="R142" s="13">
        <f>IF(VLOOKUP(B142,Database!$A:$AV,MATCH($R$1,Database!$A$1:$AV$1,),)=0,"#N/A",((((VLOOKUP(B142,Database!$A:$AS,MATCH($R$1,Database!$A$1:$AS$1,),))))-(((VLOOKUP(EDATE(B142,-12),Database!$A:$AS,MATCH($R$1,Database!$A$1:$AS$1,),)))))/(((VLOOKUP(EDATE(B142,-12),Database!$A:$AS,MATCH($R$1,Database!$A$1:$AS$1,),)))))</f>
        <v/>
      </c>
      <c r="S142" s="13">
        <f>IF(VLOOKUP(B142,Database!$A:$AV,MATCH($S$1,Database!$A$1:$AV$1,),)=0,"#N/A",((((VLOOKUP(B142,Database!$A:$AS,MATCH($S$1,Database!$A$1:$AS$1,),))))-(((VLOOKUP(EDATE(B142,-12),Database!$A:$AS,MATCH($S$1,Database!$A$1:$AS$1,),)))))/(((VLOOKUP(EDATE(B142,-12),Database!$A:$AS,MATCH($S$1,Database!$A$1:$AS$1,),)))))</f>
        <v/>
      </c>
      <c r="T142" s="13">
        <f>IF(VLOOKUP(B142,Database!$A:$AV,MATCH($T$1,Database!$A$1:$AV$1,),)=0,"#N/A",((((VLOOKUP(B142,Database!$A:$AS,MATCH($T$1,Database!$A$1:$AS$1,),))))-(((VLOOKUP(EDATE(B142,-12),Database!$A:$AS,MATCH($T$1,Database!$A$1:$AS$1,),)))))/(((VLOOKUP(EDATE(B142,-12),Database!$A:$AS,MATCH($T$1,Database!$A$1:$AS$1,),)))))</f>
        <v/>
      </c>
      <c r="U142" s="13">
        <f>IF(VLOOKUP(B142,Database!$A:$AV,MATCH($U$1,Database!$A$1:$AV$1,),)=0,"#N/A",((((VLOOKUP(B142,Database!$A:$AS,MATCH($U$1,Database!$A$1:$AS$1,),))))-(((VLOOKUP(EDATE(B142,-12),Database!$A:$AS,MATCH($U$1,Database!$A$1:$AS$1,),)))))/(((VLOOKUP(EDATE(B142,-12),Database!$A:$AS,MATCH($U$1,Database!$A$1:$AS$1,),)))))</f>
        <v/>
      </c>
      <c r="V142" s="13">
        <f>IF(VLOOKUP(B142,Database!$A:$AV,MATCH($V$1,Database!$A$1:$AV$1,),)=0,"#N/A",((((VLOOKUP(B142,Database!$A:$AS,MATCH($V$1,Database!$A$1:$AS$1,),))))-(((VLOOKUP(EDATE(B142,-12),Database!$A:$AS,MATCH($V$1,Database!$A$1:$AS$1,),)))))/(((VLOOKUP(EDATE(B142,-12),Database!$A:$AS,MATCH($V$1,Database!$A$1:$AS$1,),)))))</f>
        <v/>
      </c>
    </row>
    <row r="143" customFormat="1" s="86">
      <c r="A143" s="43" t="n"/>
      <c r="B143" s="75" t="n">
        <v>36495</v>
      </c>
      <c r="C143" s="13">
        <f>IF(VLOOKUP(B143,Database!$A:$AU,MATCH($C$1,Database!$A$1:$AU$1,),)=0,"#N/A",((((VLOOKUP(B143,Database!$A:$AU,MATCH($C$1,Database!$A$1:$AU$1,),))))-(((VLOOKUP(EDATE(B143,-12),Database!$A:$AU,MATCH($C$1,Database!$A$1:$AU$1,),)))))/(((VLOOKUP(EDATE(B143,-12),Database!$A:$AU,MATCH($C$1,Database!$A$1:$AU$1,),)))))</f>
        <v/>
      </c>
      <c r="D143" s="13">
        <f>IF(VLOOKUP(B143,Database!$A:$AV,MATCH($D$1,Database!$A$1:$AV$1,),)=0,"#N/A",((((VLOOKUP(B143,Database!$A:$AS,MATCH($D$1,Database!$A$1:$AS$1,),))))-(((VLOOKUP(EDATE(B143,-12),Database!$A:$AS,MATCH($D$1,Database!$A$1:$AS$1,),)))))/(((VLOOKUP(EDATE(B143,-12),Database!$A:$AS,MATCH($D$1,Database!$A$1:$AS$1,),)))))</f>
        <v/>
      </c>
      <c r="E143" s="13">
        <f>IF(VLOOKUP(B143,Database!$A:$AV,MATCH($E$1,Database!$A$1:$AV$1,),)=0,"#N/A",((((VLOOKUP(B143,Database!$A:$AS,MATCH($E$1,Database!$A$1:$AS$1,),))))-(((VLOOKUP(EDATE(B143,-12),Database!$A:$AS,MATCH($E$1,Database!$A$1:$AS$1,),)))))/(((VLOOKUP(EDATE(B143,-12),Database!$A:$AS,MATCH($E$1,Database!$A$1:$AS$1,),)))))</f>
        <v/>
      </c>
      <c r="F143" s="13">
        <f>IF(VLOOKUP(B143,Database!$A:$AV,MATCH($F$1,Database!$A$1:$AV$1,),)=0,"#N/A",((((VLOOKUP(B143,Database!$A:$AS,MATCH($F$1,Database!$A$1:$AS$1,),))))-(((VLOOKUP(EDATE(B143,-12),Database!$A:$AS,MATCH($F$1,Database!$A$1:$AS$1,),)))))/(((VLOOKUP(EDATE(B143,-12),Database!$A:$AS,MATCH($F$1,Database!$A$1:$AS$1,),)))))</f>
        <v/>
      </c>
      <c r="G143" s="13">
        <f>IF(VLOOKUP(B143,Database!$A:$AV,MATCH($G$1,Database!$A$1:$AV$1,),)=0,"#N/A",((((VLOOKUP(B143,Database!$A:$AS,MATCH($G$1,Database!$A$1:$AS$1,),))))-(((VLOOKUP(EDATE(B143,-12),Database!$A:$AS,MATCH($G$1,Database!$A$1:$AS$1,),)))))/(((VLOOKUP(EDATE(B143,-12),Database!$A:$AS,MATCH($G$1,Database!$A$1:$AS$1,),)))))</f>
        <v/>
      </c>
      <c r="H143" s="13">
        <f>IF(VLOOKUP(B143,Database!$A:$AV,MATCH($H$1,Database!$A$1:$AV$1,),)=0,"#N/A",((((VLOOKUP(B143,Database!$A:$AS,MATCH($H$1,Database!$A$1:$AS$1,),))))-(((VLOOKUP(EDATE(B143,-12),Database!$A:$AS,MATCH($H$1,Database!$A$1:$AS$1,),)))))/(((VLOOKUP(EDATE(B143,-12),Database!$A:$AS,MATCH($H$1,Database!$A$1:$AS$1,),)))))</f>
        <v/>
      </c>
      <c r="I143" s="13">
        <f>IF(VLOOKUP(B143,Database!$A:$AV,MATCH($I$1,Database!$A$1:$AV$1,),)=0,"#N/A",((((VLOOKUP(B143,Database!$A:$AS,MATCH($I$1,Database!$A$1:$AS$1,),))))-(((VLOOKUP(EDATE(B143,-12),Database!$A:$AS,MATCH($I$1,Database!$A$1:$AS$1,),)))))/(((VLOOKUP(EDATE(B143,-12),Database!$A:$AS,MATCH($I$1,Database!$A$1:$AS$1,),)))))</f>
        <v/>
      </c>
      <c r="J143" s="13">
        <f>IF(VLOOKUP(B143,Database!$A:$AV,MATCH($J$1,Database!$A$1:$AV$1,),)=0,"#N/A",((((VLOOKUP(B143,Database!$A:$AS,MATCH($J$1,Database!$A$1:$AS$1,),))))-(((VLOOKUP(EDATE(B143,-12),Database!$A:$AS,MATCH($J$1,Database!$A$1:$AS$1,),)))))/(((VLOOKUP(EDATE(B143,-12),Database!$A:$AS,MATCH($J$1,Database!$A$1:$AS$1,),)))))</f>
        <v/>
      </c>
      <c r="K143" s="13">
        <f>IF(VLOOKUP(B143,Database!$A:$AV,MATCH($K$1,Database!$A$1:$AV$1,),)=0,"#N/A",((((VLOOKUP(B143,Database!$A:$AS,MATCH($K$1,Database!$A$1:$AS$1,),))))-(((VLOOKUP(EDATE(B143,-12),Database!$A:$AS,MATCH($K$1,Database!$A$1:$AS$1,),)))))/(((VLOOKUP(EDATE(B143,-12),Database!$A:$AS,MATCH($K$1,Database!$A$1:$AS$1,),)))))</f>
        <v/>
      </c>
      <c r="L143" s="13">
        <f>((((VLOOKUP(B143,Database!$A:$AS,MATCH($L$1,Database!$A$1:$AS$1,),))))-(((VLOOKUP(EDATE(B143,-12),Database!$A:$AS,MATCH($L$1,Database!$A$1:$AS$1,),)))))/(((VLOOKUP(EDATE(B143,-12),Database!$A:$AS,MATCH($L$1,Database!$A$1:$AS$1,),))))</f>
        <v/>
      </c>
      <c r="M143" s="13">
        <f>((((VLOOKUP(B143,Database!$A:$AS,MATCH($M$1,Database!$A$1:$AS$1,),))))-(((VLOOKUP(EDATE(B143,-12),Database!$A:$AS,MATCH($M$1,Database!$A$1:$AS$1,),)))))/(((VLOOKUP(EDATE(B143,-12),Database!$A:$AS,MATCH($M$1,Database!$A$1:$AS$1,),))))</f>
        <v/>
      </c>
      <c r="N143" s="13">
        <f>((((VLOOKUP(B143,Database!$A:$AS,MATCH($N$1,Database!$A$1:$AS$1,),))))-(((VLOOKUP(EDATE(B143,-12),Database!$A:$AS,MATCH($N$1,Database!$A$1:$AS$1,),)))))/(((VLOOKUP(EDATE(B143,-12),Database!$A:$AS,MATCH($N$1,Database!$A$1:$AS$1,),))))</f>
        <v/>
      </c>
      <c r="O143" s="13">
        <f>IF(VLOOKUP(B143,Database!$A:$AV,MATCH($O$1,Database!$A$1:$AV$1,),)=0,"#N/A",((((VLOOKUP(B143,Database!$A:$AS,MATCH($O$1,Database!$A$1:$AS$1,),))))-(((VLOOKUP(EDATE(B143,-12),Database!$A:$AS,MATCH($O$1,Database!$A$1:$AS$1,),)))))/(((VLOOKUP(EDATE(B143,-12),Database!$A:$AS,MATCH($O$1,Database!$A$1:$AS$1,),)))))</f>
        <v/>
      </c>
      <c r="P143" s="13">
        <f>IF(VLOOKUP(B143,Database!$A:$AV,MATCH($P$1,Database!$A$1:$AV$1,),)=0,"#N/A",((((VLOOKUP(B143,Database!$A:$AS,MATCH($P$1,Database!$A$1:$AS$1,),))))-(((VLOOKUP(EDATE(B143,-12),Database!$A:$AS,MATCH($P$1,Database!$A$1:$AS$1,),)))))/(((VLOOKUP(EDATE(B143,-12),Database!$A:$AS,MATCH($P$1,Database!$A$1:$AS$1,),)))))</f>
        <v/>
      </c>
      <c r="Q143" s="13">
        <f>IF(VLOOKUP(B143,Database!$A:$AV,MATCH($Q$1,Database!$A$1:$AV$1,),)=0,"#N/A",((((VLOOKUP(B143,Database!$A:$AS,MATCH($Q$1,Database!$A$1:$AS$1,),))))-(((VLOOKUP(EDATE(B143,-12),Database!$A:$AS,MATCH($Q$1,Database!$A$1:$AS$1,),)))))/(((VLOOKUP(EDATE(B143,-12),Database!$A:$AS,MATCH($Q$1,Database!$A$1:$AS$1,),)))))</f>
        <v/>
      </c>
      <c r="R143" s="13">
        <f>IF(VLOOKUP(B143,Database!$A:$AV,MATCH($R$1,Database!$A$1:$AV$1,),)=0,"#N/A",((((VLOOKUP(B143,Database!$A:$AS,MATCH($R$1,Database!$A$1:$AS$1,),))))-(((VLOOKUP(EDATE(B143,-12),Database!$A:$AS,MATCH($R$1,Database!$A$1:$AS$1,),)))))/(((VLOOKUP(EDATE(B143,-12),Database!$A:$AS,MATCH($R$1,Database!$A$1:$AS$1,),)))))</f>
        <v/>
      </c>
      <c r="S143" s="13">
        <f>IF(VLOOKUP(B143,Database!$A:$AV,MATCH($S$1,Database!$A$1:$AV$1,),)=0,"#N/A",((((VLOOKUP(B143,Database!$A:$AS,MATCH($S$1,Database!$A$1:$AS$1,),))))-(((VLOOKUP(EDATE(B143,-12),Database!$A:$AS,MATCH($S$1,Database!$A$1:$AS$1,),)))))/(((VLOOKUP(EDATE(B143,-12),Database!$A:$AS,MATCH($S$1,Database!$A$1:$AS$1,),)))))</f>
        <v/>
      </c>
      <c r="T143" s="13">
        <f>IF(VLOOKUP(B143,Database!$A:$AV,MATCH($T$1,Database!$A$1:$AV$1,),)=0,"#N/A",((((VLOOKUP(B143,Database!$A:$AS,MATCH($T$1,Database!$A$1:$AS$1,),))))-(((VLOOKUP(EDATE(B143,-12),Database!$A:$AS,MATCH($T$1,Database!$A$1:$AS$1,),)))))/(((VLOOKUP(EDATE(B143,-12),Database!$A:$AS,MATCH($T$1,Database!$A$1:$AS$1,),)))))</f>
        <v/>
      </c>
      <c r="U143" s="13">
        <f>IF(VLOOKUP(B143,Database!$A:$AV,MATCH($U$1,Database!$A$1:$AV$1,),)=0,"#N/A",((((VLOOKUP(B143,Database!$A:$AS,MATCH($U$1,Database!$A$1:$AS$1,),))))-(((VLOOKUP(EDATE(B143,-12),Database!$A:$AS,MATCH($U$1,Database!$A$1:$AS$1,),)))))/(((VLOOKUP(EDATE(B143,-12),Database!$A:$AS,MATCH($U$1,Database!$A$1:$AS$1,),)))))</f>
        <v/>
      </c>
      <c r="V143" s="13">
        <f>IF(VLOOKUP(B143,Database!$A:$AV,MATCH($V$1,Database!$A$1:$AV$1,),)=0,"#N/A",((((VLOOKUP(B143,Database!$A:$AS,MATCH($V$1,Database!$A$1:$AS$1,),))))-(((VLOOKUP(EDATE(B143,-12),Database!$A:$AS,MATCH($V$1,Database!$A$1:$AS$1,),)))))/(((VLOOKUP(EDATE(B143,-12),Database!$A:$AS,MATCH($V$1,Database!$A$1:$AS$1,),)))))</f>
        <v/>
      </c>
    </row>
    <row r="144" customFormat="1" s="86">
      <c r="A144" s="43" t="n"/>
      <c r="B144" s="75" t="n">
        <v>36526</v>
      </c>
      <c r="C144" s="13">
        <f>IF(VLOOKUP(B144,Database!$A:$AU,MATCH($C$1,Database!$A$1:$AU$1,),)=0,"#N/A",((((VLOOKUP(B144,Database!$A:$AU,MATCH($C$1,Database!$A$1:$AU$1,),))))-(((VLOOKUP(EDATE(B144,-12),Database!$A:$AU,MATCH($C$1,Database!$A$1:$AU$1,),)))))/(((VLOOKUP(EDATE(B144,-12),Database!$A:$AU,MATCH($C$1,Database!$A$1:$AU$1,),)))))</f>
        <v/>
      </c>
      <c r="D144" s="13">
        <f>IF(VLOOKUP(B144,Database!$A:$AV,MATCH($D$1,Database!$A$1:$AV$1,),)=0,"#N/A",((((VLOOKUP(B144,Database!$A:$AS,MATCH($D$1,Database!$A$1:$AS$1,),))))-(((VLOOKUP(EDATE(B144,-12),Database!$A:$AS,MATCH($D$1,Database!$A$1:$AS$1,),)))))/(((VLOOKUP(EDATE(B144,-12),Database!$A:$AS,MATCH($D$1,Database!$A$1:$AS$1,),)))))</f>
        <v/>
      </c>
      <c r="E144" s="13">
        <f>IF(VLOOKUP(B144,Database!$A:$AV,MATCH($E$1,Database!$A$1:$AV$1,),)=0,"#N/A",((((VLOOKUP(B144,Database!$A:$AS,MATCH($E$1,Database!$A$1:$AS$1,),))))-(((VLOOKUP(EDATE(B144,-12),Database!$A:$AS,MATCH($E$1,Database!$A$1:$AS$1,),)))))/(((VLOOKUP(EDATE(B144,-12),Database!$A:$AS,MATCH($E$1,Database!$A$1:$AS$1,),)))))</f>
        <v/>
      </c>
      <c r="F144" s="13">
        <f>IF(VLOOKUP(B144,Database!$A:$AV,MATCH($F$1,Database!$A$1:$AV$1,),)=0,"#N/A",((((VLOOKUP(B144,Database!$A:$AS,MATCH($F$1,Database!$A$1:$AS$1,),))))-(((VLOOKUP(EDATE(B144,-12),Database!$A:$AS,MATCH($F$1,Database!$A$1:$AS$1,),)))))/(((VLOOKUP(EDATE(B144,-12),Database!$A:$AS,MATCH($F$1,Database!$A$1:$AS$1,),)))))</f>
        <v/>
      </c>
      <c r="G144" s="13">
        <f>IF(VLOOKUP(B144,Database!$A:$AV,MATCH($G$1,Database!$A$1:$AV$1,),)=0,"#N/A",((((VLOOKUP(B144,Database!$A:$AS,MATCH($G$1,Database!$A$1:$AS$1,),))))-(((VLOOKUP(EDATE(B144,-12),Database!$A:$AS,MATCH($G$1,Database!$A$1:$AS$1,),)))))/(((VLOOKUP(EDATE(B144,-12),Database!$A:$AS,MATCH($G$1,Database!$A$1:$AS$1,),)))))</f>
        <v/>
      </c>
      <c r="H144" s="13">
        <f>IF(VLOOKUP(B144,Database!$A:$AV,MATCH($H$1,Database!$A$1:$AV$1,),)=0,"#N/A",((((VLOOKUP(B144,Database!$A:$AS,MATCH($H$1,Database!$A$1:$AS$1,),))))-(((VLOOKUP(EDATE(B144,-12),Database!$A:$AS,MATCH($H$1,Database!$A$1:$AS$1,),)))))/(((VLOOKUP(EDATE(B144,-12),Database!$A:$AS,MATCH($H$1,Database!$A$1:$AS$1,),)))))</f>
        <v/>
      </c>
      <c r="I144" s="13">
        <f>IF(VLOOKUP(B144,Database!$A:$AV,MATCH($I$1,Database!$A$1:$AV$1,),)=0,"#N/A",((((VLOOKUP(B144,Database!$A:$AS,MATCH($I$1,Database!$A$1:$AS$1,),))))-(((VLOOKUP(EDATE(B144,-12),Database!$A:$AS,MATCH($I$1,Database!$A$1:$AS$1,),)))))/(((VLOOKUP(EDATE(B144,-12),Database!$A:$AS,MATCH($I$1,Database!$A$1:$AS$1,),)))))</f>
        <v/>
      </c>
      <c r="J144" s="13">
        <f>IF(VLOOKUP(B144,Database!$A:$AV,MATCH($J$1,Database!$A$1:$AV$1,),)=0,"#N/A",((((VLOOKUP(B144,Database!$A:$AS,MATCH($J$1,Database!$A$1:$AS$1,),))))-(((VLOOKUP(EDATE(B144,-12),Database!$A:$AS,MATCH($J$1,Database!$A$1:$AS$1,),)))))/(((VLOOKUP(EDATE(B144,-12),Database!$A:$AS,MATCH($J$1,Database!$A$1:$AS$1,),)))))</f>
        <v/>
      </c>
      <c r="K144" s="13">
        <f>IF(VLOOKUP(B144,Database!$A:$AV,MATCH($K$1,Database!$A$1:$AV$1,),)=0,"#N/A",((((VLOOKUP(B144,Database!$A:$AS,MATCH($K$1,Database!$A$1:$AS$1,),))))-(((VLOOKUP(EDATE(B144,-12),Database!$A:$AS,MATCH($K$1,Database!$A$1:$AS$1,),)))))/(((VLOOKUP(EDATE(B144,-12),Database!$A:$AS,MATCH($K$1,Database!$A$1:$AS$1,),)))))</f>
        <v/>
      </c>
      <c r="L144" s="13">
        <f>((((VLOOKUP(B144,Database!$A:$AS,MATCH($L$1,Database!$A$1:$AS$1,),))))-(((VLOOKUP(EDATE(B144,-12),Database!$A:$AS,MATCH($L$1,Database!$A$1:$AS$1,),)))))/(((VLOOKUP(EDATE(B144,-12),Database!$A:$AS,MATCH($L$1,Database!$A$1:$AS$1,),))))</f>
        <v/>
      </c>
      <c r="M144" s="13">
        <f>((((VLOOKUP(B144,Database!$A:$AS,MATCH($M$1,Database!$A$1:$AS$1,),))))-(((VLOOKUP(EDATE(B144,-12),Database!$A:$AS,MATCH($M$1,Database!$A$1:$AS$1,),)))))/(((VLOOKUP(EDATE(B144,-12),Database!$A:$AS,MATCH($M$1,Database!$A$1:$AS$1,),))))</f>
        <v/>
      </c>
      <c r="N144" s="13">
        <f>((((VLOOKUP(B144,Database!$A:$AS,MATCH($N$1,Database!$A$1:$AS$1,),))))-(((VLOOKUP(EDATE(B144,-12),Database!$A:$AS,MATCH($N$1,Database!$A$1:$AS$1,),)))))/(((VLOOKUP(EDATE(B144,-12),Database!$A:$AS,MATCH($N$1,Database!$A$1:$AS$1,),))))</f>
        <v/>
      </c>
      <c r="O144" s="13">
        <f>IF(VLOOKUP(B144,Database!$A:$AV,MATCH($O$1,Database!$A$1:$AV$1,),)=0,"#N/A",((((VLOOKUP(B144,Database!$A:$AS,MATCH($O$1,Database!$A$1:$AS$1,),))))-(((VLOOKUP(EDATE(B144,-12),Database!$A:$AS,MATCH($O$1,Database!$A$1:$AS$1,),)))))/(((VLOOKUP(EDATE(B144,-12),Database!$A:$AS,MATCH($O$1,Database!$A$1:$AS$1,),)))))</f>
        <v/>
      </c>
      <c r="P144" s="13">
        <f>IF(VLOOKUP(B144,Database!$A:$AV,MATCH($P$1,Database!$A$1:$AV$1,),)=0,"#N/A",((((VLOOKUP(B144,Database!$A:$AS,MATCH($P$1,Database!$A$1:$AS$1,),))))-(((VLOOKUP(EDATE(B144,-12),Database!$A:$AS,MATCH($P$1,Database!$A$1:$AS$1,),)))))/(((VLOOKUP(EDATE(B144,-12),Database!$A:$AS,MATCH($P$1,Database!$A$1:$AS$1,),)))))</f>
        <v/>
      </c>
      <c r="Q144" s="13">
        <f>IF(VLOOKUP(B144,Database!$A:$AV,MATCH($Q$1,Database!$A$1:$AV$1,),)=0,"#N/A",((((VLOOKUP(B144,Database!$A:$AS,MATCH($Q$1,Database!$A$1:$AS$1,),))))-(((VLOOKUP(EDATE(B144,-12),Database!$A:$AS,MATCH($Q$1,Database!$A$1:$AS$1,),)))))/(((VLOOKUP(EDATE(B144,-12),Database!$A:$AS,MATCH($Q$1,Database!$A$1:$AS$1,),)))))</f>
        <v/>
      </c>
      <c r="R144" s="13">
        <f>IF(VLOOKUP(B144,Database!$A:$AV,MATCH($R$1,Database!$A$1:$AV$1,),)=0,"#N/A",((((VLOOKUP(B144,Database!$A:$AS,MATCH($R$1,Database!$A$1:$AS$1,),))))-(((VLOOKUP(EDATE(B144,-12),Database!$A:$AS,MATCH($R$1,Database!$A$1:$AS$1,),)))))/(((VLOOKUP(EDATE(B144,-12),Database!$A:$AS,MATCH($R$1,Database!$A$1:$AS$1,),)))))</f>
        <v/>
      </c>
      <c r="S144" s="13">
        <f>IF(VLOOKUP(B144,Database!$A:$AV,MATCH($S$1,Database!$A$1:$AV$1,),)=0,"#N/A",((((VLOOKUP(B144,Database!$A:$AS,MATCH($S$1,Database!$A$1:$AS$1,),))))-(((VLOOKUP(EDATE(B144,-12),Database!$A:$AS,MATCH($S$1,Database!$A$1:$AS$1,),)))))/(((VLOOKUP(EDATE(B144,-12),Database!$A:$AS,MATCH($S$1,Database!$A$1:$AS$1,),)))))</f>
        <v/>
      </c>
      <c r="T144" s="13">
        <f>IF(VLOOKUP(B144,Database!$A:$AV,MATCH($T$1,Database!$A$1:$AV$1,),)=0,"#N/A",((((VLOOKUP(B144,Database!$A:$AS,MATCH($T$1,Database!$A$1:$AS$1,),))))-(((VLOOKUP(EDATE(B144,-12),Database!$A:$AS,MATCH($T$1,Database!$A$1:$AS$1,),)))))/(((VLOOKUP(EDATE(B144,-12),Database!$A:$AS,MATCH($T$1,Database!$A$1:$AS$1,),)))))</f>
        <v/>
      </c>
      <c r="U144" s="13">
        <f>IF(VLOOKUP(B144,Database!$A:$AV,MATCH($U$1,Database!$A$1:$AV$1,),)=0,"#N/A",((((VLOOKUP(B144,Database!$A:$AS,MATCH($U$1,Database!$A$1:$AS$1,),))))-(((VLOOKUP(EDATE(B144,-12),Database!$A:$AS,MATCH($U$1,Database!$A$1:$AS$1,),)))))/(((VLOOKUP(EDATE(B144,-12),Database!$A:$AS,MATCH($U$1,Database!$A$1:$AS$1,),)))))</f>
        <v/>
      </c>
      <c r="V144" s="13">
        <f>IF(VLOOKUP(B144,Database!$A:$AV,MATCH($V$1,Database!$A$1:$AV$1,),)=0,"#N/A",((((VLOOKUP(B144,Database!$A:$AS,MATCH($V$1,Database!$A$1:$AS$1,),))))-(((VLOOKUP(EDATE(B144,-12),Database!$A:$AS,MATCH($V$1,Database!$A$1:$AS$1,),)))))/(((VLOOKUP(EDATE(B144,-12),Database!$A:$AS,MATCH($V$1,Database!$A$1:$AS$1,),)))))</f>
        <v/>
      </c>
    </row>
    <row r="145" customFormat="1" s="86">
      <c r="A145" s="43" t="n"/>
      <c r="B145" s="75" t="n">
        <v>36557</v>
      </c>
      <c r="C145" s="13">
        <f>IF(VLOOKUP(B145,Database!$A:$AU,MATCH($C$1,Database!$A$1:$AU$1,),)=0,"#N/A",((((VLOOKUP(B145,Database!$A:$AU,MATCH($C$1,Database!$A$1:$AU$1,),))))-(((VLOOKUP(EDATE(B145,-12),Database!$A:$AU,MATCH($C$1,Database!$A$1:$AU$1,),)))))/(((VLOOKUP(EDATE(B145,-12),Database!$A:$AU,MATCH($C$1,Database!$A$1:$AU$1,),)))))</f>
        <v/>
      </c>
      <c r="D145" s="13">
        <f>IF(VLOOKUP(B145,Database!$A:$AV,MATCH($D$1,Database!$A$1:$AV$1,),)=0,"#N/A",((((VLOOKUP(B145,Database!$A:$AS,MATCH($D$1,Database!$A$1:$AS$1,),))))-(((VLOOKUP(EDATE(B145,-12),Database!$A:$AS,MATCH($D$1,Database!$A$1:$AS$1,),)))))/(((VLOOKUP(EDATE(B145,-12),Database!$A:$AS,MATCH($D$1,Database!$A$1:$AS$1,),)))))</f>
        <v/>
      </c>
      <c r="E145" s="13">
        <f>IF(VLOOKUP(B145,Database!$A:$AV,MATCH($E$1,Database!$A$1:$AV$1,),)=0,"#N/A",((((VLOOKUP(B145,Database!$A:$AS,MATCH($E$1,Database!$A$1:$AS$1,),))))-(((VLOOKUP(EDATE(B145,-12),Database!$A:$AS,MATCH($E$1,Database!$A$1:$AS$1,),)))))/(((VLOOKUP(EDATE(B145,-12),Database!$A:$AS,MATCH($E$1,Database!$A$1:$AS$1,),)))))</f>
        <v/>
      </c>
      <c r="F145" s="13">
        <f>IF(VLOOKUP(B145,Database!$A:$AV,MATCH($F$1,Database!$A$1:$AV$1,),)=0,"#N/A",((((VLOOKUP(B145,Database!$A:$AS,MATCH($F$1,Database!$A$1:$AS$1,),))))-(((VLOOKUP(EDATE(B145,-12),Database!$A:$AS,MATCH($F$1,Database!$A$1:$AS$1,),)))))/(((VLOOKUP(EDATE(B145,-12),Database!$A:$AS,MATCH($F$1,Database!$A$1:$AS$1,),)))))</f>
        <v/>
      </c>
      <c r="G145" s="13">
        <f>IF(VLOOKUP(B145,Database!$A:$AV,MATCH($G$1,Database!$A$1:$AV$1,),)=0,"#N/A",((((VLOOKUP(B145,Database!$A:$AS,MATCH($G$1,Database!$A$1:$AS$1,),))))-(((VLOOKUP(EDATE(B145,-12),Database!$A:$AS,MATCH($G$1,Database!$A$1:$AS$1,),)))))/(((VLOOKUP(EDATE(B145,-12),Database!$A:$AS,MATCH($G$1,Database!$A$1:$AS$1,),)))))</f>
        <v/>
      </c>
      <c r="H145" s="13">
        <f>IF(VLOOKUP(B145,Database!$A:$AV,MATCH($H$1,Database!$A$1:$AV$1,),)=0,"#N/A",((((VLOOKUP(B145,Database!$A:$AS,MATCH($H$1,Database!$A$1:$AS$1,),))))-(((VLOOKUP(EDATE(B145,-12),Database!$A:$AS,MATCH($H$1,Database!$A$1:$AS$1,),)))))/(((VLOOKUP(EDATE(B145,-12),Database!$A:$AS,MATCH($H$1,Database!$A$1:$AS$1,),)))))</f>
        <v/>
      </c>
      <c r="I145" s="13">
        <f>IF(VLOOKUP(B145,Database!$A:$AV,MATCH($I$1,Database!$A$1:$AV$1,),)=0,"#N/A",((((VLOOKUP(B145,Database!$A:$AS,MATCH($I$1,Database!$A$1:$AS$1,),))))-(((VLOOKUP(EDATE(B145,-12),Database!$A:$AS,MATCH($I$1,Database!$A$1:$AS$1,),)))))/(((VLOOKUP(EDATE(B145,-12),Database!$A:$AS,MATCH($I$1,Database!$A$1:$AS$1,),)))))</f>
        <v/>
      </c>
      <c r="J145" s="13">
        <f>IF(VLOOKUP(B145,Database!$A:$AV,MATCH($J$1,Database!$A$1:$AV$1,),)=0,"#N/A",((((VLOOKUP(B145,Database!$A:$AS,MATCH($J$1,Database!$A$1:$AS$1,),))))-(((VLOOKUP(EDATE(B145,-12),Database!$A:$AS,MATCH($J$1,Database!$A$1:$AS$1,),)))))/(((VLOOKUP(EDATE(B145,-12),Database!$A:$AS,MATCH($J$1,Database!$A$1:$AS$1,),)))))</f>
        <v/>
      </c>
      <c r="K145" s="13">
        <f>IF(VLOOKUP(B145,Database!$A:$AV,MATCH($K$1,Database!$A$1:$AV$1,),)=0,"#N/A",((((VLOOKUP(B145,Database!$A:$AS,MATCH($K$1,Database!$A$1:$AS$1,),))))-(((VLOOKUP(EDATE(B145,-12),Database!$A:$AS,MATCH($K$1,Database!$A$1:$AS$1,),)))))/(((VLOOKUP(EDATE(B145,-12),Database!$A:$AS,MATCH($K$1,Database!$A$1:$AS$1,),)))))</f>
        <v/>
      </c>
      <c r="L145" s="13">
        <f>((((VLOOKUP(B145,Database!$A:$AS,MATCH($L$1,Database!$A$1:$AS$1,),))))-(((VLOOKUP(EDATE(B145,-12),Database!$A:$AS,MATCH($L$1,Database!$A$1:$AS$1,),)))))/(((VLOOKUP(EDATE(B145,-12),Database!$A:$AS,MATCH($L$1,Database!$A$1:$AS$1,),))))</f>
        <v/>
      </c>
      <c r="M145" s="13">
        <f>((((VLOOKUP(B145,Database!$A:$AS,MATCH($M$1,Database!$A$1:$AS$1,),))))-(((VLOOKUP(EDATE(B145,-12),Database!$A:$AS,MATCH($M$1,Database!$A$1:$AS$1,),)))))/(((VLOOKUP(EDATE(B145,-12),Database!$A:$AS,MATCH($M$1,Database!$A$1:$AS$1,),))))</f>
        <v/>
      </c>
      <c r="N145" s="13">
        <f>((((VLOOKUP(B145,Database!$A:$AS,MATCH($N$1,Database!$A$1:$AS$1,),))))-(((VLOOKUP(EDATE(B145,-12),Database!$A:$AS,MATCH($N$1,Database!$A$1:$AS$1,),)))))/(((VLOOKUP(EDATE(B145,-12),Database!$A:$AS,MATCH($N$1,Database!$A$1:$AS$1,),))))</f>
        <v/>
      </c>
      <c r="O145" s="13">
        <f>IF(VLOOKUP(B145,Database!$A:$AV,MATCH($O$1,Database!$A$1:$AV$1,),)=0,"#N/A",((((VLOOKUP(B145,Database!$A:$AS,MATCH($O$1,Database!$A$1:$AS$1,),))))-(((VLOOKUP(EDATE(B145,-12),Database!$A:$AS,MATCH($O$1,Database!$A$1:$AS$1,),)))))/(((VLOOKUP(EDATE(B145,-12),Database!$A:$AS,MATCH($O$1,Database!$A$1:$AS$1,),)))))</f>
        <v/>
      </c>
      <c r="P145" s="13">
        <f>IF(VLOOKUP(B145,Database!$A:$AV,MATCH($P$1,Database!$A$1:$AV$1,),)=0,"#N/A",((((VLOOKUP(B145,Database!$A:$AS,MATCH($P$1,Database!$A$1:$AS$1,),))))-(((VLOOKUP(EDATE(B145,-12),Database!$A:$AS,MATCH($P$1,Database!$A$1:$AS$1,),)))))/(((VLOOKUP(EDATE(B145,-12),Database!$A:$AS,MATCH($P$1,Database!$A$1:$AS$1,),)))))</f>
        <v/>
      </c>
      <c r="Q145" s="13">
        <f>IF(VLOOKUP(B145,Database!$A:$AV,MATCH($Q$1,Database!$A$1:$AV$1,),)=0,"#N/A",((((VLOOKUP(B145,Database!$A:$AS,MATCH($Q$1,Database!$A$1:$AS$1,),))))-(((VLOOKUP(EDATE(B145,-12),Database!$A:$AS,MATCH($Q$1,Database!$A$1:$AS$1,),)))))/(((VLOOKUP(EDATE(B145,-12),Database!$A:$AS,MATCH($Q$1,Database!$A$1:$AS$1,),)))))</f>
        <v/>
      </c>
      <c r="R145" s="13">
        <f>IF(VLOOKUP(B145,Database!$A:$AV,MATCH($R$1,Database!$A$1:$AV$1,),)=0,"#N/A",((((VLOOKUP(B145,Database!$A:$AS,MATCH($R$1,Database!$A$1:$AS$1,),))))-(((VLOOKUP(EDATE(B145,-12),Database!$A:$AS,MATCH($R$1,Database!$A$1:$AS$1,),)))))/(((VLOOKUP(EDATE(B145,-12),Database!$A:$AS,MATCH($R$1,Database!$A$1:$AS$1,),)))))</f>
        <v/>
      </c>
      <c r="S145" s="13">
        <f>IF(VLOOKUP(B145,Database!$A:$AV,MATCH($S$1,Database!$A$1:$AV$1,),)=0,"#N/A",((((VLOOKUP(B145,Database!$A:$AS,MATCH($S$1,Database!$A$1:$AS$1,),))))-(((VLOOKUP(EDATE(B145,-12),Database!$A:$AS,MATCH($S$1,Database!$A$1:$AS$1,),)))))/(((VLOOKUP(EDATE(B145,-12),Database!$A:$AS,MATCH($S$1,Database!$A$1:$AS$1,),)))))</f>
        <v/>
      </c>
      <c r="T145" s="13">
        <f>IF(VLOOKUP(B145,Database!$A:$AV,MATCH($T$1,Database!$A$1:$AV$1,),)=0,"#N/A",((((VLOOKUP(B145,Database!$A:$AS,MATCH($T$1,Database!$A$1:$AS$1,),))))-(((VLOOKUP(EDATE(B145,-12),Database!$A:$AS,MATCH($T$1,Database!$A$1:$AS$1,),)))))/(((VLOOKUP(EDATE(B145,-12),Database!$A:$AS,MATCH($T$1,Database!$A$1:$AS$1,),)))))</f>
        <v/>
      </c>
      <c r="U145" s="13">
        <f>IF(VLOOKUP(B145,Database!$A:$AV,MATCH($U$1,Database!$A$1:$AV$1,),)=0,"#N/A",((((VLOOKUP(B145,Database!$A:$AS,MATCH($U$1,Database!$A$1:$AS$1,),))))-(((VLOOKUP(EDATE(B145,-12),Database!$A:$AS,MATCH($U$1,Database!$A$1:$AS$1,),)))))/(((VLOOKUP(EDATE(B145,-12),Database!$A:$AS,MATCH($U$1,Database!$A$1:$AS$1,),)))))</f>
        <v/>
      </c>
      <c r="V145" s="13">
        <f>IF(VLOOKUP(B145,Database!$A:$AV,MATCH($V$1,Database!$A$1:$AV$1,),)=0,"#N/A",((((VLOOKUP(B145,Database!$A:$AS,MATCH($V$1,Database!$A$1:$AS$1,),))))-(((VLOOKUP(EDATE(B145,-12),Database!$A:$AS,MATCH($V$1,Database!$A$1:$AS$1,),)))))/(((VLOOKUP(EDATE(B145,-12),Database!$A:$AS,MATCH($V$1,Database!$A$1:$AS$1,),)))))</f>
        <v/>
      </c>
    </row>
    <row r="146" customFormat="1" s="86">
      <c r="A146" s="43" t="n"/>
      <c r="B146" s="75" t="n">
        <v>36586</v>
      </c>
      <c r="C146" s="13">
        <f>IF(VLOOKUP(B146,Database!$A:$AU,MATCH($C$1,Database!$A$1:$AU$1,),)=0,"#N/A",((((VLOOKUP(B146,Database!$A:$AU,MATCH($C$1,Database!$A$1:$AU$1,),))))-(((VLOOKUP(EDATE(B146,-12),Database!$A:$AU,MATCH($C$1,Database!$A$1:$AU$1,),)))))/(((VLOOKUP(EDATE(B146,-12),Database!$A:$AU,MATCH($C$1,Database!$A$1:$AU$1,),)))))</f>
        <v/>
      </c>
      <c r="D146" s="13">
        <f>IF(VLOOKUP(B146,Database!$A:$AV,MATCH($D$1,Database!$A$1:$AV$1,),)=0,"#N/A",((((VLOOKUP(B146,Database!$A:$AS,MATCH($D$1,Database!$A$1:$AS$1,),))))-(((VLOOKUP(EDATE(B146,-12),Database!$A:$AS,MATCH($D$1,Database!$A$1:$AS$1,),)))))/(((VLOOKUP(EDATE(B146,-12),Database!$A:$AS,MATCH($D$1,Database!$A$1:$AS$1,),)))))</f>
        <v/>
      </c>
      <c r="E146" s="13">
        <f>IF(VLOOKUP(B146,Database!$A:$AV,MATCH($E$1,Database!$A$1:$AV$1,),)=0,"#N/A",((((VLOOKUP(B146,Database!$A:$AS,MATCH($E$1,Database!$A$1:$AS$1,),))))-(((VLOOKUP(EDATE(B146,-12),Database!$A:$AS,MATCH($E$1,Database!$A$1:$AS$1,),)))))/(((VLOOKUP(EDATE(B146,-12),Database!$A:$AS,MATCH($E$1,Database!$A$1:$AS$1,),)))))</f>
        <v/>
      </c>
      <c r="F146" s="13">
        <f>IF(VLOOKUP(B146,Database!$A:$AV,MATCH($F$1,Database!$A$1:$AV$1,),)=0,"#N/A",((((VLOOKUP(B146,Database!$A:$AS,MATCH($F$1,Database!$A$1:$AS$1,),))))-(((VLOOKUP(EDATE(B146,-12),Database!$A:$AS,MATCH($F$1,Database!$A$1:$AS$1,),)))))/(((VLOOKUP(EDATE(B146,-12),Database!$A:$AS,MATCH($F$1,Database!$A$1:$AS$1,),)))))</f>
        <v/>
      </c>
      <c r="G146" s="13">
        <f>IF(VLOOKUP(B146,Database!$A:$AV,MATCH($G$1,Database!$A$1:$AV$1,),)=0,"#N/A",((((VLOOKUP(B146,Database!$A:$AS,MATCH($G$1,Database!$A$1:$AS$1,),))))-(((VLOOKUP(EDATE(B146,-12),Database!$A:$AS,MATCH($G$1,Database!$A$1:$AS$1,),)))))/(((VLOOKUP(EDATE(B146,-12),Database!$A:$AS,MATCH($G$1,Database!$A$1:$AS$1,),)))))</f>
        <v/>
      </c>
      <c r="H146" s="13">
        <f>IF(VLOOKUP(B146,Database!$A:$AV,MATCH($H$1,Database!$A$1:$AV$1,),)=0,"#N/A",((((VLOOKUP(B146,Database!$A:$AS,MATCH($H$1,Database!$A$1:$AS$1,),))))-(((VLOOKUP(EDATE(B146,-12),Database!$A:$AS,MATCH($H$1,Database!$A$1:$AS$1,),)))))/(((VLOOKUP(EDATE(B146,-12),Database!$A:$AS,MATCH($H$1,Database!$A$1:$AS$1,),)))))</f>
        <v/>
      </c>
      <c r="I146" s="13">
        <f>IF(VLOOKUP(B146,Database!$A:$AV,MATCH($I$1,Database!$A$1:$AV$1,),)=0,"#N/A",((((VLOOKUP(B146,Database!$A:$AS,MATCH($I$1,Database!$A$1:$AS$1,),))))-(((VLOOKUP(EDATE(B146,-12),Database!$A:$AS,MATCH($I$1,Database!$A$1:$AS$1,),)))))/(((VLOOKUP(EDATE(B146,-12),Database!$A:$AS,MATCH($I$1,Database!$A$1:$AS$1,),)))))</f>
        <v/>
      </c>
      <c r="J146" s="13">
        <f>IF(VLOOKUP(B146,Database!$A:$AV,MATCH($J$1,Database!$A$1:$AV$1,),)=0,"#N/A",((((VLOOKUP(B146,Database!$A:$AS,MATCH($J$1,Database!$A$1:$AS$1,),))))-(((VLOOKUP(EDATE(B146,-12),Database!$A:$AS,MATCH($J$1,Database!$A$1:$AS$1,),)))))/(((VLOOKUP(EDATE(B146,-12),Database!$A:$AS,MATCH($J$1,Database!$A$1:$AS$1,),)))))</f>
        <v/>
      </c>
      <c r="K146" s="13">
        <f>IF(VLOOKUP(B146,Database!$A:$AV,MATCH($K$1,Database!$A$1:$AV$1,),)=0,"#N/A",((((VLOOKUP(B146,Database!$A:$AS,MATCH($K$1,Database!$A$1:$AS$1,),))))-(((VLOOKUP(EDATE(B146,-12),Database!$A:$AS,MATCH($K$1,Database!$A$1:$AS$1,),)))))/(((VLOOKUP(EDATE(B146,-12),Database!$A:$AS,MATCH($K$1,Database!$A$1:$AS$1,),)))))</f>
        <v/>
      </c>
      <c r="L146" s="13">
        <f>((((VLOOKUP(B146,Database!$A:$AS,MATCH($L$1,Database!$A$1:$AS$1,),))))-(((VLOOKUP(EDATE(B146,-12),Database!$A:$AS,MATCH($L$1,Database!$A$1:$AS$1,),)))))/(((VLOOKUP(EDATE(B146,-12),Database!$A:$AS,MATCH($L$1,Database!$A$1:$AS$1,),))))</f>
        <v/>
      </c>
      <c r="M146" s="13">
        <f>((((VLOOKUP(B146,Database!$A:$AS,MATCH($M$1,Database!$A$1:$AS$1,),))))-(((VLOOKUP(EDATE(B146,-12),Database!$A:$AS,MATCH($M$1,Database!$A$1:$AS$1,),)))))/(((VLOOKUP(EDATE(B146,-12),Database!$A:$AS,MATCH($M$1,Database!$A$1:$AS$1,),))))</f>
        <v/>
      </c>
      <c r="N146" s="13">
        <f>((((VLOOKUP(B146,Database!$A:$AS,MATCH($N$1,Database!$A$1:$AS$1,),))))-(((VLOOKUP(EDATE(B146,-12),Database!$A:$AS,MATCH($N$1,Database!$A$1:$AS$1,),)))))/(((VLOOKUP(EDATE(B146,-12),Database!$A:$AS,MATCH($N$1,Database!$A$1:$AS$1,),))))</f>
        <v/>
      </c>
      <c r="O146" s="13">
        <f>IF(VLOOKUP(B146,Database!$A:$AV,MATCH($O$1,Database!$A$1:$AV$1,),)=0,"#N/A",((((VLOOKUP(B146,Database!$A:$AS,MATCH($O$1,Database!$A$1:$AS$1,),))))-(((VLOOKUP(EDATE(B146,-12),Database!$A:$AS,MATCH($O$1,Database!$A$1:$AS$1,),)))))/(((VLOOKUP(EDATE(B146,-12),Database!$A:$AS,MATCH($O$1,Database!$A$1:$AS$1,),)))))</f>
        <v/>
      </c>
      <c r="P146" s="13">
        <f>IF(VLOOKUP(B146,Database!$A:$AV,MATCH($P$1,Database!$A$1:$AV$1,),)=0,"#N/A",((((VLOOKUP(B146,Database!$A:$AS,MATCH($P$1,Database!$A$1:$AS$1,),))))-(((VLOOKUP(EDATE(B146,-12),Database!$A:$AS,MATCH($P$1,Database!$A$1:$AS$1,),)))))/(((VLOOKUP(EDATE(B146,-12),Database!$A:$AS,MATCH($P$1,Database!$A$1:$AS$1,),)))))</f>
        <v/>
      </c>
      <c r="Q146" s="13">
        <f>IF(VLOOKUP(B146,Database!$A:$AV,MATCH($Q$1,Database!$A$1:$AV$1,),)=0,"#N/A",((((VLOOKUP(B146,Database!$A:$AS,MATCH($Q$1,Database!$A$1:$AS$1,),))))-(((VLOOKUP(EDATE(B146,-12),Database!$A:$AS,MATCH($Q$1,Database!$A$1:$AS$1,),)))))/(((VLOOKUP(EDATE(B146,-12),Database!$A:$AS,MATCH($Q$1,Database!$A$1:$AS$1,),)))))</f>
        <v/>
      </c>
      <c r="R146" s="13">
        <f>IF(VLOOKUP(B146,Database!$A:$AV,MATCH($R$1,Database!$A$1:$AV$1,),)=0,"#N/A",((((VLOOKUP(B146,Database!$A:$AS,MATCH($R$1,Database!$A$1:$AS$1,),))))-(((VLOOKUP(EDATE(B146,-12),Database!$A:$AS,MATCH($R$1,Database!$A$1:$AS$1,),)))))/(((VLOOKUP(EDATE(B146,-12),Database!$A:$AS,MATCH($R$1,Database!$A$1:$AS$1,),)))))</f>
        <v/>
      </c>
      <c r="S146" s="13">
        <f>IF(VLOOKUP(B146,Database!$A:$AV,MATCH($S$1,Database!$A$1:$AV$1,),)=0,"#N/A",((((VLOOKUP(B146,Database!$A:$AS,MATCH($S$1,Database!$A$1:$AS$1,),))))-(((VLOOKUP(EDATE(B146,-12),Database!$A:$AS,MATCH($S$1,Database!$A$1:$AS$1,),)))))/(((VLOOKUP(EDATE(B146,-12),Database!$A:$AS,MATCH($S$1,Database!$A$1:$AS$1,),)))))</f>
        <v/>
      </c>
      <c r="T146" s="13">
        <f>IF(VLOOKUP(B146,Database!$A:$AV,MATCH($T$1,Database!$A$1:$AV$1,),)=0,"#N/A",((((VLOOKUP(B146,Database!$A:$AS,MATCH($T$1,Database!$A$1:$AS$1,),))))-(((VLOOKUP(EDATE(B146,-12),Database!$A:$AS,MATCH($T$1,Database!$A$1:$AS$1,),)))))/(((VLOOKUP(EDATE(B146,-12),Database!$A:$AS,MATCH($T$1,Database!$A$1:$AS$1,),)))))</f>
        <v/>
      </c>
      <c r="U146" s="13">
        <f>IF(VLOOKUP(B146,Database!$A:$AV,MATCH($U$1,Database!$A$1:$AV$1,),)=0,"#N/A",((((VLOOKUP(B146,Database!$A:$AS,MATCH($U$1,Database!$A$1:$AS$1,),))))-(((VLOOKUP(EDATE(B146,-12),Database!$A:$AS,MATCH($U$1,Database!$A$1:$AS$1,),)))))/(((VLOOKUP(EDATE(B146,-12),Database!$A:$AS,MATCH($U$1,Database!$A$1:$AS$1,),)))))</f>
        <v/>
      </c>
      <c r="V146" s="13">
        <f>IF(VLOOKUP(B146,Database!$A:$AV,MATCH($V$1,Database!$A$1:$AV$1,),)=0,"#N/A",((((VLOOKUP(B146,Database!$A:$AS,MATCH($V$1,Database!$A$1:$AS$1,),))))-(((VLOOKUP(EDATE(B146,-12),Database!$A:$AS,MATCH($V$1,Database!$A$1:$AS$1,),)))))/(((VLOOKUP(EDATE(B146,-12),Database!$A:$AS,MATCH($V$1,Database!$A$1:$AS$1,),)))))</f>
        <v/>
      </c>
    </row>
    <row r="147" customFormat="1" s="86">
      <c r="A147" s="43" t="n"/>
      <c r="B147" s="75" t="n">
        <v>36617</v>
      </c>
      <c r="C147" s="13">
        <f>IF(VLOOKUP(B147,Database!$A:$AU,MATCH($C$1,Database!$A$1:$AU$1,),)=0,"#N/A",((((VLOOKUP(B147,Database!$A:$AU,MATCH($C$1,Database!$A$1:$AU$1,),))))-(((VLOOKUP(EDATE(B147,-12),Database!$A:$AU,MATCH($C$1,Database!$A$1:$AU$1,),)))))/(((VLOOKUP(EDATE(B147,-12),Database!$A:$AU,MATCH($C$1,Database!$A$1:$AU$1,),)))))</f>
        <v/>
      </c>
      <c r="D147" s="13">
        <f>IF(VLOOKUP(B147,Database!$A:$AV,MATCH($D$1,Database!$A$1:$AV$1,),)=0,"#N/A",((((VLOOKUP(B147,Database!$A:$AS,MATCH($D$1,Database!$A$1:$AS$1,),))))-(((VLOOKUP(EDATE(B147,-12),Database!$A:$AS,MATCH($D$1,Database!$A$1:$AS$1,),)))))/(((VLOOKUP(EDATE(B147,-12),Database!$A:$AS,MATCH($D$1,Database!$A$1:$AS$1,),)))))</f>
        <v/>
      </c>
      <c r="E147" s="13">
        <f>IF(VLOOKUP(B147,Database!$A:$AV,MATCH($E$1,Database!$A$1:$AV$1,),)=0,"#N/A",((((VLOOKUP(B147,Database!$A:$AS,MATCH($E$1,Database!$A$1:$AS$1,),))))-(((VLOOKUP(EDATE(B147,-12),Database!$A:$AS,MATCH($E$1,Database!$A$1:$AS$1,),)))))/(((VLOOKUP(EDATE(B147,-12),Database!$A:$AS,MATCH($E$1,Database!$A$1:$AS$1,),)))))</f>
        <v/>
      </c>
      <c r="F147" s="13">
        <f>IF(VLOOKUP(B147,Database!$A:$AV,MATCH($F$1,Database!$A$1:$AV$1,),)=0,"#N/A",((((VLOOKUP(B147,Database!$A:$AS,MATCH($F$1,Database!$A$1:$AS$1,),))))-(((VLOOKUP(EDATE(B147,-12),Database!$A:$AS,MATCH($F$1,Database!$A$1:$AS$1,),)))))/(((VLOOKUP(EDATE(B147,-12),Database!$A:$AS,MATCH($F$1,Database!$A$1:$AS$1,),)))))</f>
        <v/>
      </c>
      <c r="G147" s="13">
        <f>IF(VLOOKUP(B147,Database!$A:$AV,MATCH($G$1,Database!$A$1:$AV$1,),)=0,"#N/A",((((VLOOKUP(B147,Database!$A:$AS,MATCH($G$1,Database!$A$1:$AS$1,),))))-(((VLOOKUP(EDATE(B147,-12),Database!$A:$AS,MATCH($G$1,Database!$A$1:$AS$1,),)))))/(((VLOOKUP(EDATE(B147,-12),Database!$A:$AS,MATCH($G$1,Database!$A$1:$AS$1,),)))))</f>
        <v/>
      </c>
      <c r="H147" s="13">
        <f>IF(VLOOKUP(B147,Database!$A:$AV,MATCH($H$1,Database!$A$1:$AV$1,),)=0,"#N/A",((((VLOOKUP(B147,Database!$A:$AS,MATCH($H$1,Database!$A$1:$AS$1,),))))-(((VLOOKUP(EDATE(B147,-12),Database!$A:$AS,MATCH($H$1,Database!$A$1:$AS$1,),)))))/(((VLOOKUP(EDATE(B147,-12),Database!$A:$AS,MATCH($H$1,Database!$A$1:$AS$1,),)))))</f>
        <v/>
      </c>
      <c r="I147" s="13">
        <f>IF(VLOOKUP(B147,Database!$A:$AV,MATCH($I$1,Database!$A$1:$AV$1,),)=0,"#N/A",((((VLOOKUP(B147,Database!$A:$AS,MATCH($I$1,Database!$A$1:$AS$1,),))))-(((VLOOKUP(EDATE(B147,-12),Database!$A:$AS,MATCH($I$1,Database!$A$1:$AS$1,),)))))/(((VLOOKUP(EDATE(B147,-12),Database!$A:$AS,MATCH($I$1,Database!$A$1:$AS$1,),)))))</f>
        <v/>
      </c>
      <c r="J147" s="13">
        <f>IF(VLOOKUP(B147,Database!$A:$AV,MATCH($J$1,Database!$A$1:$AV$1,),)=0,"#N/A",((((VLOOKUP(B147,Database!$A:$AS,MATCH($J$1,Database!$A$1:$AS$1,),))))-(((VLOOKUP(EDATE(B147,-12),Database!$A:$AS,MATCH($J$1,Database!$A$1:$AS$1,),)))))/(((VLOOKUP(EDATE(B147,-12),Database!$A:$AS,MATCH($J$1,Database!$A$1:$AS$1,),)))))</f>
        <v/>
      </c>
      <c r="K147" s="13">
        <f>IF(VLOOKUP(B147,Database!$A:$AV,MATCH($K$1,Database!$A$1:$AV$1,),)=0,"#N/A",((((VLOOKUP(B147,Database!$A:$AS,MATCH($K$1,Database!$A$1:$AS$1,),))))-(((VLOOKUP(EDATE(B147,-12),Database!$A:$AS,MATCH($K$1,Database!$A$1:$AS$1,),)))))/(((VLOOKUP(EDATE(B147,-12),Database!$A:$AS,MATCH($K$1,Database!$A$1:$AS$1,),)))))</f>
        <v/>
      </c>
      <c r="L147" s="13">
        <f>((((VLOOKUP(B147,Database!$A:$AS,MATCH($L$1,Database!$A$1:$AS$1,),))))-(((VLOOKUP(EDATE(B147,-12),Database!$A:$AS,MATCH($L$1,Database!$A$1:$AS$1,),)))))/(((VLOOKUP(EDATE(B147,-12),Database!$A:$AS,MATCH($L$1,Database!$A$1:$AS$1,),))))</f>
        <v/>
      </c>
      <c r="M147" s="13">
        <f>((((VLOOKUP(B147,Database!$A:$AS,MATCH($M$1,Database!$A$1:$AS$1,),))))-(((VLOOKUP(EDATE(B147,-12),Database!$A:$AS,MATCH($M$1,Database!$A$1:$AS$1,),)))))/(((VLOOKUP(EDATE(B147,-12),Database!$A:$AS,MATCH($M$1,Database!$A$1:$AS$1,),))))</f>
        <v/>
      </c>
      <c r="N147" s="13">
        <f>((((VLOOKUP(B147,Database!$A:$AS,MATCH($N$1,Database!$A$1:$AS$1,),))))-(((VLOOKUP(EDATE(B147,-12),Database!$A:$AS,MATCH($N$1,Database!$A$1:$AS$1,),)))))/(((VLOOKUP(EDATE(B147,-12),Database!$A:$AS,MATCH($N$1,Database!$A$1:$AS$1,),))))</f>
        <v/>
      </c>
      <c r="O147" s="13">
        <f>IF(VLOOKUP(B147,Database!$A:$AV,MATCH($O$1,Database!$A$1:$AV$1,),)=0,"#N/A",((((VLOOKUP(B147,Database!$A:$AS,MATCH($O$1,Database!$A$1:$AS$1,),))))-(((VLOOKUP(EDATE(B147,-12),Database!$A:$AS,MATCH($O$1,Database!$A$1:$AS$1,),)))))/(((VLOOKUP(EDATE(B147,-12),Database!$A:$AS,MATCH($O$1,Database!$A$1:$AS$1,),)))))</f>
        <v/>
      </c>
      <c r="P147" s="13">
        <f>IF(VLOOKUP(B147,Database!$A:$AV,MATCH($P$1,Database!$A$1:$AV$1,),)=0,"#N/A",((((VLOOKUP(B147,Database!$A:$AS,MATCH($P$1,Database!$A$1:$AS$1,),))))-(((VLOOKUP(EDATE(B147,-12),Database!$A:$AS,MATCH($P$1,Database!$A$1:$AS$1,),)))))/(((VLOOKUP(EDATE(B147,-12),Database!$A:$AS,MATCH($P$1,Database!$A$1:$AS$1,),)))))</f>
        <v/>
      </c>
      <c r="Q147" s="13">
        <f>IF(VLOOKUP(B147,Database!$A:$AV,MATCH($Q$1,Database!$A$1:$AV$1,),)=0,"#N/A",((((VLOOKUP(B147,Database!$A:$AS,MATCH($Q$1,Database!$A$1:$AS$1,),))))-(((VLOOKUP(EDATE(B147,-12),Database!$A:$AS,MATCH($Q$1,Database!$A$1:$AS$1,),)))))/(((VLOOKUP(EDATE(B147,-12),Database!$A:$AS,MATCH($Q$1,Database!$A$1:$AS$1,),)))))</f>
        <v/>
      </c>
      <c r="R147" s="13">
        <f>IF(VLOOKUP(B147,Database!$A:$AV,MATCH($R$1,Database!$A$1:$AV$1,),)=0,"#N/A",((((VLOOKUP(B147,Database!$A:$AS,MATCH($R$1,Database!$A$1:$AS$1,),))))-(((VLOOKUP(EDATE(B147,-12),Database!$A:$AS,MATCH($R$1,Database!$A$1:$AS$1,),)))))/(((VLOOKUP(EDATE(B147,-12),Database!$A:$AS,MATCH($R$1,Database!$A$1:$AS$1,),)))))</f>
        <v/>
      </c>
      <c r="S147" s="13">
        <f>IF(VLOOKUP(B147,Database!$A:$AV,MATCH($S$1,Database!$A$1:$AV$1,),)=0,"#N/A",((((VLOOKUP(B147,Database!$A:$AS,MATCH($S$1,Database!$A$1:$AS$1,),))))-(((VLOOKUP(EDATE(B147,-12),Database!$A:$AS,MATCH($S$1,Database!$A$1:$AS$1,),)))))/(((VLOOKUP(EDATE(B147,-12),Database!$A:$AS,MATCH($S$1,Database!$A$1:$AS$1,),)))))</f>
        <v/>
      </c>
      <c r="T147" s="13">
        <f>IF(VLOOKUP(B147,Database!$A:$AV,MATCH($T$1,Database!$A$1:$AV$1,),)=0,"#N/A",((((VLOOKUP(B147,Database!$A:$AS,MATCH($T$1,Database!$A$1:$AS$1,),))))-(((VLOOKUP(EDATE(B147,-12),Database!$A:$AS,MATCH($T$1,Database!$A$1:$AS$1,),)))))/(((VLOOKUP(EDATE(B147,-12),Database!$A:$AS,MATCH($T$1,Database!$A$1:$AS$1,),)))))</f>
        <v/>
      </c>
      <c r="U147" s="13">
        <f>IF(VLOOKUP(B147,Database!$A:$AV,MATCH($U$1,Database!$A$1:$AV$1,),)=0,"#N/A",((((VLOOKUP(B147,Database!$A:$AS,MATCH($U$1,Database!$A$1:$AS$1,),))))-(((VLOOKUP(EDATE(B147,-12),Database!$A:$AS,MATCH($U$1,Database!$A$1:$AS$1,),)))))/(((VLOOKUP(EDATE(B147,-12),Database!$A:$AS,MATCH($U$1,Database!$A$1:$AS$1,),)))))</f>
        <v/>
      </c>
      <c r="V147" s="13">
        <f>IF(VLOOKUP(B147,Database!$A:$AV,MATCH($V$1,Database!$A$1:$AV$1,),)=0,"#N/A",((((VLOOKUP(B147,Database!$A:$AS,MATCH($V$1,Database!$A$1:$AS$1,),))))-(((VLOOKUP(EDATE(B147,-12),Database!$A:$AS,MATCH($V$1,Database!$A$1:$AS$1,),)))))/(((VLOOKUP(EDATE(B147,-12),Database!$A:$AS,MATCH($V$1,Database!$A$1:$AS$1,),)))))</f>
        <v/>
      </c>
    </row>
    <row r="148" customFormat="1" s="86">
      <c r="A148" s="43" t="n"/>
      <c r="B148" s="75" t="n">
        <v>36647</v>
      </c>
      <c r="C148" s="13">
        <f>IF(VLOOKUP(B148,Database!$A:$AU,MATCH($C$1,Database!$A$1:$AU$1,),)=0,"#N/A",((((VLOOKUP(B148,Database!$A:$AU,MATCH($C$1,Database!$A$1:$AU$1,),))))-(((VLOOKUP(EDATE(B148,-12),Database!$A:$AU,MATCH($C$1,Database!$A$1:$AU$1,),)))))/(((VLOOKUP(EDATE(B148,-12),Database!$A:$AU,MATCH($C$1,Database!$A$1:$AU$1,),)))))</f>
        <v/>
      </c>
      <c r="D148" s="13">
        <f>IF(VLOOKUP(B148,Database!$A:$AV,MATCH($D$1,Database!$A$1:$AV$1,),)=0,"#N/A",((((VLOOKUP(B148,Database!$A:$AS,MATCH($D$1,Database!$A$1:$AS$1,),))))-(((VLOOKUP(EDATE(B148,-12),Database!$A:$AS,MATCH($D$1,Database!$A$1:$AS$1,),)))))/(((VLOOKUP(EDATE(B148,-12),Database!$A:$AS,MATCH($D$1,Database!$A$1:$AS$1,),)))))</f>
        <v/>
      </c>
      <c r="E148" s="13">
        <f>IF(VLOOKUP(B148,Database!$A:$AV,MATCH($E$1,Database!$A$1:$AV$1,),)=0,"#N/A",((((VLOOKUP(B148,Database!$A:$AS,MATCH($E$1,Database!$A$1:$AS$1,),))))-(((VLOOKUP(EDATE(B148,-12),Database!$A:$AS,MATCH($E$1,Database!$A$1:$AS$1,),)))))/(((VLOOKUP(EDATE(B148,-12),Database!$A:$AS,MATCH($E$1,Database!$A$1:$AS$1,),)))))</f>
        <v/>
      </c>
      <c r="F148" s="13">
        <f>IF(VLOOKUP(B148,Database!$A:$AV,MATCH($F$1,Database!$A$1:$AV$1,),)=0,"#N/A",((((VLOOKUP(B148,Database!$A:$AS,MATCH($F$1,Database!$A$1:$AS$1,),))))-(((VLOOKUP(EDATE(B148,-12),Database!$A:$AS,MATCH($F$1,Database!$A$1:$AS$1,),)))))/(((VLOOKUP(EDATE(B148,-12),Database!$A:$AS,MATCH($F$1,Database!$A$1:$AS$1,),)))))</f>
        <v/>
      </c>
      <c r="G148" s="13">
        <f>IF(VLOOKUP(B148,Database!$A:$AV,MATCH($G$1,Database!$A$1:$AV$1,),)=0,"#N/A",((((VLOOKUP(B148,Database!$A:$AS,MATCH($G$1,Database!$A$1:$AS$1,),))))-(((VLOOKUP(EDATE(B148,-12),Database!$A:$AS,MATCH($G$1,Database!$A$1:$AS$1,),)))))/(((VLOOKUP(EDATE(B148,-12),Database!$A:$AS,MATCH($G$1,Database!$A$1:$AS$1,),)))))</f>
        <v/>
      </c>
      <c r="H148" s="13">
        <f>IF(VLOOKUP(B148,Database!$A:$AV,MATCH($H$1,Database!$A$1:$AV$1,),)=0,"#N/A",((((VLOOKUP(B148,Database!$A:$AS,MATCH($H$1,Database!$A$1:$AS$1,),))))-(((VLOOKUP(EDATE(B148,-12),Database!$A:$AS,MATCH($H$1,Database!$A$1:$AS$1,),)))))/(((VLOOKUP(EDATE(B148,-12),Database!$A:$AS,MATCH($H$1,Database!$A$1:$AS$1,),)))))</f>
        <v/>
      </c>
      <c r="I148" s="13">
        <f>IF(VLOOKUP(B148,Database!$A:$AV,MATCH($I$1,Database!$A$1:$AV$1,),)=0,"#N/A",((((VLOOKUP(B148,Database!$A:$AS,MATCH($I$1,Database!$A$1:$AS$1,),))))-(((VLOOKUP(EDATE(B148,-12),Database!$A:$AS,MATCH($I$1,Database!$A$1:$AS$1,),)))))/(((VLOOKUP(EDATE(B148,-12),Database!$A:$AS,MATCH($I$1,Database!$A$1:$AS$1,),)))))</f>
        <v/>
      </c>
      <c r="J148" s="13">
        <f>IF(VLOOKUP(B148,Database!$A:$AV,MATCH($J$1,Database!$A$1:$AV$1,),)=0,"#N/A",((((VLOOKUP(B148,Database!$A:$AS,MATCH($J$1,Database!$A$1:$AS$1,),))))-(((VLOOKUP(EDATE(B148,-12),Database!$A:$AS,MATCH($J$1,Database!$A$1:$AS$1,),)))))/(((VLOOKUP(EDATE(B148,-12),Database!$A:$AS,MATCH($J$1,Database!$A$1:$AS$1,),)))))</f>
        <v/>
      </c>
      <c r="K148" s="13">
        <f>IF(VLOOKUP(B148,Database!$A:$AV,MATCH($K$1,Database!$A$1:$AV$1,),)=0,"#N/A",((((VLOOKUP(B148,Database!$A:$AS,MATCH($K$1,Database!$A$1:$AS$1,),))))-(((VLOOKUP(EDATE(B148,-12),Database!$A:$AS,MATCH($K$1,Database!$A$1:$AS$1,),)))))/(((VLOOKUP(EDATE(B148,-12),Database!$A:$AS,MATCH($K$1,Database!$A$1:$AS$1,),)))))</f>
        <v/>
      </c>
      <c r="L148" s="13">
        <f>((((VLOOKUP(B148,Database!$A:$AS,MATCH($L$1,Database!$A$1:$AS$1,),))))-(((VLOOKUP(EDATE(B148,-12),Database!$A:$AS,MATCH($L$1,Database!$A$1:$AS$1,),)))))/(((VLOOKUP(EDATE(B148,-12),Database!$A:$AS,MATCH($L$1,Database!$A$1:$AS$1,),))))</f>
        <v/>
      </c>
      <c r="M148" s="13">
        <f>((((VLOOKUP(B148,Database!$A:$AS,MATCH($M$1,Database!$A$1:$AS$1,),))))-(((VLOOKUP(EDATE(B148,-12),Database!$A:$AS,MATCH($M$1,Database!$A$1:$AS$1,),)))))/(((VLOOKUP(EDATE(B148,-12),Database!$A:$AS,MATCH($M$1,Database!$A$1:$AS$1,),))))</f>
        <v/>
      </c>
      <c r="N148" s="13">
        <f>((((VLOOKUP(B148,Database!$A:$AS,MATCH($N$1,Database!$A$1:$AS$1,),))))-(((VLOOKUP(EDATE(B148,-12),Database!$A:$AS,MATCH($N$1,Database!$A$1:$AS$1,),)))))/(((VLOOKUP(EDATE(B148,-12),Database!$A:$AS,MATCH($N$1,Database!$A$1:$AS$1,),))))</f>
        <v/>
      </c>
      <c r="O148" s="13">
        <f>IF(VLOOKUP(B148,Database!$A:$AV,MATCH($O$1,Database!$A$1:$AV$1,),)=0,"#N/A",((((VLOOKUP(B148,Database!$A:$AS,MATCH($O$1,Database!$A$1:$AS$1,),))))-(((VLOOKUP(EDATE(B148,-12),Database!$A:$AS,MATCH($O$1,Database!$A$1:$AS$1,),)))))/(((VLOOKUP(EDATE(B148,-12),Database!$A:$AS,MATCH($O$1,Database!$A$1:$AS$1,),)))))</f>
        <v/>
      </c>
      <c r="P148" s="13">
        <f>IF(VLOOKUP(B148,Database!$A:$AV,MATCH($P$1,Database!$A$1:$AV$1,),)=0,"#N/A",((((VLOOKUP(B148,Database!$A:$AS,MATCH($P$1,Database!$A$1:$AS$1,),))))-(((VLOOKUP(EDATE(B148,-12),Database!$A:$AS,MATCH($P$1,Database!$A$1:$AS$1,),)))))/(((VLOOKUP(EDATE(B148,-12),Database!$A:$AS,MATCH($P$1,Database!$A$1:$AS$1,),)))))</f>
        <v/>
      </c>
      <c r="Q148" s="13">
        <f>IF(VLOOKUP(B148,Database!$A:$AV,MATCH($Q$1,Database!$A$1:$AV$1,),)=0,"#N/A",((((VLOOKUP(B148,Database!$A:$AS,MATCH($Q$1,Database!$A$1:$AS$1,),))))-(((VLOOKUP(EDATE(B148,-12),Database!$A:$AS,MATCH($Q$1,Database!$A$1:$AS$1,),)))))/(((VLOOKUP(EDATE(B148,-12),Database!$A:$AS,MATCH($Q$1,Database!$A$1:$AS$1,),)))))</f>
        <v/>
      </c>
      <c r="R148" s="13">
        <f>IF(VLOOKUP(B148,Database!$A:$AV,MATCH($R$1,Database!$A$1:$AV$1,),)=0,"#N/A",((((VLOOKUP(B148,Database!$A:$AS,MATCH($R$1,Database!$A$1:$AS$1,),))))-(((VLOOKUP(EDATE(B148,-12),Database!$A:$AS,MATCH($R$1,Database!$A$1:$AS$1,),)))))/(((VLOOKUP(EDATE(B148,-12),Database!$A:$AS,MATCH($R$1,Database!$A$1:$AS$1,),)))))</f>
        <v/>
      </c>
      <c r="S148" s="13">
        <f>IF(VLOOKUP(B148,Database!$A:$AV,MATCH($S$1,Database!$A$1:$AV$1,),)=0,"#N/A",((((VLOOKUP(B148,Database!$A:$AS,MATCH($S$1,Database!$A$1:$AS$1,),))))-(((VLOOKUP(EDATE(B148,-12),Database!$A:$AS,MATCH($S$1,Database!$A$1:$AS$1,),)))))/(((VLOOKUP(EDATE(B148,-12),Database!$A:$AS,MATCH($S$1,Database!$A$1:$AS$1,),)))))</f>
        <v/>
      </c>
      <c r="T148" s="13">
        <f>IF(VLOOKUP(B148,Database!$A:$AV,MATCH($T$1,Database!$A$1:$AV$1,),)=0,"#N/A",((((VLOOKUP(B148,Database!$A:$AS,MATCH($T$1,Database!$A$1:$AS$1,),))))-(((VLOOKUP(EDATE(B148,-12),Database!$A:$AS,MATCH($T$1,Database!$A$1:$AS$1,),)))))/(((VLOOKUP(EDATE(B148,-12),Database!$A:$AS,MATCH($T$1,Database!$A$1:$AS$1,),)))))</f>
        <v/>
      </c>
      <c r="U148" s="13">
        <f>IF(VLOOKUP(B148,Database!$A:$AV,MATCH($U$1,Database!$A$1:$AV$1,),)=0,"#N/A",((((VLOOKUP(B148,Database!$A:$AS,MATCH($U$1,Database!$A$1:$AS$1,),))))-(((VLOOKUP(EDATE(B148,-12),Database!$A:$AS,MATCH($U$1,Database!$A$1:$AS$1,),)))))/(((VLOOKUP(EDATE(B148,-12),Database!$A:$AS,MATCH($U$1,Database!$A$1:$AS$1,),)))))</f>
        <v/>
      </c>
      <c r="V148" s="13">
        <f>IF(VLOOKUP(B148,Database!$A:$AV,MATCH($V$1,Database!$A$1:$AV$1,),)=0,"#N/A",((((VLOOKUP(B148,Database!$A:$AS,MATCH($V$1,Database!$A$1:$AS$1,),))))-(((VLOOKUP(EDATE(B148,-12),Database!$A:$AS,MATCH($V$1,Database!$A$1:$AS$1,),)))))/(((VLOOKUP(EDATE(B148,-12),Database!$A:$AS,MATCH($V$1,Database!$A$1:$AS$1,),)))))</f>
        <v/>
      </c>
    </row>
    <row r="149" customFormat="1" s="86">
      <c r="A149" s="43" t="n"/>
      <c r="B149" s="75" t="n">
        <v>36678</v>
      </c>
      <c r="C149" s="13">
        <f>IF(VLOOKUP(B149,Database!$A:$AU,MATCH($C$1,Database!$A$1:$AU$1,),)=0,"#N/A",((((VLOOKUP(B149,Database!$A:$AU,MATCH($C$1,Database!$A$1:$AU$1,),))))-(((VLOOKUP(EDATE(B149,-12),Database!$A:$AU,MATCH($C$1,Database!$A$1:$AU$1,),)))))/(((VLOOKUP(EDATE(B149,-12),Database!$A:$AU,MATCH($C$1,Database!$A$1:$AU$1,),)))))</f>
        <v/>
      </c>
      <c r="D149" s="13">
        <f>IF(VLOOKUP(B149,Database!$A:$AV,MATCH($D$1,Database!$A$1:$AV$1,),)=0,"#N/A",((((VLOOKUP(B149,Database!$A:$AS,MATCH($D$1,Database!$A$1:$AS$1,),))))-(((VLOOKUP(EDATE(B149,-12),Database!$A:$AS,MATCH($D$1,Database!$A$1:$AS$1,),)))))/(((VLOOKUP(EDATE(B149,-12),Database!$A:$AS,MATCH($D$1,Database!$A$1:$AS$1,),)))))</f>
        <v/>
      </c>
      <c r="E149" s="13">
        <f>IF(VLOOKUP(B149,Database!$A:$AV,MATCH($E$1,Database!$A$1:$AV$1,),)=0,"#N/A",((((VLOOKUP(B149,Database!$A:$AS,MATCH($E$1,Database!$A$1:$AS$1,),))))-(((VLOOKUP(EDATE(B149,-12),Database!$A:$AS,MATCH($E$1,Database!$A$1:$AS$1,),)))))/(((VLOOKUP(EDATE(B149,-12),Database!$A:$AS,MATCH($E$1,Database!$A$1:$AS$1,),)))))</f>
        <v/>
      </c>
      <c r="F149" s="13">
        <f>IF(VLOOKUP(B149,Database!$A:$AV,MATCH($F$1,Database!$A$1:$AV$1,),)=0,"#N/A",((((VLOOKUP(B149,Database!$A:$AS,MATCH($F$1,Database!$A$1:$AS$1,),))))-(((VLOOKUP(EDATE(B149,-12),Database!$A:$AS,MATCH($F$1,Database!$A$1:$AS$1,),)))))/(((VLOOKUP(EDATE(B149,-12),Database!$A:$AS,MATCH($F$1,Database!$A$1:$AS$1,),)))))</f>
        <v/>
      </c>
      <c r="G149" s="13">
        <f>IF(VLOOKUP(B149,Database!$A:$AV,MATCH($G$1,Database!$A$1:$AV$1,),)=0,"#N/A",((((VLOOKUP(B149,Database!$A:$AS,MATCH($G$1,Database!$A$1:$AS$1,),))))-(((VLOOKUP(EDATE(B149,-12),Database!$A:$AS,MATCH($G$1,Database!$A$1:$AS$1,),)))))/(((VLOOKUP(EDATE(B149,-12),Database!$A:$AS,MATCH($G$1,Database!$A$1:$AS$1,),)))))</f>
        <v/>
      </c>
      <c r="H149" s="13">
        <f>IF(VLOOKUP(B149,Database!$A:$AV,MATCH($H$1,Database!$A$1:$AV$1,),)=0,"#N/A",((((VLOOKUP(B149,Database!$A:$AS,MATCH($H$1,Database!$A$1:$AS$1,),))))-(((VLOOKUP(EDATE(B149,-12),Database!$A:$AS,MATCH($H$1,Database!$A$1:$AS$1,),)))))/(((VLOOKUP(EDATE(B149,-12),Database!$A:$AS,MATCH($H$1,Database!$A$1:$AS$1,),)))))</f>
        <v/>
      </c>
      <c r="I149" s="13">
        <f>IF(VLOOKUP(B149,Database!$A:$AV,MATCH($I$1,Database!$A$1:$AV$1,),)=0,"#N/A",((((VLOOKUP(B149,Database!$A:$AS,MATCH($I$1,Database!$A$1:$AS$1,),))))-(((VLOOKUP(EDATE(B149,-12),Database!$A:$AS,MATCH($I$1,Database!$A$1:$AS$1,),)))))/(((VLOOKUP(EDATE(B149,-12),Database!$A:$AS,MATCH($I$1,Database!$A$1:$AS$1,),)))))</f>
        <v/>
      </c>
      <c r="J149" s="13">
        <f>IF(VLOOKUP(B149,Database!$A:$AV,MATCH($J$1,Database!$A$1:$AV$1,),)=0,"#N/A",((((VLOOKUP(B149,Database!$A:$AS,MATCH($J$1,Database!$A$1:$AS$1,),))))-(((VLOOKUP(EDATE(B149,-12),Database!$A:$AS,MATCH($J$1,Database!$A$1:$AS$1,),)))))/(((VLOOKUP(EDATE(B149,-12),Database!$A:$AS,MATCH($J$1,Database!$A$1:$AS$1,),)))))</f>
        <v/>
      </c>
      <c r="K149" s="13">
        <f>IF(VLOOKUP(B149,Database!$A:$AV,MATCH($K$1,Database!$A$1:$AV$1,),)=0,"#N/A",((((VLOOKUP(B149,Database!$A:$AS,MATCH($K$1,Database!$A$1:$AS$1,),))))-(((VLOOKUP(EDATE(B149,-12),Database!$A:$AS,MATCH($K$1,Database!$A$1:$AS$1,),)))))/(((VLOOKUP(EDATE(B149,-12),Database!$A:$AS,MATCH($K$1,Database!$A$1:$AS$1,),)))))</f>
        <v/>
      </c>
      <c r="L149" s="13">
        <f>((((VLOOKUP(B149,Database!$A:$AS,MATCH($L$1,Database!$A$1:$AS$1,),))))-(((VLOOKUP(EDATE(B149,-12),Database!$A:$AS,MATCH($L$1,Database!$A$1:$AS$1,),)))))/(((VLOOKUP(EDATE(B149,-12),Database!$A:$AS,MATCH($L$1,Database!$A$1:$AS$1,),))))</f>
        <v/>
      </c>
      <c r="M149" s="13">
        <f>((((VLOOKUP(B149,Database!$A:$AS,MATCH($M$1,Database!$A$1:$AS$1,),))))-(((VLOOKUP(EDATE(B149,-12),Database!$A:$AS,MATCH($M$1,Database!$A$1:$AS$1,),)))))/(((VLOOKUP(EDATE(B149,-12),Database!$A:$AS,MATCH($M$1,Database!$A$1:$AS$1,),))))</f>
        <v/>
      </c>
      <c r="N149" s="13">
        <f>((((VLOOKUP(B149,Database!$A:$AS,MATCH($N$1,Database!$A$1:$AS$1,),))))-(((VLOOKUP(EDATE(B149,-12),Database!$A:$AS,MATCH($N$1,Database!$A$1:$AS$1,),)))))/(((VLOOKUP(EDATE(B149,-12),Database!$A:$AS,MATCH($N$1,Database!$A$1:$AS$1,),))))</f>
        <v/>
      </c>
      <c r="O149" s="13">
        <f>IF(VLOOKUP(B149,Database!$A:$AV,MATCH($O$1,Database!$A$1:$AV$1,),)=0,"#N/A",((((VLOOKUP(B149,Database!$A:$AS,MATCH($O$1,Database!$A$1:$AS$1,),))))-(((VLOOKUP(EDATE(B149,-12),Database!$A:$AS,MATCH($O$1,Database!$A$1:$AS$1,),)))))/(((VLOOKUP(EDATE(B149,-12),Database!$A:$AS,MATCH($O$1,Database!$A$1:$AS$1,),)))))</f>
        <v/>
      </c>
      <c r="P149" s="13">
        <f>IF(VLOOKUP(B149,Database!$A:$AV,MATCH($P$1,Database!$A$1:$AV$1,),)=0,"#N/A",((((VLOOKUP(B149,Database!$A:$AS,MATCH($P$1,Database!$A$1:$AS$1,),))))-(((VLOOKUP(EDATE(B149,-12),Database!$A:$AS,MATCH($P$1,Database!$A$1:$AS$1,),)))))/(((VLOOKUP(EDATE(B149,-12),Database!$A:$AS,MATCH($P$1,Database!$A$1:$AS$1,),)))))</f>
        <v/>
      </c>
      <c r="Q149" s="13">
        <f>IF(VLOOKUP(B149,Database!$A:$AV,MATCH($Q$1,Database!$A$1:$AV$1,),)=0,"#N/A",((((VLOOKUP(B149,Database!$A:$AS,MATCH($Q$1,Database!$A$1:$AS$1,),))))-(((VLOOKUP(EDATE(B149,-12),Database!$A:$AS,MATCH($Q$1,Database!$A$1:$AS$1,),)))))/(((VLOOKUP(EDATE(B149,-12),Database!$A:$AS,MATCH($Q$1,Database!$A$1:$AS$1,),)))))</f>
        <v/>
      </c>
      <c r="R149" s="13">
        <f>IF(VLOOKUP(B149,Database!$A:$AV,MATCH($R$1,Database!$A$1:$AV$1,),)=0,"#N/A",((((VLOOKUP(B149,Database!$A:$AS,MATCH($R$1,Database!$A$1:$AS$1,),))))-(((VLOOKUP(EDATE(B149,-12),Database!$A:$AS,MATCH($R$1,Database!$A$1:$AS$1,),)))))/(((VLOOKUP(EDATE(B149,-12),Database!$A:$AS,MATCH($R$1,Database!$A$1:$AS$1,),)))))</f>
        <v/>
      </c>
      <c r="S149" s="13">
        <f>IF(VLOOKUP(B149,Database!$A:$AV,MATCH($S$1,Database!$A$1:$AV$1,),)=0,"#N/A",((((VLOOKUP(B149,Database!$A:$AS,MATCH($S$1,Database!$A$1:$AS$1,),))))-(((VLOOKUP(EDATE(B149,-12),Database!$A:$AS,MATCH($S$1,Database!$A$1:$AS$1,),)))))/(((VLOOKUP(EDATE(B149,-12),Database!$A:$AS,MATCH($S$1,Database!$A$1:$AS$1,),)))))</f>
        <v/>
      </c>
      <c r="T149" s="13">
        <f>IF(VLOOKUP(B149,Database!$A:$AV,MATCH($T$1,Database!$A$1:$AV$1,),)=0,"#N/A",((((VLOOKUP(B149,Database!$A:$AS,MATCH($T$1,Database!$A$1:$AS$1,),))))-(((VLOOKUP(EDATE(B149,-12),Database!$A:$AS,MATCH($T$1,Database!$A$1:$AS$1,),)))))/(((VLOOKUP(EDATE(B149,-12),Database!$A:$AS,MATCH($T$1,Database!$A$1:$AS$1,),)))))</f>
        <v/>
      </c>
      <c r="U149" s="13">
        <f>IF(VLOOKUP(B149,Database!$A:$AV,MATCH($U$1,Database!$A$1:$AV$1,),)=0,"#N/A",((((VLOOKUP(B149,Database!$A:$AS,MATCH($U$1,Database!$A$1:$AS$1,),))))-(((VLOOKUP(EDATE(B149,-12),Database!$A:$AS,MATCH($U$1,Database!$A$1:$AS$1,),)))))/(((VLOOKUP(EDATE(B149,-12),Database!$A:$AS,MATCH($U$1,Database!$A$1:$AS$1,),)))))</f>
        <v/>
      </c>
      <c r="V149" s="13">
        <f>IF(VLOOKUP(B149,Database!$A:$AV,MATCH($V$1,Database!$A$1:$AV$1,),)=0,"#N/A",((((VLOOKUP(B149,Database!$A:$AS,MATCH($V$1,Database!$A$1:$AS$1,),))))-(((VLOOKUP(EDATE(B149,-12),Database!$A:$AS,MATCH($V$1,Database!$A$1:$AS$1,),)))))/(((VLOOKUP(EDATE(B149,-12),Database!$A:$AS,MATCH($V$1,Database!$A$1:$AS$1,),)))))</f>
        <v/>
      </c>
    </row>
    <row r="150" customFormat="1" s="86">
      <c r="A150" s="43" t="n"/>
      <c r="B150" s="75" t="n">
        <v>36708</v>
      </c>
      <c r="C150" s="13">
        <f>IF(VLOOKUP(B150,Database!$A:$AU,MATCH($C$1,Database!$A$1:$AU$1,),)=0,"#N/A",((((VLOOKUP(B150,Database!$A:$AU,MATCH($C$1,Database!$A$1:$AU$1,),))))-(((VLOOKUP(EDATE(B150,-12),Database!$A:$AU,MATCH($C$1,Database!$A$1:$AU$1,),)))))/(((VLOOKUP(EDATE(B150,-12),Database!$A:$AU,MATCH($C$1,Database!$A$1:$AU$1,),)))))</f>
        <v/>
      </c>
      <c r="D150" s="13">
        <f>IF(VLOOKUP(B150,Database!$A:$AV,MATCH($D$1,Database!$A$1:$AV$1,),)=0,"#N/A",((((VLOOKUP(B150,Database!$A:$AS,MATCH($D$1,Database!$A$1:$AS$1,),))))-(((VLOOKUP(EDATE(B150,-12),Database!$A:$AS,MATCH($D$1,Database!$A$1:$AS$1,),)))))/(((VLOOKUP(EDATE(B150,-12),Database!$A:$AS,MATCH($D$1,Database!$A$1:$AS$1,),)))))</f>
        <v/>
      </c>
      <c r="E150" s="13">
        <f>IF(VLOOKUP(B150,Database!$A:$AV,MATCH($E$1,Database!$A$1:$AV$1,),)=0,"#N/A",((((VLOOKUP(B150,Database!$A:$AS,MATCH($E$1,Database!$A$1:$AS$1,),))))-(((VLOOKUP(EDATE(B150,-12),Database!$A:$AS,MATCH($E$1,Database!$A$1:$AS$1,),)))))/(((VLOOKUP(EDATE(B150,-12),Database!$A:$AS,MATCH($E$1,Database!$A$1:$AS$1,),)))))</f>
        <v/>
      </c>
      <c r="F150" s="13">
        <f>IF(VLOOKUP(B150,Database!$A:$AV,MATCH($F$1,Database!$A$1:$AV$1,),)=0,"#N/A",((((VLOOKUP(B150,Database!$A:$AS,MATCH($F$1,Database!$A$1:$AS$1,),))))-(((VLOOKUP(EDATE(B150,-12),Database!$A:$AS,MATCH($F$1,Database!$A$1:$AS$1,),)))))/(((VLOOKUP(EDATE(B150,-12),Database!$A:$AS,MATCH($F$1,Database!$A$1:$AS$1,),)))))</f>
        <v/>
      </c>
      <c r="G150" s="13">
        <f>IF(VLOOKUP(B150,Database!$A:$AV,MATCH($G$1,Database!$A$1:$AV$1,),)=0,"#N/A",((((VLOOKUP(B150,Database!$A:$AS,MATCH($G$1,Database!$A$1:$AS$1,),))))-(((VLOOKUP(EDATE(B150,-12),Database!$A:$AS,MATCH($G$1,Database!$A$1:$AS$1,),)))))/(((VLOOKUP(EDATE(B150,-12),Database!$A:$AS,MATCH($G$1,Database!$A$1:$AS$1,),)))))</f>
        <v/>
      </c>
      <c r="H150" s="13">
        <f>IF(VLOOKUP(B150,Database!$A:$AV,MATCH($H$1,Database!$A$1:$AV$1,),)=0,"#N/A",((((VLOOKUP(B150,Database!$A:$AS,MATCH($H$1,Database!$A$1:$AS$1,),))))-(((VLOOKUP(EDATE(B150,-12),Database!$A:$AS,MATCH($H$1,Database!$A$1:$AS$1,),)))))/(((VLOOKUP(EDATE(B150,-12),Database!$A:$AS,MATCH($H$1,Database!$A$1:$AS$1,),)))))</f>
        <v/>
      </c>
      <c r="I150" s="13">
        <f>IF(VLOOKUP(B150,Database!$A:$AV,MATCH($I$1,Database!$A$1:$AV$1,),)=0,"#N/A",((((VLOOKUP(B150,Database!$A:$AS,MATCH($I$1,Database!$A$1:$AS$1,),))))-(((VLOOKUP(EDATE(B150,-12),Database!$A:$AS,MATCH($I$1,Database!$A$1:$AS$1,),)))))/(((VLOOKUP(EDATE(B150,-12),Database!$A:$AS,MATCH($I$1,Database!$A$1:$AS$1,),)))))</f>
        <v/>
      </c>
      <c r="J150" s="13">
        <f>IF(VLOOKUP(B150,Database!$A:$AV,MATCH($J$1,Database!$A$1:$AV$1,),)=0,"#N/A",((((VLOOKUP(B150,Database!$A:$AS,MATCH($J$1,Database!$A$1:$AS$1,),))))-(((VLOOKUP(EDATE(B150,-12),Database!$A:$AS,MATCH($J$1,Database!$A$1:$AS$1,),)))))/(((VLOOKUP(EDATE(B150,-12),Database!$A:$AS,MATCH($J$1,Database!$A$1:$AS$1,),)))))</f>
        <v/>
      </c>
      <c r="K150" s="13">
        <f>IF(VLOOKUP(B150,Database!$A:$AV,MATCH($K$1,Database!$A$1:$AV$1,),)=0,"#N/A",((((VLOOKUP(B150,Database!$A:$AS,MATCH($K$1,Database!$A$1:$AS$1,),))))-(((VLOOKUP(EDATE(B150,-12),Database!$A:$AS,MATCH($K$1,Database!$A$1:$AS$1,),)))))/(((VLOOKUP(EDATE(B150,-12),Database!$A:$AS,MATCH($K$1,Database!$A$1:$AS$1,),)))))</f>
        <v/>
      </c>
      <c r="L150" s="13">
        <f>((((VLOOKUP(B150,Database!$A:$AS,MATCH($L$1,Database!$A$1:$AS$1,),))))-(((VLOOKUP(EDATE(B150,-12),Database!$A:$AS,MATCH($L$1,Database!$A$1:$AS$1,),)))))/(((VLOOKUP(EDATE(B150,-12),Database!$A:$AS,MATCH($L$1,Database!$A$1:$AS$1,),))))</f>
        <v/>
      </c>
      <c r="M150" s="13">
        <f>((((VLOOKUP(B150,Database!$A:$AS,MATCH($M$1,Database!$A$1:$AS$1,),))))-(((VLOOKUP(EDATE(B150,-12),Database!$A:$AS,MATCH($M$1,Database!$A$1:$AS$1,),)))))/(((VLOOKUP(EDATE(B150,-12),Database!$A:$AS,MATCH($M$1,Database!$A$1:$AS$1,),))))</f>
        <v/>
      </c>
      <c r="N150" s="13">
        <f>((((VLOOKUP(B150,Database!$A:$AS,MATCH($N$1,Database!$A$1:$AS$1,),))))-(((VLOOKUP(EDATE(B150,-12),Database!$A:$AS,MATCH($N$1,Database!$A$1:$AS$1,),)))))/(((VLOOKUP(EDATE(B150,-12),Database!$A:$AS,MATCH($N$1,Database!$A$1:$AS$1,),))))</f>
        <v/>
      </c>
      <c r="O150" s="13">
        <f>IF(VLOOKUP(B150,Database!$A:$AV,MATCH($O$1,Database!$A$1:$AV$1,),)=0,"#N/A",((((VLOOKUP(B150,Database!$A:$AS,MATCH($O$1,Database!$A$1:$AS$1,),))))-(((VLOOKUP(EDATE(B150,-12),Database!$A:$AS,MATCH($O$1,Database!$A$1:$AS$1,),)))))/(((VLOOKUP(EDATE(B150,-12),Database!$A:$AS,MATCH($O$1,Database!$A$1:$AS$1,),)))))</f>
        <v/>
      </c>
      <c r="P150" s="13">
        <f>IF(VLOOKUP(B150,Database!$A:$AV,MATCH($P$1,Database!$A$1:$AV$1,),)=0,"#N/A",((((VLOOKUP(B150,Database!$A:$AS,MATCH($P$1,Database!$A$1:$AS$1,),))))-(((VLOOKUP(EDATE(B150,-12),Database!$A:$AS,MATCH($P$1,Database!$A$1:$AS$1,),)))))/(((VLOOKUP(EDATE(B150,-12),Database!$A:$AS,MATCH($P$1,Database!$A$1:$AS$1,),)))))</f>
        <v/>
      </c>
      <c r="Q150" s="13">
        <f>IF(VLOOKUP(B150,Database!$A:$AV,MATCH($Q$1,Database!$A$1:$AV$1,),)=0,"#N/A",((((VLOOKUP(B150,Database!$A:$AS,MATCH($Q$1,Database!$A$1:$AS$1,),))))-(((VLOOKUP(EDATE(B150,-12),Database!$A:$AS,MATCH($Q$1,Database!$A$1:$AS$1,),)))))/(((VLOOKUP(EDATE(B150,-12),Database!$A:$AS,MATCH($Q$1,Database!$A$1:$AS$1,),)))))</f>
        <v/>
      </c>
      <c r="R150" s="13">
        <f>IF(VLOOKUP(B150,Database!$A:$AV,MATCH($R$1,Database!$A$1:$AV$1,),)=0,"#N/A",((((VLOOKUP(B150,Database!$A:$AS,MATCH($R$1,Database!$A$1:$AS$1,),))))-(((VLOOKUP(EDATE(B150,-12),Database!$A:$AS,MATCH($R$1,Database!$A$1:$AS$1,),)))))/(((VLOOKUP(EDATE(B150,-12),Database!$A:$AS,MATCH($R$1,Database!$A$1:$AS$1,),)))))</f>
        <v/>
      </c>
      <c r="S150" s="13">
        <f>IF(VLOOKUP(B150,Database!$A:$AV,MATCH($S$1,Database!$A$1:$AV$1,),)=0,"#N/A",((((VLOOKUP(B150,Database!$A:$AS,MATCH($S$1,Database!$A$1:$AS$1,),))))-(((VLOOKUP(EDATE(B150,-12),Database!$A:$AS,MATCH($S$1,Database!$A$1:$AS$1,),)))))/(((VLOOKUP(EDATE(B150,-12),Database!$A:$AS,MATCH($S$1,Database!$A$1:$AS$1,),)))))</f>
        <v/>
      </c>
      <c r="T150" s="13">
        <f>IF(VLOOKUP(B150,Database!$A:$AV,MATCH($T$1,Database!$A$1:$AV$1,),)=0,"#N/A",((((VLOOKUP(B150,Database!$A:$AS,MATCH($T$1,Database!$A$1:$AS$1,),))))-(((VLOOKUP(EDATE(B150,-12),Database!$A:$AS,MATCH($T$1,Database!$A$1:$AS$1,),)))))/(((VLOOKUP(EDATE(B150,-12),Database!$A:$AS,MATCH($T$1,Database!$A$1:$AS$1,),)))))</f>
        <v/>
      </c>
      <c r="U150" s="13">
        <f>IF(VLOOKUP(B150,Database!$A:$AV,MATCH($U$1,Database!$A$1:$AV$1,),)=0,"#N/A",((((VLOOKUP(B150,Database!$A:$AS,MATCH($U$1,Database!$A$1:$AS$1,),))))-(((VLOOKUP(EDATE(B150,-12),Database!$A:$AS,MATCH($U$1,Database!$A$1:$AS$1,),)))))/(((VLOOKUP(EDATE(B150,-12),Database!$A:$AS,MATCH($U$1,Database!$A$1:$AS$1,),)))))</f>
        <v/>
      </c>
      <c r="V150" s="13">
        <f>IF(VLOOKUP(B150,Database!$A:$AV,MATCH($V$1,Database!$A$1:$AV$1,),)=0,"#N/A",((((VLOOKUP(B150,Database!$A:$AS,MATCH($V$1,Database!$A$1:$AS$1,),))))-(((VLOOKUP(EDATE(B150,-12),Database!$A:$AS,MATCH($V$1,Database!$A$1:$AS$1,),)))))/(((VLOOKUP(EDATE(B150,-12),Database!$A:$AS,MATCH($V$1,Database!$A$1:$AS$1,),)))))</f>
        <v/>
      </c>
    </row>
    <row r="151" customFormat="1" s="86">
      <c r="A151" s="43" t="n"/>
      <c r="B151" s="75" t="n">
        <v>36739</v>
      </c>
      <c r="C151" s="13">
        <f>IF(VLOOKUP(B151,Database!$A:$AU,MATCH($C$1,Database!$A$1:$AU$1,),)=0,"#N/A",((((VLOOKUP(B151,Database!$A:$AU,MATCH($C$1,Database!$A$1:$AU$1,),))))-(((VLOOKUP(EDATE(B151,-12),Database!$A:$AU,MATCH($C$1,Database!$A$1:$AU$1,),)))))/(((VLOOKUP(EDATE(B151,-12),Database!$A:$AU,MATCH($C$1,Database!$A$1:$AU$1,),)))))</f>
        <v/>
      </c>
      <c r="D151" s="13">
        <f>IF(VLOOKUP(B151,Database!$A:$AV,MATCH($D$1,Database!$A$1:$AV$1,),)=0,"#N/A",((((VLOOKUP(B151,Database!$A:$AS,MATCH($D$1,Database!$A$1:$AS$1,),))))-(((VLOOKUP(EDATE(B151,-12),Database!$A:$AS,MATCH($D$1,Database!$A$1:$AS$1,),)))))/(((VLOOKUP(EDATE(B151,-12),Database!$A:$AS,MATCH($D$1,Database!$A$1:$AS$1,),)))))</f>
        <v/>
      </c>
      <c r="E151" s="13">
        <f>IF(VLOOKUP(B151,Database!$A:$AV,MATCH($E$1,Database!$A$1:$AV$1,),)=0,"#N/A",((((VLOOKUP(B151,Database!$A:$AS,MATCH($E$1,Database!$A$1:$AS$1,),))))-(((VLOOKUP(EDATE(B151,-12),Database!$A:$AS,MATCH($E$1,Database!$A$1:$AS$1,),)))))/(((VLOOKUP(EDATE(B151,-12),Database!$A:$AS,MATCH($E$1,Database!$A$1:$AS$1,),)))))</f>
        <v/>
      </c>
      <c r="F151" s="13">
        <f>IF(VLOOKUP(B151,Database!$A:$AV,MATCH($F$1,Database!$A$1:$AV$1,),)=0,"#N/A",((((VLOOKUP(B151,Database!$A:$AS,MATCH($F$1,Database!$A$1:$AS$1,),))))-(((VLOOKUP(EDATE(B151,-12),Database!$A:$AS,MATCH($F$1,Database!$A$1:$AS$1,),)))))/(((VLOOKUP(EDATE(B151,-12),Database!$A:$AS,MATCH($F$1,Database!$A$1:$AS$1,),)))))</f>
        <v/>
      </c>
      <c r="G151" s="13">
        <f>IF(VLOOKUP(B151,Database!$A:$AV,MATCH($G$1,Database!$A$1:$AV$1,),)=0,"#N/A",((((VLOOKUP(B151,Database!$A:$AS,MATCH($G$1,Database!$A$1:$AS$1,),))))-(((VLOOKUP(EDATE(B151,-12),Database!$A:$AS,MATCH($G$1,Database!$A$1:$AS$1,),)))))/(((VLOOKUP(EDATE(B151,-12),Database!$A:$AS,MATCH($G$1,Database!$A$1:$AS$1,),)))))</f>
        <v/>
      </c>
      <c r="H151" s="13">
        <f>IF(VLOOKUP(B151,Database!$A:$AV,MATCH($H$1,Database!$A$1:$AV$1,),)=0,"#N/A",((((VLOOKUP(B151,Database!$A:$AS,MATCH($H$1,Database!$A$1:$AS$1,),))))-(((VLOOKUP(EDATE(B151,-12),Database!$A:$AS,MATCH($H$1,Database!$A$1:$AS$1,),)))))/(((VLOOKUP(EDATE(B151,-12),Database!$A:$AS,MATCH($H$1,Database!$A$1:$AS$1,),)))))</f>
        <v/>
      </c>
      <c r="I151" s="13">
        <f>IF(VLOOKUP(B151,Database!$A:$AV,MATCH($I$1,Database!$A$1:$AV$1,),)=0,"#N/A",((((VLOOKUP(B151,Database!$A:$AS,MATCH($I$1,Database!$A$1:$AS$1,),))))-(((VLOOKUP(EDATE(B151,-12),Database!$A:$AS,MATCH($I$1,Database!$A$1:$AS$1,),)))))/(((VLOOKUP(EDATE(B151,-12),Database!$A:$AS,MATCH($I$1,Database!$A$1:$AS$1,),)))))</f>
        <v/>
      </c>
      <c r="J151" s="13">
        <f>IF(VLOOKUP(B151,Database!$A:$AV,MATCH($J$1,Database!$A$1:$AV$1,),)=0,"#N/A",((((VLOOKUP(B151,Database!$A:$AS,MATCH($J$1,Database!$A$1:$AS$1,),))))-(((VLOOKUP(EDATE(B151,-12),Database!$A:$AS,MATCH($J$1,Database!$A$1:$AS$1,),)))))/(((VLOOKUP(EDATE(B151,-12),Database!$A:$AS,MATCH($J$1,Database!$A$1:$AS$1,),)))))</f>
        <v/>
      </c>
      <c r="K151" s="13">
        <f>IF(VLOOKUP(B151,Database!$A:$AV,MATCH($K$1,Database!$A$1:$AV$1,),)=0,"#N/A",((((VLOOKUP(B151,Database!$A:$AS,MATCH($K$1,Database!$A$1:$AS$1,),))))-(((VLOOKUP(EDATE(B151,-12),Database!$A:$AS,MATCH($K$1,Database!$A$1:$AS$1,),)))))/(((VLOOKUP(EDATE(B151,-12),Database!$A:$AS,MATCH($K$1,Database!$A$1:$AS$1,),)))))</f>
        <v/>
      </c>
      <c r="L151" s="13">
        <f>((((VLOOKUP(B151,Database!$A:$AS,MATCH($L$1,Database!$A$1:$AS$1,),))))-(((VLOOKUP(EDATE(B151,-12),Database!$A:$AS,MATCH($L$1,Database!$A$1:$AS$1,),)))))/(((VLOOKUP(EDATE(B151,-12),Database!$A:$AS,MATCH($L$1,Database!$A$1:$AS$1,),))))</f>
        <v/>
      </c>
      <c r="M151" s="13">
        <f>((((VLOOKUP(B151,Database!$A:$AS,MATCH($M$1,Database!$A$1:$AS$1,),))))-(((VLOOKUP(EDATE(B151,-12),Database!$A:$AS,MATCH($M$1,Database!$A$1:$AS$1,),)))))/(((VLOOKUP(EDATE(B151,-12),Database!$A:$AS,MATCH($M$1,Database!$A$1:$AS$1,),))))</f>
        <v/>
      </c>
      <c r="N151" s="13">
        <f>((((VLOOKUP(B151,Database!$A:$AS,MATCH($N$1,Database!$A$1:$AS$1,),))))-(((VLOOKUP(EDATE(B151,-12),Database!$A:$AS,MATCH($N$1,Database!$A$1:$AS$1,),)))))/(((VLOOKUP(EDATE(B151,-12),Database!$A:$AS,MATCH($N$1,Database!$A$1:$AS$1,),))))</f>
        <v/>
      </c>
      <c r="O151" s="13">
        <f>IF(VLOOKUP(B151,Database!$A:$AV,MATCH($O$1,Database!$A$1:$AV$1,),)=0,"#N/A",((((VLOOKUP(B151,Database!$A:$AS,MATCH($O$1,Database!$A$1:$AS$1,),))))-(((VLOOKUP(EDATE(B151,-12),Database!$A:$AS,MATCH($O$1,Database!$A$1:$AS$1,),)))))/(((VLOOKUP(EDATE(B151,-12),Database!$A:$AS,MATCH($O$1,Database!$A$1:$AS$1,),)))))</f>
        <v/>
      </c>
      <c r="P151" s="13">
        <f>IF(VLOOKUP(B151,Database!$A:$AV,MATCH($P$1,Database!$A$1:$AV$1,),)=0,"#N/A",((((VLOOKUP(B151,Database!$A:$AS,MATCH($P$1,Database!$A$1:$AS$1,),))))-(((VLOOKUP(EDATE(B151,-12),Database!$A:$AS,MATCH($P$1,Database!$A$1:$AS$1,),)))))/(((VLOOKUP(EDATE(B151,-12),Database!$A:$AS,MATCH($P$1,Database!$A$1:$AS$1,),)))))</f>
        <v/>
      </c>
      <c r="Q151" s="13">
        <f>IF(VLOOKUP(B151,Database!$A:$AV,MATCH($Q$1,Database!$A$1:$AV$1,),)=0,"#N/A",((((VLOOKUP(B151,Database!$A:$AS,MATCH($Q$1,Database!$A$1:$AS$1,),))))-(((VLOOKUP(EDATE(B151,-12),Database!$A:$AS,MATCH($Q$1,Database!$A$1:$AS$1,),)))))/(((VLOOKUP(EDATE(B151,-12),Database!$A:$AS,MATCH($Q$1,Database!$A$1:$AS$1,),)))))</f>
        <v/>
      </c>
      <c r="R151" s="13">
        <f>IF(VLOOKUP(B151,Database!$A:$AV,MATCH($R$1,Database!$A$1:$AV$1,),)=0,"#N/A",((((VLOOKUP(B151,Database!$A:$AS,MATCH($R$1,Database!$A$1:$AS$1,),))))-(((VLOOKUP(EDATE(B151,-12),Database!$A:$AS,MATCH($R$1,Database!$A$1:$AS$1,),)))))/(((VLOOKUP(EDATE(B151,-12),Database!$A:$AS,MATCH($R$1,Database!$A$1:$AS$1,),)))))</f>
        <v/>
      </c>
      <c r="S151" s="13">
        <f>IF(VLOOKUP(B151,Database!$A:$AV,MATCH($S$1,Database!$A$1:$AV$1,),)=0,"#N/A",((((VLOOKUP(B151,Database!$A:$AS,MATCH($S$1,Database!$A$1:$AS$1,),))))-(((VLOOKUP(EDATE(B151,-12),Database!$A:$AS,MATCH($S$1,Database!$A$1:$AS$1,),)))))/(((VLOOKUP(EDATE(B151,-12),Database!$A:$AS,MATCH($S$1,Database!$A$1:$AS$1,),)))))</f>
        <v/>
      </c>
      <c r="T151" s="13">
        <f>IF(VLOOKUP(B151,Database!$A:$AV,MATCH($T$1,Database!$A$1:$AV$1,),)=0,"#N/A",((((VLOOKUP(B151,Database!$A:$AS,MATCH($T$1,Database!$A$1:$AS$1,),))))-(((VLOOKUP(EDATE(B151,-12),Database!$A:$AS,MATCH($T$1,Database!$A$1:$AS$1,),)))))/(((VLOOKUP(EDATE(B151,-12),Database!$A:$AS,MATCH($T$1,Database!$A$1:$AS$1,),)))))</f>
        <v/>
      </c>
      <c r="U151" s="13">
        <f>IF(VLOOKUP(B151,Database!$A:$AV,MATCH($U$1,Database!$A$1:$AV$1,),)=0,"#N/A",((((VLOOKUP(B151,Database!$A:$AS,MATCH($U$1,Database!$A$1:$AS$1,),))))-(((VLOOKUP(EDATE(B151,-12),Database!$A:$AS,MATCH($U$1,Database!$A$1:$AS$1,),)))))/(((VLOOKUP(EDATE(B151,-12),Database!$A:$AS,MATCH($U$1,Database!$A$1:$AS$1,),)))))</f>
        <v/>
      </c>
      <c r="V151" s="13">
        <f>IF(VLOOKUP(B151,Database!$A:$AV,MATCH($V$1,Database!$A$1:$AV$1,),)=0,"#N/A",((((VLOOKUP(B151,Database!$A:$AS,MATCH($V$1,Database!$A$1:$AS$1,),))))-(((VLOOKUP(EDATE(B151,-12),Database!$A:$AS,MATCH($V$1,Database!$A$1:$AS$1,),)))))/(((VLOOKUP(EDATE(B151,-12),Database!$A:$AS,MATCH($V$1,Database!$A$1:$AS$1,),)))))</f>
        <v/>
      </c>
    </row>
    <row r="152" customFormat="1" s="86">
      <c r="A152" s="43" t="n"/>
      <c r="B152" s="75" t="n">
        <v>36770</v>
      </c>
      <c r="C152" s="13">
        <f>IF(VLOOKUP(B152,Database!$A:$AU,MATCH($C$1,Database!$A$1:$AU$1,),)=0,"#N/A",((((VLOOKUP(B152,Database!$A:$AU,MATCH($C$1,Database!$A$1:$AU$1,),))))-(((VLOOKUP(EDATE(B152,-12),Database!$A:$AU,MATCH($C$1,Database!$A$1:$AU$1,),)))))/(((VLOOKUP(EDATE(B152,-12),Database!$A:$AU,MATCH($C$1,Database!$A$1:$AU$1,),)))))</f>
        <v/>
      </c>
      <c r="D152" s="13">
        <f>IF(VLOOKUP(B152,Database!$A:$AV,MATCH($D$1,Database!$A$1:$AV$1,),)=0,"#N/A",((((VLOOKUP(B152,Database!$A:$AS,MATCH($D$1,Database!$A$1:$AS$1,),))))-(((VLOOKUP(EDATE(B152,-12),Database!$A:$AS,MATCH($D$1,Database!$A$1:$AS$1,),)))))/(((VLOOKUP(EDATE(B152,-12),Database!$A:$AS,MATCH($D$1,Database!$A$1:$AS$1,),)))))</f>
        <v/>
      </c>
      <c r="E152" s="13">
        <f>IF(VLOOKUP(B152,Database!$A:$AV,MATCH($E$1,Database!$A$1:$AV$1,),)=0,"#N/A",((((VLOOKUP(B152,Database!$A:$AS,MATCH($E$1,Database!$A$1:$AS$1,),))))-(((VLOOKUP(EDATE(B152,-12),Database!$A:$AS,MATCH($E$1,Database!$A$1:$AS$1,),)))))/(((VLOOKUP(EDATE(B152,-12),Database!$A:$AS,MATCH($E$1,Database!$A$1:$AS$1,),)))))</f>
        <v/>
      </c>
      <c r="F152" s="13">
        <f>IF(VLOOKUP(B152,Database!$A:$AV,MATCH($F$1,Database!$A$1:$AV$1,),)=0,"#N/A",((((VLOOKUP(B152,Database!$A:$AS,MATCH($F$1,Database!$A$1:$AS$1,),))))-(((VLOOKUP(EDATE(B152,-12),Database!$A:$AS,MATCH($F$1,Database!$A$1:$AS$1,),)))))/(((VLOOKUP(EDATE(B152,-12),Database!$A:$AS,MATCH($F$1,Database!$A$1:$AS$1,),)))))</f>
        <v/>
      </c>
      <c r="G152" s="13">
        <f>IF(VLOOKUP(B152,Database!$A:$AV,MATCH($G$1,Database!$A$1:$AV$1,),)=0,"#N/A",((((VLOOKUP(B152,Database!$A:$AS,MATCH($G$1,Database!$A$1:$AS$1,),))))-(((VLOOKUP(EDATE(B152,-12),Database!$A:$AS,MATCH($G$1,Database!$A$1:$AS$1,),)))))/(((VLOOKUP(EDATE(B152,-12),Database!$A:$AS,MATCH($G$1,Database!$A$1:$AS$1,),)))))</f>
        <v/>
      </c>
      <c r="H152" s="13">
        <f>IF(VLOOKUP(B152,Database!$A:$AV,MATCH($H$1,Database!$A$1:$AV$1,),)=0,"#N/A",((((VLOOKUP(B152,Database!$A:$AS,MATCH($H$1,Database!$A$1:$AS$1,),))))-(((VLOOKUP(EDATE(B152,-12),Database!$A:$AS,MATCH($H$1,Database!$A$1:$AS$1,),)))))/(((VLOOKUP(EDATE(B152,-12),Database!$A:$AS,MATCH($H$1,Database!$A$1:$AS$1,),)))))</f>
        <v/>
      </c>
      <c r="I152" s="13">
        <f>IF(VLOOKUP(B152,Database!$A:$AV,MATCH($I$1,Database!$A$1:$AV$1,),)=0,"#N/A",((((VLOOKUP(B152,Database!$A:$AS,MATCH($I$1,Database!$A$1:$AS$1,),))))-(((VLOOKUP(EDATE(B152,-12),Database!$A:$AS,MATCH($I$1,Database!$A$1:$AS$1,),)))))/(((VLOOKUP(EDATE(B152,-12),Database!$A:$AS,MATCH($I$1,Database!$A$1:$AS$1,),)))))</f>
        <v/>
      </c>
      <c r="J152" s="13">
        <f>IF(VLOOKUP(B152,Database!$A:$AV,MATCH($J$1,Database!$A$1:$AV$1,),)=0,"#N/A",((((VLOOKUP(B152,Database!$A:$AS,MATCH($J$1,Database!$A$1:$AS$1,),))))-(((VLOOKUP(EDATE(B152,-12),Database!$A:$AS,MATCH($J$1,Database!$A$1:$AS$1,),)))))/(((VLOOKUP(EDATE(B152,-12),Database!$A:$AS,MATCH($J$1,Database!$A$1:$AS$1,),)))))</f>
        <v/>
      </c>
      <c r="K152" s="13">
        <f>IF(VLOOKUP(B152,Database!$A:$AV,MATCH($K$1,Database!$A$1:$AV$1,),)=0,"#N/A",((((VLOOKUP(B152,Database!$A:$AS,MATCH($K$1,Database!$A$1:$AS$1,),))))-(((VLOOKUP(EDATE(B152,-12),Database!$A:$AS,MATCH($K$1,Database!$A$1:$AS$1,),)))))/(((VLOOKUP(EDATE(B152,-12),Database!$A:$AS,MATCH($K$1,Database!$A$1:$AS$1,),)))))</f>
        <v/>
      </c>
      <c r="L152" s="13">
        <f>((((VLOOKUP(B152,Database!$A:$AS,MATCH($L$1,Database!$A$1:$AS$1,),))))-(((VLOOKUP(EDATE(B152,-12),Database!$A:$AS,MATCH($L$1,Database!$A$1:$AS$1,),)))))/(((VLOOKUP(EDATE(B152,-12),Database!$A:$AS,MATCH($L$1,Database!$A$1:$AS$1,),))))</f>
        <v/>
      </c>
      <c r="M152" s="13">
        <f>((((VLOOKUP(B152,Database!$A:$AS,MATCH($M$1,Database!$A$1:$AS$1,),))))-(((VLOOKUP(EDATE(B152,-12),Database!$A:$AS,MATCH($M$1,Database!$A$1:$AS$1,),)))))/(((VLOOKUP(EDATE(B152,-12),Database!$A:$AS,MATCH($M$1,Database!$A$1:$AS$1,),))))</f>
        <v/>
      </c>
      <c r="N152" s="13">
        <f>((((VLOOKUP(B152,Database!$A:$AS,MATCH($N$1,Database!$A$1:$AS$1,),))))-(((VLOOKUP(EDATE(B152,-12),Database!$A:$AS,MATCH($N$1,Database!$A$1:$AS$1,),)))))/(((VLOOKUP(EDATE(B152,-12),Database!$A:$AS,MATCH($N$1,Database!$A$1:$AS$1,),))))</f>
        <v/>
      </c>
      <c r="O152" s="13">
        <f>IF(VLOOKUP(B152,Database!$A:$AV,MATCH($O$1,Database!$A$1:$AV$1,),)=0,"#N/A",((((VLOOKUP(B152,Database!$A:$AS,MATCH($O$1,Database!$A$1:$AS$1,),))))-(((VLOOKUP(EDATE(B152,-12),Database!$A:$AS,MATCH($O$1,Database!$A$1:$AS$1,),)))))/(((VLOOKUP(EDATE(B152,-12),Database!$A:$AS,MATCH($O$1,Database!$A$1:$AS$1,),)))))</f>
        <v/>
      </c>
      <c r="P152" s="13">
        <f>IF(VLOOKUP(B152,Database!$A:$AV,MATCH($P$1,Database!$A$1:$AV$1,),)=0,"#N/A",((((VLOOKUP(B152,Database!$A:$AS,MATCH($P$1,Database!$A$1:$AS$1,),))))-(((VLOOKUP(EDATE(B152,-12),Database!$A:$AS,MATCH($P$1,Database!$A$1:$AS$1,),)))))/(((VLOOKUP(EDATE(B152,-12),Database!$A:$AS,MATCH($P$1,Database!$A$1:$AS$1,),)))))</f>
        <v/>
      </c>
      <c r="Q152" s="13">
        <f>IF(VLOOKUP(B152,Database!$A:$AV,MATCH($Q$1,Database!$A$1:$AV$1,),)=0,"#N/A",((((VLOOKUP(B152,Database!$A:$AS,MATCH($Q$1,Database!$A$1:$AS$1,),))))-(((VLOOKUP(EDATE(B152,-12),Database!$A:$AS,MATCH($Q$1,Database!$A$1:$AS$1,),)))))/(((VLOOKUP(EDATE(B152,-12),Database!$A:$AS,MATCH($Q$1,Database!$A$1:$AS$1,),)))))</f>
        <v/>
      </c>
      <c r="R152" s="13">
        <f>IF(VLOOKUP(B152,Database!$A:$AV,MATCH($R$1,Database!$A$1:$AV$1,),)=0,"#N/A",((((VLOOKUP(B152,Database!$A:$AS,MATCH($R$1,Database!$A$1:$AS$1,),))))-(((VLOOKUP(EDATE(B152,-12),Database!$A:$AS,MATCH($R$1,Database!$A$1:$AS$1,),)))))/(((VLOOKUP(EDATE(B152,-12),Database!$A:$AS,MATCH($R$1,Database!$A$1:$AS$1,),)))))</f>
        <v/>
      </c>
      <c r="S152" s="13">
        <f>IF(VLOOKUP(B152,Database!$A:$AV,MATCH($S$1,Database!$A$1:$AV$1,),)=0,"#N/A",((((VLOOKUP(B152,Database!$A:$AS,MATCH($S$1,Database!$A$1:$AS$1,),))))-(((VLOOKUP(EDATE(B152,-12),Database!$A:$AS,MATCH($S$1,Database!$A$1:$AS$1,),)))))/(((VLOOKUP(EDATE(B152,-12),Database!$A:$AS,MATCH($S$1,Database!$A$1:$AS$1,),)))))</f>
        <v/>
      </c>
      <c r="T152" s="13">
        <f>IF(VLOOKUP(B152,Database!$A:$AV,MATCH($T$1,Database!$A$1:$AV$1,),)=0,"#N/A",((((VLOOKUP(B152,Database!$A:$AS,MATCH($T$1,Database!$A$1:$AS$1,),))))-(((VLOOKUP(EDATE(B152,-12),Database!$A:$AS,MATCH($T$1,Database!$A$1:$AS$1,),)))))/(((VLOOKUP(EDATE(B152,-12),Database!$A:$AS,MATCH($T$1,Database!$A$1:$AS$1,),)))))</f>
        <v/>
      </c>
      <c r="U152" s="13">
        <f>IF(VLOOKUP(B152,Database!$A:$AV,MATCH($U$1,Database!$A$1:$AV$1,),)=0,"#N/A",((((VLOOKUP(B152,Database!$A:$AS,MATCH($U$1,Database!$A$1:$AS$1,),))))-(((VLOOKUP(EDATE(B152,-12),Database!$A:$AS,MATCH($U$1,Database!$A$1:$AS$1,),)))))/(((VLOOKUP(EDATE(B152,-12),Database!$A:$AS,MATCH($U$1,Database!$A$1:$AS$1,),)))))</f>
        <v/>
      </c>
      <c r="V152" s="13">
        <f>IF(VLOOKUP(B152,Database!$A:$AV,MATCH($V$1,Database!$A$1:$AV$1,),)=0,"#N/A",((((VLOOKUP(B152,Database!$A:$AS,MATCH($V$1,Database!$A$1:$AS$1,),))))-(((VLOOKUP(EDATE(B152,-12),Database!$A:$AS,MATCH($V$1,Database!$A$1:$AS$1,),)))))/(((VLOOKUP(EDATE(B152,-12),Database!$A:$AS,MATCH($V$1,Database!$A$1:$AS$1,),)))))</f>
        <v/>
      </c>
    </row>
    <row r="153" customFormat="1" s="86">
      <c r="A153" s="43" t="n"/>
      <c r="B153" s="75" t="n">
        <v>36800</v>
      </c>
      <c r="C153" s="13">
        <f>IF(VLOOKUP(B153,Database!$A:$AU,MATCH($C$1,Database!$A$1:$AU$1,),)=0,"#N/A",((((VLOOKUP(B153,Database!$A:$AU,MATCH($C$1,Database!$A$1:$AU$1,),))))-(((VLOOKUP(EDATE(B153,-12),Database!$A:$AU,MATCH($C$1,Database!$A$1:$AU$1,),)))))/(((VLOOKUP(EDATE(B153,-12),Database!$A:$AU,MATCH($C$1,Database!$A$1:$AU$1,),)))))</f>
        <v/>
      </c>
      <c r="D153" s="13">
        <f>IF(VLOOKUP(B153,Database!$A:$AV,MATCH($D$1,Database!$A$1:$AV$1,),)=0,"#N/A",((((VLOOKUP(B153,Database!$A:$AS,MATCH($D$1,Database!$A$1:$AS$1,),))))-(((VLOOKUP(EDATE(B153,-12),Database!$A:$AS,MATCH($D$1,Database!$A$1:$AS$1,),)))))/(((VLOOKUP(EDATE(B153,-12),Database!$A:$AS,MATCH($D$1,Database!$A$1:$AS$1,),)))))</f>
        <v/>
      </c>
      <c r="E153" s="13">
        <f>IF(VLOOKUP(B153,Database!$A:$AV,MATCH($E$1,Database!$A$1:$AV$1,),)=0,"#N/A",((((VLOOKUP(B153,Database!$A:$AS,MATCH($E$1,Database!$A$1:$AS$1,),))))-(((VLOOKUP(EDATE(B153,-12),Database!$A:$AS,MATCH($E$1,Database!$A$1:$AS$1,),)))))/(((VLOOKUP(EDATE(B153,-12),Database!$A:$AS,MATCH($E$1,Database!$A$1:$AS$1,),)))))</f>
        <v/>
      </c>
      <c r="F153" s="13">
        <f>IF(VLOOKUP(B153,Database!$A:$AV,MATCH($F$1,Database!$A$1:$AV$1,),)=0,"#N/A",((((VLOOKUP(B153,Database!$A:$AS,MATCH($F$1,Database!$A$1:$AS$1,),))))-(((VLOOKUP(EDATE(B153,-12),Database!$A:$AS,MATCH($F$1,Database!$A$1:$AS$1,),)))))/(((VLOOKUP(EDATE(B153,-12),Database!$A:$AS,MATCH($F$1,Database!$A$1:$AS$1,),)))))</f>
        <v/>
      </c>
      <c r="G153" s="13">
        <f>IF(VLOOKUP(B153,Database!$A:$AV,MATCH($G$1,Database!$A$1:$AV$1,),)=0,"#N/A",((((VLOOKUP(B153,Database!$A:$AS,MATCH($G$1,Database!$A$1:$AS$1,),))))-(((VLOOKUP(EDATE(B153,-12),Database!$A:$AS,MATCH($G$1,Database!$A$1:$AS$1,),)))))/(((VLOOKUP(EDATE(B153,-12),Database!$A:$AS,MATCH($G$1,Database!$A$1:$AS$1,),)))))</f>
        <v/>
      </c>
      <c r="H153" s="13">
        <f>IF(VLOOKUP(B153,Database!$A:$AV,MATCH($H$1,Database!$A$1:$AV$1,),)=0,"#N/A",((((VLOOKUP(B153,Database!$A:$AS,MATCH($H$1,Database!$A$1:$AS$1,),))))-(((VLOOKUP(EDATE(B153,-12),Database!$A:$AS,MATCH($H$1,Database!$A$1:$AS$1,),)))))/(((VLOOKUP(EDATE(B153,-12),Database!$A:$AS,MATCH($H$1,Database!$A$1:$AS$1,),)))))</f>
        <v/>
      </c>
      <c r="I153" s="13">
        <f>IF(VLOOKUP(B153,Database!$A:$AV,MATCH($I$1,Database!$A$1:$AV$1,),)=0,"#N/A",((((VLOOKUP(B153,Database!$A:$AS,MATCH($I$1,Database!$A$1:$AS$1,),))))-(((VLOOKUP(EDATE(B153,-12),Database!$A:$AS,MATCH($I$1,Database!$A$1:$AS$1,),)))))/(((VLOOKUP(EDATE(B153,-12),Database!$A:$AS,MATCH($I$1,Database!$A$1:$AS$1,),)))))</f>
        <v/>
      </c>
      <c r="J153" s="13">
        <f>IF(VLOOKUP(B153,Database!$A:$AV,MATCH($J$1,Database!$A$1:$AV$1,),)=0,"#N/A",((((VLOOKUP(B153,Database!$A:$AS,MATCH($J$1,Database!$A$1:$AS$1,),))))-(((VLOOKUP(EDATE(B153,-12),Database!$A:$AS,MATCH($J$1,Database!$A$1:$AS$1,),)))))/(((VLOOKUP(EDATE(B153,-12),Database!$A:$AS,MATCH($J$1,Database!$A$1:$AS$1,),)))))</f>
        <v/>
      </c>
      <c r="K153" s="13">
        <f>IF(VLOOKUP(B153,Database!$A:$AV,MATCH($K$1,Database!$A$1:$AV$1,),)=0,"#N/A",((((VLOOKUP(B153,Database!$A:$AS,MATCH($K$1,Database!$A$1:$AS$1,),))))-(((VLOOKUP(EDATE(B153,-12),Database!$A:$AS,MATCH($K$1,Database!$A$1:$AS$1,),)))))/(((VLOOKUP(EDATE(B153,-12),Database!$A:$AS,MATCH($K$1,Database!$A$1:$AS$1,),)))))</f>
        <v/>
      </c>
      <c r="L153" s="13">
        <f>((((VLOOKUP(B153,Database!$A:$AS,MATCH($L$1,Database!$A$1:$AS$1,),))))-(((VLOOKUP(EDATE(B153,-12),Database!$A:$AS,MATCH($L$1,Database!$A$1:$AS$1,),)))))/(((VLOOKUP(EDATE(B153,-12),Database!$A:$AS,MATCH($L$1,Database!$A$1:$AS$1,),))))</f>
        <v/>
      </c>
      <c r="M153" s="13">
        <f>((((VLOOKUP(B153,Database!$A:$AS,MATCH($M$1,Database!$A$1:$AS$1,),))))-(((VLOOKUP(EDATE(B153,-12),Database!$A:$AS,MATCH($M$1,Database!$A$1:$AS$1,),)))))/(((VLOOKUP(EDATE(B153,-12),Database!$A:$AS,MATCH($M$1,Database!$A$1:$AS$1,),))))</f>
        <v/>
      </c>
      <c r="N153" s="13">
        <f>((((VLOOKUP(B153,Database!$A:$AS,MATCH($N$1,Database!$A$1:$AS$1,),))))-(((VLOOKUP(EDATE(B153,-12),Database!$A:$AS,MATCH($N$1,Database!$A$1:$AS$1,),)))))/(((VLOOKUP(EDATE(B153,-12),Database!$A:$AS,MATCH($N$1,Database!$A$1:$AS$1,),))))</f>
        <v/>
      </c>
      <c r="O153" s="13">
        <f>IF(VLOOKUP(B153,Database!$A:$AV,MATCH($O$1,Database!$A$1:$AV$1,),)=0,"#N/A",((((VLOOKUP(B153,Database!$A:$AS,MATCH($O$1,Database!$A$1:$AS$1,),))))-(((VLOOKUP(EDATE(B153,-12),Database!$A:$AS,MATCH($O$1,Database!$A$1:$AS$1,),)))))/(((VLOOKUP(EDATE(B153,-12),Database!$A:$AS,MATCH($O$1,Database!$A$1:$AS$1,),)))))</f>
        <v/>
      </c>
      <c r="P153" s="13">
        <f>IF(VLOOKUP(B153,Database!$A:$AV,MATCH($P$1,Database!$A$1:$AV$1,),)=0,"#N/A",((((VLOOKUP(B153,Database!$A:$AS,MATCH($P$1,Database!$A$1:$AS$1,),))))-(((VLOOKUP(EDATE(B153,-12),Database!$A:$AS,MATCH($P$1,Database!$A$1:$AS$1,),)))))/(((VLOOKUP(EDATE(B153,-12),Database!$A:$AS,MATCH($P$1,Database!$A$1:$AS$1,),)))))</f>
        <v/>
      </c>
      <c r="Q153" s="13">
        <f>IF(VLOOKUP(B153,Database!$A:$AV,MATCH($Q$1,Database!$A$1:$AV$1,),)=0,"#N/A",((((VLOOKUP(B153,Database!$A:$AS,MATCH($Q$1,Database!$A$1:$AS$1,),))))-(((VLOOKUP(EDATE(B153,-12),Database!$A:$AS,MATCH($Q$1,Database!$A$1:$AS$1,),)))))/(((VLOOKUP(EDATE(B153,-12),Database!$A:$AS,MATCH($Q$1,Database!$A$1:$AS$1,),)))))</f>
        <v/>
      </c>
      <c r="R153" s="13">
        <f>IF(VLOOKUP(B153,Database!$A:$AV,MATCH($R$1,Database!$A$1:$AV$1,),)=0,"#N/A",((((VLOOKUP(B153,Database!$A:$AS,MATCH($R$1,Database!$A$1:$AS$1,),))))-(((VLOOKUP(EDATE(B153,-12),Database!$A:$AS,MATCH($R$1,Database!$A$1:$AS$1,),)))))/(((VLOOKUP(EDATE(B153,-12),Database!$A:$AS,MATCH($R$1,Database!$A$1:$AS$1,),)))))</f>
        <v/>
      </c>
      <c r="S153" s="13">
        <f>IF(VLOOKUP(B153,Database!$A:$AV,MATCH($S$1,Database!$A$1:$AV$1,),)=0,"#N/A",((((VLOOKUP(B153,Database!$A:$AS,MATCH($S$1,Database!$A$1:$AS$1,),))))-(((VLOOKUP(EDATE(B153,-12),Database!$A:$AS,MATCH($S$1,Database!$A$1:$AS$1,),)))))/(((VLOOKUP(EDATE(B153,-12),Database!$A:$AS,MATCH($S$1,Database!$A$1:$AS$1,),)))))</f>
        <v/>
      </c>
      <c r="T153" s="13">
        <f>IF(VLOOKUP(B153,Database!$A:$AV,MATCH($T$1,Database!$A$1:$AV$1,),)=0,"#N/A",((((VLOOKUP(B153,Database!$A:$AS,MATCH($T$1,Database!$A$1:$AS$1,),))))-(((VLOOKUP(EDATE(B153,-12),Database!$A:$AS,MATCH($T$1,Database!$A$1:$AS$1,),)))))/(((VLOOKUP(EDATE(B153,-12),Database!$A:$AS,MATCH($T$1,Database!$A$1:$AS$1,),)))))</f>
        <v/>
      </c>
      <c r="U153" s="13">
        <f>IF(VLOOKUP(B153,Database!$A:$AV,MATCH($U$1,Database!$A$1:$AV$1,),)=0,"#N/A",((((VLOOKUP(B153,Database!$A:$AS,MATCH($U$1,Database!$A$1:$AS$1,),))))-(((VLOOKUP(EDATE(B153,-12),Database!$A:$AS,MATCH($U$1,Database!$A$1:$AS$1,),)))))/(((VLOOKUP(EDATE(B153,-12),Database!$A:$AS,MATCH($U$1,Database!$A$1:$AS$1,),)))))</f>
        <v/>
      </c>
      <c r="V153" s="13">
        <f>IF(VLOOKUP(B153,Database!$A:$AV,MATCH($V$1,Database!$A$1:$AV$1,),)=0,"#N/A",((((VLOOKUP(B153,Database!$A:$AS,MATCH($V$1,Database!$A$1:$AS$1,),))))-(((VLOOKUP(EDATE(B153,-12),Database!$A:$AS,MATCH($V$1,Database!$A$1:$AS$1,),)))))/(((VLOOKUP(EDATE(B153,-12),Database!$A:$AS,MATCH($V$1,Database!$A$1:$AS$1,),)))))</f>
        <v/>
      </c>
    </row>
    <row r="154" customFormat="1" s="86">
      <c r="A154" s="43" t="n"/>
      <c r="B154" s="75" t="n">
        <v>36831</v>
      </c>
      <c r="C154" s="13">
        <f>IF(VLOOKUP(B154,Database!$A:$AU,MATCH($C$1,Database!$A$1:$AU$1,),)=0,"#N/A",((((VLOOKUP(B154,Database!$A:$AU,MATCH($C$1,Database!$A$1:$AU$1,),))))-(((VLOOKUP(EDATE(B154,-12),Database!$A:$AU,MATCH($C$1,Database!$A$1:$AU$1,),)))))/(((VLOOKUP(EDATE(B154,-12),Database!$A:$AU,MATCH($C$1,Database!$A$1:$AU$1,),)))))</f>
        <v/>
      </c>
      <c r="D154" s="13">
        <f>IF(VLOOKUP(B154,Database!$A:$AV,MATCH($D$1,Database!$A$1:$AV$1,),)=0,"#N/A",((((VLOOKUP(B154,Database!$A:$AS,MATCH($D$1,Database!$A$1:$AS$1,),))))-(((VLOOKUP(EDATE(B154,-12),Database!$A:$AS,MATCH($D$1,Database!$A$1:$AS$1,),)))))/(((VLOOKUP(EDATE(B154,-12),Database!$A:$AS,MATCH($D$1,Database!$A$1:$AS$1,),)))))</f>
        <v/>
      </c>
      <c r="E154" s="13">
        <f>IF(VLOOKUP(B154,Database!$A:$AV,MATCH($E$1,Database!$A$1:$AV$1,),)=0,"#N/A",((((VLOOKUP(B154,Database!$A:$AS,MATCH($E$1,Database!$A$1:$AS$1,),))))-(((VLOOKUP(EDATE(B154,-12),Database!$A:$AS,MATCH($E$1,Database!$A$1:$AS$1,),)))))/(((VLOOKUP(EDATE(B154,-12),Database!$A:$AS,MATCH($E$1,Database!$A$1:$AS$1,),)))))</f>
        <v/>
      </c>
      <c r="F154" s="13">
        <f>IF(VLOOKUP(B154,Database!$A:$AV,MATCH($F$1,Database!$A$1:$AV$1,),)=0,"#N/A",((((VLOOKUP(B154,Database!$A:$AS,MATCH($F$1,Database!$A$1:$AS$1,),))))-(((VLOOKUP(EDATE(B154,-12),Database!$A:$AS,MATCH($F$1,Database!$A$1:$AS$1,),)))))/(((VLOOKUP(EDATE(B154,-12),Database!$A:$AS,MATCH($F$1,Database!$A$1:$AS$1,),)))))</f>
        <v/>
      </c>
      <c r="G154" s="13">
        <f>IF(VLOOKUP(B154,Database!$A:$AV,MATCH($G$1,Database!$A$1:$AV$1,),)=0,"#N/A",((((VLOOKUP(B154,Database!$A:$AS,MATCH($G$1,Database!$A$1:$AS$1,),))))-(((VLOOKUP(EDATE(B154,-12),Database!$A:$AS,MATCH($G$1,Database!$A$1:$AS$1,),)))))/(((VLOOKUP(EDATE(B154,-12),Database!$A:$AS,MATCH($G$1,Database!$A$1:$AS$1,),)))))</f>
        <v/>
      </c>
      <c r="H154" s="13">
        <f>IF(VLOOKUP(B154,Database!$A:$AV,MATCH($H$1,Database!$A$1:$AV$1,),)=0,"#N/A",((((VLOOKUP(B154,Database!$A:$AS,MATCH($H$1,Database!$A$1:$AS$1,),))))-(((VLOOKUP(EDATE(B154,-12),Database!$A:$AS,MATCH($H$1,Database!$A$1:$AS$1,),)))))/(((VLOOKUP(EDATE(B154,-12),Database!$A:$AS,MATCH($H$1,Database!$A$1:$AS$1,),)))))</f>
        <v/>
      </c>
      <c r="I154" s="13">
        <f>IF(VLOOKUP(B154,Database!$A:$AV,MATCH($I$1,Database!$A$1:$AV$1,),)=0,"#N/A",((((VLOOKUP(B154,Database!$A:$AS,MATCH($I$1,Database!$A$1:$AS$1,),))))-(((VLOOKUP(EDATE(B154,-12),Database!$A:$AS,MATCH($I$1,Database!$A$1:$AS$1,),)))))/(((VLOOKUP(EDATE(B154,-12),Database!$A:$AS,MATCH($I$1,Database!$A$1:$AS$1,),)))))</f>
        <v/>
      </c>
      <c r="J154" s="13">
        <f>IF(VLOOKUP(B154,Database!$A:$AV,MATCH($J$1,Database!$A$1:$AV$1,),)=0,"#N/A",((((VLOOKUP(B154,Database!$A:$AS,MATCH($J$1,Database!$A$1:$AS$1,),))))-(((VLOOKUP(EDATE(B154,-12),Database!$A:$AS,MATCH($J$1,Database!$A$1:$AS$1,),)))))/(((VLOOKUP(EDATE(B154,-12),Database!$A:$AS,MATCH($J$1,Database!$A$1:$AS$1,),)))))</f>
        <v/>
      </c>
      <c r="K154" s="13">
        <f>IF(VLOOKUP(B154,Database!$A:$AV,MATCH($K$1,Database!$A$1:$AV$1,),)=0,"#N/A",((((VLOOKUP(B154,Database!$A:$AS,MATCH($K$1,Database!$A$1:$AS$1,),))))-(((VLOOKUP(EDATE(B154,-12),Database!$A:$AS,MATCH($K$1,Database!$A$1:$AS$1,),)))))/(((VLOOKUP(EDATE(B154,-12),Database!$A:$AS,MATCH($K$1,Database!$A$1:$AS$1,),)))))</f>
        <v/>
      </c>
      <c r="L154" s="13">
        <f>((((VLOOKUP(B154,Database!$A:$AS,MATCH($L$1,Database!$A$1:$AS$1,),))))-(((VLOOKUP(EDATE(B154,-12),Database!$A:$AS,MATCH($L$1,Database!$A$1:$AS$1,),)))))/(((VLOOKUP(EDATE(B154,-12),Database!$A:$AS,MATCH($L$1,Database!$A$1:$AS$1,),))))</f>
        <v/>
      </c>
      <c r="M154" s="13">
        <f>((((VLOOKUP(B154,Database!$A:$AS,MATCH($M$1,Database!$A$1:$AS$1,),))))-(((VLOOKUP(EDATE(B154,-12),Database!$A:$AS,MATCH($M$1,Database!$A$1:$AS$1,),)))))/(((VLOOKUP(EDATE(B154,-12),Database!$A:$AS,MATCH($M$1,Database!$A$1:$AS$1,),))))</f>
        <v/>
      </c>
      <c r="N154" s="13">
        <f>((((VLOOKUP(B154,Database!$A:$AS,MATCH($N$1,Database!$A$1:$AS$1,),))))-(((VLOOKUP(EDATE(B154,-12),Database!$A:$AS,MATCH($N$1,Database!$A$1:$AS$1,),)))))/(((VLOOKUP(EDATE(B154,-12),Database!$A:$AS,MATCH($N$1,Database!$A$1:$AS$1,),))))</f>
        <v/>
      </c>
      <c r="O154" s="13">
        <f>IF(VLOOKUP(B154,Database!$A:$AV,MATCH($O$1,Database!$A$1:$AV$1,),)=0,"#N/A",((((VLOOKUP(B154,Database!$A:$AS,MATCH($O$1,Database!$A$1:$AS$1,),))))-(((VLOOKUP(EDATE(B154,-12),Database!$A:$AS,MATCH($O$1,Database!$A$1:$AS$1,),)))))/(((VLOOKUP(EDATE(B154,-12),Database!$A:$AS,MATCH($O$1,Database!$A$1:$AS$1,),)))))</f>
        <v/>
      </c>
      <c r="P154" s="13">
        <f>IF(VLOOKUP(B154,Database!$A:$AV,MATCH($P$1,Database!$A$1:$AV$1,),)=0,"#N/A",((((VLOOKUP(B154,Database!$A:$AS,MATCH($P$1,Database!$A$1:$AS$1,),))))-(((VLOOKUP(EDATE(B154,-12),Database!$A:$AS,MATCH($P$1,Database!$A$1:$AS$1,),)))))/(((VLOOKUP(EDATE(B154,-12),Database!$A:$AS,MATCH($P$1,Database!$A$1:$AS$1,),)))))</f>
        <v/>
      </c>
      <c r="Q154" s="13">
        <f>IF(VLOOKUP(B154,Database!$A:$AV,MATCH($Q$1,Database!$A$1:$AV$1,),)=0,"#N/A",((((VLOOKUP(B154,Database!$A:$AS,MATCH($Q$1,Database!$A$1:$AS$1,),))))-(((VLOOKUP(EDATE(B154,-12),Database!$A:$AS,MATCH($Q$1,Database!$A$1:$AS$1,),)))))/(((VLOOKUP(EDATE(B154,-12),Database!$A:$AS,MATCH($Q$1,Database!$A$1:$AS$1,),)))))</f>
        <v/>
      </c>
      <c r="R154" s="13">
        <f>IF(VLOOKUP(B154,Database!$A:$AV,MATCH($R$1,Database!$A$1:$AV$1,),)=0,"#N/A",((((VLOOKUP(B154,Database!$A:$AS,MATCH($R$1,Database!$A$1:$AS$1,),))))-(((VLOOKUP(EDATE(B154,-12),Database!$A:$AS,MATCH($R$1,Database!$A$1:$AS$1,),)))))/(((VLOOKUP(EDATE(B154,-12),Database!$A:$AS,MATCH($R$1,Database!$A$1:$AS$1,),)))))</f>
        <v/>
      </c>
      <c r="S154" s="13">
        <f>IF(VLOOKUP(B154,Database!$A:$AV,MATCH($S$1,Database!$A$1:$AV$1,),)=0,"#N/A",((((VLOOKUP(B154,Database!$A:$AS,MATCH($S$1,Database!$A$1:$AS$1,),))))-(((VLOOKUP(EDATE(B154,-12),Database!$A:$AS,MATCH($S$1,Database!$A$1:$AS$1,),)))))/(((VLOOKUP(EDATE(B154,-12),Database!$A:$AS,MATCH($S$1,Database!$A$1:$AS$1,),)))))</f>
        <v/>
      </c>
      <c r="T154" s="13">
        <f>IF(VLOOKUP(B154,Database!$A:$AV,MATCH($T$1,Database!$A$1:$AV$1,),)=0,"#N/A",((((VLOOKUP(B154,Database!$A:$AS,MATCH($T$1,Database!$A$1:$AS$1,),))))-(((VLOOKUP(EDATE(B154,-12),Database!$A:$AS,MATCH($T$1,Database!$A$1:$AS$1,),)))))/(((VLOOKUP(EDATE(B154,-12),Database!$A:$AS,MATCH($T$1,Database!$A$1:$AS$1,),)))))</f>
        <v/>
      </c>
      <c r="U154" s="13">
        <f>IF(VLOOKUP(B154,Database!$A:$AV,MATCH($U$1,Database!$A$1:$AV$1,),)=0,"#N/A",((((VLOOKUP(B154,Database!$A:$AS,MATCH($U$1,Database!$A$1:$AS$1,),))))-(((VLOOKUP(EDATE(B154,-12),Database!$A:$AS,MATCH($U$1,Database!$A$1:$AS$1,),)))))/(((VLOOKUP(EDATE(B154,-12),Database!$A:$AS,MATCH($U$1,Database!$A$1:$AS$1,),)))))</f>
        <v/>
      </c>
      <c r="V154" s="13">
        <f>IF(VLOOKUP(B154,Database!$A:$AV,MATCH($V$1,Database!$A$1:$AV$1,),)=0,"#N/A",((((VLOOKUP(B154,Database!$A:$AS,MATCH($V$1,Database!$A$1:$AS$1,),))))-(((VLOOKUP(EDATE(B154,-12),Database!$A:$AS,MATCH($V$1,Database!$A$1:$AS$1,),)))))/(((VLOOKUP(EDATE(B154,-12),Database!$A:$AS,MATCH($V$1,Database!$A$1:$AS$1,),)))))</f>
        <v/>
      </c>
    </row>
    <row r="155" customFormat="1" s="86">
      <c r="A155" s="43" t="n"/>
      <c r="B155" s="75" t="n">
        <v>36861</v>
      </c>
      <c r="C155" s="13">
        <f>IF(VLOOKUP(B155,Database!$A:$AU,MATCH($C$1,Database!$A$1:$AU$1,),)=0,"#N/A",((((VLOOKUP(B155,Database!$A:$AU,MATCH($C$1,Database!$A$1:$AU$1,),))))-(((VLOOKUP(EDATE(B155,-12),Database!$A:$AU,MATCH($C$1,Database!$A$1:$AU$1,),)))))/(((VLOOKUP(EDATE(B155,-12),Database!$A:$AU,MATCH($C$1,Database!$A$1:$AU$1,),)))))</f>
        <v/>
      </c>
      <c r="D155" s="13">
        <f>IF(VLOOKUP(B155,Database!$A:$AV,MATCH($D$1,Database!$A$1:$AV$1,),)=0,"#N/A",((((VLOOKUP(B155,Database!$A:$AS,MATCH($D$1,Database!$A$1:$AS$1,),))))-(((VLOOKUP(EDATE(B155,-12),Database!$A:$AS,MATCH($D$1,Database!$A$1:$AS$1,),)))))/(((VLOOKUP(EDATE(B155,-12),Database!$A:$AS,MATCH($D$1,Database!$A$1:$AS$1,),)))))</f>
        <v/>
      </c>
      <c r="E155" s="13">
        <f>IF(VLOOKUP(B155,Database!$A:$AV,MATCH($E$1,Database!$A$1:$AV$1,),)=0,"#N/A",((((VLOOKUP(B155,Database!$A:$AS,MATCH($E$1,Database!$A$1:$AS$1,),))))-(((VLOOKUP(EDATE(B155,-12),Database!$A:$AS,MATCH($E$1,Database!$A$1:$AS$1,),)))))/(((VLOOKUP(EDATE(B155,-12),Database!$A:$AS,MATCH($E$1,Database!$A$1:$AS$1,),)))))</f>
        <v/>
      </c>
      <c r="F155" s="13">
        <f>IF(VLOOKUP(B155,Database!$A:$AV,MATCH($F$1,Database!$A$1:$AV$1,),)=0,"#N/A",((((VLOOKUP(B155,Database!$A:$AS,MATCH($F$1,Database!$A$1:$AS$1,),))))-(((VLOOKUP(EDATE(B155,-12),Database!$A:$AS,MATCH($F$1,Database!$A$1:$AS$1,),)))))/(((VLOOKUP(EDATE(B155,-12),Database!$A:$AS,MATCH($F$1,Database!$A$1:$AS$1,),)))))</f>
        <v/>
      </c>
      <c r="G155" s="13">
        <f>IF(VLOOKUP(B155,Database!$A:$AV,MATCH($G$1,Database!$A$1:$AV$1,),)=0,"#N/A",((((VLOOKUP(B155,Database!$A:$AS,MATCH($G$1,Database!$A$1:$AS$1,),))))-(((VLOOKUP(EDATE(B155,-12),Database!$A:$AS,MATCH($G$1,Database!$A$1:$AS$1,),)))))/(((VLOOKUP(EDATE(B155,-12),Database!$A:$AS,MATCH($G$1,Database!$A$1:$AS$1,),)))))</f>
        <v/>
      </c>
      <c r="H155" s="13">
        <f>IF(VLOOKUP(B155,Database!$A:$AV,MATCH($H$1,Database!$A$1:$AV$1,),)=0,"#N/A",((((VLOOKUP(B155,Database!$A:$AS,MATCH($H$1,Database!$A$1:$AS$1,),))))-(((VLOOKUP(EDATE(B155,-12),Database!$A:$AS,MATCH($H$1,Database!$A$1:$AS$1,),)))))/(((VLOOKUP(EDATE(B155,-12),Database!$A:$AS,MATCH($H$1,Database!$A$1:$AS$1,),)))))</f>
        <v/>
      </c>
      <c r="I155" s="13">
        <f>IF(VLOOKUP(B155,Database!$A:$AV,MATCH($I$1,Database!$A$1:$AV$1,),)=0,"#N/A",((((VLOOKUP(B155,Database!$A:$AS,MATCH($I$1,Database!$A$1:$AS$1,),))))-(((VLOOKUP(EDATE(B155,-12),Database!$A:$AS,MATCH($I$1,Database!$A$1:$AS$1,),)))))/(((VLOOKUP(EDATE(B155,-12),Database!$A:$AS,MATCH($I$1,Database!$A$1:$AS$1,),)))))</f>
        <v/>
      </c>
      <c r="J155" s="13">
        <f>IF(VLOOKUP(B155,Database!$A:$AV,MATCH($J$1,Database!$A$1:$AV$1,),)=0,"#N/A",((((VLOOKUP(B155,Database!$A:$AS,MATCH($J$1,Database!$A$1:$AS$1,),))))-(((VLOOKUP(EDATE(B155,-12),Database!$A:$AS,MATCH($J$1,Database!$A$1:$AS$1,),)))))/(((VLOOKUP(EDATE(B155,-12),Database!$A:$AS,MATCH($J$1,Database!$A$1:$AS$1,),)))))</f>
        <v/>
      </c>
      <c r="K155" s="13">
        <f>IF(VLOOKUP(B155,Database!$A:$AV,MATCH($K$1,Database!$A$1:$AV$1,),)=0,"#N/A",((((VLOOKUP(B155,Database!$A:$AS,MATCH($K$1,Database!$A$1:$AS$1,),))))-(((VLOOKUP(EDATE(B155,-12),Database!$A:$AS,MATCH($K$1,Database!$A$1:$AS$1,),)))))/(((VLOOKUP(EDATE(B155,-12),Database!$A:$AS,MATCH($K$1,Database!$A$1:$AS$1,),)))))</f>
        <v/>
      </c>
      <c r="L155" s="13">
        <f>((((VLOOKUP(B155,Database!$A:$AS,MATCH($L$1,Database!$A$1:$AS$1,),))))-(((VLOOKUP(EDATE(B155,-12),Database!$A:$AS,MATCH($L$1,Database!$A$1:$AS$1,),)))))/(((VLOOKUP(EDATE(B155,-12),Database!$A:$AS,MATCH($L$1,Database!$A$1:$AS$1,),))))</f>
        <v/>
      </c>
      <c r="M155" s="13">
        <f>((((VLOOKUP(B155,Database!$A:$AS,MATCH($M$1,Database!$A$1:$AS$1,),))))-(((VLOOKUP(EDATE(B155,-12),Database!$A:$AS,MATCH($M$1,Database!$A$1:$AS$1,),)))))/(((VLOOKUP(EDATE(B155,-12),Database!$A:$AS,MATCH($M$1,Database!$A$1:$AS$1,),))))</f>
        <v/>
      </c>
      <c r="N155" s="13">
        <f>((((VLOOKUP(B155,Database!$A:$AS,MATCH($N$1,Database!$A$1:$AS$1,),))))-(((VLOOKUP(EDATE(B155,-12),Database!$A:$AS,MATCH($N$1,Database!$A$1:$AS$1,),)))))/(((VLOOKUP(EDATE(B155,-12),Database!$A:$AS,MATCH($N$1,Database!$A$1:$AS$1,),))))</f>
        <v/>
      </c>
      <c r="O155" s="13">
        <f>IF(VLOOKUP(B155,Database!$A:$AV,MATCH($O$1,Database!$A$1:$AV$1,),)=0,"#N/A",((((VLOOKUP(B155,Database!$A:$AS,MATCH($O$1,Database!$A$1:$AS$1,),))))-(((VLOOKUP(EDATE(B155,-12),Database!$A:$AS,MATCH($O$1,Database!$A$1:$AS$1,),)))))/(((VLOOKUP(EDATE(B155,-12),Database!$A:$AS,MATCH($O$1,Database!$A$1:$AS$1,),)))))</f>
        <v/>
      </c>
      <c r="P155" s="13">
        <f>IF(VLOOKUP(B155,Database!$A:$AV,MATCH($P$1,Database!$A$1:$AV$1,),)=0,"#N/A",((((VLOOKUP(B155,Database!$A:$AS,MATCH($P$1,Database!$A$1:$AS$1,),))))-(((VLOOKUP(EDATE(B155,-12),Database!$A:$AS,MATCH($P$1,Database!$A$1:$AS$1,),)))))/(((VLOOKUP(EDATE(B155,-12),Database!$A:$AS,MATCH($P$1,Database!$A$1:$AS$1,),)))))</f>
        <v/>
      </c>
      <c r="Q155" s="13">
        <f>IF(VLOOKUP(B155,Database!$A:$AV,MATCH($Q$1,Database!$A$1:$AV$1,),)=0,"#N/A",((((VLOOKUP(B155,Database!$A:$AS,MATCH($Q$1,Database!$A$1:$AS$1,),))))-(((VLOOKUP(EDATE(B155,-12),Database!$A:$AS,MATCH($Q$1,Database!$A$1:$AS$1,),)))))/(((VLOOKUP(EDATE(B155,-12),Database!$A:$AS,MATCH($Q$1,Database!$A$1:$AS$1,),)))))</f>
        <v/>
      </c>
      <c r="R155" s="13">
        <f>IF(VLOOKUP(B155,Database!$A:$AV,MATCH($R$1,Database!$A$1:$AV$1,),)=0,"#N/A",((((VLOOKUP(B155,Database!$A:$AS,MATCH($R$1,Database!$A$1:$AS$1,),))))-(((VLOOKUP(EDATE(B155,-12),Database!$A:$AS,MATCH($R$1,Database!$A$1:$AS$1,),)))))/(((VLOOKUP(EDATE(B155,-12),Database!$A:$AS,MATCH($R$1,Database!$A$1:$AS$1,),)))))</f>
        <v/>
      </c>
      <c r="S155" s="13">
        <f>IF(VLOOKUP(B155,Database!$A:$AV,MATCH($S$1,Database!$A$1:$AV$1,),)=0,"#N/A",((((VLOOKUP(B155,Database!$A:$AS,MATCH($S$1,Database!$A$1:$AS$1,),))))-(((VLOOKUP(EDATE(B155,-12),Database!$A:$AS,MATCH($S$1,Database!$A$1:$AS$1,),)))))/(((VLOOKUP(EDATE(B155,-12),Database!$A:$AS,MATCH($S$1,Database!$A$1:$AS$1,),)))))</f>
        <v/>
      </c>
      <c r="T155" s="13">
        <f>IF(VLOOKUP(B155,Database!$A:$AV,MATCH($T$1,Database!$A$1:$AV$1,),)=0,"#N/A",((((VLOOKUP(B155,Database!$A:$AS,MATCH($T$1,Database!$A$1:$AS$1,),))))-(((VLOOKUP(EDATE(B155,-12),Database!$A:$AS,MATCH($T$1,Database!$A$1:$AS$1,),)))))/(((VLOOKUP(EDATE(B155,-12),Database!$A:$AS,MATCH($T$1,Database!$A$1:$AS$1,),)))))</f>
        <v/>
      </c>
      <c r="U155" s="13">
        <f>IF(VLOOKUP(B155,Database!$A:$AV,MATCH($U$1,Database!$A$1:$AV$1,),)=0,"#N/A",((((VLOOKUP(B155,Database!$A:$AS,MATCH($U$1,Database!$A$1:$AS$1,),))))-(((VLOOKUP(EDATE(B155,-12),Database!$A:$AS,MATCH($U$1,Database!$A$1:$AS$1,),)))))/(((VLOOKUP(EDATE(B155,-12),Database!$A:$AS,MATCH($U$1,Database!$A$1:$AS$1,),)))))</f>
        <v/>
      </c>
      <c r="V155" s="13">
        <f>IF(VLOOKUP(B155,Database!$A:$AV,MATCH($V$1,Database!$A$1:$AV$1,),)=0,"#N/A",((((VLOOKUP(B155,Database!$A:$AS,MATCH($V$1,Database!$A$1:$AS$1,),))))-(((VLOOKUP(EDATE(B155,-12),Database!$A:$AS,MATCH($V$1,Database!$A$1:$AS$1,),)))))/(((VLOOKUP(EDATE(B155,-12),Database!$A:$AS,MATCH($V$1,Database!$A$1:$AS$1,),)))))</f>
        <v/>
      </c>
    </row>
    <row r="156" customFormat="1" s="86">
      <c r="A156" s="43" t="n"/>
      <c r="B156" s="75" t="n">
        <v>36892</v>
      </c>
      <c r="C156" s="13">
        <f>IF(VLOOKUP(B156,Database!$A:$AU,MATCH($C$1,Database!$A$1:$AU$1,),)=0,"#N/A",((((VLOOKUP(B156,Database!$A:$AU,MATCH($C$1,Database!$A$1:$AU$1,),))))-(((VLOOKUP(EDATE(B156,-12),Database!$A:$AU,MATCH($C$1,Database!$A$1:$AU$1,),)))))/(((VLOOKUP(EDATE(B156,-12),Database!$A:$AU,MATCH($C$1,Database!$A$1:$AU$1,),)))))</f>
        <v/>
      </c>
      <c r="D156" s="13">
        <f>IF(VLOOKUP(B156,Database!$A:$AV,MATCH($D$1,Database!$A$1:$AV$1,),)=0,"#N/A",((((VLOOKUP(B156,Database!$A:$AS,MATCH($D$1,Database!$A$1:$AS$1,),))))-(((VLOOKUP(EDATE(B156,-12),Database!$A:$AS,MATCH($D$1,Database!$A$1:$AS$1,),)))))/(((VLOOKUP(EDATE(B156,-12),Database!$A:$AS,MATCH($D$1,Database!$A$1:$AS$1,),)))))</f>
        <v/>
      </c>
      <c r="E156" s="13">
        <f>IF(VLOOKUP(B156,Database!$A:$AV,MATCH($E$1,Database!$A$1:$AV$1,),)=0,"#N/A",((((VLOOKUP(B156,Database!$A:$AS,MATCH($E$1,Database!$A$1:$AS$1,),))))-(((VLOOKUP(EDATE(B156,-12),Database!$A:$AS,MATCH($E$1,Database!$A$1:$AS$1,),)))))/(((VLOOKUP(EDATE(B156,-12),Database!$A:$AS,MATCH($E$1,Database!$A$1:$AS$1,),)))))</f>
        <v/>
      </c>
      <c r="F156" s="13">
        <f>IF(VLOOKUP(B156,Database!$A:$AV,MATCH($F$1,Database!$A$1:$AV$1,),)=0,"#N/A",((((VLOOKUP(B156,Database!$A:$AS,MATCH($F$1,Database!$A$1:$AS$1,),))))-(((VLOOKUP(EDATE(B156,-12),Database!$A:$AS,MATCH($F$1,Database!$A$1:$AS$1,),)))))/(((VLOOKUP(EDATE(B156,-12),Database!$A:$AS,MATCH($F$1,Database!$A$1:$AS$1,),)))))</f>
        <v/>
      </c>
      <c r="G156" s="13">
        <f>IF(VLOOKUP(B156,Database!$A:$AV,MATCH($G$1,Database!$A$1:$AV$1,),)=0,"#N/A",((((VLOOKUP(B156,Database!$A:$AS,MATCH($G$1,Database!$A$1:$AS$1,),))))-(((VLOOKUP(EDATE(B156,-12),Database!$A:$AS,MATCH($G$1,Database!$A$1:$AS$1,),)))))/(((VLOOKUP(EDATE(B156,-12),Database!$A:$AS,MATCH($G$1,Database!$A$1:$AS$1,),)))))</f>
        <v/>
      </c>
      <c r="H156" s="13">
        <f>IF(VLOOKUP(B156,Database!$A:$AV,MATCH($H$1,Database!$A$1:$AV$1,),)=0,"#N/A",((((VLOOKUP(B156,Database!$A:$AS,MATCH($H$1,Database!$A$1:$AS$1,),))))-(((VLOOKUP(EDATE(B156,-12),Database!$A:$AS,MATCH($H$1,Database!$A$1:$AS$1,),)))))/(((VLOOKUP(EDATE(B156,-12),Database!$A:$AS,MATCH($H$1,Database!$A$1:$AS$1,),)))))</f>
        <v/>
      </c>
      <c r="I156" s="13">
        <f>IF(VLOOKUP(B156,Database!$A:$AV,MATCH($I$1,Database!$A$1:$AV$1,),)=0,"#N/A",((((VLOOKUP(B156,Database!$A:$AS,MATCH($I$1,Database!$A$1:$AS$1,),))))-(((VLOOKUP(EDATE(B156,-12),Database!$A:$AS,MATCH($I$1,Database!$A$1:$AS$1,),)))))/(((VLOOKUP(EDATE(B156,-12),Database!$A:$AS,MATCH($I$1,Database!$A$1:$AS$1,),)))))</f>
        <v/>
      </c>
      <c r="J156" s="13">
        <f>IF(VLOOKUP(B156,Database!$A:$AV,MATCH($J$1,Database!$A$1:$AV$1,),)=0,"#N/A",((((VLOOKUP(B156,Database!$A:$AS,MATCH($J$1,Database!$A$1:$AS$1,),))))-(((VLOOKUP(EDATE(B156,-12),Database!$A:$AS,MATCH($J$1,Database!$A$1:$AS$1,),)))))/(((VLOOKUP(EDATE(B156,-12),Database!$A:$AS,MATCH($J$1,Database!$A$1:$AS$1,),)))))</f>
        <v/>
      </c>
      <c r="K156" s="13">
        <f>IF(VLOOKUP(B156,Database!$A:$AV,MATCH($K$1,Database!$A$1:$AV$1,),)=0,"#N/A",((((VLOOKUP(B156,Database!$A:$AS,MATCH($K$1,Database!$A$1:$AS$1,),))))-(((VLOOKUP(EDATE(B156,-12),Database!$A:$AS,MATCH($K$1,Database!$A$1:$AS$1,),)))))/(((VLOOKUP(EDATE(B156,-12),Database!$A:$AS,MATCH($K$1,Database!$A$1:$AS$1,),)))))</f>
        <v/>
      </c>
      <c r="L156" s="13">
        <f>((((VLOOKUP(B156,Database!$A:$AS,MATCH($L$1,Database!$A$1:$AS$1,),))))-(((VLOOKUP(EDATE(B156,-12),Database!$A:$AS,MATCH($L$1,Database!$A$1:$AS$1,),)))))/(((VLOOKUP(EDATE(B156,-12),Database!$A:$AS,MATCH($L$1,Database!$A$1:$AS$1,),))))</f>
        <v/>
      </c>
      <c r="M156" s="13">
        <f>((((VLOOKUP(B156,Database!$A:$AS,MATCH($M$1,Database!$A$1:$AS$1,),))))-(((VLOOKUP(EDATE(B156,-12),Database!$A:$AS,MATCH($M$1,Database!$A$1:$AS$1,),)))))/(((VLOOKUP(EDATE(B156,-12),Database!$A:$AS,MATCH($M$1,Database!$A$1:$AS$1,),))))</f>
        <v/>
      </c>
      <c r="N156" s="13">
        <f>((((VLOOKUP(B156,Database!$A:$AS,MATCH($N$1,Database!$A$1:$AS$1,),))))-(((VLOOKUP(EDATE(B156,-12),Database!$A:$AS,MATCH($N$1,Database!$A$1:$AS$1,),)))))/(((VLOOKUP(EDATE(B156,-12),Database!$A:$AS,MATCH($N$1,Database!$A$1:$AS$1,),))))</f>
        <v/>
      </c>
      <c r="O156" s="13">
        <f>IF(VLOOKUP(B156,Database!$A:$AV,MATCH($O$1,Database!$A$1:$AV$1,),)=0,"#N/A",((((VLOOKUP(B156,Database!$A:$AS,MATCH($O$1,Database!$A$1:$AS$1,),))))-(((VLOOKUP(EDATE(B156,-12),Database!$A:$AS,MATCH($O$1,Database!$A$1:$AS$1,),)))))/(((VLOOKUP(EDATE(B156,-12),Database!$A:$AS,MATCH($O$1,Database!$A$1:$AS$1,),)))))</f>
        <v/>
      </c>
      <c r="P156" s="13">
        <f>IF(VLOOKUP(B156,Database!$A:$AV,MATCH($P$1,Database!$A$1:$AV$1,),)=0,"#N/A",((((VLOOKUP(B156,Database!$A:$AS,MATCH($P$1,Database!$A$1:$AS$1,),))))-(((VLOOKUP(EDATE(B156,-12),Database!$A:$AS,MATCH($P$1,Database!$A$1:$AS$1,),)))))/(((VLOOKUP(EDATE(B156,-12),Database!$A:$AS,MATCH($P$1,Database!$A$1:$AS$1,),)))))</f>
        <v/>
      </c>
      <c r="Q156" s="13">
        <f>IF(VLOOKUP(B156,Database!$A:$AV,MATCH($Q$1,Database!$A$1:$AV$1,),)=0,"#N/A",((((VLOOKUP(B156,Database!$A:$AS,MATCH($Q$1,Database!$A$1:$AS$1,),))))-(((VLOOKUP(EDATE(B156,-12),Database!$A:$AS,MATCH($Q$1,Database!$A$1:$AS$1,),)))))/(((VLOOKUP(EDATE(B156,-12),Database!$A:$AS,MATCH($Q$1,Database!$A$1:$AS$1,),)))))</f>
        <v/>
      </c>
      <c r="R156" s="13">
        <f>IF(VLOOKUP(B156,Database!$A:$AV,MATCH($R$1,Database!$A$1:$AV$1,),)=0,"#N/A",((((VLOOKUP(B156,Database!$A:$AS,MATCH($R$1,Database!$A$1:$AS$1,),))))-(((VLOOKUP(EDATE(B156,-12),Database!$A:$AS,MATCH($R$1,Database!$A$1:$AS$1,),)))))/(((VLOOKUP(EDATE(B156,-12),Database!$A:$AS,MATCH($R$1,Database!$A$1:$AS$1,),)))))</f>
        <v/>
      </c>
      <c r="S156" s="13">
        <f>IF(VLOOKUP(B156,Database!$A:$AV,MATCH($S$1,Database!$A$1:$AV$1,),)=0,"#N/A",((((VLOOKUP(B156,Database!$A:$AS,MATCH($S$1,Database!$A$1:$AS$1,),))))-(((VLOOKUP(EDATE(B156,-12),Database!$A:$AS,MATCH($S$1,Database!$A$1:$AS$1,),)))))/(((VLOOKUP(EDATE(B156,-12),Database!$A:$AS,MATCH($S$1,Database!$A$1:$AS$1,),)))))</f>
        <v/>
      </c>
      <c r="T156" s="13">
        <f>IF(VLOOKUP(B156,Database!$A:$AV,MATCH($T$1,Database!$A$1:$AV$1,),)=0,"#N/A",((((VLOOKUP(B156,Database!$A:$AS,MATCH($T$1,Database!$A$1:$AS$1,),))))-(((VLOOKUP(EDATE(B156,-12),Database!$A:$AS,MATCH($T$1,Database!$A$1:$AS$1,),)))))/(((VLOOKUP(EDATE(B156,-12),Database!$A:$AS,MATCH($T$1,Database!$A$1:$AS$1,),)))))</f>
        <v/>
      </c>
      <c r="U156" s="13">
        <f>IF(VLOOKUP(B156,Database!$A:$AV,MATCH($U$1,Database!$A$1:$AV$1,),)=0,"#N/A",((((VLOOKUP(B156,Database!$A:$AS,MATCH($U$1,Database!$A$1:$AS$1,),))))-(((VLOOKUP(EDATE(B156,-12),Database!$A:$AS,MATCH($U$1,Database!$A$1:$AS$1,),)))))/(((VLOOKUP(EDATE(B156,-12),Database!$A:$AS,MATCH($U$1,Database!$A$1:$AS$1,),)))))</f>
        <v/>
      </c>
      <c r="V156" s="13">
        <f>IF(VLOOKUP(B156,Database!$A:$AV,MATCH($V$1,Database!$A$1:$AV$1,),)=0,"#N/A",((((VLOOKUP(B156,Database!$A:$AS,MATCH($V$1,Database!$A$1:$AS$1,),))))-(((VLOOKUP(EDATE(B156,-12),Database!$A:$AS,MATCH($V$1,Database!$A$1:$AS$1,),)))))/(((VLOOKUP(EDATE(B156,-12),Database!$A:$AS,MATCH($V$1,Database!$A$1:$AS$1,),)))))</f>
        <v/>
      </c>
    </row>
    <row r="157" customFormat="1" s="86">
      <c r="A157" s="43" t="n"/>
      <c r="B157" s="75" t="n">
        <v>36923</v>
      </c>
      <c r="C157" s="13">
        <f>IF(VLOOKUP(B157,Database!$A:$AU,MATCH($C$1,Database!$A$1:$AU$1,),)=0,"#N/A",((((VLOOKUP(B157,Database!$A:$AU,MATCH($C$1,Database!$A$1:$AU$1,),))))-(((VLOOKUP(EDATE(B157,-12),Database!$A:$AU,MATCH($C$1,Database!$A$1:$AU$1,),)))))/(((VLOOKUP(EDATE(B157,-12),Database!$A:$AU,MATCH($C$1,Database!$A$1:$AU$1,),)))))</f>
        <v/>
      </c>
      <c r="D157" s="13">
        <f>IF(VLOOKUP(B157,Database!$A:$AV,MATCH($D$1,Database!$A$1:$AV$1,),)=0,"#N/A",((((VLOOKUP(B157,Database!$A:$AS,MATCH($D$1,Database!$A$1:$AS$1,),))))-(((VLOOKUP(EDATE(B157,-12),Database!$A:$AS,MATCH($D$1,Database!$A$1:$AS$1,),)))))/(((VLOOKUP(EDATE(B157,-12),Database!$A:$AS,MATCH($D$1,Database!$A$1:$AS$1,),)))))</f>
        <v/>
      </c>
      <c r="E157" s="13">
        <f>IF(VLOOKUP(B157,Database!$A:$AV,MATCH($E$1,Database!$A$1:$AV$1,),)=0,"#N/A",((((VLOOKUP(B157,Database!$A:$AS,MATCH($E$1,Database!$A$1:$AS$1,),))))-(((VLOOKUP(EDATE(B157,-12),Database!$A:$AS,MATCH($E$1,Database!$A$1:$AS$1,),)))))/(((VLOOKUP(EDATE(B157,-12),Database!$A:$AS,MATCH($E$1,Database!$A$1:$AS$1,),)))))</f>
        <v/>
      </c>
      <c r="F157" s="13">
        <f>IF(VLOOKUP(B157,Database!$A:$AV,MATCH($F$1,Database!$A$1:$AV$1,),)=0,"#N/A",((((VLOOKUP(B157,Database!$A:$AS,MATCH($F$1,Database!$A$1:$AS$1,),))))-(((VLOOKUP(EDATE(B157,-12),Database!$A:$AS,MATCH($F$1,Database!$A$1:$AS$1,),)))))/(((VLOOKUP(EDATE(B157,-12),Database!$A:$AS,MATCH($F$1,Database!$A$1:$AS$1,),)))))</f>
        <v/>
      </c>
      <c r="G157" s="13">
        <f>IF(VLOOKUP(B157,Database!$A:$AV,MATCH($G$1,Database!$A$1:$AV$1,),)=0,"#N/A",((((VLOOKUP(B157,Database!$A:$AS,MATCH($G$1,Database!$A$1:$AS$1,),))))-(((VLOOKUP(EDATE(B157,-12),Database!$A:$AS,MATCH($G$1,Database!$A$1:$AS$1,),)))))/(((VLOOKUP(EDATE(B157,-12),Database!$A:$AS,MATCH($G$1,Database!$A$1:$AS$1,),)))))</f>
        <v/>
      </c>
      <c r="H157" s="13">
        <f>IF(VLOOKUP(B157,Database!$A:$AV,MATCH($H$1,Database!$A$1:$AV$1,),)=0,"#N/A",((((VLOOKUP(B157,Database!$A:$AS,MATCH($H$1,Database!$A$1:$AS$1,),))))-(((VLOOKUP(EDATE(B157,-12),Database!$A:$AS,MATCH($H$1,Database!$A$1:$AS$1,),)))))/(((VLOOKUP(EDATE(B157,-12),Database!$A:$AS,MATCH($H$1,Database!$A$1:$AS$1,),)))))</f>
        <v/>
      </c>
      <c r="I157" s="13">
        <f>IF(VLOOKUP(B157,Database!$A:$AV,MATCH($I$1,Database!$A$1:$AV$1,),)=0,"#N/A",((((VLOOKUP(B157,Database!$A:$AS,MATCH($I$1,Database!$A$1:$AS$1,),))))-(((VLOOKUP(EDATE(B157,-12),Database!$A:$AS,MATCH($I$1,Database!$A$1:$AS$1,),)))))/(((VLOOKUP(EDATE(B157,-12),Database!$A:$AS,MATCH($I$1,Database!$A$1:$AS$1,),)))))</f>
        <v/>
      </c>
      <c r="J157" s="13">
        <f>IF(VLOOKUP(B157,Database!$A:$AV,MATCH($J$1,Database!$A$1:$AV$1,),)=0,"#N/A",((((VLOOKUP(B157,Database!$A:$AS,MATCH($J$1,Database!$A$1:$AS$1,),))))-(((VLOOKUP(EDATE(B157,-12),Database!$A:$AS,MATCH($J$1,Database!$A$1:$AS$1,),)))))/(((VLOOKUP(EDATE(B157,-12),Database!$A:$AS,MATCH($J$1,Database!$A$1:$AS$1,),)))))</f>
        <v/>
      </c>
      <c r="K157" s="13">
        <f>IF(VLOOKUP(B157,Database!$A:$AV,MATCH($K$1,Database!$A$1:$AV$1,),)=0,"#N/A",((((VLOOKUP(B157,Database!$A:$AS,MATCH($K$1,Database!$A$1:$AS$1,),))))-(((VLOOKUP(EDATE(B157,-12),Database!$A:$AS,MATCH($K$1,Database!$A$1:$AS$1,),)))))/(((VLOOKUP(EDATE(B157,-12),Database!$A:$AS,MATCH($K$1,Database!$A$1:$AS$1,),)))))</f>
        <v/>
      </c>
      <c r="L157" s="13">
        <f>((((VLOOKUP(B157,Database!$A:$AS,MATCH($L$1,Database!$A$1:$AS$1,),))))-(((VLOOKUP(EDATE(B157,-12),Database!$A:$AS,MATCH($L$1,Database!$A$1:$AS$1,),)))))/(((VLOOKUP(EDATE(B157,-12),Database!$A:$AS,MATCH($L$1,Database!$A$1:$AS$1,),))))</f>
        <v/>
      </c>
      <c r="M157" s="13">
        <f>((((VLOOKUP(B157,Database!$A:$AS,MATCH($M$1,Database!$A$1:$AS$1,),))))-(((VLOOKUP(EDATE(B157,-12),Database!$A:$AS,MATCH($M$1,Database!$A$1:$AS$1,),)))))/(((VLOOKUP(EDATE(B157,-12),Database!$A:$AS,MATCH($M$1,Database!$A$1:$AS$1,),))))</f>
        <v/>
      </c>
      <c r="N157" s="13">
        <f>((((VLOOKUP(B157,Database!$A:$AS,MATCH($N$1,Database!$A$1:$AS$1,),))))-(((VLOOKUP(EDATE(B157,-12),Database!$A:$AS,MATCH($N$1,Database!$A$1:$AS$1,),)))))/(((VLOOKUP(EDATE(B157,-12),Database!$A:$AS,MATCH($N$1,Database!$A$1:$AS$1,),))))</f>
        <v/>
      </c>
      <c r="O157" s="13">
        <f>IF(VLOOKUP(B157,Database!$A:$AV,MATCH($O$1,Database!$A$1:$AV$1,),)=0,"#N/A",((((VLOOKUP(B157,Database!$A:$AS,MATCH($O$1,Database!$A$1:$AS$1,),))))-(((VLOOKUP(EDATE(B157,-12),Database!$A:$AS,MATCH($O$1,Database!$A$1:$AS$1,),)))))/(((VLOOKUP(EDATE(B157,-12),Database!$A:$AS,MATCH($O$1,Database!$A$1:$AS$1,),)))))</f>
        <v/>
      </c>
      <c r="P157" s="13">
        <f>IF(VLOOKUP(B157,Database!$A:$AV,MATCH($P$1,Database!$A$1:$AV$1,),)=0,"#N/A",((((VLOOKUP(B157,Database!$A:$AS,MATCH($P$1,Database!$A$1:$AS$1,),))))-(((VLOOKUP(EDATE(B157,-12),Database!$A:$AS,MATCH($P$1,Database!$A$1:$AS$1,),)))))/(((VLOOKUP(EDATE(B157,-12),Database!$A:$AS,MATCH($P$1,Database!$A$1:$AS$1,),)))))</f>
        <v/>
      </c>
      <c r="Q157" s="13">
        <f>IF(VLOOKUP(B157,Database!$A:$AV,MATCH($Q$1,Database!$A$1:$AV$1,),)=0,"#N/A",((((VLOOKUP(B157,Database!$A:$AS,MATCH($Q$1,Database!$A$1:$AS$1,),))))-(((VLOOKUP(EDATE(B157,-12),Database!$A:$AS,MATCH($Q$1,Database!$A$1:$AS$1,),)))))/(((VLOOKUP(EDATE(B157,-12),Database!$A:$AS,MATCH($Q$1,Database!$A$1:$AS$1,),)))))</f>
        <v/>
      </c>
      <c r="R157" s="13">
        <f>IF(VLOOKUP(B157,Database!$A:$AV,MATCH($R$1,Database!$A$1:$AV$1,),)=0,"#N/A",((((VLOOKUP(B157,Database!$A:$AS,MATCH($R$1,Database!$A$1:$AS$1,),))))-(((VLOOKUP(EDATE(B157,-12),Database!$A:$AS,MATCH($R$1,Database!$A$1:$AS$1,),)))))/(((VLOOKUP(EDATE(B157,-12),Database!$A:$AS,MATCH($R$1,Database!$A$1:$AS$1,),)))))</f>
        <v/>
      </c>
      <c r="S157" s="13">
        <f>IF(VLOOKUP(B157,Database!$A:$AV,MATCH($S$1,Database!$A$1:$AV$1,),)=0,"#N/A",((((VLOOKUP(B157,Database!$A:$AS,MATCH($S$1,Database!$A$1:$AS$1,),))))-(((VLOOKUP(EDATE(B157,-12),Database!$A:$AS,MATCH($S$1,Database!$A$1:$AS$1,),)))))/(((VLOOKUP(EDATE(B157,-12),Database!$A:$AS,MATCH($S$1,Database!$A$1:$AS$1,),)))))</f>
        <v/>
      </c>
      <c r="T157" s="13">
        <f>IF(VLOOKUP(B157,Database!$A:$AV,MATCH($T$1,Database!$A$1:$AV$1,),)=0,"#N/A",((((VLOOKUP(B157,Database!$A:$AS,MATCH($T$1,Database!$A$1:$AS$1,),))))-(((VLOOKUP(EDATE(B157,-12),Database!$A:$AS,MATCH($T$1,Database!$A$1:$AS$1,),)))))/(((VLOOKUP(EDATE(B157,-12),Database!$A:$AS,MATCH($T$1,Database!$A$1:$AS$1,),)))))</f>
        <v/>
      </c>
      <c r="U157" s="13">
        <f>IF(VLOOKUP(B157,Database!$A:$AV,MATCH($U$1,Database!$A$1:$AV$1,),)=0,"#N/A",((((VLOOKUP(B157,Database!$A:$AS,MATCH($U$1,Database!$A$1:$AS$1,),))))-(((VLOOKUP(EDATE(B157,-12),Database!$A:$AS,MATCH($U$1,Database!$A$1:$AS$1,),)))))/(((VLOOKUP(EDATE(B157,-12),Database!$A:$AS,MATCH($U$1,Database!$A$1:$AS$1,),)))))</f>
        <v/>
      </c>
      <c r="V157" s="13">
        <f>IF(VLOOKUP(B157,Database!$A:$AV,MATCH($V$1,Database!$A$1:$AV$1,),)=0,"#N/A",((((VLOOKUP(B157,Database!$A:$AS,MATCH($V$1,Database!$A$1:$AS$1,),))))-(((VLOOKUP(EDATE(B157,-12),Database!$A:$AS,MATCH($V$1,Database!$A$1:$AS$1,),)))))/(((VLOOKUP(EDATE(B157,-12),Database!$A:$AS,MATCH($V$1,Database!$A$1:$AS$1,),)))))</f>
        <v/>
      </c>
    </row>
    <row r="158" customFormat="1" s="86">
      <c r="A158" s="43" t="n"/>
      <c r="B158" s="75" t="n">
        <v>36951</v>
      </c>
      <c r="C158" s="13">
        <f>IF(VLOOKUP(B158,Database!$A:$AU,MATCH($C$1,Database!$A$1:$AU$1,),)=0,"#N/A",((((VLOOKUP(B158,Database!$A:$AU,MATCH($C$1,Database!$A$1:$AU$1,),))))-(((VLOOKUP(EDATE(B158,-12),Database!$A:$AU,MATCH($C$1,Database!$A$1:$AU$1,),)))))/(((VLOOKUP(EDATE(B158,-12),Database!$A:$AU,MATCH($C$1,Database!$A$1:$AU$1,),)))))</f>
        <v/>
      </c>
      <c r="D158" s="13">
        <f>IF(VLOOKUP(B158,Database!$A:$AV,MATCH($D$1,Database!$A$1:$AV$1,),)=0,"#N/A",((((VLOOKUP(B158,Database!$A:$AS,MATCH($D$1,Database!$A$1:$AS$1,),))))-(((VLOOKUP(EDATE(B158,-12),Database!$A:$AS,MATCH($D$1,Database!$A$1:$AS$1,),)))))/(((VLOOKUP(EDATE(B158,-12),Database!$A:$AS,MATCH($D$1,Database!$A$1:$AS$1,),)))))</f>
        <v/>
      </c>
      <c r="E158" s="13">
        <f>IF(VLOOKUP(B158,Database!$A:$AV,MATCH($E$1,Database!$A$1:$AV$1,),)=0,"#N/A",((((VLOOKUP(B158,Database!$A:$AS,MATCH($E$1,Database!$A$1:$AS$1,),))))-(((VLOOKUP(EDATE(B158,-12),Database!$A:$AS,MATCH($E$1,Database!$A$1:$AS$1,),)))))/(((VLOOKUP(EDATE(B158,-12),Database!$A:$AS,MATCH($E$1,Database!$A$1:$AS$1,),)))))</f>
        <v/>
      </c>
      <c r="F158" s="13">
        <f>IF(VLOOKUP(B158,Database!$A:$AV,MATCH($F$1,Database!$A$1:$AV$1,),)=0,"#N/A",((((VLOOKUP(B158,Database!$A:$AS,MATCH($F$1,Database!$A$1:$AS$1,),))))-(((VLOOKUP(EDATE(B158,-12),Database!$A:$AS,MATCH($F$1,Database!$A$1:$AS$1,),)))))/(((VLOOKUP(EDATE(B158,-12),Database!$A:$AS,MATCH($F$1,Database!$A$1:$AS$1,),)))))</f>
        <v/>
      </c>
      <c r="G158" s="13">
        <f>IF(VLOOKUP(B158,Database!$A:$AV,MATCH($G$1,Database!$A$1:$AV$1,),)=0,"#N/A",((((VLOOKUP(B158,Database!$A:$AS,MATCH($G$1,Database!$A$1:$AS$1,),))))-(((VLOOKUP(EDATE(B158,-12),Database!$A:$AS,MATCH($G$1,Database!$A$1:$AS$1,),)))))/(((VLOOKUP(EDATE(B158,-12),Database!$A:$AS,MATCH($G$1,Database!$A$1:$AS$1,),)))))</f>
        <v/>
      </c>
      <c r="H158" s="13">
        <f>IF(VLOOKUP(B158,Database!$A:$AV,MATCH($H$1,Database!$A$1:$AV$1,),)=0,"#N/A",((((VLOOKUP(B158,Database!$A:$AS,MATCH($H$1,Database!$A$1:$AS$1,),))))-(((VLOOKUP(EDATE(B158,-12),Database!$A:$AS,MATCH($H$1,Database!$A$1:$AS$1,),)))))/(((VLOOKUP(EDATE(B158,-12),Database!$A:$AS,MATCH($H$1,Database!$A$1:$AS$1,),)))))</f>
        <v/>
      </c>
      <c r="I158" s="13">
        <f>IF(VLOOKUP(B158,Database!$A:$AV,MATCH($I$1,Database!$A$1:$AV$1,),)=0,"#N/A",((((VLOOKUP(B158,Database!$A:$AS,MATCH($I$1,Database!$A$1:$AS$1,),))))-(((VLOOKUP(EDATE(B158,-12),Database!$A:$AS,MATCH($I$1,Database!$A$1:$AS$1,),)))))/(((VLOOKUP(EDATE(B158,-12),Database!$A:$AS,MATCH($I$1,Database!$A$1:$AS$1,),)))))</f>
        <v/>
      </c>
      <c r="J158" s="13">
        <f>IF(VLOOKUP(B158,Database!$A:$AV,MATCH($J$1,Database!$A$1:$AV$1,),)=0,"#N/A",((((VLOOKUP(B158,Database!$A:$AS,MATCH($J$1,Database!$A$1:$AS$1,),))))-(((VLOOKUP(EDATE(B158,-12),Database!$A:$AS,MATCH($J$1,Database!$A$1:$AS$1,),)))))/(((VLOOKUP(EDATE(B158,-12),Database!$A:$AS,MATCH($J$1,Database!$A$1:$AS$1,),)))))</f>
        <v/>
      </c>
      <c r="K158" s="13">
        <f>IF(VLOOKUP(B158,Database!$A:$AV,MATCH($K$1,Database!$A$1:$AV$1,),)=0,"#N/A",((((VLOOKUP(B158,Database!$A:$AS,MATCH($K$1,Database!$A$1:$AS$1,),))))-(((VLOOKUP(EDATE(B158,-12),Database!$A:$AS,MATCH($K$1,Database!$A$1:$AS$1,),)))))/(((VLOOKUP(EDATE(B158,-12),Database!$A:$AS,MATCH($K$1,Database!$A$1:$AS$1,),)))))</f>
        <v/>
      </c>
      <c r="L158" s="13">
        <f>((((VLOOKUP(B158,Database!$A:$AS,MATCH($L$1,Database!$A$1:$AS$1,),))))-(((VLOOKUP(EDATE(B158,-12),Database!$A:$AS,MATCH($L$1,Database!$A$1:$AS$1,),)))))/(((VLOOKUP(EDATE(B158,-12),Database!$A:$AS,MATCH($L$1,Database!$A$1:$AS$1,),))))</f>
        <v/>
      </c>
      <c r="M158" s="13">
        <f>((((VLOOKUP(B158,Database!$A:$AS,MATCH($M$1,Database!$A$1:$AS$1,),))))-(((VLOOKUP(EDATE(B158,-12),Database!$A:$AS,MATCH($M$1,Database!$A$1:$AS$1,),)))))/(((VLOOKUP(EDATE(B158,-12),Database!$A:$AS,MATCH($M$1,Database!$A$1:$AS$1,),))))</f>
        <v/>
      </c>
      <c r="N158" s="13">
        <f>((((VLOOKUP(B158,Database!$A:$AS,MATCH($N$1,Database!$A$1:$AS$1,),))))-(((VLOOKUP(EDATE(B158,-12),Database!$A:$AS,MATCH($N$1,Database!$A$1:$AS$1,),)))))/(((VLOOKUP(EDATE(B158,-12),Database!$A:$AS,MATCH($N$1,Database!$A$1:$AS$1,),))))</f>
        <v/>
      </c>
      <c r="O158" s="13">
        <f>IF(VLOOKUP(B158,Database!$A:$AV,MATCH($O$1,Database!$A$1:$AV$1,),)=0,"#N/A",((((VLOOKUP(B158,Database!$A:$AS,MATCH($O$1,Database!$A$1:$AS$1,),))))-(((VLOOKUP(EDATE(B158,-12),Database!$A:$AS,MATCH($O$1,Database!$A$1:$AS$1,),)))))/(((VLOOKUP(EDATE(B158,-12),Database!$A:$AS,MATCH($O$1,Database!$A$1:$AS$1,),)))))</f>
        <v/>
      </c>
      <c r="P158" s="13">
        <f>IF(VLOOKUP(B158,Database!$A:$AV,MATCH($P$1,Database!$A$1:$AV$1,),)=0,"#N/A",((((VLOOKUP(B158,Database!$A:$AS,MATCH($P$1,Database!$A$1:$AS$1,),))))-(((VLOOKUP(EDATE(B158,-12),Database!$A:$AS,MATCH($P$1,Database!$A$1:$AS$1,),)))))/(((VLOOKUP(EDATE(B158,-12),Database!$A:$AS,MATCH($P$1,Database!$A$1:$AS$1,),)))))</f>
        <v/>
      </c>
      <c r="Q158" s="13">
        <f>IF(VLOOKUP(B158,Database!$A:$AV,MATCH($Q$1,Database!$A$1:$AV$1,),)=0,"#N/A",((((VLOOKUP(B158,Database!$A:$AS,MATCH($Q$1,Database!$A$1:$AS$1,),))))-(((VLOOKUP(EDATE(B158,-12),Database!$A:$AS,MATCH($Q$1,Database!$A$1:$AS$1,),)))))/(((VLOOKUP(EDATE(B158,-12),Database!$A:$AS,MATCH($Q$1,Database!$A$1:$AS$1,),)))))</f>
        <v/>
      </c>
      <c r="R158" s="13">
        <f>IF(VLOOKUP(B158,Database!$A:$AV,MATCH($R$1,Database!$A$1:$AV$1,),)=0,"#N/A",((((VLOOKUP(B158,Database!$A:$AS,MATCH($R$1,Database!$A$1:$AS$1,),))))-(((VLOOKUP(EDATE(B158,-12),Database!$A:$AS,MATCH($R$1,Database!$A$1:$AS$1,),)))))/(((VLOOKUP(EDATE(B158,-12),Database!$A:$AS,MATCH($R$1,Database!$A$1:$AS$1,),)))))</f>
        <v/>
      </c>
      <c r="S158" s="13">
        <f>IF(VLOOKUP(B158,Database!$A:$AV,MATCH($S$1,Database!$A$1:$AV$1,),)=0,"#N/A",((((VLOOKUP(B158,Database!$A:$AS,MATCH($S$1,Database!$A$1:$AS$1,),))))-(((VLOOKUP(EDATE(B158,-12),Database!$A:$AS,MATCH($S$1,Database!$A$1:$AS$1,),)))))/(((VLOOKUP(EDATE(B158,-12),Database!$A:$AS,MATCH($S$1,Database!$A$1:$AS$1,),)))))</f>
        <v/>
      </c>
      <c r="T158" s="13">
        <f>IF(VLOOKUP(B158,Database!$A:$AV,MATCH($T$1,Database!$A$1:$AV$1,),)=0,"#N/A",((((VLOOKUP(B158,Database!$A:$AS,MATCH($T$1,Database!$A$1:$AS$1,),))))-(((VLOOKUP(EDATE(B158,-12),Database!$A:$AS,MATCH($T$1,Database!$A$1:$AS$1,),)))))/(((VLOOKUP(EDATE(B158,-12),Database!$A:$AS,MATCH($T$1,Database!$A$1:$AS$1,),)))))</f>
        <v/>
      </c>
      <c r="U158" s="13">
        <f>IF(VLOOKUP(B158,Database!$A:$AV,MATCH($U$1,Database!$A$1:$AV$1,),)=0,"#N/A",((((VLOOKUP(B158,Database!$A:$AS,MATCH($U$1,Database!$A$1:$AS$1,),))))-(((VLOOKUP(EDATE(B158,-12),Database!$A:$AS,MATCH($U$1,Database!$A$1:$AS$1,),)))))/(((VLOOKUP(EDATE(B158,-12),Database!$A:$AS,MATCH($U$1,Database!$A$1:$AS$1,),)))))</f>
        <v/>
      </c>
      <c r="V158" s="13">
        <f>IF(VLOOKUP(B158,Database!$A:$AV,MATCH($V$1,Database!$A$1:$AV$1,),)=0,"#N/A",((((VLOOKUP(B158,Database!$A:$AS,MATCH($V$1,Database!$A$1:$AS$1,),))))-(((VLOOKUP(EDATE(B158,-12),Database!$A:$AS,MATCH($V$1,Database!$A$1:$AS$1,),)))))/(((VLOOKUP(EDATE(B158,-12),Database!$A:$AS,MATCH($V$1,Database!$A$1:$AS$1,),)))))</f>
        <v/>
      </c>
    </row>
    <row r="159" customFormat="1" s="86">
      <c r="A159" s="43" t="n"/>
      <c r="B159" s="75" t="n">
        <v>36982</v>
      </c>
      <c r="C159" s="13">
        <f>IF(VLOOKUP(B159,Database!$A:$AU,MATCH($C$1,Database!$A$1:$AU$1,),)=0,"#N/A",((((VLOOKUP(B159,Database!$A:$AU,MATCH($C$1,Database!$A$1:$AU$1,),))))-(((VLOOKUP(EDATE(B159,-12),Database!$A:$AU,MATCH($C$1,Database!$A$1:$AU$1,),)))))/(((VLOOKUP(EDATE(B159,-12),Database!$A:$AU,MATCH($C$1,Database!$A$1:$AU$1,),)))))</f>
        <v/>
      </c>
      <c r="D159" s="13">
        <f>IF(VLOOKUP(B159,Database!$A:$AV,MATCH($D$1,Database!$A$1:$AV$1,),)=0,"#N/A",((((VLOOKUP(B159,Database!$A:$AS,MATCH($D$1,Database!$A$1:$AS$1,),))))-(((VLOOKUP(EDATE(B159,-12),Database!$A:$AS,MATCH($D$1,Database!$A$1:$AS$1,),)))))/(((VLOOKUP(EDATE(B159,-12),Database!$A:$AS,MATCH($D$1,Database!$A$1:$AS$1,),)))))</f>
        <v/>
      </c>
      <c r="E159" s="13">
        <f>IF(VLOOKUP(B159,Database!$A:$AV,MATCH($E$1,Database!$A$1:$AV$1,),)=0,"#N/A",((((VLOOKUP(B159,Database!$A:$AS,MATCH($E$1,Database!$A$1:$AS$1,),))))-(((VLOOKUP(EDATE(B159,-12),Database!$A:$AS,MATCH($E$1,Database!$A$1:$AS$1,),)))))/(((VLOOKUP(EDATE(B159,-12),Database!$A:$AS,MATCH($E$1,Database!$A$1:$AS$1,),)))))</f>
        <v/>
      </c>
      <c r="F159" s="13">
        <f>IF(VLOOKUP(B159,Database!$A:$AV,MATCH($F$1,Database!$A$1:$AV$1,),)=0,"#N/A",((((VLOOKUP(B159,Database!$A:$AS,MATCH($F$1,Database!$A$1:$AS$1,),))))-(((VLOOKUP(EDATE(B159,-12),Database!$A:$AS,MATCH($F$1,Database!$A$1:$AS$1,),)))))/(((VLOOKUP(EDATE(B159,-12),Database!$A:$AS,MATCH($F$1,Database!$A$1:$AS$1,),)))))</f>
        <v/>
      </c>
      <c r="G159" s="13">
        <f>IF(VLOOKUP(B159,Database!$A:$AV,MATCH($G$1,Database!$A$1:$AV$1,),)=0,"#N/A",((((VLOOKUP(B159,Database!$A:$AS,MATCH($G$1,Database!$A$1:$AS$1,),))))-(((VLOOKUP(EDATE(B159,-12),Database!$A:$AS,MATCH($G$1,Database!$A$1:$AS$1,),)))))/(((VLOOKUP(EDATE(B159,-12),Database!$A:$AS,MATCH($G$1,Database!$A$1:$AS$1,),)))))</f>
        <v/>
      </c>
      <c r="H159" s="13">
        <f>IF(VLOOKUP(B159,Database!$A:$AV,MATCH($H$1,Database!$A$1:$AV$1,),)=0,"#N/A",((((VLOOKUP(B159,Database!$A:$AS,MATCH($H$1,Database!$A$1:$AS$1,),))))-(((VLOOKUP(EDATE(B159,-12),Database!$A:$AS,MATCH($H$1,Database!$A$1:$AS$1,),)))))/(((VLOOKUP(EDATE(B159,-12),Database!$A:$AS,MATCH($H$1,Database!$A$1:$AS$1,),)))))</f>
        <v/>
      </c>
      <c r="I159" s="13">
        <f>IF(VLOOKUP(B159,Database!$A:$AV,MATCH($I$1,Database!$A$1:$AV$1,),)=0,"#N/A",((((VLOOKUP(B159,Database!$A:$AS,MATCH($I$1,Database!$A$1:$AS$1,),))))-(((VLOOKUP(EDATE(B159,-12),Database!$A:$AS,MATCH($I$1,Database!$A$1:$AS$1,),)))))/(((VLOOKUP(EDATE(B159,-12),Database!$A:$AS,MATCH($I$1,Database!$A$1:$AS$1,),)))))</f>
        <v/>
      </c>
      <c r="J159" s="13">
        <f>IF(VLOOKUP(B159,Database!$A:$AV,MATCH($J$1,Database!$A$1:$AV$1,),)=0,"#N/A",((((VLOOKUP(B159,Database!$A:$AS,MATCH($J$1,Database!$A$1:$AS$1,),))))-(((VLOOKUP(EDATE(B159,-12),Database!$A:$AS,MATCH($J$1,Database!$A$1:$AS$1,),)))))/(((VLOOKUP(EDATE(B159,-12),Database!$A:$AS,MATCH($J$1,Database!$A$1:$AS$1,),)))))</f>
        <v/>
      </c>
      <c r="K159" s="13">
        <f>IF(VLOOKUP(B159,Database!$A:$AV,MATCH($K$1,Database!$A$1:$AV$1,),)=0,"#N/A",((((VLOOKUP(B159,Database!$A:$AS,MATCH($K$1,Database!$A$1:$AS$1,),))))-(((VLOOKUP(EDATE(B159,-12),Database!$A:$AS,MATCH($K$1,Database!$A$1:$AS$1,),)))))/(((VLOOKUP(EDATE(B159,-12),Database!$A:$AS,MATCH($K$1,Database!$A$1:$AS$1,),)))))</f>
        <v/>
      </c>
      <c r="L159" s="13">
        <f>((((VLOOKUP(B159,Database!$A:$AS,MATCH($L$1,Database!$A$1:$AS$1,),))))-(((VLOOKUP(EDATE(B159,-12),Database!$A:$AS,MATCH($L$1,Database!$A$1:$AS$1,),)))))/(((VLOOKUP(EDATE(B159,-12),Database!$A:$AS,MATCH($L$1,Database!$A$1:$AS$1,),))))</f>
        <v/>
      </c>
      <c r="M159" s="13">
        <f>((((VLOOKUP(B159,Database!$A:$AS,MATCH($M$1,Database!$A$1:$AS$1,),))))-(((VLOOKUP(EDATE(B159,-12),Database!$A:$AS,MATCH($M$1,Database!$A$1:$AS$1,),)))))/(((VLOOKUP(EDATE(B159,-12),Database!$A:$AS,MATCH($M$1,Database!$A$1:$AS$1,),))))</f>
        <v/>
      </c>
      <c r="N159" s="13">
        <f>((((VLOOKUP(B159,Database!$A:$AS,MATCH($N$1,Database!$A$1:$AS$1,),))))-(((VLOOKUP(EDATE(B159,-12),Database!$A:$AS,MATCH($N$1,Database!$A$1:$AS$1,),)))))/(((VLOOKUP(EDATE(B159,-12),Database!$A:$AS,MATCH($N$1,Database!$A$1:$AS$1,),))))</f>
        <v/>
      </c>
      <c r="O159" s="13">
        <f>IF(VLOOKUP(B159,Database!$A:$AV,MATCH($O$1,Database!$A$1:$AV$1,),)=0,"#N/A",((((VLOOKUP(B159,Database!$A:$AS,MATCH($O$1,Database!$A$1:$AS$1,),))))-(((VLOOKUP(EDATE(B159,-12),Database!$A:$AS,MATCH($O$1,Database!$A$1:$AS$1,),)))))/(((VLOOKUP(EDATE(B159,-12),Database!$A:$AS,MATCH($O$1,Database!$A$1:$AS$1,),)))))</f>
        <v/>
      </c>
      <c r="P159" s="13">
        <f>IF(VLOOKUP(B159,Database!$A:$AV,MATCH($P$1,Database!$A$1:$AV$1,),)=0,"#N/A",((((VLOOKUP(B159,Database!$A:$AS,MATCH($P$1,Database!$A$1:$AS$1,),))))-(((VLOOKUP(EDATE(B159,-12),Database!$A:$AS,MATCH($P$1,Database!$A$1:$AS$1,),)))))/(((VLOOKUP(EDATE(B159,-12),Database!$A:$AS,MATCH($P$1,Database!$A$1:$AS$1,),)))))</f>
        <v/>
      </c>
      <c r="Q159" s="13">
        <f>IF(VLOOKUP(B159,Database!$A:$AV,MATCH($Q$1,Database!$A$1:$AV$1,),)=0,"#N/A",((((VLOOKUP(B159,Database!$A:$AS,MATCH($Q$1,Database!$A$1:$AS$1,),))))-(((VLOOKUP(EDATE(B159,-12),Database!$A:$AS,MATCH($Q$1,Database!$A$1:$AS$1,),)))))/(((VLOOKUP(EDATE(B159,-12),Database!$A:$AS,MATCH($Q$1,Database!$A$1:$AS$1,),)))))</f>
        <v/>
      </c>
      <c r="R159" s="13">
        <f>IF(VLOOKUP(B159,Database!$A:$AV,MATCH($R$1,Database!$A$1:$AV$1,),)=0,"#N/A",((((VLOOKUP(B159,Database!$A:$AS,MATCH($R$1,Database!$A$1:$AS$1,),))))-(((VLOOKUP(EDATE(B159,-12),Database!$A:$AS,MATCH($R$1,Database!$A$1:$AS$1,),)))))/(((VLOOKUP(EDATE(B159,-12),Database!$A:$AS,MATCH($R$1,Database!$A$1:$AS$1,),)))))</f>
        <v/>
      </c>
      <c r="S159" s="13">
        <f>IF(VLOOKUP(B159,Database!$A:$AV,MATCH($S$1,Database!$A$1:$AV$1,),)=0,"#N/A",((((VLOOKUP(B159,Database!$A:$AS,MATCH($S$1,Database!$A$1:$AS$1,),))))-(((VLOOKUP(EDATE(B159,-12),Database!$A:$AS,MATCH($S$1,Database!$A$1:$AS$1,),)))))/(((VLOOKUP(EDATE(B159,-12),Database!$A:$AS,MATCH($S$1,Database!$A$1:$AS$1,),)))))</f>
        <v/>
      </c>
      <c r="T159" s="13">
        <f>IF(VLOOKUP(B159,Database!$A:$AV,MATCH($T$1,Database!$A$1:$AV$1,),)=0,"#N/A",((((VLOOKUP(B159,Database!$A:$AS,MATCH($T$1,Database!$A$1:$AS$1,),))))-(((VLOOKUP(EDATE(B159,-12),Database!$A:$AS,MATCH($T$1,Database!$A$1:$AS$1,),)))))/(((VLOOKUP(EDATE(B159,-12),Database!$A:$AS,MATCH($T$1,Database!$A$1:$AS$1,),)))))</f>
        <v/>
      </c>
      <c r="U159" s="13">
        <f>IF(VLOOKUP(B159,Database!$A:$AV,MATCH($U$1,Database!$A$1:$AV$1,),)=0,"#N/A",((((VLOOKUP(B159,Database!$A:$AS,MATCH($U$1,Database!$A$1:$AS$1,),))))-(((VLOOKUP(EDATE(B159,-12),Database!$A:$AS,MATCH($U$1,Database!$A$1:$AS$1,),)))))/(((VLOOKUP(EDATE(B159,-12),Database!$A:$AS,MATCH($U$1,Database!$A$1:$AS$1,),)))))</f>
        <v/>
      </c>
      <c r="V159" s="13">
        <f>IF(VLOOKUP(B159,Database!$A:$AV,MATCH($V$1,Database!$A$1:$AV$1,),)=0,"#N/A",((((VLOOKUP(B159,Database!$A:$AS,MATCH($V$1,Database!$A$1:$AS$1,),))))-(((VLOOKUP(EDATE(B159,-12),Database!$A:$AS,MATCH($V$1,Database!$A$1:$AS$1,),)))))/(((VLOOKUP(EDATE(B159,-12),Database!$A:$AS,MATCH($V$1,Database!$A$1:$AS$1,),)))))</f>
        <v/>
      </c>
    </row>
    <row r="160" customFormat="1" s="86">
      <c r="A160" s="43" t="n"/>
      <c r="B160" s="75" t="n">
        <v>37012</v>
      </c>
      <c r="C160" s="13">
        <f>IF(VLOOKUP(B160,Database!$A:$AU,MATCH($C$1,Database!$A$1:$AU$1,),)=0,"#N/A",((((VLOOKUP(B160,Database!$A:$AU,MATCH($C$1,Database!$A$1:$AU$1,),))))-(((VLOOKUP(EDATE(B160,-12),Database!$A:$AU,MATCH($C$1,Database!$A$1:$AU$1,),)))))/(((VLOOKUP(EDATE(B160,-12),Database!$A:$AU,MATCH($C$1,Database!$A$1:$AU$1,),)))))</f>
        <v/>
      </c>
      <c r="D160" s="13">
        <f>IF(VLOOKUP(B160,Database!$A:$AV,MATCH($D$1,Database!$A$1:$AV$1,),)=0,"#N/A",((((VLOOKUP(B160,Database!$A:$AS,MATCH($D$1,Database!$A$1:$AS$1,),))))-(((VLOOKUP(EDATE(B160,-12),Database!$A:$AS,MATCH($D$1,Database!$A$1:$AS$1,),)))))/(((VLOOKUP(EDATE(B160,-12),Database!$A:$AS,MATCH($D$1,Database!$A$1:$AS$1,),)))))</f>
        <v/>
      </c>
      <c r="E160" s="13">
        <f>IF(VLOOKUP(B160,Database!$A:$AV,MATCH($E$1,Database!$A$1:$AV$1,),)=0,"#N/A",((((VLOOKUP(B160,Database!$A:$AS,MATCH($E$1,Database!$A$1:$AS$1,),))))-(((VLOOKUP(EDATE(B160,-12),Database!$A:$AS,MATCH($E$1,Database!$A$1:$AS$1,),)))))/(((VLOOKUP(EDATE(B160,-12),Database!$A:$AS,MATCH($E$1,Database!$A$1:$AS$1,),)))))</f>
        <v/>
      </c>
      <c r="F160" s="13">
        <f>IF(VLOOKUP(B160,Database!$A:$AV,MATCH($F$1,Database!$A$1:$AV$1,),)=0,"#N/A",((((VLOOKUP(B160,Database!$A:$AS,MATCH($F$1,Database!$A$1:$AS$1,),))))-(((VLOOKUP(EDATE(B160,-12),Database!$A:$AS,MATCH($F$1,Database!$A$1:$AS$1,),)))))/(((VLOOKUP(EDATE(B160,-12),Database!$A:$AS,MATCH($F$1,Database!$A$1:$AS$1,),)))))</f>
        <v/>
      </c>
      <c r="G160" s="13">
        <f>IF(VLOOKUP(B160,Database!$A:$AV,MATCH($G$1,Database!$A$1:$AV$1,),)=0,"#N/A",((((VLOOKUP(B160,Database!$A:$AS,MATCH($G$1,Database!$A$1:$AS$1,),))))-(((VLOOKUP(EDATE(B160,-12),Database!$A:$AS,MATCH($G$1,Database!$A$1:$AS$1,),)))))/(((VLOOKUP(EDATE(B160,-12),Database!$A:$AS,MATCH($G$1,Database!$A$1:$AS$1,),)))))</f>
        <v/>
      </c>
      <c r="H160" s="13">
        <f>IF(VLOOKUP(B160,Database!$A:$AV,MATCH($H$1,Database!$A$1:$AV$1,),)=0,"#N/A",((((VLOOKUP(B160,Database!$A:$AS,MATCH($H$1,Database!$A$1:$AS$1,),))))-(((VLOOKUP(EDATE(B160,-12),Database!$A:$AS,MATCH($H$1,Database!$A$1:$AS$1,),)))))/(((VLOOKUP(EDATE(B160,-12),Database!$A:$AS,MATCH($H$1,Database!$A$1:$AS$1,),)))))</f>
        <v/>
      </c>
      <c r="I160" s="13">
        <f>IF(VLOOKUP(B160,Database!$A:$AV,MATCH($I$1,Database!$A$1:$AV$1,),)=0,"#N/A",((((VLOOKUP(B160,Database!$A:$AS,MATCH($I$1,Database!$A$1:$AS$1,),))))-(((VLOOKUP(EDATE(B160,-12),Database!$A:$AS,MATCH($I$1,Database!$A$1:$AS$1,),)))))/(((VLOOKUP(EDATE(B160,-12),Database!$A:$AS,MATCH($I$1,Database!$A$1:$AS$1,),)))))</f>
        <v/>
      </c>
      <c r="J160" s="13">
        <f>IF(VLOOKUP(B160,Database!$A:$AV,MATCH($J$1,Database!$A$1:$AV$1,),)=0,"#N/A",((((VLOOKUP(B160,Database!$A:$AS,MATCH($J$1,Database!$A$1:$AS$1,),))))-(((VLOOKUP(EDATE(B160,-12),Database!$A:$AS,MATCH($J$1,Database!$A$1:$AS$1,),)))))/(((VLOOKUP(EDATE(B160,-12),Database!$A:$AS,MATCH($J$1,Database!$A$1:$AS$1,),)))))</f>
        <v/>
      </c>
      <c r="K160" s="13">
        <f>IF(VLOOKUP(B160,Database!$A:$AV,MATCH($K$1,Database!$A$1:$AV$1,),)=0,"#N/A",((((VLOOKUP(B160,Database!$A:$AS,MATCH($K$1,Database!$A$1:$AS$1,),))))-(((VLOOKUP(EDATE(B160,-12),Database!$A:$AS,MATCH($K$1,Database!$A$1:$AS$1,),)))))/(((VLOOKUP(EDATE(B160,-12),Database!$A:$AS,MATCH($K$1,Database!$A$1:$AS$1,),)))))</f>
        <v/>
      </c>
      <c r="L160" s="13">
        <f>((((VLOOKUP(B160,Database!$A:$AS,MATCH($L$1,Database!$A$1:$AS$1,),))))-(((VLOOKUP(EDATE(B160,-12),Database!$A:$AS,MATCH($L$1,Database!$A$1:$AS$1,),)))))/(((VLOOKUP(EDATE(B160,-12),Database!$A:$AS,MATCH($L$1,Database!$A$1:$AS$1,),))))</f>
        <v/>
      </c>
      <c r="M160" s="13">
        <f>((((VLOOKUP(B160,Database!$A:$AS,MATCH($M$1,Database!$A$1:$AS$1,),))))-(((VLOOKUP(EDATE(B160,-12),Database!$A:$AS,MATCH($M$1,Database!$A$1:$AS$1,),)))))/(((VLOOKUP(EDATE(B160,-12),Database!$A:$AS,MATCH($M$1,Database!$A$1:$AS$1,),))))</f>
        <v/>
      </c>
      <c r="N160" s="13">
        <f>((((VLOOKUP(B160,Database!$A:$AS,MATCH($N$1,Database!$A$1:$AS$1,),))))-(((VLOOKUP(EDATE(B160,-12),Database!$A:$AS,MATCH($N$1,Database!$A$1:$AS$1,),)))))/(((VLOOKUP(EDATE(B160,-12),Database!$A:$AS,MATCH($N$1,Database!$A$1:$AS$1,),))))</f>
        <v/>
      </c>
      <c r="O160" s="13">
        <f>IF(VLOOKUP(B160,Database!$A:$AV,MATCH($O$1,Database!$A$1:$AV$1,),)=0,"#N/A",((((VLOOKUP(B160,Database!$A:$AS,MATCH($O$1,Database!$A$1:$AS$1,),))))-(((VLOOKUP(EDATE(B160,-12),Database!$A:$AS,MATCH($O$1,Database!$A$1:$AS$1,),)))))/(((VLOOKUP(EDATE(B160,-12),Database!$A:$AS,MATCH($O$1,Database!$A$1:$AS$1,),)))))</f>
        <v/>
      </c>
      <c r="P160" s="13">
        <f>IF(VLOOKUP(B160,Database!$A:$AV,MATCH($P$1,Database!$A$1:$AV$1,),)=0,"#N/A",((((VLOOKUP(B160,Database!$A:$AS,MATCH($P$1,Database!$A$1:$AS$1,),))))-(((VLOOKUP(EDATE(B160,-12),Database!$A:$AS,MATCH($P$1,Database!$A$1:$AS$1,),)))))/(((VLOOKUP(EDATE(B160,-12),Database!$A:$AS,MATCH($P$1,Database!$A$1:$AS$1,),)))))</f>
        <v/>
      </c>
      <c r="Q160" s="13">
        <f>IF(VLOOKUP(B160,Database!$A:$AV,MATCH($Q$1,Database!$A$1:$AV$1,),)=0,"#N/A",((((VLOOKUP(B160,Database!$A:$AS,MATCH($Q$1,Database!$A$1:$AS$1,),))))-(((VLOOKUP(EDATE(B160,-12),Database!$A:$AS,MATCH($Q$1,Database!$A$1:$AS$1,),)))))/(((VLOOKUP(EDATE(B160,-12),Database!$A:$AS,MATCH($Q$1,Database!$A$1:$AS$1,),)))))</f>
        <v/>
      </c>
      <c r="R160" s="13">
        <f>IF(VLOOKUP(B160,Database!$A:$AV,MATCH($R$1,Database!$A$1:$AV$1,),)=0,"#N/A",((((VLOOKUP(B160,Database!$A:$AS,MATCH($R$1,Database!$A$1:$AS$1,),))))-(((VLOOKUP(EDATE(B160,-12),Database!$A:$AS,MATCH($R$1,Database!$A$1:$AS$1,),)))))/(((VLOOKUP(EDATE(B160,-12),Database!$A:$AS,MATCH($R$1,Database!$A$1:$AS$1,),)))))</f>
        <v/>
      </c>
      <c r="S160" s="13">
        <f>IF(VLOOKUP(B160,Database!$A:$AV,MATCH($S$1,Database!$A$1:$AV$1,),)=0,"#N/A",((((VLOOKUP(B160,Database!$A:$AS,MATCH($S$1,Database!$A$1:$AS$1,),))))-(((VLOOKUP(EDATE(B160,-12),Database!$A:$AS,MATCH($S$1,Database!$A$1:$AS$1,),)))))/(((VLOOKUP(EDATE(B160,-12),Database!$A:$AS,MATCH($S$1,Database!$A$1:$AS$1,),)))))</f>
        <v/>
      </c>
      <c r="T160" s="13">
        <f>IF(VLOOKUP(B160,Database!$A:$AV,MATCH($T$1,Database!$A$1:$AV$1,),)=0,"#N/A",((((VLOOKUP(B160,Database!$A:$AS,MATCH($T$1,Database!$A$1:$AS$1,),))))-(((VLOOKUP(EDATE(B160,-12),Database!$A:$AS,MATCH($T$1,Database!$A$1:$AS$1,),)))))/(((VLOOKUP(EDATE(B160,-12),Database!$A:$AS,MATCH($T$1,Database!$A$1:$AS$1,),)))))</f>
        <v/>
      </c>
      <c r="U160" s="13">
        <f>IF(VLOOKUP(B160,Database!$A:$AV,MATCH($U$1,Database!$A$1:$AV$1,),)=0,"#N/A",((((VLOOKUP(B160,Database!$A:$AS,MATCH($U$1,Database!$A$1:$AS$1,),))))-(((VLOOKUP(EDATE(B160,-12),Database!$A:$AS,MATCH($U$1,Database!$A$1:$AS$1,),)))))/(((VLOOKUP(EDATE(B160,-12),Database!$A:$AS,MATCH($U$1,Database!$A$1:$AS$1,),)))))</f>
        <v/>
      </c>
      <c r="V160" s="13">
        <f>IF(VLOOKUP(B160,Database!$A:$AV,MATCH($V$1,Database!$A$1:$AV$1,),)=0,"#N/A",((((VLOOKUP(B160,Database!$A:$AS,MATCH($V$1,Database!$A$1:$AS$1,),))))-(((VLOOKUP(EDATE(B160,-12),Database!$A:$AS,MATCH($V$1,Database!$A$1:$AS$1,),)))))/(((VLOOKUP(EDATE(B160,-12),Database!$A:$AS,MATCH($V$1,Database!$A$1:$AS$1,),)))))</f>
        <v/>
      </c>
    </row>
    <row r="161" customFormat="1" s="86">
      <c r="A161" s="43" t="n"/>
      <c r="B161" s="75" t="n">
        <v>37043</v>
      </c>
      <c r="C161" s="13">
        <f>IF(VLOOKUP(B161,Database!$A:$AU,MATCH($C$1,Database!$A$1:$AU$1,),)=0,"#N/A",((((VLOOKUP(B161,Database!$A:$AU,MATCH($C$1,Database!$A$1:$AU$1,),))))-(((VLOOKUP(EDATE(B161,-12),Database!$A:$AU,MATCH($C$1,Database!$A$1:$AU$1,),)))))/(((VLOOKUP(EDATE(B161,-12),Database!$A:$AU,MATCH($C$1,Database!$A$1:$AU$1,),)))))</f>
        <v/>
      </c>
      <c r="D161" s="13">
        <f>IF(VLOOKUP(B161,Database!$A:$AV,MATCH($D$1,Database!$A$1:$AV$1,),)=0,"#N/A",((((VLOOKUP(B161,Database!$A:$AS,MATCH($D$1,Database!$A$1:$AS$1,),))))-(((VLOOKUP(EDATE(B161,-12),Database!$A:$AS,MATCH($D$1,Database!$A$1:$AS$1,),)))))/(((VLOOKUP(EDATE(B161,-12),Database!$A:$AS,MATCH($D$1,Database!$A$1:$AS$1,),)))))</f>
        <v/>
      </c>
      <c r="E161" s="13">
        <f>IF(VLOOKUP(B161,Database!$A:$AV,MATCH($E$1,Database!$A$1:$AV$1,),)=0,"#N/A",((((VLOOKUP(B161,Database!$A:$AS,MATCH($E$1,Database!$A$1:$AS$1,),))))-(((VLOOKUP(EDATE(B161,-12),Database!$A:$AS,MATCH($E$1,Database!$A$1:$AS$1,),)))))/(((VLOOKUP(EDATE(B161,-12),Database!$A:$AS,MATCH($E$1,Database!$A$1:$AS$1,),)))))</f>
        <v/>
      </c>
      <c r="F161" s="13">
        <f>IF(VLOOKUP(B161,Database!$A:$AV,MATCH($F$1,Database!$A$1:$AV$1,),)=0,"#N/A",((((VLOOKUP(B161,Database!$A:$AS,MATCH($F$1,Database!$A$1:$AS$1,),))))-(((VLOOKUP(EDATE(B161,-12),Database!$A:$AS,MATCH($F$1,Database!$A$1:$AS$1,),)))))/(((VLOOKUP(EDATE(B161,-12),Database!$A:$AS,MATCH($F$1,Database!$A$1:$AS$1,),)))))</f>
        <v/>
      </c>
      <c r="G161" s="13">
        <f>IF(VLOOKUP(B161,Database!$A:$AV,MATCH($G$1,Database!$A$1:$AV$1,),)=0,"#N/A",((((VLOOKUP(B161,Database!$A:$AS,MATCH($G$1,Database!$A$1:$AS$1,),))))-(((VLOOKUP(EDATE(B161,-12),Database!$A:$AS,MATCH($G$1,Database!$A$1:$AS$1,),)))))/(((VLOOKUP(EDATE(B161,-12),Database!$A:$AS,MATCH($G$1,Database!$A$1:$AS$1,),)))))</f>
        <v/>
      </c>
      <c r="H161" s="13">
        <f>IF(VLOOKUP(B161,Database!$A:$AV,MATCH($H$1,Database!$A$1:$AV$1,),)=0,"#N/A",((((VLOOKUP(B161,Database!$A:$AS,MATCH($H$1,Database!$A$1:$AS$1,),))))-(((VLOOKUP(EDATE(B161,-12),Database!$A:$AS,MATCH($H$1,Database!$A$1:$AS$1,),)))))/(((VLOOKUP(EDATE(B161,-12),Database!$A:$AS,MATCH($H$1,Database!$A$1:$AS$1,),)))))</f>
        <v/>
      </c>
      <c r="I161" s="13">
        <f>IF(VLOOKUP(B161,Database!$A:$AV,MATCH($I$1,Database!$A$1:$AV$1,),)=0,"#N/A",((((VLOOKUP(B161,Database!$A:$AS,MATCH($I$1,Database!$A$1:$AS$1,),))))-(((VLOOKUP(EDATE(B161,-12),Database!$A:$AS,MATCH($I$1,Database!$A$1:$AS$1,),)))))/(((VLOOKUP(EDATE(B161,-12),Database!$A:$AS,MATCH($I$1,Database!$A$1:$AS$1,),)))))</f>
        <v/>
      </c>
      <c r="J161" s="13">
        <f>IF(VLOOKUP(B161,Database!$A:$AV,MATCH($J$1,Database!$A$1:$AV$1,),)=0,"#N/A",((((VLOOKUP(B161,Database!$A:$AS,MATCH($J$1,Database!$A$1:$AS$1,),))))-(((VLOOKUP(EDATE(B161,-12),Database!$A:$AS,MATCH($J$1,Database!$A$1:$AS$1,),)))))/(((VLOOKUP(EDATE(B161,-12),Database!$A:$AS,MATCH($J$1,Database!$A$1:$AS$1,),)))))</f>
        <v/>
      </c>
      <c r="K161" s="13">
        <f>IF(VLOOKUP(B161,Database!$A:$AV,MATCH($K$1,Database!$A$1:$AV$1,),)=0,"#N/A",((((VLOOKUP(B161,Database!$A:$AS,MATCH($K$1,Database!$A$1:$AS$1,),))))-(((VLOOKUP(EDATE(B161,-12),Database!$A:$AS,MATCH($K$1,Database!$A$1:$AS$1,),)))))/(((VLOOKUP(EDATE(B161,-12),Database!$A:$AS,MATCH($K$1,Database!$A$1:$AS$1,),)))))</f>
        <v/>
      </c>
      <c r="L161" s="13">
        <f>((((VLOOKUP(B161,Database!$A:$AS,MATCH($L$1,Database!$A$1:$AS$1,),))))-(((VLOOKUP(EDATE(B161,-12),Database!$A:$AS,MATCH($L$1,Database!$A$1:$AS$1,),)))))/(((VLOOKUP(EDATE(B161,-12),Database!$A:$AS,MATCH($L$1,Database!$A$1:$AS$1,),))))</f>
        <v/>
      </c>
      <c r="M161" s="13">
        <f>((((VLOOKUP(B161,Database!$A:$AS,MATCH($M$1,Database!$A$1:$AS$1,),))))-(((VLOOKUP(EDATE(B161,-12),Database!$A:$AS,MATCH($M$1,Database!$A$1:$AS$1,),)))))/(((VLOOKUP(EDATE(B161,-12),Database!$A:$AS,MATCH($M$1,Database!$A$1:$AS$1,),))))</f>
        <v/>
      </c>
      <c r="N161" s="13">
        <f>((((VLOOKUP(B161,Database!$A:$AS,MATCH($N$1,Database!$A$1:$AS$1,),))))-(((VLOOKUP(EDATE(B161,-12),Database!$A:$AS,MATCH($N$1,Database!$A$1:$AS$1,),)))))/(((VLOOKUP(EDATE(B161,-12),Database!$A:$AS,MATCH($N$1,Database!$A$1:$AS$1,),))))</f>
        <v/>
      </c>
      <c r="O161" s="13">
        <f>IF(VLOOKUP(B161,Database!$A:$AV,MATCH($O$1,Database!$A$1:$AV$1,),)=0,"#N/A",((((VLOOKUP(B161,Database!$A:$AS,MATCH($O$1,Database!$A$1:$AS$1,),))))-(((VLOOKUP(EDATE(B161,-12),Database!$A:$AS,MATCH($O$1,Database!$A$1:$AS$1,),)))))/(((VLOOKUP(EDATE(B161,-12),Database!$A:$AS,MATCH($O$1,Database!$A$1:$AS$1,),)))))</f>
        <v/>
      </c>
      <c r="P161" s="13">
        <f>IF(VLOOKUP(B161,Database!$A:$AV,MATCH($P$1,Database!$A$1:$AV$1,),)=0,"#N/A",((((VLOOKUP(B161,Database!$A:$AS,MATCH($P$1,Database!$A$1:$AS$1,),))))-(((VLOOKUP(EDATE(B161,-12),Database!$A:$AS,MATCH($P$1,Database!$A$1:$AS$1,),)))))/(((VLOOKUP(EDATE(B161,-12),Database!$A:$AS,MATCH($P$1,Database!$A$1:$AS$1,),)))))</f>
        <v/>
      </c>
      <c r="Q161" s="13">
        <f>IF(VLOOKUP(B161,Database!$A:$AV,MATCH($Q$1,Database!$A$1:$AV$1,),)=0,"#N/A",((((VLOOKUP(B161,Database!$A:$AS,MATCH($Q$1,Database!$A$1:$AS$1,),))))-(((VLOOKUP(EDATE(B161,-12),Database!$A:$AS,MATCH($Q$1,Database!$A$1:$AS$1,),)))))/(((VLOOKUP(EDATE(B161,-12),Database!$A:$AS,MATCH($Q$1,Database!$A$1:$AS$1,),)))))</f>
        <v/>
      </c>
      <c r="R161" s="13">
        <f>IF(VLOOKUP(B161,Database!$A:$AV,MATCH($R$1,Database!$A$1:$AV$1,),)=0,"#N/A",((((VLOOKUP(B161,Database!$A:$AS,MATCH($R$1,Database!$A$1:$AS$1,),))))-(((VLOOKUP(EDATE(B161,-12),Database!$A:$AS,MATCH($R$1,Database!$A$1:$AS$1,),)))))/(((VLOOKUP(EDATE(B161,-12),Database!$A:$AS,MATCH($R$1,Database!$A$1:$AS$1,),)))))</f>
        <v/>
      </c>
      <c r="S161" s="13">
        <f>IF(VLOOKUP(B161,Database!$A:$AV,MATCH($S$1,Database!$A$1:$AV$1,),)=0,"#N/A",((((VLOOKUP(B161,Database!$A:$AS,MATCH($S$1,Database!$A$1:$AS$1,),))))-(((VLOOKUP(EDATE(B161,-12),Database!$A:$AS,MATCH($S$1,Database!$A$1:$AS$1,),)))))/(((VLOOKUP(EDATE(B161,-12),Database!$A:$AS,MATCH($S$1,Database!$A$1:$AS$1,),)))))</f>
        <v/>
      </c>
      <c r="T161" s="13">
        <f>IF(VLOOKUP(B161,Database!$A:$AV,MATCH($T$1,Database!$A$1:$AV$1,),)=0,"#N/A",((((VLOOKUP(B161,Database!$A:$AS,MATCH($T$1,Database!$A$1:$AS$1,),))))-(((VLOOKUP(EDATE(B161,-12),Database!$A:$AS,MATCH($T$1,Database!$A$1:$AS$1,),)))))/(((VLOOKUP(EDATE(B161,-12),Database!$A:$AS,MATCH($T$1,Database!$A$1:$AS$1,),)))))</f>
        <v/>
      </c>
      <c r="U161" s="13">
        <f>IF(VLOOKUP(B161,Database!$A:$AV,MATCH($U$1,Database!$A$1:$AV$1,),)=0,"#N/A",((((VLOOKUP(B161,Database!$A:$AS,MATCH($U$1,Database!$A$1:$AS$1,),))))-(((VLOOKUP(EDATE(B161,-12),Database!$A:$AS,MATCH($U$1,Database!$A$1:$AS$1,),)))))/(((VLOOKUP(EDATE(B161,-12),Database!$A:$AS,MATCH($U$1,Database!$A$1:$AS$1,),)))))</f>
        <v/>
      </c>
      <c r="V161" s="13">
        <f>IF(VLOOKUP(B161,Database!$A:$AV,MATCH($V$1,Database!$A$1:$AV$1,),)=0,"#N/A",((((VLOOKUP(B161,Database!$A:$AS,MATCH($V$1,Database!$A$1:$AS$1,),))))-(((VLOOKUP(EDATE(B161,-12),Database!$A:$AS,MATCH($V$1,Database!$A$1:$AS$1,),)))))/(((VLOOKUP(EDATE(B161,-12),Database!$A:$AS,MATCH($V$1,Database!$A$1:$AS$1,),)))))</f>
        <v/>
      </c>
    </row>
    <row r="162" customFormat="1" s="86">
      <c r="A162" s="43" t="n"/>
      <c r="B162" s="75" t="n">
        <v>37073</v>
      </c>
      <c r="C162" s="13">
        <f>IF(VLOOKUP(B162,Database!$A:$AU,MATCH($C$1,Database!$A$1:$AU$1,),)=0,"#N/A",((((VLOOKUP(B162,Database!$A:$AU,MATCH($C$1,Database!$A$1:$AU$1,),))))-(((VLOOKUP(EDATE(B162,-12),Database!$A:$AU,MATCH($C$1,Database!$A$1:$AU$1,),)))))/(((VLOOKUP(EDATE(B162,-12),Database!$A:$AU,MATCH($C$1,Database!$A$1:$AU$1,),)))))</f>
        <v/>
      </c>
      <c r="D162" s="13">
        <f>IF(VLOOKUP(B162,Database!$A:$AV,MATCH($D$1,Database!$A$1:$AV$1,),)=0,"#N/A",((((VLOOKUP(B162,Database!$A:$AS,MATCH($D$1,Database!$A$1:$AS$1,),))))-(((VLOOKUP(EDATE(B162,-12),Database!$A:$AS,MATCH($D$1,Database!$A$1:$AS$1,),)))))/(((VLOOKUP(EDATE(B162,-12),Database!$A:$AS,MATCH($D$1,Database!$A$1:$AS$1,),)))))</f>
        <v/>
      </c>
      <c r="E162" s="13">
        <f>IF(VLOOKUP(B162,Database!$A:$AV,MATCH($E$1,Database!$A$1:$AV$1,),)=0,"#N/A",((((VLOOKUP(B162,Database!$A:$AS,MATCH($E$1,Database!$A$1:$AS$1,),))))-(((VLOOKUP(EDATE(B162,-12),Database!$A:$AS,MATCH($E$1,Database!$A$1:$AS$1,),)))))/(((VLOOKUP(EDATE(B162,-12),Database!$A:$AS,MATCH($E$1,Database!$A$1:$AS$1,),)))))</f>
        <v/>
      </c>
      <c r="F162" s="13">
        <f>IF(VLOOKUP(B162,Database!$A:$AV,MATCH($F$1,Database!$A$1:$AV$1,),)=0,"#N/A",((((VLOOKUP(B162,Database!$A:$AS,MATCH($F$1,Database!$A$1:$AS$1,),))))-(((VLOOKUP(EDATE(B162,-12),Database!$A:$AS,MATCH($F$1,Database!$A$1:$AS$1,),)))))/(((VLOOKUP(EDATE(B162,-12),Database!$A:$AS,MATCH($F$1,Database!$A$1:$AS$1,),)))))</f>
        <v/>
      </c>
      <c r="G162" s="13">
        <f>IF(VLOOKUP(B162,Database!$A:$AV,MATCH($G$1,Database!$A$1:$AV$1,),)=0,"#N/A",((((VLOOKUP(B162,Database!$A:$AS,MATCH($G$1,Database!$A$1:$AS$1,),))))-(((VLOOKUP(EDATE(B162,-12),Database!$A:$AS,MATCH($G$1,Database!$A$1:$AS$1,),)))))/(((VLOOKUP(EDATE(B162,-12),Database!$A:$AS,MATCH($G$1,Database!$A$1:$AS$1,),)))))</f>
        <v/>
      </c>
      <c r="H162" s="13">
        <f>IF(VLOOKUP(B162,Database!$A:$AV,MATCH($H$1,Database!$A$1:$AV$1,),)=0,"#N/A",((((VLOOKUP(B162,Database!$A:$AS,MATCH($H$1,Database!$A$1:$AS$1,),))))-(((VLOOKUP(EDATE(B162,-12),Database!$A:$AS,MATCH($H$1,Database!$A$1:$AS$1,),)))))/(((VLOOKUP(EDATE(B162,-12),Database!$A:$AS,MATCH($H$1,Database!$A$1:$AS$1,),)))))</f>
        <v/>
      </c>
      <c r="I162" s="13">
        <f>IF(VLOOKUP(B162,Database!$A:$AV,MATCH($I$1,Database!$A$1:$AV$1,),)=0,"#N/A",((((VLOOKUP(B162,Database!$A:$AS,MATCH($I$1,Database!$A$1:$AS$1,),))))-(((VLOOKUP(EDATE(B162,-12),Database!$A:$AS,MATCH($I$1,Database!$A$1:$AS$1,),)))))/(((VLOOKUP(EDATE(B162,-12),Database!$A:$AS,MATCH($I$1,Database!$A$1:$AS$1,),)))))</f>
        <v/>
      </c>
      <c r="J162" s="13">
        <f>IF(VLOOKUP(B162,Database!$A:$AV,MATCH($J$1,Database!$A$1:$AV$1,),)=0,"#N/A",((((VLOOKUP(B162,Database!$A:$AS,MATCH($J$1,Database!$A$1:$AS$1,),))))-(((VLOOKUP(EDATE(B162,-12),Database!$A:$AS,MATCH($J$1,Database!$A$1:$AS$1,),)))))/(((VLOOKUP(EDATE(B162,-12),Database!$A:$AS,MATCH($J$1,Database!$A$1:$AS$1,),)))))</f>
        <v/>
      </c>
      <c r="K162" s="13">
        <f>IF(VLOOKUP(B162,Database!$A:$AV,MATCH($K$1,Database!$A$1:$AV$1,),)=0,"#N/A",((((VLOOKUP(B162,Database!$A:$AS,MATCH($K$1,Database!$A$1:$AS$1,),))))-(((VLOOKUP(EDATE(B162,-12),Database!$A:$AS,MATCH($K$1,Database!$A$1:$AS$1,),)))))/(((VLOOKUP(EDATE(B162,-12),Database!$A:$AS,MATCH($K$1,Database!$A$1:$AS$1,),)))))</f>
        <v/>
      </c>
      <c r="L162" s="13">
        <f>((((VLOOKUP(B162,Database!$A:$AS,MATCH($L$1,Database!$A$1:$AS$1,),))))-(((VLOOKUP(EDATE(B162,-12),Database!$A:$AS,MATCH($L$1,Database!$A$1:$AS$1,),)))))/(((VLOOKUP(EDATE(B162,-12),Database!$A:$AS,MATCH($L$1,Database!$A$1:$AS$1,),))))</f>
        <v/>
      </c>
      <c r="M162" s="13">
        <f>((((VLOOKUP(B162,Database!$A:$AS,MATCH($M$1,Database!$A$1:$AS$1,),))))-(((VLOOKUP(EDATE(B162,-12),Database!$A:$AS,MATCH($M$1,Database!$A$1:$AS$1,),)))))/(((VLOOKUP(EDATE(B162,-12),Database!$A:$AS,MATCH($M$1,Database!$A$1:$AS$1,),))))</f>
        <v/>
      </c>
      <c r="N162" s="13">
        <f>((((VLOOKUP(B162,Database!$A:$AS,MATCH($N$1,Database!$A$1:$AS$1,),))))-(((VLOOKUP(EDATE(B162,-12),Database!$A:$AS,MATCH($N$1,Database!$A$1:$AS$1,),)))))/(((VLOOKUP(EDATE(B162,-12),Database!$A:$AS,MATCH($N$1,Database!$A$1:$AS$1,),))))</f>
        <v/>
      </c>
      <c r="O162" s="13">
        <f>IF(VLOOKUP(B162,Database!$A:$AV,MATCH($O$1,Database!$A$1:$AV$1,),)=0,"#N/A",((((VLOOKUP(B162,Database!$A:$AS,MATCH($O$1,Database!$A$1:$AS$1,),))))-(((VLOOKUP(EDATE(B162,-12),Database!$A:$AS,MATCH($O$1,Database!$A$1:$AS$1,),)))))/(((VLOOKUP(EDATE(B162,-12),Database!$A:$AS,MATCH($O$1,Database!$A$1:$AS$1,),)))))</f>
        <v/>
      </c>
      <c r="P162" s="13">
        <f>IF(VLOOKUP(B162,Database!$A:$AV,MATCH($P$1,Database!$A$1:$AV$1,),)=0,"#N/A",((((VLOOKUP(B162,Database!$A:$AS,MATCH($P$1,Database!$A$1:$AS$1,),))))-(((VLOOKUP(EDATE(B162,-12),Database!$A:$AS,MATCH($P$1,Database!$A$1:$AS$1,),)))))/(((VLOOKUP(EDATE(B162,-12),Database!$A:$AS,MATCH($P$1,Database!$A$1:$AS$1,),)))))</f>
        <v/>
      </c>
      <c r="Q162" s="13">
        <f>IF(VLOOKUP(B162,Database!$A:$AV,MATCH($Q$1,Database!$A$1:$AV$1,),)=0,"#N/A",((((VLOOKUP(B162,Database!$A:$AS,MATCH($Q$1,Database!$A$1:$AS$1,),))))-(((VLOOKUP(EDATE(B162,-12),Database!$A:$AS,MATCH($Q$1,Database!$A$1:$AS$1,),)))))/(((VLOOKUP(EDATE(B162,-12),Database!$A:$AS,MATCH($Q$1,Database!$A$1:$AS$1,),)))))</f>
        <v/>
      </c>
      <c r="R162" s="13">
        <f>IF(VLOOKUP(B162,Database!$A:$AV,MATCH($R$1,Database!$A$1:$AV$1,),)=0,"#N/A",((((VLOOKUP(B162,Database!$A:$AS,MATCH($R$1,Database!$A$1:$AS$1,),))))-(((VLOOKUP(EDATE(B162,-12),Database!$A:$AS,MATCH($R$1,Database!$A$1:$AS$1,),)))))/(((VLOOKUP(EDATE(B162,-12),Database!$A:$AS,MATCH($R$1,Database!$A$1:$AS$1,),)))))</f>
        <v/>
      </c>
      <c r="S162" s="13">
        <f>IF(VLOOKUP(B162,Database!$A:$AV,MATCH($S$1,Database!$A$1:$AV$1,),)=0,"#N/A",((((VLOOKUP(B162,Database!$A:$AS,MATCH($S$1,Database!$A$1:$AS$1,),))))-(((VLOOKUP(EDATE(B162,-12),Database!$A:$AS,MATCH($S$1,Database!$A$1:$AS$1,),)))))/(((VLOOKUP(EDATE(B162,-12),Database!$A:$AS,MATCH($S$1,Database!$A$1:$AS$1,),)))))</f>
        <v/>
      </c>
      <c r="T162" s="13">
        <f>IF(VLOOKUP(B162,Database!$A:$AV,MATCH($T$1,Database!$A$1:$AV$1,),)=0,"#N/A",((((VLOOKUP(B162,Database!$A:$AS,MATCH($T$1,Database!$A$1:$AS$1,),))))-(((VLOOKUP(EDATE(B162,-12),Database!$A:$AS,MATCH($T$1,Database!$A$1:$AS$1,),)))))/(((VLOOKUP(EDATE(B162,-12),Database!$A:$AS,MATCH($T$1,Database!$A$1:$AS$1,),)))))</f>
        <v/>
      </c>
      <c r="U162" s="13">
        <f>IF(VLOOKUP(B162,Database!$A:$AV,MATCH($U$1,Database!$A$1:$AV$1,),)=0,"#N/A",((((VLOOKUP(B162,Database!$A:$AS,MATCH($U$1,Database!$A$1:$AS$1,),))))-(((VLOOKUP(EDATE(B162,-12),Database!$A:$AS,MATCH($U$1,Database!$A$1:$AS$1,),)))))/(((VLOOKUP(EDATE(B162,-12),Database!$A:$AS,MATCH($U$1,Database!$A$1:$AS$1,),)))))</f>
        <v/>
      </c>
      <c r="V162" s="13">
        <f>IF(VLOOKUP(B162,Database!$A:$AV,MATCH($V$1,Database!$A$1:$AV$1,),)=0,"#N/A",((((VLOOKUP(B162,Database!$A:$AS,MATCH($V$1,Database!$A$1:$AS$1,),))))-(((VLOOKUP(EDATE(B162,-12),Database!$A:$AS,MATCH($V$1,Database!$A$1:$AS$1,),)))))/(((VLOOKUP(EDATE(B162,-12),Database!$A:$AS,MATCH($V$1,Database!$A$1:$AS$1,),)))))</f>
        <v/>
      </c>
    </row>
    <row r="163" customFormat="1" s="86">
      <c r="A163" s="43" t="n"/>
      <c r="B163" s="75" t="n">
        <v>37104</v>
      </c>
      <c r="C163" s="13">
        <f>IF(VLOOKUP(B163,Database!$A:$AU,MATCH($C$1,Database!$A$1:$AU$1,),)=0,"#N/A",((((VLOOKUP(B163,Database!$A:$AU,MATCH($C$1,Database!$A$1:$AU$1,),))))-(((VLOOKUP(EDATE(B163,-12),Database!$A:$AU,MATCH($C$1,Database!$A$1:$AU$1,),)))))/(((VLOOKUP(EDATE(B163,-12),Database!$A:$AU,MATCH($C$1,Database!$A$1:$AU$1,),)))))</f>
        <v/>
      </c>
      <c r="D163" s="13">
        <f>IF(VLOOKUP(B163,Database!$A:$AV,MATCH($D$1,Database!$A$1:$AV$1,),)=0,"#N/A",((((VLOOKUP(B163,Database!$A:$AS,MATCH($D$1,Database!$A$1:$AS$1,),))))-(((VLOOKUP(EDATE(B163,-12),Database!$A:$AS,MATCH($D$1,Database!$A$1:$AS$1,),)))))/(((VLOOKUP(EDATE(B163,-12),Database!$A:$AS,MATCH($D$1,Database!$A$1:$AS$1,),)))))</f>
        <v/>
      </c>
      <c r="E163" s="13">
        <f>IF(VLOOKUP(B163,Database!$A:$AV,MATCH($E$1,Database!$A$1:$AV$1,),)=0,"#N/A",((((VLOOKUP(B163,Database!$A:$AS,MATCH($E$1,Database!$A$1:$AS$1,),))))-(((VLOOKUP(EDATE(B163,-12),Database!$A:$AS,MATCH($E$1,Database!$A$1:$AS$1,),)))))/(((VLOOKUP(EDATE(B163,-12),Database!$A:$AS,MATCH($E$1,Database!$A$1:$AS$1,),)))))</f>
        <v/>
      </c>
      <c r="F163" s="13">
        <f>IF(VLOOKUP(B163,Database!$A:$AV,MATCH($F$1,Database!$A$1:$AV$1,),)=0,"#N/A",((((VLOOKUP(B163,Database!$A:$AS,MATCH($F$1,Database!$A$1:$AS$1,),))))-(((VLOOKUP(EDATE(B163,-12),Database!$A:$AS,MATCH($F$1,Database!$A$1:$AS$1,),)))))/(((VLOOKUP(EDATE(B163,-12),Database!$A:$AS,MATCH($F$1,Database!$A$1:$AS$1,),)))))</f>
        <v/>
      </c>
      <c r="G163" s="13">
        <f>IF(VLOOKUP(B163,Database!$A:$AV,MATCH($G$1,Database!$A$1:$AV$1,),)=0,"#N/A",((((VLOOKUP(B163,Database!$A:$AS,MATCH($G$1,Database!$A$1:$AS$1,),))))-(((VLOOKUP(EDATE(B163,-12),Database!$A:$AS,MATCH($G$1,Database!$A$1:$AS$1,),)))))/(((VLOOKUP(EDATE(B163,-12),Database!$A:$AS,MATCH($G$1,Database!$A$1:$AS$1,),)))))</f>
        <v/>
      </c>
      <c r="H163" s="13">
        <f>IF(VLOOKUP(B163,Database!$A:$AV,MATCH($H$1,Database!$A$1:$AV$1,),)=0,"#N/A",((((VLOOKUP(B163,Database!$A:$AS,MATCH($H$1,Database!$A$1:$AS$1,),))))-(((VLOOKUP(EDATE(B163,-12),Database!$A:$AS,MATCH($H$1,Database!$A$1:$AS$1,),)))))/(((VLOOKUP(EDATE(B163,-12),Database!$A:$AS,MATCH($H$1,Database!$A$1:$AS$1,),)))))</f>
        <v/>
      </c>
      <c r="I163" s="13">
        <f>IF(VLOOKUP(B163,Database!$A:$AV,MATCH($I$1,Database!$A$1:$AV$1,),)=0,"#N/A",((((VLOOKUP(B163,Database!$A:$AS,MATCH($I$1,Database!$A$1:$AS$1,),))))-(((VLOOKUP(EDATE(B163,-12),Database!$A:$AS,MATCH($I$1,Database!$A$1:$AS$1,),)))))/(((VLOOKUP(EDATE(B163,-12),Database!$A:$AS,MATCH($I$1,Database!$A$1:$AS$1,),)))))</f>
        <v/>
      </c>
      <c r="J163" s="13">
        <f>IF(VLOOKUP(B163,Database!$A:$AV,MATCH($J$1,Database!$A$1:$AV$1,),)=0,"#N/A",((((VLOOKUP(B163,Database!$A:$AS,MATCH($J$1,Database!$A$1:$AS$1,),))))-(((VLOOKUP(EDATE(B163,-12),Database!$A:$AS,MATCH($J$1,Database!$A$1:$AS$1,),)))))/(((VLOOKUP(EDATE(B163,-12),Database!$A:$AS,MATCH($J$1,Database!$A$1:$AS$1,),)))))</f>
        <v/>
      </c>
      <c r="K163" s="13">
        <f>IF(VLOOKUP(B163,Database!$A:$AV,MATCH($K$1,Database!$A$1:$AV$1,),)=0,"#N/A",((((VLOOKUP(B163,Database!$A:$AS,MATCH($K$1,Database!$A$1:$AS$1,),))))-(((VLOOKUP(EDATE(B163,-12),Database!$A:$AS,MATCH($K$1,Database!$A$1:$AS$1,),)))))/(((VLOOKUP(EDATE(B163,-12),Database!$A:$AS,MATCH($K$1,Database!$A$1:$AS$1,),)))))</f>
        <v/>
      </c>
      <c r="L163" s="13">
        <f>((((VLOOKUP(B163,Database!$A:$AS,MATCH($L$1,Database!$A$1:$AS$1,),))))-(((VLOOKUP(EDATE(B163,-12),Database!$A:$AS,MATCH($L$1,Database!$A$1:$AS$1,),)))))/(((VLOOKUP(EDATE(B163,-12),Database!$A:$AS,MATCH($L$1,Database!$A$1:$AS$1,),))))</f>
        <v/>
      </c>
      <c r="M163" s="13">
        <f>((((VLOOKUP(B163,Database!$A:$AS,MATCH($M$1,Database!$A$1:$AS$1,),))))-(((VLOOKUP(EDATE(B163,-12),Database!$A:$AS,MATCH($M$1,Database!$A$1:$AS$1,),)))))/(((VLOOKUP(EDATE(B163,-12),Database!$A:$AS,MATCH($M$1,Database!$A$1:$AS$1,),))))</f>
        <v/>
      </c>
      <c r="N163" s="13">
        <f>((((VLOOKUP(B163,Database!$A:$AS,MATCH($N$1,Database!$A$1:$AS$1,),))))-(((VLOOKUP(EDATE(B163,-12),Database!$A:$AS,MATCH($N$1,Database!$A$1:$AS$1,),)))))/(((VLOOKUP(EDATE(B163,-12),Database!$A:$AS,MATCH($N$1,Database!$A$1:$AS$1,),))))</f>
        <v/>
      </c>
      <c r="O163" s="13">
        <f>IF(VLOOKUP(B163,Database!$A:$AV,MATCH($O$1,Database!$A$1:$AV$1,),)=0,"#N/A",((((VLOOKUP(B163,Database!$A:$AS,MATCH($O$1,Database!$A$1:$AS$1,),))))-(((VLOOKUP(EDATE(B163,-12),Database!$A:$AS,MATCH($O$1,Database!$A$1:$AS$1,),)))))/(((VLOOKUP(EDATE(B163,-12),Database!$A:$AS,MATCH($O$1,Database!$A$1:$AS$1,),)))))</f>
        <v/>
      </c>
      <c r="P163" s="13">
        <f>IF(VLOOKUP(B163,Database!$A:$AV,MATCH($P$1,Database!$A$1:$AV$1,),)=0,"#N/A",((((VLOOKUP(B163,Database!$A:$AS,MATCH($P$1,Database!$A$1:$AS$1,),))))-(((VLOOKUP(EDATE(B163,-12),Database!$A:$AS,MATCH($P$1,Database!$A$1:$AS$1,),)))))/(((VLOOKUP(EDATE(B163,-12),Database!$A:$AS,MATCH($P$1,Database!$A$1:$AS$1,),)))))</f>
        <v/>
      </c>
      <c r="Q163" s="13">
        <f>IF(VLOOKUP(B163,Database!$A:$AV,MATCH($Q$1,Database!$A$1:$AV$1,),)=0,"#N/A",((((VLOOKUP(B163,Database!$A:$AS,MATCH($Q$1,Database!$A$1:$AS$1,),))))-(((VLOOKUP(EDATE(B163,-12),Database!$A:$AS,MATCH($Q$1,Database!$A$1:$AS$1,),)))))/(((VLOOKUP(EDATE(B163,-12),Database!$A:$AS,MATCH($Q$1,Database!$A$1:$AS$1,),)))))</f>
        <v/>
      </c>
      <c r="R163" s="13">
        <f>IF(VLOOKUP(B163,Database!$A:$AV,MATCH($R$1,Database!$A$1:$AV$1,),)=0,"#N/A",((((VLOOKUP(B163,Database!$A:$AS,MATCH($R$1,Database!$A$1:$AS$1,),))))-(((VLOOKUP(EDATE(B163,-12),Database!$A:$AS,MATCH($R$1,Database!$A$1:$AS$1,),)))))/(((VLOOKUP(EDATE(B163,-12),Database!$A:$AS,MATCH($R$1,Database!$A$1:$AS$1,),)))))</f>
        <v/>
      </c>
      <c r="S163" s="13">
        <f>IF(VLOOKUP(B163,Database!$A:$AV,MATCH($S$1,Database!$A$1:$AV$1,),)=0,"#N/A",((((VLOOKUP(B163,Database!$A:$AS,MATCH($S$1,Database!$A$1:$AS$1,),))))-(((VLOOKUP(EDATE(B163,-12),Database!$A:$AS,MATCH($S$1,Database!$A$1:$AS$1,),)))))/(((VLOOKUP(EDATE(B163,-12),Database!$A:$AS,MATCH($S$1,Database!$A$1:$AS$1,),)))))</f>
        <v/>
      </c>
      <c r="T163" s="13">
        <f>IF(VLOOKUP(B163,Database!$A:$AV,MATCH($T$1,Database!$A$1:$AV$1,),)=0,"#N/A",((((VLOOKUP(B163,Database!$A:$AS,MATCH($T$1,Database!$A$1:$AS$1,),))))-(((VLOOKUP(EDATE(B163,-12),Database!$A:$AS,MATCH($T$1,Database!$A$1:$AS$1,),)))))/(((VLOOKUP(EDATE(B163,-12),Database!$A:$AS,MATCH($T$1,Database!$A$1:$AS$1,),)))))</f>
        <v/>
      </c>
      <c r="U163" s="13">
        <f>IF(VLOOKUP(B163,Database!$A:$AV,MATCH($U$1,Database!$A$1:$AV$1,),)=0,"#N/A",((((VLOOKUP(B163,Database!$A:$AS,MATCH($U$1,Database!$A$1:$AS$1,),))))-(((VLOOKUP(EDATE(B163,-12),Database!$A:$AS,MATCH($U$1,Database!$A$1:$AS$1,),)))))/(((VLOOKUP(EDATE(B163,-12),Database!$A:$AS,MATCH($U$1,Database!$A$1:$AS$1,),)))))</f>
        <v/>
      </c>
      <c r="V163" s="13">
        <f>IF(VLOOKUP(B163,Database!$A:$AV,MATCH($V$1,Database!$A$1:$AV$1,),)=0,"#N/A",((((VLOOKUP(B163,Database!$A:$AS,MATCH($V$1,Database!$A$1:$AS$1,),))))-(((VLOOKUP(EDATE(B163,-12),Database!$A:$AS,MATCH($V$1,Database!$A$1:$AS$1,),)))))/(((VLOOKUP(EDATE(B163,-12),Database!$A:$AS,MATCH($V$1,Database!$A$1:$AS$1,),)))))</f>
        <v/>
      </c>
    </row>
    <row r="164" customFormat="1" s="86">
      <c r="A164" s="43" t="n"/>
      <c r="B164" s="75" t="n">
        <v>37135</v>
      </c>
      <c r="C164" s="13">
        <f>IF(VLOOKUP(B164,Database!$A:$AU,MATCH($C$1,Database!$A$1:$AU$1,),)=0,"#N/A",((((VLOOKUP(B164,Database!$A:$AU,MATCH($C$1,Database!$A$1:$AU$1,),))))-(((VLOOKUP(EDATE(B164,-12),Database!$A:$AU,MATCH($C$1,Database!$A$1:$AU$1,),)))))/(((VLOOKUP(EDATE(B164,-12),Database!$A:$AU,MATCH($C$1,Database!$A$1:$AU$1,),)))))</f>
        <v/>
      </c>
      <c r="D164" s="13">
        <f>IF(VLOOKUP(B164,Database!$A:$AV,MATCH($D$1,Database!$A$1:$AV$1,),)=0,"#N/A",((((VLOOKUP(B164,Database!$A:$AS,MATCH($D$1,Database!$A$1:$AS$1,),))))-(((VLOOKUP(EDATE(B164,-12),Database!$A:$AS,MATCH($D$1,Database!$A$1:$AS$1,),)))))/(((VLOOKUP(EDATE(B164,-12),Database!$A:$AS,MATCH($D$1,Database!$A$1:$AS$1,),)))))</f>
        <v/>
      </c>
      <c r="E164" s="13">
        <f>IF(VLOOKUP(B164,Database!$A:$AV,MATCH($E$1,Database!$A$1:$AV$1,),)=0,"#N/A",((((VLOOKUP(B164,Database!$A:$AS,MATCH($E$1,Database!$A$1:$AS$1,),))))-(((VLOOKUP(EDATE(B164,-12),Database!$A:$AS,MATCH($E$1,Database!$A$1:$AS$1,),)))))/(((VLOOKUP(EDATE(B164,-12),Database!$A:$AS,MATCH($E$1,Database!$A$1:$AS$1,),)))))</f>
        <v/>
      </c>
      <c r="F164" s="13">
        <f>IF(VLOOKUP(B164,Database!$A:$AV,MATCH($F$1,Database!$A$1:$AV$1,),)=0,"#N/A",((((VLOOKUP(B164,Database!$A:$AS,MATCH($F$1,Database!$A$1:$AS$1,),))))-(((VLOOKUP(EDATE(B164,-12),Database!$A:$AS,MATCH($F$1,Database!$A$1:$AS$1,),)))))/(((VLOOKUP(EDATE(B164,-12),Database!$A:$AS,MATCH($F$1,Database!$A$1:$AS$1,),)))))</f>
        <v/>
      </c>
      <c r="G164" s="13">
        <f>IF(VLOOKUP(B164,Database!$A:$AV,MATCH($G$1,Database!$A$1:$AV$1,),)=0,"#N/A",((((VLOOKUP(B164,Database!$A:$AS,MATCH($G$1,Database!$A$1:$AS$1,),))))-(((VLOOKUP(EDATE(B164,-12),Database!$A:$AS,MATCH($G$1,Database!$A$1:$AS$1,),)))))/(((VLOOKUP(EDATE(B164,-12),Database!$A:$AS,MATCH($G$1,Database!$A$1:$AS$1,),)))))</f>
        <v/>
      </c>
      <c r="H164" s="13">
        <f>IF(VLOOKUP(B164,Database!$A:$AV,MATCH($H$1,Database!$A$1:$AV$1,),)=0,"#N/A",((((VLOOKUP(B164,Database!$A:$AS,MATCH($H$1,Database!$A$1:$AS$1,),))))-(((VLOOKUP(EDATE(B164,-12),Database!$A:$AS,MATCH($H$1,Database!$A$1:$AS$1,),)))))/(((VLOOKUP(EDATE(B164,-12),Database!$A:$AS,MATCH($H$1,Database!$A$1:$AS$1,),)))))</f>
        <v/>
      </c>
      <c r="I164" s="13">
        <f>IF(VLOOKUP(B164,Database!$A:$AV,MATCH($I$1,Database!$A$1:$AV$1,),)=0,"#N/A",((((VLOOKUP(B164,Database!$A:$AS,MATCH($I$1,Database!$A$1:$AS$1,),))))-(((VLOOKUP(EDATE(B164,-12),Database!$A:$AS,MATCH($I$1,Database!$A$1:$AS$1,),)))))/(((VLOOKUP(EDATE(B164,-12),Database!$A:$AS,MATCH($I$1,Database!$A$1:$AS$1,),)))))</f>
        <v/>
      </c>
      <c r="J164" s="13">
        <f>IF(VLOOKUP(B164,Database!$A:$AV,MATCH($J$1,Database!$A$1:$AV$1,),)=0,"#N/A",((((VLOOKUP(B164,Database!$A:$AS,MATCH($J$1,Database!$A$1:$AS$1,),))))-(((VLOOKUP(EDATE(B164,-12),Database!$A:$AS,MATCH($J$1,Database!$A$1:$AS$1,),)))))/(((VLOOKUP(EDATE(B164,-12),Database!$A:$AS,MATCH($J$1,Database!$A$1:$AS$1,),)))))</f>
        <v/>
      </c>
      <c r="K164" s="13">
        <f>IF(VLOOKUP(B164,Database!$A:$AV,MATCH($K$1,Database!$A$1:$AV$1,),)=0,"#N/A",((((VLOOKUP(B164,Database!$A:$AS,MATCH($K$1,Database!$A$1:$AS$1,),))))-(((VLOOKUP(EDATE(B164,-12),Database!$A:$AS,MATCH($K$1,Database!$A$1:$AS$1,),)))))/(((VLOOKUP(EDATE(B164,-12),Database!$A:$AS,MATCH($K$1,Database!$A$1:$AS$1,),)))))</f>
        <v/>
      </c>
      <c r="L164" s="13">
        <f>((((VLOOKUP(B164,Database!$A:$AS,MATCH($L$1,Database!$A$1:$AS$1,),))))-(((VLOOKUP(EDATE(B164,-12),Database!$A:$AS,MATCH($L$1,Database!$A$1:$AS$1,),)))))/(((VLOOKUP(EDATE(B164,-12),Database!$A:$AS,MATCH($L$1,Database!$A$1:$AS$1,),))))</f>
        <v/>
      </c>
      <c r="M164" s="13">
        <f>((((VLOOKUP(B164,Database!$A:$AS,MATCH($M$1,Database!$A$1:$AS$1,),))))-(((VLOOKUP(EDATE(B164,-12),Database!$A:$AS,MATCH($M$1,Database!$A$1:$AS$1,),)))))/(((VLOOKUP(EDATE(B164,-12),Database!$A:$AS,MATCH($M$1,Database!$A$1:$AS$1,),))))</f>
        <v/>
      </c>
      <c r="N164" s="13">
        <f>((((VLOOKUP(B164,Database!$A:$AS,MATCH($N$1,Database!$A$1:$AS$1,),))))-(((VLOOKUP(EDATE(B164,-12),Database!$A:$AS,MATCH($N$1,Database!$A$1:$AS$1,),)))))/(((VLOOKUP(EDATE(B164,-12),Database!$A:$AS,MATCH($N$1,Database!$A$1:$AS$1,),))))</f>
        <v/>
      </c>
      <c r="O164" s="13">
        <f>IF(VLOOKUP(B164,Database!$A:$AV,MATCH($O$1,Database!$A$1:$AV$1,),)=0,"#N/A",((((VLOOKUP(B164,Database!$A:$AS,MATCH($O$1,Database!$A$1:$AS$1,),))))-(((VLOOKUP(EDATE(B164,-12),Database!$A:$AS,MATCH($O$1,Database!$A$1:$AS$1,),)))))/(((VLOOKUP(EDATE(B164,-12),Database!$A:$AS,MATCH($O$1,Database!$A$1:$AS$1,),)))))</f>
        <v/>
      </c>
      <c r="P164" s="13">
        <f>IF(VLOOKUP(B164,Database!$A:$AV,MATCH($P$1,Database!$A$1:$AV$1,),)=0,"#N/A",((((VLOOKUP(B164,Database!$A:$AS,MATCH($P$1,Database!$A$1:$AS$1,),))))-(((VLOOKUP(EDATE(B164,-12),Database!$A:$AS,MATCH($P$1,Database!$A$1:$AS$1,),)))))/(((VLOOKUP(EDATE(B164,-12),Database!$A:$AS,MATCH($P$1,Database!$A$1:$AS$1,),)))))</f>
        <v/>
      </c>
      <c r="Q164" s="13">
        <f>IF(VLOOKUP(B164,Database!$A:$AV,MATCH($Q$1,Database!$A$1:$AV$1,),)=0,"#N/A",((((VLOOKUP(B164,Database!$A:$AS,MATCH($Q$1,Database!$A$1:$AS$1,),))))-(((VLOOKUP(EDATE(B164,-12),Database!$A:$AS,MATCH($Q$1,Database!$A$1:$AS$1,),)))))/(((VLOOKUP(EDATE(B164,-12),Database!$A:$AS,MATCH($Q$1,Database!$A$1:$AS$1,),)))))</f>
        <v/>
      </c>
      <c r="R164" s="13">
        <f>IF(VLOOKUP(B164,Database!$A:$AV,MATCH($R$1,Database!$A$1:$AV$1,),)=0,"#N/A",((((VLOOKUP(B164,Database!$A:$AS,MATCH($R$1,Database!$A$1:$AS$1,),))))-(((VLOOKUP(EDATE(B164,-12),Database!$A:$AS,MATCH($R$1,Database!$A$1:$AS$1,),)))))/(((VLOOKUP(EDATE(B164,-12),Database!$A:$AS,MATCH($R$1,Database!$A$1:$AS$1,),)))))</f>
        <v/>
      </c>
      <c r="S164" s="13">
        <f>IF(VLOOKUP(B164,Database!$A:$AV,MATCH($S$1,Database!$A$1:$AV$1,),)=0,"#N/A",((((VLOOKUP(B164,Database!$A:$AS,MATCH($S$1,Database!$A$1:$AS$1,),))))-(((VLOOKUP(EDATE(B164,-12),Database!$A:$AS,MATCH($S$1,Database!$A$1:$AS$1,),)))))/(((VLOOKUP(EDATE(B164,-12),Database!$A:$AS,MATCH($S$1,Database!$A$1:$AS$1,),)))))</f>
        <v/>
      </c>
      <c r="T164" s="13">
        <f>IF(VLOOKUP(B164,Database!$A:$AV,MATCH($T$1,Database!$A$1:$AV$1,),)=0,"#N/A",((((VLOOKUP(B164,Database!$A:$AS,MATCH($T$1,Database!$A$1:$AS$1,),))))-(((VLOOKUP(EDATE(B164,-12),Database!$A:$AS,MATCH($T$1,Database!$A$1:$AS$1,),)))))/(((VLOOKUP(EDATE(B164,-12),Database!$A:$AS,MATCH($T$1,Database!$A$1:$AS$1,),)))))</f>
        <v/>
      </c>
      <c r="U164" s="13">
        <f>IF(VLOOKUP(B164,Database!$A:$AV,MATCH($U$1,Database!$A$1:$AV$1,),)=0,"#N/A",((((VLOOKUP(B164,Database!$A:$AS,MATCH($U$1,Database!$A$1:$AS$1,),))))-(((VLOOKUP(EDATE(B164,-12),Database!$A:$AS,MATCH($U$1,Database!$A$1:$AS$1,),)))))/(((VLOOKUP(EDATE(B164,-12),Database!$A:$AS,MATCH($U$1,Database!$A$1:$AS$1,),)))))</f>
        <v/>
      </c>
      <c r="V164" s="13">
        <f>IF(VLOOKUP(B164,Database!$A:$AV,MATCH($V$1,Database!$A$1:$AV$1,),)=0,"#N/A",((((VLOOKUP(B164,Database!$A:$AS,MATCH($V$1,Database!$A$1:$AS$1,),))))-(((VLOOKUP(EDATE(B164,-12),Database!$A:$AS,MATCH($V$1,Database!$A$1:$AS$1,),)))))/(((VLOOKUP(EDATE(B164,-12),Database!$A:$AS,MATCH($V$1,Database!$A$1:$AS$1,),)))))</f>
        <v/>
      </c>
    </row>
    <row r="165" customFormat="1" s="86">
      <c r="A165" s="43" t="n"/>
      <c r="B165" s="75" t="n">
        <v>37165</v>
      </c>
      <c r="C165" s="13">
        <f>IF(VLOOKUP(B165,Database!$A:$AU,MATCH($C$1,Database!$A$1:$AU$1,),)=0,"#N/A",((((VLOOKUP(B165,Database!$A:$AU,MATCH($C$1,Database!$A$1:$AU$1,),))))-(((VLOOKUP(EDATE(B165,-12),Database!$A:$AU,MATCH($C$1,Database!$A$1:$AU$1,),)))))/(((VLOOKUP(EDATE(B165,-12),Database!$A:$AU,MATCH($C$1,Database!$A$1:$AU$1,),)))))</f>
        <v/>
      </c>
      <c r="D165" s="13">
        <f>IF(VLOOKUP(B165,Database!$A:$AV,MATCH($D$1,Database!$A$1:$AV$1,),)=0,"#N/A",((((VLOOKUP(B165,Database!$A:$AS,MATCH($D$1,Database!$A$1:$AS$1,),))))-(((VLOOKUP(EDATE(B165,-12),Database!$A:$AS,MATCH($D$1,Database!$A$1:$AS$1,),)))))/(((VLOOKUP(EDATE(B165,-12),Database!$A:$AS,MATCH($D$1,Database!$A$1:$AS$1,),)))))</f>
        <v/>
      </c>
      <c r="E165" s="13">
        <f>IF(VLOOKUP(B165,Database!$A:$AV,MATCH($E$1,Database!$A$1:$AV$1,),)=0,"#N/A",((((VLOOKUP(B165,Database!$A:$AS,MATCH($E$1,Database!$A$1:$AS$1,),))))-(((VLOOKUP(EDATE(B165,-12),Database!$A:$AS,MATCH($E$1,Database!$A$1:$AS$1,),)))))/(((VLOOKUP(EDATE(B165,-12),Database!$A:$AS,MATCH($E$1,Database!$A$1:$AS$1,),)))))</f>
        <v/>
      </c>
      <c r="F165" s="13">
        <f>IF(VLOOKUP(B165,Database!$A:$AV,MATCH($F$1,Database!$A$1:$AV$1,),)=0,"#N/A",((((VLOOKUP(B165,Database!$A:$AS,MATCH($F$1,Database!$A$1:$AS$1,),))))-(((VLOOKUP(EDATE(B165,-12),Database!$A:$AS,MATCH($F$1,Database!$A$1:$AS$1,),)))))/(((VLOOKUP(EDATE(B165,-12),Database!$A:$AS,MATCH($F$1,Database!$A$1:$AS$1,),)))))</f>
        <v/>
      </c>
      <c r="G165" s="13">
        <f>IF(VLOOKUP(B165,Database!$A:$AV,MATCH($G$1,Database!$A$1:$AV$1,),)=0,"#N/A",((((VLOOKUP(B165,Database!$A:$AS,MATCH($G$1,Database!$A$1:$AS$1,),))))-(((VLOOKUP(EDATE(B165,-12),Database!$A:$AS,MATCH($G$1,Database!$A$1:$AS$1,),)))))/(((VLOOKUP(EDATE(B165,-12),Database!$A:$AS,MATCH($G$1,Database!$A$1:$AS$1,),)))))</f>
        <v/>
      </c>
      <c r="H165" s="13">
        <f>IF(VLOOKUP(B165,Database!$A:$AV,MATCH($H$1,Database!$A$1:$AV$1,),)=0,"#N/A",((((VLOOKUP(B165,Database!$A:$AS,MATCH($H$1,Database!$A$1:$AS$1,),))))-(((VLOOKUP(EDATE(B165,-12),Database!$A:$AS,MATCH($H$1,Database!$A$1:$AS$1,),)))))/(((VLOOKUP(EDATE(B165,-12),Database!$A:$AS,MATCH($H$1,Database!$A$1:$AS$1,),)))))</f>
        <v/>
      </c>
      <c r="I165" s="13">
        <f>IF(VLOOKUP(B165,Database!$A:$AV,MATCH($I$1,Database!$A$1:$AV$1,),)=0,"#N/A",((((VLOOKUP(B165,Database!$A:$AS,MATCH($I$1,Database!$A$1:$AS$1,),))))-(((VLOOKUP(EDATE(B165,-12),Database!$A:$AS,MATCH($I$1,Database!$A$1:$AS$1,),)))))/(((VLOOKUP(EDATE(B165,-12),Database!$A:$AS,MATCH($I$1,Database!$A$1:$AS$1,),)))))</f>
        <v/>
      </c>
      <c r="J165" s="13">
        <f>IF(VLOOKUP(B165,Database!$A:$AV,MATCH($J$1,Database!$A$1:$AV$1,),)=0,"#N/A",((((VLOOKUP(B165,Database!$A:$AS,MATCH($J$1,Database!$A$1:$AS$1,),))))-(((VLOOKUP(EDATE(B165,-12),Database!$A:$AS,MATCH($J$1,Database!$A$1:$AS$1,),)))))/(((VLOOKUP(EDATE(B165,-12),Database!$A:$AS,MATCH($J$1,Database!$A$1:$AS$1,),)))))</f>
        <v/>
      </c>
      <c r="K165" s="13">
        <f>IF(VLOOKUP(B165,Database!$A:$AV,MATCH($K$1,Database!$A$1:$AV$1,),)=0,"#N/A",((((VLOOKUP(B165,Database!$A:$AS,MATCH($K$1,Database!$A$1:$AS$1,),))))-(((VLOOKUP(EDATE(B165,-12),Database!$A:$AS,MATCH($K$1,Database!$A$1:$AS$1,),)))))/(((VLOOKUP(EDATE(B165,-12),Database!$A:$AS,MATCH($K$1,Database!$A$1:$AS$1,),)))))</f>
        <v/>
      </c>
      <c r="L165" s="13">
        <f>((((VLOOKUP(B165,Database!$A:$AS,MATCH($L$1,Database!$A$1:$AS$1,),))))-(((VLOOKUP(EDATE(B165,-12),Database!$A:$AS,MATCH($L$1,Database!$A$1:$AS$1,),)))))/(((VLOOKUP(EDATE(B165,-12),Database!$A:$AS,MATCH($L$1,Database!$A$1:$AS$1,),))))</f>
        <v/>
      </c>
      <c r="M165" s="13">
        <f>((((VLOOKUP(B165,Database!$A:$AS,MATCH($M$1,Database!$A$1:$AS$1,),))))-(((VLOOKUP(EDATE(B165,-12),Database!$A:$AS,MATCH($M$1,Database!$A$1:$AS$1,),)))))/(((VLOOKUP(EDATE(B165,-12),Database!$A:$AS,MATCH($M$1,Database!$A$1:$AS$1,),))))</f>
        <v/>
      </c>
      <c r="N165" s="13">
        <f>((((VLOOKUP(B165,Database!$A:$AS,MATCH($N$1,Database!$A$1:$AS$1,),))))-(((VLOOKUP(EDATE(B165,-12),Database!$A:$AS,MATCH($N$1,Database!$A$1:$AS$1,),)))))/(((VLOOKUP(EDATE(B165,-12),Database!$A:$AS,MATCH($N$1,Database!$A$1:$AS$1,),))))</f>
        <v/>
      </c>
      <c r="O165" s="13">
        <f>IF(VLOOKUP(B165,Database!$A:$AV,MATCH($O$1,Database!$A$1:$AV$1,),)=0,"#N/A",((((VLOOKUP(B165,Database!$A:$AS,MATCH($O$1,Database!$A$1:$AS$1,),))))-(((VLOOKUP(EDATE(B165,-12),Database!$A:$AS,MATCH($O$1,Database!$A$1:$AS$1,),)))))/(((VLOOKUP(EDATE(B165,-12),Database!$A:$AS,MATCH($O$1,Database!$A$1:$AS$1,),)))))</f>
        <v/>
      </c>
      <c r="P165" s="13">
        <f>IF(VLOOKUP(B165,Database!$A:$AV,MATCH($P$1,Database!$A$1:$AV$1,),)=0,"#N/A",((((VLOOKUP(B165,Database!$A:$AS,MATCH($P$1,Database!$A$1:$AS$1,),))))-(((VLOOKUP(EDATE(B165,-12),Database!$A:$AS,MATCH($P$1,Database!$A$1:$AS$1,),)))))/(((VLOOKUP(EDATE(B165,-12),Database!$A:$AS,MATCH($P$1,Database!$A$1:$AS$1,),)))))</f>
        <v/>
      </c>
      <c r="Q165" s="13">
        <f>IF(VLOOKUP(B165,Database!$A:$AV,MATCH($Q$1,Database!$A$1:$AV$1,),)=0,"#N/A",((((VLOOKUP(B165,Database!$A:$AS,MATCH($Q$1,Database!$A$1:$AS$1,),))))-(((VLOOKUP(EDATE(B165,-12),Database!$A:$AS,MATCH($Q$1,Database!$A$1:$AS$1,),)))))/(((VLOOKUP(EDATE(B165,-12),Database!$A:$AS,MATCH($Q$1,Database!$A$1:$AS$1,),)))))</f>
        <v/>
      </c>
      <c r="R165" s="13">
        <f>IF(VLOOKUP(B165,Database!$A:$AV,MATCH($R$1,Database!$A$1:$AV$1,),)=0,"#N/A",((((VLOOKUP(B165,Database!$A:$AS,MATCH($R$1,Database!$A$1:$AS$1,),))))-(((VLOOKUP(EDATE(B165,-12),Database!$A:$AS,MATCH($R$1,Database!$A$1:$AS$1,),)))))/(((VLOOKUP(EDATE(B165,-12),Database!$A:$AS,MATCH($R$1,Database!$A$1:$AS$1,),)))))</f>
        <v/>
      </c>
      <c r="S165" s="13">
        <f>IF(VLOOKUP(B165,Database!$A:$AV,MATCH($S$1,Database!$A$1:$AV$1,),)=0,"#N/A",((((VLOOKUP(B165,Database!$A:$AS,MATCH($S$1,Database!$A$1:$AS$1,),))))-(((VLOOKUP(EDATE(B165,-12),Database!$A:$AS,MATCH($S$1,Database!$A$1:$AS$1,),)))))/(((VLOOKUP(EDATE(B165,-12),Database!$A:$AS,MATCH($S$1,Database!$A$1:$AS$1,),)))))</f>
        <v/>
      </c>
      <c r="T165" s="13">
        <f>IF(VLOOKUP(B165,Database!$A:$AV,MATCH($T$1,Database!$A$1:$AV$1,),)=0,"#N/A",((((VLOOKUP(B165,Database!$A:$AS,MATCH($T$1,Database!$A$1:$AS$1,),))))-(((VLOOKUP(EDATE(B165,-12),Database!$A:$AS,MATCH($T$1,Database!$A$1:$AS$1,),)))))/(((VLOOKUP(EDATE(B165,-12),Database!$A:$AS,MATCH($T$1,Database!$A$1:$AS$1,),)))))</f>
        <v/>
      </c>
      <c r="U165" s="13">
        <f>IF(VLOOKUP(B165,Database!$A:$AV,MATCH($U$1,Database!$A$1:$AV$1,),)=0,"#N/A",((((VLOOKUP(B165,Database!$A:$AS,MATCH($U$1,Database!$A$1:$AS$1,),))))-(((VLOOKUP(EDATE(B165,-12),Database!$A:$AS,MATCH($U$1,Database!$A$1:$AS$1,),)))))/(((VLOOKUP(EDATE(B165,-12),Database!$A:$AS,MATCH($U$1,Database!$A$1:$AS$1,),)))))</f>
        <v/>
      </c>
      <c r="V165" s="13">
        <f>IF(VLOOKUP(B165,Database!$A:$AV,MATCH($V$1,Database!$A$1:$AV$1,),)=0,"#N/A",((((VLOOKUP(B165,Database!$A:$AS,MATCH($V$1,Database!$A$1:$AS$1,),))))-(((VLOOKUP(EDATE(B165,-12),Database!$A:$AS,MATCH($V$1,Database!$A$1:$AS$1,),)))))/(((VLOOKUP(EDATE(B165,-12),Database!$A:$AS,MATCH($V$1,Database!$A$1:$AS$1,),)))))</f>
        <v/>
      </c>
    </row>
    <row r="166" customFormat="1" s="86">
      <c r="A166" s="43" t="n"/>
      <c r="B166" s="75" t="n">
        <v>37196</v>
      </c>
      <c r="C166" s="13">
        <f>IF(VLOOKUP(B166,Database!$A:$AU,MATCH($C$1,Database!$A$1:$AU$1,),)=0,"#N/A",((((VLOOKUP(B166,Database!$A:$AU,MATCH($C$1,Database!$A$1:$AU$1,),))))-(((VLOOKUP(EDATE(B166,-12),Database!$A:$AU,MATCH($C$1,Database!$A$1:$AU$1,),)))))/(((VLOOKUP(EDATE(B166,-12),Database!$A:$AU,MATCH($C$1,Database!$A$1:$AU$1,),)))))</f>
        <v/>
      </c>
      <c r="D166" s="13">
        <f>IF(VLOOKUP(B166,Database!$A:$AV,MATCH($D$1,Database!$A$1:$AV$1,),)=0,"#N/A",((((VLOOKUP(B166,Database!$A:$AS,MATCH($D$1,Database!$A$1:$AS$1,),))))-(((VLOOKUP(EDATE(B166,-12),Database!$A:$AS,MATCH($D$1,Database!$A$1:$AS$1,),)))))/(((VLOOKUP(EDATE(B166,-12),Database!$A:$AS,MATCH($D$1,Database!$A$1:$AS$1,),)))))</f>
        <v/>
      </c>
      <c r="E166" s="13">
        <f>IF(VLOOKUP(B166,Database!$A:$AV,MATCH($E$1,Database!$A$1:$AV$1,),)=0,"#N/A",((((VLOOKUP(B166,Database!$A:$AS,MATCH($E$1,Database!$A$1:$AS$1,),))))-(((VLOOKUP(EDATE(B166,-12),Database!$A:$AS,MATCH($E$1,Database!$A$1:$AS$1,),)))))/(((VLOOKUP(EDATE(B166,-12),Database!$A:$AS,MATCH($E$1,Database!$A$1:$AS$1,),)))))</f>
        <v/>
      </c>
      <c r="F166" s="13">
        <f>IF(VLOOKUP(B166,Database!$A:$AV,MATCH($F$1,Database!$A$1:$AV$1,),)=0,"#N/A",((((VLOOKUP(B166,Database!$A:$AS,MATCH($F$1,Database!$A$1:$AS$1,),))))-(((VLOOKUP(EDATE(B166,-12),Database!$A:$AS,MATCH($F$1,Database!$A$1:$AS$1,),)))))/(((VLOOKUP(EDATE(B166,-12),Database!$A:$AS,MATCH($F$1,Database!$A$1:$AS$1,),)))))</f>
        <v/>
      </c>
      <c r="G166" s="13">
        <f>IF(VLOOKUP(B166,Database!$A:$AV,MATCH($G$1,Database!$A$1:$AV$1,),)=0,"#N/A",((((VLOOKUP(B166,Database!$A:$AS,MATCH($G$1,Database!$A$1:$AS$1,),))))-(((VLOOKUP(EDATE(B166,-12),Database!$A:$AS,MATCH($G$1,Database!$A$1:$AS$1,),)))))/(((VLOOKUP(EDATE(B166,-12),Database!$A:$AS,MATCH($G$1,Database!$A$1:$AS$1,),)))))</f>
        <v/>
      </c>
      <c r="H166" s="13">
        <f>IF(VLOOKUP(B166,Database!$A:$AV,MATCH($H$1,Database!$A$1:$AV$1,),)=0,"#N/A",((((VLOOKUP(B166,Database!$A:$AS,MATCH($H$1,Database!$A$1:$AS$1,),))))-(((VLOOKUP(EDATE(B166,-12),Database!$A:$AS,MATCH($H$1,Database!$A$1:$AS$1,),)))))/(((VLOOKUP(EDATE(B166,-12),Database!$A:$AS,MATCH($H$1,Database!$A$1:$AS$1,),)))))</f>
        <v/>
      </c>
      <c r="I166" s="13">
        <f>IF(VLOOKUP(B166,Database!$A:$AV,MATCH($I$1,Database!$A$1:$AV$1,),)=0,"#N/A",((((VLOOKUP(B166,Database!$A:$AS,MATCH($I$1,Database!$A$1:$AS$1,),))))-(((VLOOKUP(EDATE(B166,-12),Database!$A:$AS,MATCH($I$1,Database!$A$1:$AS$1,),)))))/(((VLOOKUP(EDATE(B166,-12),Database!$A:$AS,MATCH($I$1,Database!$A$1:$AS$1,),)))))</f>
        <v/>
      </c>
      <c r="J166" s="13">
        <f>IF(VLOOKUP(B166,Database!$A:$AV,MATCH($J$1,Database!$A$1:$AV$1,),)=0,"#N/A",((((VLOOKUP(B166,Database!$A:$AS,MATCH($J$1,Database!$A$1:$AS$1,),))))-(((VLOOKUP(EDATE(B166,-12),Database!$A:$AS,MATCH($J$1,Database!$A$1:$AS$1,),)))))/(((VLOOKUP(EDATE(B166,-12),Database!$A:$AS,MATCH($J$1,Database!$A$1:$AS$1,),)))))</f>
        <v/>
      </c>
      <c r="K166" s="13">
        <f>IF(VLOOKUP(B166,Database!$A:$AV,MATCH($K$1,Database!$A$1:$AV$1,),)=0,"#N/A",((((VLOOKUP(B166,Database!$A:$AS,MATCH($K$1,Database!$A$1:$AS$1,),))))-(((VLOOKUP(EDATE(B166,-12),Database!$A:$AS,MATCH($K$1,Database!$A$1:$AS$1,),)))))/(((VLOOKUP(EDATE(B166,-12),Database!$A:$AS,MATCH($K$1,Database!$A$1:$AS$1,),)))))</f>
        <v/>
      </c>
      <c r="L166" s="13">
        <f>((((VLOOKUP(B166,Database!$A:$AS,MATCH($L$1,Database!$A$1:$AS$1,),))))-(((VLOOKUP(EDATE(B166,-12),Database!$A:$AS,MATCH($L$1,Database!$A$1:$AS$1,),)))))/(((VLOOKUP(EDATE(B166,-12),Database!$A:$AS,MATCH($L$1,Database!$A$1:$AS$1,),))))</f>
        <v/>
      </c>
      <c r="M166" s="13">
        <f>((((VLOOKUP(B166,Database!$A:$AS,MATCH($M$1,Database!$A$1:$AS$1,),))))-(((VLOOKUP(EDATE(B166,-12),Database!$A:$AS,MATCH($M$1,Database!$A$1:$AS$1,),)))))/(((VLOOKUP(EDATE(B166,-12),Database!$A:$AS,MATCH($M$1,Database!$A$1:$AS$1,),))))</f>
        <v/>
      </c>
      <c r="N166" s="13">
        <f>((((VLOOKUP(B166,Database!$A:$AS,MATCH($N$1,Database!$A$1:$AS$1,),))))-(((VLOOKUP(EDATE(B166,-12),Database!$A:$AS,MATCH($N$1,Database!$A$1:$AS$1,),)))))/(((VLOOKUP(EDATE(B166,-12),Database!$A:$AS,MATCH($N$1,Database!$A$1:$AS$1,),))))</f>
        <v/>
      </c>
      <c r="O166" s="13">
        <f>IF(VLOOKUP(B166,Database!$A:$AV,MATCH($O$1,Database!$A$1:$AV$1,),)=0,"#N/A",((((VLOOKUP(B166,Database!$A:$AS,MATCH($O$1,Database!$A$1:$AS$1,),))))-(((VLOOKUP(EDATE(B166,-12),Database!$A:$AS,MATCH($O$1,Database!$A$1:$AS$1,),)))))/(((VLOOKUP(EDATE(B166,-12),Database!$A:$AS,MATCH($O$1,Database!$A$1:$AS$1,),)))))</f>
        <v/>
      </c>
      <c r="P166" s="13">
        <f>IF(VLOOKUP(B166,Database!$A:$AV,MATCH($P$1,Database!$A$1:$AV$1,),)=0,"#N/A",((((VLOOKUP(B166,Database!$A:$AS,MATCH($P$1,Database!$A$1:$AS$1,),))))-(((VLOOKUP(EDATE(B166,-12),Database!$A:$AS,MATCH($P$1,Database!$A$1:$AS$1,),)))))/(((VLOOKUP(EDATE(B166,-12),Database!$A:$AS,MATCH($P$1,Database!$A$1:$AS$1,),)))))</f>
        <v/>
      </c>
      <c r="Q166" s="13">
        <f>IF(VLOOKUP(B166,Database!$A:$AV,MATCH($Q$1,Database!$A$1:$AV$1,),)=0,"#N/A",((((VLOOKUP(B166,Database!$A:$AS,MATCH($Q$1,Database!$A$1:$AS$1,),))))-(((VLOOKUP(EDATE(B166,-12),Database!$A:$AS,MATCH($Q$1,Database!$A$1:$AS$1,),)))))/(((VLOOKUP(EDATE(B166,-12),Database!$A:$AS,MATCH($Q$1,Database!$A$1:$AS$1,),)))))</f>
        <v/>
      </c>
      <c r="R166" s="13">
        <f>IF(VLOOKUP(B166,Database!$A:$AV,MATCH($R$1,Database!$A$1:$AV$1,),)=0,"#N/A",((((VLOOKUP(B166,Database!$A:$AS,MATCH($R$1,Database!$A$1:$AS$1,),))))-(((VLOOKUP(EDATE(B166,-12),Database!$A:$AS,MATCH($R$1,Database!$A$1:$AS$1,),)))))/(((VLOOKUP(EDATE(B166,-12),Database!$A:$AS,MATCH($R$1,Database!$A$1:$AS$1,),)))))</f>
        <v/>
      </c>
      <c r="S166" s="13">
        <f>IF(VLOOKUP(B166,Database!$A:$AV,MATCH($S$1,Database!$A$1:$AV$1,),)=0,"#N/A",((((VLOOKUP(B166,Database!$A:$AS,MATCH($S$1,Database!$A$1:$AS$1,),))))-(((VLOOKUP(EDATE(B166,-12),Database!$A:$AS,MATCH($S$1,Database!$A$1:$AS$1,),)))))/(((VLOOKUP(EDATE(B166,-12),Database!$A:$AS,MATCH($S$1,Database!$A$1:$AS$1,),)))))</f>
        <v/>
      </c>
      <c r="T166" s="13">
        <f>IF(VLOOKUP(B166,Database!$A:$AV,MATCH($T$1,Database!$A$1:$AV$1,),)=0,"#N/A",((((VLOOKUP(B166,Database!$A:$AS,MATCH($T$1,Database!$A$1:$AS$1,),))))-(((VLOOKUP(EDATE(B166,-12),Database!$A:$AS,MATCH($T$1,Database!$A$1:$AS$1,),)))))/(((VLOOKUP(EDATE(B166,-12),Database!$A:$AS,MATCH($T$1,Database!$A$1:$AS$1,),)))))</f>
        <v/>
      </c>
      <c r="U166" s="13">
        <f>IF(VLOOKUP(B166,Database!$A:$AV,MATCH($U$1,Database!$A$1:$AV$1,),)=0,"#N/A",((((VLOOKUP(B166,Database!$A:$AS,MATCH($U$1,Database!$A$1:$AS$1,),))))-(((VLOOKUP(EDATE(B166,-12),Database!$A:$AS,MATCH($U$1,Database!$A$1:$AS$1,),)))))/(((VLOOKUP(EDATE(B166,-12),Database!$A:$AS,MATCH($U$1,Database!$A$1:$AS$1,),)))))</f>
        <v/>
      </c>
      <c r="V166" s="13">
        <f>IF(VLOOKUP(B166,Database!$A:$AV,MATCH($V$1,Database!$A$1:$AV$1,),)=0,"#N/A",((((VLOOKUP(B166,Database!$A:$AS,MATCH($V$1,Database!$A$1:$AS$1,),))))-(((VLOOKUP(EDATE(B166,-12),Database!$A:$AS,MATCH($V$1,Database!$A$1:$AS$1,),)))))/(((VLOOKUP(EDATE(B166,-12),Database!$A:$AS,MATCH($V$1,Database!$A$1:$AS$1,),)))))</f>
        <v/>
      </c>
    </row>
    <row r="167" customFormat="1" s="86">
      <c r="A167" s="43" t="n"/>
      <c r="B167" s="75" t="n">
        <v>37226</v>
      </c>
      <c r="C167" s="13">
        <f>IF(VLOOKUP(B167,Database!$A:$AU,MATCH($C$1,Database!$A$1:$AU$1,),)=0,"#N/A",((((VLOOKUP(B167,Database!$A:$AU,MATCH($C$1,Database!$A$1:$AU$1,),))))-(((VLOOKUP(EDATE(B167,-12),Database!$A:$AU,MATCH($C$1,Database!$A$1:$AU$1,),)))))/(((VLOOKUP(EDATE(B167,-12),Database!$A:$AU,MATCH($C$1,Database!$A$1:$AU$1,),)))))</f>
        <v/>
      </c>
      <c r="D167" s="13">
        <f>IF(VLOOKUP(B167,Database!$A:$AV,MATCH($D$1,Database!$A$1:$AV$1,),)=0,"#N/A",((((VLOOKUP(B167,Database!$A:$AS,MATCH($D$1,Database!$A$1:$AS$1,),))))-(((VLOOKUP(EDATE(B167,-12),Database!$A:$AS,MATCH($D$1,Database!$A$1:$AS$1,),)))))/(((VLOOKUP(EDATE(B167,-12),Database!$A:$AS,MATCH($D$1,Database!$A$1:$AS$1,),)))))</f>
        <v/>
      </c>
      <c r="E167" s="13">
        <f>IF(VLOOKUP(B167,Database!$A:$AV,MATCH($E$1,Database!$A$1:$AV$1,),)=0,"#N/A",((((VLOOKUP(B167,Database!$A:$AS,MATCH($E$1,Database!$A$1:$AS$1,),))))-(((VLOOKUP(EDATE(B167,-12),Database!$A:$AS,MATCH($E$1,Database!$A$1:$AS$1,),)))))/(((VLOOKUP(EDATE(B167,-12),Database!$A:$AS,MATCH($E$1,Database!$A$1:$AS$1,),)))))</f>
        <v/>
      </c>
      <c r="F167" s="13">
        <f>IF(VLOOKUP(B167,Database!$A:$AV,MATCH($F$1,Database!$A$1:$AV$1,),)=0,"#N/A",((((VLOOKUP(B167,Database!$A:$AS,MATCH($F$1,Database!$A$1:$AS$1,),))))-(((VLOOKUP(EDATE(B167,-12),Database!$A:$AS,MATCH($F$1,Database!$A$1:$AS$1,),)))))/(((VLOOKUP(EDATE(B167,-12),Database!$A:$AS,MATCH($F$1,Database!$A$1:$AS$1,),)))))</f>
        <v/>
      </c>
      <c r="G167" s="13">
        <f>IF(VLOOKUP(B167,Database!$A:$AV,MATCH($G$1,Database!$A$1:$AV$1,),)=0,"#N/A",((((VLOOKUP(B167,Database!$A:$AS,MATCH($G$1,Database!$A$1:$AS$1,),))))-(((VLOOKUP(EDATE(B167,-12),Database!$A:$AS,MATCH($G$1,Database!$A$1:$AS$1,),)))))/(((VLOOKUP(EDATE(B167,-12),Database!$A:$AS,MATCH($G$1,Database!$A$1:$AS$1,),)))))</f>
        <v/>
      </c>
      <c r="H167" s="13">
        <f>IF(VLOOKUP(B167,Database!$A:$AV,MATCH($H$1,Database!$A$1:$AV$1,),)=0,"#N/A",((((VLOOKUP(B167,Database!$A:$AS,MATCH($H$1,Database!$A$1:$AS$1,),))))-(((VLOOKUP(EDATE(B167,-12),Database!$A:$AS,MATCH($H$1,Database!$A$1:$AS$1,),)))))/(((VLOOKUP(EDATE(B167,-12),Database!$A:$AS,MATCH($H$1,Database!$A$1:$AS$1,),)))))</f>
        <v/>
      </c>
      <c r="I167" s="13">
        <f>IF(VLOOKUP(B167,Database!$A:$AV,MATCH($I$1,Database!$A$1:$AV$1,),)=0,"#N/A",((((VLOOKUP(B167,Database!$A:$AS,MATCH($I$1,Database!$A$1:$AS$1,),))))-(((VLOOKUP(EDATE(B167,-12),Database!$A:$AS,MATCH($I$1,Database!$A$1:$AS$1,),)))))/(((VLOOKUP(EDATE(B167,-12),Database!$A:$AS,MATCH($I$1,Database!$A$1:$AS$1,),)))))</f>
        <v/>
      </c>
      <c r="J167" s="13">
        <f>IF(VLOOKUP(B167,Database!$A:$AV,MATCH($J$1,Database!$A$1:$AV$1,),)=0,"#N/A",((((VLOOKUP(B167,Database!$A:$AS,MATCH($J$1,Database!$A$1:$AS$1,),))))-(((VLOOKUP(EDATE(B167,-12),Database!$A:$AS,MATCH($J$1,Database!$A$1:$AS$1,),)))))/(((VLOOKUP(EDATE(B167,-12),Database!$A:$AS,MATCH($J$1,Database!$A$1:$AS$1,),)))))</f>
        <v/>
      </c>
      <c r="K167" s="13">
        <f>IF(VLOOKUP(B167,Database!$A:$AV,MATCH($K$1,Database!$A$1:$AV$1,),)=0,"#N/A",((((VLOOKUP(B167,Database!$A:$AS,MATCH($K$1,Database!$A$1:$AS$1,),))))-(((VLOOKUP(EDATE(B167,-12),Database!$A:$AS,MATCH($K$1,Database!$A$1:$AS$1,),)))))/(((VLOOKUP(EDATE(B167,-12),Database!$A:$AS,MATCH($K$1,Database!$A$1:$AS$1,),)))))</f>
        <v/>
      </c>
      <c r="L167" s="13">
        <f>((((VLOOKUP(B167,Database!$A:$AS,MATCH($L$1,Database!$A$1:$AS$1,),))))-(((VLOOKUP(EDATE(B167,-12),Database!$A:$AS,MATCH($L$1,Database!$A$1:$AS$1,),)))))/(((VLOOKUP(EDATE(B167,-12),Database!$A:$AS,MATCH($L$1,Database!$A$1:$AS$1,),))))</f>
        <v/>
      </c>
      <c r="M167" s="13">
        <f>((((VLOOKUP(B167,Database!$A:$AS,MATCH($M$1,Database!$A$1:$AS$1,),))))-(((VLOOKUP(EDATE(B167,-12),Database!$A:$AS,MATCH($M$1,Database!$A$1:$AS$1,),)))))/(((VLOOKUP(EDATE(B167,-12),Database!$A:$AS,MATCH($M$1,Database!$A$1:$AS$1,),))))</f>
        <v/>
      </c>
      <c r="N167" s="13">
        <f>((((VLOOKUP(B167,Database!$A:$AS,MATCH($N$1,Database!$A$1:$AS$1,),))))-(((VLOOKUP(EDATE(B167,-12),Database!$A:$AS,MATCH($N$1,Database!$A$1:$AS$1,),)))))/(((VLOOKUP(EDATE(B167,-12),Database!$A:$AS,MATCH($N$1,Database!$A$1:$AS$1,),))))</f>
        <v/>
      </c>
      <c r="O167" s="13">
        <f>IF(VLOOKUP(B167,Database!$A:$AV,MATCH($O$1,Database!$A$1:$AV$1,),)=0,"#N/A",((((VLOOKUP(B167,Database!$A:$AS,MATCH($O$1,Database!$A$1:$AS$1,),))))-(((VLOOKUP(EDATE(B167,-12),Database!$A:$AS,MATCH($O$1,Database!$A$1:$AS$1,),)))))/(((VLOOKUP(EDATE(B167,-12),Database!$A:$AS,MATCH($O$1,Database!$A$1:$AS$1,),)))))</f>
        <v/>
      </c>
      <c r="P167" s="13">
        <f>IF(VLOOKUP(B167,Database!$A:$AV,MATCH($P$1,Database!$A$1:$AV$1,),)=0,"#N/A",((((VLOOKUP(B167,Database!$A:$AS,MATCH($P$1,Database!$A$1:$AS$1,),))))-(((VLOOKUP(EDATE(B167,-12),Database!$A:$AS,MATCH($P$1,Database!$A$1:$AS$1,),)))))/(((VLOOKUP(EDATE(B167,-12),Database!$A:$AS,MATCH($P$1,Database!$A$1:$AS$1,),)))))</f>
        <v/>
      </c>
      <c r="Q167" s="13">
        <f>IF(VLOOKUP(B167,Database!$A:$AV,MATCH($Q$1,Database!$A$1:$AV$1,),)=0,"#N/A",((((VLOOKUP(B167,Database!$A:$AS,MATCH($Q$1,Database!$A$1:$AS$1,),))))-(((VLOOKUP(EDATE(B167,-12),Database!$A:$AS,MATCH($Q$1,Database!$A$1:$AS$1,),)))))/(((VLOOKUP(EDATE(B167,-12),Database!$A:$AS,MATCH($Q$1,Database!$A$1:$AS$1,),)))))</f>
        <v/>
      </c>
      <c r="R167" s="13">
        <f>IF(VLOOKUP(B167,Database!$A:$AV,MATCH($R$1,Database!$A$1:$AV$1,),)=0,"#N/A",((((VLOOKUP(B167,Database!$A:$AS,MATCH($R$1,Database!$A$1:$AS$1,),))))-(((VLOOKUP(EDATE(B167,-12),Database!$A:$AS,MATCH($R$1,Database!$A$1:$AS$1,),)))))/(((VLOOKUP(EDATE(B167,-12),Database!$A:$AS,MATCH($R$1,Database!$A$1:$AS$1,),)))))</f>
        <v/>
      </c>
      <c r="S167" s="13">
        <f>IF(VLOOKUP(B167,Database!$A:$AV,MATCH($S$1,Database!$A$1:$AV$1,),)=0,"#N/A",((((VLOOKUP(B167,Database!$A:$AS,MATCH($S$1,Database!$A$1:$AS$1,),))))-(((VLOOKUP(EDATE(B167,-12),Database!$A:$AS,MATCH($S$1,Database!$A$1:$AS$1,),)))))/(((VLOOKUP(EDATE(B167,-12),Database!$A:$AS,MATCH($S$1,Database!$A$1:$AS$1,),)))))</f>
        <v/>
      </c>
      <c r="T167" s="13">
        <f>IF(VLOOKUP(B167,Database!$A:$AV,MATCH($T$1,Database!$A$1:$AV$1,),)=0,"#N/A",((((VLOOKUP(B167,Database!$A:$AS,MATCH($T$1,Database!$A$1:$AS$1,),))))-(((VLOOKUP(EDATE(B167,-12),Database!$A:$AS,MATCH($T$1,Database!$A$1:$AS$1,),)))))/(((VLOOKUP(EDATE(B167,-12),Database!$A:$AS,MATCH($T$1,Database!$A$1:$AS$1,),)))))</f>
        <v/>
      </c>
      <c r="U167" s="13">
        <f>IF(VLOOKUP(B167,Database!$A:$AV,MATCH($U$1,Database!$A$1:$AV$1,),)=0,"#N/A",((((VLOOKUP(B167,Database!$A:$AS,MATCH($U$1,Database!$A$1:$AS$1,),))))-(((VLOOKUP(EDATE(B167,-12),Database!$A:$AS,MATCH($U$1,Database!$A$1:$AS$1,),)))))/(((VLOOKUP(EDATE(B167,-12),Database!$A:$AS,MATCH($U$1,Database!$A$1:$AS$1,),)))))</f>
        <v/>
      </c>
      <c r="V167" s="13">
        <f>IF(VLOOKUP(B167,Database!$A:$AV,MATCH($V$1,Database!$A$1:$AV$1,),)=0,"#N/A",((((VLOOKUP(B167,Database!$A:$AS,MATCH($V$1,Database!$A$1:$AS$1,),))))-(((VLOOKUP(EDATE(B167,-12),Database!$A:$AS,MATCH($V$1,Database!$A$1:$AS$1,),)))))/(((VLOOKUP(EDATE(B167,-12),Database!$A:$AS,MATCH($V$1,Database!$A$1:$AS$1,),)))))</f>
        <v/>
      </c>
    </row>
    <row r="168" customFormat="1" s="86">
      <c r="A168" s="43" t="n"/>
      <c r="B168" s="75" t="n">
        <v>37257</v>
      </c>
      <c r="C168" s="13">
        <f>IF(VLOOKUP(B168,Database!$A:$AU,MATCH($C$1,Database!$A$1:$AU$1,),)=0,"#N/A",((((VLOOKUP(B168,Database!$A:$AU,MATCH($C$1,Database!$A$1:$AU$1,),))))-(((VLOOKUP(EDATE(B168,-12),Database!$A:$AU,MATCH($C$1,Database!$A$1:$AU$1,),)))))/(((VLOOKUP(EDATE(B168,-12),Database!$A:$AU,MATCH($C$1,Database!$A$1:$AU$1,),)))))</f>
        <v/>
      </c>
      <c r="D168" s="13">
        <f>IF(VLOOKUP(B168,Database!$A:$AV,MATCH($D$1,Database!$A$1:$AV$1,),)=0,"#N/A",((((VLOOKUP(B168,Database!$A:$AS,MATCH($D$1,Database!$A$1:$AS$1,),))))-(((VLOOKUP(EDATE(B168,-12),Database!$A:$AS,MATCH($D$1,Database!$A$1:$AS$1,),)))))/(((VLOOKUP(EDATE(B168,-12),Database!$A:$AS,MATCH($D$1,Database!$A$1:$AS$1,),)))))</f>
        <v/>
      </c>
      <c r="E168" s="13">
        <f>IF(VLOOKUP(B168,Database!$A:$AV,MATCH($E$1,Database!$A$1:$AV$1,),)=0,"#N/A",((((VLOOKUP(B168,Database!$A:$AS,MATCH($E$1,Database!$A$1:$AS$1,),))))-(((VLOOKUP(EDATE(B168,-12),Database!$A:$AS,MATCH($E$1,Database!$A$1:$AS$1,),)))))/(((VLOOKUP(EDATE(B168,-12),Database!$A:$AS,MATCH($E$1,Database!$A$1:$AS$1,),)))))</f>
        <v/>
      </c>
      <c r="F168" s="13">
        <f>IF(VLOOKUP(B168,Database!$A:$AV,MATCH($F$1,Database!$A$1:$AV$1,),)=0,"#N/A",((((VLOOKUP(B168,Database!$A:$AS,MATCH($F$1,Database!$A$1:$AS$1,),))))-(((VLOOKUP(EDATE(B168,-12),Database!$A:$AS,MATCH($F$1,Database!$A$1:$AS$1,),)))))/(((VLOOKUP(EDATE(B168,-12),Database!$A:$AS,MATCH($F$1,Database!$A$1:$AS$1,),)))))</f>
        <v/>
      </c>
      <c r="G168" s="13">
        <f>IF(VLOOKUP(B168,Database!$A:$AV,MATCH($G$1,Database!$A$1:$AV$1,),)=0,"#N/A",((((VLOOKUP(B168,Database!$A:$AS,MATCH($G$1,Database!$A$1:$AS$1,),))))-(((VLOOKUP(EDATE(B168,-12),Database!$A:$AS,MATCH($G$1,Database!$A$1:$AS$1,),)))))/(((VLOOKUP(EDATE(B168,-12),Database!$A:$AS,MATCH($G$1,Database!$A$1:$AS$1,),)))))</f>
        <v/>
      </c>
      <c r="H168" s="13">
        <f>IF(VLOOKUP(B168,Database!$A:$AV,MATCH($H$1,Database!$A$1:$AV$1,),)=0,"#N/A",((((VLOOKUP(B168,Database!$A:$AS,MATCH($H$1,Database!$A$1:$AS$1,),))))-(((VLOOKUP(EDATE(B168,-12),Database!$A:$AS,MATCH($H$1,Database!$A$1:$AS$1,),)))))/(((VLOOKUP(EDATE(B168,-12),Database!$A:$AS,MATCH($H$1,Database!$A$1:$AS$1,),)))))</f>
        <v/>
      </c>
      <c r="I168" s="13">
        <f>IF(VLOOKUP(B168,Database!$A:$AV,MATCH($I$1,Database!$A$1:$AV$1,),)=0,"#N/A",((((VLOOKUP(B168,Database!$A:$AS,MATCH($I$1,Database!$A$1:$AS$1,),))))-(((VLOOKUP(EDATE(B168,-12),Database!$A:$AS,MATCH($I$1,Database!$A$1:$AS$1,),)))))/(((VLOOKUP(EDATE(B168,-12),Database!$A:$AS,MATCH($I$1,Database!$A$1:$AS$1,),)))))</f>
        <v/>
      </c>
      <c r="J168" s="13">
        <f>IF(VLOOKUP(B168,Database!$A:$AV,MATCH($J$1,Database!$A$1:$AV$1,),)=0,"#N/A",((((VLOOKUP(B168,Database!$A:$AS,MATCH($J$1,Database!$A$1:$AS$1,),))))-(((VLOOKUP(EDATE(B168,-12),Database!$A:$AS,MATCH($J$1,Database!$A$1:$AS$1,),)))))/(((VLOOKUP(EDATE(B168,-12),Database!$A:$AS,MATCH($J$1,Database!$A$1:$AS$1,),)))))</f>
        <v/>
      </c>
      <c r="K168" s="13">
        <f>IF(VLOOKUP(B168,Database!$A:$AV,MATCH($K$1,Database!$A$1:$AV$1,),)=0,"#N/A",((((VLOOKUP(B168,Database!$A:$AS,MATCH($K$1,Database!$A$1:$AS$1,),))))-(((VLOOKUP(EDATE(B168,-12),Database!$A:$AS,MATCH($K$1,Database!$A$1:$AS$1,),)))))/(((VLOOKUP(EDATE(B168,-12),Database!$A:$AS,MATCH($K$1,Database!$A$1:$AS$1,),)))))</f>
        <v/>
      </c>
      <c r="L168" s="13">
        <f>((((VLOOKUP(B168,Database!$A:$AS,MATCH($L$1,Database!$A$1:$AS$1,),))))-(((VLOOKUP(EDATE(B168,-12),Database!$A:$AS,MATCH($L$1,Database!$A$1:$AS$1,),)))))/(((VLOOKUP(EDATE(B168,-12),Database!$A:$AS,MATCH($L$1,Database!$A$1:$AS$1,),))))</f>
        <v/>
      </c>
      <c r="M168" s="13">
        <f>((((VLOOKUP(B168,Database!$A:$AS,MATCH($M$1,Database!$A$1:$AS$1,),))))-(((VLOOKUP(EDATE(B168,-12),Database!$A:$AS,MATCH($M$1,Database!$A$1:$AS$1,),)))))/(((VLOOKUP(EDATE(B168,-12),Database!$A:$AS,MATCH($M$1,Database!$A$1:$AS$1,),))))</f>
        <v/>
      </c>
      <c r="N168" s="13">
        <f>((((VLOOKUP(B168,Database!$A:$AS,MATCH($N$1,Database!$A$1:$AS$1,),))))-(((VLOOKUP(EDATE(B168,-12),Database!$A:$AS,MATCH($N$1,Database!$A$1:$AS$1,),)))))/(((VLOOKUP(EDATE(B168,-12),Database!$A:$AS,MATCH($N$1,Database!$A$1:$AS$1,),))))</f>
        <v/>
      </c>
      <c r="O168" s="13">
        <f>IF(VLOOKUP(B168,Database!$A:$AV,MATCH($O$1,Database!$A$1:$AV$1,),)=0,"#N/A",((((VLOOKUP(B168,Database!$A:$AS,MATCH($O$1,Database!$A$1:$AS$1,),))))-(((VLOOKUP(EDATE(B168,-12),Database!$A:$AS,MATCH($O$1,Database!$A$1:$AS$1,),)))))/(((VLOOKUP(EDATE(B168,-12),Database!$A:$AS,MATCH($O$1,Database!$A$1:$AS$1,),)))))</f>
        <v/>
      </c>
      <c r="P168" s="13">
        <f>IF(VLOOKUP(B168,Database!$A:$AV,MATCH($P$1,Database!$A$1:$AV$1,),)=0,"#N/A",((((VLOOKUP(B168,Database!$A:$AS,MATCH($P$1,Database!$A$1:$AS$1,),))))-(((VLOOKUP(EDATE(B168,-12),Database!$A:$AS,MATCH($P$1,Database!$A$1:$AS$1,),)))))/(((VLOOKUP(EDATE(B168,-12),Database!$A:$AS,MATCH($P$1,Database!$A$1:$AS$1,),)))))</f>
        <v/>
      </c>
      <c r="Q168" s="13">
        <f>IF(VLOOKUP(B168,Database!$A:$AV,MATCH($Q$1,Database!$A$1:$AV$1,),)=0,"#N/A",((((VLOOKUP(B168,Database!$A:$AS,MATCH($Q$1,Database!$A$1:$AS$1,),))))-(((VLOOKUP(EDATE(B168,-12),Database!$A:$AS,MATCH($Q$1,Database!$A$1:$AS$1,),)))))/(((VLOOKUP(EDATE(B168,-12),Database!$A:$AS,MATCH($Q$1,Database!$A$1:$AS$1,),)))))</f>
        <v/>
      </c>
      <c r="R168" s="13">
        <f>IF(VLOOKUP(B168,Database!$A:$AV,MATCH($R$1,Database!$A$1:$AV$1,),)=0,"#N/A",((((VLOOKUP(B168,Database!$A:$AS,MATCH($R$1,Database!$A$1:$AS$1,),))))-(((VLOOKUP(EDATE(B168,-12),Database!$A:$AS,MATCH($R$1,Database!$A$1:$AS$1,),)))))/(((VLOOKUP(EDATE(B168,-12),Database!$A:$AS,MATCH($R$1,Database!$A$1:$AS$1,),)))))</f>
        <v/>
      </c>
      <c r="S168" s="13">
        <f>IF(VLOOKUP(B168,Database!$A:$AV,MATCH($S$1,Database!$A$1:$AV$1,),)=0,"#N/A",((((VLOOKUP(B168,Database!$A:$AS,MATCH($S$1,Database!$A$1:$AS$1,),))))-(((VLOOKUP(EDATE(B168,-12),Database!$A:$AS,MATCH($S$1,Database!$A$1:$AS$1,),)))))/(((VLOOKUP(EDATE(B168,-12),Database!$A:$AS,MATCH($S$1,Database!$A$1:$AS$1,),)))))</f>
        <v/>
      </c>
      <c r="T168" s="13">
        <f>IF(VLOOKUP(B168,Database!$A:$AV,MATCH($T$1,Database!$A$1:$AV$1,),)=0,"#N/A",((((VLOOKUP(B168,Database!$A:$AS,MATCH($T$1,Database!$A$1:$AS$1,),))))-(((VLOOKUP(EDATE(B168,-12),Database!$A:$AS,MATCH($T$1,Database!$A$1:$AS$1,),)))))/(((VLOOKUP(EDATE(B168,-12),Database!$A:$AS,MATCH($T$1,Database!$A$1:$AS$1,),)))))</f>
        <v/>
      </c>
      <c r="U168" s="13">
        <f>IF(VLOOKUP(B168,Database!$A:$AV,MATCH($U$1,Database!$A$1:$AV$1,),)=0,"#N/A",((((VLOOKUP(B168,Database!$A:$AS,MATCH($U$1,Database!$A$1:$AS$1,),))))-(((VLOOKUP(EDATE(B168,-12),Database!$A:$AS,MATCH($U$1,Database!$A$1:$AS$1,),)))))/(((VLOOKUP(EDATE(B168,-12),Database!$A:$AS,MATCH($U$1,Database!$A$1:$AS$1,),)))))</f>
        <v/>
      </c>
      <c r="V168" s="13">
        <f>IF(VLOOKUP(B168,Database!$A:$AV,MATCH($V$1,Database!$A$1:$AV$1,),)=0,"#N/A",((((VLOOKUP(B168,Database!$A:$AS,MATCH($V$1,Database!$A$1:$AS$1,),))))-(((VLOOKUP(EDATE(B168,-12),Database!$A:$AS,MATCH($V$1,Database!$A$1:$AS$1,),)))))/(((VLOOKUP(EDATE(B168,-12),Database!$A:$AS,MATCH($V$1,Database!$A$1:$AS$1,),)))))</f>
        <v/>
      </c>
    </row>
    <row r="169" customFormat="1" s="86">
      <c r="A169" s="43" t="n"/>
      <c r="B169" s="75" t="n">
        <v>37288</v>
      </c>
      <c r="C169" s="13">
        <f>IF(VLOOKUP(B169,Database!$A:$AU,MATCH($C$1,Database!$A$1:$AU$1,),)=0,"#N/A",((((VLOOKUP(B169,Database!$A:$AU,MATCH($C$1,Database!$A$1:$AU$1,),))))-(((VLOOKUP(EDATE(B169,-12),Database!$A:$AU,MATCH($C$1,Database!$A$1:$AU$1,),)))))/(((VLOOKUP(EDATE(B169,-12),Database!$A:$AU,MATCH($C$1,Database!$A$1:$AU$1,),)))))</f>
        <v/>
      </c>
      <c r="D169" s="13">
        <f>IF(VLOOKUP(B169,Database!$A:$AV,MATCH($D$1,Database!$A$1:$AV$1,),)=0,"#N/A",((((VLOOKUP(B169,Database!$A:$AS,MATCH($D$1,Database!$A$1:$AS$1,),))))-(((VLOOKUP(EDATE(B169,-12),Database!$A:$AS,MATCH($D$1,Database!$A$1:$AS$1,),)))))/(((VLOOKUP(EDATE(B169,-12),Database!$A:$AS,MATCH($D$1,Database!$A$1:$AS$1,),)))))</f>
        <v/>
      </c>
      <c r="E169" s="13">
        <f>IF(VLOOKUP(B169,Database!$A:$AV,MATCH($E$1,Database!$A$1:$AV$1,),)=0,"#N/A",((((VLOOKUP(B169,Database!$A:$AS,MATCH($E$1,Database!$A$1:$AS$1,),))))-(((VLOOKUP(EDATE(B169,-12),Database!$A:$AS,MATCH($E$1,Database!$A$1:$AS$1,),)))))/(((VLOOKUP(EDATE(B169,-12),Database!$A:$AS,MATCH($E$1,Database!$A$1:$AS$1,),)))))</f>
        <v/>
      </c>
      <c r="F169" s="13">
        <f>IF(VLOOKUP(B169,Database!$A:$AV,MATCH($F$1,Database!$A$1:$AV$1,),)=0,"#N/A",((((VLOOKUP(B169,Database!$A:$AS,MATCH($F$1,Database!$A$1:$AS$1,),))))-(((VLOOKUP(EDATE(B169,-12),Database!$A:$AS,MATCH($F$1,Database!$A$1:$AS$1,),)))))/(((VLOOKUP(EDATE(B169,-12),Database!$A:$AS,MATCH($F$1,Database!$A$1:$AS$1,),)))))</f>
        <v/>
      </c>
      <c r="G169" s="13">
        <f>IF(VLOOKUP(B169,Database!$A:$AV,MATCH($G$1,Database!$A$1:$AV$1,),)=0,"#N/A",((((VLOOKUP(B169,Database!$A:$AS,MATCH($G$1,Database!$A$1:$AS$1,),))))-(((VLOOKUP(EDATE(B169,-12),Database!$A:$AS,MATCH($G$1,Database!$A$1:$AS$1,),)))))/(((VLOOKUP(EDATE(B169,-12),Database!$A:$AS,MATCH($G$1,Database!$A$1:$AS$1,),)))))</f>
        <v/>
      </c>
      <c r="H169" s="13">
        <f>IF(VLOOKUP(B169,Database!$A:$AV,MATCH($H$1,Database!$A$1:$AV$1,),)=0,"#N/A",((((VLOOKUP(B169,Database!$A:$AS,MATCH($H$1,Database!$A$1:$AS$1,),))))-(((VLOOKUP(EDATE(B169,-12),Database!$A:$AS,MATCH($H$1,Database!$A$1:$AS$1,),)))))/(((VLOOKUP(EDATE(B169,-12),Database!$A:$AS,MATCH($H$1,Database!$A$1:$AS$1,),)))))</f>
        <v/>
      </c>
      <c r="I169" s="13">
        <f>IF(VLOOKUP(B169,Database!$A:$AV,MATCH($I$1,Database!$A$1:$AV$1,),)=0,"#N/A",((((VLOOKUP(B169,Database!$A:$AS,MATCH($I$1,Database!$A$1:$AS$1,),))))-(((VLOOKUP(EDATE(B169,-12),Database!$A:$AS,MATCH($I$1,Database!$A$1:$AS$1,),)))))/(((VLOOKUP(EDATE(B169,-12),Database!$A:$AS,MATCH($I$1,Database!$A$1:$AS$1,),)))))</f>
        <v/>
      </c>
      <c r="J169" s="13">
        <f>IF(VLOOKUP(B169,Database!$A:$AV,MATCH($J$1,Database!$A$1:$AV$1,),)=0,"#N/A",((((VLOOKUP(B169,Database!$A:$AS,MATCH($J$1,Database!$A$1:$AS$1,),))))-(((VLOOKUP(EDATE(B169,-12),Database!$A:$AS,MATCH($J$1,Database!$A$1:$AS$1,),)))))/(((VLOOKUP(EDATE(B169,-12),Database!$A:$AS,MATCH($J$1,Database!$A$1:$AS$1,),)))))</f>
        <v/>
      </c>
      <c r="K169" s="13">
        <f>IF(VLOOKUP(B169,Database!$A:$AV,MATCH($K$1,Database!$A$1:$AV$1,),)=0,"#N/A",((((VLOOKUP(B169,Database!$A:$AS,MATCH($K$1,Database!$A$1:$AS$1,),))))-(((VLOOKUP(EDATE(B169,-12),Database!$A:$AS,MATCH($K$1,Database!$A$1:$AS$1,),)))))/(((VLOOKUP(EDATE(B169,-12),Database!$A:$AS,MATCH($K$1,Database!$A$1:$AS$1,),)))))</f>
        <v/>
      </c>
      <c r="L169" s="13">
        <f>((((VLOOKUP(B169,Database!$A:$AS,MATCH($L$1,Database!$A$1:$AS$1,),))))-(((VLOOKUP(EDATE(B169,-12),Database!$A:$AS,MATCH($L$1,Database!$A$1:$AS$1,),)))))/(((VLOOKUP(EDATE(B169,-12),Database!$A:$AS,MATCH($L$1,Database!$A$1:$AS$1,),))))</f>
        <v/>
      </c>
      <c r="M169" s="13">
        <f>((((VLOOKUP(B169,Database!$A:$AS,MATCH($M$1,Database!$A$1:$AS$1,),))))-(((VLOOKUP(EDATE(B169,-12),Database!$A:$AS,MATCH($M$1,Database!$A$1:$AS$1,),)))))/(((VLOOKUP(EDATE(B169,-12),Database!$A:$AS,MATCH($M$1,Database!$A$1:$AS$1,),))))</f>
        <v/>
      </c>
      <c r="N169" s="13">
        <f>((((VLOOKUP(B169,Database!$A:$AS,MATCH($N$1,Database!$A$1:$AS$1,),))))-(((VLOOKUP(EDATE(B169,-12),Database!$A:$AS,MATCH($N$1,Database!$A$1:$AS$1,),)))))/(((VLOOKUP(EDATE(B169,-12),Database!$A:$AS,MATCH($N$1,Database!$A$1:$AS$1,),))))</f>
        <v/>
      </c>
      <c r="O169" s="13">
        <f>IF(VLOOKUP(B169,Database!$A:$AV,MATCH($O$1,Database!$A$1:$AV$1,),)=0,"#N/A",((((VLOOKUP(B169,Database!$A:$AS,MATCH($O$1,Database!$A$1:$AS$1,),))))-(((VLOOKUP(EDATE(B169,-12),Database!$A:$AS,MATCH($O$1,Database!$A$1:$AS$1,),)))))/(((VLOOKUP(EDATE(B169,-12),Database!$A:$AS,MATCH($O$1,Database!$A$1:$AS$1,),)))))</f>
        <v/>
      </c>
      <c r="P169" s="13">
        <f>IF(VLOOKUP(B169,Database!$A:$AV,MATCH($P$1,Database!$A$1:$AV$1,),)=0,"#N/A",((((VLOOKUP(B169,Database!$A:$AS,MATCH($P$1,Database!$A$1:$AS$1,),))))-(((VLOOKUP(EDATE(B169,-12),Database!$A:$AS,MATCH($P$1,Database!$A$1:$AS$1,),)))))/(((VLOOKUP(EDATE(B169,-12),Database!$A:$AS,MATCH($P$1,Database!$A$1:$AS$1,),)))))</f>
        <v/>
      </c>
      <c r="Q169" s="13">
        <f>IF(VLOOKUP(B169,Database!$A:$AV,MATCH($Q$1,Database!$A$1:$AV$1,),)=0,"#N/A",((((VLOOKUP(B169,Database!$A:$AS,MATCH($Q$1,Database!$A$1:$AS$1,),))))-(((VLOOKUP(EDATE(B169,-12),Database!$A:$AS,MATCH($Q$1,Database!$A$1:$AS$1,),)))))/(((VLOOKUP(EDATE(B169,-12),Database!$A:$AS,MATCH($Q$1,Database!$A$1:$AS$1,),)))))</f>
        <v/>
      </c>
      <c r="R169" s="13">
        <f>IF(VLOOKUP(B169,Database!$A:$AV,MATCH($R$1,Database!$A$1:$AV$1,),)=0,"#N/A",((((VLOOKUP(B169,Database!$A:$AS,MATCH($R$1,Database!$A$1:$AS$1,),))))-(((VLOOKUP(EDATE(B169,-12),Database!$A:$AS,MATCH($R$1,Database!$A$1:$AS$1,),)))))/(((VLOOKUP(EDATE(B169,-12),Database!$A:$AS,MATCH($R$1,Database!$A$1:$AS$1,),)))))</f>
        <v/>
      </c>
      <c r="S169" s="13">
        <f>IF(VLOOKUP(B169,Database!$A:$AV,MATCH($S$1,Database!$A$1:$AV$1,),)=0,"#N/A",((((VLOOKUP(B169,Database!$A:$AS,MATCH($S$1,Database!$A$1:$AS$1,),))))-(((VLOOKUP(EDATE(B169,-12),Database!$A:$AS,MATCH($S$1,Database!$A$1:$AS$1,),)))))/(((VLOOKUP(EDATE(B169,-12),Database!$A:$AS,MATCH($S$1,Database!$A$1:$AS$1,),)))))</f>
        <v/>
      </c>
      <c r="T169" s="13">
        <f>IF(VLOOKUP(B169,Database!$A:$AV,MATCH($T$1,Database!$A$1:$AV$1,),)=0,"#N/A",((((VLOOKUP(B169,Database!$A:$AS,MATCH($T$1,Database!$A$1:$AS$1,),))))-(((VLOOKUP(EDATE(B169,-12),Database!$A:$AS,MATCH($T$1,Database!$A$1:$AS$1,),)))))/(((VLOOKUP(EDATE(B169,-12),Database!$A:$AS,MATCH($T$1,Database!$A$1:$AS$1,),)))))</f>
        <v/>
      </c>
      <c r="U169" s="13">
        <f>IF(VLOOKUP(B169,Database!$A:$AV,MATCH($U$1,Database!$A$1:$AV$1,),)=0,"#N/A",((((VLOOKUP(B169,Database!$A:$AS,MATCH($U$1,Database!$A$1:$AS$1,),))))-(((VLOOKUP(EDATE(B169,-12),Database!$A:$AS,MATCH($U$1,Database!$A$1:$AS$1,),)))))/(((VLOOKUP(EDATE(B169,-12),Database!$A:$AS,MATCH($U$1,Database!$A$1:$AS$1,),)))))</f>
        <v/>
      </c>
      <c r="V169" s="13">
        <f>IF(VLOOKUP(B169,Database!$A:$AV,MATCH($V$1,Database!$A$1:$AV$1,),)=0,"#N/A",((((VLOOKUP(B169,Database!$A:$AS,MATCH($V$1,Database!$A$1:$AS$1,),))))-(((VLOOKUP(EDATE(B169,-12),Database!$A:$AS,MATCH($V$1,Database!$A$1:$AS$1,),)))))/(((VLOOKUP(EDATE(B169,-12),Database!$A:$AS,MATCH($V$1,Database!$A$1:$AS$1,),)))))</f>
        <v/>
      </c>
    </row>
    <row r="170" customFormat="1" s="86">
      <c r="A170" s="43" t="n"/>
      <c r="B170" s="75" t="n">
        <v>37316</v>
      </c>
      <c r="C170" s="13">
        <f>IF(VLOOKUP(B170,Database!$A:$AU,MATCH($C$1,Database!$A$1:$AU$1,),)=0,"#N/A",((((VLOOKUP(B170,Database!$A:$AU,MATCH($C$1,Database!$A$1:$AU$1,),))))-(((VLOOKUP(EDATE(B170,-12),Database!$A:$AU,MATCH($C$1,Database!$A$1:$AU$1,),)))))/(((VLOOKUP(EDATE(B170,-12),Database!$A:$AU,MATCH($C$1,Database!$A$1:$AU$1,),)))))</f>
        <v/>
      </c>
      <c r="D170" s="13">
        <f>IF(VLOOKUP(B170,Database!$A:$AV,MATCH($D$1,Database!$A$1:$AV$1,),)=0,"#N/A",((((VLOOKUP(B170,Database!$A:$AS,MATCH($D$1,Database!$A$1:$AS$1,),))))-(((VLOOKUP(EDATE(B170,-12),Database!$A:$AS,MATCH($D$1,Database!$A$1:$AS$1,),)))))/(((VLOOKUP(EDATE(B170,-12),Database!$A:$AS,MATCH($D$1,Database!$A$1:$AS$1,),)))))</f>
        <v/>
      </c>
      <c r="E170" s="13">
        <f>IF(VLOOKUP(B170,Database!$A:$AV,MATCH($E$1,Database!$A$1:$AV$1,),)=0,"#N/A",((((VLOOKUP(B170,Database!$A:$AS,MATCH($E$1,Database!$A$1:$AS$1,),))))-(((VLOOKUP(EDATE(B170,-12),Database!$A:$AS,MATCH($E$1,Database!$A$1:$AS$1,),)))))/(((VLOOKUP(EDATE(B170,-12),Database!$A:$AS,MATCH($E$1,Database!$A$1:$AS$1,),)))))</f>
        <v/>
      </c>
      <c r="F170" s="13">
        <f>IF(VLOOKUP(B170,Database!$A:$AV,MATCH($F$1,Database!$A$1:$AV$1,),)=0,"#N/A",((((VLOOKUP(B170,Database!$A:$AS,MATCH($F$1,Database!$A$1:$AS$1,),))))-(((VLOOKUP(EDATE(B170,-12),Database!$A:$AS,MATCH($F$1,Database!$A$1:$AS$1,),)))))/(((VLOOKUP(EDATE(B170,-12),Database!$A:$AS,MATCH($F$1,Database!$A$1:$AS$1,),)))))</f>
        <v/>
      </c>
      <c r="G170" s="13">
        <f>IF(VLOOKUP(B170,Database!$A:$AV,MATCH($G$1,Database!$A$1:$AV$1,),)=0,"#N/A",((((VLOOKUP(B170,Database!$A:$AS,MATCH($G$1,Database!$A$1:$AS$1,),))))-(((VLOOKUP(EDATE(B170,-12),Database!$A:$AS,MATCH($G$1,Database!$A$1:$AS$1,),)))))/(((VLOOKUP(EDATE(B170,-12),Database!$A:$AS,MATCH($G$1,Database!$A$1:$AS$1,),)))))</f>
        <v/>
      </c>
      <c r="H170" s="13">
        <f>IF(VLOOKUP(B170,Database!$A:$AV,MATCH($H$1,Database!$A$1:$AV$1,),)=0,"#N/A",((((VLOOKUP(B170,Database!$A:$AS,MATCH($H$1,Database!$A$1:$AS$1,),))))-(((VLOOKUP(EDATE(B170,-12),Database!$A:$AS,MATCH($H$1,Database!$A$1:$AS$1,),)))))/(((VLOOKUP(EDATE(B170,-12),Database!$A:$AS,MATCH($H$1,Database!$A$1:$AS$1,),)))))</f>
        <v/>
      </c>
      <c r="I170" s="13">
        <f>IF(VLOOKUP(B170,Database!$A:$AV,MATCH($I$1,Database!$A$1:$AV$1,),)=0,"#N/A",((((VLOOKUP(B170,Database!$A:$AS,MATCH($I$1,Database!$A$1:$AS$1,),))))-(((VLOOKUP(EDATE(B170,-12),Database!$A:$AS,MATCH($I$1,Database!$A$1:$AS$1,),)))))/(((VLOOKUP(EDATE(B170,-12),Database!$A:$AS,MATCH($I$1,Database!$A$1:$AS$1,),)))))</f>
        <v/>
      </c>
      <c r="J170" s="13">
        <f>IF(VLOOKUP(B170,Database!$A:$AV,MATCH($J$1,Database!$A$1:$AV$1,),)=0,"#N/A",((((VLOOKUP(B170,Database!$A:$AS,MATCH($J$1,Database!$A$1:$AS$1,),))))-(((VLOOKUP(EDATE(B170,-12),Database!$A:$AS,MATCH($J$1,Database!$A$1:$AS$1,),)))))/(((VLOOKUP(EDATE(B170,-12),Database!$A:$AS,MATCH($J$1,Database!$A$1:$AS$1,),)))))</f>
        <v/>
      </c>
      <c r="K170" s="13">
        <f>IF(VLOOKUP(B170,Database!$A:$AV,MATCH($K$1,Database!$A$1:$AV$1,),)=0,"#N/A",((((VLOOKUP(B170,Database!$A:$AS,MATCH($K$1,Database!$A$1:$AS$1,),))))-(((VLOOKUP(EDATE(B170,-12),Database!$A:$AS,MATCH($K$1,Database!$A$1:$AS$1,),)))))/(((VLOOKUP(EDATE(B170,-12),Database!$A:$AS,MATCH($K$1,Database!$A$1:$AS$1,),)))))</f>
        <v/>
      </c>
      <c r="L170" s="13">
        <f>((((VLOOKUP(B170,Database!$A:$AS,MATCH($L$1,Database!$A$1:$AS$1,),))))-(((VLOOKUP(EDATE(B170,-12),Database!$A:$AS,MATCH($L$1,Database!$A$1:$AS$1,),)))))/(((VLOOKUP(EDATE(B170,-12),Database!$A:$AS,MATCH($L$1,Database!$A$1:$AS$1,),))))</f>
        <v/>
      </c>
      <c r="M170" s="13">
        <f>((((VLOOKUP(B170,Database!$A:$AS,MATCH($M$1,Database!$A$1:$AS$1,),))))-(((VLOOKUP(EDATE(B170,-12),Database!$A:$AS,MATCH($M$1,Database!$A$1:$AS$1,),)))))/(((VLOOKUP(EDATE(B170,-12),Database!$A:$AS,MATCH($M$1,Database!$A$1:$AS$1,),))))</f>
        <v/>
      </c>
      <c r="N170" s="13">
        <f>((((VLOOKUP(B170,Database!$A:$AS,MATCH($N$1,Database!$A$1:$AS$1,),))))-(((VLOOKUP(EDATE(B170,-12),Database!$A:$AS,MATCH($N$1,Database!$A$1:$AS$1,),)))))/(((VLOOKUP(EDATE(B170,-12),Database!$A:$AS,MATCH($N$1,Database!$A$1:$AS$1,),))))</f>
        <v/>
      </c>
      <c r="O170" s="13">
        <f>IF(VLOOKUP(B170,Database!$A:$AV,MATCH($O$1,Database!$A$1:$AV$1,),)=0,"#N/A",((((VLOOKUP(B170,Database!$A:$AS,MATCH($O$1,Database!$A$1:$AS$1,),))))-(((VLOOKUP(EDATE(B170,-12),Database!$A:$AS,MATCH($O$1,Database!$A$1:$AS$1,),)))))/(((VLOOKUP(EDATE(B170,-12),Database!$A:$AS,MATCH($O$1,Database!$A$1:$AS$1,),)))))</f>
        <v/>
      </c>
      <c r="P170" s="13">
        <f>IF(VLOOKUP(B170,Database!$A:$AV,MATCH($P$1,Database!$A$1:$AV$1,),)=0,"#N/A",((((VLOOKUP(B170,Database!$A:$AS,MATCH($P$1,Database!$A$1:$AS$1,),))))-(((VLOOKUP(EDATE(B170,-12),Database!$A:$AS,MATCH($P$1,Database!$A$1:$AS$1,),)))))/(((VLOOKUP(EDATE(B170,-12),Database!$A:$AS,MATCH($P$1,Database!$A$1:$AS$1,),)))))</f>
        <v/>
      </c>
      <c r="Q170" s="13">
        <f>IF(VLOOKUP(B170,Database!$A:$AV,MATCH($Q$1,Database!$A$1:$AV$1,),)=0,"#N/A",((((VLOOKUP(B170,Database!$A:$AS,MATCH($Q$1,Database!$A$1:$AS$1,),))))-(((VLOOKUP(EDATE(B170,-12),Database!$A:$AS,MATCH($Q$1,Database!$A$1:$AS$1,),)))))/(((VLOOKUP(EDATE(B170,-12),Database!$A:$AS,MATCH($Q$1,Database!$A$1:$AS$1,),)))))</f>
        <v/>
      </c>
      <c r="R170" s="13">
        <f>IF(VLOOKUP(B170,Database!$A:$AV,MATCH($R$1,Database!$A$1:$AV$1,),)=0,"#N/A",((((VLOOKUP(B170,Database!$A:$AS,MATCH($R$1,Database!$A$1:$AS$1,),))))-(((VLOOKUP(EDATE(B170,-12),Database!$A:$AS,MATCH($R$1,Database!$A$1:$AS$1,),)))))/(((VLOOKUP(EDATE(B170,-12),Database!$A:$AS,MATCH($R$1,Database!$A$1:$AS$1,),)))))</f>
        <v/>
      </c>
      <c r="S170" s="13">
        <f>IF(VLOOKUP(B170,Database!$A:$AV,MATCH($S$1,Database!$A$1:$AV$1,),)=0,"#N/A",((((VLOOKUP(B170,Database!$A:$AS,MATCH($S$1,Database!$A$1:$AS$1,),))))-(((VLOOKUP(EDATE(B170,-12),Database!$A:$AS,MATCH($S$1,Database!$A$1:$AS$1,),)))))/(((VLOOKUP(EDATE(B170,-12),Database!$A:$AS,MATCH($S$1,Database!$A$1:$AS$1,),)))))</f>
        <v/>
      </c>
      <c r="T170" s="13">
        <f>IF(VLOOKUP(B170,Database!$A:$AV,MATCH($T$1,Database!$A$1:$AV$1,),)=0,"#N/A",((((VLOOKUP(B170,Database!$A:$AS,MATCH($T$1,Database!$A$1:$AS$1,),))))-(((VLOOKUP(EDATE(B170,-12),Database!$A:$AS,MATCH($T$1,Database!$A$1:$AS$1,),)))))/(((VLOOKUP(EDATE(B170,-12),Database!$A:$AS,MATCH($T$1,Database!$A$1:$AS$1,),)))))</f>
        <v/>
      </c>
      <c r="U170" s="13">
        <f>IF(VLOOKUP(B170,Database!$A:$AV,MATCH($U$1,Database!$A$1:$AV$1,),)=0,"#N/A",((((VLOOKUP(B170,Database!$A:$AS,MATCH($U$1,Database!$A$1:$AS$1,),))))-(((VLOOKUP(EDATE(B170,-12),Database!$A:$AS,MATCH($U$1,Database!$A$1:$AS$1,),)))))/(((VLOOKUP(EDATE(B170,-12),Database!$A:$AS,MATCH($U$1,Database!$A$1:$AS$1,),)))))</f>
        <v/>
      </c>
      <c r="V170" s="13">
        <f>IF(VLOOKUP(B170,Database!$A:$AV,MATCH($V$1,Database!$A$1:$AV$1,),)=0,"#N/A",((((VLOOKUP(B170,Database!$A:$AS,MATCH($V$1,Database!$A$1:$AS$1,),))))-(((VLOOKUP(EDATE(B170,-12),Database!$A:$AS,MATCH($V$1,Database!$A$1:$AS$1,),)))))/(((VLOOKUP(EDATE(B170,-12),Database!$A:$AS,MATCH($V$1,Database!$A$1:$AS$1,),)))))</f>
        <v/>
      </c>
    </row>
    <row r="171" customFormat="1" s="86">
      <c r="A171" s="43" t="n"/>
      <c r="B171" s="75" t="n">
        <v>37347</v>
      </c>
      <c r="C171" s="13">
        <f>IF(VLOOKUP(B171,Database!$A:$AU,MATCH($C$1,Database!$A$1:$AU$1,),)=0,"#N/A",((((VLOOKUP(B171,Database!$A:$AU,MATCH($C$1,Database!$A$1:$AU$1,),))))-(((VLOOKUP(EDATE(B171,-12),Database!$A:$AU,MATCH($C$1,Database!$A$1:$AU$1,),)))))/(((VLOOKUP(EDATE(B171,-12),Database!$A:$AU,MATCH($C$1,Database!$A$1:$AU$1,),)))))</f>
        <v/>
      </c>
      <c r="D171" s="13">
        <f>IF(VLOOKUP(B171,Database!$A:$AV,MATCH($D$1,Database!$A$1:$AV$1,),)=0,"#N/A",((((VLOOKUP(B171,Database!$A:$AS,MATCH($D$1,Database!$A$1:$AS$1,),))))-(((VLOOKUP(EDATE(B171,-12),Database!$A:$AS,MATCH($D$1,Database!$A$1:$AS$1,),)))))/(((VLOOKUP(EDATE(B171,-12),Database!$A:$AS,MATCH($D$1,Database!$A$1:$AS$1,),)))))</f>
        <v/>
      </c>
      <c r="E171" s="13">
        <f>IF(VLOOKUP(B171,Database!$A:$AV,MATCH($E$1,Database!$A$1:$AV$1,),)=0,"#N/A",((((VLOOKUP(B171,Database!$A:$AS,MATCH($E$1,Database!$A$1:$AS$1,),))))-(((VLOOKUP(EDATE(B171,-12),Database!$A:$AS,MATCH($E$1,Database!$A$1:$AS$1,),)))))/(((VLOOKUP(EDATE(B171,-12),Database!$A:$AS,MATCH($E$1,Database!$A$1:$AS$1,),)))))</f>
        <v/>
      </c>
      <c r="F171" s="13">
        <f>IF(VLOOKUP(B171,Database!$A:$AV,MATCH($F$1,Database!$A$1:$AV$1,),)=0,"#N/A",((((VLOOKUP(B171,Database!$A:$AS,MATCH($F$1,Database!$A$1:$AS$1,),))))-(((VLOOKUP(EDATE(B171,-12),Database!$A:$AS,MATCH($F$1,Database!$A$1:$AS$1,),)))))/(((VLOOKUP(EDATE(B171,-12),Database!$A:$AS,MATCH($F$1,Database!$A$1:$AS$1,),)))))</f>
        <v/>
      </c>
      <c r="G171" s="13">
        <f>IF(VLOOKUP(B171,Database!$A:$AV,MATCH($G$1,Database!$A$1:$AV$1,),)=0,"#N/A",((((VLOOKUP(B171,Database!$A:$AS,MATCH($G$1,Database!$A$1:$AS$1,),))))-(((VLOOKUP(EDATE(B171,-12),Database!$A:$AS,MATCH($G$1,Database!$A$1:$AS$1,),)))))/(((VLOOKUP(EDATE(B171,-12),Database!$A:$AS,MATCH($G$1,Database!$A$1:$AS$1,),)))))</f>
        <v/>
      </c>
      <c r="H171" s="13">
        <f>IF(VLOOKUP(B171,Database!$A:$AV,MATCH($H$1,Database!$A$1:$AV$1,),)=0,"#N/A",((((VLOOKUP(B171,Database!$A:$AS,MATCH($H$1,Database!$A$1:$AS$1,),))))-(((VLOOKUP(EDATE(B171,-12),Database!$A:$AS,MATCH($H$1,Database!$A$1:$AS$1,),)))))/(((VLOOKUP(EDATE(B171,-12),Database!$A:$AS,MATCH($H$1,Database!$A$1:$AS$1,),)))))</f>
        <v/>
      </c>
      <c r="I171" s="13">
        <f>IF(VLOOKUP(B171,Database!$A:$AV,MATCH($I$1,Database!$A$1:$AV$1,),)=0,"#N/A",((((VLOOKUP(B171,Database!$A:$AS,MATCH($I$1,Database!$A$1:$AS$1,),))))-(((VLOOKUP(EDATE(B171,-12),Database!$A:$AS,MATCH($I$1,Database!$A$1:$AS$1,),)))))/(((VLOOKUP(EDATE(B171,-12),Database!$A:$AS,MATCH($I$1,Database!$A$1:$AS$1,),)))))</f>
        <v/>
      </c>
      <c r="J171" s="13">
        <f>IF(VLOOKUP(B171,Database!$A:$AV,MATCH($J$1,Database!$A$1:$AV$1,),)=0,"#N/A",((((VLOOKUP(B171,Database!$A:$AS,MATCH($J$1,Database!$A$1:$AS$1,),))))-(((VLOOKUP(EDATE(B171,-12),Database!$A:$AS,MATCH($J$1,Database!$A$1:$AS$1,),)))))/(((VLOOKUP(EDATE(B171,-12),Database!$A:$AS,MATCH($J$1,Database!$A$1:$AS$1,),)))))</f>
        <v/>
      </c>
      <c r="K171" s="13">
        <f>IF(VLOOKUP(B171,Database!$A:$AV,MATCH($K$1,Database!$A$1:$AV$1,),)=0,"#N/A",((((VLOOKUP(B171,Database!$A:$AS,MATCH($K$1,Database!$A$1:$AS$1,),))))-(((VLOOKUP(EDATE(B171,-12),Database!$A:$AS,MATCH($K$1,Database!$A$1:$AS$1,),)))))/(((VLOOKUP(EDATE(B171,-12),Database!$A:$AS,MATCH($K$1,Database!$A$1:$AS$1,),)))))</f>
        <v/>
      </c>
      <c r="L171" s="13">
        <f>((((VLOOKUP(B171,Database!$A:$AS,MATCH($L$1,Database!$A$1:$AS$1,),))))-(((VLOOKUP(EDATE(B171,-12),Database!$A:$AS,MATCH($L$1,Database!$A$1:$AS$1,),)))))/(((VLOOKUP(EDATE(B171,-12),Database!$A:$AS,MATCH($L$1,Database!$A$1:$AS$1,),))))</f>
        <v/>
      </c>
      <c r="M171" s="13">
        <f>((((VLOOKUP(B171,Database!$A:$AS,MATCH($M$1,Database!$A$1:$AS$1,),))))-(((VLOOKUP(EDATE(B171,-12),Database!$A:$AS,MATCH($M$1,Database!$A$1:$AS$1,),)))))/(((VLOOKUP(EDATE(B171,-12),Database!$A:$AS,MATCH($M$1,Database!$A$1:$AS$1,),))))</f>
        <v/>
      </c>
      <c r="N171" s="13">
        <f>((((VLOOKUP(B171,Database!$A:$AS,MATCH($N$1,Database!$A$1:$AS$1,),))))-(((VLOOKUP(EDATE(B171,-12),Database!$A:$AS,MATCH($N$1,Database!$A$1:$AS$1,),)))))/(((VLOOKUP(EDATE(B171,-12),Database!$A:$AS,MATCH($N$1,Database!$A$1:$AS$1,),))))</f>
        <v/>
      </c>
      <c r="O171" s="13">
        <f>IF(VLOOKUP(B171,Database!$A:$AV,MATCH($O$1,Database!$A$1:$AV$1,),)=0,"#N/A",((((VLOOKUP(B171,Database!$A:$AS,MATCH($O$1,Database!$A$1:$AS$1,),))))-(((VLOOKUP(EDATE(B171,-12),Database!$A:$AS,MATCH($O$1,Database!$A$1:$AS$1,),)))))/(((VLOOKUP(EDATE(B171,-12),Database!$A:$AS,MATCH($O$1,Database!$A$1:$AS$1,),)))))</f>
        <v/>
      </c>
      <c r="P171" s="13">
        <f>IF(VLOOKUP(B171,Database!$A:$AV,MATCH($P$1,Database!$A$1:$AV$1,),)=0,"#N/A",((((VLOOKUP(B171,Database!$A:$AS,MATCH($P$1,Database!$A$1:$AS$1,),))))-(((VLOOKUP(EDATE(B171,-12),Database!$A:$AS,MATCH($P$1,Database!$A$1:$AS$1,),)))))/(((VLOOKUP(EDATE(B171,-12),Database!$A:$AS,MATCH($P$1,Database!$A$1:$AS$1,),)))))</f>
        <v/>
      </c>
      <c r="Q171" s="13">
        <f>IF(VLOOKUP(B171,Database!$A:$AV,MATCH($Q$1,Database!$A$1:$AV$1,),)=0,"#N/A",((((VLOOKUP(B171,Database!$A:$AS,MATCH($Q$1,Database!$A$1:$AS$1,),))))-(((VLOOKUP(EDATE(B171,-12),Database!$A:$AS,MATCH($Q$1,Database!$A$1:$AS$1,),)))))/(((VLOOKUP(EDATE(B171,-12),Database!$A:$AS,MATCH($Q$1,Database!$A$1:$AS$1,),)))))</f>
        <v/>
      </c>
      <c r="R171" s="13">
        <f>IF(VLOOKUP(B171,Database!$A:$AV,MATCH($R$1,Database!$A$1:$AV$1,),)=0,"#N/A",((((VLOOKUP(B171,Database!$A:$AS,MATCH($R$1,Database!$A$1:$AS$1,),))))-(((VLOOKUP(EDATE(B171,-12),Database!$A:$AS,MATCH($R$1,Database!$A$1:$AS$1,),)))))/(((VLOOKUP(EDATE(B171,-12),Database!$A:$AS,MATCH($R$1,Database!$A$1:$AS$1,),)))))</f>
        <v/>
      </c>
      <c r="S171" s="13">
        <f>IF(VLOOKUP(B171,Database!$A:$AV,MATCH($S$1,Database!$A$1:$AV$1,),)=0,"#N/A",((((VLOOKUP(B171,Database!$A:$AS,MATCH($S$1,Database!$A$1:$AS$1,),))))-(((VLOOKUP(EDATE(B171,-12),Database!$A:$AS,MATCH($S$1,Database!$A$1:$AS$1,),)))))/(((VLOOKUP(EDATE(B171,-12),Database!$A:$AS,MATCH($S$1,Database!$A$1:$AS$1,),)))))</f>
        <v/>
      </c>
      <c r="T171" s="13">
        <f>IF(VLOOKUP(B171,Database!$A:$AV,MATCH($T$1,Database!$A$1:$AV$1,),)=0,"#N/A",((((VLOOKUP(B171,Database!$A:$AS,MATCH($T$1,Database!$A$1:$AS$1,),))))-(((VLOOKUP(EDATE(B171,-12),Database!$A:$AS,MATCH($T$1,Database!$A$1:$AS$1,),)))))/(((VLOOKUP(EDATE(B171,-12),Database!$A:$AS,MATCH($T$1,Database!$A$1:$AS$1,),)))))</f>
        <v/>
      </c>
      <c r="U171" s="13">
        <f>IF(VLOOKUP(B171,Database!$A:$AV,MATCH($U$1,Database!$A$1:$AV$1,),)=0,"#N/A",((((VLOOKUP(B171,Database!$A:$AS,MATCH($U$1,Database!$A$1:$AS$1,),))))-(((VLOOKUP(EDATE(B171,-12),Database!$A:$AS,MATCH($U$1,Database!$A$1:$AS$1,),)))))/(((VLOOKUP(EDATE(B171,-12),Database!$A:$AS,MATCH($U$1,Database!$A$1:$AS$1,),)))))</f>
        <v/>
      </c>
      <c r="V171" s="13">
        <f>IF(VLOOKUP(B171,Database!$A:$AV,MATCH($V$1,Database!$A$1:$AV$1,),)=0,"#N/A",((((VLOOKUP(B171,Database!$A:$AS,MATCH($V$1,Database!$A$1:$AS$1,),))))-(((VLOOKUP(EDATE(B171,-12),Database!$A:$AS,MATCH($V$1,Database!$A$1:$AS$1,),)))))/(((VLOOKUP(EDATE(B171,-12),Database!$A:$AS,MATCH($V$1,Database!$A$1:$AS$1,),)))))</f>
        <v/>
      </c>
    </row>
    <row r="172" customFormat="1" s="86">
      <c r="A172" s="43" t="n"/>
      <c r="B172" s="75" t="n">
        <v>37377</v>
      </c>
      <c r="C172" s="13">
        <f>IF(VLOOKUP(B172,Database!$A:$AU,MATCH($C$1,Database!$A$1:$AU$1,),)=0,"#N/A",((((VLOOKUP(B172,Database!$A:$AU,MATCH($C$1,Database!$A$1:$AU$1,),))))-(((VLOOKUP(EDATE(B172,-12),Database!$A:$AU,MATCH($C$1,Database!$A$1:$AU$1,),)))))/(((VLOOKUP(EDATE(B172,-12),Database!$A:$AU,MATCH($C$1,Database!$A$1:$AU$1,),)))))</f>
        <v/>
      </c>
      <c r="D172" s="13">
        <f>IF(VLOOKUP(B172,Database!$A:$AV,MATCH($D$1,Database!$A$1:$AV$1,),)=0,"#N/A",((((VLOOKUP(B172,Database!$A:$AS,MATCH($D$1,Database!$A$1:$AS$1,),))))-(((VLOOKUP(EDATE(B172,-12),Database!$A:$AS,MATCH($D$1,Database!$A$1:$AS$1,),)))))/(((VLOOKUP(EDATE(B172,-12),Database!$A:$AS,MATCH($D$1,Database!$A$1:$AS$1,),)))))</f>
        <v/>
      </c>
      <c r="E172" s="13">
        <f>IF(VLOOKUP(B172,Database!$A:$AV,MATCH($E$1,Database!$A$1:$AV$1,),)=0,"#N/A",((((VLOOKUP(B172,Database!$A:$AS,MATCH($E$1,Database!$A$1:$AS$1,),))))-(((VLOOKUP(EDATE(B172,-12),Database!$A:$AS,MATCH($E$1,Database!$A$1:$AS$1,),)))))/(((VLOOKUP(EDATE(B172,-12),Database!$A:$AS,MATCH($E$1,Database!$A$1:$AS$1,),)))))</f>
        <v/>
      </c>
      <c r="F172" s="13">
        <f>IF(VLOOKUP(B172,Database!$A:$AV,MATCH($F$1,Database!$A$1:$AV$1,),)=0,"#N/A",((((VLOOKUP(B172,Database!$A:$AS,MATCH($F$1,Database!$A$1:$AS$1,),))))-(((VLOOKUP(EDATE(B172,-12),Database!$A:$AS,MATCH($F$1,Database!$A$1:$AS$1,),)))))/(((VLOOKUP(EDATE(B172,-12),Database!$A:$AS,MATCH($F$1,Database!$A$1:$AS$1,),)))))</f>
        <v/>
      </c>
      <c r="G172" s="13">
        <f>IF(VLOOKUP(B172,Database!$A:$AV,MATCH($G$1,Database!$A$1:$AV$1,),)=0,"#N/A",((((VLOOKUP(B172,Database!$A:$AS,MATCH($G$1,Database!$A$1:$AS$1,),))))-(((VLOOKUP(EDATE(B172,-12),Database!$A:$AS,MATCH($G$1,Database!$A$1:$AS$1,),)))))/(((VLOOKUP(EDATE(B172,-12),Database!$A:$AS,MATCH($G$1,Database!$A$1:$AS$1,),)))))</f>
        <v/>
      </c>
      <c r="H172" s="13">
        <f>IF(VLOOKUP(B172,Database!$A:$AV,MATCH($H$1,Database!$A$1:$AV$1,),)=0,"#N/A",((((VLOOKUP(B172,Database!$A:$AS,MATCH($H$1,Database!$A$1:$AS$1,),))))-(((VLOOKUP(EDATE(B172,-12),Database!$A:$AS,MATCH($H$1,Database!$A$1:$AS$1,),)))))/(((VLOOKUP(EDATE(B172,-12),Database!$A:$AS,MATCH($H$1,Database!$A$1:$AS$1,),)))))</f>
        <v/>
      </c>
      <c r="I172" s="13">
        <f>IF(VLOOKUP(B172,Database!$A:$AV,MATCH($I$1,Database!$A$1:$AV$1,),)=0,"#N/A",((((VLOOKUP(B172,Database!$A:$AS,MATCH($I$1,Database!$A$1:$AS$1,),))))-(((VLOOKUP(EDATE(B172,-12),Database!$A:$AS,MATCH($I$1,Database!$A$1:$AS$1,),)))))/(((VLOOKUP(EDATE(B172,-12),Database!$A:$AS,MATCH($I$1,Database!$A$1:$AS$1,),)))))</f>
        <v/>
      </c>
      <c r="J172" s="13">
        <f>IF(VLOOKUP(B172,Database!$A:$AV,MATCH($J$1,Database!$A$1:$AV$1,),)=0,"#N/A",((((VLOOKUP(B172,Database!$A:$AS,MATCH($J$1,Database!$A$1:$AS$1,),))))-(((VLOOKUP(EDATE(B172,-12),Database!$A:$AS,MATCH($J$1,Database!$A$1:$AS$1,),)))))/(((VLOOKUP(EDATE(B172,-12),Database!$A:$AS,MATCH($J$1,Database!$A$1:$AS$1,),)))))</f>
        <v/>
      </c>
      <c r="K172" s="13">
        <f>IF(VLOOKUP(B172,Database!$A:$AV,MATCH($K$1,Database!$A$1:$AV$1,),)=0,"#N/A",((((VLOOKUP(B172,Database!$A:$AS,MATCH($K$1,Database!$A$1:$AS$1,),))))-(((VLOOKUP(EDATE(B172,-12),Database!$A:$AS,MATCH($K$1,Database!$A$1:$AS$1,),)))))/(((VLOOKUP(EDATE(B172,-12),Database!$A:$AS,MATCH($K$1,Database!$A$1:$AS$1,),)))))</f>
        <v/>
      </c>
      <c r="L172" s="13">
        <f>((((VLOOKUP(B172,Database!$A:$AS,MATCH($L$1,Database!$A$1:$AS$1,),))))-(((VLOOKUP(EDATE(B172,-12),Database!$A:$AS,MATCH($L$1,Database!$A$1:$AS$1,),)))))/(((VLOOKUP(EDATE(B172,-12),Database!$A:$AS,MATCH($L$1,Database!$A$1:$AS$1,),))))</f>
        <v/>
      </c>
      <c r="M172" s="13">
        <f>((((VLOOKUP(B172,Database!$A:$AS,MATCH($M$1,Database!$A$1:$AS$1,),))))-(((VLOOKUP(EDATE(B172,-12),Database!$A:$AS,MATCH($M$1,Database!$A$1:$AS$1,),)))))/(((VLOOKUP(EDATE(B172,-12),Database!$A:$AS,MATCH($M$1,Database!$A$1:$AS$1,),))))</f>
        <v/>
      </c>
      <c r="N172" s="13">
        <f>((((VLOOKUP(B172,Database!$A:$AS,MATCH($N$1,Database!$A$1:$AS$1,),))))-(((VLOOKUP(EDATE(B172,-12),Database!$A:$AS,MATCH($N$1,Database!$A$1:$AS$1,),)))))/(((VLOOKUP(EDATE(B172,-12),Database!$A:$AS,MATCH($N$1,Database!$A$1:$AS$1,),))))</f>
        <v/>
      </c>
      <c r="O172" s="13">
        <f>IF(VLOOKUP(B172,Database!$A:$AV,MATCH($O$1,Database!$A$1:$AV$1,),)=0,"#N/A",((((VLOOKUP(B172,Database!$A:$AS,MATCH($O$1,Database!$A$1:$AS$1,),))))-(((VLOOKUP(EDATE(B172,-12),Database!$A:$AS,MATCH($O$1,Database!$A$1:$AS$1,),)))))/(((VLOOKUP(EDATE(B172,-12),Database!$A:$AS,MATCH($O$1,Database!$A$1:$AS$1,),)))))</f>
        <v/>
      </c>
      <c r="P172" s="13">
        <f>IF(VLOOKUP(B172,Database!$A:$AV,MATCH($P$1,Database!$A$1:$AV$1,),)=0,"#N/A",((((VLOOKUP(B172,Database!$A:$AS,MATCH($P$1,Database!$A$1:$AS$1,),))))-(((VLOOKUP(EDATE(B172,-12),Database!$A:$AS,MATCH($P$1,Database!$A$1:$AS$1,),)))))/(((VLOOKUP(EDATE(B172,-12),Database!$A:$AS,MATCH($P$1,Database!$A$1:$AS$1,),)))))</f>
        <v/>
      </c>
      <c r="Q172" s="13">
        <f>IF(VLOOKUP(B172,Database!$A:$AV,MATCH($Q$1,Database!$A$1:$AV$1,),)=0,"#N/A",((((VLOOKUP(B172,Database!$A:$AS,MATCH($Q$1,Database!$A$1:$AS$1,),))))-(((VLOOKUP(EDATE(B172,-12),Database!$A:$AS,MATCH($Q$1,Database!$A$1:$AS$1,),)))))/(((VLOOKUP(EDATE(B172,-12),Database!$A:$AS,MATCH($Q$1,Database!$A$1:$AS$1,),)))))</f>
        <v/>
      </c>
      <c r="R172" s="13">
        <f>IF(VLOOKUP(B172,Database!$A:$AV,MATCH($R$1,Database!$A$1:$AV$1,),)=0,"#N/A",((((VLOOKUP(B172,Database!$A:$AS,MATCH($R$1,Database!$A$1:$AS$1,),))))-(((VLOOKUP(EDATE(B172,-12),Database!$A:$AS,MATCH($R$1,Database!$A$1:$AS$1,),)))))/(((VLOOKUP(EDATE(B172,-12),Database!$A:$AS,MATCH($R$1,Database!$A$1:$AS$1,),)))))</f>
        <v/>
      </c>
      <c r="S172" s="13">
        <f>IF(VLOOKUP(B172,Database!$A:$AV,MATCH($S$1,Database!$A$1:$AV$1,),)=0,"#N/A",((((VLOOKUP(B172,Database!$A:$AS,MATCH($S$1,Database!$A$1:$AS$1,),))))-(((VLOOKUP(EDATE(B172,-12),Database!$A:$AS,MATCH($S$1,Database!$A$1:$AS$1,),)))))/(((VLOOKUP(EDATE(B172,-12),Database!$A:$AS,MATCH($S$1,Database!$A$1:$AS$1,),)))))</f>
        <v/>
      </c>
      <c r="T172" s="13">
        <f>IF(VLOOKUP(B172,Database!$A:$AV,MATCH($T$1,Database!$A$1:$AV$1,),)=0,"#N/A",((((VLOOKUP(B172,Database!$A:$AS,MATCH($T$1,Database!$A$1:$AS$1,),))))-(((VLOOKUP(EDATE(B172,-12),Database!$A:$AS,MATCH($T$1,Database!$A$1:$AS$1,),)))))/(((VLOOKUP(EDATE(B172,-12),Database!$A:$AS,MATCH($T$1,Database!$A$1:$AS$1,),)))))</f>
        <v/>
      </c>
      <c r="U172" s="13">
        <f>IF(VLOOKUP(B172,Database!$A:$AV,MATCH($U$1,Database!$A$1:$AV$1,),)=0,"#N/A",((((VLOOKUP(B172,Database!$A:$AS,MATCH($U$1,Database!$A$1:$AS$1,),))))-(((VLOOKUP(EDATE(B172,-12),Database!$A:$AS,MATCH($U$1,Database!$A$1:$AS$1,),)))))/(((VLOOKUP(EDATE(B172,-12),Database!$A:$AS,MATCH($U$1,Database!$A$1:$AS$1,),)))))</f>
        <v/>
      </c>
      <c r="V172" s="13">
        <f>IF(VLOOKUP(B172,Database!$A:$AV,MATCH($V$1,Database!$A$1:$AV$1,),)=0,"#N/A",((((VLOOKUP(B172,Database!$A:$AS,MATCH($V$1,Database!$A$1:$AS$1,),))))-(((VLOOKUP(EDATE(B172,-12),Database!$A:$AS,MATCH($V$1,Database!$A$1:$AS$1,),)))))/(((VLOOKUP(EDATE(B172,-12),Database!$A:$AS,MATCH($V$1,Database!$A$1:$AS$1,),)))))</f>
        <v/>
      </c>
    </row>
    <row r="173" customFormat="1" s="86">
      <c r="A173" s="43" t="n"/>
      <c r="B173" s="75" t="n">
        <v>37408</v>
      </c>
      <c r="C173" s="13">
        <f>IF(VLOOKUP(B173,Database!$A:$AU,MATCH($C$1,Database!$A$1:$AU$1,),)=0,"#N/A",((((VLOOKUP(B173,Database!$A:$AU,MATCH($C$1,Database!$A$1:$AU$1,),))))-(((VLOOKUP(EDATE(B173,-12),Database!$A:$AU,MATCH($C$1,Database!$A$1:$AU$1,),)))))/(((VLOOKUP(EDATE(B173,-12),Database!$A:$AU,MATCH($C$1,Database!$A$1:$AU$1,),)))))</f>
        <v/>
      </c>
      <c r="D173" s="13">
        <f>IF(VLOOKUP(B173,Database!$A:$AV,MATCH($D$1,Database!$A$1:$AV$1,),)=0,"#N/A",((((VLOOKUP(B173,Database!$A:$AS,MATCH($D$1,Database!$A$1:$AS$1,),))))-(((VLOOKUP(EDATE(B173,-12),Database!$A:$AS,MATCH($D$1,Database!$A$1:$AS$1,),)))))/(((VLOOKUP(EDATE(B173,-12),Database!$A:$AS,MATCH($D$1,Database!$A$1:$AS$1,),)))))</f>
        <v/>
      </c>
      <c r="E173" s="13">
        <f>IF(VLOOKUP(B173,Database!$A:$AV,MATCH($E$1,Database!$A$1:$AV$1,),)=0,"#N/A",((((VLOOKUP(B173,Database!$A:$AS,MATCH($E$1,Database!$A$1:$AS$1,),))))-(((VLOOKUP(EDATE(B173,-12),Database!$A:$AS,MATCH($E$1,Database!$A$1:$AS$1,),)))))/(((VLOOKUP(EDATE(B173,-12),Database!$A:$AS,MATCH($E$1,Database!$A$1:$AS$1,),)))))</f>
        <v/>
      </c>
      <c r="F173" s="13">
        <f>IF(VLOOKUP(B173,Database!$A:$AV,MATCH($F$1,Database!$A$1:$AV$1,),)=0,"#N/A",((((VLOOKUP(B173,Database!$A:$AS,MATCH($F$1,Database!$A$1:$AS$1,),))))-(((VLOOKUP(EDATE(B173,-12),Database!$A:$AS,MATCH($F$1,Database!$A$1:$AS$1,),)))))/(((VLOOKUP(EDATE(B173,-12),Database!$A:$AS,MATCH($F$1,Database!$A$1:$AS$1,),)))))</f>
        <v/>
      </c>
      <c r="G173" s="13">
        <f>IF(VLOOKUP(B173,Database!$A:$AV,MATCH($G$1,Database!$A$1:$AV$1,),)=0,"#N/A",((((VLOOKUP(B173,Database!$A:$AS,MATCH($G$1,Database!$A$1:$AS$1,),))))-(((VLOOKUP(EDATE(B173,-12),Database!$A:$AS,MATCH($G$1,Database!$A$1:$AS$1,),)))))/(((VLOOKUP(EDATE(B173,-12),Database!$A:$AS,MATCH($G$1,Database!$A$1:$AS$1,),)))))</f>
        <v/>
      </c>
      <c r="H173" s="13">
        <f>IF(VLOOKUP(B173,Database!$A:$AV,MATCH($H$1,Database!$A$1:$AV$1,),)=0,"#N/A",((((VLOOKUP(B173,Database!$A:$AS,MATCH($H$1,Database!$A$1:$AS$1,),))))-(((VLOOKUP(EDATE(B173,-12),Database!$A:$AS,MATCH($H$1,Database!$A$1:$AS$1,),)))))/(((VLOOKUP(EDATE(B173,-12),Database!$A:$AS,MATCH($H$1,Database!$A$1:$AS$1,),)))))</f>
        <v/>
      </c>
      <c r="I173" s="13">
        <f>IF(VLOOKUP(B173,Database!$A:$AV,MATCH($I$1,Database!$A$1:$AV$1,),)=0,"#N/A",((((VLOOKUP(B173,Database!$A:$AS,MATCH($I$1,Database!$A$1:$AS$1,),))))-(((VLOOKUP(EDATE(B173,-12),Database!$A:$AS,MATCH($I$1,Database!$A$1:$AS$1,),)))))/(((VLOOKUP(EDATE(B173,-12),Database!$A:$AS,MATCH($I$1,Database!$A$1:$AS$1,),)))))</f>
        <v/>
      </c>
      <c r="J173" s="13">
        <f>IF(VLOOKUP(B173,Database!$A:$AV,MATCH($J$1,Database!$A$1:$AV$1,),)=0,"#N/A",((((VLOOKUP(B173,Database!$A:$AS,MATCH($J$1,Database!$A$1:$AS$1,),))))-(((VLOOKUP(EDATE(B173,-12),Database!$A:$AS,MATCH($J$1,Database!$A$1:$AS$1,),)))))/(((VLOOKUP(EDATE(B173,-12),Database!$A:$AS,MATCH($J$1,Database!$A$1:$AS$1,),)))))</f>
        <v/>
      </c>
      <c r="K173" s="13">
        <f>IF(VLOOKUP(B173,Database!$A:$AV,MATCH($K$1,Database!$A$1:$AV$1,),)=0,"#N/A",((((VLOOKUP(B173,Database!$A:$AS,MATCH($K$1,Database!$A$1:$AS$1,),))))-(((VLOOKUP(EDATE(B173,-12),Database!$A:$AS,MATCH($K$1,Database!$A$1:$AS$1,),)))))/(((VLOOKUP(EDATE(B173,-12),Database!$A:$AS,MATCH($K$1,Database!$A$1:$AS$1,),)))))</f>
        <v/>
      </c>
      <c r="L173" s="13">
        <f>((((VLOOKUP(B173,Database!$A:$AS,MATCH($L$1,Database!$A$1:$AS$1,),))))-(((VLOOKUP(EDATE(B173,-12),Database!$A:$AS,MATCH($L$1,Database!$A$1:$AS$1,),)))))/(((VLOOKUP(EDATE(B173,-12),Database!$A:$AS,MATCH($L$1,Database!$A$1:$AS$1,),))))</f>
        <v/>
      </c>
      <c r="M173" s="13">
        <f>((((VLOOKUP(B173,Database!$A:$AS,MATCH($M$1,Database!$A$1:$AS$1,),))))-(((VLOOKUP(EDATE(B173,-12),Database!$A:$AS,MATCH($M$1,Database!$A$1:$AS$1,),)))))/(((VLOOKUP(EDATE(B173,-12),Database!$A:$AS,MATCH($M$1,Database!$A$1:$AS$1,),))))</f>
        <v/>
      </c>
      <c r="N173" s="13">
        <f>((((VLOOKUP(B173,Database!$A:$AS,MATCH($N$1,Database!$A$1:$AS$1,),))))-(((VLOOKUP(EDATE(B173,-12),Database!$A:$AS,MATCH($N$1,Database!$A$1:$AS$1,),)))))/(((VLOOKUP(EDATE(B173,-12),Database!$A:$AS,MATCH($N$1,Database!$A$1:$AS$1,),))))</f>
        <v/>
      </c>
      <c r="O173" s="13">
        <f>IF(VLOOKUP(B173,Database!$A:$AV,MATCH($O$1,Database!$A$1:$AV$1,),)=0,"#N/A",((((VLOOKUP(B173,Database!$A:$AS,MATCH($O$1,Database!$A$1:$AS$1,),))))-(((VLOOKUP(EDATE(B173,-12),Database!$A:$AS,MATCH($O$1,Database!$A$1:$AS$1,),)))))/(((VLOOKUP(EDATE(B173,-12),Database!$A:$AS,MATCH($O$1,Database!$A$1:$AS$1,),)))))</f>
        <v/>
      </c>
      <c r="P173" s="13">
        <f>IF(VLOOKUP(B173,Database!$A:$AV,MATCH($P$1,Database!$A$1:$AV$1,),)=0,"#N/A",((((VLOOKUP(B173,Database!$A:$AS,MATCH($P$1,Database!$A$1:$AS$1,),))))-(((VLOOKUP(EDATE(B173,-12),Database!$A:$AS,MATCH($P$1,Database!$A$1:$AS$1,),)))))/(((VLOOKUP(EDATE(B173,-12),Database!$A:$AS,MATCH($P$1,Database!$A$1:$AS$1,),)))))</f>
        <v/>
      </c>
      <c r="Q173" s="13">
        <f>IF(VLOOKUP(B173,Database!$A:$AV,MATCH($Q$1,Database!$A$1:$AV$1,),)=0,"#N/A",((((VLOOKUP(B173,Database!$A:$AS,MATCH($Q$1,Database!$A$1:$AS$1,),))))-(((VLOOKUP(EDATE(B173,-12),Database!$A:$AS,MATCH($Q$1,Database!$A$1:$AS$1,),)))))/(((VLOOKUP(EDATE(B173,-12),Database!$A:$AS,MATCH($Q$1,Database!$A$1:$AS$1,),)))))</f>
        <v/>
      </c>
      <c r="R173" s="13">
        <f>IF(VLOOKUP(B173,Database!$A:$AV,MATCH($R$1,Database!$A$1:$AV$1,),)=0,"#N/A",((((VLOOKUP(B173,Database!$A:$AS,MATCH($R$1,Database!$A$1:$AS$1,),))))-(((VLOOKUP(EDATE(B173,-12),Database!$A:$AS,MATCH($R$1,Database!$A$1:$AS$1,),)))))/(((VLOOKUP(EDATE(B173,-12),Database!$A:$AS,MATCH($R$1,Database!$A$1:$AS$1,),)))))</f>
        <v/>
      </c>
      <c r="S173" s="13">
        <f>IF(VLOOKUP(B173,Database!$A:$AV,MATCH($S$1,Database!$A$1:$AV$1,),)=0,"#N/A",((((VLOOKUP(B173,Database!$A:$AS,MATCH($S$1,Database!$A$1:$AS$1,),))))-(((VLOOKUP(EDATE(B173,-12),Database!$A:$AS,MATCH($S$1,Database!$A$1:$AS$1,),)))))/(((VLOOKUP(EDATE(B173,-12),Database!$A:$AS,MATCH($S$1,Database!$A$1:$AS$1,),)))))</f>
        <v/>
      </c>
      <c r="T173" s="13">
        <f>IF(VLOOKUP(B173,Database!$A:$AV,MATCH($T$1,Database!$A$1:$AV$1,),)=0,"#N/A",((((VLOOKUP(B173,Database!$A:$AS,MATCH($T$1,Database!$A$1:$AS$1,),))))-(((VLOOKUP(EDATE(B173,-12),Database!$A:$AS,MATCH($T$1,Database!$A$1:$AS$1,),)))))/(((VLOOKUP(EDATE(B173,-12),Database!$A:$AS,MATCH($T$1,Database!$A$1:$AS$1,),)))))</f>
        <v/>
      </c>
      <c r="U173" s="13">
        <f>IF(VLOOKUP(B173,Database!$A:$AV,MATCH($U$1,Database!$A$1:$AV$1,),)=0,"#N/A",((((VLOOKUP(B173,Database!$A:$AS,MATCH($U$1,Database!$A$1:$AS$1,),))))-(((VLOOKUP(EDATE(B173,-12),Database!$A:$AS,MATCH($U$1,Database!$A$1:$AS$1,),)))))/(((VLOOKUP(EDATE(B173,-12),Database!$A:$AS,MATCH($U$1,Database!$A$1:$AS$1,),)))))</f>
        <v/>
      </c>
      <c r="V173" s="13">
        <f>IF(VLOOKUP(B173,Database!$A:$AV,MATCH($V$1,Database!$A$1:$AV$1,),)=0,"#N/A",((((VLOOKUP(B173,Database!$A:$AS,MATCH($V$1,Database!$A$1:$AS$1,),))))-(((VLOOKUP(EDATE(B173,-12),Database!$A:$AS,MATCH($V$1,Database!$A$1:$AS$1,),)))))/(((VLOOKUP(EDATE(B173,-12),Database!$A:$AS,MATCH($V$1,Database!$A$1:$AS$1,),)))))</f>
        <v/>
      </c>
    </row>
    <row r="174" customFormat="1" s="86">
      <c r="A174" s="43" t="n"/>
      <c r="B174" s="75" t="n">
        <v>37438</v>
      </c>
      <c r="C174" s="13">
        <f>IF(VLOOKUP(B174,Database!$A:$AU,MATCH($C$1,Database!$A$1:$AU$1,),)=0,"#N/A",((((VLOOKUP(B174,Database!$A:$AU,MATCH($C$1,Database!$A$1:$AU$1,),))))-(((VLOOKUP(EDATE(B174,-12),Database!$A:$AU,MATCH($C$1,Database!$A$1:$AU$1,),)))))/(((VLOOKUP(EDATE(B174,-12),Database!$A:$AU,MATCH($C$1,Database!$A$1:$AU$1,),)))))</f>
        <v/>
      </c>
      <c r="D174" s="13">
        <f>IF(VLOOKUP(B174,Database!$A:$AV,MATCH($D$1,Database!$A$1:$AV$1,),)=0,"#N/A",((((VLOOKUP(B174,Database!$A:$AS,MATCH($D$1,Database!$A$1:$AS$1,),))))-(((VLOOKUP(EDATE(B174,-12),Database!$A:$AS,MATCH($D$1,Database!$A$1:$AS$1,),)))))/(((VLOOKUP(EDATE(B174,-12),Database!$A:$AS,MATCH($D$1,Database!$A$1:$AS$1,),)))))</f>
        <v/>
      </c>
      <c r="E174" s="13">
        <f>IF(VLOOKUP(B174,Database!$A:$AV,MATCH($E$1,Database!$A$1:$AV$1,),)=0,"#N/A",((((VLOOKUP(B174,Database!$A:$AS,MATCH($E$1,Database!$A$1:$AS$1,),))))-(((VLOOKUP(EDATE(B174,-12),Database!$A:$AS,MATCH($E$1,Database!$A$1:$AS$1,),)))))/(((VLOOKUP(EDATE(B174,-12),Database!$A:$AS,MATCH($E$1,Database!$A$1:$AS$1,),)))))</f>
        <v/>
      </c>
      <c r="F174" s="13">
        <f>IF(VLOOKUP(B174,Database!$A:$AV,MATCH($F$1,Database!$A$1:$AV$1,),)=0,"#N/A",((((VLOOKUP(B174,Database!$A:$AS,MATCH($F$1,Database!$A$1:$AS$1,),))))-(((VLOOKUP(EDATE(B174,-12),Database!$A:$AS,MATCH($F$1,Database!$A$1:$AS$1,),)))))/(((VLOOKUP(EDATE(B174,-12),Database!$A:$AS,MATCH($F$1,Database!$A$1:$AS$1,),)))))</f>
        <v/>
      </c>
      <c r="G174" s="13">
        <f>IF(VLOOKUP(B174,Database!$A:$AV,MATCH($G$1,Database!$A$1:$AV$1,),)=0,"#N/A",((((VLOOKUP(B174,Database!$A:$AS,MATCH($G$1,Database!$A$1:$AS$1,),))))-(((VLOOKUP(EDATE(B174,-12),Database!$A:$AS,MATCH($G$1,Database!$A$1:$AS$1,),)))))/(((VLOOKUP(EDATE(B174,-12),Database!$A:$AS,MATCH($G$1,Database!$A$1:$AS$1,),)))))</f>
        <v/>
      </c>
      <c r="H174" s="13">
        <f>IF(VLOOKUP(B174,Database!$A:$AV,MATCH($H$1,Database!$A$1:$AV$1,),)=0,"#N/A",((((VLOOKUP(B174,Database!$A:$AS,MATCH($H$1,Database!$A$1:$AS$1,),))))-(((VLOOKUP(EDATE(B174,-12),Database!$A:$AS,MATCH($H$1,Database!$A$1:$AS$1,),)))))/(((VLOOKUP(EDATE(B174,-12),Database!$A:$AS,MATCH($H$1,Database!$A$1:$AS$1,),)))))</f>
        <v/>
      </c>
      <c r="I174" s="13">
        <f>IF(VLOOKUP(B174,Database!$A:$AV,MATCH($I$1,Database!$A$1:$AV$1,),)=0,"#N/A",((((VLOOKUP(B174,Database!$A:$AS,MATCH($I$1,Database!$A$1:$AS$1,),))))-(((VLOOKUP(EDATE(B174,-12),Database!$A:$AS,MATCH($I$1,Database!$A$1:$AS$1,),)))))/(((VLOOKUP(EDATE(B174,-12),Database!$A:$AS,MATCH($I$1,Database!$A$1:$AS$1,),)))))</f>
        <v/>
      </c>
      <c r="J174" s="13">
        <f>IF(VLOOKUP(B174,Database!$A:$AV,MATCH($J$1,Database!$A$1:$AV$1,),)=0,"#N/A",((((VLOOKUP(B174,Database!$A:$AS,MATCH($J$1,Database!$A$1:$AS$1,),))))-(((VLOOKUP(EDATE(B174,-12),Database!$A:$AS,MATCH($J$1,Database!$A$1:$AS$1,),)))))/(((VLOOKUP(EDATE(B174,-12),Database!$A:$AS,MATCH($J$1,Database!$A$1:$AS$1,),)))))</f>
        <v/>
      </c>
      <c r="K174" s="13">
        <f>IF(VLOOKUP(B174,Database!$A:$AV,MATCH($K$1,Database!$A$1:$AV$1,),)=0,"#N/A",((((VLOOKUP(B174,Database!$A:$AS,MATCH($K$1,Database!$A$1:$AS$1,),))))-(((VLOOKUP(EDATE(B174,-12),Database!$A:$AS,MATCH($K$1,Database!$A$1:$AS$1,),)))))/(((VLOOKUP(EDATE(B174,-12),Database!$A:$AS,MATCH($K$1,Database!$A$1:$AS$1,),)))))</f>
        <v/>
      </c>
      <c r="L174" s="13">
        <f>((((VLOOKUP(B174,Database!$A:$AS,MATCH($L$1,Database!$A$1:$AS$1,),))))-(((VLOOKUP(EDATE(B174,-12),Database!$A:$AS,MATCH($L$1,Database!$A$1:$AS$1,),)))))/(((VLOOKUP(EDATE(B174,-12),Database!$A:$AS,MATCH($L$1,Database!$A$1:$AS$1,),))))</f>
        <v/>
      </c>
      <c r="M174" s="13">
        <f>((((VLOOKUP(B174,Database!$A:$AS,MATCH($M$1,Database!$A$1:$AS$1,),))))-(((VLOOKUP(EDATE(B174,-12),Database!$A:$AS,MATCH($M$1,Database!$A$1:$AS$1,),)))))/(((VLOOKUP(EDATE(B174,-12),Database!$A:$AS,MATCH($M$1,Database!$A$1:$AS$1,),))))</f>
        <v/>
      </c>
      <c r="N174" s="13">
        <f>((((VLOOKUP(B174,Database!$A:$AS,MATCH($N$1,Database!$A$1:$AS$1,),))))-(((VLOOKUP(EDATE(B174,-12),Database!$A:$AS,MATCH($N$1,Database!$A$1:$AS$1,),)))))/(((VLOOKUP(EDATE(B174,-12),Database!$A:$AS,MATCH($N$1,Database!$A$1:$AS$1,),))))</f>
        <v/>
      </c>
      <c r="O174" s="13">
        <f>IF(VLOOKUP(B174,Database!$A:$AV,MATCH($O$1,Database!$A$1:$AV$1,),)=0,"#N/A",((((VLOOKUP(B174,Database!$A:$AS,MATCH($O$1,Database!$A$1:$AS$1,),))))-(((VLOOKUP(EDATE(B174,-12),Database!$A:$AS,MATCH($O$1,Database!$A$1:$AS$1,),)))))/(((VLOOKUP(EDATE(B174,-12),Database!$A:$AS,MATCH($O$1,Database!$A$1:$AS$1,),)))))</f>
        <v/>
      </c>
      <c r="P174" s="13">
        <f>IF(VLOOKUP(B174,Database!$A:$AV,MATCH($P$1,Database!$A$1:$AV$1,),)=0,"#N/A",((((VLOOKUP(B174,Database!$A:$AS,MATCH($P$1,Database!$A$1:$AS$1,),))))-(((VLOOKUP(EDATE(B174,-12),Database!$A:$AS,MATCH($P$1,Database!$A$1:$AS$1,),)))))/(((VLOOKUP(EDATE(B174,-12),Database!$A:$AS,MATCH($P$1,Database!$A$1:$AS$1,),)))))</f>
        <v/>
      </c>
      <c r="Q174" s="13">
        <f>IF(VLOOKUP(B174,Database!$A:$AV,MATCH($Q$1,Database!$A$1:$AV$1,),)=0,"#N/A",((((VLOOKUP(B174,Database!$A:$AS,MATCH($Q$1,Database!$A$1:$AS$1,),))))-(((VLOOKUP(EDATE(B174,-12),Database!$A:$AS,MATCH($Q$1,Database!$A$1:$AS$1,),)))))/(((VLOOKUP(EDATE(B174,-12),Database!$A:$AS,MATCH($Q$1,Database!$A$1:$AS$1,),)))))</f>
        <v/>
      </c>
      <c r="R174" s="13">
        <f>IF(VLOOKUP(B174,Database!$A:$AV,MATCH($R$1,Database!$A$1:$AV$1,),)=0,"#N/A",((((VLOOKUP(B174,Database!$A:$AS,MATCH($R$1,Database!$A$1:$AS$1,),))))-(((VLOOKUP(EDATE(B174,-12),Database!$A:$AS,MATCH($R$1,Database!$A$1:$AS$1,),)))))/(((VLOOKUP(EDATE(B174,-12),Database!$A:$AS,MATCH($R$1,Database!$A$1:$AS$1,),)))))</f>
        <v/>
      </c>
      <c r="S174" s="13">
        <f>IF(VLOOKUP(B174,Database!$A:$AV,MATCH($S$1,Database!$A$1:$AV$1,),)=0,"#N/A",((((VLOOKUP(B174,Database!$A:$AS,MATCH($S$1,Database!$A$1:$AS$1,),))))-(((VLOOKUP(EDATE(B174,-12),Database!$A:$AS,MATCH($S$1,Database!$A$1:$AS$1,),)))))/(((VLOOKUP(EDATE(B174,-12),Database!$A:$AS,MATCH($S$1,Database!$A$1:$AS$1,),)))))</f>
        <v/>
      </c>
      <c r="T174" s="13">
        <f>IF(VLOOKUP(B174,Database!$A:$AV,MATCH($T$1,Database!$A$1:$AV$1,),)=0,"#N/A",((((VLOOKUP(B174,Database!$A:$AS,MATCH($T$1,Database!$A$1:$AS$1,),))))-(((VLOOKUP(EDATE(B174,-12),Database!$A:$AS,MATCH($T$1,Database!$A$1:$AS$1,),)))))/(((VLOOKUP(EDATE(B174,-12),Database!$A:$AS,MATCH($T$1,Database!$A$1:$AS$1,),)))))</f>
        <v/>
      </c>
      <c r="U174" s="13">
        <f>IF(VLOOKUP(B174,Database!$A:$AV,MATCH($U$1,Database!$A$1:$AV$1,),)=0,"#N/A",((((VLOOKUP(B174,Database!$A:$AS,MATCH($U$1,Database!$A$1:$AS$1,),))))-(((VLOOKUP(EDATE(B174,-12),Database!$A:$AS,MATCH($U$1,Database!$A$1:$AS$1,),)))))/(((VLOOKUP(EDATE(B174,-12),Database!$A:$AS,MATCH($U$1,Database!$A$1:$AS$1,),)))))</f>
        <v/>
      </c>
      <c r="V174" s="13">
        <f>IF(VLOOKUP(B174,Database!$A:$AV,MATCH($V$1,Database!$A$1:$AV$1,),)=0,"#N/A",((((VLOOKUP(B174,Database!$A:$AS,MATCH($V$1,Database!$A$1:$AS$1,),))))-(((VLOOKUP(EDATE(B174,-12),Database!$A:$AS,MATCH($V$1,Database!$A$1:$AS$1,),)))))/(((VLOOKUP(EDATE(B174,-12),Database!$A:$AS,MATCH($V$1,Database!$A$1:$AS$1,),)))))</f>
        <v/>
      </c>
    </row>
    <row r="175" customFormat="1" s="86">
      <c r="A175" s="43" t="n"/>
      <c r="B175" s="75" t="n">
        <v>37469</v>
      </c>
      <c r="C175" s="13">
        <f>IF(VLOOKUP(B175,Database!$A:$AU,MATCH($C$1,Database!$A$1:$AU$1,),)=0,"#N/A",((((VLOOKUP(B175,Database!$A:$AU,MATCH($C$1,Database!$A$1:$AU$1,),))))-(((VLOOKUP(EDATE(B175,-12),Database!$A:$AU,MATCH($C$1,Database!$A$1:$AU$1,),)))))/(((VLOOKUP(EDATE(B175,-12),Database!$A:$AU,MATCH($C$1,Database!$A$1:$AU$1,),)))))</f>
        <v/>
      </c>
      <c r="D175" s="13">
        <f>IF(VLOOKUP(B175,Database!$A:$AV,MATCH($D$1,Database!$A$1:$AV$1,),)=0,"#N/A",((((VLOOKUP(B175,Database!$A:$AS,MATCH($D$1,Database!$A$1:$AS$1,),))))-(((VLOOKUP(EDATE(B175,-12),Database!$A:$AS,MATCH($D$1,Database!$A$1:$AS$1,),)))))/(((VLOOKUP(EDATE(B175,-12),Database!$A:$AS,MATCH($D$1,Database!$A$1:$AS$1,),)))))</f>
        <v/>
      </c>
      <c r="E175" s="13">
        <f>IF(VLOOKUP(B175,Database!$A:$AV,MATCH($E$1,Database!$A$1:$AV$1,),)=0,"#N/A",((((VLOOKUP(B175,Database!$A:$AS,MATCH($E$1,Database!$A$1:$AS$1,),))))-(((VLOOKUP(EDATE(B175,-12),Database!$A:$AS,MATCH($E$1,Database!$A$1:$AS$1,),)))))/(((VLOOKUP(EDATE(B175,-12),Database!$A:$AS,MATCH($E$1,Database!$A$1:$AS$1,),)))))</f>
        <v/>
      </c>
      <c r="F175" s="13">
        <f>IF(VLOOKUP(B175,Database!$A:$AV,MATCH($F$1,Database!$A$1:$AV$1,),)=0,"#N/A",((((VLOOKUP(B175,Database!$A:$AS,MATCH($F$1,Database!$A$1:$AS$1,),))))-(((VLOOKUP(EDATE(B175,-12),Database!$A:$AS,MATCH($F$1,Database!$A$1:$AS$1,),)))))/(((VLOOKUP(EDATE(B175,-12),Database!$A:$AS,MATCH($F$1,Database!$A$1:$AS$1,),)))))</f>
        <v/>
      </c>
      <c r="G175" s="13">
        <f>IF(VLOOKUP(B175,Database!$A:$AV,MATCH($G$1,Database!$A$1:$AV$1,),)=0,"#N/A",((((VLOOKUP(B175,Database!$A:$AS,MATCH($G$1,Database!$A$1:$AS$1,),))))-(((VLOOKUP(EDATE(B175,-12),Database!$A:$AS,MATCH($G$1,Database!$A$1:$AS$1,),)))))/(((VLOOKUP(EDATE(B175,-12),Database!$A:$AS,MATCH($G$1,Database!$A$1:$AS$1,),)))))</f>
        <v/>
      </c>
      <c r="H175" s="13">
        <f>IF(VLOOKUP(B175,Database!$A:$AV,MATCH($H$1,Database!$A$1:$AV$1,),)=0,"#N/A",((((VLOOKUP(B175,Database!$A:$AS,MATCH($H$1,Database!$A$1:$AS$1,),))))-(((VLOOKUP(EDATE(B175,-12),Database!$A:$AS,MATCH($H$1,Database!$A$1:$AS$1,),)))))/(((VLOOKUP(EDATE(B175,-12),Database!$A:$AS,MATCH($H$1,Database!$A$1:$AS$1,),)))))</f>
        <v/>
      </c>
      <c r="I175" s="13">
        <f>IF(VLOOKUP(B175,Database!$A:$AV,MATCH($I$1,Database!$A$1:$AV$1,),)=0,"#N/A",((((VLOOKUP(B175,Database!$A:$AS,MATCH($I$1,Database!$A$1:$AS$1,),))))-(((VLOOKUP(EDATE(B175,-12),Database!$A:$AS,MATCH($I$1,Database!$A$1:$AS$1,),)))))/(((VLOOKUP(EDATE(B175,-12),Database!$A:$AS,MATCH($I$1,Database!$A$1:$AS$1,),)))))</f>
        <v/>
      </c>
      <c r="J175" s="13">
        <f>IF(VLOOKUP(B175,Database!$A:$AV,MATCH($J$1,Database!$A$1:$AV$1,),)=0,"#N/A",((((VLOOKUP(B175,Database!$A:$AS,MATCH($J$1,Database!$A$1:$AS$1,),))))-(((VLOOKUP(EDATE(B175,-12),Database!$A:$AS,MATCH($J$1,Database!$A$1:$AS$1,),)))))/(((VLOOKUP(EDATE(B175,-12),Database!$A:$AS,MATCH($J$1,Database!$A$1:$AS$1,),)))))</f>
        <v/>
      </c>
      <c r="K175" s="13">
        <f>IF(VLOOKUP(B175,Database!$A:$AV,MATCH($K$1,Database!$A$1:$AV$1,),)=0,"#N/A",((((VLOOKUP(B175,Database!$A:$AS,MATCH($K$1,Database!$A$1:$AS$1,),))))-(((VLOOKUP(EDATE(B175,-12),Database!$A:$AS,MATCH($K$1,Database!$A$1:$AS$1,),)))))/(((VLOOKUP(EDATE(B175,-12),Database!$A:$AS,MATCH($K$1,Database!$A$1:$AS$1,),)))))</f>
        <v/>
      </c>
      <c r="L175" s="13">
        <f>((((VLOOKUP(B175,Database!$A:$AS,MATCH($L$1,Database!$A$1:$AS$1,),))))-(((VLOOKUP(EDATE(B175,-12),Database!$A:$AS,MATCH($L$1,Database!$A$1:$AS$1,),)))))/(((VLOOKUP(EDATE(B175,-12),Database!$A:$AS,MATCH($L$1,Database!$A$1:$AS$1,),))))</f>
        <v/>
      </c>
      <c r="M175" s="13">
        <f>((((VLOOKUP(B175,Database!$A:$AS,MATCH($M$1,Database!$A$1:$AS$1,),))))-(((VLOOKUP(EDATE(B175,-12),Database!$A:$AS,MATCH($M$1,Database!$A$1:$AS$1,),)))))/(((VLOOKUP(EDATE(B175,-12),Database!$A:$AS,MATCH($M$1,Database!$A$1:$AS$1,),))))</f>
        <v/>
      </c>
      <c r="N175" s="13">
        <f>((((VLOOKUP(B175,Database!$A:$AS,MATCH($N$1,Database!$A$1:$AS$1,),))))-(((VLOOKUP(EDATE(B175,-12),Database!$A:$AS,MATCH($N$1,Database!$A$1:$AS$1,),)))))/(((VLOOKUP(EDATE(B175,-12),Database!$A:$AS,MATCH($N$1,Database!$A$1:$AS$1,),))))</f>
        <v/>
      </c>
      <c r="O175" s="13">
        <f>IF(VLOOKUP(B175,Database!$A:$AV,MATCH($O$1,Database!$A$1:$AV$1,),)=0,"#N/A",((((VLOOKUP(B175,Database!$A:$AS,MATCH($O$1,Database!$A$1:$AS$1,),))))-(((VLOOKUP(EDATE(B175,-12),Database!$A:$AS,MATCH($O$1,Database!$A$1:$AS$1,),)))))/(((VLOOKUP(EDATE(B175,-12),Database!$A:$AS,MATCH($O$1,Database!$A$1:$AS$1,),)))))</f>
        <v/>
      </c>
      <c r="P175" s="13">
        <f>IF(VLOOKUP(B175,Database!$A:$AV,MATCH($P$1,Database!$A$1:$AV$1,),)=0,"#N/A",((((VLOOKUP(B175,Database!$A:$AS,MATCH($P$1,Database!$A$1:$AS$1,),))))-(((VLOOKUP(EDATE(B175,-12),Database!$A:$AS,MATCH($P$1,Database!$A$1:$AS$1,),)))))/(((VLOOKUP(EDATE(B175,-12),Database!$A:$AS,MATCH($P$1,Database!$A$1:$AS$1,),)))))</f>
        <v/>
      </c>
      <c r="Q175" s="13">
        <f>IF(VLOOKUP(B175,Database!$A:$AV,MATCH($Q$1,Database!$A$1:$AV$1,),)=0,"#N/A",((((VLOOKUP(B175,Database!$A:$AS,MATCH($Q$1,Database!$A$1:$AS$1,),))))-(((VLOOKUP(EDATE(B175,-12),Database!$A:$AS,MATCH($Q$1,Database!$A$1:$AS$1,),)))))/(((VLOOKUP(EDATE(B175,-12),Database!$A:$AS,MATCH($Q$1,Database!$A$1:$AS$1,),)))))</f>
        <v/>
      </c>
      <c r="R175" s="13">
        <f>IF(VLOOKUP(B175,Database!$A:$AV,MATCH($R$1,Database!$A$1:$AV$1,),)=0,"#N/A",((((VLOOKUP(B175,Database!$A:$AS,MATCH($R$1,Database!$A$1:$AS$1,),))))-(((VLOOKUP(EDATE(B175,-12),Database!$A:$AS,MATCH($R$1,Database!$A$1:$AS$1,),)))))/(((VLOOKUP(EDATE(B175,-12),Database!$A:$AS,MATCH($R$1,Database!$A$1:$AS$1,),)))))</f>
        <v/>
      </c>
      <c r="S175" s="13">
        <f>IF(VLOOKUP(B175,Database!$A:$AV,MATCH($S$1,Database!$A$1:$AV$1,),)=0,"#N/A",((((VLOOKUP(B175,Database!$A:$AS,MATCH($S$1,Database!$A$1:$AS$1,),))))-(((VLOOKUP(EDATE(B175,-12),Database!$A:$AS,MATCH($S$1,Database!$A$1:$AS$1,),)))))/(((VLOOKUP(EDATE(B175,-12),Database!$A:$AS,MATCH($S$1,Database!$A$1:$AS$1,),)))))</f>
        <v/>
      </c>
      <c r="T175" s="13">
        <f>IF(VLOOKUP(B175,Database!$A:$AV,MATCH($T$1,Database!$A$1:$AV$1,),)=0,"#N/A",((((VLOOKUP(B175,Database!$A:$AS,MATCH($T$1,Database!$A$1:$AS$1,),))))-(((VLOOKUP(EDATE(B175,-12),Database!$A:$AS,MATCH($T$1,Database!$A$1:$AS$1,),)))))/(((VLOOKUP(EDATE(B175,-12),Database!$A:$AS,MATCH($T$1,Database!$A$1:$AS$1,),)))))</f>
        <v/>
      </c>
      <c r="U175" s="13">
        <f>IF(VLOOKUP(B175,Database!$A:$AV,MATCH($U$1,Database!$A$1:$AV$1,),)=0,"#N/A",((((VLOOKUP(B175,Database!$A:$AS,MATCH($U$1,Database!$A$1:$AS$1,),))))-(((VLOOKUP(EDATE(B175,-12),Database!$A:$AS,MATCH($U$1,Database!$A$1:$AS$1,),)))))/(((VLOOKUP(EDATE(B175,-12),Database!$A:$AS,MATCH($U$1,Database!$A$1:$AS$1,),)))))</f>
        <v/>
      </c>
      <c r="V175" s="13">
        <f>IF(VLOOKUP(B175,Database!$A:$AV,MATCH($V$1,Database!$A$1:$AV$1,),)=0,"#N/A",((((VLOOKUP(B175,Database!$A:$AS,MATCH($V$1,Database!$A$1:$AS$1,),))))-(((VLOOKUP(EDATE(B175,-12),Database!$A:$AS,MATCH($V$1,Database!$A$1:$AS$1,),)))))/(((VLOOKUP(EDATE(B175,-12),Database!$A:$AS,MATCH($V$1,Database!$A$1:$AS$1,),)))))</f>
        <v/>
      </c>
    </row>
    <row r="176" customFormat="1" s="86">
      <c r="A176" s="43" t="n"/>
      <c r="B176" s="75" t="n">
        <v>37500</v>
      </c>
      <c r="C176" s="13">
        <f>IF(VLOOKUP(B176,Database!$A:$AU,MATCH($C$1,Database!$A$1:$AU$1,),)=0,"#N/A",((((VLOOKUP(B176,Database!$A:$AU,MATCH($C$1,Database!$A$1:$AU$1,),))))-(((VLOOKUP(EDATE(B176,-12),Database!$A:$AU,MATCH($C$1,Database!$A$1:$AU$1,),)))))/(((VLOOKUP(EDATE(B176,-12),Database!$A:$AU,MATCH($C$1,Database!$A$1:$AU$1,),)))))</f>
        <v/>
      </c>
      <c r="D176" s="13">
        <f>IF(VLOOKUP(B176,Database!$A:$AV,MATCH($D$1,Database!$A$1:$AV$1,),)=0,"#N/A",((((VLOOKUP(B176,Database!$A:$AS,MATCH($D$1,Database!$A$1:$AS$1,),))))-(((VLOOKUP(EDATE(B176,-12),Database!$A:$AS,MATCH($D$1,Database!$A$1:$AS$1,),)))))/(((VLOOKUP(EDATE(B176,-12),Database!$A:$AS,MATCH($D$1,Database!$A$1:$AS$1,),)))))</f>
        <v/>
      </c>
      <c r="E176" s="13">
        <f>IF(VLOOKUP(B176,Database!$A:$AV,MATCH($E$1,Database!$A$1:$AV$1,),)=0,"#N/A",((((VLOOKUP(B176,Database!$A:$AS,MATCH($E$1,Database!$A$1:$AS$1,),))))-(((VLOOKUP(EDATE(B176,-12),Database!$A:$AS,MATCH($E$1,Database!$A$1:$AS$1,),)))))/(((VLOOKUP(EDATE(B176,-12),Database!$A:$AS,MATCH($E$1,Database!$A$1:$AS$1,),)))))</f>
        <v/>
      </c>
      <c r="F176" s="13">
        <f>IF(VLOOKUP(B176,Database!$A:$AV,MATCH($F$1,Database!$A$1:$AV$1,),)=0,"#N/A",((((VLOOKUP(B176,Database!$A:$AS,MATCH($F$1,Database!$A$1:$AS$1,),))))-(((VLOOKUP(EDATE(B176,-12),Database!$A:$AS,MATCH($F$1,Database!$A$1:$AS$1,),)))))/(((VLOOKUP(EDATE(B176,-12),Database!$A:$AS,MATCH($F$1,Database!$A$1:$AS$1,),)))))</f>
        <v/>
      </c>
      <c r="G176" s="13">
        <f>IF(VLOOKUP(B176,Database!$A:$AV,MATCH($G$1,Database!$A$1:$AV$1,),)=0,"#N/A",((((VLOOKUP(B176,Database!$A:$AS,MATCH($G$1,Database!$A$1:$AS$1,),))))-(((VLOOKUP(EDATE(B176,-12),Database!$A:$AS,MATCH($G$1,Database!$A$1:$AS$1,),)))))/(((VLOOKUP(EDATE(B176,-12),Database!$A:$AS,MATCH($G$1,Database!$A$1:$AS$1,),)))))</f>
        <v/>
      </c>
      <c r="H176" s="13">
        <f>IF(VLOOKUP(B176,Database!$A:$AV,MATCH($H$1,Database!$A$1:$AV$1,),)=0,"#N/A",((((VLOOKUP(B176,Database!$A:$AS,MATCH($H$1,Database!$A$1:$AS$1,),))))-(((VLOOKUP(EDATE(B176,-12),Database!$A:$AS,MATCH($H$1,Database!$A$1:$AS$1,),)))))/(((VLOOKUP(EDATE(B176,-12),Database!$A:$AS,MATCH($H$1,Database!$A$1:$AS$1,),)))))</f>
        <v/>
      </c>
      <c r="I176" s="13">
        <f>IF(VLOOKUP(B176,Database!$A:$AV,MATCH($I$1,Database!$A$1:$AV$1,),)=0,"#N/A",((((VLOOKUP(B176,Database!$A:$AS,MATCH($I$1,Database!$A$1:$AS$1,),))))-(((VLOOKUP(EDATE(B176,-12),Database!$A:$AS,MATCH($I$1,Database!$A$1:$AS$1,),)))))/(((VLOOKUP(EDATE(B176,-12),Database!$A:$AS,MATCH($I$1,Database!$A$1:$AS$1,),)))))</f>
        <v/>
      </c>
      <c r="J176" s="13">
        <f>IF(VLOOKUP(B176,Database!$A:$AV,MATCH($J$1,Database!$A$1:$AV$1,),)=0,"#N/A",((((VLOOKUP(B176,Database!$A:$AS,MATCH($J$1,Database!$A$1:$AS$1,),))))-(((VLOOKUP(EDATE(B176,-12),Database!$A:$AS,MATCH($J$1,Database!$A$1:$AS$1,),)))))/(((VLOOKUP(EDATE(B176,-12),Database!$A:$AS,MATCH($J$1,Database!$A$1:$AS$1,),)))))</f>
        <v/>
      </c>
      <c r="K176" s="13">
        <f>IF(VLOOKUP(B176,Database!$A:$AV,MATCH($K$1,Database!$A$1:$AV$1,),)=0,"#N/A",((((VLOOKUP(B176,Database!$A:$AS,MATCH($K$1,Database!$A$1:$AS$1,),))))-(((VLOOKUP(EDATE(B176,-12),Database!$A:$AS,MATCH($K$1,Database!$A$1:$AS$1,),)))))/(((VLOOKUP(EDATE(B176,-12),Database!$A:$AS,MATCH($K$1,Database!$A$1:$AS$1,),)))))</f>
        <v/>
      </c>
      <c r="L176" s="13">
        <f>((((VLOOKUP(B176,Database!$A:$AS,MATCH($L$1,Database!$A$1:$AS$1,),))))-(((VLOOKUP(EDATE(B176,-12),Database!$A:$AS,MATCH($L$1,Database!$A$1:$AS$1,),)))))/(((VLOOKUP(EDATE(B176,-12),Database!$A:$AS,MATCH($L$1,Database!$A$1:$AS$1,),))))</f>
        <v/>
      </c>
      <c r="M176" s="13">
        <f>((((VLOOKUP(B176,Database!$A:$AS,MATCH($M$1,Database!$A$1:$AS$1,),))))-(((VLOOKUP(EDATE(B176,-12),Database!$A:$AS,MATCH($M$1,Database!$A$1:$AS$1,),)))))/(((VLOOKUP(EDATE(B176,-12),Database!$A:$AS,MATCH($M$1,Database!$A$1:$AS$1,),))))</f>
        <v/>
      </c>
      <c r="N176" s="13">
        <f>((((VLOOKUP(B176,Database!$A:$AS,MATCH($N$1,Database!$A$1:$AS$1,),))))-(((VLOOKUP(EDATE(B176,-12),Database!$A:$AS,MATCH($N$1,Database!$A$1:$AS$1,),)))))/(((VLOOKUP(EDATE(B176,-12),Database!$A:$AS,MATCH($N$1,Database!$A$1:$AS$1,),))))</f>
        <v/>
      </c>
      <c r="O176" s="13">
        <f>IF(VLOOKUP(B176,Database!$A:$AV,MATCH($O$1,Database!$A$1:$AV$1,),)=0,"#N/A",((((VLOOKUP(B176,Database!$A:$AS,MATCH($O$1,Database!$A$1:$AS$1,),))))-(((VLOOKUP(EDATE(B176,-12),Database!$A:$AS,MATCH($O$1,Database!$A$1:$AS$1,),)))))/(((VLOOKUP(EDATE(B176,-12),Database!$A:$AS,MATCH($O$1,Database!$A$1:$AS$1,),)))))</f>
        <v/>
      </c>
      <c r="P176" s="13">
        <f>IF(VLOOKUP(B176,Database!$A:$AV,MATCH($P$1,Database!$A$1:$AV$1,),)=0,"#N/A",((((VLOOKUP(B176,Database!$A:$AS,MATCH($P$1,Database!$A$1:$AS$1,),))))-(((VLOOKUP(EDATE(B176,-12),Database!$A:$AS,MATCH($P$1,Database!$A$1:$AS$1,),)))))/(((VLOOKUP(EDATE(B176,-12),Database!$A:$AS,MATCH($P$1,Database!$A$1:$AS$1,),)))))</f>
        <v/>
      </c>
      <c r="Q176" s="13">
        <f>IF(VLOOKUP(B176,Database!$A:$AV,MATCH($Q$1,Database!$A$1:$AV$1,),)=0,"#N/A",((((VLOOKUP(B176,Database!$A:$AS,MATCH($Q$1,Database!$A$1:$AS$1,),))))-(((VLOOKUP(EDATE(B176,-12),Database!$A:$AS,MATCH($Q$1,Database!$A$1:$AS$1,),)))))/(((VLOOKUP(EDATE(B176,-12),Database!$A:$AS,MATCH($Q$1,Database!$A$1:$AS$1,),)))))</f>
        <v/>
      </c>
      <c r="R176" s="13">
        <f>IF(VLOOKUP(B176,Database!$A:$AV,MATCH($R$1,Database!$A$1:$AV$1,),)=0,"#N/A",((((VLOOKUP(B176,Database!$A:$AS,MATCH($R$1,Database!$A$1:$AS$1,),))))-(((VLOOKUP(EDATE(B176,-12),Database!$A:$AS,MATCH($R$1,Database!$A$1:$AS$1,),)))))/(((VLOOKUP(EDATE(B176,-12),Database!$A:$AS,MATCH($R$1,Database!$A$1:$AS$1,),)))))</f>
        <v/>
      </c>
      <c r="S176" s="13">
        <f>IF(VLOOKUP(B176,Database!$A:$AV,MATCH($S$1,Database!$A$1:$AV$1,),)=0,"#N/A",((((VLOOKUP(B176,Database!$A:$AS,MATCH($S$1,Database!$A$1:$AS$1,),))))-(((VLOOKUP(EDATE(B176,-12),Database!$A:$AS,MATCH($S$1,Database!$A$1:$AS$1,),)))))/(((VLOOKUP(EDATE(B176,-12),Database!$A:$AS,MATCH($S$1,Database!$A$1:$AS$1,),)))))</f>
        <v/>
      </c>
      <c r="T176" s="13">
        <f>IF(VLOOKUP(B176,Database!$A:$AV,MATCH($T$1,Database!$A$1:$AV$1,),)=0,"#N/A",((((VLOOKUP(B176,Database!$A:$AS,MATCH($T$1,Database!$A$1:$AS$1,),))))-(((VLOOKUP(EDATE(B176,-12),Database!$A:$AS,MATCH($T$1,Database!$A$1:$AS$1,),)))))/(((VLOOKUP(EDATE(B176,-12),Database!$A:$AS,MATCH($T$1,Database!$A$1:$AS$1,),)))))</f>
        <v/>
      </c>
      <c r="U176" s="13">
        <f>IF(VLOOKUP(B176,Database!$A:$AV,MATCH($U$1,Database!$A$1:$AV$1,),)=0,"#N/A",((((VLOOKUP(B176,Database!$A:$AS,MATCH($U$1,Database!$A$1:$AS$1,),))))-(((VLOOKUP(EDATE(B176,-12),Database!$A:$AS,MATCH($U$1,Database!$A$1:$AS$1,),)))))/(((VLOOKUP(EDATE(B176,-12),Database!$A:$AS,MATCH($U$1,Database!$A$1:$AS$1,),)))))</f>
        <v/>
      </c>
      <c r="V176" s="13">
        <f>IF(VLOOKUP(B176,Database!$A:$AV,MATCH($V$1,Database!$A$1:$AV$1,),)=0,"#N/A",((((VLOOKUP(B176,Database!$A:$AS,MATCH($V$1,Database!$A$1:$AS$1,),))))-(((VLOOKUP(EDATE(B176,-12),Database!$A:$AS,MATCH($V$1,Database!$A$1:$AS$1,),)))))/(((VLOOKUP(EDATE(B176,-12),Database!$A:$AS,MATCH($V$1,Database!$A$1:$AS$1,),)))))</f>
        <v/>
      </c>
    </row>
    <row r="177" customFormat="1" s="86">
      <c r="A177" s="43" t="n"/>
      <c r="B177" s="75" t="n">
        <v>37530</v>
      </c>
      <c r="C177" s="13">
        <f>IF(VLOOKUP(B177,Database!$A:$AU,MATCH($C$1,Database!$A$1:$AU$1,),)=0,"#N/A",((((VLOOKUP(B177,Database!$A:$AU,MATCH($C$1,Database!$A$1:$AU$1,),))))-(((VLOOKUP(EDATE(B177,-12),Database!$A:$AU,MATCH($C$1,Database!$A$1:$AU$1,),)))))/(((VLOOKUP(EDATE(B177,-12),Database!$A:$AU,MATCH($C$1,Database!$A$1:$AU$1,),)))))</f>
        <v/>
      </c>
      <c r="D177" s="13">
        <f>IF(VLOOKUP(B177,Database!$A:$AV,MATCH($D$1,Database!$A$1:$AV$1,),)=0,"#N/A",((((VLOOKUP(B177,Database!$A:$AS,MATCH($D$1,Database!$A$1:$AS$1,),))))-(((VLOOKUP(EDATE(B177,-12),Database!$A:$AS,MATCH($D$1,Database!$A$1:$AS$1,),)))))/(((VLOOKUP(EDATE(B177,-12),Database!$A:$AS,MATCH($D$1,Database!$A$1:$AS$1,),)))))</f>
        <v/>
      </c>
      <c r="E177" s="13">
        <f>IF(VLOOKUP(B177,Database!$A:$AV,MATCH($E$1,Database!$A$1:$AV$1,),)=0,"#N/A",((((VLOOKUP(B177,Database!$A:$AS,MATCH($E$1,Database!$A$1:$AS$1,),))))-(((VLOOKUP(EDATE(B177,-12),Database!$A:$AS,MATCH($E$1,Database!$A$1:$AS$1,),)))))/(((VLOOKUP(EDATE(B177,-12),Database!$A:$AS,MATCH($E$1,Database!$A$1:$AS$1,),)))))</f>
        <v/>
      </c>
      <c r="F177" s="13">
        <f>IF(VLOOKUP(B177,Database!$A:$AV,MATCH($F$1,Database!$A$1:$AV$1,),)=0,"#N/A",((((VLOOKUP(B177,Database!$A:$AS,MATCH($F$1,Database!$A$1:$AS$1,),))))-(((VLOOKUP(EDATE(B177,-12),Database!$A:$AS,MATCH($F$1,Database!$A$1:$AS$1,),)))))/(((VLOOKUP(EDATE(B177,-12),Database!$A:$AS,MATCH($F$1,Database!$A$1:$AS$1,),)))))</f>
        <v/>
      </c>
      <c r="G177" s="13">
        <f>IF(VLOOKUP(B177,Database!$A:$AV,MATCH($G$1,Database!$A$1:$AV$1,),)=0,"#N/A",((((VLOOKUP(B177,Database!$A:$AS,MATCH($G$1,Database!$A$1:$AS$1,),))))-(((VLOOKUP(EDATE(B177,-12),Database!$A:$AS,MATCH($G$1,Database!$A$1:$AS$1,),)))))/(((VLOOKUP(EDATE(B177,-12),Database!$A:$AS,MATCH($G$1,Database!$A$1:$AS$1,),)))))</f>
        <v/>
      </c>
      <c r="H177" s="13">
        <f>IF(VLOOKUP(B177,Database!$A:$AV,MATCH($H$1,Database!$A$1:$AV$1,),)=0,"#N/A",((((VLOOKUP(B177,Database!$A:$AS,MATCH($H$1,Database!$A$1:$AS$1,),))))-(((VLOOKUP(EDATE(B177,-12),Database!$A:$AS,MATCH($H$1,Database!$A$1:$AS$1,),)))))/(((VLOOKUP(EDATE(B177,-12),Database!$A:$AS,MATCH($H$1,Database!$A$1:$AS$1,),)))))</f>
        <v/>
      </c>
      <c r="I177" s="13">
        <f>IF(VLOOKUP(B177,Database!$A:$AV,MATCH($I$1,Database!$A$1:$AV$1,),)=0,"#N/A",((((VLOOKUP(B177,Database!$A:$AS,MATCH($I$1,Database!$A$1:$AS$1,),))))-(((VLOOKUP(EDATE(B177,-12),Database!$A:$AS,MATCH($I$1,Database!$A$1:$AS$1,),)))))/(((VLOOKUP(EDATE(B177,-12),Database!$A:$AS,MATCH($I$1,Database!$A$1:$AS$1,),)))))</f>
        <v/>
      </c>
      <c r="J177" s="13">
        <f>IF(VLOOKUP(B177,Database!$A:$AV,MATCH($J$1,Database!$A$1:$AV$1,),)=0,"#N/A",((((VLOOKUP(B177,Database!$A:$AS,MATCH($J$1,Database!$A$1:$AS$1,),))))-(((VLOOKUP(EDATE(B177,-12),Database!$A:$AS,MATCH($J$1,Database!$A$1:$AS$1,),)))))/(((VLOOKUP(EDATE(B177,-12),Database!$A:$AS,MATCH($J$1,Database!$A$1:$AS$1,),)))))</f>
        <v/>
      </c>
      <c r="K177" s="13">
        <f>IF(VLOOKUP(B177,Database!$A:$AV,MATCH($K$1,Database!$A$1:$AV$1,),)=0,"#N/A",((((VLOOKUP(B177,Database!$A:$AS,MATCH($K$1,Database!$A$1:$AS$1,),))))-(((VLOOKUP(EDATE(B177,-12),Database!$A:$AS,MATCH($K$1,Database!$A$1:$AS$1,),)))))/(((VLOOKUP(EDATE(B177,-12),Database!$A:$AS,MATCH($K$1,Database!$A$1:$AS$1,),)))))</f>
        <v/>
      </c>
      <c r="L177" s="13">
        <f>((((VLOOKUP(B177,Database!$A:$AS,MATCH($L$1,Database!$A$1:$AS$1,),))))-(((VLOOKUP(EDATE(B177,-12),Database!$A:$AS,MATCH($L$1,Database!$A$1:$AS$1,),)))))/(((VLOOKUP(EDATE(B177,-12),Database!$A:$AS,MATCH($L$1,Database!$A$1:$AS$1,),))))</f>
        <v/>
      </c>
      <c r="M177" s="13">
        <f>((((VLOOKUP(B177,Database!$A:$AS,MATCH($M$1,Database!$A$1:$AS$1,),))))-(((VLOOKUP(EDATE(B177,-12),Database!$A:$AS,MATCH($M$1,Database!$A$1:$AS$1,),)))))/(((VLOOKUP(EDATE(B177,-12),Database!$A:$AS,MATCH($M$1,Database!$A$1:$AS$1,),))))</f>
        <v/>
      </c>
      <c r="N177" s="13">
        <f>((((VLOOKUP(B177,Database!$A:$AS,MATCH($N$1,Database!$A$1:$AS$1,),))))-(((VLOOKUP(EDATE(B177,-12),Database!$A:$AS,MATCH($N$1,Database!$A$1:$AS$1,),)))))/(((VLOOKUP(EDATE(B177,-12),Database!$A:$AS,MATCH($N$1,Database!$A$1:$AS$1,),))))</f>
        <v/>
      </c>
      <c r="O177" s="13">
        <f>IF(VLOOKUP(B177,Database!$A:$AV,MATCH($O$1,Database!$A$1:$AV$1,),)=0,"#N/A",((((VLOOKUP(B177,Database!$A:$AS,MATCH($O$1,Database!$A$1:$AS$1,),))))-(((VLOOKUP(EDATE(B177,-12),Database!$A:$AS,MATCH($O$1,Database!$A$1:$AS$1,),)))))/(((VLOOKUP(EDATE(B177,-12),Database!$A:$AS,MATCH($O$1,Database!$A$1:$AS$1,),)))))</f>
        <v/>
      </c>
      <c r="P177" s="13">
        <f>IF(VLOOKUP(B177,Database!$A:$AV,MATCH($P$1,Database!$A$1:$AV$1,),)=0,"#N/A",((((VLOOKUP(B177,Database!$A:$AS,MATCH($P$1,Database!$A$1:$AS$1,),))))-(((VLOOKUP(EDATE(B177,-12),Database!$A:$AS,MATCH($P$1,Database!$A$1:$AS$1,),)))))/(((VLOOKUP(EDATE(B177,-12),Database!$A:$AS,MATCH($P$1,Database!$A$1:$AS$1,),)))))</f>
        <v/>
      </c>
      <c r="Q177" s="13">
        <f>IF(VLOOKUP(B177,Database!$A:$AV,MATCH($Q$1,Database!$A$1:$AV$1,),)=0,"#N/A",((((VLOOKUP(B177,Database!$A:$AS,MATCH($Q$1,Database!$A$1:$AS$1,),))))-(((VLOOKUP(EDATE(B177,-12),Database!$A:$AS,MATCH($Q$1,Database!$A$1:$AS$1,),)))))/(((VLOOKUP(EDATE(B177,-12),Database!$A:$AS,MATCH($Q$1,Database!$A$1:$AS$1,),)))))</f>
        <v/>
      </c>
      <c r="R177" s="13">
        <f>IF(VLOOKUP(B177,Database!$A:$AV,MATCH($R$1,Database!$A$1:$AV$1,),)=0,"#N/A",((((VLOOKUP(B177,Database!$A:$AS,MATCH($R$1,Database!$A$1:$AS$1,),))))-(((VLOOKUP(EDATE(B177,-12),Database!$A:$AS,MATCH($R$1,Database!$A$1:$AS$1,),)))))/(((VLOOKUP(EDATE(B177,-12),Database!$A:$AS,MATCH($R$1,Database!$A$1:$AS$1,),)))))</f>
        <v/>
      </c>
      <c r="S177" s="13">
        <f>IF(VLOOKUP(B177,Database!$A:$AV,MATCH($S$1,Database!$A$1:$AV$1,),)=0,"#N/A",((((VLOOKUP(B177,Database!$A:$AS,MATCH($S$1,Database!$A$1:$AS$1,),))))-(((VLOOKUP(EDATE(B177,-12),Database!$A:$AS,MATCH($S$1,Database!$A$1:$AS$1,),)))))/(((VLOOKUP(EDATE(B177,-12),Database!$A:$AS,MATCH($S$1,Database!$A$1:$AS$1,),)))))</f>
        <v/>
      </c>
      <c r="T177" s="13">
        <f>IF(VLOOKUP(B177,Database!$A:$AV,MATCH($T$1,Database!$A$1:$AV$1,),)=0,"#N/A",((((VLOOKUP(B177,Database!$A:$AS,MATCH($T$1,Database!$A$1:$AS$1,),))))-(((VLOOKUP(EDATE(B177,-12),Database!$A:$AS,MATCH($T$1,Database!$A$1:$AS$1,),)))))/(((VLOOKUP(EDATE(B177,-12),Database!$A:$AS,MATCH($T$1,Database!$A$1:$AS$1,),)))))</f>
        <v/>
      </c>
      <c r="U177" s="13">
        <f>IF(VLOOKUP(B177,Database!$A:$AV,MATCH($U$1,Database!$A$1:$AV$1,),)=0,"#N/A",((((VLOOKUP(B177,Database!$A:$AS,MATCH($U$1,Database!$A$1:$AS$1,),))))-(((VLOOKUP(EDATE(B177,-12),Database!$A:$AS,MATCH($U$1,Database!$A$1:$AS$1,),)))))/(((VLOOKUP(EDATE(B177,-12),Database!$A:$AS,MATCH($U$1,Database!$A$1:$AS$1,),)))))</f>
        <v/>
      </c>
      <c r="V177" s="13">
        <f>IF(VLOOKUP(B177,Database!$A:$AV,MATCH($V$1,Database!$A$1:$AV$1,),)=0,"#N/A",((((VLOOKUP(B177,Database!$A:$AS,MATCH($V$1,Database!$A$1:$AS$1,),))))-(((VLOOKUP(EDATE(B177,-12),Database!$A:$AS,MATCH($V$1,Database!$A$1:$AS$1,),)))))/(((VLOOKUP(EDATE(B177,-12),Database!$A:$AS,MATCH($V$1,Database!$A$1:$AS$1,),)))))</f>
        <v/>
      </c>
    </row>
    <row r="178" customFormat="1" s="86">
      <c r="A178" s="43" t="n"/>
      <c r="B178" s="75" t="n">
        <v>37561</v>
      </c>
      <c r="C178" s="13">
        <f>IF(VLOOKUP(B178,Database!$A:$AU,MATCH($C$1,Database!$A$1:$AU$1,),)=0,"#N/A",((((VLOOKUP(B178,Database!$A:$AU,MATCH($C$1,Database!$A$1:$AU$1,),))))-(((VLOOKUP(EDATE(B178,-12),Database!$A:$AU,MATCH($C$1,Database!$A$1:$AU$1,),)))))/(((VLOOKUP(EDATE(B178,-12),Database!$A:$AU,MATCH($C$1,Database!$A$1:$AU$1,),)))))</f>
        <v/>
      </c>
      <c r="D178" s="13">
        <f>IF(VLOOKUP(B178,Database!$A:$AV,MATCH($D$1,Database!$A$1:$AV$1,),)=0,"#N/A",((((VLOOKUP(B178,Database!$A:$AS,MATCH($D$1,Database!$A$1:$AS$1,),))))-(((VLOOKUP(EDATE(B178,-12),Database!$A:$AS,MATCH($D$1,Database!$A$1:$AS$1,),)))))/(((VLOOKUP(EDATE(B178,-12),Database!$A:$AS,MATCH($D$1,Database!$A$1:$AS$1,),)))))</f>
        <v/>
      </c>
      <c r="E178" s="13">
        <f>IF(VLOOKUP(B178,Database!$A:$AV,MATCH($E$1,Database!$A$1:$AV$1,),)=0,"#N/A",((((VLOOKUP(B178,Database!$A:$AS,MATCH($E$1,Database!$A$1:$AS$1,),))))-(((VLOOKUP(EDATE(B178,-12),Database!$A:$AS,MATCH($E$1,Database!$A$1:$AS$1,),)))))/(((VLOOKUP(EDATE(B178,-12),Database!$A:$AS,MATCH($E$1,Database!$A$1:$AS$1,),)))))</f>
        <v/>
      </c>
      <c r="F178" s="13">
        <f>IF(VLOOKUP(B178,Database!$A:$AV,MATCH($F$1,Database!$A$1:$AV$1,),)=0,"#N/A",((((VLOOKUP(B178,Database!$A:$AS,MATCH($F$1,Database!$A$1:$AS$1,),))))-(((VLOOKUP(EDATE(B178,-12),Database!$A:$AS,MATCH($F$1,Database!$A$1:$AS$1,),)))))/(((VLOOKUP(EDATE(B178,-12),Database!$A:$AS,MATCH($F$1,Database!$A$1:$AS$1,),)))))</f>
        <v/>
      </c>
      <c r="G178" s="13">
        <f>IF(VLOOKUP(B178,Database!$A:$AV,MATCH($G$1,Database!$A$1:$AV$1,),)=0,"#N/A",((((VLOOKUP(B178,Database!$A:$AS,MATCH($G$1,Database!$A$1:$AS$1,),))))-(((VLOOKUP(EDATE(B178,-12),Database!$A:$AS,MATCH($G$1,Database!$A$1:$AS$1,),)))))/(((VLOOKUP(EDATE(B178,-12),Database!$A:$AS,MATCH($G$1,Database!$A$1:$AS$1,),)))))</f>
        <v/>
      </c>
      <c r="H178" s="13">
        <f>IF(VLOOKUP(B178,Database!$A:$AV,MATCH($H$1,Database!$A$1:$AV$1,),)=0,"#N/A",((((VLOOKUP(B178,Database!$A:$AS,MATCH($H$1,Database!$A$1:$AS$1,),))))-(((VLOOKUP(EDATE(B178,-12),Database!$A:$AS,MATCH($H$1,Database!$A$1:$AS$1,),)))))/(((VLOOKUP(EDATE(B178,-12),Database!$A:$AS,MATCH($H$1,Database!$A$1:$AS$1,),)))))</f>
        <v/>
      </c>
      <c r="I178" s="13">
        <f>IF(VLOOKUP(B178,Database!$A:$AV,MATCH($I$1,Database!$A$1:$AV$1,),)=0,"#N/A",((((VLOOKUP(B178,Database!$A:$AS,MATCH($I$1,Database!$A$1:$AS$1,),))))-(((VLOOKUP(EDATE(B178,-12),Database!$A:$AS,MATCH($I$1,Database!$A$1:$AS$1,),)))))/(((VLOOKUP(EDATE(B178,-12),Database!$A:$AS,MATCH($I$1,Database!$A$1:$AS$1,),)))))</f>
        <v/>
      </c>
      <c r="J178" s="13">
        <f>IF(VLOOKUP(B178,Database!$A:$AV,MATCH($J$1,Database!$A$1:$AV$1,),)=0,"#N/A",((((VLOOKUP(B178,Database!$A:$AS,MATCH($J$1,Database!$A$1:$AS$1,),))))-(((VLOOKUP(EDATE(B178,-12),Database!$A:$AS,MATCH($J$1,Database!$A$1:$AS$1,),)))))/(((VLOOKUP(EDATE(B178,-12),Database!$A:$AS,MATCH($J$1,Database!$A$1:$AS$1,),)))))</f>
        <v/>
      </c>
      <c r="K178" s="13">
        <f>IF(VLOOKUP(B178,Database!$A:$AV,MATCH($K$1,Database!$A$1:$AV$1,),)=0,"#N/A",((((VLOOKUP(B178,Database!$A:$AS,MATCH($K$1,Database!$A$1:$AS$1,),))))-(((VLOOKUP(EDATE(B178,-12),Database!$A:$AS,MATCH($K$1,Database!$A$1:$AS$1,),)))))/(((VLOOKUP(EDATE(B178,-12),Database!$A:$AS,MATCH($K$1,Database!$A$1:$AS$1,),)))))</f>
        <v/>
      </c>
      <c r="L178" s="13">
        <f>((((VLOOKUP(B178,Database!$A:$AS,MATCH($L$1,Database!$A$1:$AS$1,),))))-(((VLOOKUP(EDATE(B178,-12),Database!$A:$AS,MATCH($L$1,Database!$A$1:$AS$1,),)))))/(((VLOOKUP(EDATE(B178,-12),Database!$A:$AS,MATCH($L$1,Database!$A$1:$AS$1,),))))</f>
        <v/>
      </c>
      <c r="M178" s="13">
        <f>((((VLOOKUP(B178,Database!$A:$AS,MATCH($M$1,Database!$A$1:$AS$1,),))))-(((VLOOKUP(EDATE(B178,-12),Database!$A:$AS,MATCH($M$1,Database!$A$1:$AS$1,),)))))/(((VLOOKUP(EDATE(B178,-12),Database!$A:$AS,MATCH($M$1,Database!$A$1:$AS$1,),))))</f>
        <v/>
      </c>
      <c r="N178" s="13">
        <f>((((VLOOKUP(B178,Database!$A:$AS,MATCH($N$1,Database!$A$1:$AS$1,),))))-(((VLOOKUP(EDATE(B178,-12),Database!$A:$AS,MATCH($N$1,Database!$A$1:$AS$1,),)))))/(((VLOOKUP(EDATE(B178,-12),Database!$A:$AS,MATCH($N$1,Database!$A$1:$AS$1,),))))</f>
        <v/>
      </c>
      <c r="O178" s="13">
        <f>IF(VLOOKUP(B178,Database!$A:$AV,MATCH($O$1,Database!$A$1:$AV$1,),)=0,"#N/A",((((VLOOKUP(B178,Database!$A:$AS,MATCH($O$1,Database!$A$1:$AS$1,),))))-(((VLOOKUP(EDATE(B178,-12),Database!$A:$AS,MATCH($O$1,Database!$A$1:$AS$1,),)))))/(((VLOOKUP(EDATE(B178,-12),Database!$A:$AS,MATCH($O$1,Database!$A$1:$AS$1,),)))))</f>
        <v/>
      </c>
      <c r="P178" s="13">
        <f>IF(VLOOKUP(B178,Database!$A:$AV,MATCH($P$1,Database!$A$1:$AV$1,),)=0,"#N/A",((((VLOOKUP(B178,Database!$A:$AS,MATCH($P$1,Database!$A$1:$AS$1,),))))-(((VLOOKUP(EDATE(B178,-12),Database!$A:$AS,MATCH($P$1,Database!$A$1:$AS$1,),)))))/(((VLOOKUP(EDATE(B178,-12),Database!$A:$AS,MATCH($P$1,Database!$A$1:$AS$1,),)))))</f>
        <v/>
      </c>
      <c r="Q178" s="13">
        <f>IF(VLOOKUP(B178,Database!$A:$AV,MATCH($Q$1,Database!$A$1:$AV$1,),)=0,"#N/A",((((VLOOKUP(B178,Database!$A:$AS,MATCH($Q$1,Database!$A$1:$AS$1,),))))-(((VLOOKUP(EDATE(B178,-12),Database!$A:$AS,MATCH($Q$1,Database!$A$1:$AS$1,),)))))/(((VLOOKUP(EDATE(B178,-12),Database!$A:$AS,MATCH($Q$1,Database!$A$1:$AS$1,),)))))</f>
        <v/>
      </c>
      <c r="R178" s="13">
        <f>IF(VLOOKUP(B178,Database!$A:$AV,MATCH($R$1,Database!$A$1:$AV$1,),)=0,"#N/A",((((VLOOKUP(B178,Database!$A:$AS,MATCH($R$1,Database!$A$1:$AS$1,),))))-(((VLOOKUP(EDATE(B178,-12),Database!$A:$AS,MATCH($R$1,Database!$A$1:$AS$1,),)))))/(((VLOOKUP(EDATE(B178,-12),Database!$A:$AS,MATCH($R$1,Database!$A$1:$AS$1,),)))))</f>
        <v/>
      </c>
      <c r="S178" s="13">
        <f>IF(VLOOKUP(B178,Database!$A:$AV,MATCH($S$1,Database!$A$1:$AV$1,),)=0,"#N/A",((((VLOOKUP(B178,Database!$A:$AS,MATCH($S$1,Database!$A$1:$AS$1,),))))-(((VLOOKUP(EDATE(B178,-12),Database!$A:$AS,MATCH($S$1,Database!$A$1:$AS$1,),)))))/(((VLOOKUP(EDATE(B178,-12),Database!$A:$AS,MATCH($S$1,Database!$A$1:$AS$1,),)))))</f>
        <v/>
      </c>
      <c r="T178" s="13">
        <f>IF(VLOOKUP(B178,Database!$A:$AV,MATCH($T$1,Database!$A$1:$AV$1,),)=0,"#N/A",((((VLOOKUP(B178,Database!$A:$AS,MATCH($T$1,Database!$A$1:$AS$1,),))))-(((VLOOKUP(EDATE(B178,-12),Database!$A:$AS,MATCH($T$1,Database!$A$1:$AS$1,),)))))/(((VLOOKUP(EDATE(B178,-12),Database!$A:$AS,MATCH($T$1,Database!$A$1:$AS$1,),)))))</f>
        <v/>
      </c>
      <c r="U178" s="13">
        <f>IF(VLOOKUP(B178,Database!$A:$AV,MATCH($U$1,Database!$A$1:$AV$1,),)=0,"#N/A",((((VLOOKUP(B178,Database!$A:$AS,MATCH($U$1,Database!$A$1:$AS$1,),))))-(((VLOOKUP(EDATE(B178,-12),Database!$A:$AS,MATCH($U$1,Database!$A$1:$AS$1,),)))))/(((VLOOKUP(EDATE(B178,-12),Database!$A:$AS,MATCH($U$1,Database!$A$1:$AS$1,),)))))</f>
        <v/>
      </c>
      <c r="V178" s="13">
        <f>IF(VLOOKUP(B178,Database!$A:$AV,MATCH($V$1,Database!$A$1:$AV$1,),)=0,"#N/A",((((VLOOKUP(B178,Database!$A:$AS,MATCH($V$1,Database!$A$1:$AS$1,),))))-(((VLOOKUP(EDATE(B178,-12),Database!$A:$AS,MATCH($V$1,Database!$A$1:$AS$1,),)))))/(((VLOOKUP(EDATE(B178,-12),Database!$A:$AS,MATCH($V$1,Database!$A$1:$AS$1,),)))))</f>
        <v/>
      </c>
    </row>
    <row r="179" customFormat="1" s="86">
      <c r="A179" s="43" t="n"/>
      <c r="B179" s="75" t="n">
        <v>37591</v>
      </c>
      <c r="C179" s="13">
        <f>IF(VLOOKUP(B179,Database!$A:$AU,MATCH($C$1,Database!$A$1:$AU$1,),)=0,"#N/A",((((VLOOKUP(B179,Database!$A:$AU,MATCH($C$1,Database!$A$1:$AU$1,),))))-(((VLOOKUP(EDATE(B179,-12),Database!$A:$AU,MATCH($C$1,Database!$A$1:$AU$1,),)))))/(((VLOOKUP(EDATE(B179,-12),Database!$A:$AU,MATCH($C$1,Database!$A$1:$AU$1,),)))))</f>
        <v/>
      </c>
      <c r="D179" s="13">
        <f>IF(VLOOKUP(B179,Database!$A:$AV,MATCH($D$1,Database!$A$1:$AV$1,),)=0,"#N/A",((((VLOOKUP(B179,Database!$A:$AS,MATCH($D$1,Database!$A$1:$AS$1,),))))-(((VLOOKUP(EDATE(B179,-12),Database!$A:$AS,MATCH($D$1,Database!$A$1:$AS$1,),)))))/(((VLOOKUP(EDATE(B179,-12),Database!$A:$AS,MATCH($D$1,Database!$A$1:$AS$1,),)))))</f>
        <v/>
      </c>
      <c r="E179" s="13">
        <f>IF(VLOOKUP(B179,Database!$A:$AV,MATCH($E$1,Database!$A$1:$AV$1,),)=0,"#N/A",((((VLOOKUP(B179,Database!$A:$AS,MATCH($E$1,Database!$A$1:$AS$1,),))))-(((VLOOKUP(EDATE(B179,-12),Database!$A:$AS,MATCH($E$1,Database!$A$1:$AS$1,),)))))/(((VLOOKUP(EDATE(B179,-12),Database!$A:$AS,MATCH($E$1,Database!$A$1:$AS$1,),)))))</f>
        <v/>
      </c>
      <c r="F179" s="13">
        <f>IF(VLOOKUP(B179,Database!$A:$AV,MATCH($F$1,Database!$A$1:$AV$1,),)=0,"#N/A",((((VLOOKUP(B179,Database!$A:$AS,MATCH($F$1,Database!$A$1:$AS$1,),))))-(((VLOOKUP(EDATE(B179,-12),Database!$A:$AS,MATCH($F$1,Database!$A$1:$AS$1,),)))))/(((VLOOKUP(EDATE(B179,-12),Database!$A:$AS,MATCH($F$1,Database!$A$1:$AS$1,),)))))</f>
        <v/>
      </c>
      <c r="G179" s="13">
        <f>IF(VLOOKUP(B179,Database!$A:$AV,MATCH($G$1,Database!$A$1:$AV$1,),)=0,"#N/A",((((VLOOKUP(B179,Database!$A:$AS,MATCH($G$1,Database!$A$1:$AS$1,),))))-(((VLOOKUP(EDATE(B179,-12),Database!$A:$AS,MATCH($G$1,Database!$A$1:$AS$1,),)))))/(((VLOOKUP(EDATE(B179,-12),Database!$A:$AS,MATCH($G$1,Database!$A$1:$AS$1,),)))))</f>
        <v/>
      </c>
      <c r="H179" s="13">
        <f>IF(VLOOKUP(B179,Database!$A:$AV,MATCH($H$1,Database!$A$1:$AV$1,),)=0,"#N/A",((((VLOOKUP(B179,Database!$A:$AS,MATCH($H$1,Database!$A$1:$AS$1,),))))-(((VLOOKUP(EDATE(B179,-12),Database!$A:$AS,MATCH($H$1,Database!$A$1:$AS$1,),)))))/(((VLOOKUP(EDATE(B179,-12),Database!$A:$AS,MATCH($H$1,Database!$A$1:$AS$1,),)))))</f>
        <v/>
      </c>
      <c r="I179" s="13">
        <f>IF(VLOOKUP(B179,Database!$A:$AV,MATCH($I$1,Database!$A$1:$AV$1,),)=0,"#N/A",((((VLOOKUP(B179,Database!$A:$AS,MATCH($I$1,Database!$A$1:$AS$1,),))))-(((VLOOKUP(EDATE(B179,-12),Database!$A:$AS,MATCH($I$1,Database!$A$1:$AS$1,),)))))/(((VLOOKUP(EDATE(B179,-12),Database!$A:$AS,MATCH($I$1,Database!$A$1:$AS$1,),)))))</f>
        <v/>
      </c>
      <c r="J179" s="13">
        <f>IF(VLOOKUP(B179,Database!$A:$AV,MATCH($J$1,Database!$A$1:$AV$1,),)=0,"#N/A",((((VLOOKUP(B179,Database!$A:$AS,MATCH($J$1,Database!$A$1:$AS$1,),))))-(((VLOOKUP(EDATE(B179,-12),Database!$A:$AS,MATCH($J$1,Database!$A$1:$AS$1,),)))))/(((VLOOKUP(EDATE(B179,-12),Database!$A:$AS,MATCH($J$1,Database!$A$1:$AS$1,),)))))</f>
        <v/>
      </c>
      <c r="K179" s="13">
        <f>IF(VLOOKUP(B179,Database!$A:$AV,MATCH($K$1,Database!$A$1:$AV$1,),)=0,"#N/A",((((VLOOKUP(B179,Database!$A:$AS,MATCH($K$1,Database!$A$1:$AS$1,),))))-(((VLOOKUP(EDATE(B179,-12),Database!$A:$AS,MATCH($K$1,Database!$A$1:$AS$1,),)))))/(((VLOOKUP(EDATE(B179,-12),Database!$A:$AS,MATCH($K$1,Database!$A$1:$AS$1,),)))))</f>
        <v/>
      </c>
      <c r="L179" s="13">
        <f>((((VLOOKUP(B179,Database!$A:$AS,MATCH($L$1,Database!$A$1:$AS$1,),))))-(((VLOOKUP(EDATE(B179,-12),Database!$A:$AS,MATCH($L$1,Database!$A$1:$AS$1,),)))))/(((VLOOKUP(EDATE(B179,-12),Database!$A:$AS,MATCH($L$1,Database!$A$1:$AS$1,),))))</f>
        <v/>
      </c>
      <c r="M179" s="13">
        <f>((((VLOOKUP(B179,Database!$A:$AS,MATCH($M$1,Database!$A$1:$AS$1,),))))-(((VLOOKUP(EDATE(B179,-12),Database!$A:$AS,MATCH($M$1,Database!$A$1:$AS$1,),)))))/(((VLOOKUP(EDATE(B179,-12),Database!$A:$AS,MATCH($M$1,Database!$A$1:$AS$1,),))))</f>
        <v/>
      </c>
      <c r="N179" s="13">
        <f>((((VLOOKUP(B179,Database!$A:$AS,MATCH($N$1,Database!$A$1:$AS$1,),))))-(((VLOOKUP(EDATE(B179,-12),Database!$A:$AS,MATCH($N$1,Database!$A$1:$AS$1,),)))))/(((VLOOKUP(EDATE(B179,-12),Database!$A:$AS,MATCH($N$1,Database!$A$1:$AS$1,),))))</f>
        <v/>
      </c>
      <c r="O179" s="13">
        <f>IF(VLOOKUP(B179,Database!$A:$AV,MATCH($O$1,Database!$A$1:$AV$1,),)=0,"#N/A",((((VLOOKUP(B179,Database!$A:$AS,MATCH($O$1,Database!$A$1:$AS$1,),))))-(((VLOOKUP(EDATE(B179,-12),Database!$A:$AS,MATCH($O$1,Database!$A$1:$AS$1,),)))))/(((VLOOKUP(EDATE(B179,-12),Database!$A:$AS,MATCH($O$1,Database!$A$1:$AS$1,),)))))</f>
        <v/>
      </c>
      <c r="P179" s="13">
        <f>IF(VLOOKUP(B179,Database!$A:$AV,MATCH($P$1,Database!$A$1:$AV$1,),)=0,"#N/A",((((VLOOKUP(B179,Database!$A:$AS,MATCH($P$1,Database!$A$1:$AS$1,),))))-(((VLOOKUP(EDATE(B179,-12),Database!$A:$AS,MATCH($P$1,Database!$A$1:$AS$1,),)))))/(((VLOOKUP(EDATE(B179,-12),Database!$A:$AS,MATCH($P$1,Database!$A$1:$AS$1,),)))))</f>
        <v/>
      </c>
      <c r="Q179" s="13">
        <f>IF(VLOOKUP(B179,Database!$A:$AV,MATCH($Q$1,Database!$A$1:$AV$1,),)=0,"#N/A",((((VLOOKUP(B179,Database!$A:$AS,MATCH($Q$1,Database!$A$1:$AS$1,),))))-(((VLOOKUP(EDATE(B179,-12),Database!$A:$AS,MATCH($Q$1,Database!$A$1:$AS$1,),)))))/(((VLOOKUP(EDATE(B179,-12),Database!$A:$AS,MATCH($Q$1,Database!$A$1:$AS$1,),)))))</f>
        <v/>
      </c>
      <c r="R179" s="13">
        <f>IF(VLOOKUP(B179,Database!$A:$AV,MATCH($R$1,Database!$A$1:$AV$1,),)=0,"#N/A",((((VLOOKUP(B179,Database!$A:$AS,MATCH($R$1,Database!$A$1:$AS$1,),))))-(((VLOOKUP(EDATE(B179,-12),Database!$A:$AS,MATCH($R$1,Database!$A$1:$AS$1,),)))))/(((VLOOKUP(EDATE(B179,-12),Database!$A:$AS,MATCH($R$1,Database!$A$1:$AS$1,),)))))</f>
        <v/>
      </c>
      <c r="S179" s="13">
        <f>IF(VLOOKUP(B179,Database!$A:$AV,MATCH($S$1,Database!$A$1:$AV$1,),)=0,"#N/A",((((VLOOKUP(B179,Database!$A:$AS,MATCH($S$1,Database!$A$1:$AS$1,),))))-(((VLOOKUP(EDATE(B179,-12),Database!$A:$AS,MATCH($S$1,Database!$A$1:$AS$1,),)))))/(((VLOOKUP(EDATE(B179,-12),Database!$A:$AS,MATCH($S$1,Database!$A$1:$AS$1,),)))))</f>
        <v/>
      </c>
      <c r="T179" s="13">
        <f>IF(VLOOKUP(B179,Database!$A:$AV,MATCH($T$1,Database!$A$1:$AV$1,),)=0,"#N/A",((((VLOOKUP(B179,Database!$A:$AS,MATCH($T$1,Database!$A$1:$AS$1,),))))-(((VLOOKUP(EDATE(B179,-12),Database!$A:$AS,MATCH($T$1,Database!$A$1:$AS$1,),)))))/(((VLOOKUP(EDATE(B179,-12),Database!$A:$AS,MATCH($T$1,Database!$A$1:$AS$1,),)))))</f>
        <v/>
      </c>
      <c r="U179" s="13">
        <f>IF(VLOOKUP(B179,Database!$A:$AV,MATCH($U$1,Database!$A$1:$AV$1,),)=0,"#N/A",((((VLOOKUP(B179,Database!$A:$AS,MATCH($U$1,Database!$A$1:$AS$1,),))))-(((VLOOKUP(EDATE(B179,-12),Database!$A:$AS,MATCH($U$1,Database!$A$1:$AS$1,),)))))/(((VLOOKUP(EDATE(B179,-12),Database!$A:$AS,MATCH($U$1,Database!$A$1:$AS$1,),)))))</f>
        <v/>
      </c>
      <c r="V179" s="13">
        <f>IF(VLOOKUP(B179,Database!$A:$AV,MATCH($V$1,Database!$A$1:$AV$1,),)=0,"#N/A",((((VLOOKUP(B179,Database!$A:$AS,MATCH($V$1,Database!$A$1:$AS$1,),))))-(((VLOOKUP(EDATE(B179,-12),Database!$A:$AS,MATCH($V$1,Database!$A$1:$AS$1,),)))))/(((VLOOKUP(EDATE(B179,-12),Database!$A:$AS,MATCH($V$1,Database!$A$1:$AS$1,),)))))</f>
        <v/>
      </c>
    </row>
    <row r="180" customFormat="1" s="86">
      <c r="A180" s="43" t="n"/>
      <c r="B180" s="75" t="n">
        <v>37622</v>
      </c>
      <c r="C180" s="13">
        <f>IF(VLOOKUP(B180,Database!$A:$AU,MATCH($C$1,Database!$A$1:$AU$1,),)=0,"#N/A",((((VLOOKUP(B180,Database!$A:$AU,MATCH($C$1,Database!$A$1:$AU$1,),))))-(((VLOOKUP(EDATE(B180,-12),Database!$A:$AU,MATCH($C$1,Database!$A$1:$AU$1,),)))))/(((VLOOKUP(EDATE(B180,-12),Database!$A:$AU,MATCH($C$1,Database!$A$1:$AU$1,),)))))</f>
        <v/>
      </c>
      <c r="D180" s="13">
        <f>IF(VLOOKUP(B180,Database!$A:$AV,MATCH($D$1,Database!$A$1:$AV$1,),)=0,"#N/A",((((VLOOKUP(B180,Database!$A:$AS,MATCH($D$1,Database!$A$1:$AS$1,),))))-(((VLOOKUP(EDATE(B180,-12),Database!$A:$AS,MATCH($D$1,Database!$A$1:$AS$1,),)))))/(((VLOOKUP(EDATE(B180,-12),Database!$A:$AS,MATCH($D$1,Database!$A$1:$AS$1,),)))))</f>
        <v/>
      </c>
      <c r="E180" s="13">
        <f>IF(VLOOKUP(B180,Database!$A:$AV,MATCH($E$1,Database!$A$1:$AV$1,),)=0,"#N/A",((((VLOOKUP(B180,Database!$A:$AS,MATCH($E$1,Database!$A$1:$AS$1,),))))-(((VLOOKUP(EDATE(B180,-12),Database!$A:$AS,MATCH($E$1,Database!$A$1:$AS$1,),)))))/(((VLOOKUP(EDATE(B180,-12),Database!$A:$AS,MATCH($E$1,Database!$A$1:$AS$1,),)))))</f>
        <v/>
      </c>
      <c r="F180" s="13">
        <f>IF(VLOOKUP(B180,Database!$A:$AV,MATCH($F$1,Database!$A$1:$AV$1,),)=0,"#N/A",((((VLOOKUP(B180,Database!$A:$AS,MATCH($F$1,Database!$A$1:$AS$1,),))))-(((VLOOKUP(EDATE(B180,-12),Database!$A:$AS,MATCH($F$1,Database!$A$1:$AS$1,),)))))/(((VLOOKUP(EDATE(B180,-12),Database!$A:$AS,MATCH($F$1,Database!$A$1:$AS$1,),)))))</f>
        <v/>
      </c>
      <c r="G180" s="13">
        <f>IF(VLOOKUP(B180,Database!$A:$AV,MATCH($G$1,Database!$A$1:$AV$1,),)=0,"#N/A",((((VLOOKUP(B180,Database!$A:$AS,MATCH($G$1,Database!$A$1:$AS$1,),))))-(((VLOOKUP(EDATE(B180,-12),Database!$A:$AS,MATCH($G$1,Database!$A$1:$AS$1,),)))))/(((VLOOKUP(EDATE(B180,-12),Database!$A:$AS,MATCH($G$1,Database!$A$1:$AS$1,),)))))</f>
        <v/>
      </c>
      <c r="H180" s="13">
        <f>IF(VLOOKUP(B180,Database!$A:$AV,MATCH($H$1,Database!$A$1:$AV$1,),)=0,"#N/A",((((VLOOKUP(B180,Database!$A:$AS,MATCH($H$1,Database!$A$1:$AS$1,),))))-(((VLOOKUP(EDATE(B180,-12),Database!$A:$AS,MATCH($H$1,Database!$A$1:$AS$1,),)))))/(((VLOOKUP(EDATE(B180,-12),Database!$A:$AS,MATCH($H$1,Database!$A$1:$AS$1,),)))))</f>
        <v/>
      </c>
      <c r="I180" s="13">
        <f>IF(VLOOKUP(B180,Database!$A:$AV,MATCH($I$1,Database!$A$1:$AV$1,),)=0,"#N/A",((((VLOOKUP(B180,Database!$A:$AS,MATCH($I$1,Database!$A$1:$AS$1,),))))-(((VLOOKUP(EDATE(B180,-12),Database!$A:$AS,MATCH($I$1,Database!$A$1:$AS$1,),)))))/(((VLOOKUP(EDATE(B180,-12),Database!$A:$AS,MATCH($I$1,Database!$A$1:$AS$1,),)))))</f>
        <v/>
      </c>
      <c r="J180" s="13">
        <f>IF(VLOOKUP(B180,Database!$A:$AV,MATCH($J$1,Database!$A$1:$AV$1,),)=0,"#N/A",((((VLOOKUP(B180,Database!$A:$AS,MATCH($J$1,Database!$A$1:$AS$1,),))))-(((VLOOKUP(EDATE(B180,-12),Database!$A:$AS,MATCH($J$1,Database!$A$1:$AS$1,),)))))/(((VLOOKUP(EDATE(B180,-12),Database!$A:$AS,MATCH($J$1,Database!$A$1:$AS$1,),)))))</f>
        <v/>
      </c>
      <c r="K180" s="13">
        <f>IF(VLOOKUP(B180,Database!$A:$AV,MATCH($K$1,Database!$A$1:$AV$1,),)=0,"#N/A",((((VLOOKUP(B180,Database!$A:$AS,MATCH($K$1,Database!$A$1:$AS$1,),))))-(((VLOOKUP(EDATE(B180,-12),Database!$A:$AS,MATCH($K$1,Database!$A$1:$AS$1,),)))))/(((VLOOKUP(EDATE(B180,-12),Database!$A:$AS,MATCH($K$1,Database!$A$1:$AS$1,),)))))</f>
        <v/>
      </c>
      <c r="L180" s="13">
        <f>((((VLOOKUP(B180,Database!$A:$AS,MATCH($L$1,Database!$A$1:$AS$1,),))))-(((VLOOKUP(EDATE(B180,-12),Database!$A:$AS,MATCH($L$1,Database!$A$1:$AS$1,),)))))/(((VLOOKUP(EDATE(B180,-12),Database!$A:$AS,MATCH($L$1,Database!$A$1:$AS$1,),))))</f>
        <v/>
      </c>
      <c r="M180" s="13">
        <f>((((VLOOKUP(B180,Database!$A:$AS,MATCH($M$1,Database!$A$1:$AS$1,),))))-(((VLOOKUP(EDATE(B180,-12),Database!$A:$AS,MATCH($M$1,Database!$A$1:$AS$1,),)))))/(((VLOOKUP(EDATE(B180,-12),Database!$A:$AS,MATCH($M$1,Database!$A$1:$AS$1,),))))</f>
        <v/>
      </c>
      <c r="N180" s="13">
        <f>((((VLOOKUP(B180,Database!$A:$AS,MATCH($N$1,Database!$A$1:$AS$1,),))))-(((VLOOKUP(EDATE(B180,-12),Database!$A:$AS,MATCH($N$1,Database!$A$1:$AS$1,),)))))/(((VLOOKUP(EDATE(B180,-12),Database!$A:$AS,MATCH($N$1,Database!$A$1:$AS$1,),))))</f>
        <v/>
      </c>
      <c r="O180" s="13">
        <f>IF(VLOOKUP(B180,Database!$A:$AV,MATCH($O$1,Database!$A$1:$AV$1,),)=0,"#N/A",((((VLOOKUP(B180,Database!$A:$AS,MATCH($O$1,Database!$A$1:$AS$1,),))))-(((VLOOKUP(EDATE(B180,-12),Database!$A:$AS,MATCH($O$1,Database!$A$1:$AS$1,),)))))/(((VLOOKUP(EDATE(B180,-12),Database!$A:$AS,MATCH($O$1,Database!$A$1:$AS$1,),)))))</f>
        <v/>
      </c>
      <c r="P180" s="13">
        <f>IF(VLOOKUP(B180,Database!$A:$AV,MATCH($P$1,Database!$A$1:$AV$1,),)=0,"#N/A",((((VLOOKUP(B180,Database!$A:$AS,MATCH($P$1,Database!$A$1:$AS$1,),))))-(((VLOOKUP(EDATE(B180,-12),Database!$A:$AS,MATCH($P$1,Database!$A$1:$AS$1,),)))))/(((VLOOKUP(EDATE(B180,-12),Database!$A:$AS,MATCH($P$1,Database!$A$1:$AS$1,),)))))</f>
        <v/>
      </c>
      <c r="Q180" s="13">
        <f>IF(VLOOKUP(B180,Database!$A:$AV,MATCH($Q$1,Database!$A$1:$AV$1,),)=0,"#N/A",((((VLOOKUP(B180,Database!$A:$AS,MATCH($Q$1,Database!$A$1:$AS$1,),))))-(((VLOOKUP(EDATE(B180,-12),Database!$A:$AS,MATCH($Q$1,Database!$A$1:$AS$1,),)))))/(((VLOOKUP(EDATE(B180,-12),Database!$A:$AS,MATCH($Q$1,Database!$A$1:$AS$1,),)))))</f>
        <v/>
      </c>
      <c r="R180" s="13">
        <f>IF(VLOOKUP(B180,Database!$A:$AV,MATCH($R$1,Database!$A$1:$AV$1,),)=0,"#N/A",((((VLOOKUP(B180,Database!$A:$AS,MATCH($R$1,Database!$A$1:$AS$1,),))))-(((VLOOKUP(EDATE(B180,-12),Database!$A:$AS,MATCH($R$1,Database!$A$1:$AS$1,),)))))/(((VLOOKUP(EDATE(B180,-12),Database!$A:$AS,MATCH($R$1,Database!$A$1:$AS$1,),)))))</f>
        <v/>
      </c>
      <c r="S180" s="13">
        <f>IF(VLOOKUP(B180,Database!$A:$AV,MATCH($S$1,Database!$A$1:$AV$1,),)=0,"#N/A",((((VLOOKUP(B180,Database!$A:$AS,MATCH($S$1,Database!$A$1:$AS$1,),))))-(((VLOOKUP(EDATE(B180,-12),Database!$A:$AS,MATCH($S$1,Database!$A$1:$AS$1,),)))))/(((VLOOKUP(EDATE(B180,-12),Database!$A:$AS,MATCH($S$1,Database!$A$1:$AS$1,),)))))</f>
        <v/>
      </c>
      <c r="T180" s="13">
        <f>IF(VLOOKUP(B180,Database!$A:$AV,MATCH($T$1,Database!$A$1:$AV$1,),)=0,"#N/A",((((VLOOKUP(B180,Database!$A:$AS,MATCH($T$1,Database!$A$1:$AS$1,),))))-(((VLOOKUP(EDATE(B180,-12),Database!$A:$AS,MATCH($T$1,Database!$A$1:$AS$1,),)))))/(((VLOOKUP(EDATE(B180,-12),Database!$A:$AS,MATCH($T$1,Database!$A$1:$AS$1,),)))))</f>
        <v/>
      </c>
      <c r="U180" s="13">
        <f>IF(VLOOKUP(B180,Database!$A:$AV,MATCH($U$1,Database!$A$1:$AV$1,),)=0,"#N/A",((((VLOOKUP(B180,Database!$A:$AS,MATCH($U$1,Database!$A$1:$AS$1,),))))-(((VLOOKUP(EDATE(B180,-12),Database!$A:$AS,MATCH($U$1,Database!$A$1:$AS$1,),)))))/(((VLOOKUP(EDATE(B180,-12),Database!$A:$AS,MATCH($U$1,Database!$A$1:$AS$1,),)))))</f>
        <v/>
      </c>
      <c r="V180" s="13">
        <f>IF(VLOOKUP(B180,Database!$A:$AV,MATCH($V$1,Database!$A$1:$AV$1,),)=0,"#N/A",((((VLOOKUP(B180,Database!$A:$AS,MATCH($V$1,Database!$A$1:$AS$1,),))))-(((VLOOKUP(EDATE(B180,-12),Database!$A:$AS,MATCH($V$1,Database!$A$1:$AS$1,),)))))/(((VLOOKUP(EDATE(B180,-12),Database!$A:$AS,MATCH($V$1,Database!$A$1:$AS$1,),)))))</f>
        <v/>
      </c>
    </row>
    <row r="181" customFormat="1" s="86">
      <c r="A181" s="43" t="n"/>
      <c r="B181" s="75" t="n">
        <v>37653</v>
      </c>
      <c r="C181" s="13">
        <f>IF(VLOOKUP(B181,Database!$A:$AU,MATCH($C$1,Database!$A$1:$AU$1,),)=0,"#N/A",((((VLOOKUP(B181,Database!$A:$AU,MATCH($C$1,Database!$A$1:$AU$1,),))))-(((VLOOKUP(EDATE(B181,-12),Database!$A:$AU,MATCH($C$1,Database!$A$1:$AU$1,),)))))/(((VLOOKUP(EDATE(B181,-12),Database!$A:$AU,MATCH($C$1,Database!$A$1:$AU$1,),)))))</f>
        <v/>
      </c>
      <c r="D181" s="13">
        <f>IF(VLOOKUP(B181,Database!$A:$AV,MATCH($D$1,Database!$A$1:$AV$1,),)=0,"#N/A",((((VLOOKUP(B181,Database!$A:$AS,MATCH($D$1,Database!$A$1:$AS$1,),))))-(((VLOOKUP(EDATE(B181,-12),Database!$A:$AS,MATCH($D$1,Database!$A$1:$AS$1,),)))))/(((VLOOKUP(EDATE(B181,-12),Database!$A:$AS,MATCH($D$1,Database!$A$1:$AS$1,),)))))</f>
        <v/>
      </c>
      <c r="E181" s="13">
        <f>IF(VLOOKUP(B181,Database!$A:$AV,MATCH($E$1,Database!$A$1:$AV$1,),)=0,"#N/A",((((VLOOKUP(B181,Database!$A:$AS,MATCH($E$1,Database!$A$1:$AS$1,),))))-(((VLOOKUP(EDATE(B181,-12),Database!$A:$AS,MATCH($E$1,Database!$A$1:$AS$1,),)))))/(((VLOOKUP(EDATE(B181,-12),Database!$A:$AS,MATCH($E$1,Database!$A$1:$AS$1,),)))))</f>
        <v/>
      </c>
      <c r="F181" s="13">
        <f>IF(VLOOKUP(B181,Database!$A:$AV,MATCH($F$1,Database!$A$1:$AV$1,),)=0,"#N/A",((((VLOOKUP(B181,Database!$A:$AS,MATCH($F$1,Database!$A$1:$AS$1,),))))-(((VLOOKUP(EDATE(B181,-12),Database!$A:$AS,MATCH($F$1,Database!$A$1:$AS$1,),)))))/(((VLOOKUP(EDATE(B181,-12),Database!$A:$AS,MATCH($F$1,Database!$A$1:$AS$1,),)))))</f>
        <v/>
      </c>
      <c r="G181" s="13">
        <f>IF(VLOOKUP(B181,Database!$A:$AV,MATCH($G$1,Database!$A$1:$AV$1,),)=0,"#N/A",((((VLOOKUP(B181,Database!$A:$AS,MATCH($G$1,Database!$A$1:$AS$1,),))))-(((VLOOKUP(EDATE(B181,-12),Database!$A:$AS,MATCH($G$1,Database!$A$1:$AS$1,),)))))/(((VLOOKUP(EDATE(B181,-12),Database!$A:$AS,MATCH($G$1,Database!$A$1:$AS$1,),)))))</f>
        <v/>
      </c>
      <c r="H181" s="13">
        <f>IF(VLOOKUP(B181,Database!$A:$AV,MATCH($H$1,Database!$A$1:$AV$1,),)=0,"#N/A",((((VLOOKUP(B181,Database!$A:$AS,MATCH($H$1,Database!$A$1:$AS$1,),))))-(((VLOOKUP(EDATE(B181,-12),Database!$A:$AS,MATCH($H$1,Database!$A$1:$AS$1,),)))))/(((VLOOKUP(EDATE(B181,-12),Database!$A:$AS,MATCH($H$1,Database!$A$1:$AS$1,),)))))</f>
        <v/>
      </c>
      <c r="I181" s="13">
        <f>IF(VLOOKUP(B181,Database!$A:$AV,MATCH($I$1,Database!$A$1:$AV$1,),)=0,"#N/A",((((VLOOKUP(B181,Database!$A:$AS,MATCH($I$1,Database!$A$1:$AS$1,),))))-(((VLOOKUP(EDATE(B181,-12),Database!$A:$AS,MATCH($I$1,Database!$A$1:$AS$1,),)))))/(((VLOOKUP(EDATE(B181,-12),Database!$A:$AS,MATCH($I$1,Database!$A$1:$AS$1,),)))))</f>
        <v/>
      </c>
      <c r="J181" s="13">
        <f>IF(VLOOKUP(B181,Database!$A:$AV,MATCH($J$1,Database!$A$1:$AV$1,),)=0,"#N/A",((((VLOOKUP(B181,Database!$A:$AS,MATCH($J$1,Database!$A$1:$AS$1,),))))-(((VLOOKUP(EDATE(B181,-12),Database!$A:$AS,MATCH($J$1,Database!$A$1:$AS$1,),)))))/(((VLOOKUP(EDATE(B181,-12),Database!$A:$AS,MATCH($J$1,Database!$A$1:$AS$1,),)))))</f>
        <v/>
      </c>
      <c r="K181" s="13">
        <f>IF(VLOOKUP(B181,Database!$A:$AV,MATCH($K$1,Database!$A$1:$AV$1,),)=0,"#N/A",((((VLOOKUP(B181,Database!$A:$AS,MATCH($K$1,Database!$A$1:$AS$1,),))))-(((VLOOKUP(EDATE(B181,-12),Database!$A:$AS,MATCH($K$1,Database!$A$1:$AS$1,),)))))/(((VLOOKUP(EDATE(B181,-12),Database!$A:$AS,MATCH($K$1,Database!$A$1:$AS$1,),)))))</f>
        <v/>
      </c>
      <c r="L181" s="13">
        <f>((((VLOOKUP(B181,Database!$A:$AS,MATCH($L$1,Database!$A$1:$AS$1,),))))-(((VLOOKUP(EDATE(B181,-12),Database!$A:$AS,MATCH($L$1,Database!$A$1:$AS$1,),)))))/(((VLOOKUP(EDATE(B181,-12),Database!$A:$AS,MATCH($L$1,Database!$A$1:$AS$1,),))))</f>
        <v/>
      </c>
      <c r="M181" s="13">
        <f>((((VLOOKUP(B181,Database!$A:$AS,MATCH($M$1,Database!$A$1:$AS$1,),))))-(((VLOOKUP(EDATE(B181,-12),Database!$A:$AS,MATCH($M$1,Database!$A$1:$AS$1,),)))))/(((VLOOKUP(EDATE(B181,-12),Database!$A:$AS,MATCH($M$1,Database!$A$1:$AS$1,),))))</f>
        <v/>
      </c>
      <c r="N181" s="13">
        <f>((((VLOOKUP(B181,Database!$A:$AS,MATCH($N$1,Database!$A$1:$AS$1,),))))-(((VLOOKUP(EDATE(B181,-12),Database!$A:$AS,MATCH($N$1,Database!$A$1:$AS$1,),)))))/(((VLOOKUP(EDATE(B181,-12),Database!$A:$AS,MATCH($N$1,Database!$A$1:$AS$1,),))))</f>
        <v/>
      </c>
      <c r="O181" s="13">
        <f>IF(VLOOKUP(B181,Database!$A:$AV,MATCH($O$1,Database!$A$1:$AV$1,),)=0,"#N/A",((((VLOOKUP(B181,Database!$A:$AS,MATCH($O$1,Database!$A$1:$AS$1,),))))-(((VLOOKUP(EDATE(B181,-12),Database!$A:$AS,MATCH($O$1,Database!$A$1:$AS$1,),)))))/(((VLOOKUP(EDATE(B181,-12),Database!$A:$AS,MATCH($O$1,Database!$A$1:$AS$1,),)))))</f>
        <v/>
      </c>
      <c r="P181" s="13">
        <f>IF(VLOOKUP(B181,Database!$A:$AV,MATCH($P$1,Database!$A$1:$AV$1,),)=0,"#N/A",((((VLOOKUP(B181,Database!$A:$AS,MATCH($P$1,Database!$A$1:$AS$1,),))))-(((VLOOKUP(EDATE(B181,-12),Database!$A:$AS,MATCH($P$1,Database!$A$1:$AS$1,),)))))/(((VLOOKUP(EDATE(B181,-12),Database!$A:$AS,MATCH($P$1,Database!$A$1:$AS$1,),)))))</f>
        <v/>
      </c>
      <c r="Q181" s="13">
        <f>IF(VLOOKUP(B181,Database!$A:$AV,MATCH($Q$1,Database!$A$1:$AV$1,),)=0,"#N/A",((((VLOOKUP(B181,Database!$A:$AS,MATCH($Q$1,Database!$A$1:$AS$1,),))))-(((VLOOKUP(EDATE(B181,-12),Database!$A:$AS,MATCH($Q$1,Database!$A$1:$AS$1,),)))))/(((VLOOKUP(EDATE(B181,-12),Database!$A:$AS,MATCH($Q$1,Database!$A$1:$AS$1,),)))))</f>
        <v/>
      </c>
      <c r="R181" s="13">
        <f>IF(VLOOKUP(B181,Database!$A:$AV,MATCH($R$1,Database!$A$1:$AV$1,),)=0,"#N/A",((((VLOOKUP(B181,Database!$A:$AS,MATCH($R$1,Database!$A$1:$AS$1,),))))-(((VLOOKUP(EDATE(B181,-12),Database!$A:$AS,MATCH($R$1,Database!$A$1:$AS$1,),)))))/(((VLOOKUP(EDATE(B181,-12),Database!$A:$AS,MATCH($R$1,Database!$A$1:$AS$1,),)))))</f>
        <v/>
      </c>
      <c r="S181" s="13">
        <f>IF(VLOOKUP(B181,Database!$A:$AV,MATCH($S$1,Database!$A$1:$AV$1,),)=0,"#N/A",((((VLOOKUP(B181,Database!$A:$AS,MATCH($S$1,Database!$A$1:$AS$1,),))))-(((VLOOKUP(EDATE(B181,-12),Database!$A:$AS,MATCH($S$1,Database!$A$1:$AS$1,),)))))/(((VLOOKUP(EDATE(B181,-12),Database!$A:$AS,MATCH($S$1,Database!$A$1:$AS$1,),)))))</f>
        <v/>
      </c>
      <c r="T181" s="13">
        <f>IF(VLOOKUP(B181,Database!$A:$AV,MATCH($T$1,Database!$A$1:$AV$1,),)=0,"#N/A",((((VLOOKUP(B181,Database!$A:$AS,MATCH($T$1,Database!$A$1:$AS$1,),))))-(((VLOOKUP(EDATE(B181,-12),Database!$A:$AS,MATCH($T$1,Database!$A$1:$AS$1,),)))))/(((VLOOKUP(EDATE(B181,-12),Database!$A:$AS,MATCH($T$1,Database!$A$1:$AS$1,),)))))</f>
        <v/>
      </c>
      <c r="U181" s="13">
        <f>IF(VLOOKUP(B181,Database!$A:$AV,MATCH($U$1,Database!$A$1:$AV$1,),)=0,"#N/A",((((VLOOKUP(B181,Database!$A:$AS,MATCH($U$1,Database!$A$1:$AS$1,),))))-(((VLOOKUP(EDATE(B181,-12),Database!$A:$AS,MATCH($U$1,Database!$A$1:$AS$1,),)))))/(((VLOOKUP(EDATE(B181,-12),Database!$A:$AS,MATCH($U$1,Database!$A$1:$AS$1,),)))))</f>
        <v/>
      </c>
      <c r="V181" s="13">
        <f>IF(VLOOKUP(B181,Database!$A:$AV,MATCH($V$1,Database!$A$1:$AV$1,),)=0,"#N/A",((((VLOOKUP(B181,Database!$A:$AS,MATCH($V$1,Database!$A$1:$AS$1,),))))-(((VLOOKUP(EDATE(B181,-12),Database!$A:$AS,MATCH($V$1,Database!$A$1:$AS$1,),)))))/(((VLOOKUP(EDATE(B181,-12),Database!$A:$AS,MATCH($V$1,Database!$A$1:$AS$1,),)))))</f>
        <v/>
      </c>
    </row>
    <row r="182" customFormat="1" s="86">
      <c r="A182" s="43" t="n"/>
      <c r="B182" s="75" t="n">
        <v>37681</v>
      </c>
      <c r="C182" s="13">
        <f>IF(VLOOKUP(B182,Database!$A:$AU,MATCH($C$1,Database!$A$1:$AU$1,),)=0,"#N/A",((((VLOOKUP(B182,Database!$A:$AU,MATCH($C$1,Database!$A$1:$AU$1,),))))-(((VLOOKUP(EDATE(B182,-12),Database!$A:$AU,MATCH($C$1,Database!$A$1:$AU$1,),)))))/(((VLOOKUP(EDATE(B182,-12),Database!$A:$AU,MATCH($C$1,Database!$A$1:$AU$1,),)))))</f>
        <v/>
      </c>
      <c r="D182" s="13">
        <f>IF(VLOOKUP(B182,Database!$A:$AV,MATCH($D$1,Database!$A$1:$AV$1,),)=0,"#N/A",((((VLOOKUP(B182,Database!$A:$AS,MATCH($D$1,Database!$A$1:$AS$1,),))))-(((VLOOKUP(EDATE(B182,-12),Database!$A:$AS,MATCH($D$1,Database!$A$1:$AS$1,),)))))/(((VLOOKUP(EDATE(B182,-12),Database!$A:$AS,MATCH($D$1,Database!$A$1:$AS$1,),)))))</f>
        <v/>
      </c>
      <c r="E182" s="13">
        <f>IF(VLOOKUP(B182,Database!$A:$AV,MATCH($E$1,Database!$A$1:$AV$1,),)=0,"#N/A",((((VLOOKUP(B182,Database!$A:$AS,MATCH($E$1,Database!$A$1:$AS$1,),))))-(((VLOOKUP(EDATE(B182,-12),Database!$A:$AS,MATCH($E$1,Database!$A$1:$AS$1,),)))))/(((VLOOKUP(EDATE(B182,-12),Database!$A:$AS,MATCH($E$1,Database!$A$1:$AS$1,),)))))</f>
        <v/>
      </c>
      <c r="F182" s="13">
        <f>IF(VLOOKUP(B182,Database!$A:$AV,MATCH($F$1,Database!$A$1:$AV$1,),)=0,"#N/A",((((VLOOKUP(B182,Database!$A:$AS,MATCH($F$1,Database!$A$1:$AS$1,),))))-(((VLOOKUP(EDATE(B182,-12),Database!$A:$AS,MATCH($F$1,Database!$A$1:$AS$1,),)))))/(((VLOOKUP(EDATE(B182,-12),Database!$A:$AS,MATCH($F$1,Database!$A$1:$AS$1,),)))))</f>
        <v/>
      </c>
      <c r="G182" s="13">
        <f>IF(VLOOKUP(B182,Database!$A:$AV,MATCH($G$1,Database!$A$1:$AV$1,),)=0,"#N/A",((((VLOOKUP(B182,Database!$A:$AS,MATCH($G$1,Database!$A$1:$AS$1,),))))-(((VLOOKUP(EDATE(B182,-12),Database!$A:$AS,MATCH($G$1,Database!$A$1:$AS$1,),)))))/(((VLOOKUP(EDATE(B182,-12),Database!$A:$AS,MATCH($G$1,Database!$A$1:$AS$1,),)))))</f>
        <v/>
      </c>
      <c r="H182" s="13">
        <f>IF(VLOOKUP(B182,Database!$A:$AV,MATCH($H$1,Database!$A$1:$AV$1,),)=0,"#N/A",((((VLOOKUP(B182,Database!$A:$AS,MATCH($H$1,Database!$A$1:$AS$1,),))))-(((VLOOKUP(EDATE(B182,-12),Database!$A:$AS,MATCH($H$1,Database!$A$1:$AS$1,),)))))/(((VLOOKUP(EDATE(B182,-12),Database!$A:$AS,MATCH($H$1,Database!$A$1:$AS$1,),)))))</f>
        <v/>
      </c>
      <c r="I182" s="13">
        <f>IF(VLOOKUP(B182,Database!$A:$AV,MATCH($I$1,Database!$A$1:$AV$1,),)=0,"#N/A",((((VLOOKUP(B182,Database!$A:$AS,MATCH($I$1,Database!$A$1:$AS$1,),))))-(((VLOOKUP(EDATE(B182,-12),Database!$A:$AS,MATCH($I$1,Database!$A$1:$AS$1,),)))))/(((VLOOKUP(EDATE(B182,-12),Database!$A:$AS,MATCH($I$1,Database!$A$1:$AS$1,),)))))</f>
        <v/>
      </c>
      <c r="J182" s="13">
        <f>IF(VLOOKUP(B182,Database!$A:$AV,MATCH($J$1,Database!$A$1:$AV$1,),)=0,"#N/A",((((VLOOKUP(B182,Database!$A:$AS,MATCH($J$1,Database!$A$1:$AS$1,),))))-(((VLOOKUP(EDATE(B182,-12),Database!$A:$AS,MATCH($J$1,Database!$A$1:$AS$1,),)))))/(((VLOOKUP(EDATE(B182,-12),Database!$A:$AS,MATCH($J$1,Database!$A$1:$AS$1,),)))))</f>
        <v/>
      </c>
      <c r="K182" s="13">
        <f>IF(VLOOKUP(B182,Database!$A:$AV,MATCH($K$1,Database!$A$1:$AV$1,),)=0,"#N/A",((((VLOOKUP(B182,Database!$A:$AS,MATCH($K$1,Database!$A$1:$AS$1,),))))-(((VLOOKUP(EDATE(B182,-12),Database!$A:$AS,MATCH($K$1,Database!$A$1:$AS$1,),)))))/(((VLOOKUP(EDATE(B182,-12),Database!$A:$AS,MATCH($K$1,Database!$A$1:$AS$1,),)))))</f>
        <v/>
      </c>
      <c r="L182" s="13">
        <f>((((VLOOKUP(B182,Database!$A:$AS,MATCH($L$1,Database!$A$1:$AS$1,),))))-(((VLOOKUP(EDATE(B182,-12),Database!$A:$AS,MATCH($L$1,Database!$A$1:$AS$1,),)))))/(((VLOOKUP(EDATE(B182,-12),Database!$A:$AS,MATCH($L$1,Database!$A$1:$AS$1,),))))</f>
        <v/>
      </c>
      <c r="M182" s="13">
        <f>((((VLOOKUP(B182,Database!$A:$AS,MATCH($M$1,Database!$A$1:$AS$1,),))))-(((VLOOKUP(EDATE(B182,-12),Database!$A:$AS,MATCH($M$1,Database!$A$1:$AS$1,),)))))/(((VLOOKUP(EDATE(B182,-12),Database!$A:$AS,MATCH($M$1,Database!$A$1:$AS$1,),))))</f>
        <v/>
      </c>
      <c r="N182" s="13">
        <f>((((VLOOKUP(B182,Database!$A:$AS,MATCH($N$1,Database!$A$1:$AS$1,),))))-(((VLOOKUP(EDATE(B182,-12),Database!$A:$AS,MATCH($N$1,Database!$A$1:$AS$1,),)))))/(((VLOOKUP(EDATE(B182,-12),Database!$A:$AS,MATCH($N$1,Database!$A$1:$AS$1,),))))</f>
        <v/>
      </c>
      <c r="O182" s="13">
        <f>IF(VLOOKUP(B182,Database!$A:$AV,MATCH($O$1,Database!$A$1:$AV$1,),)=0,"#N/A",((((VLOOKUP(B182,Database!$A:$AS,MATCH($O$1,Database!$A$1:$AS$1,),))))-(((VLOOKUP(EDATE(B182,-12),Database!$A:$AS,MATCH($O$1,Database!$A$1:$AS$1,),)))))/(((VLOOKUP(EDATE(B182,-12),Database!$A:$AS,MATCH($O$1,Database!$A$1:$AS$1,),)))))</f>
        <v/>
      </c>
      <c r="P182" s="13">
        <f>IF(VLOOKUP(B182,Database!$A:$AV,MATCH($P$1,Database!$A$1:$AV$1,),)=0,"#N/A",((((VLOOKUP(B182,Database!$A:$AS,MATCH($P$1,Database!$A$1:$AS$1,),))))-(((VLOOKUP(EDATE(B182,-12),Database!$A:$AS,MATCH($P$1,Database!$A$1:$AS$1,),)))))/(((VLOOKUP(EDATE(B182,-12),Database!$A:$AS,MATCH($P$1,Database!$A$1:$AS$1,),)))))</f>
        <v/>
      </c>
      <c r="Q182" s="13">
        <f>IF(VLOOKUP(B182,Database!$A:$AV,MATCH($Q$1,Database!$A$1:$AV$1,),)=0,"#N/A",((((VLOOKUP(B182,Database!$A:$AS,MATCH($Q$1,Database!$A$1:$AS$1,),))))-(((VLOOKUP(EDATE(B182,-12),Database!$A:$AS,MATCH($Q$1,Database!$A$1:$AS$1,),)))))/(((VLOOKUP(EDATE(B182,-12),Database!$A:$AS,MATCH($Q$1,Database!$A$1:$AS$1,),)))))</f>
        <v/>
      </c>
      <c r="R182" s="13">
        <f>IF(VLOOKUP(B182,Database!$A:$AV,MATCH($R$1,Database!$A$1:$AV$1,),)=0,"#N/A",((((VLOOKUP(B182,Database!$A:$AS,MATCH($R$1,Database!$A$1:$AS$1,),))))-(((VLOOKUP(EDATE(B182,-12),Database!$A:$AS,MATCH($R$1,Database!$A$1:$AS$1,),)))))/(((VLOOKUP(EDATE(B182,-12),Database!$A:$AS,MATCH($R$1,Database!$A$1:$AS$1,),)))))</f>
        <v/>
      </c>
      <c r="S182" s="13">
        <f>IF(VLOOKUP(B182,Database!$A:$AV,MATCH($S$1,Database!$A$1:$AV$1,),)=0,"#N/A",((((VLOOKUP(B182,Database!$A:$AS,MATCH($S$1,Database!$A$1:$AS$1,),))))-(((VLOOKUP(EDATE(B182,-12),Database!$A:$AS,MATCH($S$1,Database!$A$1:$AS$1,),)))))/(((VLOOKUP(EDATE(B182,-12),Database!$A:$AS,MATCH($S$1,Database!$A$1:$AS$1,),)))))</f>
        <v/>
      </c>
      <c r="T182" s="13">
        <f>IF(VLOOKUP(B182,Database!$A:$AV,MATCH($T$1,Database!$A$1:$AV$1,),)=0,"#N/A",((((VLOOKUP(B182,Database!$A:$AS,MATCH($T$1,Database!$A$1:$AS$1,),))))-(((VLOOKUP(EDATE(B182,-12),Database!$A:$AS,MATCH($T$1,Database!$A$1:$AS$1,),)))))/(((VLOOKUP(EDATE(B182,-12),Database!$A:$AS,MATCH($T$1,Database!$A$1:$AS$1,),)))))</f>
        <v/>
      </c>
      <c r="U182" s="13">
        <f>IF(VLOOKUP(B182,Database!$A:$AV,MATCH($U$1,Database!$A$1:$AV$1,),)=0,"#N/A",((((VLOOKUP(B182,Database!$A:$AS,MATCH($U$1,Database!$A$1:$AS$1,),))))-(((VLOOKUP(EDATE(B182,-12),Database!$A:$AS,MATCH($U$1,Database!$A$1:$AS$1,),)))))/(((VLOOKUP(EDATE(B182,-12),Database!$A:$AS,MATCH($U$1,Database!$A$1:$AS$1,),)))))</f>
        <v/>
      </c>
      <c r="V182" s="13">
        <f>IF(VLOOKUP(B182,Database!$A:$AV,MATCH($V$1,Database!$A$1:$AV$1,),)=0,"#N/A",((((VLOOKUP(B182,Database!$A:$AS,MATCH($V$1,Database!$A$1:$AS$1,),))))-(((VLOOKUP(EDATE(B182,-12),Database!$A:$AS,MATCH($V$1,Database!$A$1:$AS$1,),)))))/(((VLOOKUP(EDATE(B182,-12),Database!$A:$AS,MATCH($V$1,Database!$A$1:$AS$1,),)))))</f>
        <v/>
      </c>
    </row>
    <row r="183" customFormat="1" s="86">
      <c r="A183" s="43" t="n"/>
      <c r="B183" s="75" t="n">
        <v>37712</v>
      </c>
      <c r="C183" s="13">
        <f>IF(VLOOKUP(B183,Database!$A:$AU,MATCH($C$1,Database!$A$1:$AU$1,),)=0,"#N/A",((((VLOOKUP(B183,Database!$A:$AU,MATCH($C$1,Database!$A$1:$AU$1,),))))-(((VLOOKUP(EDATE(B183,-12),Database!$A:$AU,MATCH($C$1,Database!$A$1:$AU$1,),)))))/(((VLOOKUP(EDATE(B183,-12),Database!$A:$AU,MATCH($C$1,Database!$A$1:$AU$1,),)))))</f>
        <v/>
      </c>
      <c r="D183" s="13">
        <f>IF(VLOOKUP(B183,Database!$A:$AV,MATCH($D$1,Database!$A$1:$AV$1,),)=0,"#N/A",((((VLOOKUP(B183,Database!$A:$AS,MATCH($D$1,Database!$A$1:$AS$1,),))))-(((VLOOKUP(EDATE(B183,-12),Database!$A:$AS,MATCH($D$1,Database!$A$1:$AS$1,),)))))/(((VLOOKUP(EDATE(B183,-12),Database!$A:$AS,MATCH($D$1,Database!$A$1:$AS$1,),)))))</f>
        <v/>
      </c>
      <c r="E183" s="13">
        <f>IF(VLOOKUP(B183,Database!$A:$AV,MATCH($E$1,Database!$A$1:$AV$1,),)=0,"#N/A",((((VLOOKUP(B183,Database!$A:$AS,MATCH($E$1,Database!$A$1:$AS$1,),))))-(((VLOOKUP(EDATE(B183,-12),Database!$A:$AS,MATCH($E$1,Database!$A$1:$AS$1,),)))))/(((VLOOKUP(EDATE(B183,-12),Database!$A:$AS,MATCH($E$1,Database!$A$1:$AS$1,),)))))</f>
        <v/>
      </c>
      <c r="F183" s="13">
        <f>IF(VLOOKUP(B183,Database!$A:$AV,MATCH($F$1,Database!$A$1:$AV$1,),)=0,"#N/A",((((VLOOKUP(B183,Database!$A:$AS,MATCH($F$1,Database!$A$1:$AS$1,),))))-(((VLOOKUP(EDATE(B183,-12),Database!$A:$AS,MATCH($F$1,Database!$A$1:$AS$1,),)))))/(((VLOOKUP(EDATE(B183,-12),Database!$A:$AS,MATCH($F$1,Database!$A$1:$AS$1,),)))))</f>
        <v/>
      </c>
      <c r="G183" s="13">
        <f>IF(VLOOKUP(B183,Database!$A:$AV,MATCH($G$1,Database!$A$1:$AV$1,),)=0,"#N/A",((((VLOOKUP(B183,Database!$A:$AS,MATCH($G$1,Database!$A$1:$AS$1,),))))-(((VLOOKUP(EDATE(B183,-12),Database!$A:$AS,MATCH($G$1,Database!$A$1:$AS$1,),)))))/(((VLOOKUP(EDATE(B183,-12),Database!$A:$AS,MATCH($G$1,Database!$A$1:$AS$1,),)))))</f>
        <v/>
      </c>
      <c r="H183" s="13">
        <f>IF(VLOOKUP(B183,Database!$A:$AV,MATCH($H$1,Database!$A$1:$AV$1,),)=0,"#N/A",((((VLOOKUP(B183,Database!$A:$AS,MATCH($H$1,Database!$A$1:$AS$1,),))))-(((VLOOKUP(EDATE(B183,-12),Database!$A:$AS,MATCH($H$1,Database!$A$1:$AS$1,),)))))/(((VLOOKUP(EDATE(B183,-12),Database!$A:$AS,MATCH($H$1,Database!$A$1:$AS$1,),)))))</f>
        <v/>
      </c>
      <c r="I183" s="13">
        <f>IF(VLOOKUP(B183,Database!$A:$AV,MATCH($I$1,Database!$A$1:$AV$1,),)=0,"#N/A",((((VLOOKUP(B183,Database!$A:$AS,MATCH($I$1,Database!$A$1:$AS$1,),))))-(((VLOOKUP(EDATE(B183,-12),Database!$A:$AS,MATCH($I$1,Database!$A$1:$AS$1,),)))))/(((VLOOKUP(EDATE(B183,-12),Database!$A:$AS,MATCH($I$1,Database!$A$1:$AS$1,),)))))</f>
        <v/>
      </c>
      <c r="J183" s="13">
        <f>IF(VLOOKUP(B183,Database!$A:$AV,MATCH($J$1,Database!$A$1:$AV$1,),)=0,"#N/A",((((VLOOKUP(B183,Database!$A:$AS,MATCH($J$1,Database!$A$1:$AS$1,),))))-(((VLOOKUP(EDATE(B183,-12),Database!$A:$AS,MATCH($J$1,Database!$A$1:$AS$1,),)))))/(((VLOOKUP(EDATE(B183,-12),Database!$A:$AS,MATCH($J$1,Database!$A$1:$AS$1,),)))))</f>
        <v/>
      </c>
      <c r="K183" s="13">
        <f>IF(VLOOKUP(B183,Database!$A:$AV,MATCH($K$1,Database!$A$1:$AV$1,),)=0,"#N/A",((((VLOOKUP(B183,Database!$A:$AS,MATCH($K$1,Database!$A$1:$AS$1,),))))-(((VLOOKUP(EDATE(B183,-12),Database!$A:$AS,MATCH($K$1,Database!$A$1:$AS$1,),)))))/(((VLOOKUP(EDATE(B183,-12),Database!$A:$AS,MATCH($K$1,Database!$A$1:$AS$1,),)))))</f>
        <v/>
      </c>
      <c r="L183" s="13">
        <f>((((VLOOKUP(B183,Database!$A:$AS,MATCH($L$1,Database!$A$1:$AS$1,),))))-(((VLOOKUP(EDATE(B183,-12),Database!$A:$AS,MATCH($L$1,Database!$A$1:$AS$1,),)))))/(((VLOOKUP(EDATE(B183,-12),Database!$A:$AS,MATCH($L$1,Database!$A$1:$AS$1,),))))</f>
        <v/>
      </c>
      <c r="M183" s="13">
        <f>((((VLOOKUP(B183,Database!$A:$AS,MATCH($M$1,Database!$A$1:$AS$1,),))))-(((VLOOKUP(EDATE(B183,-12),Database!$A:$AS,MATCH($M$1,Database!$A$1:$AS$1,),)))))/(((VLOOKUP(EDATE(B183,-12),Database!$A:$AS,MATCH($M$1,Database!$A$1:$AS$1,),))))</f>
        <v/>
      </c>
      <c r="N183" s="13">
        <f>((((VLOOKUP(B183,Database!$A:$AS,MATCH($N$1,Database!$A$1:$AS$1,),))))-(((VLOOKUP(EDATE(B183,-12),Database!$A:$AS,MATCH($N$1,Database!$A$1:$AS$1,),)))))/(((VLOOKUP(EDATE(B183,-12),Database!$A:$AS,MATCH($N$1,Database!$A$1:$AS$1,),))))</f>
        <v/>
      </c>
      <c r="O183" s="13">
        <f>IF(VLOOKUP(B183,Database!$A:$AV,MATCH($O$1,Database!$A$1:$AV$1,),)=0,"#N/A",((((VLOOKUP(B183,Database!$A:$AS,MATCH($O$1,Database!$A$1:$AS$1,),))))-(((VLOOKUP(EDATE(B183,-12),Database!$A:$AS,MATCH($O$1,Database!$A$1:$AS$1,),)))))/(((VLOOKUP(EDATE(B183,-12),Database!$A:$AS,MATCH($O$1,Database!$A$1:$AS$1,),)))))</f>
        <v/>
      </c>
      <c r="P183" s="13">
        <f>IF(VLOOKUP(B183,Database!$A:$AV,MATCH($P$1,Database!$A$1:$AV$1,),)=0,"#N/A",((((VLOOKUP(B183,Database!$A:$AS,MATCH($P$1,Database!$A$1:$AS$1,),))))-(((VLOOKUP(EDATE(B183,-12),Database!$A:$AS,MATCH($P$1,Database!$A$1:$AS$1,),)))))/(((VLOOKUP(EDATE(B183,-12),Database!$A:$AS,MATCH($P$1,Database!$A$1:$AS$1,),)))))</f>
        <v/>
      </c>
      <c r="Q183" s="13">
        <f>IF(VLOOKUP(B183,Database!$A:$AV,MATCH($Q$1,Database!$A$1:$AV$1,),)=0,"#N/A",((((VLOOKUP(B183,Database!$A:$AS,MATCH($Q$1,Database!$A$1:$AS$1,),))))-(((VLOOKUP(EDATE(B183,-12),Database!$A:$AS,MATCH($Q$1,Database!$A$1:$AS$1,),)))))/(((VLOOKUP(EDATE(B183,-12),Database!$A:$AS,MATCH($Q$1,Database!$A$1:$AS$1,),)))))</f>
        <v/>
      </c>
      <c r="R183" s="13">
        <f>IF(VLOOKUP(B183,Database!$A:$AV,MATCH($R$1,Database!$A$1:$AV$1,),)=0,"#N/A",((((VLOOKUP(B183,Database!$A:$AS,MATCH($R$1,Database!$A$1:$AS$1,),))))-(((VLOOKUP(EDATE(B183,-12),Database!$A:$AS,MATCH($R$1,Database!$A$1:$AS$1,),)))))/(((VLOOKUP(EDATE(B183,-12),Database!$A:$AS,MATCH($R$1,Database!$A$1:$AS$1,),)))))</f>
        <v/>
      </c>
      <c r="S183" s="13">
        <f>IF(VLOOKUP(B183,Database!$A:$AV,MATCH($S$1,Database!$A$1:$AV$1,),)=0,"#N/A",((((VLOOKUP(B183,Database!$A:$AS,MATCH($S$1,Database!$A$1:$AS$1,),))))-(((VLOOKUP(EDATE(B183,-12),Database!$A:$AS,MATCH($S$1,Database!$A$1:$AS$1,),)))))/(((VLOOKUP(EDATE(B183,-12),Database!$A:$AS,MATCH($S$1,Database!$A$1:$AS$1,),)))))</f>
        <v/>
      </c>
      <c r="T183" s="13">
        <f>IF(VLOOKUP(B183,Database!$A:$AV,MATCH($T$1,Database!$A$1:$AV$1,),)=0,"#N/A",((((VLOOKUP(B183,Database!$A:$AS,MATCH($T$1,Database!$A$1:$AS$1,),))))-(((VLOOKUP(EDATE(B183,-12),Database!$A:$AS,MATCH($T$1,Database!$A$1:$AS$1,),)))))/(((VLOOKUP(EDATE(B183,-12),Database!$A:$AS,MATCH($T$1,Database!$A$1:$AS$1,),)))))</f>
        <v/>
      </c>
      <c r="U183" s="13">
        <f>IF(VLOOKUP(B183,Database!$A:$AV,MATCH($U$1,Database!$A$1:$AV$1,),)=0,"#N/A",((((VLOOKUP(B183,Database!$A:$AS,MATCH($U$1,Database!$A$1:$AS$1,),))))-(((VLOOKUP(EDATE(B183,-12),Database!$A:$AS,MATCH($U$1,Database!$A$1:$AS$1,),)))))/(((VLOOKUP(EDATE(B183,-12),Database!$A:$AS,MATCH($U$1,Database!$A$1:$AS$1,),)))))</f>
        <v/>
      </c>
      <c r="V183" s="13">
        <f>IF(VLOOKUP(B183,Database!$A:$AV,MATCH($V$1,Database!$A$1:$AV$1,),)=0,"#N/A",((((VLOOKUP(B183,Database!$A:$AS,MATCH($V$1,Database!$A$1:$AS$1,),))))-(((VLOOKUP(EDATE(B183,-12),Database!$A:$AS,MATCH($V$1,Database!$A$1:$AS$1,),)))))/(((VLOOKUP(EDATE(B183,-12),Database!$A:$AS,MATCH($V$1,Database!$A$1:$AS$1,),)))))</f>
        <v/>
      </c>
    </row>
    <row r="184" customFormat="1" s="86">
      <c r="A184" s="43" t="n"/>
      <c r="B184" s="75" t="n">
        <v>37742</v>
      </c>
      <c r="C184" s="13">
        <f>IF(VLOOKUP(B184,Database!$A:$AU,MATCH($C$1,Database!$A$1:$AU$1,),)=0,"#N/A",((((VLOOKUP(B184,Database!$A:$AU,MATCH($C$1,Database!$A$1:$AU$1,),))))-(((VLOOKUP(EDATE(B184,-12),Database!$A:$AU,MATCH($C$1,Database!$A$1:$AU$1,),)))))/(((VLOOKUP(EDATE(B184,-12),Database!$A:$AU,MATCH($C$1,Database!$A$1:$AU$1,),)))))</f>
        <v/>
      </c>
      <c r="D184" s="13">
        <f>IF(VLOOKUP(B184,Database!$A:$AV,MATCH($D$1,Database!$A$1:$AV$1,),)=0,"#N/A",((((VLOOKUP(B184,Database!$A:$AS,MATCH($D$1,Database!$A$1:$AS$1,),))))-(((VLOOKUP(EDATE(B184,-12),Database!$A:$AS,MATCH($D$1,Database!$A$1:$AS$1,),)))))/(((VLOOKUP(EDATE(B184,-12),Database!$A:$AS,MATCH($D$1,Database!$A$1:$AS$1,),)))))</f>
        <v/>
      </c>
      <c r="E184" s="13">
        <f>IF(VLOOKUP(B184,Database!$A:$AV,MATCH($E$1,Database!$A$1:$AV$1,),)=0,"#N/A",((((VLOOKUP(B184,Database!$A:$AS,MATCH($E$1,Database!$A$1:$AS$1,),))))-(((VLOOKUP(EDATE(B184,-12),Database!$A:$AS,MATCH($E$1,Database!$A$1:$AS$1,),)))))/(((VLOOKUP(EDATE(B184,-12),Database!$A:$AS,MATCH($E$1,Database!$A$1:$AS$1,),)))))</f>
        <v/>
      </c>
      <c r="F184" s="13">
        <f>IF(VLOOKUP(B184,Database!$A:$AV,MATCH($F$1,Database!$A$1:$AV$1,),)=0,"#N/A",((((VLOOKUP(B184,Database!$A:$AS,MATCH($F$1,Database!$A$1:$AS$1,),))))-(((VLOOKUP(EDATE(B184,-12),Database!$A:$AS,MATCH($F$1,Database!$A$1:$AS$1,),)))))/(((VLOOKUP(EDATE(B184,-12),Database!$A:$AS,MATCH($F$1,Database!$A$1:$AS$1,),)))))</f>
        <v/>
      </c>
      <c r="G184" s="13">
        <f>IF(VLOOKUP(B184,Database!$A:$AV,MATCH($G$1,Database!$A$1:$AV$1,),)=0,"#N/A",((((VLOOKUP(B184,Database!$A:$AS,MATCH($G$1,Database!$A$1:$AS$1,),))))-(((VLOOKUP(EDATE(B184,-12),Database!$A:$AS,MATCH($G$1,Database!$A$1:$AS$1,),)))))/(((VLOOKUP(EDATE(B184,-12),Database!$A:$AS,MATCH($G$1,Database!$A$1:$AS$1,),)))))</f>
        <v/>
      </c>
      <c r="H184" s="13">
        <f>IF(VLOOKUP(B184,Database!$A:$AV,MATCH($H$1,Database!$A$1:$AV$1,),)=0,"#N/A",((((VLOOKUP(B184,Database!$A:$AS,MATCH($H$1,Database!$A$1:$AS$1,),))))-(((VLOOKUP(EDATE(B184,-12),Database!$A:$AS,MATCH($H$1,Database!$A$1:$AS$1,),)))))/(((VLOOKUP(EDATE(B184,-12),Database!$A:$AS,MATCH($H$1,Database!$A$1:$AS$1,),)))))</f>
        <v/>
      </c>
      <c r="I184" s="13">
        <f>IF(VLOOKUP(B184,Database!$A:$AV,MATCH($I$1,Database!$A$1:$AV$1,),)=0,"#N/A",((((VLOOKUP(B184,Database!$A:$AS,MATCH($I$1,Database!$A$1:$AS$1,),))))-(((VLOOKUP(EDATE(B184,-12),Database!$A:$AS,MATCH($I$1,Database!$A$1:$AS$1,),)))))/(((VLOOKUP(EDATE(B184,-12),Database!$A:$AS,MATCH($I$1,Database!$A$1:$AS$1,),)))))</f>
        <v/>
      </c>
      <c r="J184" s="13">
        <f>IF(VLOOKUP(B184,Database!$A:$AV,MATCH($J$1,Database!$A$1:$AV$1,),)=0,"#N/A",((((VLOOKUP(B184,Database!$A:$AS,MATCH($J$1,Database!$A$1:$AS$1,),))))-(((VLOOKUP(EDATE(B184,-12),Database!$A:$AS,MATCH($J$1,Database!$A$1:$AS$1,),)))))/(((VLOOKUP(EDATE(B184,-12),Database!$A:$AS,MATCH($J$1,Database!$A$1:$AS$1,),)))))</f>
        <v/>
      </c>
      <c r="K184" s="13">
        <f>IF(VLOOKUP(B184,Database!$A:$AV,MATCH($K$1,Database!$A$1:$AV$1,),)=0,"#N/A",((((VLOOKUP(B184,Database!$A:$AS,MATCH($K$1,Database!$A$1:$AS$1,),))))-(((VLOOKUP(EDATE(B184,-12),Database!$A:$AS,MATCH($K$1,Database!$A$1:$AS$1,),)))))/(((VLOOKUP(EDATE(B184,-12),Database!$A:$AS,MATCH($K$1,Database!$A$1:$AS$1,),)))))</f>
        <v/>
      </c>
      <c r="L184" s="13">
        <f>((((VLOOKUP(B184,Database!$A:$AS,MATCH($L$1,Database!$A$1:$AS$1,),))))-(((VLOOKUP(EDATE(B184,-12),Database!$A:$AS,MATCH($L$1,Database!$A$1:$AS$1,),)))))/(((VLOOKUP(EDATE(B184,-12),Database!$A:$AS,MATCH($L$1,Database!$A$1:$AS$1,),))))</f>
        <v/>
      </c>
      <c r="M184" s="13">
        <f>((((VLOOKUP(B184,Database!$A:$AS,MATCH($M$1,Database!$A$1:$AS$1,),))))-(((VLOOKUP(EDATE(B184,-12),Database!$A:$AS,MATCH($M$1,Database!$A$1:$AS$1,),)))))/(((VLOOKUP(EDATE(B184,-12),Database!$A:$AS,MATCH($M$1,Database!$A$1:$AS$1,),))))</f>
        <v/>
      </c>
      <c r="N184" s="13">
        <f>((((VLOOKUP(B184,Database!$A:$AS,MATCH($N$1,Database!$A$1:$AS$1,),))))-(((VLOOKUP(EDATE(B184,-12),Database!$A:$AS,MATCH($N$1,Database!$A$1:$AS$1,),)))))/(((VLOOKUP(EDATE(B184,-12),Database!$A:$AS,MATCH($N$1,Database!$A$1:$AS$1,),))))</f>
        <v/>
      </c>
      <c r="O184" s="13">
        <f>IF(VLOOKUP(B184,Database!$A:$AV,MATCH($O$1,Database!$A$1:$AV$1,),)=0,"#N/A",((((VLOOKUP(B184,Database!$A:$AS,MATCH($O$1,Database!$A$1:$AS$1,),))))-(((VLOOKUP(EDATE(B184,-12),Database!$A:$AS,MATCH($O$1,Database!$A$1:$AS$1,),)))))/(((VLOOKUP(EDATE(B184,-12),Database!$A:$AS,MATCH($O$1,Database!$A$1:$AS$1,),)))))</f>
        <v/>
      </c>
      <c r="P184" s="13">
        <f>IF(VLOOKUP(B184,Database!$A:$AV,MATCH($P$1,Database!$A$1:$AV$1,),)=0,"#N/A",((((VLOOKUP(B184,Database!$A:$AS,MATCH($P$1,Database!$A$1:$AS$1,),))))-(((VLOOKUP(EDATE(B184,-12),Database!$A:$AS,MATCH($P$1,Database!$A$1:$AS$1,),)))))/(((VLOOKUP(EDATE(B184,-12),Database!$A:$AS,MATCH($P$1,Database!$A$1:$AS$1,),)))))</f>
        <v/>
      </c>
      <c r="Q184" s="13">
        <f>IF(VLOOKUP(B184,Database!$A:$AV,MATCH($Q$1,Database!$A$1:$AV$1,),)=0,"#N/A",((((VLOOKUP(B184,Database!$A:$AS,MATCH($Q$1,Database!$A$1:$AS$1,),))))-(((VLOOKUP(EDATE(B184,-12),Database!$A:$AS,MATCH($Q$1,Database!$A$1:$AS$1,),)))))/(((VLOOKUP(EDATE(B184,-12),Database!$A:$AS,MATCH($Q$1,Database!$A$1:$AS$1,),)))))</f>
        <v/>
      </c>
      <c r="R184" s="13">
        <f>IF(VLOOKUP(B184,Database!$A:$AV,MATCH($R$1,Database!$A$1:$AV$1,),)=0,"#N/A",((((VLOOKUP(B184,Database!$A:$AS,MATCH($R$1,Database!$A$1:$AS$1,),))))-(((VLOOKUP(EDATE(B184,-12),Database!$A:$AS,MATCH($R$1,Database!$A$1:$AS$1,),)))))/(((VLOOKUP(EDATE(B184,-12),Database!$A:$AS,MATCH($R$1,Database!$A$1:$AS$1,),)))))</f>
        <v/>
      </c>
      <c r="S184" s="13">
        <f>IF(VLOOKUP(B184,Database!$A:$AV,MATCH($S$1,Database!$A$1:$AV$1,),)=0,"#N/A",((((VLOOKUP(B184,Database!$A:$AS,MATCH($S$1,Database!$A$1:$AS$1,),))))-(((VLOOKUP(EDATE(B184,-12),Database!$A:$AS,MATCH($S$1,Database!$A$1:$AS$1,),)))))/(((VLOOKUP(EDATE(B184,-12),Database!$A:$AS,MATCH($S$1,Database!$A$1:$AS$1,),)))))</f>
        <v/>
      </c>
      <c r="T184" s="13">
        <f>IF(VLOOKUP(B184,Database!$A:$AV,MATCH($T$1,Database!$A$1:$AV$1,),)=0,"#N/A",((((VLOOKUP(B184,Database!$A:$AS,MATCH($T$1,Database!$A$1:$AS$1,),))))-(((VLOOKUP(EDATE(B184,-12),Database!$A:$AS,MATCH($T$1,Database!$A$1:$AS$1,),)))))/(((VLOOKUP(EDATE(B184,-12),Database!$A:$AS,MATCH($T$1,Database!$A$1:$AS$1,),)))))</f>
        <v/>
      </c>
      <c r="U184" s="13">
        <f>IF(VLOOKUP(B184,Database!$A:$AV,MATCH($U$1,Database!$A$1:$AV$1,),)=0,"#N/A",((((VLOOKUP(B184,Database!$A:$AS,MATCH($U$1,Database!$A$1:$AS$1,),))))-(((VLOOKUP(EDATE(B184,-12),Database!$A:$AS,MATCH($U$1,Database!$A$1:$AS$1,),)))))/(((VLOOKUP(EDATE(B184,-12),Database!$A:$AS,MATCH($U$1,Database!$A$1:$AS$1,),)))))</f>
        <v/>
      </c>
      <c r="V184" s="13">
        <f>IF(VLOOKUP(B184,Database!$A:$AV,MATCH($V$1,Database!$A$1:$AV$1,),)=0,"#N/A",((((VLOOKUP(B184,Database!$A:$AS,MATCH($V$1,Database!$A$1:$AS$1,),))))-(((VLOOKUP(EDATE(B184,-12),Database!$A:$AS,MATCH($V$1,Database!$A$1:$AS$1,),)))))/(((VLOOKUP(EDATE(B184,-12),Database!$A:$AS,MATCH($V$1,Database!$A$1:$AS$1,),)))))</f>
        <v/>
      </c>
    </row>
    <row r="185" customFormat="1" s="86">
      <c r="A185" s="43" t="n"/>
      <c r="B185" s="75" t="n">
        <v>37773</v>
      </c>
      <c r="C185" s="13">
        <f>IF(VLOOKUP(B185,Database!$A:$AU,MATCH($C$1,Database!$A$1:$AU$1,),)=0,"#N/A",((((VLOOKUP(B185,Database!$A:$AU,MATCH($C$1,Database!$A$1:$AU$1,),))))-(((VLOOKUP(EDATE(B185,-12),Database!$A:$AU,MATCH($C$1,Database!$A$1:$AU$1,),)))))/(((VLOOKUP(EDATE(B185,-12),Database!$A:$AU,MATCH($C$1,Database!$A$1:$AU$1,),)))))</f>
        <v/>
      </c>
      <c r="D185" s="13">
        <f>IF(VLOOKUP(B185,Database!$A:$AV,MATCH($D$1,Database!$A$1:$AV$1,),)=0,"#N/A",((((VLOOKUP(B185,Database!$A:$AS,MATCH($D$1,Database!$A$1:$AS$1,),))))-(((VLOOKUP(EDATE(B185,-12),Database!$A:$AS,MATCH($D$1,Database!$A$1:$AS$1,),)))))/(((VLOOKUP(EDATE(B185,-12),Database!$A:$AS,MATCH($D$1,Database!$A$1:$AS$1,),)))))</f>
        <v/>
      </c>
      <c r="E185" s="13">
        <f>IF(VLOOKUP(B185,Database!$A:$AV,MATCH($E$1,Database!$A$1:$AV$1,),)=0,"#N/A",((((VLOOKUP(B185,Database!$A:$AS,MATCH($E$1,Database!$A$1:$AS$1,),))))-(((VLOOKUP(EDATE(B185,-12),Database!$A:$AS,MATCH($E$1,Database!$A$1:$AS$1,),)))))/(((VLOOKUP(EDATE(B185,-12),Database!$A:$AS,MATCH($E$1,Database!$A$1:$AS$1,),)))))</f>
        <v/>
      </c>
      <c r="F185" s="13">
        <f>IF(VLOOKUP(B185,Database!$A:$AV,MATCH($F$1,Database!$A$1:$AV$1,),)=0,"#N/A",((((VLOOKUP(B185,Database!$A:$AS,MATCH($F$1,Database!$A$1:$AS$1,),))))-(((VLOOKUP(EDATE(B185,-12),Database!$A:$AS,MATCH($F$1,Database!$A$1:$AS$1,),)))))/(((VLOOKUP(EDATE(B185,-12),Database!$A:$AS,MATCH($F$1,Database!$A$1:$AS$1,),)))))</f>
        <v/>
      </c>
      <c r="G185" s="13">
        <f>IF(VLOOKUP(B185,Database!$A:$AV,MATCH($G$1,Database!$A$1:$AV$1,),)=0,"#N/A",((((VLOOKUP(B185,Database!$A:$AS,MATCH($G$1,Database!$A$1:$AS$1,),))))-(((VLOOKUP(EDATE(B185,-12),Database!$A:$AS,MATCH($G$1,Database!$A$1:$AS$1,),)))))/(((VLOOKUP(EDATE(B185,-12),Database!$A:$AS,MATCH($G$1,Database!$A$1:$AS$1,),)))))</f>
        <v/>
      </c>
      <c r="H185" s="13">
        <f>IF(VLOOKUP(B185,Database!$A:$AV,MATCH($H$1,Database!$A$1:$AV$1,),)=0,"#N/A",((((VLOOKUP(B185,Database!$A:$AS,MATCH($H$1,Database!$A$1:$AS$1,),))))-(((VLOOKUP(EDATE(B185,-12),Database!$A:$AS,MATCH($H$1,Database!$A$1:$AS$1,),)))))/(((VLOOKUP(EDATE(B185,-12),Database!$A:$AS,MATCH($H$1,Database!$A$1:$AS$1,),)))))</f>
        <v/>
      </c>
      <c r="I185" s="13">
        <f>IF(VLOOKUP(B185,Database!$A:$AV,MATCH($I$1,Database!$A$1:$AV$1,),)=0,"#N/A",((((VLOOKUP(B185,Database!$A:$AS,MATCH($I$1,Database!$A$1:$AS$1,),))))-(((VLOOKUP(EDATE(B185,-12),Database!$A:$AS,MATCH($I$1,Database!$A$1:$AS$1,),)))))/(((VLOOKUP(EDATE(B185,-12),Database!$A:$AS,MATCH($I$1,Database!$A$1:$AS$1,),)))))</f>
        <v/>
      </c>
      <c r="J185" s="13">
        <f>IF(VLOOKUP(B185,Database!$A:$AV,MATCH($J$1,Database!$A$1:$AV$1,),)=0,"#N/A",((((VLOOKUP(B185,Database!$A:$AS,MATCH($J$1,Database!$A$1:$AS$1,),))))-(((VLOOKUP(EDATE(B185,-12),Database!$A:$AS,MATCH($J$1,Database!$A$1:$AS$1,),)))))/(((VLOOKUP(EDATE(B185,-12),Database!$A:$AS,MATCH($J$1,Database!$A$1:$AS$1,),)))))</f>
        <v/>
      </c>
      <c r="K185" s="13">
        <f>IF(VLOOKUP(B185,Database!$A:$AV,MATCH($K$1,Database!$A$1:$AV$1,),)=0,"#N/A",((((VLOOKUP(B185,Database!$A:$AS,MATCH($K$1,Database!$A$1:$AS$1,),))))-(((VLOOKUP(EDATE(B185,-12),Database!$A:$AS,MATCH($K$1,Database!$A$1:$AS$1,),)))))/(((VLOOKUP(EDATE(B185,-12),Database!$A:$AS,MATCH($K$1,Database!$A$1:$AS$1,),)))))</f>
        <v/>
      </c>
      <c r="L185" s="13">
        <f>((((VLOOKUP(B185,Database!$A:$AS,MATCH($L$1,Database!$A$1:$AS$1,),))))-(((VLOOKUP(EDATE(B185,-12),Database!$A:$AS,MATCH($L$1,Database!$A$1:$AS$1,),)))))/(((VLOOKUP(EDATE(B185,-12),Database!$A:$AS,MATCH($L$1,Database!$A$1:$AS$1,),))))</f>
        <v/>
      </c>
      <c r="M185" s="13">
        <f>((((VLOOKUP(B185,Database!$A:$AS,MATCH($M$1,Database!$A$1:$AS$1,),))))-(((VLOOKUP(EDATE(B185,-12),Database!$A:$AS,MATCH($M$1,Database!$A$1:$AS$1,),)))))/(((VLOOKUP(EDATE(B185,-12),Database!$A:$AS,MATCH($M$1,Database!$A$1:$AS$1,),))))</f>
        <v/>
      </c>
      <c r="N185" s="13">
        <f>((((VLOOKUP(B185,Database!$A:$AS,MATCH($N$1,Database!$A$1:$AS$1,),))))-(((VLOOKUP(EDATE(B185,-12),Database!$A:$AS,MATCH($N$1,Database!$A$1:$AS$1,),)))))/(((VLOOKUP(EDATE(B185,-12),Database!$A:$AS,MATCH($N$1,Database!$A$1:$AS$1,),))))</f>
        <v/>
      </c>
      <c r="O185" s="13">
        <f>IF(VLOOKUP(B185,Database!$A:$AV,MATCH($O$1,Database!$A$1:$AV$1,),)=0,"#N/A",((((VLOOKUP(B185,Database!$A:$AS,MATCH($O$1,Database!$A$1:$AS$1,),))))-(((VLOOKUP(EDATE(B185,-12),Database!$A:$AS,MATCH($O$1,Database!$A$1:$AS$1,),)))))/(((VLOOKUP(EDATE(B185,-12),Database!$A:$AS,MATCH($O$1,Database!$A$1:$AS$1,),)))))</f>
        <v/>
      </c>
      <c r="P185" s="13">
        <f>IF(VLOOKUP(B185,Database!$A:$AV,MATCH($P$1,Database!$A$1:$AV$1,),)=0,"#N/A",((((VLOOKUP(B185,Database!$A:$AS,MATCH($P$1,Database!$A$1:$AS$1,),))))-(((VLOOKUP(EDATE(B185,-12),Database!$A:$AS,MATCH($P$1,Database!$A$1:$AS$1,),)))))/(((VLOOKUP(EDATE(B185,-12),Database!$A:$AS,MATCH($P$1,Database!$A$1:$AS$1,),)))))</f>
        <v/>
      </c>
      <c r="Q185" s="13">
        <f>IF(VLOOKUP(B185,Database!$A:$AV,MATCH($Q$1,Database!$A$1:$AV$1,),)=0,"#N/A",((((VLOOKUP(B185,Database!$A:$AS,MATCH($Q$1,Database!$A$1:$AS$1,),))))-(((VLOOKUP(EDATE(B185,-12),Database!$A:$AS,MATCH($Q$1,Database!$A$1:$AS$1,),)))))/(((VLOOKUP(EDATE(B185,-12),Database!$A:$AS,MATCH($Q$1,Database!$A$1:$AS$1,),)))))</f>
        <v/>
      </c>
      <c r="R185" s="13">
        <f>IF(VLOOKUP(B185,Database!$A:$AV,MATCH($R$1,Database!$A$1:$AV$1,),)=0,"#N/A",((((VLOOKUP(B185,Database!$A:$AS,MATCH($R$1,Database!$A$1:$AS$1,),))))-(((VLOOKUP(EDATE(B185,-12),Database!$A:$AS,MATCH($R$1,Database!$A$1:$AS$1,),)))))/(((VLOOKUP(EDATE(B185,-12),Database!$A:$AS,MATCH($R$1,Database!$A$1:$AS$1,),)))))</f>
        <v/>
      </c>
      <c r="S185" s="13">
        <f>IF(VLOOKUP(B185,Database!$A:$AV,MATCH($S$1,Database!$A$1:$AV$1,),)=0,"#N/A",((((VLOOKUP(B185,Database!$A:$AS,MATCH($S$1,Database!$A$1:$AS$1,),))))-(((VLOOKUP(EDATE(B185,-12),Database!$A:$AS,MATCH($S$1,Database!$A$1:$AS$1,),)))))/(((VLOOKUP(EDATE(B185,-12),Database!$A:$AS,MATCH($S$1,Database!$A$1:$AS$1,),)))))</f>
        <v/>
      </c>
      <c r="T185" s="13">
        <f>IF(VLOOKUP(B185,Database!$A:$AV,MATCH($T$1,Database!$A$1:$AV$1,),)=0,"#N/A",((((VLOOKUP(B185,Database!$A:$AS,MATCH($T$1,Database!$A$1:$AS$1,),))))-(((VLOOKUP(EDATE(B185,-12),Database!$A:$AS,MATCH($T$1,Database!$A$1:$AS$1,),)))))/(((VLOOKUP(EDATE(B185,-12),Database!$A:$AS,MATCH($T$1,Database!$A$1:$AS$1,),)))))</f>
        <v/>
      </c>
      <c r="U185" s="13">
        <f>IF(VLOOKUP(B185,Database!$A:$AV,MATCH($U$1,Database!$A$1:$AV$1,),)=0,"#N/A",((((VLOOKUP(B185,Database!$A:$AS,MATCH($U$1,Database!$A$1:$AS$1,),))))-(((VLOOKUP(EDATE(B185,-12),Database!$A:$AS,MATCH($U$1,Database!$A$1:$AS$1,),)))))/(((VLOOKUP(EDATE(B185,-12),Database!$A:$AS,MATCH($U$1,Database!$A$1:$AS$1,),)))))</f>
        <v/>
      </c>
      <c r="V185" s="13">
        <f>IF(VLOOKUP(B185,Database!$A:$AV,MATCH($V$1,Database!$A$1:$AV$1,),)=0,"#N/A",((((VLOOKUP(B185,Database!$A:$AS,MATCH($V$1,Database!$A$1:$AS$1,),))))-(((VLOOKUP(EDATE(B185,-12),Database!$A:$AS,MATCH($V$1,Database!$A$1:$AS$1,),)))))/(((VLOOKUP(EDATE(B185,-12),Database!$A:$AS,MATCH($V$1,Database!$A$1:$AS$1,),)))))</f>
        <v/>
      </c>
    </row>
    <row r="186" customFormat="1" s="86">
      <c r="A186" s="43" t="n"/>
      <c r="B186" s="75" t="n">
        <v>37803</v>
      </c>
      <c r="C186" s="13">
        <f>IF(VLOOKUP(B186,Database!$A:$AU,MATCH($C$1,Database!$A$1:$AU$1,),)=0,"#N/A",((((VLOOKUP(B186,Database!$A:$AU,MATCH($C$1,Database!$A$1:$AU$1,),))))-(((VLOOKUP(EDATE(B186,-12),Database!$A:$AU,MATCH($C$1,Database!$A$1:$AU$1,),)))))/(((VLOOKUP(EDATE(B186,-12),Database!$A:$AU,MATCH($C$1,Database!$A$1:$AU$1,),)))))</f>
        <v/>
      </c>
      <c r="D186" s="13">
        <f>IF(VLOOKUP(B186,Database!$A:$AV,MATCH($D$1,Database!$A$1:$AV$1,),)=0,"#N/A",((((VLOOKUP(B186,Database!$A:$AS,MATCH($D$1,Database!$A$1:$AS$1,),))))-(((VLOOKUP(EDATE(B186,-12),Database!$A:$AS,MATCH($D$1,Database!$A$1:$AS$1,),)))))/(((VLOOKUP(EDATE(B186,-12),Database!$A:$AS,MATCH($D$1,Database!$A$1:$AS$1,),)))))</f>
        <v/>
      </c>
      <c r="E186" s="13">
        <f>IF(VLOOKUP(B186,Database!$A:$AV,MATCH($E$1,Database!$A$1:$AV$1,),)=0,"#N/A",((((VLOOKUP(B186,Database!$A:$AS,MATCH($E$1,Database!$A$1:$AS$1,),))))-(((VLOOKUP(EDATE(B186,-12),Database!$A:$AS,MATCH($E$1,Database!$A$1:$AS$1,),)))))/(((VLOOKUP(EDATE(B186,-12),Database!$A:$AS,MATCH($E$1,Database!$A$1:$AS$1,),)))))</f>
        <v/>
      </c>
      <c r="F186" s="13">
        <f>IF(VLOOKUP(B186,Database!$A:$AV,MATCH($F$1,Database!$A$1:$AV$1,),)=0,"#N/A",((((VLOOKUP(B186,Database!$A:$AS,MATCH($F$1,Database!$A$1:$AS$1,),))))-(((VLOOKUP(EDATE(B186,-12),Database!$A:$AS,MATCH($F$1,Database!$A$1:$AS$1,),)))))/(((VLOOKUP(EDATE(B186,-12),Database!$A:$AS,MATCH($F$1,Database!$A$1:$AS$1,),)))))</f>
        <v/>
      </c>
      <c r="G186" s="13">
        <f>IF(VLOOKUP(B186,Database!$A:$AV,MATCH($G$1,Database!$A$1:$AV$1,),)=0,"#N/A",((((VLOOKUP(B186,Database!$A:$AS,MATCH($G$1,Database!$A$1:$AS$1,),))))-(((VLOOKUP(EDATE(B186,-12),Database!$A:$AS,MATCH($G$1,Database!$A$1:$AS$1,),)))))/(((VLOOKUP(EDATE(B186,-12),Database!$A:$AS,MATCH($G$1,Database!$A$1:$AS$1,),)))))</f>
        <v/>
      </c>
      <c r="H186" s="13">
        <f>IF(VLOOKUP(B186,Database!$A:$AV,MATCH($H$1,Database!$A$1:$AV$1,),)=0,"#N/A",((((VLOOKUP(B186,Database!$A:$AS,MATCH($H$1,Database!$A$1:$AS$1,),))))-(((VLOOKUP(EDATE(B186,-12),Database!$A:$AS,MATCH($H$1,Database!$A$1:$AS$1,),)))))/(((VLOOKUP(EDATE(B186,-12),Database!$A:$AS,MATCH($H$1,Database!$A$1:$AS$1,),)))))</f>
        <v/>
      </c>
      <c r="I186" s="13">
        <f>IF(VLOOKUP(B186,Database!$A:$AV,MATCH($I$1,Database!$A$1:$AV$1,),)=0,"#N/A",((((VLOOKUP(B186,Database!$A:$AS,MATCH($I$1,Database!$A$1:$AS$1,),))))-(((VLOOKUP(EDATE(B186,-12),Database!$A:$AS,MATCH($I$1,Database!$A$1:$AS$1,),)))))/(((VLOOKUP(EDATE(B186,-12),Database!$A:$AS,MATCH($I$1,Database!$A$1:$AS$1,),)))))</f>
        <v/>
      </c>
      <c r="J186" s="13">
        <f>IF(VLOOKUP(B186,Database!$A:$AV,MATCH($J$1,Database!$A$1:$AV$1,),)=0,"#N/A",((((VLOOKUP(B186,Database!$A:$AS,MATCH($J$1,Database!$A$1:$AS$1,),))))-(((VLOOKUP(EDATE(B186,-12),Database!$A:$AS,MATCH($J$1,Database!$A$1:$AS$1,),)))))/(((VLOOKUP(EDATE(B186,-12),Database!$A:$AS,MATCH($J$1,Database!$A$1:$AS$1,),)))))</f>
        <v/>
      </c>
      <c r="K186" s="13">
        <f>IF(VLOOKUP(B186,Database!$A:$AV,MATCH($K$1,Database!$A$1:$AV$1,),)=0,"#N/A",((((VLOOKUP(B186,Database!$A:$AS,MATCH($K$1,Database!$A$1:$AS$1,),))))-(((VLOOKUP(EDATE(B186,-12),Database!$A:$AS,MATCH($K$1,Database!$A$1:$AS$1,),)))))/(((VLOOKUP(EDATE(B186,-12),Database!$A:$AS,MATCH($K$1,Database!$A$1:$AS$1,),)))))</f>
        <v/>
      </c>
      <c r="L186" s="13">
        <f>((((VLOOKUP(B186,Database!$A:$AS,MATCH($L$1,Database!$A$1:$AS$1,),))))-(((VLOOKUP(EDATE(B186,-12),Database!$A:$AS,MATCH($L$1,Database!$A$1:$AS$1,),)))))/(((VLOOKUP(EDATE(B186,-12),Database!$A:$AS,MATCH($L$1,Database!$A$1:$AS$1,),))))</f>
        <v/>
      </c>
      <c r="M186" s="13">
        <f>((((VLOOKUP(B186,Database!$A:$AS,MATCH($M$1,Database!$A$1:$AS$1,),))))-(((VLOOKUP(EDATE(B186,-12),Database!$A:$AS,MATCH($M$1,Database!$A$1:$AS$1,),)))))/(((VLOOKUP(EDATE(B186,-12),Database!$A:$AS,MATCH($M$1,Database!$A$1:$AS$1,),))))</f>
        <v/>
      </c>
      <c r="N186" s="13">
        <f>((((VLOOKUP(B186,Database!$A:$AS,MATCH($N$1,Database!$A$1:$AS$1,),))))-(((VLOOKUP(EDATE(B186,-12),Database!$A:$AS,MATCH($N$1,Database!$A$1:$AS$1,),)))))/(((VLOOKUP(EDATE(B186,-12),Database!$A:$AS,MATCH($N$1,Database!$A$1:$AS$1,),))))</f>
        <v/>
      </c>
      <c r="O186" s="13">
        <f>IF(VLOOKUP(B186,Database!$A:$AV,MATCH($O$1,Database!$A$1:$AV$1,),)=0,"#N/A",((((VLOOKUP(B186,Database!$A:$AS,MATCH($O$1,Database!$A$1:$AS$1,),))))-(((VLOOKUP(EDATE(B186,-12),Database!$A:$AS,MATCH($O$1,Database!$A$1:$AS$1,),)))))/(((VLOOKUP(EDATE(B186,-12),Database!$A:$AS,MATCH($O$1,Database!$A$1:$AS$1,),)))))</f>
        <v/>
      </c>
      <c r="P186" s="13">
        <f>IF(VLOOKUP(B186,Database!$A:$AV,MATCH($P$1,Database!$A$1:$AV$1,),)=0,"#N/A",((((VLOOKUP(B186,Database!$A:$AS,MATCH($P$1,Database!$A$1:$AS$1,),))))-(((VLOOKUP(EDATE(B186,-12),Database!$A:$AS,MATCH($P$1,Database!$A$1:$AS$1,),)))))/(((VLOOKUP(EDATE(B186,-12),Database!$A:$AS,MATCH($P$1,Database!$A$1:$AS$1,),)))))</f>
        <v/>
      </c>
      <c r="Q186" s="13">
        <f>IF(VLOOKUP(B186,Database!$A:$AV,MATCH($Q$1,Database!$A$1:$AV$1,),)=0,"#N/A",((((VLOOKUP(B186,Database!$A:$AS,MATCH($Q$1,Database!$A$1:$AS$1,),))))-(((VLOOKUP(EDATE(B186,-12),Database!$A:$AS,MATCH($Q$1,Database!$A$1:$AS$1,),)))))/(((VLOOKUP(EDATE(B186,-12),Database!$A:$AS,MATCH($Q$1,Database!$A$1:$AS$1,),)))))</f>
        <v/>
      </c>
      <c r="R186" s="13">
        <f>IF(VLOOKUP(B186,Database!$A:$AV,MATCH($R$1,Database!$A$1:$AV$1,),)=0,"#N/A",((((VLOOKUP(B186,Database!$A:$AS,MATCH($R$1,Database!$A$1:$AS$1,),))))-(((VLOOKUP(EDATE(B186,-12),Database!$A:$AS,MATCH($R$1,Database!$A$1:$AS$1,),)))))/(((VLOOKUP(EDATE(B186,-12),Database!$A:$AS,MATCH($R$1,Database!$A$1:$AS$1,),)))))</f>
        <v/>
      </c>
      <c r="S186" s="13">
        <f>IF(VLOOKUP(B186,Database!$A:$AV,MATCH($S$1,Database!$A$1:$AV$1,),)=0,"#N/A",((((VLOOKUP(B186,Database!$A:$AS,MATCH($S$1,Database!$A$1:$AS$1,),))))-(((VLOOKUP(EDATE(B186,-12),Database!$A:$AS,MATCH($S$1,Database!$A$1:$AS$1,),)))))/(((VLOOKUP(EDATE(B186,-12),Database!$A:$AS,MATCH($S$1,Database!$A$1:$AS$1,),)))))</f>
        <v/>
      </c>
      <c r="T186" s="13">
        <f>IF(VLOOKUP(B186,Database!$A:$AV,MATCH($T$1,Database!$A$1:$AV$1,),)=0,"#N/A",((((VLOOKUP(B186,Database!$A:$AS,MATCH($T$1,Database!$A$1:$AS$1,),))))-(((VLOOKUP(EDATE(B186,-12),Database!$A:$AS,MATCH($T$1,Database!$A$1:$AS$1,),)))))/(((VLOOKUP(EDATE(B186,-12),Database!$A:$AS,MATCH($T$1,Database!$A$1:$AS$1,),)))))</f>
        <v/>
      </c>
      <c r="U186" s="13">
        <f>IF(VLOOKUP(B186,Database!$A:$AV,MATCH($U$1,Database!$A$1:$AV$1,),)=0,"#N/A",((((VLOOKUP(B186,Database!$A:$AS,MATCH($U$1,Database!$A$1:$AS$1,),))))-(((VLOOKUP(EDATE(B186,-12),Database!$A:$AS,MATCH($U$1,Database!$A$1:$AS$1,),)))))/(((VLOOKUP(EDATE(B186,-12),Database!$A:$AS,MATCH($U$1,Database!$A$1:$AS$1,),)))))</f>
        <v/>
      </c>
      <c r="V186" s="13">
        <f>IF(VLOOKUP(B186,Database!$A:$AV,MATCH($V$1,Database!$A$1:$AV$1,),)=0,"#N/A",((((VLOOKUP(B186,Database!$A:$AS,MATCH($V$1,Database!$A$1:$AS$1,),))))-(((VLOOKUP(EDATE(B186,-12),Database!$A:$AS,MATCH($V$1,Database!$A$1:$AS$1,),)))))/(((VLOOKUP(EDATE(B186,-12),Database!$A:$AS,MATCH($V$1,Database!$A$1:$AS$1,),)))))</f>
        <v/>
      </c>
    </row>
    <row r="187" customFormat="1" s="86">
      <c r="A187" s="43" t="n"/>
      <c r="B187" s="75" t="n">
        <v>37834</v>
      </c>
      <c r="C187" s="13">
        <f>IF(VLOOKUP(B187,Database!$A:$AU,MATCH($C$1,Database!$A$1:$AU$1,),)=0,"#N/A",((((VLOOKUP(B187,Database!$A:$AU,MATCH($C$1,Database!$A$1:$AU$1,),))))-(((VLOOKUP(EDATE(B187,-12),Database!$A:$AU,MATCH($C$1,Database!$A$1:$AU$1,),)))))/(((VLOOKUP(EDATE(B187,-12),Database!$A:$AU,MATCH($C$1,Database!$A$1:$AU$1,),)))))</f>
        <v/>
      </c>
      <c r="D187" s="13">
        <f>IF(VLOOKUP(B187,Database!$A:$AV,MATCH($D$1,Database!$A$1:$AV$1,),)=0,"#N/A",((((VLOOKUP(B187,Database!$A:$AS,MATCH($D$1,Database!$A$1:$AS$1,),))))-(((VLOOKUP(EDATE(B187,-12),Database!$A:$AS,MATCH($D$1,Database!$A$1:$AS$1,),)))))/(((VLOOKUP(EDATE(B187,-12),Database!$A:$AS,MATCH($D$1,Database!$A$1:$AS$1,),)))))</f>
        <v/>
      </c>
      <c r="E187" s="13">
        <f>IF(VLOOKUP(B187,Database!$A:$AV,MATCH($E$1,Database!$A$1:$AV$1,),)=0,"#N/A",((((VLOOKUP(B187,Database!$A:$AS,MATCH($E$1,Database!$A$1:$AS$1,),))))-(((VLOOKUP(EDATE(B187,-12),Database!$A:$AS,MATCH($E$1,Database!$A$1:$AS$1,),)))))/(((VLOOKUP(EDATE(B187,-12),Database!$A:$AS,MATCH($E$1,Database!$A$1:$AS$1,),)))))</f>
        <v/>
      </c>
      <c r="F187" s="13">
        <f>IF(VLOOKUP(B187,Database!$A:$AV,MATCH($F$1,Database!$A$1:$AV$1,),)=0,"#N/A",((((VLOOKUP(B187,Database!$A:$AS,MATCH($F$1,Database!$A$1:$AS$1,),))))-(((VLOOKUP(EDATE(B187,-12),Database!$A:$AS,MATCH($F$1,Database!$A$1:$AS$1,),)))))/(((VLOOKUP(EDATE(B187,-12),Database!$A:$AS,MATCH($F$1,Database!$A$1:$AS$1,),)))))</f>
        <v/>
      </c>
      <c r="G187" s="13">
        <f>IF(VLOOKUP(B187,Database!$A:$AV,MATCH($G$1,Database!$A$1:$AV$1,),)=0,"#N/A",((((VLOOKUP(B187,Database!$A:$AS,MATCH($G$1,Database!$A$1:$AS$1,),))))-(((VLOOKUP(EDATE(B187,-12),Database!$A:$AS,MATCH($G$1,Database!$A$1:$AS$1,),)))))/(((VLOOKUP(EDATE(B187,-12),Database!$A:$AS,MATCH($G$1,Database!$A$1:$AS$1,),)))))</f>
        <v/>
      </c>
      <c r="H187" s="13">
        <f>IF(VLOOKUP(B187,Database!$A:$AV,MATCH($H$1,Database!$A$1:$AV$1,),)=0,"#N/A",((((VLOOKUP(B187,Database!$A:$AS,MATCH($H$1,Database!$A$1:$AS$1,),))))-(((VLOOKUP(EDATE(B187,-12),Database!$A:$AS,MATCH($H$1,Database!$A$1:$AS$1,),)))))/(((VLOOKUP(EDATE(B187,-12),Database!$A:$AS,MATCH($H$1,Database!$A$1:$AS$1,),)))))</f>
        <v/>
      </c>
      <c r="I187" s="13">
        <f>IF(VLOOKUP(B187,Database!$A:$AV,MATCH($I$1,Database!$A$1:$AV$1,),)=0,"#N/A",((((VLOOKUP(B187,Database!$A:$AS,MATCH($I$1,Database!$A$1:$AS$1,),))))-(((VLOOKUP(EDATE(B187,-12),Database!$A:$AS,MATCH($I$1,Database!$A$1:$AS$1,),)))))/(((VLOOKUP(EDATE(B187,-12),Database!$A:$AS,MATCH($I$1,Database!$A$1:$AS$1,),)))))</f>
        <v/>
      </c>
      <c r="J187" s="13">
        <f>IF(VLOOKUP(B187,Database!$A:$AV,MATCH($J$1,Database!$A$1:$AV$1,),)=0,"#N/A",((((VLOOKUP(B187,Database!$A:$AS,MATCH($J$1,Database!$A$1:$AS$1,),))))-(((VLOOKUP(EDATE(B187,-12),Database!$A:$AS,MATCH($J$1,Database!$A$1:$AS$1,),)))))/(((VLOOKUP(EDATE(B187,-12),Database!$A:$AS,MATCH($J$1,Database!$A$1:$AS$1,),)))))</f>
        <v/>
      </c>
      <c r="K187" s="13">
        <f>IF(VLOOKUP(B187,Database!$A:$AV,MATCH($K$1,Database!$A$1:$AV$1,),)=0,"#N/A",((((VLOOKUP(B187,Database!$A:$AS,MATCH($K$1,Database!$A$1:$AS$1,),))))-(((VLOOKUP(EDATE(B187,-12),Database!$A:$AS,MATCH($K$1,Database!$A$1:$AS$1,),)))))/(((VLOOKUP(EDATE(B187,-12),Database!$A:$AS,MATCH($K$1,Database!$A$1:$AS$1,),)))))</f>
        <v/>
      </c>
      <c r="L187" s="13">
        <f>((((VLOOKUP(B187,Database!$A:$AS,MATCH($L$1,Database!$A$1:$AS$1,),))))-(((VLOOKUP(EDATE(B187,-12),Database!$A:$AS,MATCH($L$1,Database!$A$1:$AS$1,),)))))/(((VLOOKUP(EDATE(B187,-12),Database!$A:$AS,MATCH($L$1,Database!$A$1:$AS$1,),))))</f>
        <v/>
      </c>
      <c r="M187" s="13">
        <f>((((VLOOKUP(B187,Database!$A:$AS,MATCH($M$1,Database!$A$1:$AS$1,),))))-(((VLOOKUP(EDATE(B187,-12),Database!$A:$AS,MATCH($M$1,Database!$A$1:$AS$1,),)))))/(((VLOOKUP(EDATE(B187,-12),Database!$A:$AS,MATCH($M$1,Database!$A$1:$AS$1,),))))</f>
        <v/>
      </c>
      <c r="N187" s="13">
        <f>((((VLOOKUP(B187,Database!$A:$AS,MATCH($N$1,Database!$A$1:$AS$1,),))))-(((VLOOKUP(EDATE(B187,-12),Database!$A:$AS,MATCH($N$1,Database!$A$1:$AS$1,),)))))/(((VLOOKUP(EDATE(B187,-12),Database!$A:$AS,MATCH($N$1,Database!$A$1:$AS$1,),))))</f>
        <v/>
      </c>
      <c r="O187" s="13">
        <f>IF(VLOOKUP(B187,Database!$A:$AV,MATCH($O$1,Database!$A$1:$AV$1,),)=0,"#N/A",((((VLOOKUP(B187,Database!$A:$AS,MATCH($O$1,Database!$A$1:$AS$1,),))))-(((VLOOKUP(EDATE(B187,-12),Database!$A:$AS,MATCH($O$1,Database!$A$1:$AS$1,),)))))/(((VLOOKUP(EDATE(B187,-12),Database!$A:$AS,MATCH($O$1,Database!$A$1:$AS$1,),)))))</f>
        <v/>
      </c>
      <c r="P187" s="13">
        <f>IF(VLOOKUP(B187,Database!$A:$AV,MATCH($P$1,Database!$A$1:$AV$1,),)=0,"#N/A",((((VLOOKUP(B187,Database!$A:$AS,MATCH($P$1,Database!$A$1:$AS$1,),))))-(((VLOOKUP(EDATE(B187,-12),Database!$A:$AS,MATCH($P$1,Database!$A$1:$AS$1,),)))))/(((VLOOKUP(EDATE(B187,-12),Database!$A:$AS,MATCH($P$1,Database!$A$1:$AS$1,),)))))</f>
        <v/>
      </c>
      <c r="Q187" s="13">
        <f>IF(VLOOKUP(B187,Database!$A:$AV,MATCH($Q$1,Database!$A$1:$AV$1,),)=0,"#N/A",((((VLOOKUP(B187,Database!$A:$AS,MATCH($Q$1,Database!$A$1:$AS$1,),))))-(((VLOOKUP(EDATE(B187,-12),Database!$A:$AS,MATCH($Q$1,Database!$A$1:$AS$1,),)))))/(((VLOOKUP(EDATE(B187,-12),Database!$A:$AS,MATCH($Q$1,Database!$A$1:$AS$1,),)))))</f>
        <v/>
      </c>
      <c r="R187" s="13">
        <f>IF(VLOOKUP(B187,Database!$A:$AV,MATCH($R$1,Database!$A$1:$AV$1,),)=0,"#N/A",((((VLOOKUP(B187,Database!$A:$AS,MATCH($R$1,Database!$A$1:$AS$1,),))))-(((VLOOKUP(EDATE(B187,-12),Database!$A:$AS,MATCH($R$1,Database!$A$1:$AS$1,),)))))/(((VLOOKUP(EDATE(B187,-12),Database!$A:$AS,MATCH($R$1,Database!$A$1:$AS$1,),)))))</f>
        <v/>
      </c>
      <c r="S187" s="13">
        <f>IF(VLOOKUP(B187,Database!$A:$AV,MATCH($S$1,Database!$A$1:$AV$1,),)=0,"#N/A",((((VLOOKUP(B187,Database!$A:$AS,MATCH($S$1,Database!$A$1:$AS$1,),))))-(((VLOOKUP(EDATE(B187,-12),Database!$A:$AS,MATCH($S$1,Database!$A$1:$AS$1,),)))))/(((VLOOKUP(EDATE(B187,-12),Database!$A:$AS,MATCH($S$1,Database!$A$1:$AS$1,),)))))</f>
        <v/>
      </c>
      <c r="T187" s="13">
        <f>IF(VLOOKUP(B187,Database!$A:$AV,MATCH($T$1,Database!$A$1:$AV$1,),)=0,"#N/A",((((VLOOKUP(B187,Database!$A:$AS,MATCH($T$1,Database!$A$1:$AS$1,),))))-(((VLOOKUP(EDATE(B187,-12),Database!$A:$AS,MATCH($T$1,Database!$A$1:$AS$1,),)))))/(((VLOOKUP(EDATE(B187,-12),Database!$A:$AS,MATCH($T$1,Database!$A$1:$AS$1,),)))))</f>
        <v/>
      </c>
      <c r="U187" s="13">
        <f>IF(VLOOKUP(B187,Database!$A:$AV,MATCH($U$1,Database!$A$1:$AV$1,),)=0,"#N/A",((((VLOOKUP(B187,Database!$A:$AS,MATCH($U$1,Database!$A$1:$AS$1,),))))-(((VLOOKUP(EDATE(B187,-12),Database!$A:$AS,MATCH($U$1,Database!$A$1:$AS$1,),)))))/(((VLOOKUP(EDATE(B187,-12),Database!$A:$AS,MATCH($U$1,Database!$A$1:$AS$1,),)))))</f>
        <v/>
      </c>
      <c r="V187" s="13">
        <f>IF(VLOOKUP(B187,Database!$A:$AV,MATCH($V$1,Database!$A$1:$AV$1,),)=0,"#N/A",((((VLOOKUP(B187,Database!$A:$AS,MATCH($V$1,Database!$A$1:$AS$1,),))))-(((VLOOKUP(EDATE(B187,-12),Database!$A:$AS,MATCH($V$1,Database!$A$1:$AS$1,),)))))/(((VLOOKUP(EDATE(B187,-12),Database!$A:$AS,MATCH($V$1,Database!$A$1:$AS$1,),)))))</f>
        <v/>
      </c>
    </row>
    <row r="188" customFormat="1" s="86">
      <c r="A188" s="43" t="n"/>
      <c r="B188" s="75" t="n">
        <v>37865</v>
      </c>
      <c r="C188" s="13">
        <f>IF(VLOOKUP(B188,Database!$A:$AU,MATCH($C$1,Database!$A$1:$AU$1,),)=0,"#N/A",((((VLOOKUP(B188,Database!$A:$AU,MATCH($C$1,Database!$A$1:$AU$1,),))))-(((VLOOKUP(EDATE(B188,-12),Database!$A:$AU,MATCH($C$1,Database!$A$1:$AU$1,),)))))/(((VLOOKUP(EDATE(B188,-12),Database!$A:$AU,MATCH($C$1,Database!$A$1:$AU$1,),)))))</f>
        <v/>
      </c>
      <c r="D188" s="13">
        <f>IF(VLOOKUP(B188,Database!$A:$AV,MATCH($D$1,Database!$A$1:$AV$1,),)=0,"#N/A",((((VLOOKUP(B188,Database!$A:$AS,MATCH($D$1,Database!$A$1:$AS$1,),))))-(((VLOOKUP(EDATE(B188,-12),Database!$A:$AS,MATCH($D$1,Database!$A$1:$AS$1,),)))))/(((VLOOKUP(EDATE(B188,-12),Database!$A:$AS,MATCH($D$1,Database!$A$1:$AS$1,),)))))</f>
        <v/>
      </c>
      <c r="E188" s="13">
        <f>IF(VLOOKUP(B188,Database!$A:$AV,MATCH($E$1,Database!$A$1:$AV$1,),)=0,"#N/A",((((VLOOKUP(B188,Database!$A:$AS,MATCH($E$1,Database!$A$1:$AS$1,),))))-(((VLOOKUP(EDATE(B188,-12),Database!$A:$AS,MATCH($E$1,Database!$A$1:$AS$1,),)))))/(((VLOOKUP(EDATE(B188,-12),Database!$A:$AS,MATCH($E$1,Database!$A$1:$AS$1,),)))))</f>
        <v/>
      </c>
      <c r="F188" s="13">
        <f>IF(VLOOKUP(B188,Database!$A:$AV,MATCH($F$1,Database!$A$1:$AV$1,),)=0,"#N/A",((((VLOOKUP(B188,Database!$A:$AS,MATCH($F$1,Database!$A$1:$AS$1,),))))-(((VLOOKUP(EDATE(B188,-12),Database!$A:$AS,MATCH($F$1,Database!$A$1:$AS$1,),)))))/(((VLOOKUP(EDATE(B188,-12),Database!$A:$AS,MATCH($F$1,Database!$A$1:$AS$1,),)))))</f>
        <v/>
      </c>
      <c r="G188" s="13">
        <f>IF(VLOOKUP(B188,Database!$A:$AV,MATCH($G$1,Database!$A$1:$AV$1,),)=0,"#N/A",((((VLOOKUP(B188,Database!$A:$AS,MATCH($G$1,Database!$A$1:$AS$1,),))))-(((VLOOKUP(EDATE(B188,-12),Database!$A:$AS,MATCH($G$1,Database!$A$1:$AS$1,),)))))/(((VLOOKUP(EDATE(B188,-12),Database!$A:$AS,MATCH($G$1,Database!$A$1:$AS$1,),)))))</f>
        <v/>
      </c>
      <c r="H188" s="13">
        <f>IF(VLOOKUP(B188,Database!$A:$AV,MATCH($H$1,Database!$A$1:$AV$1,),)=0,"#N/A",((((VLOOKUP(B188,Database!$A:$AS,MATCH($H$1,Database!$A$1:$AS$1,),))))-(((VLOOKUP(EDATE(B188,-12),Database!$A:$AS,MATCH($H$1,Database!$A$1:$AS$1,),)))))/(((VLOOKUP(EDATE(B188,-12),Database!$A:$AS,MATCH($H$1,Database!$A$1:$AS$1,),)))))</f>
        <v/>
      </c>
      <c r="I188" s="13">
        <f>IF(VLOOKUP(B188,Database!$A:$AV,MATCH($I$1,Database!$A$1:$AV$1,),)=0,"#N/A",((((VLOOKUP(B188,Database!$A:$AS,MATCH($I$1,Database!$A$1:$AS$1,),))))-(((VLOOKUP(EDATE(B188,-12),Database!$A:$AS,MATCH($I$1,Database!$A$1:$AS$1,),)))))/(((VLOOKUP(EDATE(B188,-12),Database!$A:$AS,MATCH($I$1,Database!$A$1:$AS$1,),)))))</f>
        <v/>
      </c>
      <c r="J188" s="13">
        <f>IF(VLOOKUP(B188,Database!$A:$AV,MATCH($J$1,Database!$A$1:$AV$1,),)=0,"#N/A",((((VLOOKUP(B188,Database!$A:$AS,MATCH($J$1,Database!$A$1:$AS$1,),))))-(((VLOOKUP(EDATE(B188,-12),Database!$A:$AS,MATCH($J$1,Database!$A$1:$AS$1,),)))))/(((VLOOKUP(EDATE(B188,-12),Database!$A:$AS,MATCH($J$1,Database!$A$1:$AS$1,),)))))</f>
        <v/>
      </c>
      <c r="K188" s="13">
        <f>IF(VLOOKUP(B188,Database!$A:$AV,MATCH($K$1,Database!$A$1:$AV$1,),)=0,"#N/A",((((VLOOKUP(B188,Database!$A:$AS,MATCH($K$1,Database!$A$1:$AS$1,),))))-(((VLOOKUP(EDATE(B188,-12),Database!$A:$AS,MATCH($K$1,Database!$A$1:$AS$1,),)))))/(((VLOOKUP(EDATE(B188,-12),Database!$A:$AS,MATCH($K$1,Database!$A$1:$AS$1,),)))))</f>
        <v/>
      </c>
      <c r="L188" s="13">
        <f>((((VLOOKUP(B188,Database!$A:$AS,MATCH($L$1,Database!$A$1:$AS$1,),))))-(((VLOOKUP(EDATE(B188,-12),Database!$A:$AS,MATCH($L$1,Database!$A$1:$AS$1,),)))))/(((VLOOKUP(EDATE(B188,-12),Database!$A:$AS,MATCH($L$1,Database!$A$1:$AS$1,),))))</f>
        <v/>
      </c>
      <c r="M188" s="13">
        <f>((((VLOOKUP(B188,Database!$A:$AS,MATCH($M$1,Database!$A$1:$AS$1,),))))-(((VLOOKUP(EDATE(B188,-12),Database!$A:$AS,MATCH($M$1,Database!$A$1:$AS$1,),)))))/(((VLOOKUP(EDATE(B188,-12),Database!$A:$AS,MATCH($M$1,Database!$A$1:$AS$1,),))))</f>
        <v/>
      </c>
      <c r="N188" s="13">
        <f>((((VLOOKUP(B188,Database!$A:$AS,MATCH($N$1,Database!$A$1:$AS$1,),))))-(((VLOOKUP(EDATE(B188,-12),Database!$A:$AS,MATCH($N$1,Database!$A$1:$AS$1,),)))))/(((VLOOKUP(EDATE(B188,-12),Database!$A:$AS,MATCH($N$1,Database!$A$1:$AS$1,),))))</f>
        <v/>
      </c>
      <c r="O188" s="13">
        <f>IF(VLOOKUP(B188,Database!$A:$AV,MATCH($O$1,Database!$A$1:$AV$1,),)=0,"#N/A",((((VLOOKUP(B188,Database!$A:$AS,MATCH($O$1,Database!$A$1:$AS$1,),))))-(((VLOOKUP(EDATE(B188,-12),Database!$A:$AS,MATCH($O$1,Database!$A$1:$AS$1,),)))))/(((VLOOKUP(EDATE(B188,-12),Database!$A:$AS,MATCH($O$1,Database!$A$1:$AS$1,),)))))</f>
        <v/>
      </c>
      <c r="P188" s="13">
        <f>IF(VLOOKUP(B188,Database!$A:$AV,MATCH($P$1,Database!$A$1:$AV$1,),)=0,"#N/A",((((VLOOKUP(B188,Database!$A:$AS,MATCH($P$1,Database!$A$1:$AS$1,),))))-(((VLOOKUP(EDATE(B188,-12),Database!$A:$AS,MATCH($P$1,Database!$A$1:$AS$1,),)))))/(((VLOOKUP(EDATE(B188,-12),Database!$A:$AS,MATCH($P$1,Database!$A$1:$AS$1,),)))))</f>
        <v/>
      </c>
      <c r="Q188" s="13">
        <f>IF(VLOOKUP(B188,Database!$A:$AV,MATCH($Q$1,Database!$A$1:$AV$1,),)=0,"#N/A",((((VLOOKUP(B188,Database!$A:$AS,MATCH($Q$1,Database!$A$1:$AS$1,),))))-(((VLOOKUP(EDATE(B188,-12),Database!$A:$AS,MATCH($Q$1,Database!$A$1:$AS$1,),)))))/(((VLOOKUP(EDATE(B188,-12),Database!$A:$AS,MATCH($Q$1,Database!$A$1:$AS$1,),)))))</f>
        <v/>
      </c>
      <c r="R188" s="13">
        <f>IF(VLOOKUP(B188,Database!$A:$AV,MATCH($R$1,Database!$A$1:$AV$1,),)=0,"#N/A",((((VLOOKUP(B188,Database!$A:$AS,MATCH($R$1,Database!$A$1:$AS$1,),))))-(((VLOOKUP(EDATE(B188,-12),Database!$A:$AS,MATCH($R$1,Database!$A$1:$AS$1,),)))))/(((VLOOKUP(EDATE(B188,-12),Database!$A:$AS,MATCH($R$1,Database!$A$1:$AS$1,),)))))</f>
        <v/>
      </c>
      <c r="S188" s="13">
        <f>IF(VLOOKUP(B188,Database!$A:$AV,MATCH($S$1,Database!$A$1:$AV$1,),)=0,"#N/A",((((VLOOKUP(B188,Database!$A:$AS,MATCH($S$1,Database!$A$1:$AS$1,),))))-(((VLOOKUP(EDATE(B188,-12),Database!$A:$AS,MATCH($S$1,Database!$A$1:$AS$1,),)))))/(((VLOOKUP(EDATE(B188,-12),Database!$A:$AS,MATCH($S$1,Database!$A$1:$AS$1,),)))))</f>
        <v/>
      </c>
      <c r="T188" s="13">
        <f>IF(VLOOKUP(B188,Database!$A:$AV,MATCH($T$1,Database!$A$1:$AV$1,),)=0,"#N/A",((((VLOOKUP(B188,Database!$A:$AS,MATCH($T$1,Database!$A$1:$AS$1,),))))-(((VLOOKUP(EDATE(B188,-12),Database!$A:$AS,MATCH($T$1,Database!$A$1:$AS$1,),)))))/(((VLOOKUP(EDATE(B188,-12),Database!$A:$AS,MATCH($T$1,Database!$A$1:$AS$1,),)))))</f>
        <v/>
      </c>
      <c r="U188" s="13">
        <f>IF(VLOOKUP(B188,Database!$A:$AV,MATCH($U$1,Database!$A$1:$AV$1,),)=0,"#N/A",((((VLOOKUP(B188,Database!$A:$AS,MATCH($U$1,Database!$A$1:$AS$1,),))))-(((VLOOKUP(EDATE(B188,-12),Database!$A:$AS,MATCH($U$1,Database!$A$1:$AS$1,),)))))/(((VLOOKUP(EDATE(B188,-12),Database!$A:$AS,MATCH($U$1,Database!$A$1:$AS$1,),)))))</f>
        <v/>
      </c>
      <c r="V188" s="13">
        <f>IF(VLOOKUP(B188,Database!$A:$AV,MATCH($V$1,Database!$A$1:$AV$1,),)=0,"#N/A",((((VLOOKUP(B188,Database!$A:$AS,MATCH($V$1,Database!$A$1:$AS$1,),))))-(((VLOOKUP(EDATE(B188,-12),Database!$A:$AS,MATCH($V$1,Database!$A$1:$AS$1,),)))))/(((VLOOKUP(EDATE(B188,-12),Database!$A:$AS,MATCH($V$1,Database!$A$1:$AS$1,),)))))</f>
        <v/>
      </c>
    </row>
    <row r="189" customFormat="1" s="86">
      <c r="A189" s="43" t="n"/>
      <c r="B189" s="75" t="n">
        <v>37895</v>
      </c>
      <c r="C189" s="13">
        <f>IF(VLOOKUP(B189,Database!$A:$AU,MATCH($C$1,Database!$A$1:$AU$1,),)=0,"#N/A",((((VLOOKUP(B189,Database!$A:$AU,MATCH($C$1,Database!$A$1:$AU$1,),))))-(((VLOOKUP(EDATE(B189,-12),Database!$A:$AU,MATCH($C$1,Database!$A$1:$AU$1,),)))))/(((VLOOKUP(EDATE(B189,-12),Database!$A:$AU,MATCH($C$1,Database!$A$1:$AU$1,),)))))</f>
        <v/>
      </c>
      <c r="D189" s="13">
        <f>IF(VLOOKUP(B189,Database!$A:$AV,MATCH($D$1,Database!$A$1:$AV$1,),)=0,"#N/A",((((VLOOKUP(B189,Database!$A:$AS,MATCH($D$1,Database!$A$1:$AS$1,),))))-(((VLOOKUP(EDATE(B189,-12),Database!$A:$AS,MATCH($D$1,Database!$A$1:$AS$1,),)))))/(((VLOOKUP(EDATE(B189,-12),Database!$A:$AS,MATCH($D$1,Database!$A$1:$AS$1,),)))))</f>
        <v/>
      </c>
      <c r="E189" s="13">
        <f>IF(VLOOKUP(B189,Database!$A:$AV,MATCH($E$1,Database!$A$1:$AV$1,),)=0,"#N/A",((((VLOOKUP(B189,Database!$A:$AS,MATCH($E$1,Database!$A$1:$AS$1,),))))-(((VLOOKUP(EDATE(B189,-12),Database!$A:$AS,MATCH($E$1,Database!$A$1:$AS$1,),)))))/(((VLOOKUP(EDATE(B189,-12),Database!$A:$AS,MATCH($E$1,Database!$A$1:$AS$1,),)))))</f>
        <v/>
      </c>
      <c r="F189" s="13">
        <f>IF(VLOOKUP(B189,Database!$A:$AV,MATCH($F$1,Database!$A$1:$AV$1,),)=0,"#N/A",((((VLOOKUP(B189,Database!$A:$AS,MATCH($F$1,Database!$A$1:$AS$1,),))))-(((VLOOKUP(EDATE(B189,-12),Database!$A:$AS,MATCH($F$1,Database!$A$1:$AS$1,),)))))/(((VLOOKUP(EDATE(B189,-12),Database!$A:$AS,MATCH($F$1,Database!$A$1:$AS$1,),)))))</f>
        <v/>
      </c>
      <c r="G189" s="13">
        <f>IF(VLOOKUP(B189,Database!$A:$AV,MATCH($G$1,Database!$A$1:$AV$1,),)=0,"#N/A",((((VLOOKUP(B189,Database!$A:$AS,MATCH($G$1,Database!$A$1:$AS$1,),))))-(((VLOOKUP(EDATE(B189,-12),Database!$A:$AS,MATCH($G$1,Database!$A$1:$AS$1,),)))))/(((VLOOKUP(EDATE(B189,-12),Database!$A:$AS,MATCH($G$1,Database!$A$1:$AS$1,),)))))</f>
        <v/>
      </c>
      <c r="H189" s="13">
        <f>IF(VLOOKUP(B189,Database!$A:$AV,MATCH($H$1,Database!$A$1:$AV$1,),)=0,"#N/A",((((VLOOKUP(B189,Database!$A:$AS,MATCH($H$1,Database!$A$1:$AS$1,),))))-(((VLOOKUP(EDATE(B189,-12),Database!$A:$AS,MATCH($H$1,Database!$A$1:$AS$1,),)))))/(((VLOOKUP(EDATE(B189,-12),Database!$A:$AS,MATCH($H$1,Database!$A$1:$AS$1,),)))))</f>
        <v/>
      </c>
      <c r="I189" s="13">
        <f>IF(VLOOKUP(B189,Database!$A:$AV,MATCH($I$1,Database!$A$1:$AV$1,),)=0,"#N/A",((((VLOOKUP(B189,Database!$A:$AS,MATCH($I$1,Database!$A$1:$AS$1,),))))-(((VLOOKUP(EDATE(B189,-12),Database!$A:$AS,MATCH($I$1,Database!$A$1:$AS$1,),)))))/(((VLOOKUP(EDATE(B189,-12),Database!$A:$AS,MATCH($I$1,Database!$A$1:$AS$1,),)))))</f>
        <v/>
      </c>
      <c r="J189" s="13">
        <f>IF(VLOOKUP(B189,Database!$A:$AV,MATCH($J$1,Database!$A$1:$AV$1,),)=0,"#N/A",((((VLOOKUP(B189,Database!$A:$AS,MATCH($J$1,Database!$A$1:$AS$1,),))))-(((VLOOKUP(EDATE(B189,-12),Database!$A:$AS,MATCH($J$1,Database!$A$1:$AS$1,),)))))/(((VLOOKUP(EDATE(B189,-12),Database!$A:$AS,MATCH($J$1,Database!$A$1:$AS$1,),)))))</f>
        <v/>
      </c>
      <c r="K189" s="13">
        <f>IF(VLOOKUP(B189,Database!$A:$AV,MATCH($K$1,Database!$A$1:$AV$1,),)=0,"#N/A",((((VLOOKUP(B189,Database!$A:$AS,MATCH($K$1,Database!$A$1:$AS$1,),))))-(((VLOOKUP(EDATE(B189,-12),Database!$A:$AS,MATCH($K$1,Database!$A$1:$AS$1,),)))))/(((VLOOKUP(EDATE(B189,-12),Database!$A:$AS,MATCH($K$1,Database!$A$1:$AS$1,),)))))</f>
        <v/>
      </c>
      <c r="L189" s="13">
        <f>((((VLOOKUP(B189,Database!$A:$AS,MATCH($L$1,Database!$A$1:$AS$1,),))))-(((VLOOKUP(EDATE(B189,-12),Database!$A:$AS,MATCH($L$1,Database!$A$1:$AS$1,),)))))/(((VLOOKUP(EDATE(B189,-12),Database!$A:$AS,MATCH($L$1,Database!$A$1:$AS$1,),))))</f>
        <v/>
      </c>
      <c r="M189" s="13">
        <f>((((VLOOKUP(B189,Database!$A:$AS,MATCH($M$1,Database!$A$1:$AS$1,),))))-(((VLOOKUP(EDATE(B189,-12),Database!$A:$AS,MATCH($M$1,Database!$A$1:$AS$1,),)))))/(((VLOOKUP(EDATE(B189,-12),Database!$A:$AS,MATCH($M$1,Database!$A$1:$AS$1,),))))</f>
        <v/>
      </c>
      <c r="N189" s="13">
        <f>((((VLOOKUP(B189,Database!$A:$AS,MATCH($N$1,Database!$A$1:$AS$1,),))))-(((VLOOKUP(EDATE(B189,-12),Database!$A:$AS,MATCH($N$1,Database!$A$1:$AS$1,),)))))/(((VLOOKUP(EDATE(B189,-12),Database!$A:$AS,MATCH($N$1,Database!$A$1:$AS$1,),))))</f>
        <v/>
      </c>
      <c r="O189" s="13">
        <f>IF(VLOOKUP(B189,Database!$A:$AV,MATCH($O$1,Database!$A$1:$AV$1,),)=0,"#N/A",((((VLOOKUP(B189,Database!$A:$AS,MATCH($O$1,Database!$A$1:$AS$1,),))))-(((VLOOKUP(EDATE(B189,-12),Database!$A:$AS,MATCH($O$1,Database!$A$1:$AS$1,),)))))/(((VLOOKUP(EDATE(B189,-12),Database!$A:$AS,MATCH($O$1,Database!$A$1:$AS$1,),)))))</f>
        <v/>
      </c>
      <c r="P189" s="13">
        <f>IF(VLOOKUP(B189,Database!$A:$AV,MATCH($P$1,Database!$A$1:$AV$1,),)=0,"#N/A",((((VLOOKUP(B189,Database!$A:$AS,MATCH($P$1,Database!$A$1:$AS$1,),))))-(((VLOOKUP(EDATE(B189,-12),Database!$A:$AS,MATCH($P$1,Database!$A$1:$AS$1,),)))))/(((VLOOKUP(EDATE(B189,-12),Database!$A:$AS,MATCH($P$1,Database!$A$1:$AS$1,),)))))</f>
        <v/>
      </c>
      <c r="Q189" s="13">
        <f>IF(VLOOKUP(B189,Database!$A:$AV,MATCH($Q$1,Database!$A$1:$AV$1,),)=0,"#N/A",((((VLOOKUP(B189,Database!$A:$AS,MATCH($Q$1,Database!$A$1:$AS$1,),))))-(((VLOOKUP(EDATE(B189,-12),Database!$A:$AS,MATCH($Q$1,Database!$A$1:$AS$1,),)))))/(((VLOOKUP(EDATE(B189,-12),Database!$A:$AS,MATCH($Q$1,Database!$A$1:$AS$1,),)))))</f>
        <v/>
      </c>
      <c r="R189" s="13">
        <f>IF(VLOOKUP(B189,Database!$A:$AV,MATCH($R$1,Database!$A$1:$AV$1,),)=0,"#N/A",((((VLOOKUP(B189,Database!$A:$AS,MATCH($R$1,Database!$A$1:$AS$1,),))))-(((VLOOKUP(EDATE(B189,-12),Database!$A:$AS,MATCH($R$1,Database!$A$1:$AS$1,),)))))/(((VLOOKUP(EDATE(B189,-12),Database!$A:$AS,MATCH($R$1,Database!$A$1:$AS$1,),)))))</f>
        <v/>
      </c>
      <c r="S189" s="13">
        <f>IF(VLOOKUP(B189,Database!$A:$AV,MATCH($S$1,Database!$A$1:$AV$1,),)=0,"#N/A",((((VLOOKUP(B189,Database!$A:$AS,MATCH($S$1,Database!$A$1:$AS$1,),))))-(((VLOOKUP(EDATE(B189,-12),Database!$A:$AS,MATCH($S$1,Database!$A$1:$AS$1,),)))))/(((VLOOKUP(EDATE(B189,-12),Database!$A:$AS,MATCH($S$1,Database!$A$1:$AS$1,),)))))</f>
        <v/>
      </c>
      <c r="T189" s="13">
        <f>IF(VLOOKUP(B189,Database!$A:$AV,MATCH($T$1,Database!$A$1:$AV$1,),)=0,"#N/A",((((VLOOKUP(B189,Database!$A:$AS,MATCH($T$1,Database!$A$1:$AS$1,),))))-(((VLOOKUP(EDATE(B189,-12),Database!$A:$AS,MATCH($T$1,Database!$A$1:$AS$1,),)))))/(((VLOOKUP(EDATE(B189,-12),Database!$A:$AS,MATCH($T$1,Database!$A$1:$AS$1,),)))))</f>
        <v/>
      </c>
      <c r="U189" s="13">
        <f>IF(VLOOKUP(B189,Database!$A:$AV,MATCH($U$1,Database!$A$1:$AV$1,),)=0,"#N/A",((((VLOOKUP(B189,Database!$A:$AS,MATCH($U$1,Database!$A$1:$AS$1,),))))-(((VLOOKUP(EDATE(B189,-12),Database!$A:$AS,MATCH($U$1,Database!$A$1:$AS$1,),)))))/(((VLOOKUP(EDATE(B189,-12),Database!$A:$AS,MATCH($U$1,Database!$A$1:$AS$1,),)))))</f>
        <v/>
      </c>
      <c r="V189" s="13">
        <f>IF(VLOOKUP(B189,Database!$A:$AV,MATCH($V$1,Database!$A$1:$AV$1,),)=0,"#N/A",((((VLOOKUP(B189,Database!$A:$AS,MATCH($V$1,Database!$A$1:$AS$1,),))))-(((VLOOKUP(EDATE(B189,-12),Database!$A:$AS,MATCH($V$1,Database!$A$1:$AS$1,),)))))/(((VLOOKUP(EDATE(B189,-12),Database!$A:$AS,MATCH($V$1,Database!$A$1:$AS$1,),)))))</f>
        <v/>
      </c>
    </row>
    <row r="190" customFormat="1" s="86">
      <c r="A190" s="43" t="n"/>
      <c r="B190" s="75" t="n">
        <v>37926</v>
      </c>
      <c r="C190" s="13">
        <f>IF(VLOOKUP(B190,Database!$A:$AU,MATCH($C$1,Database!$A$1:$AU$1,),)=0,"#N/A",((((VLOOKUP(B190,Database!$A:$AU,MATCH($C$1,Database!$A$1:$AU$1,),))))-(((VLOOKUP(EDATE(B190,-12),Database!$A:$AU,MATCH($C$1,Database!$A$1:$AU$1,),)))))/(((VLOOKUP(EDATE(B190,-12),Database!$A:$AU,MATCH($C$1,Database!$A$1:$AU$1,),)))))</f>
        <v/>
      </c>
      <c r="D190" s="13">
        <f>IF(VLOOKUP(B190,Database!$A:$AV,MATCH($D$1,Database!$A$1:$AV$1,),)=0,"#N/A",((((VLOOKUP(B190,Database!$A:$AS,MATCH($D$1,Database!$A$1:$AS$1,),))))-(((VLOOKUP(EDATE(B190,-12),Database!$A:$AS,MATCH($D$1,Database!$A$1:$AS$1,),)))))/(((VLOOKUP(EDATE(B190,-12),Database!$A:$AS,MATCH($D$1,Database!$A$1:$AS$1,),)))))</f>
        <v/>
      </c>
      <c r="E190" s="13">
        <f>IF(VLOOKUP(B190,Database!$A:$AV,MATCH($E$1,Database!$A$1:$AV$1,),)=0,"#N/A",((((VLOOKUP(B190,Database!$A:$AS,MATCH($E$1,Database!$A$1:$AS$1,),))))-(((VLOOKUP(EDATE(B190,-12),Database!$A:$AS,MATCH($E$1,Database!$A$1:$AS$1,),)))))/(((VLOOKUP(EDATE(B190,-12),Database!$A:$AS,MATCH($E$1,Database!$A$1:$AS$1,),)))))</f>
        <v/>
      </c>
      <c r="F190" s="13">
        <f>IF(VLOOKUP(B190,Database!$A:$AV,MATCH($F$1,Database!$A$1:$AV$1,),)=0,"#N/A",((((VLOOKUP(B190,Database!$A:$AS,MATCH($F$1,Database!$A$1:$AS$1,),))))-(((VLOOKUP(EDATE(B190,-12),Database!$A:$AS,MATCH($F$1,Database!$A$1:$AS$1,),)))))/(((VLOOKUP(EDATE(B190,-12),Database!$A:$AS,MATCH($F$1,Database!$A$1:$AS$1,),)))))</f>
        <v/>
      </c>
      <c r="G190" s="13">
        <f>IF(VLOOKUP(B190,Database!$A:$AV,MATCH($G$1,Database!$A$1:$AV$1,),)=0,"#N/A",((((VLOOKUP(B190,Database!$A:$AS,MATCH($G$1,Database!$A$1:$AS$1,),))))-(((VLOOKUP(EDATE(B190,-12),Database!$A:$AS,MATCH($G$1,Database!$A$1:$AS$1,),)))))/(((VLOOKUP(EDATE(B190,-12),Database!$A:$AS,MATCH($G$1,Database!$A$1:$AS$1,),)))))</f>
        <v/>
      </c>
      <c r="H190" s="13">
        <f>IF(VLOOKUP(B190,Database!$A:$AV,MATCH($H$1,Database!$A$1:$AV$1,),)=0,"#N/A",((((VLOOKUP(B190,Database!$A:$AS,MATCH($H$1,Database!$A$1:$AS$1,),))))-(((VLOOKUP(EDATE(B190,-12),Database!$A:$AS,MATCH($H$1,Database!$A$1:$AS$1,),)))))/(((VLOOKUP(EDATE(B190,-12),Database!$A:$AS,MATCH($H$1,Database!$A$1:$AS$1,),)))))</f>
        <v/>
      </c>
      <c r="I190" s="13">
        <f>IF(VLOOKUP(B190,Database!$A:$AV,MATCH($I$1,Database!$A$1:$AV$1,),)=0,"#N/A",((((VLOOKUP(B190,Database!$A:$AS,MATCH($I$1,Database!$A$1:$AS$1,),))))-(((VLOOKUP(EDATE(B190,-12),Database!$A:$AS,MATCH($I$1,Database!$A$1:$AS$1,),)))))/(((VLOOKUP(EDATE(B190,-12),Database!$A:$AS,MATCH($I$1,Database!$A$1:$AS$1,),)))))</f>
        <v/>
      </c>
      <c r="J190" s="13">
        <f>IF(VLOOKUP(B190,Database!$A:$AV,MATCH($J$1,Database!$A$1:$AV$1,),)=0,"#N/A",((((VLOOKUP(B190,Database!$A:$AS,MATCH($J$1,Database!$A$1:$AS$1,),))))-(((VLOOKUP(EDATE(B190,-12),Database!$A:$AS,MATCH($J$1,Database!$A$1:$AS$1,),)))))/(((VLOOKUP(EDATE(B190,-12),Database!$A:$AS,MATCH($J$1,Database!$A$1:$AS$1,),)))))</f>
        <v/>
      </c>
      <c r="K190" s="13">
        <f>IF(VLOOKUP(B190,Database!$A:$AV,MATCH($K$1,Database!$A$1:$AV$1,),)=0,"#N/A",((((VLOOKUP(B190,Database!$A:$AS,MATCH($K$1,Database!$A$1:$AS$1,),))))-(((VLOOKUP(EDATE(B190,-12),Database!$A:$AS,MATCH($K$1,Database!$A$1:$AS$1,),)))))/(((VLOOKUP(EDATE(B190,-12),Database!$A:$AS,MATCH($K$1,Database!$A$1:$AS$1,),)))))</f>
        <v/>
      </c>
      <c r="L190" s="13">
        <f>((((VLOOKUP(B190,Database!$A:$AS,MATCH($L$1,Database!$A$1:$AS$1,),))))-(((VLOOKUP(EDATE(B190,-12),Database!$A:$AS,MATCH($L$1,Database!$A$1:$AS$1,),)))))/(((VLOOKUP(EDATE(B190,-12),Database!$A:$AS,MATCH($L$1,Database!$A$1:$AS$1,),))))</f>
        <v/>
      </c>
      <c r="M190" s="13">
        <f>((((VLOOKUP(B190,Database!$A:$AS,MATCH($M$1,Database!$A$1:$AS$1,),))))-(((VLOOKUP(EDATE(B190,-12),Database!$A:$AS,MATCH($M$1,Database!$A$1:$AS$1,),)))))/(((VLOOKUP(EDATE(B190,-12),Database!$A:$AS,MATCH($M$1,Database!$A$1:$AS$1,),))))</f>
        <v/>
      </c>
      <c r="N190" s="13">
        <f>((((VLOOKUP(B190,Database!$A:$AS,MATCH($N$1,Database!$A$1:$AS$1,),))))-(((VLOOKUP(EDATE(B190,-12),Database!$A:$AS,MATCH($N$1,Database!$A$1:$AS$1,),)))))/(((VLOOKUP(EDATE(B190,-12),Database!$A:$AS,MATCH($N$1,Database!$A$1:$AS$1,),))))</f>
        <v/>
      </c>
      <c r="O190" s="13">
        <f>IF(VLOOKUP(B190,Database!$A:$AV,MATCH($O$1,Database!$A$1:$AV$1,),)=0,"#N/A",((((VLOOKUP(B190,Database!$A:$AS,MATCH($O$1,Database!$A$1:$AS$1,),))))-(((VLOOKUP(EDATE(B190,-12),Database!$A:$AS,MATCH($O$1,Database!$A$1:$AS$1,),)))))/(((VLOOKUP(EDATE(B190,-12),Database!$A:$AS,MATCH($O$1,Database!$A$1:$AS$1,),)))))</f>
        <v/>
      </c>
      <c r="P190" s="13">
        <f>IF(VLOOKUP(B190,Database!$A:$AV,MATCH($P$1,Database!$A$1:$AV$1,),)=0,"#N/A",((((VLOOKUP(B190,Database!$A:$AS,MATCH($P$1,Database!$A$1:$AS$1,),))))-(((VLOOKUP(EDATE(B190,-12),Database!$A:$AS,MATCH($P$1,Database!$A$1:$AS$1,),)))))/(((VLOOKUP(EDATE(B190,-12),Database!$A:$AS,MATCH($P$1,Database!$A$1:$AS$1,),)))))</f>
        <v/>
      </c>
      <c r="Q190" s="13">
        <f>IF(VLOOKUP(B190,Database!$A:$AV,MATCH($Q$1,Database!$A$1:$AV$1,),)=0,"#N/A",((((VLOOKUP(B190,Database!$A:$AS,MATCH($Q$1,Database!$A$1:$AS$1,),))))-(((VLOOKUP(EDATE(B190,-12),Database!$A:$AS,MATCH($Q$1,Database!$A$1:$AS$1,),)))))/(((VLOOKUP(EDATE(B190,-12),Database!$A:$AS,MATCH($Q$1,Database!$A$1:$AS$1,),)))))</f>
        <v/>
      </c>
      <c r="R190" s="13">
        <f>IF(VLOOKUP(B190,Database!$A:$AV,MATCH($R$1,Database!$A$1:$AV$1,),)=0,"#N/A",((((VLOOKUP(B190,Database!$A:$AS,MATCH($R$1,Database!$A$1:$AS$1,),))))-(((VLOOKUP(EDATE(B190,-12),Database!$A:$AS,MATCH($R$1,Database!$A$1:$AS$1,),)))))/(((VLOOKUP(EDATE(B190,-12),Database!$A:$AS,MATCH($R$1,Database!$A$1:$AS$1,),)))))</f>
        <v/>
      </c>
      <c r="S190" s="13">
        <f>IF(VLOOKUP(B190,Database!$A:$AV,MATCH($S$1,Database!$A$1:$AV$1,),)=0,"#N/A",((((VLOOKUP(B190,Database!$A:$AS,MATCH($S$1,Database!$A$1:$AS$1,),))))-(((VLOOKUP(EDATE(B190,-12),Database!$A:$AS,MATCH($S$1,Database!$A$1:$AS$1,),)))))/(((VLOOKUP(EDATE(B190,-12),Database!$A:$AS,MATCH($S$1,Database!$A$1:$AS$1,),)))))</f>
        <v/>
      </c>
      <c r="T190" s="13">
        <f>IF(VLOOKUP(B190,Database!$A:$AV,MATCH($T$1,Database!$A$1:$AV$1,),)=0,"#N/A",((((VLOOKUP(B190,Database!$A:$AS,MATCH($T$1,Database!$A$1:$AS$1,),))))-(((VLOOKUP(EDATE(B190,-12),Database!$A:$AS,MATCH($T$1,Database!$A$1:$AS$1,),)))))/(((VLOOKUP(EDATE(B190,-12),Database!$A:$AS,MATCH($T$1,Database!$A$1:$AS$1,),)))))</f>
        <v/>
      </c>
      <c r="U190" s="13">
        <f>IF(VLOOKUP(B190,Database!$A:$AV,MATCH($U$1,Database!$A$1:$AV$1,),)=0,"#N/A",((((VLOOKUP(B190,Database!$A:$AS,MATCH($U$1,Database!$A$1:$AS$1,),))))-(((VLOOKUP(EDATE(B190,-12),Database!$A:$AS,MATCH($U$1,Database!$A$1:$AS$1,),)))))/(((VLOOKUP(EDATE(B190,-12),Database!$A:$AS,MATCH($U$1,Database!$A$1:$AS$1,),)))))</f>
        <v/>
      </c>
      <c r="V190" s="13">
        <f>IF(VLOOKUP(B190,Database!$A:$AV,MATCH($V$1,Database!$A$1:$AV$1,),)=0,"#N/A",((((VLOOKUP(B190,Database!$A:$AS,MATCH($V$1,Database!$A$1:$AS$1,),))))-(((VLOOKUP(EDATE(B190,-12),Database!$A:$AS,MATCH($V$1,Database!$A$1:$AS$1,),)))))/(((VLOOKUP(EDATE(B190,-12),Database!$A:$AS,MATCH($V$1,Database!$A$1:$AS$1,),)))))</f>
        <v/>
      </c>
    </row>
    <row r="191" customFormat="1" s="86">
      <c r="A191" s="43" t="n"/>
      <c r="B191" s="75" t="n">
        <v>37956</v>
      </c>
      <c r="C191" s="13">
        <f>IF(VLOOKUP(B191,Database!$A:$AU,MATCH($C$1,Database!$A$1:$AU$1,),)=0,"#N/A",((((VLOOKUP(B191,Database!$A:$AU,MATCH($C$1,Database!$A$1:$AU$1,),))))-(((VLOOKUP(EDATE(B191,-12),Database!$A:$AU,MATCH($C$1,Database!$A$1:$AU$1,),)))))/(((VLOOKUP(EDATE(B191,-12),Database!$A:$AU,MATCH($C$1,Database!$A$1:$AU$1,),)))))</f>
        <v/>
      </c>
      <c r="D191" s="13">
        <f>IF(VLOOKUP(B191,Database!$A:$AV,MATCH($D$1,Database!$A$1:$AV$1,),)=0,"#N/A",((((VLOOKUP(B191,Database!$A:$AS,MATCH($D$1,Database!$A$1:$AS$1,),))))-(((VLOOKUP(EDATE(B191,-12),Database!$A:$AS,MATCH($D$1,Database!$A$1:$AS$1,),)))))/(((VLOOKUP(EDATE(B191,-12),Database!$A:$AS,MATCH($D$1,Database!$A$1:$AS$1,),)))))</f>
        <v/>
      </c>
      <c r="E191" s="13">
        <f>IF(VLOOKUP(B191,Database!$A:$AV,MATCH($E$1,Database!$A$1:$AV$1,),)=0,"#N/A",((((VLOOKUP(B191,Database!$A:$AS,MATCH($E$1,Database!$A$1:$AS$1,),))))-(((VLOOKUP(EDATE(B191,-12),Database!$A:$AS,MATCH($E$1,Database!$A$1:$AS$1,),)))))/(((VLOOKUP(EDATE(B191,-12),Database!$A:$AS,MATCH($E$1,Database!$A$1:$AS$1,),)))))</f>
        <v/>
      </c>
      <c r="F191" s="13">
        <f>IF(VLOOKUP(B191,Database!$A:$AV,MATCH($F$1,Database!$A$1:$AV$1,),)=0,"#N/A",((((VLOOKUP(B191,Database!$A:$AS,MATCH($F$1,Database!$A$1:$AS$1,),))))-(((VLOOKUP(EDATE(B191,-12),Database!$A:$AS,MATCH($F$1,Database!$A$1:$AS$1,),)))))/(((VLOOKUP(EDATE(B191,-12),Database!$A:$AS,MATCH($F$1,Database!$A$1:$AS$1,),)))))</f>
        <v/>
      </c>
      <c r="G191" s="13">
        <f>IF(VLOOKUP(B191,Database!$A:$AV,MATCH($G$1,Database!$A$1:$AV$1,),)=0,"#N/A",((((VLOOKUP(B191,Database!$A:$AS,MATCH($G$1,Database!$A$1:$AS$1,),))))-(((VLOOKUP(EDATE(B191,-12),Database!$A:$AS,MATCH($G$1,Database!$A$1:$AS$1,),)))))/(((VLOOKUP(EDATE(B191,-12),Database!$A:$AS,MATCH($G$1,Database!$A$1:$AS$1,),)))))</f>
        <v/>
      </c>
      <c r="H191" s="13">
        <f>IF(VLOOKUP(B191,Database!$A:$AV,MATCH($H$1,Database!$A$1:$AV$1,),)=0,"#N/A",((((VLOOKUP(B191,Database!$A:$AS,MATCH($H$1,Database!$A$1:$AS$1,),))))-(((VLOOKUP(EDATE(B191,-12),Database!$A:$AS,MATCH($H$1,Database!$A$1:$AS$1,),)))))/(((VLOOKUP(EDATE(B191,-12),Database!$A:$AS,MATCH($H$1,Database!$A$1:$AS$1,),)))))</f>
        <v/>
      </c>
      <c r="I191" s="13">
        <f>IF(VLOOKUP(B191,Database!$A:$AV,MATCH($I$1,Database!$A$1:$AV$1,),)=0,"#N/A",((((VLOOKUP(B191,Database!$A:$AS,MATCH($I$1,Database!$A$1:$AS$1,),))))-(((VLOOKUP(EDATE(B191,-12),Database!$A:$AS,MATCH($I$1,Database!$A$1:$AS$1,),)))))/(((VLOOKUP(EDATE(B191,-12),Database!$A:$AS,MATCH($I$1,Database!$A$1:$AS$1,),)))))</f>
        <v/>
      </c>
      <c r="J191" s="13">
        <f>IF(VLOOKUP(B191,Database!$A:$AV,MATCH($J$1,Database!$A$1:$AV$1,),)=0,"#N/A",((((VLOOKUP(B191,Database!$A:$AS,MATCH($J$1,Database!$A$1:$AS$1,),))))-(((VLOOKUP(EDATE(B191,-12),Database!$A:$AS,MATCH($J$1,Database!$A$1:$AS$1,),)))))/(((VLOOKUP(EDATE(B191,-12),Database!$A:$AS,MATCH($J$1,Database!$A$1:$AS$1,),)))))</f>
        <v/>
      </c>
      <c r="K191" s="13">
        <f>IF(VLOOKUP(B191,Database!$A:$AV,MATCH($K$1,Database!$A$1:$AV$1,),)=0,"#N/A",((((VLOOKUP(B191,Database!$A:$AS,MATCH($K$1,Database!$A$1:$AS$1,),))))-(((VLOOKUP(EDATE(B191,-12),Database!$A:$AS,MATCH($K$1,Database!$A$1:$AS$1,),)))))/(((VLOOKUP(EDATE(B191,-12),Database!$A:$AS,MATCH($K$1,Database!$A$1:$AS$1,),)))))</f>
        <v/>
      </c>
      <c r="L191" s="13">
        <f>((((VLOOKUP(B191,Database!$A:$AS,MATCH($L$1,Database!$A$1:$AS$1,),))))-(((VLOOKUP(EDATE(B191,-12),Database!$A:$AS,MATCH($L$1,Database!$A$1:$AS$1,),)))))/(((VLOOKUP(EDATE(B191,-12),Database!$A:$AS,MATCH($L$1,Database!$A$1:$AS$1,),))))</f>
        <v/>
      </c>
      <c r="M191" s="13">
        <f>((((VLOOKUP(B191,Database!$A:$AS,MATCH($M$1,Database!$A$1:$AS$1,),))))-(((VLOOKUP(EDATE(B191,-12),Database!$A:$AS,MATCH($M$1,Database!$A$1:$AS$1,),)))))/(((VLOOKUP(EDATE(B191,-12),Database!$A:$AS,MATCH($M$1,Database!$A$1:$AS$1,),))))</f>
        <v/>
      </c>
      <c r="N191" s="13">
        <f>((((VLOOKUP(B191,Database!$A:$AS,MATCH($N$1,Database!$A$1:$AS$1,),))))-(((VLOOKUP(EDATE(B191,-12),Database!$A:$AS,MATCH($N$1,Database!$A$1:$AS$1,),)))))/(((VLOOKUP(EDATE(B191,-12),Database!$A:$AS,MATCH($N$1,Database!$A$1:$AS$1,),))))</f>
        <v/>
      </c>
      <c r="O191" s="13">
        <f>IF(VLOOKUP(B191,Database!$A:$AV,MATCH($O$1,Database!$A$1:$AV$1,),)=0,"#N/A",((((VLOOKUP(B191,Database!$A:$AS,MATCH($O$1,Database!$A$1:$AS$1,),))))-(((VLOOKUP(EDATE(B191,-12),Database!$A:$AS,MATCH($O$1,Database!$A$1:$AS$1,),)))))/(((VLOOKUP(EDATE(B191,-12),Database!$A:$AS,MATCH($O$1,Database!$A$1:$AS$1,),)))))</f>
        <v/>
      </c>
      <c r="P191" s="13">
        <f>IF(VLOOKUP(B191,Database!$A:$AV,MATCH($P$1,Database!$A$1:$AV$1,),)=0,"#N/A",((((VLOOKUP(B191,Database!$A:$AS,MATCH($P$1,Database!$A$1:$AS$1,),))))-(((VLOOKUP(EDATE(B191,-12),Database!$A:$AS,MATCH($P$1,Database!$A$1:$AS$1,),)))))/(((VLOOKUP(EDATE(B191,-12),Database!$A:$AS,MATCH($P$1,Database!$A$1:$AS$1,),)))))</f>
        <v/>
      </c>
      <c r="Q191" s="13">
        <f>IF(VLOOKUP(B191,Database!$A:$AV,MATCH($Q$1,Database!$A$1:$AV$1,),)=0,"#N/A",((((VLOOKUP(B191,Database!$A:$AS,MATCH($Q$1,Database!$A$1:$AS$1,),))))-(((VLOOKUP(EDATE(B191,-12),Database!$A:$AS,MATCH($Q$1,Database!$A$1:$AS$1,),)))))/(((VLOOKUP(EDATE(B191,-12),Database!$A:$AS,MATCH($Q$1,Database!$A$1:$AS$1,),)))))</f>
        <v/>
      </c>
      <c r="R191" s="13">
        <f>IF(VLOOKUP(B191,Database!$A:$AV,MATCH($R$1,Database!$A$1:$AV$1,),)=0,"#N/A",((((VLOOKUP(B191,Database!$A:$AS,MATCH($R$1,Database!$A$1:$AS$1,),))))-(((VLOOKUP(EDATE(B191,-12),Database!$A:$AS,MATCH($R$1,Database!$A$1:$AS$1,),)))))/(((VLOOKUP(EDATE(B191,-12),Database!$A:$AS,MATCH($R$1,Database!$A$1:$AS$1,),)))))</f>
        <v/>
      </c>
      <c r="S191" s="13">
        <f>IF(VLOOKUP(B191,Database!$A:$AV,MATCH($S$1,Database!$A$1:$AV$1,),)=0,"#N/A",((((VLOOKUP(B191,Database!$A:$AS,MATCH($S$1,Database!$A$1:$AS$1,),))))-(((VLOOKUP(EDATE(B191,-12),Database!$A:$AS,MATCH($S$1,Database!$A$1:$AS$1,),)))))/(((VLOOKUP(EDATE(B191,-12),Database!$A:$AS,MATCH($S$1,Database!$A$1:$AS$1,),)))))</f>
        <v/>
      </c>
      <c r="T191" s="13">
        <f>IF(VLOOKUP(B191,Database!$A:$AV,MATCH($T$1,Database!$A$1:$AV$1,),)=0,"#N/A",((((VLOOKUP(B191,Database!$A:$AS,MATCH($T$1,Database!$A$1:$AS$1,),))))-(((VLOOKUP(EDATE(B191,-12),Database!$A:$AS,MATCH($T$1,Database!$A$1:$AS$1,),)))))/(((VLOOKUP(EDATE(B191,-12),Database!$A:$AS,MATCH($T$1,Database!$A$1:$AS$1,),)))))</f>
        <v/>
      </c>
      <c r="U191" s="13">
        <f>IF(VLOOKUP(B191,Database!$A:$AV,MATCH($U$1,Database!$A$1:$AV$1,),)=0,"#N/A",((((VLOOKUP(B191,Database!$A:$AS,MATCH($U$1,Database!$A$1:$AS$1,),))))-(((VLOOKUP(EDATE(B191,-12),Database!$A:$AS,MATCH($U$1,Database!$A$1:$AS$1,),)))))/(((VLOOKUP(EDATE(B191,-12),Database!$A:$AS,MATCH($U$1,Database!$A$1:$AS$1,),)))))</f>
        <v/>
      </c>
      <c r="V191" s="13">
        <f>IF(VLOOKUP(B191,Database!$A:$AV,MATCH($V$1,Database!$A$1:$AV$1,),)=0,"#N/A",((((VLOOKUP(B191,Database!$A:$AS,MATCH($V$1,Database!$A$1:$AS$1,),))))-(((VLOOKUP(EDATE(B191,-12),Database!$A:$AS,MATCH($V$1,Database!$A$1:$AS$1,),)))))/(((VLOOKUP(EDATE(B191,-12),Database!$A:$AS,MATCH($V$1,Database!$A$1:$AS$1,),)))))</f>
        <v/>
      </c>
    </row>
    <row r="192" customFormat="1" s="86">
      <c r="A192" s="43" t="n"/>
      <c r="B192" s="75" t="n">
        <v>37987</v>
      </c>
      <c r="C192" s="13">
        <f>IF(VLOOKUP(B192,Database!$A:$AU,MATCH($C$1,Database!$A$1:$AU$1,),)=0,"#N/A",((((VLOOKUP(B192,Database!$A:$AU,MATCH($C$1,Database!$A$1:$AU$1,),))))-(((VLOOKUP(EDATE(B192,-12),Database!$A:$AU,MATCH($C$1,Database!$A$1:$AU$1,),)))))/(((VLOOKUP(EDATE(B192,-12),Database!$A:$AU,MATCH($C$1,Database!$A$1:$AU$1,),)))))</f>
        <v/>
      </c>
      <c r="D192" s="13">
        <f>IF(VLOOKUP(B192,Database!$A:$AV,MATCH($D$1,Database!$A$1:$AV$1,),)=0,"#N/A",((((VLOOKUP(B192,Database!$A:$AS,MATCH($D$1,Database!$A$1:$AS$1,),))))-(((VLOOKUP(EDATE(B192,-12),Database!$A:$AS,MATCH($D$1,Database!$A$1:$AS$1,),)))))/(((VLOOKUP(EDATE(B192,-12),Database!$A:$AS,MATCH($D$1,Database!$A$1:$AS$1,),)))))</f>
        <v/>
      </c>
      <c r="E192" s="13">
        <f>IF(VLOOKUP(B192,Database!$A:$AV,MATCH($E$1,Database!$A$1:$AV$1,),)=0,"#N/A",((((VLOOKUP(B192,Database!$A:$AS,MATCH($E$1,Database!$A$1:$AS$1,),))))-(((VLOOKUP(EDATE(B192,-12),Database!$A:$AS,MATCH($E$1,Database!$A$1:$AS$1,),)))))/(((VLOOKUP(EDATE(B192,-12),Database!$A:$AS,MATCH($E$1,Database!$A$1:$AS$1,),)))))</f>
        <v/>
      </c>
      <c r="F192" s="13">
        <f>IF(VLOOKUP(B192,Database!$A:$AV,MATCH($F$1,Database!$A$1:$AV$1,),)=0,"#N/A",((((VLOOKUP(B192,Database!$A:$AS,MATCH($F$1,Database!$A$1:$AS$1,),))))-(((VLOOKUP(EDATE(B192,-12),Database!$A:$AS,MATCH($F$1,Database!$A$1:$AS$1,),)))))/(((VLOOKUP(EDATE(B192,-12),Database!$A:$AS,MATCH($F$1,Database!$A$1:$AS$1,),)))))</f>
        <v/>
      </c>
      <c r="G192" s="13">
        <f>IF(VLOOKUP(B192,Database!$A:$AV,MATCH($G$1,Database!$A$1:$AV$1,),)=0,"#N/A",((((VLOOKUP(B192,Database!$A:$AS,MATCH($G$1,Database!$A$1:$AS$1,),))))-(((VLOOKUP(EDATE(B192,-12),Database!$A:$AS,MATCH($G$1,Database!$A$1:$AS$1,),)))))/(((VLOOKUP(EDATE(B192,-12),Database!$A:$AS,MATCH($G$1,Database!$A$1:$AS$1,),)))))</f>
        <v/>
      </c>
      <c r="H192" s="13">
        <f>IF(VLOOKUP(B192,Database!$A:$AV,MATCH($H$1,Database!$A$1:$AV$1,),)=0,"#N/A",((((VLOOKUP(B192,Database!$A:$AS,MATCH($H$1,Database!$A$1:$AS$1,),))))-(((VLOOKUP(EDATE(B192,-12),Database!$A:$AS,MATCH($H$1,Database!$A$1:$AS$1,),)))))/(((VLOOKUP(EDATE(B192,-12),Database!$A:$AS,MATCH($H$1,Database!$A$1:$AS$1,),)))))</f>
        <v/>
      </c>
      <c r="I192" s="13">
        <f>IF(VLOOKUP(B192,Database!$A:$AV,MATCH($I$1,Database!$A$1:$AV$1,),)=0,"#N/A",((((VLOOKUP(B192,Database!$A:$AS,MATCH($I$1,Database!$A$1:$AS$1,),))))-(((VLOOKUP(EDATE(B192,-12),Database!$A:$AS,MATCH($I$1,Database!$A$1:$AS$1,),)))))/(((VLOOKUP(EDATE(B192,-12),Database!$A:$AS,MATCH($I$1,Database!$A$1:$AS$1,),)))))</f>
        <v/>
      </c>
      <c r="J192" s="13">
        <f>IF(VLOOKUP(B192,Database!$A:$AV,MATCH($J$1,Database!$A$1:$AV$1,),)=0,"#N/A",((((VLOOKUP(B192,Database!$A:$AS,MATCH($J$1,Database!$A$1:$AS$1,),))))-(((VLOOKUP(EDATE(B192,-12),Database!$A:$AS,MATCH($J$1,Database!$A$1:$AS$1,),)))))/(((VLOOKUP(EDATE(B192,-12),Database!$A:$AS,MATCH($J$1,Database!$A$1:$AS$1,),)))))</f>
        <v/>
      </c>
      <c r="K192" s="13">
        <f>IF(VLOOKUP(B192,Database!$A:$AV,MATCH($K$1,Database!$A$1:$AV$1,),)=0,"#N/A",((((VLOOKUP(B192,Database!$A:$AS,MATCH($K$1,Database!$A$1:$AS$1,),))))-(((VLOOKUP(EDATE(B192,-12),Database!$A:$AS,MATCH($K$1,Database!$A$1:$AS$1,),)))))/(((VLOOKUP(EDATE(B192,-12),Database!$A:$AS,MATCH($K$1,Database!$A$1:$AS$1,),)))))</f>
        <v/>
      </c>
      <c r="L192" s="13">
        <f>((((VLOOKUP(B192,Database!$A:$AS,MATCH($L$1,Database!$A$1:$AS$1,),))))-(((VLOOKUP(EDATE(B192,-12),Database!$A:$AS,MATCH($L$1,Database!$A$1:$AS$1,),)))))/(((VLOOKUP(EDATE(B192,-12),Database!$A:$AS,MATCH($L$1,Database!$A$1:$AS$1,),))))</f>
        <v/>
      </c>
      <c r="M192" s="13">
        <f>((((VLOOKUP(B192,Database!$A:$AS,MATCH($M$1,Database!$A$1:$AS$1,),))))-(((VLOOKUP(EDATE(B192,-12),Database!$A:$AS,MATCH($M$1,Database!$A$1:$AS$1,),)))))/(((VLOOKUP(EDATE(B192,-12),Database!$A:$AS,MATCH($M$1,Database!$A$1:$AS$1,),))))</f>
        <v/>
      </c>
      <c r="N192" s="13">
        <f>((((VLOOKUP(B192,Database!$A:$AS,MATCH($N$1,Database!$A$1:$AS$1,),))))-(((VLOOKUP(EDATE(B192,-12),Database!$A:$AS,MATCH($N$1,Database!$A$1:$AS$1,),)))))/(((VLOOKUP(EDATE(B192,-12),Database!$A:$AS,MATCH($N$1,Database!$A$1:$AS$1,),))))</f>
        <v/>
      </c>
      <c r="O192" s="13">
        <f>IF(VLOOKUP(B192,Database!$A:$AV,MATCH($O$1,Database!$A$1:$AV$1,),)=0,"#N/A",((((VLOOKUP(B192,Database!$A:$AS,MATCH($O$1,Database!$A$1:$AS$1,),))))-(((VLOOKUP(EDATE(B192,-12),Database!$A:$AS,MATCH($O$1,Database!$A$1:$AS$1,),)))))/(((VLOOKUP(EDATE(B192,-12),Database!$A:$AS,MATCH($O$1,Database!$A$1:$AS$1,),)))))</f>
        <v/>
      </c>
      <c r="P192" s="13">
        <f>IF(VLOOKUP(B192,Database!$A:$AV,MATCH($P$1,Database!$A$1:$AV$1,),)=0,"#N/A",((((VLOOKUP(B192,Database!$A:$AS,MATCH($P$1,Database!$A$1:$AS$1,),))))-(((VLOOKUP(EDATE(B192,-12),Database!$A:$AS,MATCH($P$1,Database!$A$1:$AS$1,),)))))/(((VLOOKUP(EDATE(B192,-12),Database!$A:$AS,MATCH($P$1,Database!$A$1:$AS$1,),)))))</f>
        <v/>
      </c>
      <c r="Q192" s="13">
        <f>IF(VLOOKUP(B192,Database!$A:$AV,MATCH($Q$1,Database!$A$1:$AV$1,),)=0,"#N/A",((((VLOOKUP(B192,Database!$A:$AS,MATCH($Q$1,Database!$A$1:$AS$1,),))))-(((VLOOKUP(EDATE(B192,-12),Database!$A:$AS,MATCH($Q$1,Database!$A$1:$AS$1,),)))))/(((VLOOKUP(EDATE(B192,-12),Database!$A:$AS,MATCH($Q$1,Database!$A$1:$AS$1,),)))))</f>
        <v/>
      </c>
      <c r="R192" s="13">
        <f>IF(VLOOKUP(B192,Database!$A:$AV,MATCH($R$1,Database!$A$1:$AV$1,),)=0,"#N/A",((((VLOOKUP(B192,Database!$A:$AS,MATCH($R$1,Database!$A$1:$AS$1,),))))-(((VLOOKUP(EDATE(B192,-12),Database!$A:$AS,MATCH($R$1,Database!$A$1:$AS$1,),)))))/(((VLOOKUP(EDATE(B192,-12),Database!$A:$AS,MATCH($R$1,Database!$A$1:$AS$1,),)))))</f>
        <v/>
      </c>
      <c r="S192" s="13">
        <f>IF(VLOOKUP(B192,Database!$A:$AV,MATCH($S$1,Database!$A$1:$AV$1,),)=0,"#N/A",((((VLOOKUP(B192,Database!$A:$AS,MATCH($S$1,Database!$A$1:$AS$1,),))))-(((VLOOKUP(EDATE(B192,-12),Database!$A:$AS,MATCH($S$1,Database!$A$1:$AS$1,),)))))/(((VLOOKUP(EDATE(B192,-12),Database!$A:$AS,MATCH($S$1,Database!$A$1:$AS$1,),)))))</f>
        <v/>
      </c>
      <c r="T192" s="13">
        <f>IF(VLOOKUP(B192,Database!$A:$AV,MATCH($T$1,Database!$A$1:$AV$1,),)=0,"#N/A",((((VLOOKUP(B192,Database!$A:$AS,MATCH($T$1,Database!$A$1:$AS$1,),))))-(((VLOOKUP(EDATE(B192,-12),Database!$A:$AS,MATCH($T$1,Database!$A$1:$AS$1,),)))))/(((VLOOKUP(EDATE(B192,-12),Database!$A:$AS,MATCH($T$1,Database!$A$1:$AS$1,),)))))</f>
        <v/>
      </c>
      <c r="U192" s="13">
        <f>IF(VLOOKUP(B192,Database!$A:$AV,MATCH($U$1,Database!$A$1:$AV$1,),)=0,"#N/A",((((VLOOKUP(B192,Database!$A:$AS,MATCH($U$1,Database!$A$1:$AS$1,),))))-(((VLOOKUP(EDATE(B192,-12),Database!$A:$AS,MATCH($U$1,Database!$A$1:$AS$1,),)))))/(((VLOOKUP(EDATE(B192,-12),Database!$A:$AS,MATCH($U$1,Database!$A$1:$AS$1,),)))))</f>
        <v/>
      </c>
      <c r="V192" s="13">
        <f>IF(VLOOKUP(B192,Database!$A:$AV,MATCH($V$1,Database!$A$1:$AV$1,),)=0,"#N/A",((((VLOOKUP(B192,Database!$A:$AS,MATCH($V$1,Database!$A$1:$AS$1,),))))-(((VLOOKUP(EDATE(B192,-12),Database!$A:$AS,MATCH($V$1,Database!$A$1:$AS$1,),)))))/(((VLOOKUP(EDATE(B192,-12),Database!$A:$AS,MATCH($V$1,Database!$A$1:$AS$1,),)))))</f>
        <v/>
      </c>
    </row>
    <row r="193" customFormat="1" s="86">
      <c r="A193" s="43" t="n"/>
      <c r="B193" s="75" t="n">
        <v>38018</v>
      </c>
      <c r="C193" s="13">
        <f>IF(VLOOKUP(B193,Database!$A:$AU,MATCH($C$1,Database!$A$1:$AU$1,),)=0,"#N/A",((((VLOOKUP(B193,Database!$A:$AU,MATCH($C$1,Database!$A$1:$AU$1,),))))-(((VLOOKUP(EDATE(B193,-12),Database!$A:$AU,MATCH($C$1,Database!$A$1:$AU$1,),)))))/(((VLOOKUP(EDATE(B193,-12),Database!$A:$AU,MATCH($C$1,Database!$A$1:$AU$1,),)))))</f>
        <v/>
      </c>
      <c r="D193" s="13">
        <f>IF(VLOOKUP(B193,Database!$A:$AV,MATCH($D$1,Database!$A$1:$AV$1,),)=0,"#N/A",((((VLOOKUP(B193,Database!$A:$AS,MATCH($D$1,Database!$A$1:$AS$1,),))))-(((VLOOKUP(EDATE(B193,-12),Database!$A:$AS,MATCH($D$1,Database!$A$1:$AS$1,),)))))/(((VLOOKUP(EDATE(B193,-12),Database!$A:$AS,MATCH($D$1,Database!$A$1:$AS$1,),)))))</f>
        <v/>
      </c>
      <c r="E193" s="13">
        <f>IF(VLOOKUP(B193,Database!$A:$AV,MATCH($E$1,Database!$A$1:$AV$1,),)=0,"#N/A",((((VLOOKUP(B193,Database!$A:$AS,MATCH($E$1,Database!$A$1:$AS$1,),))))-(((VLOOKUP(EDATE(B193,-12),Database!$A:$AS,MATCH($E$1,Database!$A$1:$AS$1,),)))))/(((VLOOKUP(EDATE(B193,-12),Database!$A:$AS,MATCH($E$1,Database!$A$1:$AS$1,),)))))</f>
        <v/>
      </c>
      <c r="F193" s="13">
        <f>IF(VLOOKUP(B193,Database!$A:$AV,MATCH($F$1,Database!$A$1:$AV$1,),)=0,"#N/A",((((VLOOKUP(B193,Database!$A:$AS,MATCH($F$1,Database!$A$1:$AS$1,),))))-(((VLOOKUP(EDATE(B193,-12),Database!$A:$AS,MATCH($F$1,Database!$A$1:$AS$1,),)))))/(((VLOOKUP(EDATE(B193,-12),Database!$A:$AS,MATCH($F$1,Database!$A$1:$AS$1,),)))))</f>
        <v/>
      </c>
      <c r="G193" s="13">
        <f>IF(VLOOKUP(B193,Database!$A:$AV,MATCH($G$1,Database!$A$1:$AV$1,),)=0,"#N/A",((((VLOOKUP(B193,Database!$A:$AS,MATCH($G$1,Database!$A$1:$AS$1,),))))-(((VLOOKUP(EDATE(B193,-12),Database!$A:$AS,MATCH($G$1,Database!$A$1:$AS$1,),)))))/(((VLOOKUP(EDATE(B193,-12),Database!$A:$AS,MATCH($G$1,Database!$A$1:$AS$1,),)))))</f>
        <v/>
      </c>
      <c r="H193" s="13">
        <f>IF(VLOOKUP(B193,Database!$A:$AV,MATCH($H$1,Database!$A$1:$AV$1,),)=0,"#N/A",((((VLOOKUP(B193,Database!$A:$AS,MATCH($H$1,Database!$A$1:$AS$1,),))))-(((VLOOKUP(EDATE(B193,-12),Database!$A:$AS,MATCH($H$1,Database!$A$1:$AS$1,),)))))/(((VLOOKUP(EDATE(B193,-12),Database!$A:$AS,MATCH($H$1,Database!$A$1:$AS$1,),)))))</f>
        <v/>
      </c>
      <c r="I193" s="13">
        <f>IF(VLOOKUP(B193,Database!$A:$AV,MATCH($I$1,Database!$A$1:$AV$1,),)=0,"#N/A",((((VLOOKUP(B193,Database!$A:$AS,MATCH($I$1,Database!$A$1:$AS$1,),))))-(((VLOOKUP(EDATE(B193,-12),Database!$A:$AS,MATCH($I$1,Database!$A$1:$AS$1,),)))))/(((VLOOKUP(EDATE(B193,-12),Database!$A:$AS,MATCH($I$1,Database!$A$1:$AS$1,),)))))</f>
        <v/>
      </c>
      <c r="J193" s="13">
        <f>IF(VLOOKUP(B193,Database!$A:$AV,MATCH($J$1,Database!$A$1:$AV$1,),)=0,"#N/A",((((VLOOKUP(B193,Database!$A:$AS,MATCH($J$1,Database!$A$1:$AS$1,),))))-(((VLOOKUP(EDATE(B193,-12),Database!$A:$AS,MATCH($J$1,Database!$A$1:$AS$1,),)))))/(((VLOOKUP(EDATE(B193,-12),Database!$A:$AS,MATCH($J$1,Database!$A$1:$AS$1,),)))))</f>
        <v/>
      </c>
      <c r="K193" s="13">
        <f>IF(VLOOKUP(B193,Database!$A:$AV,MATCH($K$1,Database!$A$1:$AV$1,),)=0,"#N/A",((((VLOOKUP(B193,Database!$A:$AS,MATCH($K$1,Database!$A$1:$AS$1,),))))-(((VLOOKUP(EDATE(B193,-12),Database!$A:$AS,MATCH($K$1,Database!$A$1:$AS$1,),)))))/(((VLOOKUP(EDATE(B193,-12),Database!$A:$AS,MATCH($K$1,Database!$A$1:$AS$1,),)))))</f>
        <v/>
      </c>
      <c r="L193" s="13">
        <f>((((VLOOKUP(B193,Database!$A:$AS,MATCH($L$1,Database!$A$1:$AS$1,),))))-(((VLOOKUP(EDATE(B193,-12),Database!$A:$AS,MATCH($L$1,Database!$A$1:$AS$1,),)))))/(((VLOOKUP(EDATE(B193,-12),Database!$A:$AS,MATCH($L$1,Database!$A$1:$AS$1,),))))</f>
        <v/>
      </c>
      <c r="M193" s="13">
        <f>((((VLOOKUP(B193,Database!$A:$AS,MATCH($M$1,Database!$A$1:$AS$1,),))))-(((VLOOKUP(EDATE(B193,-12),Database!$A:$AS,MATCH($M$1,Database!$A$1:$AS$1,),)))))/(((VLOOKUP(EDATE(B193,-12),Database!$A:$AS,MATCH($M$1,Database!$A$1:$AS$1,),))))</f>
        <v/>
      </c>
      <c r="N193" s="13">
        <f>((((VLOOKUP(B193,Database!$A:$AS,MATCH($N$1,Database!$A$1:$AS$1,),))))-(((VLOOKUP(EDATE(B193,-12),Database!$A:$AS,MATCH($N$1,Database!$A$1:$AS$1,),)))))/(((VLOOKUP(EDATE(B193,-12),Database!$A:$AS,MATCH($N$1,Database!$A$1:$AS$1,),))))</f>
        <v/>
      </c>
      <c r="O193" s="13">
        <f>IF(VLOOKUP(B193,Database!$A:$AV,MATCH($O$1,Database!$A$1:$AV$1,),)=0,"#N/A",((((VLOOKUP(B193,Database!$A:$AS,MATCH($O$1,Database!$A$1:$AS$1,),))))-(((VLOOKUP(EDATE(B193,-12),Database!$A:$AS,MATCH($O$1,Database!$A$1:$AS$1,),)))))/(((VLOOKUP(EDATE(B193,-12),Database!$A:$AS,MATCH($O$1,Database!$A$1:$AS$1,),)))))</f>
        <v/>
      </c>
      <c r="P193" s="13">
        <f>IF(VLOOKUP(B193,Database!$A:$AV,MATCH($P$1,Database!$A$1:$AV$1,),)=0,"#N/A",((((VLOOKUP(B193,Database!$A:$AS,MATCH($P$1,Database!$A$1:$AS$1,),))))-(((VLOOKUP(EDATE(B193,-12),Database!$A:$AS,MATCH($P$1,Database!$A$1:$AS$1,),)))))/(((VLOOKUP(EDATE(B193,-12),Database!$A:$AS,MATCH($P$1,Database!$A$1:$AS$1,),)))))</f>
        <v/>
      </c>
      <c r="Q193" s="13">
        <f>IF(VLOOKUP(B193,Database!$A:$AV,MATCH($Q$1,Database!$A$1:$AV$1,),)=0,"#N/A",((((VLOOKUP(B193,Database!$A:$AS,MATCH($Q$1,Database!$A$1:$AS$1,),))))-(((VLOOKUP(EDATE(B193,-12),Database!$A:$AS,MATCH($Q$1,Database!$A$1:$AS$1,),)))))/(((VLOOKUP(EDATE(B193,-12),Database!$A:$AS,MATCH($Q$1,Database!$A$1:$AS$1,),)))))</f>
        <v/>
      </c>
      <c r="R193" s="13">
        <f>IF(VLOOKUP(B193,Database!$A:$AV,MATCH($R$1,Database!$A$1:$AV$1,),)=0,"#N/A",((((VLOOKUP(B193,Database!$A:$AS,MATCH($R$1,Database!$A$1:$AS$1,),))))-(((VLOOKUP(EDATE(B193,-12),Database!$A:$AS,MATCH($R$1,Database!$A$1:$AS$1,),)))))/(((VLOOKUP(EDATE(B193,-12),Database!$A:$AS,MATCH($R$1,Database!$A$1:$AS$1,),)))))</f>
        <v/>
      </c>
      <c r="S193" s="13">
        <f>IF(VLOOKUP(B193,Database!$A:$AV,MATCH($S$1,Database!$A$1:$AV$1,),)=0,"#N/A",((((VLOOKUP(B193,Database!$A:$AS,MATCH($S$1,Database!$A$1:$AS$1,),))))-(((VLOOKUP(EDATE(B193,-12),Database!$A:$AS,MATCH($S$1,Database!$A$1:$AS$1,),)))))/(((VLOOKUP(EDATE(B193,-12),Database!$A:$AS,MATCH($S$1,Database!$A$1:$AS$1,),)))))</f>
        <v/>
      </c>
      <c r="T193" s="13">
        <f>IF(VLOOKUP(B193,Database!$A:$AV,MATCH($T$1,Database!$A$1:$AV$1,),)=0,"#N/A",((((VLOOKUP(B193,Database!$A:$AS,MATCH($T$1,Database!$A$1:$AS$1,),))))-(((VLOOKUP(EDATE(B193,-12),Database!$A:$AS,MATCH($T$1,Database!$A$1:$AS$1,),)))))/(((VLOOKUP(EDATE(B193,-12),Database!$A:$AS,MATCH($T$1,Database!$A$1:$AS$1,),)))))</f>
        <v/>
      </c>
      <c r="U193" s="13">
        <f>IF(VLOOKUP(B193,Database!$A:$AV,MATCH($U$1,Database!$A$1:$AV$1,),)=0,"#N/A",((((VLOOKUP(B193,Database!$A:$AS,MATCH($U$1,Database!$A$1:$AS$1,),))))-(((VLOOKUP(EDATE(B193,-12),Database!$A:$AS,MATCH($U$1,Database!$A$1:$AS$1,),)))))/(((VLOOKUP(EDATE(B193,-12),Database!$A:$AS,MATCH($U$1,Database!$A$1:$AS$1,),)))))</f>
        <v/>
      </c>
      <c r="V193" s="13">
        <f>IF(VLOOKUP(B193,Database!$A:$AV,MATCH($V$1,Database!$A$1:$AV$1,),)=0,"#N/A",((((VLOOKUP(B193,Database!$A:$AS,MATCH($V$1,Database!$A$1:$AS$1,),))))-(((VLOOKUP(EDATE(B193,-12),Database!$A:$AS,MATCH($V$1,Database!$A$1:$AS$1,),)))))/(((VLOOKUP(EDATE(B193,-12),Database!$A:$AS,MATCH($V$1,Database!$A$1:$AS$1,),)))))</f>
        <v/>
      </c>
    </row>
    <row r="194" customFormat="1" s="86">
      <c r="A194" s="43" t="n"/>
      <c r="B194" s="75" t="n">
        <v>38047</v>
      </c>
      <c r="C194" s="13">
        <f>IF(VLOOKUP(B194,Database!$A:$AU,MATCH($C$1,Database!$A$1:$AU$1,),)=0,"#N/A",((((VLOOKUP(B194,Database!$A:$AU,MATCH($C$1,Database!$A$1:$AU$1,),))))-(((VLOOKUP(EDATE(B194,-12),Database!$A:$AU,MATCH($C$1,Database!$A$1:$AU$1,),)))))/(((VLOOKUP(EDATE(B194,-12),Database!$A:$AU,MATCH($C$1,Database!$A$1:$AU$1,),)))))</f>
        <v/>
      </c>
      <c r="D194" s="13">
        <f>IF(VLOOKUP(B194,Database!$A:$AV,MATCH($D$1,Database!$A$1:$AV$1,),)=0,"#N/A",((((VLOOKUP(B194,Database!$A:$AS,MATCH($D$1,Database!$A$1:$AS$1,),))))-(((VLOOKUP(EDATE(B194,-12),Database!$A:$AS,MATCH($D$1,Database!$A$1:$AS$1,),)))))/(((VLOOKUP(EDATE(B194,-12),Database!$A:$AS,MATCH($D$1,Database!$A$1:$AS$1,),)))))</f>
        <v/>
      </c>
      <c r="E194" s="13">
        <f>IF(VLOOKUP(B194,Database!$A:$AV,MATCH($E$1,Database!$A$1:$AV$1,),)=0,"#N/A",((((VLOOKUP(B194,Database!$A:$AS,MATCH($E$1,Database!$A$1:$AS$1,),))))-(((VLOOKUP(EDATE(B194,-12),Database!$A:$AS,MATCH($E$1,Database!$A$1:$AS$1,),)))))/(((VLOOKUP(EDATE(B194,-12),Database!$A:$AS,MATCH($E$1,Database!$A$1:$AS$1,),)))))</f>
        <v/>
      </c>
      <c r="F194" s="13">
        <f>IF(VLOOKUP(B194,Database!$A:$AV,MATCH($F$1,Database!$A$1:$AV$1,),)=0,"#N/A",((((VLOOKUP(B194,Database!$A:$AS,MATCH($F$1,Database!$A$1:$AS$1,),))))-(((VLOOKUP(EDATE(B194,-12),Database!$A:$AS,MATCH($F$1,Database!$A$1:$AS$1,),)))))/(((VLOOKUP(EDATE(B194,-12),Database!$A:$AS,MATCH($F$1,Database!$A$1:$AS$1,),)))))</f>
        <v/>
      </c>
      <c r="G194" s="13">
        <f>IF(VLOOKUP(B194,Database!$A:$AV,MATCH($G$1,Database!$A$1:$AV$1,),)=0,"#N/A",((((VLOOKUP(B194,Database!$A:$AS,MATCH($G$1,Database!$A$1:$AS$1,),))))-(((VLOOKUP(EDATE(B194,-12),Database!$A:$AS,MATCH($G$1,Database!$A$1:$AS$1,),)))))/(((VLOOKUP(EDATE(B194,-12),Database!$A:$AS,MATCH($G$1,Database!$A$1:$AS$1,),)))))</f>
        <v/>
      </c>
      <c r="H194" s="13">
        <f>IF(VLOOKUP(B194,Database!$A:$AV,MATCH($H$1,Database!$A$1:$AV$1,),)=0,"#N/A",((((VLOOKUP(B194,Database!$A:$AS,MATCH($H$1,Database!$A$1:$AS$1,),))))-(((VLOOKUP(EDATE(B194,-12),Database!$A:$AS,MATCH($H$1,Database!$A$1:$AS$1,),)))))/(((VLOOKUP(EDATE(B194,-12),Database!$A:$AS,MATCH($H$1,Database!$A$1:$AS$1,),)))))</f>
        <v/>
      </c>
      <c r="I194" s="13">
        <f>IF(VLOOKUP(B194,Database!$A:$AV,MATCH($I$1,Database!$A$1:$AV$1,),)=0,"#N/A",((((VLOOKUP(B194,Database!$A:$AS,MATCH($I$1,Database!$A$1:$AS$1,),))))-(((VLOOKUP(EDATE(B194,-12),Database!$A:$AS,MATCH($I$1,Database!$A$1:$AS$1,),)))))/(((VLOOKUP(EDATE(B194,-12),Database!$A:$AS,MATCH($I$1,Database!$A$1:$AS$1,),)))))</f>
        <v/>
      </c>
      <c r="J194" s="13">
        <f>IF(VLOOKUP(B194,Database!$A:$AV,MATCH($J$1,Database!$A$1:$AV$1,),)=0,"#N/A",((((VLOOKUP(B194,Database!$A:$AS,MATCH($J$1,Database!$A$1:$AS$1,),))))-(((VLOOKUP(EDATE(B194,-12),Database!$A:$AS,MATCH($J$1,Database!$A$1:$AS$1,),)))))/(((VLOOKUP(EDATE(B194,-12),Database!$A:$AS,MATCH($J$1,Database!$A$1:$AS$1,),)))))</f>
        <v/>
      </c>
      <c r="K194" s="13">
        <f>IF(VLOOKUP(B194,Database!$A:$AV,MATCH($K$1,Database!$A$1:$AV$1,),)=0,"#N/A",((((VLOOKUP(B194,Database!$A:$AS,MATCH($K$1,Database!$A$1:$AS$1,),))))-(((VLOOKUP(EDATE(B194,-12),Database!$A:$AS,MATCH($K$1,Database!$A$1:$AS$1,),)))))/(((VLOOKUP(EDATE(B194,-12),Database!$A:$AS,MATCH($K$1,Database!$A$1:$AS$1,),)))))</f>
        <v/>
      </c>
      <c r="L194" s="13">
        <f>((((VLOOKUP(B194,Database!$A:$AS,MATCH($L$1,Database!$A$1:$AS$1,),))))-(((VLOOKUP(EDATE(B194,-12),Database!$A:$AS,MATCH($L$1,Database!$A$1:$AS$1,),)))))/(((VLOOKUP(EDATE(B194,-12),Database!$A:$AS,MATCH($L$1,Database!$A$1:$AS$1,),))))</f>
        <v/>
      </c>
      <c r="M194" s="13">
        <f>((((VLOOKUP(B194,Database!$A:$AS,MATCH($M$1,Database!$A$1:$AS$1,),))))-(((VLOOKUP(EDATE(B194,-12),Database!$A:$AS,MATCH($M$1,Database!$A$1:$AS$1,),)))))/(((VLOOKUP(EDATE(B194,-12),Database!$A:$AS,MATCH($M$1,Database!$A$1:$AS$1,),))))</f>
        <v/>
      </c>
      <c r="N194" s="13">
        <f>((((VLOOKUP(B194,Database!$A:$AS,MATCH($N$1,Database!$A$1:$AS$1,),))))-(((VLOOKUP(EDATE(B194,-12),Database!$A:$AS,MATCH($N$1,Database!$A$1:$AS$1,),)))))/(((VLOOKUP(EDATE(B194,-12),Database!$A:$AS,MATCH($N$1,Database!$A$1:$AS$1,),))))</f>
        <v/>
      </c>
      <c r="O194" s="13">
        <f>IF(VLOOKUP(B194,Database!$A:$AV,MATCH($O$1,Database!$A$1:$AV$1,),)=0,"#N/A",((((VLOOKUP(B194,Database!$A:$AS,MATCH($O$1,Database!$A$1:$AS$1,),))))-(((VLOOKUP(EDATE(B194,-12),Database!$A:$AS,MATCH($O$1,Database!$A$1:$AS$1,),)))))/(((VLOOKUP(EDATE(B194,-12),Database!$A:$AS,MATCH($O$1,Database!$A$1:$AS$1,),)))))</f>
        <v/>
      </c>
      <c r="P194" s="13">
        <f>IF(VLOOKUP(B194,Database!$A:$AV,MATCH($P$1,Database!$A$1:$AV$1,),)=0,"#N/A",((((VLOOKUP(B194,Database!$A:$AS,MATCH($P$1,Database!$A$1:$AS$1,),))))-(((VLOOKUP(EDATE(B194,-12),Database!$A:$AS,MATCH($P$1,Database!$A$1:$AS$1,),)))))/(((VLOOKUP(EDATE(B194,-12),Database!$A:$AS,MATCH($P$1,Database!$A$1:$AS$1,),)))))</f>
        <v/>
      </c>
      <c r="Q194" s="13">
        <f>IF(VLOOKUP(B194,Database!$A:$AV,MATCH($Q$1,Database!$A$1:$AV$1,),)=0,"#N/A",((((VLOOKUP(B194,Database!$A:$AS,MATCH($Q$1,Database!$A$1:$AS$1,),))))-(((VLOOKUP(EDATE(B194,-12),Database!$A:$AS,MATCH($Q$1,Database!$A$1:$AS$1,),)))))/(((VLOOKUP(EDATE(B194,-12),Database!$A:$AS,MATCH($Q$1,Database!$A$1:$AS$1,),)))))</f>
        <v/>
      </c>
      <c r="R194" s="13">
        <f>IF(VLOOKUP(B194,Database!$A:$AV,MATCH($R$1,Database!$A$1:$AV$1,),)=0,"#N/A",((((VLOOKUP(B194,Database!$A:$AS,MATCH($R$1,Database!$A$1:$AS$1,),))))-(((VLOOKUP(EDATE(B194,-12),Database!$A:$AS,MATCH($R$1,Database!$A$1:$AS$1,),)))))/(((VLOOKUP(EDATE(B194,-12),Database!$A:$AS,MATCH($R$1,Database!$A$1:$AS$1,),)))))</f>
        <v/>
      </c>
      <c r="S194" s="13">
        <f>IF(VLOOKUP(B194,Database!$A:$AV,MATCH($S$1,Database!$A$1:$AV$1,),)=0,"#N/A",((((VLOOKUP(B194,Database!$A:$AS,MATCH($S$1,Database!$A$1:$AS$1,),))))-(((VLOOKUP(EDATE(B194,-12),Database!$A:$AS,MATCH($S$1,Database!$A$1:$AS$1,),)))))/(((VLOOKUP(EDATE(B194,-12),Database!$A:$AS,MATCH($S$1,Database!$A$1:$AS$1,),)))))</f>
        <v/>
      </c>
      <c r="T194" s="13">
        <f>IF(VLOOKUP(B194,Database!$A:$AV,MATCH($T$1,Database!$A$1:$AV$1,),)=0,"#N/A",((((VLOOKUP(B194,Database!$A:$AS,MATCH($T$1,Database!$A$1:$AS$1,),))))-(((VLOOKUP(EDATE(B194,-12),Database!$A:$AS,MATCH($T$1,Database!$A$1:$AS$1,),)))))/(((VLOOKUP(EDATE(B194,-12),Database!$A:$AS,MATCH($T$1,Database!$A$1:$AS$1,),)))))</f>
        <v/>
      </c>
      <c r="U194" s="13">
        <f>IF(VLOOKUP(B194,Database!$A:$AV,MATCH($U$1,Database!$A$1:$AV$1,),)=0,"#N/A",((((VLOOKUP(B194,Database!$A:$AS,MATCH($U$1,Database!$A$1:$AS$1,),))))-(((VLOOKUP(EDATE(B194,-12),Database!$A:$AS,MATCH($U$1,Database!$A$1:$AS$1,),)))))/(((VLOOKUP(EDATE(B194,-12),Database!$A:$AS,MATCH($U$1,Database!$A$1:$AS$1,),)))))</f>
        <v/>
      </c>
      <c r="V194" s="13">
        <f>IF(VLOOKUP(B194,Database!$A:$AV,MATCH($V$1,Database!$A$1:$AV$1,),)=0,"#N/A",((((VLOOKUP(B194,Database!$A:$AS,MATCH($V$1,Database!$A$1:$AS$1,),))))-(((VLOOKUP(EDATE(B194,-12),Database!$A:$AS,MATCH($V$1,Database!$A$1:$AS$1,),)))))/(((VLOOKUP(EDATE(B194,-12),Database!$A:$AS,MATCH($V$1,Database!$A$1:$AS$1,),)))))</f>
        <v/>
      </c>
    </row>
    <row r="195" customFormat="1" s="86">
      <c r="A195" s="43" t="n"/>
      <c r="B195" s="75" t="n">
        <v>38078</v>
      </c>
      <c r="C195" s="13">
        <f>IF(VLOOKUP(B195,Database!$A:$AU,MATCH($C$1,Database!$A$1:$AU$1,),)=0,"#N/A",((((VLOOKUP(B195,Database!$A:$AU,MATCH($C$1,Database!$A$1:$AU$1,),))))-(((VLOOKUP(EDATE(B195,-12),Database!$A:$AU,MATCH($C$1,Database!$A$1:$AU$1,),)))))/(((VLOOKUP(EDATE(B195,-12),Database!$A:$AU,MATCH($C$1,Database!$A$1:$AU$1,),)))))</f>
        <v/>
      </c>
      <c r="D195" s="13">
        <f>IF(VLOOKUP(B195,Database!$A:$AV,MATCH($D$1,Database!$A$1:$AV$1,),)=0,"#N/A",((((VLOOKUP(B195,Database!$A:$AS,MATCH($D$1,Database!$A$1:$AS$1,),))))-(((VLOOKUP(EDATE(B195,-12),Database!$A:$AS,MATCH($D$1,Database!$A$1:$AS$1,),)))))/(((VLOOKUP(EDATE(B195,-12),Database!$A:$AS,MATCH($D$1,Database!$A$1:$AS$1,),)))))</f>
        <v/>
      </c>
      <c r="E195" s="13">
        <f>IF(VLOOKUP(B195,Database!$A:$AV,MATCH($E$1,Database!$A$1:$AV$1,),)=0,"#N/A",((((VLOOKUP(B195,Database!$A:$AS,MATCH($E$1,Database!$A$1:$AS$1,),))))-(((VLOOKUP(EDATE(B195,-12),Database!$A:$AS,MATCH($E$1,Database!$A$1:$AS$1,),)))))/(((VLOOKUP(EDATE(B195,-12),Database!$A:$AS,MATCH($E$1,Database!$A$1:$AS$1,),)))))</f>
        <v/>
      </c>
      <c r="F195" s="13">
        <f>IF(VLOOKUP(B195,Database!$A:$AV,MATCH($F$1,Database!$A$1:$AV$1,),)=0,"#N/A",((((VLOOKUP(B195,Database!$A:$AS,MATCH($F$1,Database!$A$1:$AS$1,),))))-(((VLOOKUP(EDATE(B195,-12),Database!$A:$AS,MATCH($F$1,Database!$A$1:$AS$1,),)))))/(((VLOOKUP(EDATE(B195,-12),Database!$A:$AS,MATCH($F$1,Database!$A$1:$AS$1,),)))))</f>
        <v/>
      </c>
      <c r="G195" s="13">
        <f>IF(VLOOKUP(B195,Database!$A:$AV,MATCH($G$1,Database!$A$1:$AV$1,),)=0,"#N/A",((((VLOOKUP(B195,Database!$A:$AS,MATCH($G$1,Database!$A$1:$AS$1,),))))-(((VLOOKUP(EDATE(B195,-12),Database!$A:$AS,MATCH($G$1,Database!$A$1:$AS$1,),)))))/(((VLOOKUP(EDATE(B195,-12),Database!$A:$AS,MATCH($G$1,Database!$A$1:$AS$1,),)))))</f>
        <v/>
      </c>
      <c r="H195" s="13">
        <f>IF(VLOOKUP(B195,Database!$A:$AV,MATCH($H$1,Database!$A$1:$AV$1,),)=0,"#N/A",((((VLOOKUP(B195,Database!$A:$AS,MATCH($H$1,Database!$A$1:$AS$1,),))))-(((VLOOKUP(EDATE(B195,-12),Database!$A:$AS,MATCH($H$1,Database!$A$1:$AS$1,),)))))/(((VLOOKUP(EDATE(B195,-12),Database!$A:$AS,MATCH($H$1,Database!$A$1:$AS$1,),)))))</f>
        <v/>
      </c>
      <c r="I195" s="13">
        <f>IF(VLOOKUP(B195,Database!$A:$AV,MATCH($I$1,Database!$A$1:$AV$1,),)=0,"#N/A",((((VLOOKUP(B195,Database!$A:$AS,MATCH($I$1,Database!$A$1:$AS$1,),))))-(((VLOOKUP(EDATE(B195,-12),Database!$A:$AS,MATCH($I$1,Database!$A$1:$AS$1,),)))))/(((VLOOKUP(EDATE(B195,-12),Database!$A:$AS,MATCH($I$1,Database!$A$1:$AS$1,),)))))</f>
        <v/>
      </c>
      <c r="J195" s="13">
        <f>IF(VLOOKUP(B195,Database!$A:$AV,MATCH($J$1,Database!$A$1:$AV$1,),)=0,"#N/A",((((VLOOKUP(B195,Database!$A:$AS,MATCH($J$1,Database!$A$1:$AS$1,),))))-(((VLOOKUP(EDATE(B195,-12),Database!$A:$AS,MATCH($J$1,Database!$A$1:$AS$1,),)))))/(((VLOOKUP(EDATE(B195,-12),Database!$A:$AS,MATCH($J$1,Database!$A$1:$AS$1,),)))))</f>
        <v/>
      </c>
      <c r="K195" s="13">
        <f>IF(VLOOKUP(B195,Database!$A:$AV,MATCH($K$1,Database!$A$1:$AV$1,),)=0,"#N/A",((((VLOOKUP(B195,Database!$A:$AS,MATCH($K$1,Database!$A$1:$AS$1,),))))-(((VLOOKUP(EDATE(B195,-12),Database!$A:$AS,MATCH($K$1,Database!$A$1:$AS$1,),)))))/(((VLOOKUP(EDATE(B195,-12),Database!$A:$AS,MATCH($K$1,Database!$A$1:$AS$1,),)))))</f>
        <v/>
      </c>
      <c r="L195" s="13">
        <f>((((VLOOKUP(B195,Database!$A:$AS,MATCH($L$1,Database!$A$1:$AS$1,),))))-(((VLOOKUP(EDATE(B195,-12),Database!$A:$AS,MATCH($L$1,Database!$A$1:$AS$1,),)))))/(((VLOOKUP(EDATE(B195,-12),Database!$A:$AS,MATCH($L$1,Database!$A$1:$AS$1,),))))</f>
        <v/>
      </c>
      <c r="M195" s="13">
        <f>((((VLOOKUP(B195,Database!$A:$AS,MATCH($M$1,Database!$A$1:$AS$1,),))))-(((VLOOKUP(EDATE(B195,-12),Database!$A:$AS,MATCH($M$1,Database!$A$1:$AS$1,),)))))/(((VLOOKUP(EDATE(B195,-12),Database!$A:$AS,MATCH($M$1,Database!$A$1:$AS$1,),))))</f>
        <v/>
      </c>
      <c r="N195" s="13">
        <f>((((VLOOKUP(B195,Database!$A:$AS,MATCH($N$1,Database!$A$1:$AS$1,),))))-(((VLOOKUP(EDATE(B195,-12),Database!$A:$AS,MATCH($N$1,Database!$A$1:$AS$1,),)))))/(((VLOOKUP(EDATE(B195,-12),Database!$A:$AS,MATCH($N$1,Database!$A$1:$AS$1,),))))</f>
        <v/>
      </c>
      <c r="O195" s="13">
        <f>IF(VLOOKUP(B195,Database!$A:$AV,MATCH($O$1,Database!$A$1:$AV$1,),)=0,"#N/A",((((VLOOKUP(B195,Database!$A:$AS,MATCH($O$1,Database!$A$1:$AS$1,),))))-(((VLOOKUP(EDATE(B195,-12),Database!$A:$AS,MATCH($O$1,Database!$A$1:$AS$1,),)))))/(((VLOOKUP(EDATE(B195,-12),Database!$A:$AS,MATCH($O$1,Database!$A$1:$AS$1,),)))))</f>
        <v/>
      </c>
      <c r="P195" s="13">
        <f>IF(VLOOKUP(B195,Database!$A:$AV,MATCH($P$1,Database!$A$1:$AV$1,),)=0,"#N/A",((((VLOOKUP(B195,Database!$A:$AS,MATCH($P$1,Database!$A$1:$AS$1,),))))-(((VLOOKUP(EDATE(B195,-12),Database!$A:$AS,MATCH($P$1,Database!$A$1:$AS$1,),)))))/(((VLOOKUP(EDATE(B195,-12),Database!$A:$AS,MATCH($P$1,Database!$A$1:$AS$1,),)))))</f>
        <v/>
      </c>
      <c r="Q195" s="13">
        <f>IF(VLOOKUP(B195,Database!$A:$AV,MATCH($Q$1,Database!$A$1:$AV$1,),)=0,"#N/A",((((VLOOKUP(B195,Database!$A:$AS,MATCH($Q$1,Database!$A$1:$AS$1,),))))-(((VLOOKUP(EDATE(B195,-12),Database!$A:$AS,MATCH($Q$1,Database!$A$1:$AS$1,),)))))/(((VLOOKUP(EDATE(B195,-12),Database!$A:$AS,MATCH($Q$1,Database!$A$1:$AS$1,),)))))</f>
        <v/>
      </c>
      <c r="R195" s="13">
        <f>IF(VLOOKUP(B195,Database!$A:$AV,MATCH($R$1,Database!$A$1:$AV$1,),)=0,"#N/A",((((VLOOKUP(B195,Database!$A:$AS,MATCH($R$1,Database!$A$1:$AS$1,),))))-(((VLOOKUP(EDATE(B195,-12),Database!$A:$AS,MATCH($R$1,Database!$A$1:$AS$1,),)))))/(((VLOOKUP(EDATE(B195,-12),Database!$A:$AS,MATCH($R$1,Database!$A$1:$AS$1,),)))))</f>
        <v/>
      </c>
      <c r="S195" s="13">
        <f>IF(VLOOKUP(B195,Database!$A:$AV,MATCH($S$1,Database!$A$1:$AV$1,),)=0,"#N/A",((((VLOOKUP(B195,Database!$A:$AS,MATCH($S$1,Database!$A$1:$AS$1,),))))-(((VLOOKUP(EDATE(B195,-12),Database!$A:$AS,MATCH($S$1,Database!$A$1:$AS$1,),)))))/(((VLOOKUP(EDATE(B195,-12),Database!$A:$AS,MATCH($S$1,Database!$A$1:$AS$1,),)))))</f>
        <v/>
      </c>
      <c r="T195" s="13">
        <f>IF(VLOOKUP(B195,Database!$A:$AV,MATCH($T$1,Database!$A$1:$AV$1,),)=0,"#N/A",((((VLOOKUP(B195,Database!$A:$AS,MATCH($T$1,Database!$A$1:$AS$1,),))))-(((VLOOKUP(EDATE(B195,-12),Database!$A:$AS,MATCH($T$1,Database!$A$1:$AS$1,),)))))/(((VLOOKUP(EDATE(B195,-12),Database!$A:$AS,MATCH($T$1,Database!$A$1:$AS$1,),)))))</f>
        <v/>
      </c>
      <c r="U195" s="13">
        <f>IF(VLOOKUP(B195,Database!$A:$AV,MATCH($U$1,Database!$A$1:$AV$1,),)=0,"#N/A",((((VLOOKUP(B195,Database!$A:$AS,MATCH($U$1,Database!$A$1:$AS$1,),))))-(((VLOOKUP(EDATE(B195,-12),Database!$A:$AS,MATCH($U$1,Database!$A$1:$AS$1,),)))))/(((VLOOKUP(EDATE(B195,-12),Database!$A:$AS,MATCH($U$1,Database!$A$1:$AS$1,),)))))</f>
        <v/>
      </c>
      <c r="V195" s="13">
        <f>IF(VLOOKUP(B195,Database!$A:$AV,MATCH($V$1,Database!$A$1:$AV$1,),)=0,"#N/A",((((VLOOKUP(B195,Database!$A:$AS,MATCH($V$1,Database!$A$1:$AS$1,),))))-(((VLOOKUP(EDATE(B195,-12),Database!$A:$AS,MATCH($V$1,Database!$A$1:$AS$1,),)))))/(((VLOOKUP(EDATE(B195,-12),Database!$A:$AS,MATCH($V$1,Database!$A$1:$AS$1,),)))))</f>
        <v/>
      </c>
    </row>
    <row r="196" customFormat="1" s="86">
      <c r="A196" s="43" t="n"/>
      <c r="B196" s="75" t="n">
        <v>38108</v>
      </c>
      <c r="C196" s="13">
        <f>IF(VLOOKUP(B196,Database!$A:$AU,MATCH($C$1,Database!$A$1:$AU$1,),)=0,"#N/A",((((VLOOKUP(B196,Database!$A:$AU,MATCH($C$1,Database!$A$1:$AU$1,),))))-(((VLOOKUP(EDATE(B196,-12),Database!$A:$AU,MATCH($C$1,Database!$A$1:$AU$1,),)))))/(((VLOOKUP(EDATE(B196,-12),Database!$A:$AU,MATCH($C$1,Database!$A$1:$AU$1,),)))))</f>
        <v/>
      </c>
      <c r="D196" s="13">
        <f>IF(VLOOKUP(B196,Database!$A:$AV,MATCH($D$1,Database!$A$1:$AV$1,),)=0,"#N/A",((((VLOOKUP(B196,Database!$A:$AS,MATCH($D$1,Database!$A$1:$AS$1,),))))-(((VLOOKUP(EDATE(B196,-12),Database!$A:$AS,MATCH($D$1,Database!$A$1:$AS$1,),)))))/(((VLOOKUP(EDATE(B196,-12),Database!$A:$AS,MATCH($D$1,Database!$A$1:$AS$1,),)))))</f>
        <v/>
      </c>
      <c r="E196" s="13">
        <f>IF(VLOOKUP(B196,Database!$A:$AV,MATCH($E$1,Database!$A$1:$AV$1,),)=0,"#N/A",((((VLOOKUP(B196,Database!$A:$AS,MATCH($E$1,Database!$A$1:$AS$1,),))))-(((VLOOKUP(EDATE(B196,-12),Database!$A:$AS,MATCH($E$1,Database!$A$1:$AS$1,),)))))/(((VLOOKUP(EDATE(B196,-12),Database!$A:$AS,MATCH($E$1,Database!$A$1:$AS$1,),)))))</f>
        <v/>
      </c>
      <c r="F196" s="13">
        <f>IF(VLOOKUP(B196,Database!$A:$AV,MATCH($F$1,Database!$A$1:$AV$1,),)=0,"#N/A",((((VLOOKUP(B196,Database!$A:$AS,MATCH($F$1,Database!$A$1:$AS$1,),))))-(((VLOOKUP(EDATE(B196,-12),Database!$A:$AS,MATCH($F$1,Database!$A$1:$AS$1,),)))))/(((VLOOKUP(EDATE(B196,-12),Database!$A:$AS,MATCH($F$1,Database!$A$1:$AS$1,),)))))</f>
        <v/>
      </c>
      <c r="G196" s="13">
        <f>IF(VLOOKUP(B196,Database!$A:$AV,MATCH($G$1,Database!$A$1:$AV$1,),)=0,"#N/A",((((VLOOKUP(B196,Database!$A:$AS,MATCH($G$1,Database!$A$1:$AS$1,),))))-(((VLOOKUP(EDATE(B196,-12),Database!$A:$AS,MATCH($G$1,Database!$A$1:$AS$1,),)))))/(((VLOOKUP(EDATE(B196,-12),Database!$A:$AS,MATCH($G$1,Database!$A$1:$AS$1,),)))))</f>
        <v/>
      </c>
      <c r="H196" s="13">
        <f>IF(VLOOKUP(B196,Database!$A:$AV,MATCH($H$1,Database!$A$1:$AV$1,),)=0,"#N/A",((((VLOOKUP(B196,Database!$A:$AS,MATCH($H$1,Database!$A$1:$AS$1,),))))-(((VLOOKUP(EDATE(B196,-12),Database!$A:$AS,MATCH($H$1,Database!$A$1:$AS$1,),)))))/(((VLOOKUP(EDATE(B196,-12),Database!$A:$AS,MATCH($H$1,Database!$A$1:$AS$1,),)))))</f>
        <v/>
      </c>
      <c r="I196" s="13">
        <f>IF(VLOOKUP(B196,Database!$A:$AV,MATCH($I$1,Database!$A$1:$AV$1,),)=0,"#N/A",((((VLOOKUP(B196,Database!$A:$AS,MATCH($I$1,Database!$A$1:$AS$1,),))))-(((VLOOKUP(EDATE(B196,-12),Database!$A:$AS,MATCH($I$1,Database!$A$1:$AS$1,),)))))/(((VLOOKUP(EDATE(B196,-12),Database!$A:$AS,MATCH($I$1,Database!$A$1:$AS$1,),)))))</f>
        <v/>
      </c>
      <c r="J196" s="13">
        <f>IF(VLOOKUP(B196,Database!$A:$AV,MATCH($J$1,Database!$A$1:$AV$1,),)=0,"#N/A",((((VLOOKUP(B196,Database!$A:$AS,MATCH($J$1,Database!$A$1:$AS$1,),))))-(((VLOOKUP(EDATE(B196,-12),Database!$A:$AS,MATCH($J$1,Database!$A$1:$AS$1,),)))))/(((VLOOKUP(EDATE(B196,-12),Database!$A:$AS,MATCH($J$1,Database!$A$1:$AS$1,),)))))</f>
        <v/>
      </c>
      <c r="K196" s="13">
        <f>IF(VLOOKUP(B196,Database!$A:$AV,MATCH($K$1,Database!$A$1:$AV$1,),)=0,"#N/A",((((VLOOKUP(B196,Database!$A:$AS,MATCH($K$1,Database!$A$1:$AS$1,),))))-(((VLOOKUP(EDATE(B196,-12),Database!$A:$AS,MATCH($K$1,Database!$A$1:$AS$1,),)))))/(((VLOOKUP(EDATE(B196,-12),Database!$A:$AS,MATCH($K$1,Database!$A$1:$AS$1,),)))))</f>
        <v/>
      </c>
      <c r="L196" s="13">
        <f>((((VLOOKUP(B196,Database!$A:$AS,MATCH($L$1,Database!$A$1:$AS$1,),))))-(((VLOOKUP(EDATE(B196,-12),Database!$A:$AS,MATCH($L$1,Database!$A$1:$AS$1,),)))))/(((VLOOKUP(EDATE(B196,-12),Database!$A:$AS,MATCH($L$1,Database!$A$1:$AS$1,),))))</f>
        <v/>
      </c>
      <c r="M196" s="13">
        <f>((((VLOOKUP(B196,Database!$A:$AS,MATCH($M$1,Database!$A$1:$AS$1,),))))-(((VLOOKUP(EDATE(B196,-12),Database!$A:$AS,MATCH($M$1,Database!$A$1:$AS$1,),)))))/(((VLOOKUP(EDATE(B196,-12),Database!$A:$AS,MATCH($M$1,Database!$A$1:$AS$1,),))))</f>
        <v/>
      </c>
      <c r="N196" s="13">
        <f>((((VLOOKUP(B196,Database!$A:$AS,MATCH($N$1,Database!$A$1:$AS$1,),))))-(((VLOOKUP(EDATE(B196,-12),Database!$A:$AS,MATCH($N$1,Database!$A$1:$AS$1,),)))))/(((VLOOKUP(EDATE(B196,-12),Database!$A:$AS,MATCH($N$1,Database!$A$1:$AS$1,),))))</f>
        <v/>
      </c>
      <c r="O196" s="13">
        <f>IF(VLOOKUP(B196,Database!$A:$AV,MATCH($O$1,Database!$A$1:$AV$1,),)=0,"#N/A",((((VLOOKUP(B196,Database!$A:$AS,MATCH($O$1,Database!$A$1:$AS$1,),))))-(((VLOOKUP(EDATE(B196,-12),Database!$A:$AS,MATCH($O$1,Database!$A$1:$AS$1,),)))))/(((VLOOKUP(EDATE(B196,-12),Database!$A:$AS,MATCH($O$1,Database!$A$1:$AS$1,),)))))</f>
        <v/>
      </c>
      <c r="P196" s="13">
        <f>IF(VLOOKUP(B196,Database!$A:$AV,MATCH($P$1,Database!$A$1:$AV$1,),)=0,"#N/A",((((VLOOKUP(B196,Database!$A:$AS,MATCH($P$1,Database!$A$1:$AS$1,),))))-(((VLOOKUP(EDATE(B196,-12),Database!$A:$AS,MATCH($P$1,Database!$A$1:$AS$1,),)))))/(((VLOOKUP(EDATE(B196,-12),Database!$A:$AS,MATCH($P$1,Database!$A$1:$AS$1,),)))))</f>
        <v/>
      </c>
      <c r="Q196" s="13">
        <f>IF(VLOOKUP(B196,Database!$A:$AV,MATCH($Q$1,Database!$A$1:$AV$1,),)=0,"#N/A",((((VLOOKUP(B196,Database!$A:$AS,MATCH($Q$1,Database!$A$1:$AS$1,),))))-(((VLOOKUP(EDATE(B196,-12),Database!$A:$AS,MATCH($Q$1,Database!$A$1:$AS$1,),)))))/(((VLOOKUP(EDATE(B196,-12),Database!$A:$AS,MATCH($Q$1,Database!$A$1:$AS$1,),)))))</f>
        <v/>
      </c>
      <c r="R196" s="13">
        <f>IF(VLOOKUP(B196,Database!$A:$AV,MATCH($R$1,Database!$A$1:$AV$1,),)=0,"#N/A",((((VLOOKUP(B196,Database!$A:$AS,MATCH($R$1,Database!$A$1:$AS$1,),))))-(((VLOOKUP(EDATE(B196,-12),Database!$A:$AS,MATCH($R$1,Database!$A$1:$AS$1,),)))))/(((VLOOKUP(EDATE(B196,-12),Database!$A:$AS,MATCH($R$1,Database!$A$1:$AS$1,),)))))</f>
        <v/>
      </c>
      <c r="S196" s="13">
        <f>IF(VLOOKUP(B196,Database!$A:$AV,MATCH($S$1,Database!$A$1:$AV$1,),)=0,"#N/A",((((VLOOKUP(B196,Database!$A:$AS,MATCH($S$1,Database!$A$1:$AS$1,),))))-(((VLOOKUP(EDATE(B196,-12),Database!$A:$AS,MATCH($S$1,Database!$A$1:$AS$1,),)))))/(((VLOOKUP(EDATE(B196,-12),Database!$A:$AS,MATCH($S$1,Database!$A$1:$AS$1,),)))))</f>
        <v/>
      </c>
      <c r="T196" s="13">
        <f>IF(VLOOKUP(B196,Database!$A:$AV,MATCH($T$1,Database!$A$1:$AV$1,),)=0,"#N/A",((((VLOOKUP(B196,Database!$A:$AS,MATCH($T$1,Database!$A$1:$AS$1,),))))-(((VLOOKUP(EDATE(B196,-12),Database!$A:$AS,MATCH($T$1,Database!$A$1:$AS$1,),)))))/(((VLOOKUP(EDATE(B196,-12),Database!$A:$AS,MATCH($T$1,Database!$A$1:$AS$1,),)))))</f>
        <v/>
      </c>
      <c r="U196" s="13">
        <f>IF(VLOOKUP(B196,Database!$A:$AV,MATCH($U$1,Database!$A$1:$AV$1,),)=0,"#N/A",((((VLOOKUP(B196,Database!$A:$AS,MATCH($U$1,Database!$A$1:$AS$1,),))))-(((VLOOKUP(EDATE(B196,-12),Database!$A:$AS,MATCH($U$1,Database!$A$1:$AS$1,),)))))/(((VLOOKUP(EDATE(B196,-12),Database!$A:$AS,MATCH($U$1,Database!$A$1:$AS$1,),)))))</f>
        <v/>
      </c>
      <c r="V196" s="13">
        <f>IF(VLOOKUP(B196,Database!$A:$AV,MATCH($V$1,Database!$A$1:$AV$1,),)=0,"#N/A",((((VLOOKUP(B196,Database!$A:$AS,MATCH($V$1,Database!$A$1:$AS$1,),))))-(((VLOOKUP(EDATE(B196,-12),Database!$A:$AS,MATCH($V$1,Database!$A$1:$AS$1,),)))))/(((VLOOKUP(EDATE(B196,-12),Database!$A:$AS,MATCH($V$1,Database!$A$1:$AS$1,),)))))</f>
        <v/>
      </c>
    </row>
    <row r="197" customFormat="1" s="86">
      <c r="A197" s="43" t="n"/>
      <c r="B197" s="75" t="n">
        <v>38139</v>
      </c>
      <c r="C197" s="13">
        <f>IF(VLOOKUP(B197,Database!$A:$AU,MATCH($C$1,Database!$A$1:$AU$1,),)=0,"#N/A",((((VLOOKUP(B197,Database!$A:$AU,MATCH($C$1,Database!$A$1:$AU$1,),))))-(((VLOOKUP(EDATE(B197,-12),Database!$A:$AU,MATCH($C$1,Database!$A$1:$AU$1,),)))))/(((VLOOKUP(EDATE(B197,-12),Database!$A:$AU,MATCH($C$1,Database!$A$1:$AU$1,),)))))</f>
        <v/>
      </c>
      <c r="D197" s="13">
        <f>IF(VLOOKUP(B197,Database!$A:$AV,MATCH($D$1,Database!$A$1:$AV$1,),)=0,"#N/A",((((VLOOKUP(B197,Database!$A:$AS,MATCH($D$1,Database!$A$1:$AS$1,),))))-(((VLOOKUP(EDATE(B197,-12),Database!$A:$AS,MATCH($D$1,Database!$A$1:$AS$1,),)))))/(((VLOOKUP(EDATE(B197,-12),Database!$A:$AS,MATCH($D$1,Database!$A$1:$AS$1,),)))))</f>
        <v/>
      </c>
      <c r="E197" s="13">
        <f>IF(VLOOKUP(B197,Database!$A:$AV,MATCH($E$1,Database!$A$1:$AV$1,),)=0,"#N/A",((((VLOOKUP(B197,Database!$A:$AS,MATCH($E$1,Database!$A$1:$AS$1,),))))-(((VLOOKUP(EDATE(B197,-12),Database!$A:$AS,MATCH($E$1,Database!$A$1:$AS$1,),)))))/(((VLOOKUP(EDATE(B197,-12),Database!$A:$AS,MATCH($E$1,Database!$A$1:$AS$1,),)))))</f>
        <v/>
      </c>
      <c r="F197" s="13">
        <f>IF(VLOOKUP(B197,Database!$A:$AV,MATCH($F$1,Database!$A$1:$AV$1,),)=0,"#N/A",((((VLOOKUP(B197,Database!$A:$AS,MATCH($F$1,Database!$A$1:$AS$1,),))))-(((VLOOKUP(EDATE(B197,-12),Database!$A:$AS,MATCH($F$1,Database!$A$1:$AS$1,),)))))/(((VLOOKUP(EDATE(B197,-12),Database!$A:$AS,MATCH($F$1,Database!$A$1:$AS$1,),)))))</f>
        <v/>
      </c>
      <c r="G197" s="13">
        <f>IF(VLOOKUP(B197,Database!$A:$AV,MATCH($G$1,Database!$A$1:$AV$1,),)=0,"#N/A",((((VLOOKUP(B197,Database!$A:$AS,MATCH($G$1,Database!$A$1:$AS$1,),))))-(((VLOOKUP(EDATE(B197,-12),Database!$A:$AS,MATCH($G$1,Database!$A$1:$AS$1,),)))))/(((VLOOKUP(EDATE(B197,-12),Database!$A:$AS,MATCH($G$1,Database!$A$1:$AS$1,),)))))</f>
        <v/>
      </c>
      <c r="H197" s="13">
        <f>IF(VLOOKUP(B197,Database!$A:$AV,MATCH($H$1,Database!$A$1:$AV$1,),)=0,"#N/A",((((VLOOKUP(B197,Database!$A:$AS,MATCH($H$1,Database!$A$1:$AS$1,),))))-(((VLOOKUP(EDATE(B197,-12),Database!$A:$AS,MATCH($H$1,Database!$A$1:$AS$1,),)))))/(((VLOOKUP(EDATE(B197,-12),Database!$A:$AS,MATCH($H$1,Database!$A$1:$AS$1,),)))))</f>
        <v/>
      </c>
      <c r="I197" s="13">
        <f>IF(VLOOKUP(B197,Database!$A:$AV,MATCH($I$1,Database!$A$1:$AV$1,),)=0,"#N/A",((((VLOOKUP(B197,Database!$A:$AS,MATCH($I$1,Database!$A$1:$AS$1,),))))-(((VLOOKUP(EDATE(B197,-12),Database!$A:$AS,MATCH($I$1,Database!$A$1:$AS$1,),)))))/(((VLOOKUP(EDATE(B197,-12),Database!$A:$AS,MATCH($I$1,Database!$A$1:$AS$1,),)))))</f>
        <v/>
      </c>
      <c r="J197" s="13">
        <f>IF(VLOOKUP(B197,Database!$A:$AV,MATCH($J$1,Database!$A$1:$AV$1,),)=0,"#N/A",((((VLOOKUP(B197,Database!$A:$AS,MATCH($J$1,Database!$A$1:$AS$1,),))))-(((VLOOKUP(EDATE(B197,-12),Database!$A:$AS,MATCH($J$1,Database!$A$1:$AS$1,),)))))/(((VLOOKUP(EDATE(B197,-12),Database!$A:$AS,MATCH($J$1,Database!$A$1:$AS$1,),)))))</f>
        <v/>
      </c>
      <c r="K197" s="13">
        <f>IF(VLOOKUP(B197,Database!$A:$AV,MATCH($K$1,Database!$A$1:$AV$1,),)=0,"#N/A",((((VLOOKUP(B197,Database!$A:$AS,MATCH($K$1,Database!$A$1:$AS$1,),))))-(((VLOOKUP(EDATE(B197,-12),Database!$A:$AS,MATCH($K$1,Database!$A$1:$AS$1,),)))))/(((VLOOKUP(EDATE(B197,-12),Database!$A:$AS,MATCH($K$1,Database!$A$1:$AS$1,),)))))</f>
        <v/>
      </c>
      <c r="L197" s="13">
        <f>((((VLOOKUP(B197,Database!$A:$AS,MATCH($L$1,Database!$A$1:$AS$1,),))))-(((VLOOKUP(EDATE(B197,-12),Database!$A:$AS,MATCH($L$1,Database!$A$1:$AS$1,),)))))/(((VLOOKUP(EDATE(B197,-12),Database!$A:$AS,MATCH($L$1,Database!$A$1:$AS$1,),))))</f>
        <v/>
      </c>
      <c r="M197" s="13">
        <f>((((VLOOKUP(B197,Database!$A:$AS,MATCH($M$1,Database!$A$1:$AS$1,),))))-(((VLOOKUP(EDATE(B197,-12),Database!$A:$AS,MATCH($M$1,Database!$A$1:$AS$1,),)))))/(((VLOOKUP(EDATE(B197,-12),Database!$A:$AS,MATCH($M$1,Database!$A$1:$AS$1,),))))</f>
        <v/>
      </c>
      <c r="N197" s="13">
        <f>((((VLOOKUP(B197,Database!$A:$AS,MATCH($N$1,Database!$A$1:$AS$1,),))))-(((VLOOKUP(EDATE(B197,-12),Database!$A:$AS,MATCH($N$1,Database!$A$1:$AS$1,),)))))/(((VLOOKUP(EDATE(B197,-12),Database!$A:$AS,MATCH($N$1,Database!$A$1:$AS$1,),))))</f>
        <v/>
      </c>
      <c r="O197" s="13">
        <f>IF(VLOOKUP(B197,Database!$A:$AV,MATCH($O$1,Database!$A$1:$AV$1,),)=0,"#N/A",((((VLOOKUP(B197,Database!$A:$AS,MATCH($O$1,Database!$A$1:$AS$1,),))))-(((VLOOKUP(EDATE(B197,-12),Database!$A:$AS,MATCH($O$1,Database!$A$1:$AS$1,),)))))/(((VLOOKUP(EDATE(B197,-12),Database!$A:$AS,MATCH($O$1,Database!$A$1:$AS$1,),)))))</f>
        <v/>
      </c>
      <c r="P197" s="13">
        <f>IF(VLOOKUP(B197,Database!$A:$AV,MATCH($P$1,Database!$A$1:$AV$1,),)=0,"#N/A",((((VLOOKUP(B197,Database!$A:$AS,MATCH($P$1,Database!$A$1:$AS$1,),))))-(((VLOOKUP(EDATE(B197,-12),Database!$A:$AS,MATCH($P$1,Database!$A$1:$AS$1,),)))))/(((VLOOKUP(EDATE(B197,-12),Database!$A:$AS,MATCH($P$1,Database!$A$1:$AS$1,),)))))</f>
        <v/>
      </c>
      <c r="Q197" s="13">
        <f>IF(VLOOKUP(B197,Database!$A:$AV,MATCH($Q$1,Database!$A$1:$AV$1,),)=0,"#N/A",((((VLOOKUP(B197,Database!$A:$AS,MATCH($Q$1,Database!$A$1:$AS$1,),))))-(((VLOOKUP(EDATE(B197,-12),Database!$A:$AS,MATCH($Q$1,Database!$A$1:$AS$1,),)))))/(((VLOOKUP(EDATE(B197,-12),Database!$A:$AS,MATCH($Q$1,Database!$A$1:$AS$1,),)))))</f>
        <v/>
      </c>
      <c r="R197" s="13">
        <f>IF(VLOOKUP(B197,Database!$A:$AV,MATCH($R$1,Database!$A$1:$AV$1,),)=0,"#N/A",((((VLOOKUP(B197,Database!$A:$AS,MATCH($R$1,Database!$A$1:$AS$1,),))))-(((VLOOKUP(EDATE(B197,-12),Database!$A:$AS,MATCH($R$1,Database!$A$1:$AS$1,),)))))/(((VLOOKUP(EDATE(B197,-12),Database!$A:$AS,MATCH($R$1,Database!$A$1:$AS$1,),)))))</f>
        <v/>
      </c>
      <c r="S197" s="13">
        <f>IF(VLOOKUP(B197,Database!$A:$AV,MATCH($S$1,Database!$A$1:$AV$1,),)=0,"#N/A",((((VLOOKUP(B197,Database!$A:$AS,MATCH($S$1,Database!$A$1:$AS$1,),))))-(((VLOOKUP(EDATE(B197,-12),Database!$A:$AS,MATCH($S$1,Database!$A$1:$AS$1,),)))))/(((VLOOKUP(EDATE(B197,-12),Database!$A:$AS,MATCH($S$1,Database!$A$1:$AS$1,),)))))</f>
        <v/>
      </c>
      <c r="T197" s="13">
        <f>IF(VLOOKUP(B197,Database!$A:$AV,MATCH($T$1,Database!$A$1:$AV$1,),)=0,"#N/A",((((VLOOKUP(B197,Database!$A:$AS,MATCH($T$1,Database!$A$1:$AS$1,),))))-(((VLOOKUP(EDATE(B197,-12),Database!$A:$AS,MATCH($T$1,Database!$A$1:$AS$1,),)))))/(((VLOOKUP(EDATE(B197,-12),Database!$A:$AS,MATCH($T$1,Database!$A$1:$AS$1,),)))))</f>
        <v/>
      </c>
      <c r="U197" s="13">
        <f>IF(VLOOKUP(B197,Database!$A:$AV,MATCH($U$1,Database!$A$1:$AV$1,),)=0,"#N/A",((((VLOOKUP(B197,Database!$A:$AS,MATCH($U$1,Database!$A$1:$AS$1,),))))-(((VLOOKUP(EDATE(B197,-12),Database!$A:$AS,MATCH($U$1,Database!$A$1:$AS$1,),)))))/(((VLOOKUP(EDATE(B197,-12),Database!$A:$AS,MATCH($U$1,Database!$A$1:$AS$1,),)))))</f>
        <v/>
      </c>
      <c r="V197" s="13">
        <f>IF(VLOOKUP(B197,Database!$A:$AV,MATCH($V$1,Database!$A$1:$AV$1,),)=0,"#N/A",((((VLOOKUP(B197,Database!$A:$AS,MATCH($V$1,Database!$A$1:$AS$1,),))))-(((VLOOKUP(EDATE(B197,-12),Database!$A:$AS,MATCH($V$1,Database!$A$1:$AS$1,),)))))/(((VLOOKUP(EDATE(B197,-12),Database!$A:$AS,MATCH($V$1,Database!$A$1:$AS$1,),)))))</f>
        <v/>
      </c>
    </row>
    <row r="198" customFormat="1" s="86">
      <c r="A198" s="43" t="n"/>
      <c r="B198" s="75" t="n">
        <v>38169</v>
      </c>
      <c r="C198" s="13">
        <f>IF(VLOOKUP(B198,Database!$A:$AU,MATCH($C$1,Database!$A$1:$AU$1,),)=0,"#N/A",((((VLOOKUP(B198,Database!$A:$AU,MATCH($C$1,Database!$A$1:$AU$1,),))))-(((VLOOKUP(EDATE(B198,-12),Database!$A:$AU,MATCH($C$1,Database!$A$1:$AU$1,),)))))/(((VLOOKUP(EDATE(B198,-12),Database!$A:$AU,MATCH($C$1,Database!$A$1:$AU$1,),)))))</f>
        <v/>
      </c>
      <c r="D198" s="13">
        <f>IF(VLOOKUP(B198,Database!$A:$AV,MATCH($D$1,Database!$A$1:$AV$1,),)=0,"#N/A",((((VLOOKUP(B198,Database!$A:$AS,MATCH($D$1,Database!$A$1:$AS$1,),))))-(((VLOOKUP(EDATE(B198,-12),Database!$A:$AS,MATCH($D$1,Database!$A$1:$AS$1,),)))))/(((VLOOKUP(EDATE(B198,-12),Database!$A:$AS,MATCH($D$1,Database!$A$1:$AS$1,),)))))</f>
        <v/>
      </c>
      <c r="E198" s="13">
        <f>IF(VLOOKUP(B198,Database!$A:$AV,MATCH($E$1,Database!$A$1:$AV$1,),)=0,"#N/A",((((VLOOKUP(B198,Database!$A:$AS,MATCH($E$1,Database!$A$1:$AS$1,),))))-(((VLOOKUP(EDATE(B198,-12),Database!$A:$AS,MATCH($E$1,Database!$A$1:$AS$1,),)))))/(((VLOOKUP(EDATE(B198,-12),Database!$A:$AS,MATCH($E$1,Database!$A$1:$AS$1,),)))))</f>
        <v/>
      </c>
      <c r="F198" s="13">
        <f>IF(VLOOKUP(B198,Database!$A:$AV,MATCH($F$1,Database!$A$1:$AV$1,),)=0,"#N/A",((((VLOOKUP(B198,Database!$A:$AS,MATCH($F$1,Database!$A$1:$AS$1,),))))-(((VLOOKUP(EDATE(B198,-12),Database!$A:$AS,MATCH($F$1,Database!$A$1:$AS$1,),)))))/(((VLOOKUP(EDATE(B198,-12),Database!$A:$AS,MATCH($F$1,Database!$A$1:$AS$1,),)))))</f>
        <v/>
      </c>
      <c r="G198" s="13">
        <f>IF(VLOOKUP(B198,Database!$A:$AV,MATCH($G$1,Database!$A$1:$AV$1,),)=0,"#N/A",((((VLOOKUP(B198,Database!$A:$AS,MATCH($G$1,Database!$A$1:$AS$1,),))))-(((VLOOKUP(EDATE(B198,-12),Database!$A:$AS,MATCH($G$1,Database!$A$1:$AS$1,),)))))/(((VLOOKUP(EDATE(B198,-12),Database!$A:$AS,MATCH($G$1,Database!$A$1:$AS$1,),)))))</f>
        <v/>
      </c>
      <c r="H198" s="13">
        <f>IF(VLOOKUP(B198,Database!$A:$AV,MATCH($H$1,Database!$A$1:$AV$1,),)=0,"#N/A",((((VLOOKUP(B198,Database!$A:$AS,MATCH($H$1,Database!$A$1:$AS$1,),))))-(((VLOOKUP(EDATE(B198,-12),Database!$A:$AS,MATCH($H$1,Database!$A$1:$AS$1,),)))))/(((VLOOKUP(EDATE(B198,-12),Database!$A:$AS,MATCH($H$1,Database!$A$1:$AS$1,),)))))</f>
        <v/>
      </c>
      <c r="I198" s="13">
        <f>IF(VLOOKUP(B198,Database!$A:$AV,MATCH($I$1,Database!$A$1:$AV$1,),)=0,"#N/A",((((VLOOKUP(B198,Database!$A:$AS,MATCH($I$1,Database!$A$1:$AS$1,),))))-(((VLOOKUP(EDATE(B198,-12),Database!$A:$AS,MATCH($I$1,Database!$A$1:$AS$1,),)))))/(((VLOOKUP(EDATE(B198,-12),Database!$A:$AS,MATCH($I$1,Database!$A$1:$AS$1,),)))))</f>
        <v/>
      </c>
      <c r="J198" s="13">
        <f>IF(VLOOKUP(B198,Database!$A:$AV,MATCH($J$1,Database!$A$1:$AV$1,),)=0,"#N/A",((((VLOOKUP(B198,Database!$A:$AS,MATCH($J$1,Database!$A$1:$AS$1,),))))-(((VLOOKUP(EDATE(B198,-12),Database!$A:$AS,MATCH($J$1,Database!$A$1:$AS$1,),)))))/(((VLOOKUP(EDATE(B198,-12),Database!$A:$AS,MATCH($J$1,Database!$A$1:$AS$1,),)))))</f>
        <v/>
      </c>
      <c r="K198" s="13">
        <f>IF(VLOOKUP(B198,Database!$A:$AV,MATCH($K$1,Database!$A$1:$AV$1,),)=0,"#N/A",((((VLOOKUP(B198,Database!$A:$AS,MATCH($K$1,Database!$A$1:$AS$1,),))))-(((VLOOKUP(EDATE(B198,-12),Database!$A:$AS,MATCH($K$1,Database!$A$1:$AS$1,),)))))/(((VLOOKUP(EDATE(B198,-12),Database!$A:$AS,MATCH($K$1,Database!$A$1:$AS$1,),)))))</f>
        <v/>
      </c>
      <c r="L198" s="13">
        <f>((((VLOOKUP(B198,Database!$A:$AS,MATCH($L$1,Database!$A$1:$AS$1,),))))-(((VLOOKUP(EDATE(B198,-12),Database!$A:$AS,MATCH($L$1,Database!$A$1:$AS$1,),)))))/(((VLOOKUP(EDATE(B198,-12),Database!$A:$AS,MATCH($L$1,Database!$A$1:$AS$1,),))))</f>
        <v/>
      </c>
      <c r="M198" s="13">
        <f>((((VLOOKUP(B198,Database!$A:$AS,MATCH($M$1,Database!$A$1:$AS$1,),))))-(((VLOOKUP(EDATE(B198,-12),Database!$A:$AS,MATCH($M$1,Database!$A$1:$AS$1,),)))))/(((VLOOKUP(EDATE(B198,-12),Database!$A:$AS,MATCH($M$1,Database!$A$1:$AS$1,),))))</f>
        <v/>
      </c>
      <c r="N198" s="13">
        <f>((((VLOOKUP(B198,Database!$A:$AS,MATCH($N$1,Database!$A$1:$AS$1,),))))-(((VLOOKUP(EDATE(B198,-12),Database!$A:$AS,MATCH($N$1,Database!$A$1:$AS$1,),)))))/(((VLOOKUP(EDATE(B198,-12),Database!$A:$AS,MATCH($N$1,Database!$A$1:$AS$1,),))))</f>
        <v/>
      </c>
      <c r="O198" s="13">
        <f>IF(VLOOKUP(B198,Database!$A:$AV,MATCH($O$1,Database!$A$1:$AV$1,),)=0,"#N/A",((((VLOOKUP(B198,Database!$A:$AS,MATCH($O$1,Database!$A$1:$AS$1,),))))-(((VLOOKUP(EDATE(B198,-12),Database!$A:$AS,MATCH($O$1,Database!$A$1:$AS$1,),)))))/(((VLOOKUP(EDATE(B198,-12),Database!$A:$AS,MATCH($O$1,Database!$A$1:$AS$1,),)))))</f>
        <v/>
      </c>
      <c r="P198" s="13">
        <f>IF(VLOOKUP(B198,Database!$A:$AV,MATCH($P$1,Database!$A$1:$AV$1,),)=0,"#N/A",((((VLOOKUP(B198,Database!$A:$AS,MATCH($P$1,Database!$A$1:$AS$1,),))))-(((VLOOKUP(EDATE(B198,-12),Database!$A:$AS,MATCH($P$1,Database!$A$1:$AS$1,),)))))/(((VLOOKUP(EDATE(B198,-12),Database!$A:$AS,MATCH($P$1,Database!$A$1:$AS$1,),)))))</f>
        <v/>
      </c>
      <c r="Q198" s="13">
        <f>IF(VLOOKUP(B198,Database!$A:$AV,MATCH($Q$1,Database!$A$1:$AV$1,),)=0,"#N/A",((((VLOOKUP(B198,Database!$A:$AS,MATCH($Q$1,Database!$A$1:$AS$1,),))))-(((VLOOKUP(EDATE(B198,-12),Database!$A:$AS,MATCH($Q$1,Database!$A$1:$AS$1,),)))))/(((VLOOKUP(EDATE(B198,-12),Database!$A:$AS,MATCH($Q$1,Database!$A$1:$AS$1,),)))))</f>
        <v/>
      </c>
      <c r="R198" s="13">
        <f>IF(VLOOKUP(B198,Database!$A:$AV,MATCH($R$1,Database!$A$1:$AV$1,),)=0,"#N/A",((((VLOOKUP(B198,Database!$A:$AS,MATCH($R$1,Database!$A$1:$AS$1,),))))-(((VLOOKUP(EDATE(B198,-12),Database!$A:$AS,MATCH($R$1,Database!$A$1:$AS$1,),)))))/(((VLOOKUP(EDATE(B198,-12),Database!$A:$AS,MATCH($R$1,Database!$A$1:$AS$1,),)))))</f>
        <v/>
      </c>
      <c r="S198" s="13">
        <f>IF(VLOOKUP(B198,Database!$A:$AV,MATCH($S$1,Database!$A$1:$AV$1,),)=0,"#N/A",((((VLOOKUP(B198,Database!$A:$AS,MATCH($S$1,Database!$A$1:$AS$1,),))))-(((VLOOKUP(EDATE(B198,-12),Database!$A:$AS,MATCH($S$1,Database!$A$1:$AS$1,),)))))/(((VLOOKUP(EDATE(B198,-12),Database!$A:$AS,MATCH($S$1,Database!$A$1:$AS$1,),)))))</f>
        <v/>
      </c>
      <c r="T198" s="13">
        <f>IF(VLOOKUP(B198,Database!$A:$AV,MATCH($T$1,Database!$A$1:$AV$1,),)=0,"#N/A",((((VLOOKUP(B198,Database!$A:$AS,MATCH($T$1,Database!$A$1:$AS$1,),))))-(((VLOOKUP(EDATE(B198,-12),Database!$A:$AS,MATCH($T$1,Database!$A$1:$AS$1,),)))))/(((VLOOKUP(EDATE(B198,-12),Database!$A:$AS,MATCH($T$1,Database!$A$1:$AS$1,),)))))</f>
        <v/>
      </c>
      <c r="U198" s="13">
        <f>IF(VLOOKUP(B198,Database!$A:$AV,MATCH($U$1,Database!$A$1:$AV$1,),)=0,"#N/A",((((VLOOKUP(B198,Database!$A:$AS,MATCH($U$1,Database!$A$1:$AS$1,),))))-(((VLOOKUP(EDATE(B198,-12),Database!$A:$AS,MATCH($U$1,Database!$A$1:$AS$1,),)))))/(((VLOOKUP(EDATE(B198,-12),Database!$A:$AS,MATCH($U$1,Database!$A$1:$AS$1,),)))))</f>
        <v/>
      </c>
      <c r="V198" s="13">
        <f>IF(VLOOKUP(B198,Database!$A:$AV,MATCH($V$1,Database!$A$1:$AV$1,),)=0,"#N/A",((((VLOOKUP(B198,Database!$A:$AS,MATCH($V$1,Database!$A$1:$AS$1,),))))-(((VLOOKUP(EDATE(B198,-12),Database!$A:$AS,MATCH($V$1,Database!$A$1:$AS$1,),)))))/(((VLOOKUP(EDATE(B198,-12),Database!$A:$AS,MATCH($V$1,Database!$A$1:$AS$1,),)))))</f>
        <v/>
      </c>
    </row>
    <row r="199" customFormat="1" s="86">
      <c r="A199" s="43" t="n"/>
      <c r="B199" s="75" t="n">
        <v>38200</v>
      </c>
      <c r="C199" s="13">
        <f>IF(VLOOKUP(B199,Database!$A:$AU,MATCH($C$1,Database!$A$1:$AU$1,),)=0,"#N/A",((((VLOOKUP(B199,Database!$A:$AU,MATCH($C$1,Database!$A$1:$AU$1,),))))-(((VLOOKUP(EDATE(B199,-12),Database!$A:$AU,MATCH($C$1,Database!$A$1:$AU$1,),)))))/(((VLOOKUP(EDATE(B199,-12),Database!$A:$AU,MATCH($C$1,Database!$A$1:$AU$1,),)))))</f>
        <v/>
      </c>
      <c r="D199" s="13">
        <f>IF(VLOOKUP(B199,Database!$A:$AV,MATCH($D$1,Database!$A$1:$AV$1,),)=0,"#N/A",((((VLOOKUP(B199,Database!$A:$AS,MATCH($D$1,Database!$A$1:$AS$1,),))))-(((VLOOKUP(EDATE(B199,-12),Database!$A:$AS,MATCH($D$1,Database!$A$1:$AS$1,),)))))/(((VLOOKUP(EDATE(B199,-12),Database!$A:$AS,MATCH($D$1,Database!$A$1:$AS$1,),)))))</f>
        <v/>
      </c>
      <c r="E199" s="13">
        <f>IF(VLOOKUP(B199,Database!$A:$AV,MATCH($E$1,Database!$A$1:$AV$1,),)=0,"#N/A",((((VLOOKUP(B199,Database!$A:$AS,MATCH($E$1,Database!$A$1:$AS$1,),))))-(((VLOOKUP(EDATE(B199,-12),Database!$A:$AS,MATCH($E$1,Database!$A$1:$AS$1,),)))))/(((VLOOKUP(EDATE(B199,-12),Database!$A:$AS,MATCH($E$1,Database!$A$1:$AS$1,),)))))</f>
        <v/>
      </c>
      <c r="F199" s="13">
        <f>IF(VLOOKUP(B199,Database!$A:$AV,MATCH($F$1,Database!$A$1:$AV$1,),)=0,"#N/A",((((VLOOKUP(B199,Database!$A:$AS,MATCH($F$1,Database!$A$1:$AS$1,),))))-(((VLOOKUP(EDATE(B199,-12),Database!$A:$AS,MATCH($F$1,Database!$A$1:$AS$1,),)))))/(((VLOOKUP(EDATE(B199,-12),Database!$A:$AS,MATCH($F$1,Database!$A$1:$AS$1,),)))))</f>
        <v/>
      </c>
      <c r="G199" s="13">
        <f>IF(VLOOKUP(B199,Database!$A:$AV,MATCH($G$1,Database!$A$1:$AV$1,),)=0,"#N/A",((((VLOOKUP(B199,Database!$A:$AS,MATCH($G$1,Database!$A$1:$AS$1,),))))-(((VLOOKUP(EDATE(B199,-12),Database!$A:$AS,MATCH($G$1,Database!$A$1:$AS$1,),)))))/(((VLOOKUP(EDATE(B199,-12),Database!$A:$AS,MATCH($G$1,Database!$A$1:$AS$1,),)))))</f>
        <v/>
      </c>
      <c r="H199" s="13">
        <f>IF(VLOOKUP(B199,Database!$A:$AV,MATCH($H$1,Database!$A$1:$AV$1,),)=0,"#N/A",((((VLOOKUP(B199,Database!$A:$AS,MATCH($H$1,Database!$A$1:$AS$1,),))))-(((VLOOKUP(EDATE(B199,-12),Database!$A:$AS,MATCH($H$1,Database!$A$1:$AS$1,),)))))/(((VLOOKUP(EDATE(B199,-12),Database!$A:$AS,MATCH($H$1,Database!$A$1:$AS$1,),)))))</f>
        <v/>
      </c>
      <c r="I199" s="13">
        <f>IF(VLOOKUP(B199,Database!$A:$AV,MATCH($I$1,Database!$A$1:$AV$1,),)=0,"#N/A",((((VLOOKUP(B199,Database!$A:$AS,MATCH($I$1,Database!$A$1:$AS$1,),))))-(((VLOOKUP(EDATE(B199,-12),Database!$A:$AS,MATCH($I$1,Database!$A$1:$AS$1,),)))))/(((VLOOKUP(EDATE(B199,-12),Database!$A:$AS,MATCH($I$1,Database!$A$1:$AS$1,),)))))</f>
        <v/>
      </c>
      <c r="J199" s="13">
        <f>IF(VLOOKUP(B199,Database!$A:$AV,MATCH($J$1,Database!$A$1:$AV$1,),)=0,"#N/A",((((VLOOKUP(B199,Database!$A:$AS,MATCH($J$1,Database!$A$1:$AS$1,),))))-(((VLOOKUP(EDATE(B199,-12),Database!$A:$AS,MATCH($J$1,Database!$A$1:$AS$1,),)))))/(((VLOOKUP(EDATE(B199,-12),Database!$A:$AS,MATCH($J$1,Database!$A$1:$AS$1,),)))))</f>
        <v/>
      </c>
      <c r="K199" s="13">
        <f>IF(VLOOKUP(B199,Database!$A:$AV,MATCH($K$1,Database!$A$1:$AV$1,),)=0,"#N/A",((((VLOOKUP(B199,Database!$A:$AS,MATCH($K$1,Database!$A$1:$AS$1,),))))-(((VLOOKUP(EDATE(B199,-12),Database!$A:$AS,MATCH($K$1,Database!$A$1:$AS$1,),)))))/(((VLOOKUP(EDATE(B199,-12),Database!$A:$AS,MATCH($K$1,Database!$A$1:$AS$1,),)))))</f>
        <v/>
      </c>
      <c r="L199" s="13">
        <f>((((VLOOKUP(B199,Database!$A:$AS,MATCH($L$1,Database!$A$1:$AS$1,),))))-(((VLOOKUP(EDATE(B199,-12),Database!$A:$AS,MATCH($L$1,Database!$A$1:$AS$1,),)))))/(((VLOOKUP(EDATE(B199,-12),Database!$A:$AS,MATCH($L$1,Database!$A$1:$AS$1,),))))</f>
        <v/>
      </c>
      <c r="M199" s="13">
        <f>((((VLOOKUP(B199,Database!$A:$AS,MATCH($M$1,Database!$A$1:$AS$1,),))))-(((VLOOKUP(EDATE(B199,-12),Database!$A:$AS,MATCH($M$1,Database!$A$1:$AS$1,),)))))/(((VLOOKUP(EDATE(B199,-12),Database!$A:$AS,MATCH($M$1,Database!$A$1:$AS$1,),))))</f>
        <v/>
      </c>
      <c r="N199" s="13">
        <f>((((VLOOKUP(B199,Database!$A:$AS,MATCH($N$1,Database!$A$1:$AS$1,),))))-(((VLOOKUP(EDATE(B199,-12),Database!$A:$AS,MATCH($N$1,Database!$A$1:$AS$1,),)))))/(((VLOOKUP(EDATE(B199,-12),Database!$A:$AS,MATCH($N$1,Database!$A$1:$AS$1,),))))</f>
        <v/>
      </c>
      <c r="O199" s="13">
        <f>IF(VLOOKUP(B199,Database!$A:$AV,MATCH($O$1,Database!$A$1:$AV$1,),)=0,"#N/A",((((VLOOKUP(B199,Database!$A:$AS,MATCH($O$1,Database!$A$1:$AS$1,),))))-(((VLOOKUP(EDATE(B199,-12),Database!$A:$AS,MATCH($O$1,Database!$A$1:$AS$1,),)))))/(((VLOOKUP(EDATE(B199,-12),Database!$A:$AS,MATCH($O$1,Database!$A$1:$AS$1,),)))))</f>
        <v/>
      </c>
      <c r="P199" s="13">
        <f>IF(VLOOKUP(B199,Database!$A:$AV,MATCH($P$1,Database!$A$1:$AV$1,),)=0,"#N/A",((((VLOOKUP(B199,Database!$A:$AS,MATCH($P$1,Database!$A$1:$AS$1,),))))-(((VLOOKUP(EDATE(B199,-12),Database!$A:$AS,MATCH($P$1,Database!$A$1:$AS$1,),)))))/(((VLOOKUP(EDATE(B199,-12),Database!$A:$AS,MATCH($P$1,Database!$A$1:$AS$1,),)))))</f>
        <v/>
      </c>
      <c r="Q199" s="13">
        <f>IF(VLOOKUP(B199,Database!$A:$AV,MATCH($Q$1,Database!$A$1:$AV$1,),)=0,"#N/A",((((VLOOKUP(B199,Database!$A:$AS,MATCH($Q$1,Database!$A$1:$AS$1,),))))-(((VLOOKUP(EDATE(B199,-12),Database!$A:$AS,MATCH($Q$1,Database!$A$1:$AS$1,),)))))/(((VLOOKUP(EDATE(B199,-12),Database!$A:$AS,MATCH($Q$1,Database!$A$1:$AS$1,),)))))</f>
        <v/>
      </c>
      <c r="R199" s="13">
        <f>IF(VLOOKUP(B199,Database!$A:$AV,MATCH($R$1,Database!$A$1:$AV$1,),)=0,"#N/A",((((VLOOKUP(B199,Database!$A:$AS,MATCH($R$1,Database!$A$1:$AS$1,),))))-(((VLOOKUP(EDATE(B199,-12),Database!$A:$AS,MATCH($R$1,Database!$A$1:$AS$1,),)))))/(((VLOOKUP(EDATE(B199,-12),Database!$A:$AS,MATCH($R$1,Database!$A$1:$AS$1,),)))))</f>
        <v/>
      </c>
      <c r="S199" s="13">
        <f>IF(VLOOKUP(B199,Database!$A:$AV,MATCH($S$1,Database!$A$1:$AV$1,),)=0,"#N/A",((((VLOOKUP(B199,Database!$A:$AS,MATCH($S$1,Database!$A$1:$AS$1,),))))-(((VLOOKUP(EDATE(B199,-12),Database!$A:$AS,MATCH($S$1,Database!$A$1:$AS$1,),)))))/(((VLOOKUP(EDATE(B199,-12),Database!$A:$AS,MATCH($S$1,Database!$A$1:$AS$1,),)))))</f>
        <v/>
      </c>
      <c r="T199" s="13">
        <f>IF(VLOOKUP(B199,Database!$A:$AV,MATCH($T$1,Database!$A$1:$AV$1,),)=0,"#N/A",((((VLOOKUP(B199,Database!$A:$AS,MATCH($T$1,Database!$A$1:$AS$1,),))))-(((VLOOKUP(EDATE(B199,-12),Database!$A:$AS,MATCH($T$1,Database!$A$1:$AS$1,),)))))/(((VLOOKUP(EDATE(B199,-12),Database!$A:$AS,MATCH($T$1,Database!$A$1:$AS$1,),)))))</f>
        <v/>
      </c>
      <c r="U199" s="13">
        <f>IF(VLOOKUP(B199,Database!$A:$AV,MATCH($U$1,Database!$A$1:$AV$1,),)=0,"#N/A",((((VLOOKUP(B199,Database!$A:$AS,MATCH($U$1,Database!$A$1:$AS$1,),))))-(((VLOOKUP(EDATE(B199,-12),Database!$A:$AS,MATCH($U$1,Database!$A$1:$AS$1,),)))))/(((VLOOKUP(EDATE(B199,-12),Database!$A:$AS,MATCH($U$1,Database!$A$1:$AS$1,),)))))</f>
        <v/>
      </c>
      <c r="V199" s="13">
        <f>IF(VLOOKUP(B199,Database!$A:$AV,MATCH($V$1,Database!$A$1:$AV$1,),)=0,"#N/A",((((VLOOKUP(B199,Database!$A:$AS,MATCH($V$1,Database!$A$1:$AS$1,),))))-(((VLOOKUP(EDATE(B199,-12),Database!$A:$AS,MATCH($V$1,Database!$A$1:$AS$1,),)))))/(((VLOOKUP(EDATE(B199,-12),Database!$A:$AS,MATCH($V$1,Database!$A$1:$AS$1,),)))))</f>
        <v/>
      </c>
    </row>
    <row r="200" customFormat="1" s="86">
      <c r="A200" s="43" t="n"/>
      <c r="B200" s="75" t="n">
        <v>38231</v>
      </c>
      <c r="C200" s="13">
        <f>IF(VLOOKUP(B200,Database!$A:$AU,MATCH($C$1,Database!$A$1:$AU$1,),)=0,"#N/A",((((VLOOKUP(B200,Database!$A:$AU,MATCH($C$1,Database!$A$1:$AU$1,),))))-(((VLOOKUP(EDATE(B200,-12),Database!$A:$AU,MATCH($C$1,Database!$A$1:$AU$1,),)))))/(((VLOOKUP(EDATE(B200,-12),Database!$A:$AU,MATCH($C$1,Database!$A$1:$AU$1,),)))))</f>
        <v/>
      </c>
      <c r="D200" s="13">
        <f>IF(VLOOKUP(B200,Database!$A:$AV,MATCH($D$1,Database!$A$1:$AV$1,),)=0,"#N/A",((((VLOOKUP(B200,Database!$A:$AS,MATCH($D$1,Database!$A$1:$AS$1,),))))-(((VLOOKUP(EDATE(B200,-12),Database!$A:$AS,MATCH($D$1,Database!$A$1:$AS$1,),)))))/(((VLOOKUP(EDATE(B200,-12),Database!$A:$AS,MATCH($D$1,Database!$A$1:$AS$1,),)))))</f>
        <v/>
      </c>
      <c r="E200" s="13">
        <f>IF(VLOOKUP(B200,Database!$A:$AV,MATCH($E$1,Database!$A$1:$AV$1,),)=0,"#N/A",((((VLOOKUP(B200,Database!$A:$AS,MATCH($E$1,Database!$A$1:$AS$1,),))))-(((VLOOKUP(EDATE(B200,-12),Database!$A:$AS,MATCH($E$1,Database!$A$1:$AS$1,),)))))/(((VLOOKUP(EDATE(B200,-12),Database!$A:$AS,MATCH($E$1,Database!$A$1:$AS$1,),)))))</f>
        <v/>
      </c>
      <c r="F200" s="13">
        <f>IF(VLOOKUP(B200,Database!$A:$AV,MATCH($F$1,Database!$A$1:$AV$1,),)=0,"#N/A",((((VLOOKUP(B200,Database!$A:$AS,MATCH($F$1,Database!$A$1:$AS$1,),))))-(((VLOOKUP(EDATE(B200,-12),Database!$A:$AS,MATCH($F$1,Database!$A$1:$AS$1,),)))))/(((VLOOKUP(EDATE(B200,-12),Database!$A:$AS,MATCH($F$1,Database!$A$1:$AS$1,),)))))</f>
        <v/>
      </c>
      <c r="G200" s="13">
        <f>IF(VLOOKUP(B200,Database!$A:$AV,MATCH($G$1,Database!$A$1:$AV$1,),)=0,"#N/A",((((VLOOKUP(B200,Database!$A:$AS,MATCH($G$1,Database!$A$1:$AS$1,),))))-(((VLOOKUP(EDATE(B200,-12),Database!$A:$AS,MATCH($G$1,Database!$A$1:$AS$1,),)))))/(((VLOOKUP(EDATE(B200,-12),Database!$A:$AS,MATCH($G$1,Database!$A$1:$AS$1,),)))))</f>
        <v/>
      </c>
      <c r="H200" s="13">
        <f>IF(VLOOKUP(B200,Database!$A:$AV,MATCH($H$1,Database!$A$1:$AV$1,),)=0,"#N/A",((((VLOOKUP(B200,Database!$A:$AS,MATCH($H$1,Database!$A$1:$AS$1,),))))-(((VLOOKUP(EDATE(B200,-12),Database!$A:$AS,MATCH($H$1,Database!$A$1:$AS$1,),)))))/(((VLOOKUP(EDATE(B200,-12),Database!$A:$AS,MATCH($H$1,Database!$A$1:$AS$1,),)))))</f>
        <v/>
      </c>
      <c r="I200" s="13">
        <f>IF(VLOOKUP(B200,Database!$A:$AV,MATCH($I$1,Database!$A$1:$AV$1,),)=0,"#N/A",((((VLOOKUP(B200,Database!$A:$AS,MATCH($I$1,Database!$A$1:$AS$1,),))))-(((VLOOKUP(EDATE(B200,-12),Database!$A:$AS,MATCH($I$1,Database!$A$1:$AS$1,),)))))/(((VLOOKUP(EDATE(B200,-12),Database!$A:$AS,MATCH($I$1,Database!$A$1:$AS$1,),)))))</f>
        <v/>
      </c>
      <c r="J200" s="13">
        <f>IF(VLOOKUP(B200,Database!$A:$AV,MATCH($J$1,Database!$A$1:$AV$1,),)=0,"#N/A",((((VLOOKUP(B200,Database!$A:$AS,MATCH($J$1,Database!$A$1:$AS$1,),))))-(((VLOOKUP(EDATE(B200,-12),Database!$A:$AS,MATCH($J$1,Database!$A$1:$AS$1,),)))))/(((VLOOKUP(EDATE(B200,-12),Database!$A:$AS,MATCH($J$1,Database!$A$1:$AS$1,),)))))</f>
        <v/>
      </c>
      <c r="K200" s="13">
        <f>IF(VLOOKUP(B200,Database!$A:$AV,MATCH($K$1,Database!$A$1:$AV$1,),)=0,"#N/A",((((VLOOKUP(B200,Database!$A:$AS,MATCH($K$1,Database!$A$1:$AS$1,),))))-(((VLOOKUP(EDATE(B200,-12),Database!$A:$AS,MATCH($K$1,Database!$A$1:$AS$1,),)))))/(((VLOOKUP(EDATE(B200,-12),Database!$A:$AS,MATCH($K$1,Database!$A$1:$AS$1,),)))))</f>
        <v/>
      </c>
      <c r="L200" s="13">
        <f>((((VLOOKUP(B200,Database!$A:$AS,MATCH($L$1,Database!$A$1:$AS$1,),))))-(((VLOOKUP(EDATE(B200,-12),Database!$A:$AS,MATCH($L$1,Database!$A$1:$AS$1,),)))))/(((VLOOKUP(EDATE(B200,-12),Database!$A:$AS,MATCH($L$1,Database!$A$1:$AS$1,),))))</f>
        <v/>
      </c>
      <c r="M200" s="13">
        <f>((((VLOOKUP(B200,Database!$A:$AS,MATCH($M$1,Database!$A$1:$AS$1,),))))-(((VLOOKUP(EDATE(B200,-12),Database!$A:$AS,MATCH($M$1,Database!$A$1:$AS$1,),)))))/(((VLOOKUP(EDATE(B200,-12),Database!$A:$AS,MATCH($M$1,Database!$A$1:$AS$1,),))))</f>
        <v/>
      </c>
      <c r="N200" s="13">
        <f>((((VLOOKUP(B200,Database!$A:$AS,MATCH($N$1,Database!$A$1:$AS$1,),))))-(((VLOOKUP(EDATE(B200,-12),Database!$A:$AS,MATCH($N$1,Database!$A$1:$AS$1,),)))))/(((VLOOKUP(EDATE(B200,-12),Database!$A:$AS,MATCH($N$1,Database!$A$1:$AS$1,),))))</f>
        <v/>
      </c>
      <c r="O200" s="13">
        <f>IF(VLOOKUP(B200,Database!$A:$AV,MATCH($O$1,Database!$A$1:$AV$1,),)=0,"#N/A",((((VLOOKUP(B200,Database!$A:$AS,MATCH($O$1,Database!$A$1:$AS$1,),))))-(((VLOOKUP(EDATE(B200,-12),Database!$A:$AS,MATCH($O$1,Database!$A$1:$AS$1,),)))))/(((VLOOKUP(EDATE(B200,-12),Database!$A:$AS,MATCH($O$1,Database!$A$1:$AS$1,),)))))</f>
        <v/>
      </c>
      <c r="P200" s="13">
        <f>IF(VLOOKUP(B200,Database!$A:$AV,MATCH($P$1,Database!$A$1:$AV$1,),)=0,"#N/A",((((VLOOKUP(B200,Database!$A:$AS,MATCH($P$1,Database!$A$1:$AS$1,),))))-(((VLOOKUP(EDATE(B200,-12),Database!$A:$AS,MATCH($P$1,Database!$A$1:$AS$1,),)))))/(((VLOOKUP(EDATE(B200,-12),Database!$A:$AS,MATCH($P$1,Database!$A$1:$AS$1,),)))))</f>
        <v/>
      </c>
      <c r="Q200" s="13">
        <f>IF(VLOOKUP(B200,Database!$A:$AV,MATCH($Q$1,Database!$A$1:$AV$1,),)=0,"#N/A",((((VLOOKUP(B200,Database!$A:$AS,MATCH($Q$1,Database!$A$1:$AS$1,),))))-(((VLOOKUP(EDATE(B200,-12),Database!$A:$AS,MATCH($Q$1,Database!$A$1:$AS$1,),)))))/(((VLOOKUP(EDATE(B200,-12),Database!$A:$AS,MATCH($Q$1,Database!$A$1:$AS$1,),)))))</f>
        <v/>
      </c>
      <c r="R200" s="13">
        <f>IF(VLOOKUP(B200,Database!$A:$AV,MATCH($R$1,Database!$A$1:$AV$1,),)=0,"#N/A",((((VLOOKUP(B200,Database!$A:$AS,MATCH($R$1,Database!$A$1:$AS$1,),))))-(((VLOOKUP(EDATE(B200,-12),Database!$A:$AS,MATCH($R$1,Database!$A$1:$AS$1,),)))))/(((VLOOKUP(EDATE(B200,-12),Database!$A:$AS,MATCH($R$1,Database!$A$1:$AS$1,),)))))</f>
        <v/>
      </c>
      <c r="S200" s="13">
        <f>IF(VLOOKUP(B200,Database!$A:$AV,MATCH($S$1,Database!$A$1:$AV$1,),)=0,"#N/A",((((VLOOKUP(B200,Database!$A:$AS,MATCH($S$1,Database!$A$1:$AS$1,),))))-(((VLOOKUP(EDATE(B200,-12),Database!$A:$AS,MATCH($S$1,Database!$A$1:$AS$1,),)))))/(((VLOOKUP(EDATE(B200,-12),Database!$A:$AS,MATCH($S$1,Database!$A$1:$AS$1,),)))))</f>
        <v/>
      </c>
      <c r="T200" s="13">
        <f>IF(VLOOKUP(B200,Database!$A:$AV,MATCH($T$1,Database!$A$1:$AV$1,),)=0,"#N/A",((((VLOOKUP(B200,Database!$A:$AS,MATCH($T$1,Database!$A$1:$AS$1,),))))-(((VLOOKUP(EDATE(B200,-12),Database!$A:$AS,MATCH($T$1,Database!$A$1:$AS$1,),)))))/(((VLOOKUP(EDATE(B200,-12),Database!$A:$AS,MATCH($T$1,Database!$A$1:$AS$1,),)))))</f>
        <v/>
      </c>
      <c r="U200" s="13">
        <f>IF(VLOOKUP(B200,Database!$A:$AV,MATCH($U$1,Database!$A$1:$AV$1,),)=0,"#N/A",((((VLOOKUP(B200,Database!$A:$AS,MATCH($U$1,Database!$A$1:$AS$1,),))))-(((VLOOKUP(EDATE(B200,-12),Database!$A:$AS,MATCH($U$1,Database!$A$1:$AS$1,),)))))/(((VLOOKUP(EDATE(B200,-12),Database!$A:$AS,MATCH($U$1,Database!$A$1:$AS$1,),)))))</f>
        <v/>
      </c>
      <c r="V200" s="13">
        <f>IF(VLOOKUP(B200,Database!$A:$AV,MATCH($V$1,Database!$A$1:$AV$1,),)=0,"#N/A",((((VLOOKUP(B200,Database!$A:$AS,MATCH($V$1,Database!$A$1:$AS$1,),))))-(((VLOOKUP(EDATE(B200,-12),Database!$A:$AS,MATCH($V$1,Database!$A$1:$AS$1,),)))))/(((VLOOKUP(EDATE(B200,-12),Database!$A:$AS,MATCH($V$1,Database!$A$1:$AS$1,),)))))</f>
        <v/>
      </c>
    </row>
    <row r="201" customFormat="1" s="86">
      <c r="A201" s="43" t="n"/>
      <c r="B201" s="75" t="n">
        <v>38261</v>
      </c>
      <c r="C201" s="13">
        <f>IF(VLOOKUP(B201,Database!$A:$AU,MATCH($C$1,Database!$A$1:$AU$1,),)=0,"#N/A",((((VLOOKUP(B201,Database!$A:$AU,MATCH($C$1,Database!$A$1:$AU$1,),))))-(((VLOOKUP(EDATE(B201,-12),Database!$A:$AU,MATCH($C$1,Database!$A$1:$AU$1,),)))))/(((VLOOKUP(EDATE(B201,-12),Database!$A:$AU,MATCH($C$1,Database!$A$1:$AU$1,),)))))</f>
        <v/>
      </c>
      <c r="D201" s="13">
        <f>IF(VLOOKUP(B201,Database!$A:$AV,MATCH($D$1,Database!$A$1:$AV$1,),)=0,"#N/A",((((VLOOKUP(B201,Database!$A:$AS,MATCH($D$1,Database!$A$1:$AS$1,),))))-(((VLOOKUP(EDATE(B201,-12),Database!$A:$AS,MATCH($D$1,Database!$A$1:$AS$1,),)))))/(((VLOOKUP(EDATE(B201,-12),Database!$A:$AS,MATCH($D$1,Database!$A$1:$AS$1,),)))))</f>
        <v/>
      </c>
      <c r="E201" s="13">
        <f>IF(VLOOKUP(B201,Database!$A:$AV,MATCH($E$1,Database!$A$1:$AV$1,),)=0,"#N/A",((((VLOOKUP(B201,Database!$A:$AS,MATCH($E$1,Database!$A$1:$AS$1,),))))-(((VLOOKUP(EDATE(B201,-12),Database!$A:$AS,MATCH($E$1,Database!$A$1:$AS$1,),)))))/(((VLOOKUP(EDATE(B201,-12),Database!$A:$AS,MATCH($E$1,Database!$A$1:$AS$1,),)))))</f>
        <v/>
      </c>
      <c r="F201" s="13">
        <f>IF(VLOOKUP(B201,Database!$A:$AV,MATCH($F$1,Database!$A$1:$AV$1,),)=0,"#N/A",((((VLOOKUP(B201,Database!$A:$AS,MATCH($F$1,Database!$A$1:$AS$1,),))))-(((VLOOKUP(EDATE(B201,-12),Database!$A:$AS,MATCH($F$1,Database!$A$1:$AS$1,),)))))/(((VLOOKUP(EDATE(B201,-12),Database!$A:$AS,MATCH($F$1,Database!$A$1:$AS$1,),)))))</f>
        <v/>
      </c>
      <c r="G201" s="13">
        <f>IF(VLOOKUP(B201,Database!$A:$AV,MATCH($G$1,Database!$A$1:$AV$1,),)=0,"#N/A",((((VLOOKUP(B201,Database!$A:$AS,MATCH($G$1,Database!$A$1:$AS$1,),))))-(((VLOOKUP(EDATE(B201,-12),Database!$A:$AS,MATCH($G$1,Database!$A$1:$AS$1,),)))))/(((VLOOKUP(EDATE(B201,-12),Database!$A:$AS,MATCH($G$1,Database!$A$1:$AS$1,),)))))</f>
        <v/>
      </c>
      <c r="H201" s="13">
        <f>IF(VLOOKUP(B201,Database!$A:$AV,MATCH($H$1,Database!$A$1:$AV$1,),)=0,"#N/A",((((VLOOKUP(B201,Database!$A:$AS,MATCH($H$1,Database!$A$1:$AS$1,),))))-(((VLOOKUP(EDATE(B201,-12),Database!$A:$AS,MATCH($H$1,Database!$A$1:$AS$1,),)))))/(((VLOOKUP(EDATE(B201,-12),Database!$A:$AS,MATCH($H$1,Database!$A$1:$AS$1,),)))))</f>
        <v/>
      </c>
      <c r="I201" s="13">
        <f>IF(VLOOKUP(B201,Database!$A:$AV,MATCH($I$1,Database!$A$1:$AV$1,),)=0,"#N/A",((((VLOOKUP(B201,Database!$A:$AS,MATCH($I$1,Database!$A$1:$AS$1,),))))-(((VLOOKUP(EDATE(B201,-12),Database!$A:$AS,MATCH($I$1,Database!$A$1:$AS$1,),)))))/(((VLOOKUP(EDATE(B201,-12),Database!$A:$AS,MATCH($I$1,Database!$A$1:$AS$1,),)))))</f>
        <v/>
      </c>
      <c r="J201" s="13">
        <f>IF(VLOOKUP(B201,Database!$A:$AV,MATCH($J$1,Database!$A$1:$AV$1,),)=0,"#N/A",((((VLOOKUP(B201,Database!$A:$AS,MATCH($J$1,Database!$A$1:$AS$1,),))))-(((VLOOKUP(EDATE(B201,-12),Database!$A:$AS,MATCH($J$1,Database!$A$1:$AS$1,),)))))/(((VLOOKUP(EDATE(B201,-12),Database!$A:$AS,MATCH($J$1,Database!$A$1:$AS$1,),)))))</f>
        <v/>
      </c>
      <c r="K201" s="13">
        <f>IF(VLOOKUP(B201,Database!$A:$AV,MATCH($K$1,Database!$A$1:$AV$1,),)=0,"#N/A",((((VLOOKUP(B201,Database!$A:$AS,MATCH($K$1,Database!$A$1:$AS$1,),))))-(((VLOOKUP(EDATE(B201,-12),Database!$A:$AS,MATCH($K$1,Database!$A$1:$AS$1,),)))))/(((VLOOKUP(EDATE(B201,-12),Database!$A:$AS,MATCH($K$1,Database!$A$1:$AS$1,),)))))</f>
        <v/>
      </c>
      <c r="L201" s="13">
        <f>((((VLOOKUP(B201,Database!$A:$AS,MATCH($L$1,Database!$A$1:$AS$1,),))))-(((VLOOKUP(EDATE(B201,-12),Database!$A:$AS,MATCH($L$1,Database!$A$1:$AS$1,),)))))/(((VLOOKUP(EDATE(B201,-12),Database!$A:$AS,MATCH($L$1,Database!$A$1:$AS$1,),))))</f>
        <v/>
      </c>
      <c r="M201" s="13">
        <f>((((VLOOKUP(B201,Database!$A:$AS,MATCH($M$1,Database!$A$1:$AS$1,),))))-(((VLOOKUP(EDATE(B201,-12),Database!$A:$AS,MATCH($M$1,Database!$A$1:$AS$1,),)))))/(((VLOOKUP(EDATE(B201,-12),Database!$A:$AS,MATCH($M$1,Database!$A$1:$AS$1,),))))</f>
        <v/>
      </c>
      <c r="N201" s="13">
        <f>((((VLOOKUP(B201,Database!$A:$AS,MATCH($N$1,Database!$A$1:$AS$1,),))))-(((VLOOKUP(EDATE(B201,-12),Database!$A:$AS,MATCH($N$1,Database!$A$1:$AS$1,),)))))/(((VLOOKUP(EDATE(B201,-12),Database!$A:$AS,MATCH($N$1,Database!$A$1:$AS$1,),))))</f>
        <v/>
      </c>
      <c r="O201" s="13">
        <f>IF(VLOOKUP(B201,Database!$A:$AV,MATCH($O$1,Database!$A$1:$AV$1,),)=0,"#N/A",((((VLOOKUP(B201,Database!$A:$AS,MATCH($O$1,Database!$A$1:$AS$1,),))))-(((VLOOKUP(EDATE(B201,-12),Database!$A:$AS,MATCH($O$1,Database!$A$1:$AS$1,),)))))/(((VLOOKUP(EDATE(B201,-12),Database!$A:$AS,MATCH($O$1,Database!$A$1:$AS$1,),)))))</f>
        <v/>
      </c>
      <c r="P201" s="13">
        <f>IF(VLOOKUP(B201,Database!$A:$AV,MATCH($P$1,Database!$A$1:$AV$1,),)=0,"#N/A",((((VLOOKUP(B201,Database!$A:$AS,MATCH($P$1,Database!$A$1:$AS$1,),))))-(((VLOOKUP(EDATE(B201,-12),Database!$A:$AS,MATCH($P$1,Database!$A$1:$AS$1,),)))))/(((VLOOKUP(EDATE(B201,-12),Database!$A:$AS,MATCH($P$1,Database!$A$1:$AS$1,),)))))</f>
        <v/>
      </c>
      <c r="Q201" s="13">
        <f>IF(VLOOKUP(B201,Database!$A:$AV,MATCH($Q$1,Database!$A$1:$AV$1,),)=0,"#N/A",((((VLOOKUP(B201,Database!$A:$AS,MATCH($Q$1,Database!$A$1:$AS$1,),))))-(((VLOOKUP(EDATE(B201,-12),Database!$A:$AS,MATCH($Q$1,Database!$A$1:$AS$1,),)))))/(((VLOOKUP(EDATE(B201,-12),Database!$A:$AS,MATCH($Q$1,Database!$A$1:$AS$1,),)))))</f>
        <v/>
      </c>
      <c r="R201" s="13">
        <f>IF(VLOOKUP(B201,Database!$A:$AV,MATCH($R$1,Database!$A$1:$AV$1,),)=0,"#N/A",((((VLOOKUP(B201,Database!$A:$AS,MATCH($R$1,Database!$A$1:$AS$1,),))))-(((VLOOKUP(EDATE(B201,-12),Database!$A:$AS,MATCH($R$1,Database!$A$1:$AS$1,),)))))/(((VLOOKUP(EDATE(B201,-12),Database!$A:$AS,MATCH($R$1,Database!$A$1:$AS$1,),)))))</f>
        <v/>
      </c>
      <c r="S201" s="13">
        <f>IF(VLOOKUP(B201,Database!$A:$AV,MATCH($S$1,Database!$A$1:$AV$1,),)=0,"#N/A",((((VLOOKUP(B201,Database!$A:$AS,MATCH($S$1,Database!$A$1:$AS$1,),))))-(((VLOOKUP(EDATE(B201,-12),Database!$A:$AS,MATCH($S$1,Database!$A$1:$AS$1,),)))))/(((VLOOKUP(EDATE(B201,-12),Database!$A:$AS,MATCH($S$1,Database!$A$1:$AS$1,),)))))</f>
        <v/>
      </c>
      <c r="T201" s="13">
        <f>IF(VLOOKUP(B201,Database!$A:$AV,MATCH($T$1,Database!$A$1:$AV$1,),)=0,"#N/A",((((VLOOKUP(B201,Database!$A:$AS,MATCH($T$1,Database!$A$1:$AS$1,),))))-(((VLOOKUP(EDATE(B201,-12),Database!$A:$AS,MATCH($T$1,Database!$A$1:$AS$1,),)))))/(((VLOOKUP(EDATE(B201,-12),Database!$A:$AS,MATCH($T$1,Database!$A$1:$AS$1,),)))))</f>
        <v/>
      </c>
      <c r="U201" s="13">
        <f>IF(VLOOKUP(B201,Database!$A:$AV,MATCH($U$1,Database!$A$1:$AV$1,),)=0,"#N/A",((((VLOOKUP(B201,Database!$A:$AS,MATCH($U$1,Database!$A$1:$AS$1,),))))-(((VLOOKUP(EDATE(B201,-12),Database!$A:$AS,MATCH($U$1,Database!$A$1:$AS$1,),)))))/(((VLOOKUP(EDATE(B201,-12),Database!$A:$AS,MATCH($U$1,Database!$A$1:$AS$1,),)))))</f>
        <v/>
      </c>
      <c r="V201" s="13">
        <f>IF(VLOOKUP(B201,Database!$A:$AV,MATCH($V$1,Database!$A$1:$AV$1,),)=0,"#N/A",((((VLOOKUP(B201,Database!$A:$AS,MATCH($V$1,Database!$A$1:$AS$1,),))))-(((VLOOKUP(EDATE(B201,-12),Database!$A:$AS,MATCH($V$1,Database!$A$1:$AS$1,),)))))/(((VLOOKUP(EDATE(B201,-12),Database!$A:$AS,MATCH($V$1,Database!$A$1:$AS$1,),)))))</f>
        <v/>
      </c>
    </row>
    <row r="202" customFormat="1" s="86">
      <c r="A202" s="43" t="n"/>
      <c r="B202" s="75" t="n">
        <v>38292</v>
      </c>
      <c r="C202" s="13">
        <f>IF(VLOOKUP(B202,Database!$A:$AU,MATCH($C$1,Database!$A$1:$AU$1,),)=0,"#N/A",((((VLOOKUP(B202,Database!$A:$AU,MATCH($C$1,Database!$A$1:$AU$1,),))))-(((VLOOKUP(EDATE(B202,-12),Database!$A:$AU,MATCH($C$1,Database!$A$1:$AU$1,),)))))/(((VLOOKUP(EDATE(B202,-12),Database!$A:$AU,MATCH($C$1,Database!$A$1:$AU$1,),)))))</f>
        <v/>
      </c>
      <c r="D202" s="13">
        <f>IF(VLOOKUP(B202,Database!$A:$AV,MATCH($D$1,Database!$A$1:$AV$1,),)=0,"#N/A",((((VLOOKUP(B202,Database!$A:$AS,MATCH($D$1,Database!$A$1:$AS$1,),))))-(((VLOOKUP(EDATE(B202,-12),Database!$A:$AS,MATCH($D$1,Database!$A$1:$AS$1,),)))))/(((VLOOKUP(EDATE(B202,-12),Database!$A:$AS,MATCH($D$1,Database!$A$1:$AS$1,),)))))</f>
        <v/>
      </c>
      <c r="E202" s="13">
        <f>IF(VLOOKUP(B202,Database!$A:$AV,MATCH($E$1,Database!$A$1:$AV$1,),)=0,"#N/A",((((VLOOKUP(B202,Database!$A:$AS,MATCH($E$1,Database!$A$1:$AS$1,),))))-(((VLOOKUP(EDATE(B202,-12),Database!$A:$AS,MATCH($E$1,Database!$A$1:$AS$1,),)))))/(((VLOOKUP(EDATE(B202,-12),Database!$A:$AS,MATCH($E$1,Database!$A$1:$AS$1,),)))))</f>
        <v/>
      </c>
      <c r="F202" s="13">
        <f>IF(VLOOKUP(B202,Database!$A:$AV,MATCH($F$1,Database!$A$1:$AV$1,),)=0,"#N/A",((((VLOOKUP(B202,Database!$A:$AS,MATCH($F$1,Database!$A$1:$AS$1,),))))-(((VLOOKUP(EDATE(B202,-12),Database!$A:$AS,MATCH($F$1,Database!$A$1:$AS$1,),)))))/(((VLOOKUP(EDATE(B202,-12),Database!$A:$AS,MATCH($F$1,Database!$A$1:$AS$1,),)))))</f>
        <v/>
      </c>
      <c r="G202" s="13">
        <f>IF(VLOOKUP(B202,Database!$A:$AV,MATCH($G$1,Database!$A$1:$AV$1,),)=0,"#N/A",((((VLOOKUP(B202,Database!$A:$AS,MATCH($G$1,Database!$A$1:$AS$1,),))))-(((VLOOKUP(EDATE(B202,-12),Database!$A:$AS,MATCH($G$1,Database!$A$1:$AS$1,),)))))/(((VLOOKUP(EDATE(B202,-12),Database!$A:$AS,MATCH($G$1,Database!$A$1:$AS$1,),)))))</f>
        <v/>
      </c>
      <c r="H202" s="13">
        <f>IF(VLOOKUP(B202,Database!$A:$AV,MATCH($H$1,Database!$A$1:$AV$1,),)=0,"#N/A",((((VLOOKUP(B202,Database!$A:$AS,MATCH($H$1,Database!$A$1:$AS$1,),))))-(((VLOOKUP(EDATE(B202,-12),Database!$A:$AS,MATCH($H$1,Database!$A$1:$AS$1,),)))))/(((VLOOKUP(EDATE(B202,-12),Database!$A:$AS,MATCH($H$1,Database!$A$1:$AS$1,),)))))</f>
        <v/>
      </c>
      <c r="I202" s="13">
        <f>IF(VLOOKUP(B202,Database!$A:$AV,MATCH($I$1,Database!$A$1:$AV$1,),)=0,"#N/A",((((VLOOKUP(B202,Database!$A:$AS,MATCH($I$1,Database!$A$1:$AS$1,),))))-(((VLOOKUP(EDATE(B202,-12),Database!$A:$AS,MATCH($I$1,Database!$A$1:$AS$1,),)))))/(((VLOOKUP(EDATE(B202,-12),Database!$A:$AS,MATCH($I$1,Database!$A$1:$AS$1,),)))))</f>
        <v/>
      </c>
      <c r="J202" s="13">
        <f>IF(VLOOKUP(B202,Database!$A:$AV,MATCH($J$1,Database!$A$1:$AV$1,),)=0,"#N/A",((((VLOOKUP(B202,Database!$A:$AS,MATCH($J$1,Database!$A$1:$AS$1,),))))-(((VLOOKUP(EDATE(B202,-12),Database!$A:$AS,MATCH($J$1,Database!$A$1:$AS$1,),)))))/(((VLOOKUP(EDATE(B202,-12),Database!$A:$AS,MATCH($J$1,Database!$A$1:$AS$1,),)))))</f>
        <v/>
      </c>
      <c r="K202" s="13">
        <f>IF(VLOOKUP(B202,Database!$A:$AV,MATCH($K$1,Database!$A$1:$AV$1,),)=0,"#N/A",((((VLOOKUP(B202,Database!$A:$AS,MATCH($K$1,Database!$A$1:$AS$1,),))))-(((VLOOKUP(EDATE(B202,-12),Database!$A:$AS,MATCH($K$1,Database!$A$1:$AS$1,),)))))/(((VLOOKUP(EDATE(B202,-12),Database!$A:$AS,MATCH($K$1,Database!$A$1:$AS$1,),)))))</f>
        <v/>
      </c>
      <c r="L202" s="13">
        <f>((((VLOOKUP(B202,Database!$A:$AS,MATCH($L$1,Database!$A$1:$AS$1,),))))-(((VLOOKUP(EDATE(B202,-12),Database!$A:$AS,MATCH($L$1,Database!$A$1:$AS$1,),)))))/(((VLOOKUP(EDATE(B202,-12),Database!$A:$AS,MATCH($L$1,Database!$A$1:$AS$1,),))))</f>
        <v/>
      </c>
      <c r="M202" s="13">
        <f>((((VLOOKUP(B202,Database!$A:$AS,MATCH($M$1,Database!$A$1:$AS$1,),))))-(((VLOOKUP(EDATE(B202,-12),Database!$A:$AS,MATCH($M$1,Database!$A$1:$AS$1,),)))))/(((VLOOKUP(EDATE(B202,-12),Database!$A:$AS,MATCH($M$1,Database!$A$1:$AS$1,),))))</f>
        <v/>
      </c>
      <c r="N202" s="13">
        <f>((((VLOOKUP(B202,Database!$A:$AS,MATCH($N$1,Database!$A$1:$AS$1,),))))-(((VLOOKUP(EDATE(B202,-12),Database!$A:$AS,MATCH($N$1,Database!$A$1:$AS$1,),)))))/(((VLOOKUP(EDATE(B202,-12),Database!$A:$AS,MATCH($N$1,Database!$A$1:$AS$1,),))))</f>
        <v/>
      </c>
      <c r="O202" s="13">
        <f>IF(VLOOKUP(B202,Database!$A:$AV,MATCH($O$1,Database!$A$1:$AV$1,),)=0,"#N/A",((((VLOOKUP(B202,Database!$A:$AS,MATCH($O$1,Database!$A$1:$AS$1,),))))-(((VLOOKUP(EDATE(B202,-12),Database!$A:$AS,MATCH($O$1,Database!$A$1:$AS$1,),)))))/(((VLOOKUP(EDATE(B202,-12),Database!$A:$AS,MATCH($O$1,Database!$A$1:$AS$1,),)))))</f>
        <v/>
      </c>
      <c r="P202" s="13">
        <f>IF(VLOOKUP(B202,Database!$A:$AV,MATCH($P$1,Database!$A$1:$AV$1,),)=0,"#N/A",((((VLOOKUP(B202,Database!$A:$AS,MATCH($P$1,Database!$A$1:$AS$1,),))))-(((VLOOKUP(EDATE(B202,-12),Database!$A:$AS,MATCH($P$1,Database!$A$1:$AS$1,),)))))/(((VLOOKUP(EDATE(B202,-12),Database!$A:$AS,MATCH($P$1,Database!$A$1:$AS$1,),)))))</f>
        <v/>
      </c>
      <c r="Q202" s="13">
        <f>IF(VLOOKUP(B202,Database!$A:$AV,MATCH($Q$1,Database!$A$1:$AV$1,),)=0,"#N/A",((((VLOOKUP(B202,Database!$A:$AS,MATCH($Q$1,Database!$A$1:$AS$1,),))))-(((VLOOKUP(EDATE(B202,-12),Database!$A:$AS,MATCH($Q$1,Database!$A$1:$AS$1,),)))))/(((VLOOKUP(EDATE(B202,-12),Database!$A:$AS,MATCH($Q$1,Database!$A$1:$AS$1,),)))))</f>
        <v/>
      </c>
      <c r="R202" s="13">
        <f>IF(VLOOKUP(B202,Database!$A:$AV,MATCH($R$1,Database!$A$1:$AV$1,),)=0,"#N/A",((((VLOOKUP(B202,Database!$A:$AS,MATCH($R$1,Database!$A$1:$AS$1,),))))-(((VLOOKUP(EDATE(B202,-12),Database!$A:$AS,MATCH($R$1,Database!$A$1:$AS$1,),)))))/(((VLOOKUP(EDATE(B202,-12),Database!$A:$AS,MATCH($R$1,Database!$A$1:$AS$1,),)))))</f>
        <v/>
      </c>
      <c r="S202" s="13">
        <f>IF(VLOOKUP(B202,Database!$A:$AV,MATCH($S$1,Database!$A$1:$AV$1,),)=0,"#N/A",((((VLOOKUP(B202,Database!$A:$AS,MATCH($S$1,Database!$A$1:$AS$1,),))))-(((VLOOKUP(EDATE(B202,-12),Database!$A:$AS,MATCH($S$1,Database!$A$1:$AS$1,),)))))/(((VLOOKUP(EDATE(B202,-12),Database!$A:$AS,MATCH($S$1,Database!$A$1:$AS$1,),)))))</f>
        <v/>
      </c>
      <c r="T202" s="13">
        <f>IF(VLOOKUP(B202,Database!$A:$AV,MATCH($T$1,Database!$A$1:$AV$1,),)=0,"#N/A",((((VLOOKUP(B202,Database!$A:$AS,MATCH($T$1,Database!$A$1:$AS$1,),))))-(((VLOOKUP(EDATE(B202,-12),Database!$A:$AS,MATCH($T$1,Database!$A$1:$AS$1,),)))))/(((VLOOKUP(EDATE(B202,-12),Database!$A:$AS,MATCH($T$1,Database!$A$1:$AS$1,),)))))</f>
        <v/>
      </c>
      <c r="U202" s="13">
        <f>IF(VLOOKUP(B202,Database!$A:$AV,MATCH($U$1,Database!$A$1:$AV$1,),)=0,"#N/A",((((VLOOKUP(B202,Database!$A:$AS,MATCH($U$1,Database!$A$1:$AS$1,),))))-(((VLOOKUP(EDATE(B202,-12),Database!$A:$AS,MATCH($U$1,Database!$A$1:$AS$1,),)))))/(((VLOOKUP(EDATE(B202,-12),Database!$A:$AS,MATCH($U$1,Database!$A$1:$AS$1,),)))))</f>
        <v/>
      </c>
      <c r="V202" s="13">
        <f>IF(VLOOKUP(B202,Database!$A:$AV,MATCH($V$1,Database!$A$1:$AV$1,),)=0,"#N/A",((((VLOOKUP(B202,Database!$A:$AS,MATCH($V$1,Database!$A$1:$AS$1,),))))-(((VLOOKUP(EDATE(B202,-12),Database!$A:$AS,MATCH($V$1,Database!$A$1:$AS$1,),)))))/(((VLOOKUP(EDATE(B202,-12),Database!$A:$AS,MATCH($V$1,Database!$A$1:$AS$1,),)))))</f>
        <v/>
      </c>
    </row>
    <row r="203" customFormat="1" s="86">
      <c r="A203" s="43" t="n"/>
      <c r="B203" s="75" t="n">
        <v>38322</v>
      </c>
      <c r="C203" s="13">
        <f>IF(VLOOKUP(B203,Database!$A:$AU,MATCH($C$1,Database!$A$1:$AU$1,),)=0,"#N/A",((((VLOOKUP(B203,Database!$A:$AU,MATCH($C$1,Database!$A$1:$AU$1,),))))-(((VLOOKUP(EDATE(B203,-12),Database!$A:$AU,MATCH($C$1,Database!$A$1:$AU$1,),)))))/(((VLOOKUP(EDATE(B203,-12),Database!$A:$AU,MATCH($C$1,Database!$A$1:$AU$1,),)))))</f>
        <v/>
      </c>
      <c r="D203" s="13">
        <f>IF(VLOOKUP(B203,Database!$A:$AV,MATCH($D$1,Database!$A$1:$AV$1,),)=0,"#N/A",((((VLOOKUP(B203,Database!$A:$AS,MATCH($D$1,Database!$A$1:$AS$1,),))))-(((VLOOKUP(EDATE(B203,-12),Database!$A:$AS,MATCH($D$1,Database!$A$1:$AS$1,),)))))/(((VLOOKUP(EDATE(B203,-12),Database!$A:$AS,MATCH($D$1,Database!$A$1:$AS$1,),)))))</f>
        <v/>
      </c>
      <c r="E203" s="13">
        <f>IF(VLOOKUP(B203,Database!$A:$AV,MATCH($E$1,Database!$A$1:$AV$1,),)=0,"#N/A",((((VLOOKUP(B203,Database!$A:$AS,MATCH($E$1,Database!$A$1:$AS$1,),))))-(((VLOOKUP(EDATE(B203,-12),Database!$A:$AS,MATCH($E$1,Database!$A$1:$AS$1,),)))))/(((VLOOKUP(EDATE(B203,-12),Database!$A:$AS,MATCH($E$1,Database!$A$1:$AS$1,),)))))</f>
        <v/>
      </c>
      <c r="F203" s="13">
        <f>IF(VLOOKUP(B203,Database!$A:$AV,MATCH($F$1,Database!$A$1:$AV$1,),)=0,"#N/A",((((VLOOKUP(B203,Database!$A:$AS,MATCH($F$1,Database!$A$1:$AS$1,),))))-(((VLOOKUP(EDATE(B203,-12),Database!$A:$AS,MATCH($F$1,Database!$A$1:$AS$1,),)))))/(((VLOOKUP(EDATE(B203,-12),Database!$A:$AS,MATCH($F$1,Database!$A$1:$AS$1,),)))))</f>
        <v/>
      </c>
      <c r="G203" s="13">
        <f>IF(VLOOKUP(B203,Database!$A:$AV,MATCH($G$1,Database!$A$1:$AV$1,),)=0,"#N/A",((((VLOOKUP(B203,Database!$A:$AS,MATCH($G$1,Database!$A$1:$AS$1,),))))-(((VLOOKUP(EDATE(B203,-12),Database!$A:$AS,MATCH($G$1,Database!$A$1:$AS$1,),)))))/(((VLOOKUP(EDATE(B203,-12),Database!$A:$AS,MATCH($G$1,Database!$A$1:$AS$1,),)))))</f>
        <v/>
      </c>
      <c r="H203" s="13">
        <f>IF(VLOOKUP(B203,Database!$A:$AV,MATCH($H$1,Database!$A$1:$AV$1,),)=0,"#N/A",((((VLOOKUP(B203,Database!$A:$AS,MATCH($H$1,Database!$A$1:$AS$1,),))))-(((VLOOKUP(EDATE(B203,-12),Database!$A:$AS,MATCH($H$1,Database!$A$1:$AS$1,),)))))/(((VLOOKUP(EDATE(B203,-12),Database!$A:$AS,MATCH($H$1,Database!$A$1:$AS$1,),)))))</f>
        <v/>
      </c>
      <c r="I203" s="13">
        <f>IF(VLOOKUP(B203,Database!$A:$AV,MATCH($I$1,Database!$A$1:$AV$1,),)=0,"#N/A",((((VLOOKUP(B203,Database!$A:$AS,MATCH($I$1,Database!$A$1:$AS$1,),))))-(((VLOOKUP(EDATE(B203,-12),Database!$A:$AS,MATCH($I$1,Database!$A$1:$AS$1,),)))))/(((VLOOKUP(EDATE(B203,-12),Database!$A:$AS,MATCH($I$1,Database!$A$1:$AS$1,),)))))</f>
        <v/>
      </c>
      <c r="J203" s="13">
        <f>IF(VLOOKUP(B203,Database!$A:$AV,MATCH($J$1,Database!$A$1:$AV$1,),)=0,"#N/A",((((VLOOKUP(B203,Database!$A:$AS,MATCH($J$1,Database!$A$1:$AS$1,),))))-(((VLOOKUP(EDATE(B203,-12),Database!$A:$AS,MATCH($J$1,Database!$A$1:$AS$1,),)))))/(((VLOOKUP(EDATE(B203,-12),Database!$A:$AS,MATCH($J$1,Database!$A$1:$AS$1,),)))))</f>
        <v/>
      </c>
      <c r="K203" s="13">
        <f>IF(VLOOKUP(B203,Database!$A:$AV,MATCH($K$1,Database!$A$1:$AV$1,),)=0,"#N/A",((((VLOOKUP(B203,Database!$A:$AS,MATCH($K$1,Database!$A$1:$AS$1,),))))-(((VLOOKUP(EDATE(B203,-12),Database!$A:$AS,MATCH($K$1,Database!$A$1:$AS$1,),)))))/(((VLOOKUP(EDATE(B203,-12),Database!$A:$AS,MATCH($K$1,Database!$A$1:$AS$1,),)))))</f>
        <v/>
      </c>
      <c r="L203" s="13">
        <f>((((VLOOKUP(B203,Database!$A:$AS,MATCH($L$1,Database!$A$1:$AS$1,),))))-(((VLOOKUP(EDATE(B203,-12),Database!$A:$AS,MATCH($L$1,Database!$A$1:$AS$1,),)))))/(((VLOOKUP(EDATE(B203,-12),Database!$A:$AS,MATCH($L$1,Database!$A$1:$AS$1,),))))</f>
        <v/>
      </c>
      <c r="M203" s="13">
        <f>((((VLOOKUP(B203,Database!$A:$AS,MATCH($M$1,Database!$A$1:$AS$1,),))))-(((VLOOKUP(EDATE(B203,-12),Database!$A:$AS,MATCH($M$1,Database!$A$1:$AS$1,),)))))/(((VLOOKUP(EDATE(B203,-12),Database!$A:$AS,MATCH($M$1,Database!$A$1:$AS$1,),))))</f>
        <v/>
      </c>
      <c r="N203" s="13">
        <f>((((VLOOKUP(B203,Database!$A:$AS,MATCH($N$1,Database!$A$1:$AS$1,),))))-(((VLOOKUP(EDATE(B203,-12),Database!$A:$AS,MATCH($N$1,Database!$A$1:$AS$1,),)))))/(((VLOOKUP(EDATE(B203,-12),Database!$A:$AS,MATCH($N$1,Database!$A$1:$AS$1,),))))</f>
        <v/>
      </c>
      <c r="O203" s="13">
        <f>IF(VLOOKUP(B203,Database!$A:$AV,MATCH($O$1,Database!$A$1:$AV$1,),)=0,"#N/A",((((VLOOKUP(B203,Database!$A:$AS,MATCH($O$1,Database!$A$1:$AS$1,),))))-(((VLOOKUP(EDATE(B203,-12),Database!$A:$AS,MATCH($O$1,Database!$A$1:$AS$1,),)))))/(((VLOOKUP(EDATE(B203,-12),Database!$A:$AS,MATCH($O$1,Database!$A$1:$AS$1,),)))))</f>
        <v/>
      </c>
      <c r="P203" s="13">
        <f>IF(VLOOKUP(B203,Database!$A:$AV,MATCH($P$1,Database!$A$1:$AV$1,),)=0,"#N/A",((((VLOOKUP(B203,Database!$A:$AS,MATCH($P$1,Database!$A$1:$AS$1,),))))-(((VLOOKUP(EDATE(B203,-12),Database!$A:$AS,MATCH($P$1,Database!$A$1:$AS$1,),)))))/(((VLOOKUP(EDATE(B203,-12),Database!$A:$AS,MATCH($P$1,Database!$A$1:$AS$1,),)))))</f>
        <v/>
      </c>
      <c r="Q203" s="13">
        <f>IF(VLOOKUP(B203,Database!$A:$AV,MATCH($Q$1,Database!$A$1:$AV$1,),)=0,"#N/A",((((VLOOKUP(B203,Database!$A:$AS,MATCH($Q$1,Database!$A$1:$AS$1,),))))-(((VLOOKUP(EDATE(B203,-12),Database!$A:$AS,MATCH($Q$1,Database!$A$1:$AS$1,),)))))/(((VLOOKUP(EDATE(B203,-12),Database!$A:$AS,MATCH($Q$1,Database!$A$1:$AS$1,),)))))</f>
        <v/>
      </c>
      <c r="R203" s="13">
        <f>IF(VLOOKUP(B203,Database!$A:$AV,MATCH($R$1,Database!$A$1:$AV$1,),)=0,"#N/A",((((VLOOKUP(B203,Database!$A:$AS,MATCH($R$1,Database!$A$1:$AS$1,),))))-(((VLOOKUP(EDATE(B203,-12),Database!$A:$AS,MATCH($R$1,Database!$A$1:$AS$1,),)))))/(((VLOOKUP(EDATE(B203,-12),Database!$A:$AS,MATCH($R$1,Database!$A$1:$AS$1,),)))))</f>
        <v/>
      </c>
      <c r="S203" s="13">
        <f>IF(VLOOKUP(B203,Database!$A:$AV,MATCH($S$1,Database!$A$1:$AV$1,),)=0,"#N/A",((((VLOOKUP(B203,Database!$A:$AS,MATCH($S$1,Database!$A$1:$AS$1,),))))-(((VLOOKUP(EDATE(B203,-12),Database!$A:$AS,MATCH($S$1,Database!$A$1:$AS$1,),)))))/(((VLOOKUP(EDATE(B203,-12),Database!$A:$AS,MATCH($S$1,Database!$A$1:$AS$1,),)))))</f>
        <v/>
      </c>
      <c r="T203" s="13">
        <f>IF(VLOOKUP(B203,Database!$A:$AV,MATCH($T$1,Database!$A$1:$AV$1,),)=0,"#N/A",((((VLOOKUP(B203,Database!$A:$AS,MATCH($T$1,Database!$A$1:$AS$1,),))))-(((VLOOKUP(EDATE(B203,-12),Database!$A:$AS,MATCH($T$1,Database!$A$1:$AS$1,),)))))/(((VLOOKUP(EDATE(B203,-12),Database!$A:$AS,MATCH($T$1,Database!$A$1:$AS$1,),)))))</f>
        <v/>
      </c>
      <c r="U203" s="13">
        <f>IF(VLOOKUP(B203,Database!$A:$AV,MATCH($U$1,Database!$A$1:$AV$1,),)=0,"#N/A",((((VLOOKUP(B203,Database!$A:$AS,MATCH($U$1,Database!$A$1:$AS$1,),))))-(((VLOOKUP(EDATE(B203,-12),Database!$A:$AS,MATCH($U$1,Database!$A$1:$AS$1,),)))))/(((VLOOKUP(EDATE(B203,-12),Database!$A:$AS,MATCH($U$1,Database!$A$1:$AS$1,),)))))</f>
        <v/>
      </c>
      <c r="V203" s="13">
        <f>IF(VLOOKUP(B203,Database!$A:$AV,MATCH($V$1,Database!$A$1:$AV$1,),)=0,"#N/A",((((VLOOKUP(B203,Database!$A:$AS,MATCH($V$1,Database!$A$1:$AS$1,),))))-(((VLOOKUP(EDATE(B203,-12),Database!$A:$AS,MATCH($V$1,Database!$A$1:$AS$1,),)))))/(((VLOOKUP(EDATE(B203,-12),Database!$A:$AS,MATCH($V$1,Database!$A$1:$AS$1,),)))))</f>
        <v/>
      </c>
    </row>
    <row r="204" customFormat="1" s="86">
      <c r="A204" s="43" t="n"/>
      <c r="B204" s="75" t="n">
        <v>38353</v>
      </c>
      <c r="C204" s="13">
        <f>IF(VLOOKUP(B204,Database!$A:$AU,MATCH($C$1,Database!$A$1:$AU$1,),)=0,"#N/A",((((VLOOKUP(B204,Database!$A:$AU,MATCH($C$1,Database!$A$1:$AU$1,),))))-(((VLOOKUP(EDATE(B204,-12),Database!$A:$AU,MATCH($C$1,Database!$A$1:$AU$1,),)))))/(((VLOOKUP(EDATE(B204,-12),Database!$A:$AU,MATCH($C$1,Database!$A$1:$AU$1,),)))))</f>
        <v/>
      </c>
      <c r="D204" s="13">
        <f>IF(VLOOKUP(B204,Database!$A:$AV,MATCH($D$1,Database!$A$1:$AV$1,),)=0,"#N/A",((((VLOOKUP(B204,Database!$A:$AS,MATCH($D$1,Database!$A$1:$AS$1,),))))-(((VLOOKUP(EDATE(B204,-12),Database!$A:$AS,MATCH($D$1,Database!$A$1:$AS$1,),)))))/(((VLOOKUP(EDATE(B204,-12),Database!$A:$AS,MATCH($D$1,Database!$A$1:$AS$1,),)))))</f>
        <v/>
      </c>
      <c r="E204" s="13">
        <f>IF(VLOOKUP(B204,Database!$A:$AV,MATCH($E$1,Database!$A$1:$AV$1,),)=0,"#N/A",((((VLOOKUP(B204,Database!$A:$AS,MATCH($E$1,Database!$A$1:$AS$1,),))))-(((VLOOKUP(EDATE(B204,-12),Database!$A:$AS,MATCH($E$1,Database!$A$1:$AS$1,),)))))/(((VLOOKUP(EDATE(B204,-12),Database!$A:$AS,MATCH($E$1,Database!$A$1:$AS$1,),)))))</f>
        <v/>
      </c>
      <c r="F204" s="13">
        <f>IF(VLOOKUP(B204,Database!$A:$AV,MATCH($F$1,Database!$A$1:$AV$1,),)=0,"#N/A",((((VLOOKUP(B204,Database!$A:$AS,MATCH($F$1,Database!$A$1:$AS$1,),))))-(((VLOOKUP(EDATE(B204,-12),Database!$A:$AS,MATCH($F$1,Database!$A$1:$AS$1,),)))))/(((VLOOKUP(EDATE(B204,-12),Database!$A:$AS,MATCH($F$1,Database!$A$1:$AS$1,),)))))</f>
        <v/>
      </c>
      <c r="G204" s="13">
        <f>IF(VLOOKUP(B204,Database!$A:$AV,MATCH($G$1,Database!$A$1:$AV$1,),)=0,"#N/A",((((VLOOKUP(B204,Database!$A:$AS,MATCH($G$1,Database!$A$1:$AS$1,),))))-(((VLOOKUP(EDATE(B204,-12),Database!$A:$AS,MATCH($G$1,Database!$A$1:$AS$1,),)))))/(((VLOOKUP(EDATE(B204,-12),Database!$A:$AS,MATCH($G$1,Database!$A$1:$AS$1,),)))))</f>
        <v/>
      </c>
      <c r="H204" s="13">
        <f>IF(VLOOKUP(B204,Database!$A:$AV,MATCH($H$1,Database!$A$1:$AV$1,),)=0,"#N/A",((((VLOOKUP(B204,Database!$A:$AS,MATCH($H$1,Database!$A$1:$AS$1,),))))-(((VLOOKUP(EDATE(B204,-12),Database!$A:$AS,MATCH($H$1,Database!$A$1:$AS$1,),)))))/(((VLOOKUP(EDATE(B204,-12),Database!$A:$AS,MATCH($H$1,Database!$A$1:$AS$1,),)))))</f>
        <v/>
      </c>
      <c r="I204" s="13">
        <f>IF(VLOOKUP(B204,Database!$A:$AV,MATCH($I$1,Database!$A$1:$AV$1,),)=0,"#N/A",((((VLOOKUP(B204,Database!$A:$AS,MATCH($I$1,Database!$A$1:$AS$1,),))))-(((VLOOKUP(EDATE(B204,-12),Database!$A:$AS,MATCH($I$1,Database!$A$1:$AS$1,),)))))/(((VLOOKUP(EDATE(B204,-12),Database!$A:$AS,MATCH($I$1,Database!$A$1:$AS$1,),)))))</f>
        <v/>
      </c>
      <c r="J204" s="13">
        <f>IF(VLOOKUP(B204,Database!$A:$AV,MATCH($J$1,Database!$A$1:$AV$1,),)=0,"#N/A",((((VLOOKUP(B204,Database!$A:$AS,MATCH($J$1,Database!$A$1:$AS$1,),))))-(((VLOOKUP(EDATE(B204,-12),Database!$A:$AS,MATCH($J$1,Database!$A$1:$AS$1,),)))))/(((VLOOKUP(EDATE(B204,-12),Database!$A:$AS,MATCH($J$1,Database!$A$1:$AS$1,),)))))</f>
        <v/>
      </c>
      <c r="K204" s="13">
        <f>IF(VLOOKUP(B204,Database!$A:$AV,MATCH($K$1,Database!$A$1:$AV$1,),)=0,"#N/A",((((VLOOKUP(B204,Database!$A:$AS,MATCH($K$1,Database!$A$1:$AS$1,),))))-(((VLOOKUP(EDATE(B204,-12),Database!$A:$AS,MATCH($K$1,Database!$A$1:$AS$1,),)))))/(((VLOOKUP(EDATE(B204,-12),Database!$A:$AS,MATCH($K$1,Database!$A$1:$AS$1,),)))))</f>
        <v/>
      </c>
      <c r="L204" s="13">
        <f>((((VLOOKUP(B204,Database!$A:$AS,MATCH($L$1,Database!$A$1:$AS$1,),))))-(((VLOOKUP(EDATE(B204,-12),Database!$A:$AS,MATCH($L$1,Database!$A$1:$AS$1,),)))))/(((VLOOKUP(EDATE(B204,-12),Database!$A:$AS,MATCH($L$1,Database!$A$1:$AS$1,),))))</f>
        <v/>
      </c>
      <c r="M204" s="13">
        <f>((((VLOOKUP(B204,Database!$A:$AS,MATCH($M$1,Database!$A$1:$AS$1,),))))-(((VLOOKUP(EDATE(B204,-12),Database!$A:$AS,MATCH($M$1,Database!$A$1:$AS$1,),)))))/(((VLOOKUP(EDATE(B204,-12),Database!$A:$AS,MATCH($M$1,Database!$A$1:$AS$1,),))))</f>
        <v/>
      </c>
      <c r="N204" s="13">
        <f>((((VLOOKUP(B204,Database!$A:$AS,MATCH($N$1,Database!$A$1:$AS$1,),))))-(((VLOOKUP(EDATE(B204,-12),Database!$A:$AS,MATCH($N$1,Database!$A$1:$AS$1,),)))))/(((VLOOKUP(EDATE(B204,-12),Database!$A:$AS,MATCH($N$1,Database!$A$1:$AS$1,),))))</f>
        <v/>
      </c>
      <c r="O204" s="13">
        <f>IF(VLOOKUP(B204,Database!$A:$AV,MATCH($O$1,Database!$A$1:$AV$1,),)=0,"#N/A",((((VLOOKUP(B204,Database!$A:$AS,MATCH($O$1,Database!$A$1:$AS$1,),))))-(((VLOOKUP(EDATE(B204,-12),Database!$A:$AS,MATCH($O$1,Database!$A$1:$AS$1,),)))))/(((VLOOKUP(EDATE(B204,-12),Database!$A:$AS,MATCH($O$1,Database!$A$1:$AS$1,),)))))</f>
        <v/>
      </c>
      <c r="P204" s="13">
        <f>IF(VLOOKUP(B204,Database!$A:$AV,MATCH($P$1,Database!$A$1:$AV$1,),)=0,"#N/A",((((VLOOKUP(B204,Database!$A:$AS,MATCH($P$1,Database!$A$1:$AS$1,),))))-(((VLOOKUP(EDATE(B204,-12),Database!$A:$AS,MATCH($P$1,Database!$A$1:$AS$1,),)))))/(((VLOOKUP(EDATE(B204,-12),Database!$A:$AS,MATCH($P$1,Database!$A$1:$AS$1,),)))))</f>
        <v/>
      </c>
      <c r="Q204" s="13">
        <f>IF(VLOOKUP(B204,Database!$A:$AV,MATCH($Q$1,Database!$A$1:$AV$1,),)=0,"#N/A",((((VLOOKUP(B204,Database!$A:$AS,MATCH($Q$1,Database!$A$1:$AS$1,),))))-(((VLOOKUP(EDATE(B204,-12),Database!$A:$AS,MATCH($Q$1,Database!$A$1:$AS$1,),)))))/(((VLOOKUP(EDATE(B204,-12),Database!$A:$AS,MATCH($Q$1,Database!$A$1:$AS$1,),)))))</f>
        <v/>
      </c>
      <c r="R204" s="13">
        <f>IF(VLOOKUP(B204,Database!$A:$AV,MATCH($R$1,Database!$A$1:$AV$1,),)=0,"#N/A",((((VLOOKUP(B204,Database!$A:$AS,MATCH($R$1,Database!$A$1:$AS$1,),))))-(((VLOOKUP(EDATE(B204,-12),Database!$A:$AS,MATCH($R$1,Database!$A$1:$AS$1,),)))))/(((VLOOKUP(EDATE(B204,-12),Database!$A:$AS,MATCH($R$1,Database!$A$1:$AS$1,),)))))</f>
        <v/>
      </c>
      <c r="S204" s="13">
        <f>IF(VLOOKUP(B204,Database!$A:$AV,MATCH($S$1,Database!$A$1:$AV$1,),)=0,"#N/A",((((VLOOKUP(B204,Database!$A:$AS,MATCH($S$1,Database!$A$1:$AS$1,),))))-(((VLOOKUP(EDATE(B204,-12),Database!$A:$AS,MATCH($S$1,Database!$A$1:$AS$1,),)))))/(((VLOOKUP(EDATE(B204,-12),Database!$A:$AS,MATCH($S$1,Database!$A$1:$AS$1,),)))))</f>
        <v/>
      </c>
      <c r="T204" s="13">
        <f>IF(VLOOKUP(B204,Database!$A:$AV,MATCH($T$1,Database!$A$1:$AV$1,),)=0,"#N/A",((((VLOOKUP(B204,Database!$A:$AS,MATCH($T$1,Database!$A$1:$AS$1,),))))-(((VLOOKUP(EDATE(B204,-12),Database!$A:$AS,MATCH($T$1,Database!$A$1:$AS$1,),)))))/(((VLOOKUP(EDATE(B204,-12),Database!$A:$AS,MATCH($T$1,Database!$A$1:$AS$1,),)))))</f>
        <v/>
      </c>
      <c r="U204" s="13">
        <f>IF(VLOOKUP(B204,Database!$A:$AV,MATCH($U$1,Database!$A$1:$AV$1,),)=0,"#N/A",((((VLOOKUP(B204,Database!$A:$AS,MATCH($U$1,Database!$A$1:$AS$1,),))))-(((VLOOKUP(EDATE(B204,-12),Database!$A:$AS,MATCH($U$1,Database!$A$1:$AS$1,),)))))/(((VLOOKUP(EDATE(B204,-12),Database!$A:$AS,MATCH($U$1,Database!$A$1:$AS$1,),)))))</f>
        <v/>
      </c>
      <c r="V204" s="13">
        <f>IF(VLOOKUP(B204,Database!$A:$AV,MATCH($V$1,Database!$A$1:$AV$1,),)=0,"#N/A",((((VLOOKUP(B204,Database!$A:$AS,MATCH($V$1,Database!$A$1:$AS$1,),))))-(((VLOOKUP(EDATE(B204,-12),Database!$A:$AS,MATCH($V$1,Database!$A$1:$AS$1,),)))))/(((VLOOKUP(EDATE(B204,-12),Database!$A:$AS,MATCH($V$1,Database!$A$1:$AS$1,),)))))</f>
        <v/>
      </c>
    </row>
    <row r="205" customFormat="1" s="86">
      <c r="A205" s="43" t="n"/>
      <c r="B205" s="75" t="n">
        <v>38384</v>
      </c>
      <c r="C205" s="13">
        <f>IF(VLOOKUP(B205,Database!$A:$AU,MATCH($C$1,Database!$A$1:$AU$1,),)=0,"#N/A",((((VLOOKUP(B205,Database!$A:$AU,MATCH($C$1,Database!$A$1:$AU$1,),))))-(((VLOOKUP(EDATE(B205,-12),Database!$A:$AU,MATCH($C$1,Database!$A$1:$AU$1,),)))))/(((VLOOKUP(EDATE(B205,-12),Database!$A:$AU,MATCH($C$1,Database!$A$1:$AU$1,),)))))</f>
        <v/>
      </c>
      <c r="D205" s="13">
        <f>IF(VLOOKUP(B205,Database!$A:$AV,MATCH($D$1,Database!$A$1:$AV$1,),)=0,"#N/A",((((VLOOKUP(B205,Database!$A:$AS,MATCH($D$1,Database!$A$1:$AS$1,),))))-(((VLOOKUP(EDATE(B205,-12),Database!$A:$AS,MATCH($D$1,Database!$A$1:$AS$1,),)))))/(((VLOOKUP(EDATE(B205,-12),Database!$A:$AS,MATCH($D$1,Database!$A$1:$AS$1,),)))))</f>
        <v/>
      </c>
      <c r="E205" s="13">
        <f>IF(VLOOKUP(B205,Database!$A:$AV,MATCH($E$1,Database!$A$1:$AV$1,),)=0,"#N/A",((((VLOOKUP(B205,Database!$A:$AS,MATCH($E$1,Database!$A$1:$AS$1,),))))-(((VLOOKUP(EDATE(B205,-12),Database!$A:$AS,MATCH($E$1,Database!$A$1:$AS$1,),)))))/(((VLOOKUP(EDATE(B205,-12),Database!$A:$AS,MATCH($E$1,Database!$A$1:$AS$1,),)))))</f>
        <v/>
      </c>
      <c r="F205" s="13">
        <f>IF(VLOOKUP(B205,Database!$A:$AV,MATCH($F$1,Database!$A$1:$AV$1,),)=0,"#N/A",((((VLOOKUP(B205,Database!$A:$AS,MATCH($F$1,Database!$A$1:$AS$1,),))))-(((VLOOKUP(EDATE(B205,-12),Database!$A:$AS,MATCH($F$1,Database!$A$1:$AS$1,),)))))/(((VLOOKUP(EDATE(B205,-12),Database!$A:$AS,MATCH($F$1,Database!$A$1:$AS$1,),)))))</f>
        <v/>
      </c>
      <c r="G205" s="13">
        <f>IF(VLOOKUP(B205,Database!$A:$AV,MATCH($G$1,Database!$A$1:$AV$1,),)=0,"#N/A",((((VLOOKUP(B205,Database!$A:$AS,MATCH($G$1,Database!$A$1:$AS$1,),))))-(((VLOOKUP(EDATE(B205,-12),Database!$A:$AS,MATCH($G$1,Database!$A$1:$AS$1,),)))))/(((VLOOKUP(EDATE(B205,-12),Database!$A:$AS,MATCH($G$1,Database!$A$1:$AS$1,),)))))</f>
        <v/>
      </c>
      <c r="H205" s="13">
        <f>IF(VLOOKUP(B205,Database!$A:$AV,MATCH($H$1,Database!$A$1:$AV$1,),)=0,"#N/A",((((VLOOKUP(B205,Database!$A:$AS,MATCH($H$1,Database!$A$1:$AS$1,),))))-(((VLOOKUP(EDATE(B205,-12),Database!$A:$AS,MATCH($H$1,Database!$A$1:$AS$1,),)))))/(((VLOOKUP(EDATE(B205,-12),Database!$A:$AS,MATCH($H$1,Database!$A$1:$AS$1,),)))))</f>
        <v/>
      </c>
      <c r="I205" s="13">
        <f>IF(VLOOKUP(B205,Database!$A:$AV,MATCH($I$1,Database!$A$1:$AV$1,),)=0,"#N/A",((((VLOOKUP(B205,Database!$A:$AS,MATCH($I$1,Database!$A$1:$AS$1,),))))-(((VLOOKUP(EDATE(B205,-12),Database!$A:$AS,MATCH($I$1,Database!$A$1:$AS$1,),)))))/(((VLOOKUP(EDATE(B205,-12),Database!$A:$AS,MATCH($I$1,Database!$A$1:$AS$1,),)))))</f>
        <v/>
      </c>
      <c r="J205" s="13">
        <f>IF(VLOOKUP(B205,Database!$A:$AV,MATCH($J$1,Database!$A$1:$AV$1,),)=0,"#N/A",((((VLOOKUP(B205,Database!$A:$AS,MATCH($J$1,Database!$A$1:$AS$1,),))))-(((VLOOKUP(EDATE(B205,-12),Database!$A:$AS,MATCH($J$1,Database!$A$1:$AS$1,),)))))/(((VLOOKUP(EDATE(B205,-12),Database!$A:$AS,MATCH($J$1,Database!$A$1:$AS$1,),)))))</f>
        <v/>
      </c>
      <c r="K205" s="13">
        <f>IF(VLOOKUP(B205,Database!$A:$AV,MATCH($K$1,Database!$A$1:$AV$1,),)=0,"#N/A",((((VLOOKUP(B205,Database!$A:$AS,MATCH($K$1,Database!$A$1:$AS$1,),))))-(((VLOOKUP(EDATE(B205,-12),Database!$A:$AS,MATCH($K$1,Database!$A$1:$AS$1,),)))))/(((VLOOKUP(EDATE(B205,-12),Database!$A:$AS,MATCH($K$1,Database!$A$1:$AS$1,),)))))</f>
        <v/>
      </c>
      <c r="L205" s="13">
        <f>((((VLOOKUP(B205,Database!$A:$AS,MATCH($L$1,Database!$A$1:$AS$1,),))))-(((VLOOKUP(EDATE(B205,-12),Database!$A:$AS,MATCH($L$1,Database!$A$1:$AS$1,),)))))/(((VLOOKUP(EDATE(B205,-12),Database!$A:$AS,MATCH($L$1,Database!$A$1:$AS$1,),))))</f>
        <v/>
      </c>
      <c r="M205" s="13">
        <f>((((VLOOKUP(B205,Database!$A:$AS,MATCH($M$1,Database!$A$1:$AS$1,),))))-(((VLOOKUP(EDATE(B205,-12),Database!$A:$AS,MATCH($M$1,Database!$A$1:$AS$1,),)))))/(((VLOOKUP(EDATE(B205,-12),Database!$A:$AS,MATCH($M$1,Database!$A$1:$AS$1,),))))</f>
        <v/>
      </c>
      <c r="N205" s="13">
        <f>((((VLOOKUP(B205,Database!$A:$AS,MATCH($N$1,Database!$A$1:$AS$1,),))))-(((VLOOKUP(EDATE(B205,-12),Database!$A:$AS,MATCH($N$1,Database!$A$1:$AS$1,),)))))/(((VLOOKUP(EDATE(B205,-12),Database!$A:$AS,MATCH($N$1,Database!$A$1:$AS$1,),))))</f>
        <v/>
      </c>
      <c r="O205" s="13">
        <f>IF(VLOOKUP(B205,Database!$A:$AV,MATCH($O$1,Database!$A$1:$AV$1,),)=0,"#N/A",((((VLOOKUP(B205,Database!$A:$AS,MATCH($O$1,Database!$A$1:$AS$1,),))))-(((VLOOKUP(EDATE(B205,-12),Database!$A:$AS,MATCH($O$1,Database!$A$1:$AS$1,),)))))/(((VLOOKUP(EDATE(B205,-12),Database!$A:$AS,MATCH($O$1,Database!$A$1:$AS$1,),)))))</f>
        <v/>
      </c>
      <c r="P205" s="13">
        <f>IF(VLOOKUP(B205,Database!$A:$AV,MATCH($P$1,Database!$A$1:$AV$1,),)=0,"#N/A",((((VLOOKUP(B205,Database!$A:$AS,MATCH($P$1,Database!$A$1:$AS$1,),))))-(((VLOOKUP(EDATE(B205,-12),Database!$A:$AS,MATCH($P$1,Database!$A$1:$AS$1,),)))))/(((VLOOKUP(EDATE(B205,-12),Database!$A:$AS,MATCH($P$1,Database!$A$1:$AS$1,),)))))</f>
        <v/>
      </c>
      <c r="Q205" s="13">
        <f>IF(VLOOKUP(B205,Database!$A:$AV,MATCH($Q$1,Database!$A$1:$AV$1,),)=0,"#N/A",((((VLOOKUP(B205,Database!$A:$AS,MATCH($Q$1,Database!$A$1:$AS$1,),))))-(((VLOOKUP(EDATE(B205,-12),Database!$A:$AS,MATCH($Q$1,Database!$A$1:$AS$1,),)))))/(((VLOOKUP(EDATE(B205,-12),Database!$A:$AS,MATCH($Q$1,Database!$A$1:$AS$1,),)))))</f>
        <v/>
      </c>
      <c r="R205" s="13">
        <f>IF(VLOOKUP(B205,Database!$A:$AV,MATCH($R$1,Database!$A$1:$AV$1,),)=0,"#N/A",((((VLOOKUP(B205,Database!$A:$AS,MATCH($R$1,Database!$A$1:$AS$1,),))))-(((VLOOKUP(EDATE(B205,-12),Database!$A:$AS,MATCH($R$1,Database!$A$1:$AS$1,),)))))/(((VLOOKUP(EDATE(B205,-12),Database!$A:$AS,MATCH($R$1,Database!$A$1:$AS$1,),)))))</f>
        <v/>
      </c>
      <c r="S205" s="13">
        <f>IF(VLOOKUP(B205,Database!$A:$AV,MATCH($S$1,Database!$A$1:$AV$1,),)=0,"#N/A",((((VLOOKUP(B205,Database!$A:$AS,MATCH($S$1,Database!$A$1:$AS$1,),))))-(((VLOOKUP(EDATE(B205,-12),Database!$A:$AS,MATCH($S$1,Database!$A$1:$AS$1,),)))))/(((VLOOKUP(EDATE(B205,-12),Database!$A:$AS,MATCH($S$1,Database!$A$1:$AS$1,),)))))</f>
        <v/>
      </c>
      <c r="T205" s="13">
        <f>IF(VLOOKUP(B205,Database!$A:$AV,MATCH($T$1,Database!$A$1:$AV$1,),)=0,"#N/A",((((VLOOKUP(B205,Database!$A:$AS,MATCH($T$1,Database!$A$1:$AS$1,),))))-(((VLOOKUP(EDATE(B205,-12),Database!$A:$AS,MATCH($T$1,Database!$A$1:$AS$1,),)))))/(((VLOOKUP(EDATE(B205,-12),Database!$A:$AS,MATCH($T$1,Database!$A$1:$AS$1,),)))))</f>
        <v/>
      </c>
      <c r="U205" s="13">
        <f>IF(VLOOKUP(B205,Database!$A:$AV,MATCH($U$1,Database!$A$1:$AV$1,),)=0,"#N/A",((((VLOOKUP(B205,Database!$A:$AS,MATCH($U$1,Database!$A$1:$AS$1,),))))-(((VLOOKUP(EDATE(B205,-12),Database!$A:$AS,MATCH($U$1,Database!$A$1:$AS$1,),)))))/(((VLOOKUP(EDATE(B205,-12),Database!$A:$AS,MATCH($U$1,Database!$A$1:$AS$1,),)))))</f>
        <v/>
      </c>
      <c r="V205" s="13">
        <f>IF(VLOOKUP(B205,Database!$A:$AV,MATCH($V$1,Database!$A$1:$AV$1,),)=0,"#N/A",((((VLOOKUP(B205,Database!$A:$AS,MATCH($V$1,Database!$A$1:$AS$1,),))))-(((VLOOKUP(EDATE(B205,-12),Database!$A:$AS,MATCH($V$1,Database!$A$1:$AS$1,),)))))/(((VLOOKUP(EDATE(B205,-12),Database!$A:$AS,MATCH($V$1,Database!$A$1:$AS$1,),)))))</f>
        <v/>
      </c>
    </row>
    <row r="206" customFormat="1" s="86">
      <c r="A206" s="43" t="n"/>
      <c r="B206" s="75" t="n">
        <v>38412</v>
      </c>
      <c r="C206" s="13">
        <f>IF(VLOOKUP(B206,Database!$A:$AU,MATCH($C$1,Database!$A$1:$AU$1,),)=0,"#N/A",((((VLOOKUP(B206,Database!$A:$AU,MATCH($C$1,Database!$A$1:$AU$1,),))))-(((VLOOKUP(EDATE(B206,-12),Database!$A:$AU,MATCH($C$1,Database!$A$1:$AU$1,),)))))/(((VLOOKUP(EDATE(B206,-12),Database!$A:$AU,MATCH($C$1,Database!$A$1:$AU$1,),)))))</f>
        <v/>
      </c>
      <c r="D206" s="13">
        <f>IF(VLOOKUP(B206,Database!$A:$AV,MATCH($D$1,Database!$A$1:$AV$1,),)=0,"#N/A",((((VLOOKUP(B206,Database!$A:$AS,MATCH($D$1,Database!$A$1:$AS$1,),))))-(((VLOOKUP(EDATE(B206,-12),Database!$A:$AS,MATCH($D$1,Database!$A$1:$AS$1,),)))))/(((VLOOKUP(EDATE(B206,-12),Database!$A:$AS,MATCH($D$1,Database!$A$1:$AS$1,),)))))</f>
        <v/>
      </c>
      <c r="E206" s="13">
        <f>IF(VLOOKUP(B206,Database!$A:$AV,MATCH($E$1,Database!$A$1:$AV$1,),)=0,"#N/A",((((VLOOKUP(B206,Database!$A:$AS,MATCH($E$1,Database!$A$1:$AS$1,),))))-(((VLOOKUP(EDATE(B206,-12),Database!$A:$AS,MATCH($E$1,Database!$A$1:$AS$1,),)))))/(((VLOOKUP(EDATE(B206,-12),Database!$A:$AS,MATCH($E$1,Database!$A$1:$AS$1,),)))))</f>
        <v/>
      </c>
      <c r="F206" s="13">
        <f>IF(VLOOKUP(B206,Database!$A:$AV,MATCH($F$1,Database!$A$1:$AV$1,),)=0,"#N/A",((((VLOOKUP(B206,Database!$A:$AS,MATCH($F$1,Database!$A$1:$AS$1,),))))-(((VLOOKUP(EDATE(B206,-12),Database!$A:$AS,MATCH($F$1,Database!$A$1:$AS$1,),)))))/(((VLOOKUP(EDATE(B206,-12),Database!$A:$AS,MATCH($F$1,Database!$A$1:$AS$1,),)))))</f>
        <v/>
      </c>
      <c r="G206" s="13">
        <f>IF(VLOOKUP(B206,Database!$A:$AV,MATCH($G$1,Database!$A$1:$AV$1,),)=0,"#N/A",((((VLOOKUP(B206,Database!$A:$AS,MATCH($G$1,Database!$A$1:$AS$1,),))))-(((VLOOKUP(EDATE(B206,-12),Database!$A:$AS,MATCH($G$1,Database!$A$1:$AS$1,),)))))/(((VLOOKUP(EDATE(B206,-12),Database!$A:$AS,MATCH($G$1,Database!$A$1:$AS$1,),)))))</f>
        <v/>
      </c>
      <c r="H206" s="13">
        <f>IF(VLOOKUP(B206,Database!$A:$AV,MATCH($H$1,Database!$A$1:$AV$1,),)=0,"#N/A",((((VLOOKUP(B206,Database!$A:$AS,MATCH($H$1,Database!$A$1:$AS$1,),))))-(((VLOOKUP(EDATE(B206,-12),Database!$A:$AS,MATCH($H$1,Database!$A$1:$AS$1,),)))))/(((VLOOKUP(EDATE(B206,-12),Database!$A:$AS,MATCH($H$1,Database!$A$1:$AS$1,),)))))</f>
        <v/>
      </c>
      <c r="I206" s="13">
        <f>IF(VLOOKUP(B206,Database!$A:$AV,MATCH($I$1,Database!$A$1:$AV$1,),)=0,"#N/A",((((VLOOKUP(B206,Database!$A:$AS,MATCH($I$1,Database!$A$1:$AS$1,),))))-(((VLOOKUP(EDATE(B206,-12),Database!$A:$AS,MATCH($I$1,Database!$A$1:$AS$1,),)))))/(((VLOOKUP(EDATE(B206,-12),Database!$A:$AS,MATCH($I$1,Database!$A$1:$AS$1,),)))))</f>
        <v/>
      </c>
      <c r="J206" s="13">
        <f>IF(VLOOKUP(B206,Database!$A:$AV,MATCH($J$1,Database!$A$1:$AV$1,),)=0,"#N/A",((((VLOOKUP(B206,Database!$A:$AS,MATCH($J$1,Database!$A$1:$AS$1,),))))-(((VLOOKUP(EDATE(B206,-12),Database!$A:$AS,MATCH($J$1,Database!$A$1:$AS$1,),)))))/(((VLOOKUP(EDATE(B206,-12),Database!$A:$AS,MATCH($J$1,Database!$A$1:$AS$1,),)))))</f>
        <v/>
      </c>
      <c r="K206" s="13">
        <f>IF(VLOOKUP(B206,Database!$A:$AV,MATCH($K$1,Database!$A$1:$AV$1,),)=0,"#N/A",((((VLOOKUP(B206,Database!$A:$AS,MATCH($K$1,Database!$A$1:$AS$1,),))))-(((VLOOKUP(EDATE(B206,-12),Database!$A:$AS,MATCH($K$1,Database!$A$1:$AS$1,),)))))/(((VLOOKUP(EDATE(B206,-12),Database!$A:$AS,MATCH($K$1,Database!$A$1:$AS$1,),)))))</f>
        <v/>
      </c>
      <c r="L206" s="13">
        <f>((((VLOOKUP(B206,Database!$A:$AS,MATCH($L$1,Database!$A$1:$AS$1,),))))-(((VLOOKUP(EDATE(B206,-12),Database!$A:$AS,MATCH($L$1,Database!$A$1:$AS$1,),)))))/(((VLOOKUP(EDATE(B206,-12),Database!$A:$AS,MATCH($L$1,Database!$A$1:$AS$1,),))))</f>
        <v/>
      </c>
      <c r="M206" s="13">
        <f>((((VLOOKUP(B206,Database!$A:$AS,MATCH($M$1,Database!$A$1:$AS$1,),))))-(((VLOOKUP(EDATE(B206,-12),Database!$A:$AS,MATCH($M$1,Database!$A$1:$AS$1,),)))))/(((VLOOKUP(EDATE(B206,-12),Database!$A:$AS,MATCH($M$1,Database!$A$1:$AS$1,),))))</f>
        <v/>
      </c>
      <c r="N206" s="13">
        <f>((((VLOOKUP(B206,Database!$A:$AS,MATCH($N$1,Database!$A$1:$AS$1,),))))-(((VLOOKUP(EDATE(B206,-12),Database!$A:$AS,MATCH($N$1,Database!$A$1:$AS$1,),)))))/(((VLOOKUP(EDATE(B206,-12),Database!$A:$AS,MATCH($N$1,Database!$A$1:$AS$1,),))))</f>
        <v/>
      </c>
      <c r="O206" s="13">
        <f>IF(VLOOKUP(B206,Database!$A:$AV,MATCH($O$1,Database!$A$1:$AV$1,),)=0,"#N/A",((((VLOOKUP(B206,Database!$A:$AS,MATCH($O$1,Database!$A$1:$AS$1,),))))-(((VLOOKUP(EDATE(B206,-12),Database!$A:$AS,MATCH($O$1,Database!$A$1:$AS$1,),)))))/(((VLOOKUP(EDATE(B206,-12),Database!$A:$AS,MATCH($O$1,Database!$A$1:$AS$1,),)))))</f>
        <v/>
      </c>
      <c r="P206" s="13">
        <f>IF(VLOOKUP(B206,Database!$A:$AV,MATCH($P$1,Database!$A$1:$AV$1,),)=0,"#N/A",((((VLOOKUP(B206,Database!$A:$AS,MATCH($P$1,Database!$A$1:$AS$1,),))))-(((VLOOKUP(EDATE(B206,-12),Database!$A:$AS,MATCH($P$1,Database!$A$1:$AS$1,),)))))/(((VLOOKUP(EDATE(B206,-12),Database!$A:$AS,MATCH($P$1,Database!$A$1:$AS$1,),)))))</f>
        <v/>
      </c>
      <c r="Q206" s="13">
        <f>IF(VLOOKUP(B206,Database!$A:$AV,MATCH($Q$1,Database!$A$1:$AV$1,),)=0,"#N/A",((((VLOOKUP(B206,Database!$A:$AS,MATCH($Q$1,Database!$A$1:$AS$1,),))))-(((VLOOKUP(EDATE(B206,-12),Database!$A:$AS,MATCH($Q$1,Database!$A$1:$AS$1,),)))))/(((VLOOKUP(EDATE(B206,-12),Database!$A:$AS,MATCH($Q$1,Database!$A$1:$AS$1,),)))))</f>
        <v/>
      </c>
      <c r="R206" s="13">
        <f>IF(VLOOKUP(B206,Database!$A:$AV,MATCH($R$1,Database!$A$1:$AV$1,),)=0,"#N/A",((((VLOOKUP(B206,Database!$A:$AS,MATCH($R$1,Database!$A$1:$AS$1,),))))-(((VLOOKUP(EDATE(B206,-12),Database!$A:$AS,MATCH($R$1,Database!$A$1:$AS$1,),)))))/(((VLOOKUP(EDATE(B206,-12),Database!$A:$AS,MATCH($R$1,Database!$A$1:$AS$1,),)))))</f>
        <v/>
      </c>
      <c r="S206" s="13">
        <f>IF(VLOOKUP(B206,Database!$A:$AV,MATCH($S$1,Database!$A$1:$AV$1,),)=0,"#N/A",((((VLOOKUP(B206,Database!$A:$AS,MATCH($S$1,Database!$A$1:$AS$1,),))))-(((VLOOKUP(EDATE(B206,-12),Database!$A:$AS,MATCH($S$1,Database!$A$1:$AS$1,),)))))/(((VLOOKUP(EDATE(B206,-12),Database!$A:$AS,MATCH($S$1,Database!$A$1:$AS$1,),)))))</f>
        <v/>
      </c>
      <c r="T206" s="13">
        <f>IF(VLOOKUP(B206,Database!$A:$AV,MATCH($T$1,Database!$A$1:$AV$1,),)=0,"#N/A",((((VLOOKUP(B206,Database!$A:$AS,MATCH($T$1,Database!$A$1:$AS$1,),))))-(((VLOOKUP(EDATE(B206,-12),Database!$A:$AS,MATCH($T$1,Database!$A$1:$AS$1,),)))))/(((VLOOKUP(EDATE(B206,-12),Database!$A:$AS,MATCH($T$1,Database!$A$1:$AS$1,),)))))</f>
        <v/>
      </c>
      <c r="U206" s="13">
        <f>IF(VLOOKUP(B206,Database!$A:$AV,MATCH($U$1,Database!$A$1:$AV$1,),)=0,"#N/A",((((VLOOKUP(B206,Database!$A:$AS,MATCH($U$1,Database!$A$1:$AS$1,),))))-(((VLOOKUP(EDATE(B206,-12),Database!$A:$AS,MATCH($U$1,Database!$A$1:$AS$1,),)))))/(((VLOOKUP(EDATE(B206,-12),Database!$A:$AS,MATCH($U$1,Database!$A$1:$AS$1,),)))))</f>
        <v/>
      </c>
      <c r="V206" s="13">
        <f>IF(VLOOKUP(B206,Database!$A:$AV,MATCH($V$1,Database!$A$1:$AV$1,),)=0,"#N/A",((((VLOOKUP(B206,Database!$A:$AS,MATCH($V$1,Database!$A$1:$AS$1,),))))-(((VLOOKUP(EDATE(B206,-12),Database!$A:$AS,MATCH($V$1,Database!$A$1:$AS$1,),)))))/(((VLOOKUP(EDATE(B206,-12),Database!$A:$AS,MATCH($V$1,Database!$A$1:$AS$1,),)))))</f>
        <v/>
      </c>
    </row>
    <row r="207" customFormat="1" s="86">
      <c r="A207" s="43" t="n"/>
      <c r="B207" s="75" t="n">
        <v>38443</v>
      </c>
      <c r="C207" s="13">
        <f>IF(VLOOKUP(B207,Database!$A:$AU,MATCH($C$1,Database!$A$1:$AU$1,),)=0,"#N/A",((((VLOOKUP(B207,Database!$A:$AU,MATCH($C$1,Database!$A$1:$AU$1,),))))-(((VLOOKUP(EDATE(B207,-12),Database!$A:$AU,MATCH($C$1,Database!$A$1:$AU$1,),)))))/(((VLOOKUP(EDATE(B207,-12),Database!$A:$AU,MATCH($C$1,Database!$A$1:$AU$1,),)))))</f>
        <v/>
      </c>
      <c r="D207" s="13">
        <f>IF(VLOOKUP(B207,Database!$A:$AV,MATCH($D$1,Database!$A$1:$AV$1,),)=0,"#N/A",((((VLOOKUP(B207,Database!$A:$AS,MATCH($D$1,Database!$A$1:$AS$1,),))))-(((VLOOKUP(EDATE(B207,-12),Database!$A:$AS,MATCH($D$1,Database!$A$1:$AS$1,),)))))/(((VLOOKUP(EDATE(B207,-12),Database!$A:$AS,MATCH($D$1,Database!$A$1:$AS$1,),)))))</f>
        <v/>
      </c>
      <c r="E207" s="13">
        <f>IF(VLOOKUP(B207,Database!$A:$AV,MATCH($E$1,Database!$A$1:$AV$1,),)=0,"#N/A",((((VLOOKUP(B207,Database!$A:$AS,MATCH($E$1,Database!$A$1:$AS$1,),))))-(((VLOOKUP(EDATE(B207,-12),Database!$A:$AS,MATCH($E$1,Database!$A$1:$AS$1,),)))))/(((VLOOKUP(EDATE(B207,-12),Database!$A:$AS,MATCH($E$1,Database!$A$1:$AS$1,),)))))</f>
        <v/>
      </c>
      <c r="F207" s="13">
        <f>IF(VLOOKUP(B207,Database!$A:$AV,MATCH($F$1,Database!$A$1:$AV$1,),)=0,"#N/A",((((VLOOKUP(B207,Database!$A:$AS,MATCH($F$1,Database!$A$1:$AS$1,),))))-(((VLOOKUP(EDATE(B207,-12),Database!$A:$AS,MATCH($F$1,Database!$A$1:$AS$1,),)))))/(((VLOOKUP(EDATE(B207,-12),Database!$A:$AS,MATCH($F$1,Database!$A$1:$AS$1,),)))))</f>
        <v/>
      </c>
      <c r="G207" s="13">
        <f>IF(VLOOKUP(B207,Database!$A:$AV,MATCH($G$1,Database!$A$1:$AV$1,),)=0,"#N/A",((((VLOOKUP(B207,Database!$A:$AS,MATCH($G$1,Database!$A$1:$AS$1,),))))-(((VLOOKUP(EDATE(B207,-12),Database!$A:$AS,MATCH($G$1,Database!$A$1:$AS$1,),)))))/(((VLOOKUP(EDATE(B207,-12),Database!$A:$AS,MATCH($G$1,Database!$A$1:$AS$1,),)))))</f>
        <v/>
      </c>
      <c r="H207" s="13">
        <f>IF(VLOOKUP(B207,Database!$A:$AV,MATCH($H$1,Database!$A$1:$AV$1,),)=0,"#N/A",((((VLOOKUP(B207,Database!$A:$AS,MATCH($H$1,Database!$A$1:$AS$1,),))))-(((VLOOKUP(EDATE(B207,-12),Database!$A:$AS,MATCH($H$1,Database!$A$1:$AS$1,),)))))/(((VLOOKUP(EDATE(B207,-12),Database!$A:$AS,MATCH($H$1,Database!$A$1:$AS$1,),)))))</f>
        <v/>
      </c>
      <c r="I207" s="13">
        <f>IF(VLOOKUP(B207,Database!$A:$AV,MATCH($I$1,Database!$A$1:$AV$1,),)=0,"#N/A",((((VLOOKUP(B207,Database!$A:$AS,MATCH($I$1,Database!$A$1:$AS$1,),))))-(((VLOOKUP(EDATE(B207,-12),Database!$A:$AS,MATCH($I$1,Database!$A$1:$AS$1,),)))))/(((VLOOKUP(EDATE(B207,-12),Database!$A:$AS,MATCH($I$1,Database!$A$1:$AS$1,),)))))</f>
        <v/>
      </c>
      <c r="J207" s="13">
        <f>IF(VLOOKUP(B207,Database!$A:$AV,MATCH($J$1,Database!$A$1:$AV$1,),)=0,"#N/A",((((VLOOKUP(B207,Database!$A:$AS,MATCH($J$1,Database!$A$1:$AS$1,),))))-(((VLOOKUP(EDATE(B207,-12),Database!$A:$AS,MATCH($J$1,Database!$A$1:$AS$1,),)))))/(((VLOOKUP(EDATE(B207,-12),Database!$A:$AS,MATCH($J$1,Database!$A$1:$AS$1,),)))))</f>
        <v/>
      </c>
      <c r="K207" s="13">
        <f>IF(VLOOKUP(B207,Database!$A:$AV,MATCH($K$1,Database!$A$1:$AV$1,),)=0,"#N/A",((((VLOOKUP(B207,Database!$A:$AS,MATCH($K$1,Database!$A$1:$AS$1,),))))-(((VLOOKUP(EDATE(B207,-12),Database!$A:$AS,MATCH($K$1,Database!$A$1:$AS$1,),)))))/(((VLOOKUP(EDATE(B207,-12),Database!$A:$AS,MATCH($K$1,Database!$A$1:$AS$1,),)))))</f>
        <v/>
      </c>
      <c r="L207" s="13">
        <f>((((VLOOKUP(B207,Database!$A:$AS,MATCH($L$1,Database!$A$1:$AS$1,),))))-(((VLOOKUP(EDATE(B207,-12),Database!$A:$AS,MATCH($L$1,Database!$A$1:$AS$1,),)))))/(((VLOOKUP(EDATE(B207,-12),Database!$A:$AS,MATCH($L$1,Database!$A$1:$AS$1,),))))</f>
        <v/>
      </c>
      <c r="M207" s="13">
        <f>((((VLOOKUP(B207,Database!$A:$AS,MATCH($M$1,Database!$A$1:$AS$1,),))))-(((VLOOKUP(EDATE(B207,-12),Database!$A:$AS,MATCH($M$1,Database!$A$1:$AS$1,),)))))/(((VLOOKUP(EDATE(B207,-12),Database!$A:$AS,MATCH($M$1,Database!$A$1:$AS$1,),))))</f>
        <v/>
      </c>
      <c r="N207" s="13">
        <f>((((VLOOKUP(B207,Database!$A:$AS,MATCH($N$1,Database!$A$1:$AS$1,),))))-(((VLOOKUP(EDATE(B207,-12),Database!$A:$AS,MATCH($N$1,Database!$A$1:$AS$1,),)))))/(((VLOOKUP(EDATE(B207,-12),Database!$A:$AS,MATCH($N$1,Database!$A$1:$AS$1,),))))</f>
        <v/>
      </c>
      <c r="O207" s="13">
        <f>IF(VLOOKUP(B207,Database!$A:$AV,MATCH($O$1,Database!$A$1:$AV$1,),)=0,"#N/A",((((VLOOKUP(B207,Database!$A:$AS,MATCH($O$1,Database!$A$1:$AS$1,),))))-(((VLOOKUP(EDATE(B207,-12),Database!$A:$AS,MATCH($O$1,Database!$A$1:$AS$1,),)))))/(((VLOOKUP(EDATE(B207,-12),Database!$A:$AS,MATCH($O$1,Database!$A$1:$AS$1,),)))))</f>
        <v/>
      </c>
      <c r="P207" s="13">
        <f>IF(VLOOKUP(B207,Database!$A:$AV,MATCH($P$1,Database!$A$1:$AV$1,),)=0,"#N/A",((((VLOOKUP(B207,Database!$A:$AS,MATCH($P$1,Database!$A$1:$AS$1,),))))-(((VLOOKUP(EDATE(B207,-12),Database!$A:$AS,MATCH($P$1,Database!$A$1:$AS$1,),)))))/(((VLOOKUP(EDATE(B207,-12),Database!$A:$AS,MATCH($P$1,Database!$A$1:$AS$1,),)))))</f>
        <v/>
      </c>
      <c r="Q207" s="13">
        <f>IF(VLOOKUP(B207,Database!$A:$AV,MATCH($Q$1,Database!$A$1:$AV$1,),)=0,"#N/A",((((VLOOKUP(B207,Database!$A:$AS,MATCH($Q$1,Database!$A$1:$AS$1,),))))-(((VLOOKUP(EDATE(B207,-12),Database!$A:$AS,MATCH($Q$1,Database!$A$1:$AS$1,),)))))/(((VLOOKUP(EDATE(B207,-12),Database!$A:$AS,MATCH($Q$1,Database!$A$1:$AS$1,),)))))</f>
        <v/>
      </c>
      <c r="R207" s="13">
        <f>IF(VLOOKUP(B207,Database!$A:$AV,MATCH($R$1,Database!$A$1:$AV$1,),)=0,"#N/A",((((VLOOKUP(B207,Database!$A:$AS,MATCH($R$1,Database!$A$1:$AS$1,),))))-(((VLOOKUP(EDATE(B207,-12),Database!$A:$AS,MATCH($R$1,Database!$A$1:$AS$1,),)))))/(((VLOOKUP(EDATE(B207,-12),Database!$A:$AS,MATCH($R$1,Database!$A$1:$AS$1,),)))))</f>
        <v/>
      </c>
      <c r="S207" s="13">
        <f>IF(VLOOKUP(B207,Database!$A:$AV,MATCH($S$1,Database!$A$1:$AV$1,),)=0,"#N/A",((((VLOOKUP(B207,Database!$A:$AS,MATCH($S$1,Database!$A$1:$AS$1,),))))-(((VLOOKUP(EDATE(B207,-12),Database!$A:$AS,MATCH($S$1,Database!$A$1:$AS$1,),)))))/(((VLOOKUP(EDATE(B207,-12),Database!$A:$AS,MATCH($S$1,Database!$A$1:$AS$1,),)))))</f>
        <v/>
      </c>
      <c r="T207" s="13">
        <f>IF(VLOOKUP(B207,Database!$A:$AV,MATCH($T$1,Database!$A$1:$AV$1,),)=0,"#N/A",((((VLOOKUP(B207,Database!$A:$AS,MATCH($T$1,Database!$A$1:$AS$1,),))))-(((VLOOKUP(EDATE(B207,-12),Database!$A:$AS,MATCH($T$1,Database!$A$1:$AS$1,),)))))/(((VLOOKUP(EDATE(B207,-12),Database!$A:$AS,MATCH($T$1,Database!$A$1:$AS$1,),)))))</f>
        <v/>
      </c>
      <c r="U207" s="13">
        <f>IF(VLOOKUP(B207,Database!$A:$AV,MATCH($U$1,Database!$A$1:$AV$1,),)=0,"#N/A",((((VLOOKUP(B207,Database!$A:$AS,MATCH($U$1,Database!$A$1:$AS$1,),))))-(((VLOOKUP(EDATE(B207,-12),Database!$A:$AS,MATCH($U$1,Database!$A$1:$AS$1,),)))))/(((VLOOKUP(EDATE(B207,-12),Database!$A:$AS,MATCH($U$1,Database!$A$1:$AS$1,),)))))</f>
        <v/>
      </c>
      <c r="V207" s="13">
        <f>IF(VLOOKUP(B207,Database!$A:$AV,MATCH($V$1,Database!$A$1:$AV$1,),)=0,"#N/A",((((VLOOKUP(B207,Database!$A:$AS,MATCH($V$1,Database!$A$1:$AS$1,),))))-(((VLOOKUP(EDATE(B207,-12),Database!$A:$AS,MATCH($V$1,Database!$A$1:$AS$1,),)))))/(((VLOOKUP(EDATE(B207,-12),Database!$A:$AS,MATCH($V$1,Database!$A$1:$AS$1,),)))))</f>
        <v/>
      </c>
    </row>
    <row r="208" customFormat="1" s="86">
      <c r="A208" s="43" t="n"/>
      <c r="B208" s="75" t="n">
        <v>38473</v>
      </c>
      <c r="C208" s="13">
        <f>IF(VLOOKUP(B208,Database!$A:$AU,MATCH($C$1,Database!$A$1:$AU$1,),)=0,"#N/A",((((VLOOKUP(B208,Database!$A:$AU,MATCH($C$1,Database!$A$1:$AU$1,),))))-(((VLOOKUP(EDATE(B208,-12),Database!$A:$AU,MATCH($C$1,Database!$A$1:$AU$1,),)))))/(((VLOOKUP(EDATE(B208,-12),Database!$A:$AU,MATCH($C$1,Database!$A$1:$AU$1,),)))))</f>
        <v/>
      </c>
      <c r="D208" s="13">
        <f>IF(VLOOKUP(B208,Database!$A:$AV,MATCH($D$1,Database!$A$1:$AV$1,),)=0,"#N/A",((((VLOOKUP(B208,Database!$A:$AS,MATCH($D$1,Database!$A$1:$AS$1,),))))-(((VLOOKUP(EDATE(B208,-12),Database!$A:$AS,MATCH($D$1,Database!$A$1:$AS$1,),)))))/(((VLOOKUP(EDATE(B208,-12),Database!$A:$AS,MATCH($D$1,Database!$A$1:$AS$1,),)))))</f>
        <v/>
      </c>
      <c r="E208" s="13">
        <f>IF(VLOOKUP(B208,Database!$A:$AV,MATCH($E$1,Database!$A$1:$AV$1,),)=0,"#N/A",((((VLOOKUP(B208,Database!$A:$AS,MATCH($E$1,Database!$A$1:$AS$1,),))))-(((VLOOKUP(EDATE(B208,-12),Database!$A:$AS,MATCH($E$1,Database!$A$1:$AS$1,),)))))/(((VLOOKUP(EDATE(B208,-12),Database!$A:$AS,MATCH($E$1,Database!$A$1:$AS$1,),)))))</f>
        <v/>
      </c>
      <c r="F208" s="13">
        <f>IF(VLOOKUP(B208,Database!$A:$AV,MATCH($F$1,Database!$A$1:$AV$1,),)=0,"#N/A",((((VLOOKUP(B208,Database!$A:$AS,MATCH($F$1,Database!$A$1:$AS$1,),))))-(((VLOOKUP(EDATE(B208,-12),Database!$A:$AS,MATCH($F$1,Database!$A$1:$AS$1,),)))))/(((VLOOKUP(EDATE(B208,-12),Database!$A:$AS,MATCH($F$1,Database!$A$1:$AS$1,),)))))</f>
        <v/>
      </c>
      <c r="G208" s="13">
        <f>IF(VLOOKUP(B208,Database!$A:$AV,MATCH($G$1,Database!$A$1:$AV$1,),)=0,"#N/A",((((VLOOKUP(B208,Database!$A:$AS,MATCH($G$1,Database!$A$1:$AS$1,),))))-(((VLOOKUP(EDATE(B208,-12),Database!$A:$AS,MATCH($G$1,Database!$A$1:$AS$1,),)))))/(((VLOOKUP(EDATE(B208,-12),Database!$A:$AS,MATCH($G$1,Database!$A$1:$AS$1,),)))))</f>
        <v/>
      </c>
      <c r="H208" s="13">
        <f>IF(VLOOKUP(B208,Database!$A:$AV,MATCH($H$1,Database!$A$1:$AV$1,),)=0,"#N/A",((((VLOOKUP(B208,Database!$A:$AS,MATCH($H$1,Database!$A$1:$AS$1,),))))-(((VLOOKUP(EDATE(B208,-12),Database!$A:$AS,MATCH($H$1,Database!$A$1:$AS$1,),)))))/(((VLOOKUP(EDATE(B208,-12),Database!$A:$AS,MATCH($H$1,Database!$A$1:$AS$1,),)))))</f>
        <v/>
      </c>
      <c r="I208" s="13">
        <f>IF(VLOOKUP(B208,Database!$A:$AV,MATCH($I$1,Database!$A$1:$AV$1,),)=0,"#N/A",((((VLOOKUP(B208,Database!$A:$AS,MATCH($I$1,Database!$A$1:$AS$1,),))))-(((VLOOKUP(EDATE(B208,-12),Database!$A:$AS,MATCH($I$1,Database!$A$1:$AS$1,),)))))/(((VLOOKUP(EDATE(B208,-12),Database!$A:$AS,MATCH($I$1,Database!$A$1:$AS$1,),)))))</f>
        <v/>
      </c>
      <c r="J208" s="13">
        <f>IF(VLOOKUP(B208,Database!$A:$AV,MATCH($J$1,Database!$A$1:$AV$1,),)=0,"#N/A",((((VLOOKUP(B208,Database!$A:$AS,MATCH($J$1,Database!$A$1:$AS$1,),))))-(((VLOOKUP(EDATE(B208,-12),Database!$A:$AS,MATCH($J$1,Database!$A$1:$AS$1,),)))))/(((VLOOKUP(EDATE(B208,-12),Database!$A:$AS,MATCH($J$1,Database!$A$1:$AS$1,),)))))</f>
        <v/>
      </c>
      <c r="K208" s="13">
        <f>IF(VLOOKUP(B208,Database!$A:$AV,MATCH($K$1,Database!$A$1:$AV$1,),)=0,"#N/A",((((VLOOKUP(B208,Database!$A:$AS,MATCH($K$1,Database!$A$1:$AS$1,),))))-(((VLOOKUP(EDATE(B208,-12),Database!$A:$AS,MATCH($K$1,Database!$A$1:$AS$1,),)))))/(((VLOOKUP(EDATE(B208,-12),Database!$A:$AS,MATCH($K$1,Database!$A$1:$AS$1,),)))))</f>
        <v/>
      </c>
      <c r="L208" s="13">
        <f>((((VLOOKUP(B208,Database!$A:$AS,MATCH($L$1,Database!$A$1:$AS$1,),))))-(((VLOOKUP(EDATE(B208,-12),Database!$A:$AS,MATCH($L$1,Database!$A$1:$AS$1,),)))))/(((VLOOKUP(EDATE(B208,-12),Database!$A:$AS,MATCH($L$1,Database!$A$1:$AS$1,),))))</f>
        <v/>
      </c>
      <c r="M208" s="13">
        <f>((((VLOOKUP(B208,Database!$A:$AS,MATCH($M$1,Database!$A$1:$AS$1,),))))-(((VLOOKUP(EDATE(B208,-12),Database!$A:$AS,MATCH($M$1,Database!$A$1:$AS$1,),)))))/(((VLOOKUP(EDATE(B208,-12),Database!$A:$AS,MATCH($M$1,Database!$A$1:$AS$1,),))))</f>
        <v/>
      </c>
      <c r="N208" s="13">
        <f>((((VLOOKUP(B208,Database!$A:$AS,MATCH($N$1,Database!$A$1:$AS$1,),))))-(((VLOOKUP(EDATE(B208,-12),Database!$A:$AS,MATCH($N$1,Database!$A$1:$AS$1,),)))))/(((VLOOKUP(EDATE(B208,-12),Database!$A:$AS,MATCH($N$1,Database!$A$1:$AS$1,),))))</f>
        <v/>
      </c>
      <c r="O208" s="13">
        <f>IF(VLOOKUP(B208,Database!$A:$AV,MATCH($O$1,Database!$A$1:$AV$1,),)=0,"#N/A",((((VLOOKUP(B208,Database!$A:$AS,MATCH($O$1,Database!$A$1:$AS$1,),))))-(((VLOOKUP(EDATE(B208,-12),Database!$A:$AS,MATCH($O$1,Database!$A$1:$AS$1,),)))))/(((VLOOKUP(EDATE(B208,-12),Database!$A:$AS,MATCH($O$1,Database!$A$1:$AS$1,),)))))</f>
        <v/>
      </c>
      <c r="P208" s="13">
        <f>IF(VLOOKUP(B208,Database!$A:$AV,MATCH($P$1,Database!$A$1:$AV$1,),)=0,"#N/A",((((VLOOKUP(B208,Database!$A:$AS,MATCH($P$1,Database!$A$1:$AS$1,),))))-(((VLOOKUP(EDATE(B208,-12),Database!$A:$AS,MATCH($P$1,Database!$A$1:$AS$1,),)))))/(((VLOOKUP(EDATE(B208,-12),Database!$A:$AS,MATCH($P$1,Database!$A$1:$AS$1,),)))))</f>
        <v/>
      </c>
      <c r="Q208" s="13">
        <f>IF(VLOOKUP(B208,Database!$A:$AV,MATCH($Q$1,Database!$A$1:$AV$1,),)=0,"#N/A",((((VLOOKUP(B208,Database!$A:$AS,MATCH($Q$1,Database!$A$1:$AS$1,),))))-(((VLOOKUP(EDATE(B208,-12),Database!$A:$AS,MATCH($Q$1,Database!$A$1:$AS$1,),)))))/(((VLOOKUP(EDATE(B208,-12),Database!$A:$AS,MATCH($Q$1,Database!$A$1:$AS$1,),)))))</f>
        <v/>
      </c>
      <c r="R208" s="13">
        <f>IF(VLOOKUP(B208,Database!$A:$AV,MATCH($R$1,Database!$A$1:$AV$1,),)=0,"#N/A",((((VLOOKUP(B208,Database!$A:$AS,MATCH($R$1,Database!$A$1:$AS$1,),))))-(((VLOOKUP(EDATE(B208,-12),Database!$A:$AS,MATCH($R$1,Database!$A$1:$AS$1,),)))))/(((VLOOKUP(EDATE(B208,-12),Database!$A:$AS,MATCH($R$1,Database!$A$1:$AS$1,),)))))</f>
        <v/>
      </c>
      <c r="S208" s="13">
        <f>IF(VLOOKUP(B208,Database!$A:$AV,MATCH($S$1,Database!$A$1:$AV$1,),)=0,"#N/A",((((VLOOKUP(B208,Database!$A:$AS,MATCH($S$1,Database!$A$1:$AS$1,),))))-(((VLOOKUP(EDATE(B208,-12),Database!$A:$AS,MATCH($S$1,Database!$A$1:$AS$1,),)))))/(((VLOOKUP(EDATE(B208,-12),Database!$A:$AS,MATCH($S$1,Database!$A$1:$AS$1,),)))))</f>
        <v/>
      </c>
      <c r="T208" s="13">
        <f>IF(VLOOKUP(B208,Database!$A:$AV,MATCH($T$1,Database!$A$1:$AV$1,),)=0,"#N/A",((((VLOOKUP(B208,Database!$A:$AS,MATCH($T$1,Database!$A$1:$AS$1,),))))-(((VLOOKUP(EDATE(B208,-12),Database!$A:$AS,MATCH($T$1,Database!$A$1:$AS$1,),)))))/(((VLOOKUP(EDATE(B208,-12),Database!$A:$AS,MATCH($T$1,Database!$A$1:$AS$1,),)))))</f>
        <v/>
      </c>
      <c r="U208" s="13">
        <f>IF(VLOOKUP(B208,Database!$A:$AV,MATCH($U$1,Database!$A$1:$AV$1,),)=0,"#N/A",((((VLOOKUP(B208,Database!$A:$AS,MATCH($U$1,Database!$A$1:$AS$1,),))))-(((VLOOKUP(EDATE(B208,-12),Database!$A:$AS,MATCH($U$1,Database!$A$1:$AS$1,),)))))/(((VLOOKUP(EDATE(B208,-12),Database!$A:$AS,MATCH($U$1,Database!$A$1:$AS$1,),)))))</f>
        <v/>
      </c>
      <c r="V208" s="13">
        <f>IF(VLOOKUP(B208,Database!$A:$AV,MATCH($V$1,Database!$A$1:$AV$1,),)=0,"#N/A",((((VLOOKUP(B208,Database!$A:$AS,MATCH($V$1,Database!$A$1:$AS$1,),))))-(((VLOOKUP(EDATE(B208,-12),Database!$A:$AS,MATCH($V$1,Database!$A$1:$AS$1,),)))))/(((VLOOKUP(EDATE(B208,-12),Database!$A:$AS,MATCH($V$1,Database!$A$1:$AS$1,),)))))</f>
        <v/>
      </c>
    </row>
    <row r="209" customFormat="1" s="86">
      <c r="A209" s="43" t="n"/>
      <c r="B209" s="75" t="n">
        <v>38504</v>
      </c>
      <c r="C209" s="13">
        <f>IF(VLOOKUP(B209,Database!$A:$AU,MATCH($C$1,Database!$A$1:$AU$1,),)=0,"#N/A",((((VLOOKUP(B209,Database!$A:$AU,MATCH($C$1,Database!$A$1:$AU$1,),))))-(((VLOOKUP(EDATE(B209,-12),Database!$A:$AU,MATCH($C$1,Database!$A$1:$AU$1,),)))))/(((VLOOKUP(EDATE(B209,-12),Database!$A:$AU,MATCH($C$1,Database!$A$1:$AU$1,),)))))</f>
        <v/>
      </c>
      <c r="D209" s="13">
        <f>IF(VLOOKUP(B209,Database!$A:$AV,MATCH($D$1,Database!$A$1:$AV$1,),)=0,"#N/A",((((VLOOKUP(B209,Database!$A:$AS,MATCH($D$1,Database!$A$1:$AS$1,),))))-(((VLOOKUP(EDATE(B209,-12),Database!$A:$AS,MATCH($D$1,Database!$A$1:$AS$1,),)))))/(((VLOOKUP(EDATE(B209,-12),Database!$A:$AS,MATCH($D$1,Database!$A$1:$AS$1,),)))))</f>
        <v/>
      </c>
      <c r="E209" s="13">
        <f>IF(VLOOKUP(B209,Database!$A:$AV,MATCH($E$1,Database!$A$1:$AV$1,),)=0,"#N/A",((((VLOOKUP(B209,Database!$A:$AS,MATCH($E$1,Database!$A$1:$AS$1,),))))-(((VLOOKUP(EDATE(B209,-12),Database!$A:$AS,MATCH($E$1,Database!$A$1:$AS$1,),)))))/(((VLOOKUP(EDATE(B209,-12),Database!$A:$AS,MATCH($E$1,Database!$A$1:$AS$1,),)))))</f>
        <v/>
      </c>
      <c r="F209" s="13">
        <f>IF(VLOOKUP(B209,Database!$A:$AV,MATCH($F$1,Database!$A$1:$AV$1,),)=0,"#N/A",((((VLOOKUP(B209,Database!$A:$AS,MATCH($F$1,Database!$A$1:$AS$1,),))))-(((VLOOKUP(EDATE(B209,-12),Database!$A:$AS,MATCH($F$1,Database!$A$1:$AS$1,),)))))/(((VLOOKUP(EDATE(B209,-12),Database!$A:$AS,MATCH($F$1,Database!$A$1:$AS$1,),)))))</f>
        <v/>
      </c>
      <c r="G209" s="13">
        <f>IF(VLOOKUP(B209,Database!$A:$AV,MATCH($G$1,Database!$A$1:$AV$1,),)=0,"#N/A",((((VLOOKUP(B209,Database!$A:$AS,MATCH($G$1,Database!$A$1:$AS$1,),))))-(((VLOOKUP(EDATE(B209,-12),Database!$A:$AS,MATCH($G$1,Database!$A$1:$AS$1,),)))))/(((VLOOKUP(EDATE(B209,-12),Database!$A:$AS,MATCH($G$1,Database!$A$1:$AS$1,),)))))</f>
        <v/>
      </c>
      <c r="H209" s="13">
        <f>IF(VLOOKUP(B209,Database!$A:$AV,MATCH($H$1,Database!$A$1:$AV$1,),)=0,"#N/A",((((VLOOKUP(B209,Database!$A:$AS,MATCH($H$1,Database!$A$1:$AS$1,),))))-(((VLOOKUP(EDATE(B209,-12),Database!$A:$AS,MATCH($H$1,Database!$A$1:$AS$1,),)))))/(((VLOOKUP(EDATE(B209,-12),Database!$A:$AS,MATCH($H$1,Database!$A$1:$AS$1,),)))))</f>
        <v/>
      </c>
      <c r="I209" s="13">
        <f>IF(VLOOKUP(B209,Database!$A:$AV,MATCH($I$1,Database!$A$1:$AV$1,),)=0,"#N/A",((((VLOOKUP(B209,Database!$A:$AS,MATCH($I$1,Database!$A$1:$AS$1,),))))-(((VLOOKUP(EDATE(B209,-12),Database!$A:$AS,MATCH($I$1,Database!$A$1:$AS$1,),)))))/(((VLOOKUP(EDATE(B209,-12),Database!$A:$AS,MATCH($I$1,Database!$A$1:$AS$1,),)))))</f>
        <v/>
      </c>
      <c r="J209" s="13">
        <f>IF(VLOOKUP(B209,Database!$A:$AV,MATCH($J$1,Database!$A$1:$AV$1,),)=0,"#N/A",((((VLOOKUP(B209,Database!$A:$AS,MATCH($J$1,Database!$A$1:$AS$1,),))))-(((VLOOKUP(EDATE(B209,-12),Database!$A:$AS,MATCH($J$1,Database!$A$1:$AS$1,),)))))/(((VLOOKUP(EDATE(B209,-12),Database!$A:$AS,MATCH($J$1,Database!$A$1:$AS$1,),)))))</f>
        <v/>
      </c>
      <c r="K209" s="13">
        <f>IF(VLOOKUP(B209,Database!$A:$AV,MATCH($K$1,Database!$A$1:$AV$1,),)=0,"#N/A",((((VLOOKUP(B209,Database!$A:$AS,MATCH($K$1,Database!$A$1:$AS$1,),))))-(((VLOOKUP(EDATE(B209,-12),Database!$A:$AS,MATCH($K$1,Database!$A$1:$AS$1,),)))))/(((VLOOKUP(EDATE(B209,-12),Database!$A:$AS,MATCH($K$1,Database!$A$1:$AS$1,),)))))</f>
        <v/>
      </c>
      <c r="L209" s="13">
        <f>((((VLOOKUP(B209,Database!$A:$AS,MATCH($L$1,Database!$A$1:$AS$1,),))))-(((VLOOKUP(EDATE(B209,-12),Database!$A:$AS,MATCH($L$1,Database!$A$1:$AS$1,),)))))/(((VLOOKUP(EDATE(B209,-12),Database!$A:$AS,MATCH($L$1,Database!$A$1:$AS$1,),))))</f>
        <v/>
      </c>
      <c r="M209" s="13">
        <f>((((VLOOKUP(B209,Database!$A:$AS,MATCH($M$1,Database!$A$1:$AS$1,),))))-(((VLOOKUP(EDATE(B209,-12),Database!$A:$AS,MATCH($M$1,Database!$A$1:$AS$1,),)))))/(((VLOOKUP(EDATE(B209,-12),Database!$A:$AS,MATCH($M$1,Database!$A$1:$AS$1,),))))</f>
        <v/>
      </c>
      <c r="N209" s="13">
        <f>((((VLOOKUP(B209,Database!$A:$AS,MATCH($N$1,Database!$A$1:$AS$1,),))))-(((VLOOKUP(EDATE(B209,-12),Database!$A:$AS,MATCH($N$1,Database!$A$1:$AS$1,),)))))/(((VLOOKUP(EDATE(B209,-12),Database!$A:$AS,MATCH($N$1,Database!$A$1:$AS$1,),))))</f>
        <v/>
      </c>
      <c r="O209" s="13">
        <f>IF(VLOOKUP(B209,Database!$A:$AV,MATCH($O$1,Database!$A$1:$AV$1,),)=0,"#N/A",((((VLOOKUP(B209,Database!$A:$AS,MATCH($O$1,Database!$A$1:$AS$1,),))))-(((VLOOKUP(EDATE(B209,-12),Database!$A:$AS,MATCH($O$1,Database!$A$1:$AS$1,),)))))/(((VLOOKUP(EDATE(B209,-12),Database!$A:$AS,MATCH($O$1,Database!$A$1:$AS$1,),)))))</f>
        <v/>
      </c>
      <c r="P209" s="13">
        <f>IF(VLOOKUP(B209,Database!$A:$AV,MATCH($P$1,Database!$A$1:$AV$1,),)=0,"#N/A",((((VLOOKUP(B209,Database!$A:$AS,MATCH($P$1,Database!$A$1:$AS$1,),))))-(((VLOOKUP(EDATE(B209,-12),Database!$A:$AS,MATCH($P$1,Database!$A$1:$AS$1,),)))))/(((VLOOKUP(EDATE(B209,-12),Database!$A:$AS,MATCH($P$1,Database!$A$1:$AS$1,),)))))</f>
        <v/>
      </c>
      <c r="Q209" s="13">
        <f>IF(VLOOKUP(B209,Database!$A:$AV,MATCH($Q$1,Database!$A$1:$AV$1,),)=0,"#N/A",((((VLOOKUP(B209,Database!$A:$AS,MATCH($Q$1,Database!$A$1:$AS$1,),))))-(((VLOOKUP(EDATE(B209,-12),Database!$A:$AS,MATCH($Q$1,Database!$A$1:$AS$1,),)))))/(((VLOOKUP(EDATE(B209,-12),Database!$A:$AS,MATCH($Q$1,Database!$A$1:$AS$1,),)))))</f>
        <v/>
      </c>
      <c r="R209" s="13">
        <f>IF(VLOOKUP(B209,Database!$A:$AV,MATCH($R$1,Database!$A$1:$AV$1,),)=0,"#N/A",((((VLOOKUP(B209,Database!$A:$AS,MATCH($R$1,Database!$A$1:$AS$1,),))))-(((VLOOKUP(EDATE(B209,-12),Database!$A:$AS,MATCH($R$1,Database!$A$1:$AS$1,),)))))/(((VLOOKUP(EDATE(B209,-12),Database!$A:$AS,MATCH($R$1,Database!$A$1:$AS$1,),)))))</f>
        <v/>
      </c>
      <c r="S209" s="13">
        <f>IF(VLOOKUP(B209,Database!$A:$AV,MATCH($S$1,Database!$A$1:$AV$1,),)=0,"#N/A",((((VLOOKUP(B209,Database!$A:$AS,MATCH($S$1,Database!$A$1:$AS$1,),))))-(((VLOOKUP(EDATE(B209,-12),Database!$A:$AS,MATCH($S$1,Database!$A$1:$AS$1,),)))))/(((VLOOKUP(EDATE(B209,-12),Database!$A:$AS,MATCH($S$1,Database!$A$1:$AS$1,),)))))</f>
        <v/>
      </c>
      <c r="T209" s="13">
        <f>IF(VLOOKUP(B209,Database!$A:$AV,MATCH($T$1,Database!$A$1:$AV$1,),)=0,"#N/A",((((VLOOKUP(B209,Database!$A:$AS,MATCH($T$1,Database!$A$1:$AS$1,),))))-(((VLOOKUP(EDATE(B209,-12),Database!$A:$AS,MATCH($T$1,Database!$A$1:$AS$1,),)))))/(((VLOOKUP(EDATE(B209,-12),Database!$A:$AS,MATCH($T$1,Database!$A$1:$AS$1,),)))))</f>
        <v/>
      </c>
      <c r="U209" s="13">
        <f>IF(VLOOKUP(B209,Database!$A:$AV,MATCH($U$1,Database!$A$1:$AV$1,),)=0,"#N/A",((((VLOOKUP(B209,Database!$A:$AS,MATCH($U$1,Database!$A$1:$AS$1,),))))-(((VLOOKUP(EDATE(B209,-12),Database!$A:$AS,MATCH($U$1,Database!$A$1:$AS$1,),)))))/(((VLOOKUP(EDATE(B209,-12),Database!$A:$AS,MATCH($U$1,Database!$A$1:$AS$1,),)))))</f>
        <v/>
      </c>
      <c r="V209" s="13">
        <f>IF(VLOOKUP(B209,Database!$A:$AV,MATCH($V$1,Database!$A$1:$AV$1,),)=0,"#N/A",((((VLOOKUP(B209,Database!$A:$AS,MATCH($V$1,Database!$A$1:$AS$1,),))))-(((VLOOKUP(EDATE(B209,-12),Database!$A:$AS,MATCH($V$1,Database!$A$1:$AS$1,),)))))/(((VLOOKUP(EDATE(B209,-12),Database!$A:$AS,MATCH($V$1,Database!$A$1:$AS$1,),)))))</f>
        <v/>
      </c>
    </row>
    <row r="210" customFormat="1" s="86">
      <c r="A210" s="43" t="n"/>
      <c r="B210" s="75" t="n">
        <v>38534</v>
      </c>
      <c r="C210" s="13">
        <f>IF(VLOOKUP(B210,Database!$A:$AU,MATCH($C$1,Database!$A$1:$AU$1,),)=0,"#N/A",((((VLOOKUP(B210,Database!$A:$AU,MATCH($C$1,Database!$A$1:$AU$1,),))))-(((VLOOKUP(EDATE(B210,-12),Database!$A:$AU,MATCH($C$1,Database!$A$1:$AU$1,),)))))/(((VLOOKUP(EDATE(B210,-12),Database!$A:$AU,MATCH($C$1,Database!$A$1:$AU$1,),)))))</f>
        <v/>
      </c>
      <c r="D210" s="13">
        <f>IF(VLOOKUP(B210,Database!$A:$AV,MATCH($D$1,Database!$A$1:$AV$1,),)=0,"#N/A",((((VLOOKUP(B210,Database!$A:$AS,MATCH($D$1,Database!$A$1:$AS$1,),))))-(((VLOOKUP(EDATE(B210,-12),Database!$A:$AS,MATCH($D$1,Database!$A$1:$AS$1,),)))))/(((VLOOKUP(EDATE(B210,-12),Database!$A:$AS,MATCH($D$1,Database!$A$1:$AS$1,),)))))</f>
        <v/>
      </c>
      <c r="E210" s="13">
        <f>IF(VLOOKUP(B210,Database!$A:$AV,MATCH($E$1,Database!$A$1:$AV$1,),)=0,"#N/A",((((VLOOKUP(B210,Database!$A:$AS,MATCH($E$1,Database!$A$1:$AS$1,),))))-(((VLOOKUP(EDATE(B210,-12),Database!$A:$AS,MATCH($E$1,Database!$A$1:$AS$1,),)))))/(((VLOOKUP(EDATE(B210,-12),Database!$A:$AS,MATCH($E$1,Database!$A$1:$AS$1,),)))))</f>
        <v/>
      </c>
      <c r="F210" s="13">
        <f>IF(VLOOKUP(B210,Database!$A:$AV,MATCH($F$1,Database!$A$1:$AV$1,),)=0,"#N/A",((((VLOOKUP(B210,Database!$A:$AS,MATCH($F$1,Database!$A$1:$AS$1,),))))-(((VLOOKUP(EDATE(B210,-12),Database!$A:$AS,MATCH($F$1,Database!$A$1:$AS$1,),)))))/(((VLOOKUP(EDATE(B210,-12),Database!$A:$AS,MATCH($F$1,Database!$A$1:$AS$1,),)))))</f>
        <v/>
      </c>
      <c r="G210" s="13">
        <f>IF(VLOOKUP(B210,Database!$A:$AV,MATCH($G$1,Database!$A$1:$AV$1,),)=0,"#N/A",((((VLOOKUP(B210,Database!$A:$AS,MATCH($G$1,Database!$A$1:$AS$1,),))))-(((VLOOKUP(EDATE(B210,-12),Database!$A:$AS,MATCH($G$1,Database!$A$1:$AS$1,),)))))/(((VLOOKUP(EDATE(B210,-12),Database!$A:$AS,MATCH($G$1,Database!$A$1:$AS$1,),)))))</f>
        <v/>
      </c>
      <c r="H210" s="13">
        <f>IF(VLOOKUP(B210,Database!$A:$AV,MATCH($H$1,Database!$A$1:$AV$1,),)=0,"#N/A",((((VLOOKUP(B210,Database!$A:$AS,MATCH($H$1,Database!$A$1:$AS$1,),))))-(((VLOOKUP(EDATE(B210,-12),Database!$A:$AS,MATCH($H$1,Database!$A$1:$AS$1,),)))))/(((VLOOKUP(EDATE(B210,-12),Database!$A:$AS,MATCH($H$1,Database!$A$1:$AS$1,),)))))</f>
        <v/>
      </c>
      <c r="I210" s="13">
        <f>IF(VLOOKUP(B210,Database!$A:$AV,MATCH($I$1,Database!$A$1:$AV$1,),)=0,"#N/A",((((VLOOKUP(B210,Database!$A:$AS,MATCH($I$1,Database!$A$1:$AS$1,),))))-(((VLOOKUP(EDATE(B210,-12),Database!$A:$AS,MATCH($I$1,Database!$A$1:$AS$1,),)))))/(((VLOOKUP(EDATE(B210,-12),Database!$A:$AS,MATCH($I$1,Database!$A$1:$AS$1,),)))))</f>
        <v/>
      </c>
      <c r="J210" s="13">
        <f>IF(VLOOKUP(B210,Database!$A:$AV,MATCH($J$1,Database!$A$1:$AV$1,),)=0,"#N/A",((((VLOOKUP(B210,Database!$A:$AS,MATCH($J$1,Database!$A$1:$AS$1,),))))-(((VLOOKUP(EDATE(B210,-12),Database!$A:$AS,MATCH($J$1,Database!$A$1:$AS$1,),)))))/(((VLOOKUP(EDATE(B210,-12),Database!$A:$AS,MATCH($J$1,Database!$A$1:$AS$1,),)))))</f>
        <v/>
      </c>
      <c r="K210" s="13">
        <f>IF(VLOOKUP(B210,Database!$A:$AV,MATCH($K$1,Database!$A$1:$AV$1,),)=0,"#N/A",((((VLOOKUP(B210,Database!$A:$AS,MATCH($K$1,Database!$A$1:$AS$1,),))))-(((VLOOKUP(EDATE(B210,-12),Database!$A:$AS,MATCH($K$1,Database!$A$1:$AS$1,),)))))/(((VLOOKUP(EDATE(B210,-12),Database!$A:$AS,MATCH($K$1,Database!$A$1:$AS$1,),)))))</f>
        <v/>
      </c>
      <c r="L210" s="13">
        <f>((((VLOOKUP(B210,Database!$A:$AS,MATCH($L$1,Database!$A$1:$AS$1,),))))-(((VLOOKUP(EDATE(B210,-12),Database!$A:$AS,MATCH($L$1,Database!$A$1:$AS$1,),)))))/(((VLOOKUP(EDATE(B210,-12),Database!$A:$AS,MATCH($L$1,Database!$A$1:$AS$1,),))))</f>
        <v/>
      </c>
      <c r="M210" s="13">
        <f>((((VLOOKUP(B210,Database!$A:$AS,MATCH($M$1,Database!$A$1:$AS$1,),))))-(((VLOOKUP(EDATE(B210,-12),Database!$A:$AS,MATCH($M$1,Database!$A$1:$AS$1,),)))))/(((VLOOKUP(EDATE(B210,-12),Database!$A:$AS,MATCH($M$1,Database!$A$1:$AS$1,),))))</f>
        <v/>
      </c>
      <c r="N210" s="13">
        <f>((((VLOOKUP(B210,Database!$A:$AS,MATCH($N$1,Database!$A$1:$AS$1,),))))-(((VLOOKUP(EDATE(B210,-12),Database!$A:$AS,MATCH($N$1,Database!$A$1:$AS$1,),)))))/(((VLOOKUP(EDATE(B210,-12),Database!$A:$AS,MATCH($N$1,Database!$A$1:$AS$1,),))))</f>
        <v/>
      </c>
      <c r="O210" s="13">
        <f>IF(VLOOKUP(B210,Database!$A:$AV,MATCH($O$1,Database!$A$1:$AV$1,),)=0,"#N/A",((((VLOOKUP(B210,Database!$A:$AS,MATCH($O$1,Database!$A$1:$AS$1,),))))-(((VLOOKUP(EDATE(B210,-12),Database!$A:$AS,MATCH($O$1,Database!$A$1:$AS$1,),)))))/(((VLOOKUP(EDATE(B210,-12),Database!$A:$AS,MATCH($O$1,Database!$A$1:$AS$1,),)))))</f>
        <v/>
      </c>
      <c r="P210" s="13">
        <f>IF(VLOOKUP(B210,Database!$A:$AV,MATCH($P$1,Database!$A$1:$AV$1,),)=0,"#N/A",((((VLOOKUP(B210,Database!$A:$AS,MATCH($P$1,Database!$A$1:$AS$1,),))))-(((VLOOKUP(EDATE(B210,-12),Database!$A:$AS,MATCH($P$1,Database!$A$1:$AS$1,),)))))/(((VLOOKUP(EDATE(B210,-12),Database!$A:$AS,MATCH($P$1,Database!$A$1:$AS$1,),)))))</f>
        <v/>
      </c>
      <c r="Q210" s="13">
        <f>IF(VLOOKUP(B210,Database!$A:$AV,MATCH($Q$1,Database!$A$1:$AV$1,),)=0,"#N/A",((((VLOOKUP(B210,Database!$A:$AS,MATCH($Q$1,Database!$A$1:$AS$1,),))))-(((VLOOKUP(EDATE(B210,-12),Database!$A:$AS,MATCH($Q$1,Database!$A$1:$AS$1,),)))))/(((VLOOKUP(EDATE(B210,-12),Database!$A:$AS,MATCH($Q$1,Database!$A$1:$AS$1,),)))))</f>
        <v/>
      </c>
      <c r="R210" s="13">
        <f>IF(VLOOKUP(B210,Database!$A:$AV,MATCH($R$1,Database!$A$1:$AV$1,),)=0,"#N/A",((((VLOOKUP(B210,Database!$A:$AS,MATCH($R$1,Database!$A$1:$AS$1,),))))-(((VLOOKUP(EDATE(B210,-12),Database!$A:$AS,MATCH($R$1,Database!$A$1:$AS$1,),)))))/(((VLOOKUP(EDATE(B210,-12),Database!$A:$AS,MATCH($R$1,Database!$A$1:$AS$1,),)))))</f>
        <v/>
      </c>
      <c r="S210" s="13">
        <f>IF(VLOOKUP(B210,Database!$A:$AV,MATCH($S$1,Database!$A$1:$AV$1,),)=0,"#N/A",((((VLOOKUP(B210,Database!$A:$AS,MATCH($S$1,Database!$A$1:$AS$1,),))))-(((VLOOKUP(EDATE(B210,-12),Database!$A:$AS,MATCH($S$1,Database!$A$1:$AS$1,),)))))/(((VLOOKUP(EDATE(B210,-12),Database!$A:$AS,MATCH($S$1,Database!$A$1:$AS$1,),)))))</f>
        <v/>
      </c>
      <c r="T210" s="13">
        <f>IF(VLOOKUP(B210,Database!$A:$AV,MATCH($T$1,Database!$A$1:$AV$1,),)=0,"#N/A",((((VLOOKUP(B210,Database!$A:$AS,MATCH($T$1,Database!$A$1:$AS$1,),))))-(((VLOOKUP(EDATE(B210,-12),Database!$A:$AS,MATCH($T$1,Database!$A$1:$AS$1,),)))))/(((VLOOKUP(EDATE(B210,-12),Database!$A:$AS,MATCH($T$1,Database!$A$1:$AS$1,),)))))</f>
        <v/>
      </c>
      <c r="U210" s="13">
        <f>IF(VLOOKUP(B210,Database!$A:$AV,MATCH($U$1,Database!$A$1:$AV$1,),)=0,"#N/A",((((VLOOKUP(B210,Database!$A:$AS,MATCH($U$1,Database!$A$1:$AS$1,),))))-(((VLOOKUP(EDATE(B210,-12),Database!$A:$AS,MATCH($U$1,Database!$A$1:$AS$1,),)))))/(((VLOOKUP(EDATE(B210,-12),Database!$A:$AS,MATCH($U$1,Database!$A$1:$AS$1,),)))))</f>
        <v/>
      </c>
      <c r="V210" s="13">
        <f>IF(VLOOKUP(B210,Database!$A:$AV,MATCH($V$1,Database!$A$1:$AV$1,),)=0,"#N/A",((((VLOOKUP(B210,Database!$A:$AS,MATCH($V$1,Database!$A$1:$AS$1,),))))-(((VLOOKUP(EDATE(B210,-12),Database!$A:$AS,MATCH($V$1,Database!$A$1:$AS$1,),)))))/(((VLOOKUP(EDATE(B210,-12),Database!$A:$AS,MATCH($V$1,Database!$A$1:$AS$1,),)))))</f>
        <v/>
      </c>
    </row>
    <row r="211" customFormat="1" s="86">
      <c r="A211" s="43" t="n"/>
      <c r="B211" s="75" t="n">
        <v>38565</v>
      </c>
      <c r="C211" s="13">
        <f>IF(VLOOKUP(B211,Database!$A:$AU,MATCH($C$1,Database!$A$1:$AU$1,),)=0,"#N/A",((((VLOOKUP(B211,Database!$A:$AU,MATCH($C$1,Database!$A$1:$AU$1,),))))-(((VLOOKUP(EDATE(B211,-12),Database!$A:$AU,MATCH($C$1,Database!$A$1:$AU$1,),)))))/(((VLOOKUP(EDATE(B211,-12),Database!$A:$AU,MATCH($C$1,Database!$A$1:$AU$1,),)))))</f>
        <v/>
      </c>
      <c r="D211" s="13">
        <f>IF(VLOOKUP(B211,Database!$A:$AV,MATCH($D$1,Database!$A$1:$AV$1,),)=0,"#N/A",((((VLOOKUP(B211,Database!$A:$AS,MATCH($D$1,Database!$A$1:$AS$1,),))))-(((VLOOKUP(EDATE(B211,-12),Database!$A:$AS,MATCH($D$1,Database!$A$1:$AS$1,),)))))/(((VLOOKUP(EDATE(B211,-12),Database!$A:$AS,MATCH($D$1,Database!$A$1:$AS$1,),)))))</f>
        <v/>
      </c>
      <c r="E211" s="13">
        <f>IF(VLOOKUP(B211,Database!$A:$AV,MATCH($E$1,Database!$A$1:$AV$1,),)=0,"#N/A",((((VLOOKUP(B211,Database!$A:$AS,MATCH($E$1,Database!$A$1:$AS$1,),))))-(((VLOOKUP(EDATE(B211,-12),Database!$A:$AS,MATCH($E$1,Database!$A$1:$AS$1,),)))))/(((VLOOKUP(EDATE(B211,-12),Database!$A:$AS,MATCH($E$1,Database!$A$1:$AS$1,),)))))</f>
        <v/>
      </c>
      <c r="F211" s="13">
        <f>IF(VLOOKUP(B211,Database!$A:$AV,MATCH($F$1,Database!$A$1:$AV$1,),)=0,"#N/A",((((VLOOKUP(B211,Database!$A:$AS,MATCH($F$1,Database!$A$1:$AS$1,),))))-(((VLOOKUP(EDATE(B211,-12),Database!$A:$AS,MATCH($F$1,Database!$A$1:$AS$1,),)))))/(((VLOOKUP(EDATE(B211,-12),Database!$A:$AS,MATCH($F$1,Database!$A$1:$AS$1,),)))))</f>
        <v/>
      </c>
      <c r="G211" s="13">
        <f>IF(VLOOKUP(B211,Database!$A:$AV,MATCH($G$1,Database!$A$1:$AV$1,),)=0,"#N/A",((((VLOOKUP(B211,Database!$A:$AS,MATCH($G$1,Database!$A$1:$AS$1,),))))-(((VLOOKUP(EDATE(B211,-12),Database!$A:$AS,MATCH($G$1,Database!$A$1:$AS$1,),)))))/(((VLOOKUP(EDATE(B211,-12),Database!$A:$AS,MATCH($G$1,Database!$A$1:$AS$1,),)))))</f>
        <v/>
      </c>
      <c r="H211" s="13">
        <f>IF(VLOOKUP(B211,Database!$A:$AV,MATCH($H$1,Database!$A$1:$AV$1,),)=0,"#N/A",((((VLOOKUP(B211,Database!$A:$AS,MATCH($H$1,Database!$A$1:$AS$1,),))))-(((VLOOKUP(EDATE(B211,-12),Database!$A:$AS,MATCH($H$1,Database!$A$1:$AS$1,),)))))/(((VLOOKUP(EDATE(B211,-12),Database!$A:$AS,MATCH($H$1,Database!$A$1:$AS$1,),)))))</f>
        <v/>
      </c>
      <c r="I211" s="13">
        <f>IF(VLOOKUP(B211,Database!$A:$AV,MATCH($I$1,Database!$A$1:$AV$1,),)=0,"#N/A",((((VLOOKUP(B211,Database!$A:$AS,MATCH($I$1,Database!$A$1:$AS$1,),))))-(((VLOOKUP(EDATE(B211,-12),Database!$A:$AS,MATCH($I$1,Database!$A$1:$AS$1,),)))))/(((VLOOKUP(EDATE(B211,-12),Database!$A:$AS,MATCH($I$1,Database!$A$1:$AS$1,),)))))</f>
        <v/>
      </c>
      <c r="J211" s="13">
        <f>IF(VLOOKUP(B211,Database!$A:$AV,MATCH($J$1,Database!$A$1:$AV$1,),)=0,"#N/A",((((VLOOKUP(B211,Database!$A:$AS,MATCH($J$1,Database!$A$1:$AS$1,),))))-(((VLOOKUP(EDATE(B211,-12),Database!$A:$AS,MATCH($J$1,Database!$A$1:$AS$1,),)))))/(((VLOOKUP(EDATE(B211,-12),Database!$A:$AS,MATCH($J$1,Database!$A$1:$AS$1,),)))))</f>
        <v/>
      </c>
      <c r="K211" s="13">
        <f>IF(VLOOKUP(B211,Database!$A:$AV,MATCH($K$1,Database!$A$1:$AV$1,),)=0,"#N/A",((((VLOOKUP(B211,Database!$A:$AS,MATCH($K$1,Database!$A$1:$AS$1,),))))-(((VLOOKUP(EDATE(B211,-12),Database!$A:$AS,MATCH($K$1,Database!$A$1:$AS$1,),)))))/(((VLOOKUP(EDATE(B211,-12),Database!$A:$AS,MATCH($K$1,Database!$A$1:$AS$1,),)))))</f>
        <v/>
      </c>
      <c r="L211" s="13">
        <f>((((VLOOKUP(B211,Database!$A:$AS,MATCH($L$1,Database!$A$1:$AS$1,),))))-(((VLOOKUP(EDATE(B211,-12),Database!$A:$AS,MATCH($L$1,Database!$A$1:$AS$1,),)))))/(((VLOOKUP(EDATE(B211,-12),Database!$A:$AS,MATCH($L$1,Database!$A$1:$AS$1,),))))</f>
        <v/>
      </c>
      <c r="M211" s="13">
        <f>((((VLOOKUP(B211,Database!$A:$AS,MATCH($M$1,Database!$A$1:$AS$1,),))))-(((VLOOKUP(EDATE(B211,-12),Database!$A:$AS,MATCH($M$1,Database!$A$1:$AS$1,),)))))/(((VLOOKUP(EDATE(B211,-12),Database!$A:$AS,MATCH($M$1,Database!$A$1:$AS$1,),))))</f>
        <v/>
      </c>
      <c r="N211" s="13">
        <f>((((VLOOKUP(B211,Database!$A:$AS,MATCH($N$1,Database!$A$1:$AS$1,),))))-(((VLOOKUP(EDATE(B211,-12),Database!$A:$AS,MATCH($N$1,Database!$A$1:$AS$1,),)))))/(((VLOOKUP(EDATE(B211,-12),Database!$A:$AS,MATCH($N$1,Database!$A$1:$AS$1,),))))</f>
        <v/>
      </c>
      <c r="O211" s="13">
        <f>IF(VLOOKUP(B211,Database!$A:$AV,MATCH($O$1,Database!$A$1:$AV$1,),)=0,"#N/A",((((VLOOKUP(B211,Database!$A:$AS,MATCH($O$1,Database!$A$1:$AS$1,),))))-(((VLOOKUP(EDATE(B211,-12),Database!$A:$AS,MATCH($O$1,Database!$A$1:$AS$1,),)))))/(((VLOOKUP(EDATE(B211,-12),Database!$A:$AS,MATCH($O$1,Database!$A$1:$AS$1,),)))))</f>
        <v/>
      </c>
      <c r="P211" s="13">
        <f>IF(VLOOKUP(B211,Database!$A:$AV,MATCH($P$1,Database!$A$1:$AV$1,),)=0,"#N/A",((((VLOOKUP(B211,Database!$A:$AS,MATCH($P$1,Database!$A$1:$AS$1,),))))-(((VLOOKUP(EDATE(B211,-12),Database!$A:$AS,MATCH($P$1,Database!$A$1:$AS$1,),)))))/(((VLOOKUP(EDATE(B211,-12),Database!$A:$AS,MATCH($P$1,Database!$A$1:$AS$1,),)))))</f>
        <v/>
      </c>
      <c r="Q211" s="13">
        <f>IF(VLOOKUP(B211,Database!$A:$AV,MATCH($Q$1,Database!$A$1:$AV$1,),)=0,"#N/A",((((VLOOKUP(B211,Database!$A:$AS,MATCH($Q$1,Database!$A$1:$AS$1,),))))-(((VLOOKUP(EDATE(B211,-12),Database!$A:$AS,MATCH($Q$1,Database!$A$1:$AS$1,),)))))/(((VLOOKUP(EDATE(B211,-12),Database!$A:$AS,MATCH($Q$1,Database!$A$1:$AS$1,),)))))</f>
        <v/>
      </c>
      <c r="R211" s="13">
        <f>IF(VLOOKUP(B211,Database!$A:$AV,MATCH($R$1,Database!$A$1:$AV$1,),)=0,"#N/A",((((VLOOKUP(B211,Database!$A:$AS,MATCH($R$1,Database!$A$1:$AS$1,),))))-(((VLOOKUP(EDATE(B211,-12),Database!$A:$AS,MATCH($R$1,Database!$A$1:$AS$1,),)))))/(((VLOOKUP(EDATE(B211,-12),Database!$A:$AS,MATCH($R$1,Database!$A$1:$AS$1,),)))))</f>
        <v/>
      </c>
      <c r="S211" s="13">
        <f>IF(VLOOKUP(B211,Database!$A:$AV,MATCH($S$1,Database!$A$1:$AV$1,),)=0,"#N/A",((((VLOOKUP(B211,Database!$A:$AS,MATCH($S$1,Database!$A$1:$AS$1,),))))-(((VLOOKUP(EDATE(B211,-12),Database!$A:$AS,MATCH($S$1,Database!$A$1:$AS$1,),)))))/(((VLOOKUP(EDATE(B211,-12),Database!$A:$AS,MATCH($S$1,Database!$A$1:$AS$1,),)))))</f>
        <v/>
      </c>
      <c r="T211" s="13">
        <f>IF(VLOOKUP(B211,Database!$A:$AV,MATCH($T$1,Database!$A$1:$AV$1,),)=0,"#N/A",((((VLOOKUP(B211,Database!$A:$AS,MATCH($T$1,Database!$A$1:$AS$1,),))))-(((VLOOKUP(EDATE(B211,-12),Database!$A:$AS,MATCH($T$1,Database!$A$1:$AS$1,),)))))/(((VLOOKUP(EDATE(B211,-12),Database!$A:$AS,MATCH($T$1,Database!$A$1:$AS$1,),)))))</f>
        <v/>
      </c>
      <c r="U211" s="13">
        <f>IF(VLOOKUP(B211,Database!$A:$AV,MATCH($U$1,Database!$A$1:$AV$1,),)=0,"#N/A",((((VLOOKUP(B211,Database!$A:$AS,MATCH($U$1,Database!$A$1:$AS$1,),))))-(((VLOOKUP(EDATE(B211,-12),Database!$A:$AS,MATCH($U$1,Database!$A$1:$AS$1,),)))))/(((VLOOKUP(EDATE(B211,-12),Database!$A:$AS,MATCH($U$1,Database!$A$1:$AS$1,),)))))</f>
        <v/>
      </c>
      <c r="V211" s="13">
        <f>IF(VLOOKUP(B211,Database!$A:$AV,MATCH($V$1,Database!$A$1:$AV$1,),)=0,"#N/A",((((VLOOKUP(B211,Database!$A:$AS,MATCH($V$1,Database!$A$1:$AS$1,),))))-(((VLOOKUP(EDATE(B211,-12),Database!$A:$AS,MATCH($V$1,Database!$A$1:$AS$1,),)))))/(((VLOOKUP(EDATE(B211,-12),Database!$A:$AS,MATCH($V$1,Database!$A$1:$AS$1,),)))))</f>
        <v/>
      </c>
    </row>
    <row r="212" customFormat="1" s="86">
      <c r="A212" s="43" t="n"/>
      <c r="B212" s="75" t="n">
        <v>38596</v>
      </c>
      <c r="C212" s="13">
        <f>IF(VLOOKUP(B212,Database!$A:$AU,MATCH($C$1,Database!$A$1:$AU$1,),)=0,"#N/A",((((VLOOKUP(B212,Database!$A:$AU,MATCH($C$1,Database!$A$1:$AU$1,),))))-(((VLOOKUP(EDATE(B212,-12),Database!$A:$AU,MATCH($C$1,Database!$A$1:$AU$1,),)))))/(((VLOOKUP(EDATE(B212,-12),Database!$A:$AU,MATCH($C$1,Database!$A$1:$AU$1,),)))))</f>
        <v/>
      </c>
      <c r="D212" s="13">
        <f>IF(VLOOKUP(B212,Database!$A:$AV,MATCH($D$1,Database!$A$1:$AV$1,),)=0,"#N/A",((((VLOOKUP(B212,Database!$A:$AS,MATCH($D$1,Database!$A$1:$AS$1,),))))-(((VLOOKUP(EDATE(B212,-12),Database!$A:$AS,MATCH($D$1,Database!$A$1:$AS$1,),)))))/(((VLOOKUP(EDATE(B212,-12),Database!$A:$AS,MATCH($D$1,Database!$A$1:$AS$1,),)))))</f>
        <v/>
      </c>
      <c r="E212" s="13">
        <f>IF(VLOOKUP(B212,Database!$A:$AV,MATCH($E$1,Database!$A$1:$AV$1,),)=0,"#N/A",((((VLOOKUP(B212,Database!$A:$AS,MATCH($E$1,Database!$A$1:$AS$1,),))))-(((VLOOKUP(EDATE(B212,-12),Database!$A:$AS,MATCH($E$1,Database!$A$1:$AS$1,),)))))/(((VLOOKUP(EDATE(B212,-12),Database!$A:$AS,MATCH($E$1,Database!$A$1:$AS$1,),)))))</f>
        <v/>
      </c>
      <c r="F212" s="13">
        <f>IF(VLOOKUP(B212,Database!$A:$AV,MATCH($F$1,Database!$A$1:$AV$1,),)=0,"#N/A",((((VLOOKUP(B212,Database!$A:$AS,MATCH($F$1,Database!$A$1:$AS$1,),))))-(((VLOOKUP(EDATE(B212,-12),Database!$A:$AS,MATCH($F$1,Database!$A$1:$AS$1,),)))))/(((VLOOKUP(EDATE(B212,-12),Database!$A:$AS,MATCH($F$1,Database!$A$1:$AS$1,),)))))</f>
        <v/>
      </c>
      <c r="G212" s="13">
        <f>IF(VLOOKUP(B212,Database!$A:$AV,MATCH($G$1,Database!$A$1:$AV$1,),)=0,"#N/A",((((VLOOKUP(B212,Database!$A:$AS,MATCH($G$1,Database!$A$1:$AS$1,),))))-(((VLOOKUP(EDATE(B212,-12),Database!$A:$AS,MATCH($G$1,Database!$A$1:$AS$1,),)))))/(((VLOOKUP(EDATE(B212,-12),Database!$A:$AS,MATCH($G$1,Database!$A$1:$AS$1,),)))))</f>
        <v/>
      </c>
      <c r="H212" s="13">
        <f>IF(VLOOKUP(B212,Database!$A:$AV,MATCH($H$1,Database!$A$1:$AV$1,),)=0,"#N/A",((((VLOOKUP(B212,Database!$A:$AS,MATCH($H$1,Database!$A$1:$AS$1,),))))-(((VLOOKUP(EDATE(B212,-12),Database!$A:$AS,MATCH($H$1,Database!$A$1:$AS$1,),)))))/(((VLOOKUP(EDATE(B212,-12),Database!$A:$AS,MATCH($H$1,Database!$A$1:$AS$1,),)))))</f>
        <v/>
      </c>
      <c r="I212" s="13">
        <f>IF(VLOOKUP(B212,Database!$A:$AV,MATCH($I$1,Database!$A$1:$AV$1,),)=0,"#N/A",((((VLOOKUP(B212,Database!$A:$AS,MATCH($I$1,Database!$A$1:$AS$1,),))))-(((VLOOKUP(EDATE(B212,-12),Database!$A:$AS,MATCH($I$1,Database!$A$1:$AS$1,),)))))/(((VLOOKUP(EDATE(B212,-12),Database!$A:$AS,MATCH($I$1,Database!$A$1:$AS$1,),)))))</f>
        <v/>
      </c>
      <c r="J212" s="13">
        <f>IF(VLOOKUP(B212,Database!$A:$AV,MATCH($J$1,Database!$A$1:$AV$1,),)=0,"#N/A",((((VLOOKUP(B212,Database!$A:$AS,MATCH($J$1,Database!$A$1:$AS$1,),))))-(((VLOOKUP(EDATE(B212,-12),Database!$A:$AS,MATCH($J$1,Database!$A$1:$AS$1,),)))))/(((VLOOKUP(EDATE(B212,-12),Database!$A:$AS,MATCH($J$1,Database!$A$1:$AS$1,),)))))</f>
        <v/>
      </c>
      <c r="K212" s="13">
        <f>IF(VLOOKUP(B212,Database!$A:$AV,MATCH($K$1,Database!$A$1:$AV$1,),)=0,"#N/A",((((VLOOKUP(B212,Database!$A:$AS,MATCH($K$1,Database!$A$1:$AS$1,),))))-(((VLOOKUP(EDATE(B212,-12),Database!$A:$AS,MATCH($K$1,Database!$A$1:$AS$1,),)))))/(((VLOOKUP(EDATE(B212,-12),Database!$A:$AS,MATCH($K$1,Database!$A$1:$AS$1,),)))))</f>
        <v/>
      </c>
      <c r="L212" s="13">
        <f>((((VLOOKUP(B212,Database!$A:$AS,MATCH($L$1,Database!$A$1:$AS$1,),))))-(((VLOOKUP(EDATE(B212,-12),Database!$A:$AS,MATCH($L$1,Database!$A$1:$AS$1,),)))))/(((VLOOKUP(EDATE(B212,-12),Database!$A:$AS,MATCH($L$1,Database!$A$1:$AS$1,),))))</f>
        <v/>
      </c>
      <c r="M212" s="13">
        <f>((((VLOOKUP(B212,Database!$A:$AS,MATCH($M$1,Database!$A$1:$AS$1,),))))-(((VLOOKUP(EDATE(B212,-12),Database!$A:$AS,MATCH($M$1,Database!$A$1:$AS$1,),)))))/(((VLOOKUP(EDATE(B212,-12),Database!$A:$AS,MATCH($M$1,Database!$A$1:$AS$1,),))))</f>
        <v/>
      </c>
      <c r="N212" s="13">
        <f>((((VLOOKUP(B212,Database!$A:$AS,MATCH($N$1,Database!$A$1:$AS$1,),))))-(((VLOOKUP(EDATE(B212,-12),Database!$A:$AS,MATCH($N$1,Database!$A$1:$AS$1,),)))))/(((VLOOKUP(EDATE(B212,-12),Database!$A:$AS,MATCH($N$1,Database!$A$1:$AS$1,),))))</f>
        <v/>
      </c>
      <c r="O212" s="13">
        <f>IF(VLOOKUP(B212,Database!$A:$AV,MATCH($O$1,Database!$A$1:$AV$1,),)=0,"#N/A",((((VLOOKUP(B212,Database!$A:$AS,MATCH($O$1,Database!$A$1:$AS$1,),))))-(((VLOOKUP(EDATE(B212,-12),Database!$A:$AS,MATCH($O$1,Database!$A$1:$AS$1,),)))))/(((VLOOKUP(EDATE(B212,-12),Database!$A:$AS,MATCH($O$1,Database!$A$1:$AS$1,),)))))</f>
        <v/>
      </c>
      <c r="P212" s="13">
        <f>IF(VLOOKUP(B212,Database!$A:$AV,MATCH($P$1,Database!$A$1:$AV$1,),)=0,"#N/A",((((VLOOKUP(B212,Database!$A:$AS,MATCH($P$1,Database!$A$1:$AS$1,),))))-(((VLOOKUP(EDATE(B212,-12),Database!$A:$AS,MATCH($P$1,Database!$A$1:$AS$1,),)))))/(((VLOOKUP(EDATE(B212,-12),Database!$A:$AS,MATCH($P$1,Database!$A$1:$AS$1,),)))))</f>
        <v/>
      </c>
      <c r="Q212" s="13">
        <f>IF(VLOOKUP(B212,Database!$A:$AV,MATCH($Q$1,Database!$A$1:$AV$1,),)=0,"#N/A",((((VLOOKUP(B212,Database!$A:$AS,MATCH($Q$1,Database!$A$1:$AS$1,),))))-(((VLOOKUP(EDATE(B212,-12),Database!$A:$AS,MATCH($Q$1,Database!$A$1:$AS$1,),)))))/(((VLOOKUP(EDATE(B212,-12),Database!$A:$AS,MATCH($Q$1,Database!$A$1:$AS$1,),)))))</f>
        <v/>
      </c>
      <c r="R212" s="13">
        <f>IF(VLOOKUP(B212,Database!$A:$AV,MATCH($R$1,Database!$A$1:$AV$1,),)=0,"#N/A",((((VLOOKUP(B212,Database!$A:$AS,MATCH($R$1,Database!$A$1:$AS$1,),))))-(((VLOOKUP(EDATE(B212,-12),Database!$A:$AS,MATCH($R$1,Database!$A$1:$AS$1,),)))))/(((VLOOKUP(EDATE(B212,-12),Database!$A:$AS,MATCH($R$1,Database!$A$1:$AS$1,),)))))</f>
        <v/>
      </c>
      <c r="S212" s="13">
        <f>IF(VLOOKUP(B212,Database!$A:$AV,MATCH($S$1,Database!$A$1:$AV$1,),)=0,"#N/A",((((VLOOKUP(B212,Database!$A:$AS,MATCH($S$1,Database!$A$1:$AS$1,),))))-(((VLOOKUP(EDATE(B212,-12),Database!$A:$AS,MATCH($S$1,Database!$A$1:$AS$1,),)))))/(((VLOOKUP(EDATE(B212,-12),Database!$A:$AS,MATCH($S$1,Database!$A$1:$AS$1,),)))))</f>
        <v/>
      </c>
      <c r="T212" s="13">
        <f>IF(VLOOKUP(B212,Database!$A:$AV,MATCH($T$1,Database!$A$1:$AV$1,),)=0,"#N/A",((((VLOOKUP(B212,Database!$A:$AS,MATCH($T$1,Database!$A$1:$AS$1,),))))-(((VLOOKUP(EDATE(B212,-12),Database!$A:$AS,MATCH($T$1,Database!$A$1:$AS$1,),)))))/(((VLOOKUP(EDATE(B212,-12),Database!$A:$AS,MATCH($T$1,Database!$A$1:$AS$1,),)))))</f>
        <v/>
      </c>
      <c r="U212" s="13">
        <f>IF(VLOOKUP(B212,Database!$A:$AV,MATCH($U$1,Database!$A$1:$AV$1,),)=0,"#N/A",((((VLOOKUP(B212,Database!$A:$AS,MATCH($U$1,Database!$A$1:$AS$1,),))))-(((VLOOKUP(EDATE(B212,-12),Database!$A:$AS,MATCH($U$1,Database!$A$1:$AS$1,),)))))/(((VLOOKUP(EDATE(B212,-12),Database!$A:$AS,MATCH($U$1,Database!$A$1:$AS$1,),)))))</f>
        <v/>
      </c>
      <c r="V212" s="13">
        <f>IF(VLOOKUP(B212,Database!$A:$AV,MATCH($V$1,Database!$A$1:$AV$1,),)=0,"#N/A",((((VLOOKUP(B212,Database!$A:$AS,MATCH($V$1,Database!$A$1:$AS$1,),))))-(((VLOOKUP(EDATE(B212,-12),Database!$A:$AS,MATCH($V$1,Database!$A$1:$AS$1,),)))))/(((VLOOKUP(EDATE(B212,-12),Database!$A:$AS,MATCH($V$1,Database!$A$1:$AS$1,),)))))</f>
        <v/>
      </c>
    </row>
    <row r="213" customFormat="1" s="86">
      <c r="A213" s="43" t="n"/>
      <c r="B213" s="75" t="n">
        <v>38626</v>
      </c>
      <c r="C213" s="13">
        <f>IF(VLOOKUP(B213,Database!$A:$AU,MATCH($C$1,Database!$A$1:$AU$1,),)=0,"#N/A",((((VLOOKUP(B213,Database!$A:$AU,MATCH($C$1,Database!$A$1:$AU$1,),))))-(((VLOOKUP(EDATE(B213,-12),Database!$A:$AU,MATCH($C$1,Database!$A$1:$AU$1,),)))))/(((VLOOKUP(EDATE(B213,-12),Database!$A:$AU,MATCH($C$1,Database!$A$1:$AU$1,),)))))</f>
        <v/>
      </c>
      <c r="D213" s="13">
        <f>IF(VLOOKUP(B213,Database!$A:$AV,MATCH($D$1,Database!$A$1:$AV$1,),)=0,"#N/A",((((VLOOKUP(B213,Database!$A:$AS,MATCH($D$1,Database!$A$1:$AS$1,),))))-(((VLOOKUP(EDATE(B213,-12),Database!$A:$AS,MATCH($D$1,Database!$A$1:$AS$1,),)))))/(((VLOOKUP(EDATE(B213,-12),Database!$A:$AS,MATCH($D$1,Database!$A$1:$AS$1,),)))))</f>
        <v/>
      </c>
      <c r="E213" s="13">
        <f>IF(VLOOKUP(B213,Database!$A:$AV,MATCH($E$1,Database!$A$1:$AV$1,),)=0,"#N/A",((((VLOOKUP(B213,Database!$A:$AS,MATCH($E$1,Database!$A$1:$AS$1,),))))-(((VLOOKUP(EDATE(B213,-12),Database!$A:$AS,MATCH($E$1,Database!$A$1:$AS$1,),)))))/(((VLOOKUP(EDATE(B213,-12),Database!$A:$AS,MATCH($E$1,Database!$A$1:$AS$1,),)))))</f>
        <v/>
      </c>
      <c r="F213" s="13">
        <f>IF(VLOOKUP(B213,Database!$A:$AV,MATCH($F$1,Database!$A$1:$AV$1,),)=0,"#N/A",((((VLOOKUP(B213,Database!$A:$AS,MATCH($F$1,Database!$A$1:$AS$1,),))))-(((VLOOKUP(EDATE(B213,-12),Database!$A:$AS,MATCH($F$1,Database!$A$1:$AS$1,),)))))/(((VLOOKUP(EDATE(B213,-12),Database!$A:$AS,MATCH($F$1,Database!$A$1:$AS$1,),)))))</f>
        <v/>
      </c>
      <c r="G213" s="13">
        <f>IF(VLOOKUP(B213,Database!$A:$AV,MATCH($G$1,Database!$A$1:$AV$1,),)=0,"#N/A",((((VLOOKUP(B213,Database!$A:$AS,MATCH($G$1,Database!$A$1:$AS$1,),))))-(((VLOOKUP(EDATE(B213,-12),Database!$A:$AS,MATCH($G$1,Database!$A$1:$AS$1,),)))))/(((VLOOKUP(EDATE(B213,-12),Database!$A:$AS,MATCH($G$1,Database!$A$1:$AS$1,),)))))</f>
        <v/>
      </c>
      <c r="H213" s="13">
        <f>IF(VLOOKUP(B213,Database!$A:$AV,MATCH($H$1,Database!$A$1:$AV$1,),)=0,"#N/A",((((VLOOKUP(B213,Database!$A:$AS,MATCH($H$1,Database!$A$1:$AS$1,),))))-(((VLOOKUP(EDATE(B213,-12),Database!$A:$AS,MATCH($H$1,Database!$A$1:$AS$1,),)))))/(((VLOOKUP(EDATE(B213,-12),Database!$A:$AS,MATCH($H$1,Database!$A$1:$AS$1,),)))))</f>
        <v/>
      </c>
      <c r="I213" s="13">
        <f>IF(VLOOKUP(B213,Database!$A:$AV,MATCH($I$1,Database!$A$1:$AV$1,),)=0,"#N/A",((((VLOOKUP(B213,Database!$A:$AS,MATCH($I$1,Database!$A$1:$AS$1,),))))-(((VLOOKUP(EDATE(B213,-12),Database!$A:$AS,MATCH($I$1,Database!$A$1:$AS$1,),)))))/(((VLOOKUP(EDATE(B213,-12),Database!$A:$AS,MATCH($I$1,Database!$A$1:$AS$1,),)))))</f>
        <v/>
      </c>
      <c r="J213" s="13">
        <f>IF(VLOOKUP(B213,Database!$A:$AV,MATCH($J$1,Database!$A$1:$AV$1,),)=0,"#N/A",((((VLOOKUP(B213,Database!$A:$AS,MATCH($J$1,Database!$A$1:$AS$1,),))))-(((VLOOKUP(EDATE(B213,-12),Database!$A:$AS,MATCH($J$1,Database!$A$1:$AS$1,),)))))/(((VLOOKUP(EDATE(B213,-12),Database!$A:$AS,MATCH($J$1,Database!$A$1:$AS$1,),)))))</f>
        <v/>
      </c>
      <c r="K213" s="13">
        <f>IF(VLOOKUP(B213,Database!$A:$AV,MATCH($K$1,Database!$A$1:$AV$1,),)=0,"#N/A",((((VLOOKUP(B213,Database!$A:$AS,MATCH($K$1,Database!$A$1:$AS$1,),))))-(((VLOOKUP(EDATE(B213,-12),Database!$A:$AS,MATCH($K$1,Database!$A$1:$AS$1,),)))))/(((VLOOKUP(EDATE(B213,-12),Database!$A:$AS,MATCH($K$1,Database!$A$1:$AS$1,),)))))</f>
        <v/>
      </c>
      <c r="L213" s="13">
        <f>((((VLOOKUP(B213,Database!$A:$AS,MATCH($L$1,Database!$A$1:$AS$1,),))))-(((VLOOKUP(EDATE(B213,-12),Database!$A:$AS,MATCH($L$1,Database!$A$1:$AS$1,),)))))/(((VLOOKUP(EDATE(B213,-12),Database!$A:$AS,MATCH($L$1,Database!$A$1:$AS$1,),))))</f>
        <v/>
      </c>
      <c r="M213" s="13">
        <f>((((VLOOKUP(B213,Database!$A:$AS,MATCH($M$1,Database!$A$1:$AS$1,),))))-(((VLOOKUP(EDATE(B213,-12),Database!$A:$AS,MATCH($M$1,Database!$A$1:$AS$1,),)))))/(((VLOOKUP(EDATE(B213,-12),Database!$A:$AS,MATCH($M$1,Database!$A$1:$AS$1,),))))</f>
        <v/>
      </c>
      <c r="N213" s="13">
        <f>((((VLOOKUP(B213,Database!$A:$AS,MATCH($N$1,Database!$A$1:$AS$1,),))))-(((VLOOKUP(EDATE(B213,-12),Database!$A:$AS,MATCH($N$1,Database!$A$1:$AS$1,),)))))/(((VLOOKUP(EDATE(B213,-12),Database!$A:$AS,MATCH($N$1,Database!$A$1:$AS$1,),))))</f>
        <v/>
      </c>
      <c r="O213" s="13">
        <f>IF(VLOOKUP(B213,Database!$A:$AV,MATCH($O$1,Database!$A$1:$AV$1,),)=0,"#N/A",((((VLOOKUP(B213,Database!$A:$AS,MATCH($O$1,Database!$A$1:$AS$1,),))))-(((VLOOKUP(EDATE(B213,-12),Database!$A:$AS,MATCH($O$1,Database!$A$1:$AS$1,),)))))/(((VLOOKUP(EDATE(B213,-12),Database!$A:$AS,MATCH($O$1,Database!$A$1:$AS$1,),)))))</f>
        <v/>
      </c>
      <c r="P213" s="13">
        <f>IF(VLOOKUP(B213,Database!$A:$AV,MATCH($P$1,Database!$A$1:$AV$1,),)=0,"#N/A",((((VLOOKUP(B213,Database!$A:$AS,MATCH($P$1,Database!$A$1:$AS$1,),))))-(((VLOOKUP(EDATE(B213,-12),Database!$A:$AS,MATCH($P$1,Database!$A$1:$AS$1,),)))))/(((VLOOKUP(EDATE(B213,-12),Database!$A:$AS,MATCH($P$1,Database!$A$1:$AS$1,),)))))</f>
        <v/>
      </c>
      <c r="Q213" s="13">
        <f>IF(VLOOKUP(B213,Database!$A:$AV,MATCH($Q$1,Database!$A$1:$AV$1,),)=0,"#N/A",((((VLOOKUP(B213,Database!$A:$AS,MATCH($Q$1,Database!$A$1:$AS$1,),))))-(((VLOOKUP(EDATE(B213,-12),Database!$A:$AS,MATCH($Q$1,Database!$A$1:$AS$1,),)))))/(((VLOOKUP(EDATE(B213,-12),Database!$A:$AS,MATCH($Q$1,Database!$A$1:$AS$1,),)))))</f>
        <v/>
      </c>
      <c r="R213" s="13">
        <f>IF(VLOOKUP(B213,Database!$A:$AV,MATCH($R$1,Database!$A$1:$AV$1,),)=0,"#N/A",((((VLOOKUP(B213,Database!$A:$AS,MATCH($R$1,Database!$A$1:$AS$1,),))))-(((VLOOKUP(EDATE(B213,-12),Database!$A:$AS,MATCH($R$1,Database!$A$1:$AS$1,),)))))/(((VLOOKUP(EDATE(B213,-12),Database!$A:$AS,MATCH($R$1,Database!$A$1:$AS$1,),)))))</f>
        <v/>
      </c>
      <c r="S213" s="13">
        <f>IF(VLOOKUP(B213,Database!$A:$AV,MATCH($S$1,Database!$A$1:$AV$1,),)=0,"#N/A",((((VLOOKUP(B213,Database!$A:$AS,MATCH($S$1,Database!$A$1:$AS$1,),))))-(((VLOOKUP(EDATE(B213,-12),Database!$A:$AS,MATCH($S$1,Database!$A$1:$AS$1,),)))))/(((VLOOKUP(EDATE(B213,-12),Database!$A:$AS,MATCH($S$1,Database!$A$1:$AS$1,),)))))</f>
        <v/>
      </c>
      <c r="T213" s="13">
        <f>IF(VLOOKUP(B213,Database!$A:$AV,MATCH($T$1,Database!$A$1:$AV$1,),)=0,"#N/A",((((VLOOKUP(B213,Database!$A:$AS,MATCH($T$1,Database!$A$1:$AS$1,),))))-(((VLOOKUP(EDATE(B213,-12),Database!$A:$AS,MATCH($T$1,Database!$A$1:$AS$1,),)))))/(((VLOOKUP(EDATE(B213,-12),Database!$A:$AS,MATCH($T$1,Database!$A$1:$AS$1,),)))))</f>
        <v/>
      </c>
      <c r="U213" s="13">
        <f>IF(VLOOKUP(B213,Database!$A:$AV,MATCH($U$1,Database!$A$1:$AV$1,),)=0,"#N/A",((((VLOOKUP(B213,Database!$A:$AS,MATCH($U$1,Database!$A$1:$AS$1,),))))-(((VLOOKUP(EDATE(B213,-12),Database!$A:$AS,MATCH($U$1,Database!$A$1:$AS$1,),)))))/(((VLOOKUP(EDATE(B213,-12),Database!$A:$AS,MATCH($U$1,Database!$A$1:$AS$1,),)))))</f>
        <v/>
      </c>
      <c r="V213" s="13">
        <f>IF(VLOOKUP(B213,Database!$A:$AV,MATCH($V$1,Database!$A$1:$AV$1,),)=0,"#N/A",((((VLOOKUP(B213,Database!$A:$AS,MATCH($V$1,Database!$A$1:$AS$1,),))))-(((VLOOKUP(EDATE(B213,-12),Database!$A:$AS,MATCH($V$1,Database!$A$1:$AS$1,),)))))/(((VLOOKUP(EDATE(B213,-12),Database!$A:$AS,MATCH($V$1,Database!$A$1:$AS$1,),)))))</f>
        <v/>
      </c>
    </row>
    <row r="214" customFormat="1" s="86">
      <c r="A214" s="43" t="n"/>
      <c r="B214" s="75" t="n">
        <v>38657</v>
      </c>
      <c r="C214" s="13">
        <f>IF(VLOOKUP(B214,Database!$A:$AU,MATCH($C$1,Database!$A$1:$AU$1,),)=0,"#N/A",((((VLOOKUP(B214,Database!$A:$AU,MATCH($C$1,Database!$A$1:$AU$1,),))))-(((VLOOKUP(EDATE(B214,-12),Database!$A:$AU,MATCH($C$1,Database!$A$1:$AU$1,),)))))/(((VLOOKUP(EDATE(B214,-12),Database!$A:$AU,MATCH($C$1,Database!$A$1:$AU$1,),)))))</f>
        <v/>
      </c>
      <c r="D214" s="13">
        <f>IF(VLOOKUP(B214,Database!$A:$AV,MATCH($D$1,Database!$A$1:$AV$1,),)=0,"#N/A",((((VLOOKUP(B214,Database!$A:$AS,MATCH($D$1,Database!$A$1:$AS$1,),))))-(((VLOOKUP(EDATE(B214,-12),Database!$A:$AS,MATCH($D$1,Database!$A$1:$AS$1,),)))))/(((VLOOKUP(EDATE(B214,-12),Database!$A:$AS,MATCH($D$1,Database!$A$1:$AS$1,),)))))</f>
        <v/>
      </c>
      <c r="E214" s="13">
        <f>IF(VLOOKUP(B214,Database!$A:$AV,MATCH($E$1,Database!$A$1:$AV$1,),)=0,"#N/A",((((VLOOKUP(B214,Database!$A:$AS,MATCH($E$1,Database!$A$1:$AS$1,),))))-(((VLOOKUP(EDATE(B214,-12),Database!$A:$AS,MATCH($E$1,Database!$A$1:$AS$1,),)))))/(((VLOOKUP(EDATE(B214,-12),Database!$A:$AS,MATCH($E$1,Database!$A$1:$AS$1,),)))))</f>
        <v/>
      </c>
      <c r="F214" s="13">
        <f>IF(VLOOKUP(B214,Database!$A:$AV,MATCH($F$1,Database!$A$1:$AV$1,),)=0,"#N/A",((((VLOOKUP(B214,Database!$A:$AS,MATCH($F$1,Database!$A$1:$AS$1,),))))-(((VLOOKUP(EDATE(B214,-12),Database!$A:$AS,MATCH($F$1,Database!$A$1:$AS$1,),)))))/(((VLOOKUP(EDATE(B214,-12),Database!$A:$AS,MATCH($F$1,Database!$A$1:$AS$1,),)))))</f>
        <v/>
      </c>
      <c r="G214" s="13">
        <f>IF(VLOOKUP(B214,Database!$A:$AV,MATCH($G$1,Database!$A$1:$AV$1,),)=0,"#N/A",((((VLOOKUP(B214,Database!$A:$AS,MATCH($G$1,Database!$A$1:$AS$1,),))))-(((VLOOKUP(EDATE(B214,-12),Database!$A:$AS,MATCH($G$1,Database!$A$1:$AS$1,),)))))/(((VLOOKUP(EDATE(B214,-12),Database!$A:$AS,MATCH($G$1,Database!$A$1:$AS$1,),)))))</f>
        <v/>
      </c>
      <c r="H214" s="13">
        <f>IF(VLOOKUP(B214,Database!$A:$AV,MATCH($H$1,Database!$A$1:$AV$1,),)=0,"#N/A",((((VLOOKUP(B214,Database!$A:$AS,MATCH($H$1,Database!$A$1:$AS$1,),))))-(((VLOOKUP(EDATE(B214,-12),Database!$A:$AS,MATCH($H$1,Database!$A$1:$AS$1,),)))))/(((VLOOKUP(EDATE(B214,-12),Database!$A:$AS,MATCH($H$1,Database!$A$1:$AS$1,),)))))</f>
        <v/>
      </c>
      <c r="I214" s="13">
        <f>IF(VLOOKUP(B214,Database!$A:$AV,MATCH($I$1,Database!$A$1:$AV$1,),)=0,"#N/A",((((VLOOKUP(B214,Database!$A:$AS,MATCH($I$1,Database!$A$1:$AS$1,),))))-(((VLOOKUP(EDATE(B214,-12),Database!$A:$AS,MATCH($I$1,Database!$A$1:$AS$1,),)))))/(((VLOOKUP(EDATE(B214,-12),Database!$A:$AS,MATCH($I$1,Database!$A$1:$AS$1,),)))))</f>
        <v/>
      </c>
      <c r="J214" s="13">
        <f>IF(VLOOKUP(B214,Database!$A:$AV,MATCH($J$1,Database!$A$1:$AV$1,),)=0,"#N/A",((((VLOOKUP(B214,Database!$A:$AS,MATCH($J$1,Database!$A$1:$AS$1,),))))-(((VLOOKUP(EDATE(B214,-12),Database!$A:$AS,MATCH($J$1,Database!$A$1:$AS$1,),)))))/(((VLOOKUP(EDATE(B214,-12),Database!$A:$AS,MATCH($J$1,Database!$A$1:$AS$1,),)))))</f>
        <v/>
      </c>
      <c r="K214" s="13">
        <f>IF(VLOOKUP(B214,Database!$A:$AV,MATCH($K$1,Database!$A$1:$AV$1,),)=0,"#N/A",((((VLOOKUP(B214,Database!$A:$AS,MATCH($K$1,Database!$A$1:$AS$1,),))))-(((VLOOKUP(EDATE(B214,-12),Database!$A:$AS,MATCH($K$1,Database!$A$1:$AS$1,),)))))/(((VLOOKUP(EDATE(B214,-12),Database!$A:$AS,MATCH($K$1,Database!$A$1:$AS$1,),)))))</f>
        <v/>
      </c>
      <c r="L214" s="13">
        <f>((((VLOOKUP(B214,Database!$A:$AS,MATCH($L$1,Database!$A$1:$AS$1,),))))-(((VLOOKUP(EDATE(B214,-12),Database!$A:$AS,MATCH($L$1,Database!$A$1:$AS$1,),)))))/(((VLOOKUP(EDATE(B214,-12),Database!$A:$AS,MATCH($L$1,Database!$A$1:$AS$1,),))))</f>
        <v/>
      </c>
      <c r="M214" s="13">
        <f>((((VLOOKUP(B214,Database!$A:$AS,MATCH($M$1,Database!$A$1:$AS$1,),))))-(((VLOOKUP(EDATE(B214,-12),Database!$A:$AS,MATCH($M$1,Database!$A$1:$AS$1,),)))))/(((VLOOKUP(EDATE(B214,-12),Database!$A:$AS,MATCH($M$1,Database!$A$1:$AS$1,),))))</f>
        <v/>
      </c>
      <c r="N214" s="13">
        <f>((((VLOOKUP(B214,Database!$A:$AS,MATCH($N$1,Database!$A$1:$AS$1,),))))-(((VLOOKUP(EDATE(B214,-12),Database!$A:$AS,MATCH($N$1,Database!$A$1:$AS$1,),)))))/(((VLOOKUP(EDATE(B214,-12),Database!$A:$AS,MATCH($N$1,Database!$A$1:$AS$1,),))))</f>
        <v/>
      </c>
      <c r="O214" s="13">
        <f>IF(VLOOKUP(B214,Database!$A:$AV,MATCH($O$1,Database!$A$1:$AV$1,),)=0,"#N/A",((((VLOOKUP(B214,Database!$A:$AS,MATCH($O$1,Database!$A$1:$AS$1,),))))-(((VLOOKUP(EDATE(B214,-12),Database!$A:$AS,MATCH($O$1,Database!$A$1:$AS$1,),)))))/(((VLOOKUP(EDATE(B214,-12),Database!$A:$AS,MATCH($O$1,Database!$A$1:$AS$1,),)))))</f>
        <v/>
      </c>
      <c r="P214" s="13">
        <f>IF(VLOOKUP(B214,Database!$A:$AV,MATCH($P$1,Database!$A$1:$AV$1,),)=0,"#N/A",((((VLOOKUP(B214,Database!$A:$AS,MATCH($P$1,Database!$A$1:$AS$1,),))))-(((VLOOKUP(EDATE(B214,-12),Database!$A:$AS,MATCH($P$1,Database!$A$1:$AS$1,),)))))/(((VLOOKUP(EDATE(B214,-12),Database!$A:$AS,MATCH($P$1,Database!$A$1:$AS$1,),)))))</f>
        <v/>
      </c>
      <c r="Q214" s="13">
        <f>IF(VLOOKUP(B214,Database!$A:$AV,MATCH($Q$1,Database!$A$1:$AV$1,),)=0,"#N/A",((((VLOOKUP(B214,Database!$A:$AS,MATCH($Q$1,Database!$A$1:$AS$1,),))))-(((VLOOKUP(EDATE(B214,-12),Database!$A:$AS,MATCH($Q$1,Database!$A$1:$AS$1,),)))))/(((VLOOKUP(EDATE(B214,-12),Database!$A:$AS,MATCH($Q$1,Database!$A$1:$AS$1,),)))))</f>
        <v/>
      </c>
      <c r="R214" s="13">
        <f>IF(VLOOKUP(B214,Database!$A:$AV,MATCH($R$1,Database!$A$1:$AV$1,),)=0,"#N/A",((((VLOOKUP(B214,Database!$A:$AS,MATCH($R$1,Database!$A$1:$AS$1,),))))-(((VLOOKUP(EDATE(B214,-12),Database!$A:$AS,MATCH($R$1,Database!$A$1:$AS$1,),)))))/(((VLOOKUP(EDATE(B214,-12),Database!$A:$AS,MATCH($R$1,Database!$A$1:$AS$1,),)))))</f>
        <v/>
      </c>
      <c r="S214" s="13">
        <f>IF(VLOOKUP(B214,Database!$A:$AV,MATCH($S$1,Database!$A$1:$AV$1,),)=0,"#N/A",((((VLOOKUP(B214,Database!$A:$AS,MATCH($S$1,Database!$A$1:$AS$1,),))))-(((VLOOKUP(EDATE(B214,-12),Database!$A:$AS,MATCH($S$1,Database!$A$1:$AS$1,),)))))/(((VLOOKUP(EDATE(B214,-12),Database!$A:$AS,MATCH($S$1,Database!$A$1:$AS$1,),)))))</f>
        <v/>
      </c>
      <c r="T214" s="13">
        <f>IF(VLOOKUP(B214,Database!$A:$AV,MATCH($T$1,Database!$A$1:$AV$1,),)=0,"#N/A",((((VLOOKUP(B214,Database!$A:$AS,MATCH($T$1,Database!$A$1:$AS$1,),))))-(((VLOOKUP(EDATE(B214,-12),Database!$A:$AS,MATCH($T$1,Database!$A$1:$AS$1,),)))))/(((VLOOKUP(EDATE(B214,-12),Database!$A:$AS,MATCH($T$1,Database!$A$1:$AS$1,),)))))</f>
        <v/>
      </c>
      <c r="U214" s="13">
        <f>IF(VLOOKUP(B214,Database!$A:$AV,MATCH($U$1,Database!$A$1:$AV$1,),)=0,"#N/A",((((VLOOKUP(B214,Database!$A:$AS,MATCH($U$1,Database!$A$1:$AS$1,),))))-(((VLOOKUP(EDATE(B214,-12),Database!$A:$AS,MATCH($U$1,Database!$A$1:$AS$1,),)))))/(((VLOOKUP(EDATE(B214,-12),Database!$A:$AS,MATCH($U$1,Database!$A$1:$AS$1,),)))))</f>
        <v/>
      </c>
      <c r="V214" s="13">
        <f>IF(VLOOKUP(B214,Database!$A:$AV,MATCH($V$1,Database!$A$1:$AV$1,),)=0,"#N/A",((((VLOOKUP(B214,Database!$A:$AS,MATCH($V$1,Database!$A$1:$AS$1,),))))-(((VLOOKUP(EDATE(B214,-12),Database!$A:$AS,MATCH($V$1,Database!$A$1:$AS$1,),)))))/(((VLOOKUP(EDATE(B214,-12),Database!$A:$AS,MATCH($V$1,Database!$A$1:$AS$1,),)))))</f>
        <v/>
      </c>
    </row>
    <row r="215" customFormat="1" s="86">
      <c r="A215" s="43" t="n"/>
      <c r="B215" s="75" t="n">
        <v>38687</v>
      </c>
      <c r="C215" s="13">
        <f>IF(VLOOKUP(B215,Database!$A:$AU,MATCH($C$1,Database!$A$1:$AU$1,),)=0,"#N/A",((((VLOOKUP(B215,Database!$A:$AU,MATCH($C$1,Database!$A$1:$AU$1,),))))-(((VLOOKUP(EDATE(B215,-12),Database!$A:$AU,MATCH($C$1,Database!$A$1:$AU$1,),)))))/(((VLOOKUP(EDATE(B215,-12),Database!$A:$AU,MATCH($C$1,Database!$A$1:$AU$1,),)))))</f>
        <v/>
      </c>
      <c r="D215" s="13">
        <f>IF(VLOOKUP(B215,Database!$A:$AV,MATCH($D$1,Database!$A$1:$AV$1,),)=0,"#N/A",((((VLOOKUP(B215,Database!$A:$AS,MATCH($D$1,Database!$A$1:$AS$1,),))))-(((VLOOKUP(EDATE(B215,-12),Database!$A:$AS,MATCH($D$1,Database!$A$1:$AS$1,),)))))/(((VLOOKUP(EDATE(B215,-12),Database!$A:$AS,MATCH($D$1,Database!$A$1:$AS$1,),)))))</f>
        <v/>
      </c>
      <c r="E215" s="13">
        <f>IF(VLOOKUP(B215,Database!$A:$AV,MATCH($E$1,Database!$A$1:$AV$1,),)=0,"#N/A",((((VLOOKUP(B215,Database!$A:$AS,MATCH($E$1,Database!$A$1:$AS$1,),))))-(((VLOOKUP(EDATE(B215,-12),Database!$A:$AS,MATCH($E$1,Database!$A$1:$AS$1,),)))))/(((VLOOKUP(EDATE(B215,-12),Database!$A:$AS,MATCH($E$1,Database!$A$1:$AS$1,),)))))</f>
        <v/>
      </c>
      <c r="F215" s="13">
        <f>IF(VLOOKUP(B215,Database!$A:$AV,MATCH($F$1,Database!$A$1:$AV$1,),)=0,"#N/A",((((VLOOKUP(B215,Database!$A:$AS,MATCH($F$1,Database!$A$1:$AS$1,),))))-(((VLOOKUP(EDATE(B215,-12),Database!$A:$AS,MATCH($F$1,Database!$A$1:$AS$1,),)))))/(((VLOOKUP(EDATE(B215,-12),Database!$A:$AS,MATCH($F$1,Database!$A$1:$AS$1,),)))))</f>
        <v/>
      </c>
      <c r="G215" s="13">
        <f>IF(VLOOKUP(B215,Database!$A:$AV,MATCH($G$1,Database!$A$1:$AV$1,),)=0,"#N/A",((((VLOOKUP(B215,Database!$A:$AS,MATCH($G$1,Database!$A$1:$AS$1,),))))-(((VLOOKUP(EDATE(B215,-12),Database!$A:$AS,MATCH($G$1,Database!$A$1:$AS$1,),)))))/(((VLOOKUP(EDATE(B215,-12),Database!$A:$AS,MATCH($G$1,Database!$A$1:$AS$1,),)))))</f>
        <v/>
      </c>
      <c r="H215" s="13">
        <f>IF(VLOOKUP(B215,Database!$A:$AV,MATCH($H$1,Database!$A$1:$AV$1,),)=0,"#N/A",((((VLOOKUP(B215,Database!$A:$AS,MATCH($H$1,Database!$A$1:$AS$1,),))))-(((VLOOKUP(EDATE(B215,-12),Database!$A:$AS,MATCH($H$1,Database!$A$1:$AS$1,),)))))/(((VLOOKUP(EDATE(B215,-12),Database!$A:$AS,MATCH($H$1,Database!$A$1:$AS$1,),)))))</f>
        <v/>
      </c>
      <c r="I215" s="13">
        <f>IF(VLOOKUP(B215,Database!$A:$AV,MATCH($I$1,Database!$A$1:$AV$1,),)=0,"#N/A",((((VLOOKUP(B215,Database!$A:$AS,MATCH($I$1,Database!$A$1:$AS$1,),))))-(((VLOOKUP(EDATE(B215,-12),Database!$A:$AS,MATCH($I$1,Database!$A$1:$AS$1,),)))))/(((VLOOKUP(EDATE(B215,-12),Database!$A:$AS,MATCH($I$1,Database!$A$1:$AS$1,),)))))</f>
        <v/>
      </c>
      <c r="J215" s="13">
        <f>IF(VLOOKUP(B215,Database!$A:$AV,MATCH($J$1,Database!$A$1:$AV$1,),)=0,"#N/A",((((VLOOKUP(B215,Database!$A:$AS,MATCH($J$1,Database!$A$1:$AS$1,),))))-(((VLOOKUP(EDATE(B215,-12),Database!$A:$AS,MATCH($J$1,Database!$A$1:$AS$1,),)))))/(((VLOOKUP(EDATE(B215,-12),Database!$A:$AS,MATCH($J$1,Database!$A$1:$AS$1,),)))))</f>
        <v/>
      </c>
      <c r="K215" s="13">
        <f>IF(VLOOKUP(B215,Database!$A:$AV,MATCH($K$1,Database!$A$1:$AV$1,),)=0,"#N/A",((((VLOOKUP(B215,Database!$A:$AS,MATCH($K$1,Database!$A$1:$AS$1,),))))-(((VLOOKUP(EDATE(B215,-12),Database!$A:$AS,MATCH($K$1,Database!$A$1:$AS$1,),)))))/(((VLOOKUP(EDATE(B215,-12),Database!$A:$AS,MATCH($K$1,Database!$A$1:$AS$1,),)))))</f>
        <v/>
      </c>
      <c r="L215" s="13">
        <f>((((VLOOKUP(B215,Database!$A:$AS,MATCH($L$1,Database!$A$1:$AS$1,),))))-(((VLOOKUP(EDATE(B215,-12),Database!$A:$AS,MATCH($L$1,Database!$A$1:$AS$1,),)))))/(((VLOOKUP(EDATE(B215,-12),Database!$A:$AS,MATCH($L$1,Database!$A$1:$AS$1,),))))</f>
        <v/>
      </c>
      <c r="M215" s="13">
        <f>((((VLOOKUP(B215,Database!$A:$AS,MATCH($M$1,Database!$A$1:$AS$1,),))))-(((VLOOKUP(EDATE(B215,-12),Database!$A:$AS,MATCH($M$1,Database!$A$1:$AS$1,),)))))/(((VLOOKUP(EDATE(B215,-12),Database!$A:$AS,MATCH($M$1,Database!$A$1:$AS$1,),))))</f>
        <v/>
      </c>
      <c r="N215" s="13">
        <f>((((VLOOKUP(B215,Database!$A:$AS,MATCH($N$1,Database!$A$1:$AS$1,),))))-(((VLOOKUP(EDATE(B215,-12),Database!$A:$AS,MATCH($N$1,Database!$A$1:$AS$1,),)))))/(((VLOOKUP(EDATE(B215,-12),Database!$A:$AS,MATCH($N$1,Database!$A$1:$AS$1,),))))</f>
        <v/>
      </c>
      <c r="O215" s="13">
        <f>IF(VLOOKUP(B215,Database!$A:$AV,MATCH($O$1,Database!$A$1:$AV$1,),)=0,"#N/A",((((VLOOKUP(B215,Database!$A:$AS,MATCH($O$1,Database!$A$1:$AS$1,),))))-(((VLOOKUP(EDATE(B215,-12),Database!$A:$AS,MATCH($O$1,Database!$A$1:$AS$1,),)))))/(((VLOOKUP(EDATE(B215,-12),Database!$A:$AS,MATCH($O$1,Database!$A$1:$AS$1,),)))))</f>
        <v/>
      </c>
      <c r="P215" s="13">
        <f>IF(VLOOKUP(B215,Database!$A:$AV,MATCH($P$1,Database!$A$1:$AV$1,),)=0,"#N/A",((((VLOOKUP(B215,Database!$A:$AS,MATCH($P$1,Database!$A$1:$AS$1,),))))-(((VLOOKUP(EDATE(B215,-12),Database!$A:$AS,MATCH($P$1,Database!$A$1:$AS$1,),)))))/(((VLOOKUP(EDATE(B215,-12),Database!$A:$AS,MATCH($P$1,Database!$A$1:$AS$1,),)))))</f>
        <v/>
      </c>
      <c r="Q215" s="13">
        <f>IF(VLOOKUP(B215,Database!$A:$AV,MATCH($Q$1,Database!$A$1:$AV$1,),)=0,"#N/A",((((VLOOKUP(B215,Database!$A:$AS,MATCH($Q$1,Database!$A$1:$AS$1,),))))-(((VLOOKUP(EDATE(B215,-12),Database!$A:$AS,MATCH($Q$1,Database!$A$1:$AS$1,),)))))/(((VLOOKUP(EDATE(B215,-12),Database!$A:$AS,MATCH($Q$1,Database!$A$1:$AS$1,),)))))</f>
        <v/>
      </c>
      <c r="R215" s="13">
        <f>IF(VLOOKUP(B215,Database!$A:$AV,MATCH($R$1,Database!$A$1:$AV$1,),)=0,"#N/A",((((VLOOKUP(B215,Database!$A:$AS,MATCH($R$1,Database!$A$1:$AS$1,),))))-(((VLOOKUP(EDATE(B215,-12),Database!$A:$AS,MATCH($R$1,Database!$A$1:$AS$1,),)))))/(((VLOOKUP(EDATE(B215,-12),Database!$A:$AS,MATCH($R$1,Database!$A$1:$AS$1,),)))))</f>
        <v/>
      </c>
      <c r="S215" s="13">
        <f>IF(VLOOKUP(B215,Database!$A:$AV,MATCH($S$1,Database!$A$1:$AV$1,),)=0,"#N/A",((((VLOOKUP(B215,Database!$A:$AS,MATCH($S$1,Database!$A$1:$AS$1,),))))-(((VLOOKUP(EDATE(B215,-12),Database!$A:$AS,MATCH($S$1,Database!$A$1:$AS$1,),)))))/(((VLOOKUP(EDATE(B215,-12),Database!$A:$AS,MATCH($S$1,Database!$A$1:$AS$1,),)))))</f>
        <v/>
      </c>
      <c r="T215" s="13">
        <f>IF(VLOOKUP(B215,Database!$A:$AV,MATCH($T$1,Database!$A$1:$AV$1,),)=0,"#N/A",((((VLOOKUP(B215,Database!$A:$AS,MATCH($T$1,Database!$A$1:$AS$1,),))))-(((VLOOKUP(EDATE(B215,-12),Database!$A:$AS,MATCH($T$1,Database!$A$1:$AS$1,),)))))/(((VLOOKUP(EDATE(B215,-12),Database!$A:$AS,MATCH($T$1,Database!$A$1:$AS$1,),)))))</f>
        <v/>
      </c>
      <c r="U215" s="13">
        <f>IF(VLOOKUP(B215,Database!$A:$AV,MATCH($U$1,Database!$A$1:$AV$1,),)=0,"#N/A",((((VLOOKUP(B215,Database!$A:$AS,MATCH($U$1,Database!$A$1:$AS$1,),))))-(((VLOOKUP(EDATE(B215,-12),Database!$A:$AS,MATCH($U$1,Database!$A$1:$AS$1,),)))))/(((VLOOKUP(EDATE(B215,-12),Database!$A:$AS,MATCH($U$1,Database!$A$1:$AS$1,),)))))</f>
        <v/>
      </c>
      <c r="V215" s="13">
        <f>IF(VLOOKUP(B215,Database!$A:$AV,MATCH($V$1,Database!$A$1:$AV$1,),)=0,"#N/A",((((VLOOKUP(B215,Database!$A:$AS,MATCH($V$1,Database!$A$1:$AS$1,),))))-(((VLOOKUP(EDATE(B215,-12),Database!$A:$AS,MATCH($V$1,Database!$A$1:$AS$1,),)))))/(((VLOOKUP(EDATE(B215,-12),Database!$A:$AS,MATCH($V$1,Database!$A$1:$AS$1,),)))))</f>
        <v/>
      </c>
    </row>
    <row r="216" customFormat="1" s="86">
      <c r="A216" s="43" t="n"/>
      <c r="B216" s="75" t="n">
        <v>38718</v>
      </c>
      <c r="C216" s="13">
        <f>IF(VLOOKUP(B216,Database!$A:$AU,MATCH($C$1,Database!$A$1:$AU$1,),)=0,"#N/A",((((VLOOKUP(B216,Database!$A:$AU,MATCH($C$1,Database!$A$1:$AU$1,),))))-(((VLOOKUP(EDATE(B216,-12),Database!$A:$AU,MATCH($C$1,Database!$A$1:$AU$1,),)))))/(((VLOOKUP(EDATE(B216,-12),Database!$A:$AU,MATCH($C$1,Database!$A$1:$AU$1,),)))))</f>
        <v/>
      </c>
      <c r="D216" s="13">
        <f>IF(VLOOKUP(B216,Database!$A:$AV,MATCH($D$1,Database!$A$1:$AV$1,),)=0,"#N/A",((((VLOOKUP(B216,Database!$A:$AS,MATCH($D$1,Database!$A$1:$AS$1,),))))-(((VLOOKUP(EDATE(B216,-12),Database!$A:$AS,MATCH($D$1,Database!$A$1:$AS$1,),)))))/(((VLOOKUP(EDATE(B216,-12),Database!$A:$AS,MATCH($D$1,Database!$A$1:$AS$1,),)))))</f>
        <v/>
      </c>
      <c r="E216" s="13">
        <f>IF(VLOOKUP(B216,Database!$A:$AV,MATCH($E$1,Database!$A$1:$AV$1,),)=0,"#N/A",((((VLOOKUP(B216,Database!$A:$AS,MATCH($E$1,Database!$A$1:$AS$1,),))))-(((VLOOKUP(EDATE(B216,-12),Database!$A:$AS,MATCH($E$1,Database!$A$1:$AS$1,),)))))/(((VLOOKUP(EDATE(B216,-12),Database!$A:$AS,MATCH($E$1,Database!$A$1:$AS$1,),)))))</f>
        <v/>
      </c>
      <c r="F216" s="13">
        <f>IF(VLOOKUP(B216,Database!$A:$AV,MATCH($F$1,Database!$A$1:$AV$1,),)=0,"#N/A",((((VLOOKUP(B216,Database!$A:$AS,MATCH($F$1,Database!$A$1:$AS$1,),))))-(((VLOOKUP(EDATE(B216,-12),Database!$A:$AS,MATCH($F$1,Database!$A$1:$AS$1,),)))))/(((VLOOKUP(EDATE(B216,-12),Database!$A:$AS,MATCH($F$1,Database!$A$1:$AS$1,),)))))</f>
        <v/>
      </c>
      <c r="G216" s="13">
        <f>IF(VLOOKUP(B216,Database!$A:$AV,MATCH($G$1,Database!$A$1:$AV$1,),)=0,"#N/A",((((VLOOKUP(B216,Database!$A:$AS,MATCH($G$1,Database!$A$1:$AS$1,),))))-(((VLOOKUP(EDATE(B216,-12),Database!$A:$AS,MATCH($G$1,Database!$A$1:$AS$1,),)))))/(((VLOOKUP(EDATE(B216,-12),Database!$A:$AS,MATCH($G$1,Database!$A$1:$AS$1,),)))))</f>
        <v/>
      </c>
      <c r="H216" s="13">
        <f>IF(VLOOKUP(B216,Database!$A:$AV,MATCH($H$1,Database!$A$1:$AV$1,),)=0,"#N/A",((((VLOOKUP(B216,Database!$A:$AS,MATCH($H$1,Database!$A$1:$AS$1,),))))-(((VLOOKUP(EDATE(B216,-12),Database!$A:$AS,MATCH($H$1,Database!$A$1:$AS$1,),)))))/(((VLOOKUP(EDATE(B216,-12),Database!$A:$AS,MATCH($H$1,Database!$A$1:$AS$1,),)))))</f>
        <v/>
      </c>
      <c r="I216" s="13">
        <f>IF(VLOOKUP(B216,Database!$A:$AV,MATCH($I$1,Database!$A$1:$AV$1,),)=0,"#N/A",((((VLOOKUP(B216,Database!$A:$AS,MATCH($I$1,Database!$A$1:$AS$1,),))))-(((VLOOKUP(EDATE(B216,-12),Database!$A:$AS,MATCH($I$1,Database!$A$1:$AS$1,),)))))/(((VLOOKUP(EDATE(B216,-12),Database!$A:$AS,MATCH($I$1,Database!$A$1:$AS$1,),)))))</f>
        <v/>
      </c>
      <c r="J216" s="13">
        <f>IF(VLOOKUP(B216,Database!$A:$AV,MATCH($J$1,Database!$A$1:$AV$1,),)=0,"#N/A",((((VLOOKUP(B216,Database!$A:$AS,MATCH($J$1,Database!$A$1:$AS$1,),))))-(((VLOOKUP(EDATE(B216,-12),Database!$A:$AS,MATCH($J$1,Database!$A$1:$AS$1,),)))))/(((VLOOKUP(EDATE(B216,-12),Database!$A:$AS,MATCH($J$1,Database!$A$1:$AS$1,),)))))</f>
        <v/>
      </c>
      <c r="K216" s="13">
        <f>IF(VLOOKUP(B216,Database!$A:$AV,MATCH($K$1,Database!$A$1:$AV$1,),)=0,"#N/A",((((VLOOKUP(B216,Database!$A:$AS,MATCH($K$1,Database!$A$1:$AS$1,),))))-(((VLOOKUP(EDATE(B216,-12),Database!$A:$AS,MATCH($K$1,Database!$A$1:$AS$1,),)))))/(((VLOOKUP(EDATE(B216,-12),Database!$A:$AS,MATCH($K$1,Database!$A$1:$AS$1,),)))))</f>
        <v/>
      </c>
      <c r="L216" s="13">
        <f>((((VLOOKUP(B216,Database!$A:$AS,MATCH($L$1,Database!$A$1:$AS$1,),))))-(((VLOOKUP(EDATE(B216,-12),Database!$A:$AS,MATCH($L$1,Database!$A$1:$AS$1,),)))))/(((VLOOKUP(EDATE(B216,-12),Database!$A:$AS,MATCH($L$1,Database!$A$1:$AS$1,),))))</f>
        <v/>
      </c>
      <c r="M216" s="13">
        <f>((((VLOOKUP(B216,Database!$A:$AS,MATCH($M$1,Database!$A$1:$AS$1,),))))-(((VLOOKUP(EDATE(B216,-12),Database!$A:$AS,MATCH($M$1,Database!$A$1:$AS$1,),)))))/(((VLOOKUP(EDATE(B216,-12),Database!$A:$AS,MATCH($M$1,Database!$A$1:$AS$1,),))))</f>
        <v/>
      </c>
      <c r="N216" s="13">
        <f>((((VLOOKUP(B216,Database!$A:$AS,MATCH($N$1,Database!$A$1:$AS$1,),))))-(((VLOOKUP(EDATE(B216,-12),Database!$A:$AS,MATCH($N$1,Database!$A$1:$AS$1,),)))))/(((VLOOKUP(EDATE(B216,-12),Database!$A:$AS,MATCH($N$1,Database!$A$1:$AS$1,),))))</f>
        <v/>
      </c>
      <c r="O216" s="13">
        <f>IF(VLOOKUP(B216,Database!$A:$AV,MATCH($O$1,Database!$A$1:$AV$1,),)=0,"#N/A",((((VLOOKUP(B216,Database!$A:$AS,MATCH($O$1,Database!$A$1:$AS$1,),))))-(((VLOOKUP(EDATE(B216,-12),Database!$A:$AS,MATCH($O$1,Database!$A$1:$AS$1,),)))))/(((VLOOKUP(EDATE(B216,-12),Database!$A:$AS,MATCH($O$1,Database!$A$1:$AS$1,),)))))</f>
        <v/>
      </c>
      <c r="P216" s="13">
        <f>IF(VLOOKUP(B216,Database!$A:$AV,MATCH($P$1,Database!$A$1:$AV$1,),)=0,"#N/A",((((VLOOKUP(B216,Database!$A:$AS,MATCH($P$1,Database!$A$1:$AS$1,),))))-(((VLOOKUP(EDATE(B216,-12),Database!$A:$AS,MATCH($P$1,Database!$A$1:$AS$1,),)))))/(((VLOOKUP(EDATE(B216,-12),Database!$A:$AS,MATCH($P$1,Database!$A$1:$AS$1,),)))))</f>
        <v/>
      </c>
      <c r="Q216" s="13">
        <f>IF(VLOOKUP(B216,Database!$A:$AV,MATCH($Q$1,Database!$A$1:$AV$1,),)=0,"#N/A",((((VLOOKUP(B216,Database!$A:$AS,MATCH($Q$1,Database!$A$1:$AS$1,),))))-(((VLOOKUP(EDATE(B216,-12),Database!$A:$AS,MATCH($Q$1,Database!$A$1:$AS$1,),)))))/(((VLOOKUP(EDATE(B216,-12),Database!$A:$AS,MATCH($Q$1,Database!$A$1:$AS$1,),)))))</f>
        <v/>
      </c>
      <c r="R216" s="13">
        <f>IF(VLOOKUP(B216,Database!$A:$AV,MATCH($R$1,Database!$A$1:$AV$1,),)=0,"#N/A",((((VLOOKUP(B216,Database!$A:$AS,MATCH($R$1,Database!$A$1:$AS$1,),))))-(((VLOOKUP(EDATE(B216,-12),Database!$A:$AS,MATCH($R$1,Database!$A$1:$AS$1,),)))))/(((VLOOKUP(EDATE(B216,-12),Database!$A:$AS,MATCH($R$1,Database!$A$1:$AS$1,),)))))</f>
        <v/>
      </c>
      <c r="S216" s="13">
        <f>IF(VLOOKUP(B216,Database!$A:$AV,MATCH($S$1,Database!$A$1:$AV$1,),)=0,"#N/A",((((VLOOKUP(B216,Database!$A:$AS,MATCH($S$1,Database!$A$1:$AS$1,),))))-(((VLOOKUP(EDATE(B216,-12),Database!$A:$AS,MATCH($S$1,Database!$A$1:$AS$1,),)))))/(((VLOOKUP(EDATE(B216,-12),Database!$A:$AS,MATCH($S$1,Database!$A$1:$AS$1,),)))))</f>
        <v/>
      </c>
      <c r="T216" s="13">
        <f>IF(VLOOKUP(B216,Database!$A:$AV,MATCH($T$1,Database!$A$1:$AV$1,),)=0,"#N/A",((((VLOOKUP(B216,Database!$A:$AS,MATCH($T$1,Database!$A$1:$AS$1,),))))-(((VLOOKUP(EDATE(B216,-12),Database!$A:$AS,MATCH($T$1,Database!$A$1:$AS$1,),)))))/(((VLOOKUP(EDATE(B216,-12),Database!$A:$AS,MATCH($T$1,Database!$A$1:$AS$1,),)))))</f>
        <v/>
      </c>
      <c r="U216" s="13">
        <f>IF(VLOOKUP(B216,Database!$A:$AV,MATCH($U$1,Database!$A$1:$AV$1,),)=0,"#N/A",((((VLOOKUP(B216,Database!$A:$AS,MATCH($U$1,Database!$A$1:$AS$1,),))))-(((VLOOKUP(EDATE(B216,-12),Database!$A:$AS,MATCH($U$1,Database!$A$1:$AS$1,),)))))/(((VLOOKUP(EDATE(B216,-12),Database!$A:$AS,MATCH($U$1,Database!$A$1:$AS$1,),)))))</f>
        <v/>
      </c>
      <c r="V216" s="13">
        <f>IF(VLOOKUP(B216,Database!$A:$AV,MATCH($V$1,Database!$A$1:$AV$1,),)=0,"#N/A",((((VLOOKUP(B216,Database!$A:$AS,MATCH($V$1,Database!$A$1:$AS$1,),))))-(((VLOOKUP(EDATE(B216,-12),Database!$A:$AS,MATCH($V$1,Database!$A$1:$AS$1,),)))))/(((VLOOKUP(EDATE(B216,-12),Database!$A:$AS,MATCH($V$1,Database!$A$1:$AS$1,),)))))</f>
        <v/>
      </c>
    </row>
    <row r="217" customFormat="1" s="86">
      <c r="A217" s="43" t="n"/>
      <c r="B217" s="75" t="n">
        <v>38749</v>
      </c>
      <c r="C217" s="13">
        <f>IF(VLOOKUP(B217,Database!$A:$AU,MATCH($C$1,Database!$A$1:$AU$1,),)=0,"#N/A",((((VLOOKUP(B217,Database!$A:$AU,MATCH($C$1,Database!$A$1:$AU$1,),))))-(((VLOOKUP(EDATE(B217,-12),Database!$A:$AU,MATCH($C$1,Database!$A$1:$AU$1,),)))))/(((VLOOKUP(EDATE(B217,-12),Database!$A:$AU,MATCH($C$1,Database!$A$1:$AU$1,),)))))</f>
        <v/>
      </c>
      <c r="D217" s="13">
        <f>IF(VLOOKUP(B217,Database!$A:$AV,MATCH($D$1,Database!$A$1:$AV$1,),)=0,"#N/A",((((VLOOKUP(B217,Database!$A:$AS,MATCH($D$1,Database!$A$1:$AS$1,),))))-(((VLOOKUP(EDATE(B217,-12),Database!$A:$AS,MATCH($D$1,Database!$A$1:$AS$1,),)))))/(((VLOOKUP(EDATE(B217,-12),Database!$A:$AS,MATCH($D$1,Database!$A$1:$AS$1,),)))))</f>
        <v/>
      </c>
      <c r="E217" s="13">
        <f>IF(VLOOKUP(B217,Database!$A:$AV,MATCH($E$1,Database!$A$1:$AV$1,),)=0,"#N/A",((((VLOOKUP(B217,Database!$A:$AS,MATCH($E$1,Database!$A$1:$AS$1,),))))-(((VLOOKUP(EDATE(B217,-12),Database!$A:$AS,MATCH($E$1,Database!$A$1:$AS$1,),)))))/(((VLOOKUP(EDATE(B217,-12),Database!$A:$AS,MATCH($E$1,Database!$A$1:$AS$1,),)))))</f>
        <v/>
      </c>
      <c r="F217" s="13">
        <f>IF(VLOOKUP(B217,Database!$A:$AV,MATCH($F$1,Database!$A$1:$AV$1,),)=0,"#N/A",((((VLOOKUP(B217,Database!$A:$AS,MATCH($F$1,Database!$A$1:$AS$1,),))))-(((VLOOKUP(EDATE(B217,-12),Database!$A:$AS,MATCH($F$1,Database!$A$1:$AS$1,),)))))/(((VLOOKUP(EDATE(B217,-12),Database!$A:$AS,MATCH($F$1,Database!$A$1:$AS$1,),)))))</f>
        <v/>
      </c>
      <c r="G217" s="13">
        <f>IF(VLOOKUP(B217,Database!$A:$AV,MATCH($G$1,Database!$A$1:$AV$1,),)=0,"#N/A",((((VLOOKUP(B217,Database!$A:$AS,MATCH($G$1,Database!$A$1:$AS$1,),))))-(((VLOOKUP(EDATE(B217,-12),Database!$A:$AS,MATCH($G$1,Database!$A$1:$AS$1,),)))))/(((VLOOKUP(EDATE(B217,-12),Database!$A:$AS,MATCH($G$1,Database!$A$1:$AS$1,),)))))</f>
        <v/>
      </c>
      <c r="H217" s="13">
        <f>IF(VLOOKUP(B217,Database!$A:$AV,MATCH($H$1,Database!$A$1:$AV$1,),)=0,"#N/A",((((VLOOKUP(B217,Database!$A:$AS,MATCH($H$1,Database!$A$1:$AS$1,),))))-(((VLOOKUP(EDATE(B217,-12),Database!$A:$AS,MATCH($H$1,Database!$A$1:$AS$1,),)))))/(((VLOOKUP(EDATE(B217,-12),Database!$A:$AS,MATCH($H$1,Database!$A$1:$AS$1,),)))))</f>
        <v/>
      </c>
      <c r="I217" s="13">
        <f>IF(VLOOKUP(B217,Database!$A:$AV,MATCH($I$1,Database!$A$1:$AV$1,),)=0,"#N/A",((((VLOOKUP(B217,Database!$A:$AS,MATCH($I$1,Database!$A$1:$AS$1,),))))-(((VLOOKUP(EDATE(B217,-12),Database!$A:$AS,MATCH($I$1,Database!$A$1:$AS$1,),)))))/(((VLOOKUP(EDATE(B217,-12),Database!$A:$AS,MATCH($I$1,Database!$A$1:$AS$1,),)))))</f>
        <v/>
      </c>
      <c r="J217" s="13">
        <f>IF(VLOOKUP(B217,Database!$A:$AV,MATCH($J$1,Database!$A$1:$AV$1,),)=0,"#N/A",((((VLOOKUP(B217,Database!$A:$AS,MATCH($J$1,Database!$A$1:$AS$1,),))))-(((VLOOKUP(EDATE(B217,-12),Database!$A:$AS,MATCH($J$1,Database!$A$1:$AS$1,),)))))/(((VLOOKUP(EDATE(B217,-12),Database!$A:$AS,MATCH($J$1,Database!$A$1:$AS$1,),)))))</f>
        <v/>
      </c>
      <c r="K217" s="13">
        <f>IF(VLOOKUP(B217,Database!$A:$AV,MATCH($K$1,Database!$A$1:$AV$1,),)=0,"#N/A",((((VLOOKUP(B217,Database!$A:$AS,MATCH($K$1,Database!$A$1:$AS$1,),))))-(((VLOOKUP(EDATE(B217,-12),Database!$A:$AS,MATCH($K$1,Database!$A$1:$AS$1,),)))))/(((VLOOKUP(EDATE(B217,-12),Database!$A:$AS,MATCH($K$1,Database!$A$1:$AS$1,),)))))</f>
        <v/>
      </c>
      <c r="L217" s="13">
        <f>((((VLOOKUP(B217,Database!$A:$AS,MATCH($L$1,Database!$A$1:$AS$1,),))))-(((VLOOKUP(EDATE(B217,-12),Database!$A:$AS,MATCH($L$1,Database!$A$1:$AS$1,),)))))/(((VLOOKUP(EDATE(B217,-12),Database!$A:$AS,MATCH($L$1,Database!$A$1:$AS$1,),))))</f>
        <v/>
      </c>
      <c r="M217" s="13">
        <f>((((VLOOKUP(B217,Database!$A:$AS,MATCH($M$1,Database!$A$1:$AS$1,),))))-(((VLOOKUP(EDATE(B217,-12),Database!$A:$AS,MATCH($M$1,Database!$A$1:$AS$1,),)))))/(((VLOOKUP(EDATE(B217,-12),Database!$A:$AS,MATCH($M$1,Database!$A$1:$AS$1,),))))</f>
        <v/>
      </c>
      <c r="N217" s="13">
        <f>((((VLOOKUP(B217,Database!$A:$AS,MATCH($N$1,Database!$A$1:$AS$1,),))))-(((VLOOKUP(EDATE(B217,-12),Database!$A:$AS,MATCH($N$1,Database!$A$1:$AS$1,),)))))/(((VLOOKUP(EDATE(B217,-12),Database!$A:$AS,MATCH($N$1,Database!$A$1:$AS$1,),))))</f>
        <v/>
      </c>
      <c r="O217" s="13">
        <f>IF(VLOOKUP(B217,Database!$A:$AV,MATCH($O$1,Database!$A$1:$AV$1,),)=0,"#N/A",((((VLOOKUP(B217,Database!$A:$AS,MATCH($O$1,Database!$A$1:$AS$1,),))))-(((VLOOKUP(EDATE(B217,-12),Database!$A:$AS,MATCH($O$1,Database!$A$1:$AS$1,),)))))/(((VLOOKUP(EDATE(B217,-12),Database!$A:$AS,MATCH($O$1,Database!$A$1:$AS$1,),)))))</f>
        <v/>
      </c>
      <c r="P217" s="13">
        <f>IF(VLOOKUP(B217,Database!$A:$AV,MATCH($P$1,Database!$A$1:$AV$1,),)=0,"#N/A",((((VLOOKUP(B217,Database!$A:$AS,MATCH($P$1,Database!$A$1:$AS$1,),))))-(((VLOOKUP(EDATE(B217,-12),Database!$A:$AS,MATCH($P$1,Database!$A$1:$AS$1,),)))))/(((VLOOKUP(EDATE(B217,-12),Database!$A:$AS,MATCH($P$1,Database!$A$1:$AS$1,),)))))</f>
        <v/>
      </c>
      <c r="Q217" s="13">
        <f>IF(VLOOKUP(B217,Database!$A:$AV,MATCH($Q$1,Database!$A$1:$AV$1,),)=0,"#N/A",((((VLOOKUP(B217,Database!$A:$AS,MATCH($Q$1,Database!$A$1:$AS$1,),))))-(((VLOOKUP(EDATE(B217,-12),Database!$A:$AS,MATCH($Q$1,Database!$A$1:$AS$1,),)))))/(((VLOOKUP(EDATE(B217,-12),Database!$A:$AS,MATCH($Q$1,Database!$A$1:$AS$1,),)))))</f>
        <v/>
      </c>
      <c r="R217" s="13">
        <f>IF(VLOOKUP(B217,Database!$A:$AV,MATCH($R$1,Database!$A$1:$AV$1,),)=0,"#N/A",((((VLOOKUP(B217,Database!$A:$AS,MATCH($R$1,Database!$A$1:$AS$1,),))))-(((VLOOKUP(EDATE(B217,-12),Database!$A:$AS,MATCH($R$1,Database!$A$1:$AS$1,),)))))/(((VLOOKUP(EDATE(B217,-12),Database!$A:$AS,MATCH($R$1,Database!$A$1:$AS$1,),)))))</f>
        <v/>
      </c>
      <c r="S217" s="13">
        <f>IF(VLOOKUP(B217,Database!$A:$AV,MATCH($S$1,Database!$A$1:$AV$1,),)=0,"#N/A",((((VLOOKUP(B217,Database!$A:$AS,MATCH($S$1,Database!$A$1:$AS$1,),))))-(((VLOOKUP(EDATE(B217,-12),Database!$A:$AS,MATCH($S$1,Database!$A$1:$AS$1,),)))))/(((VLOOKUP(EDATE(B217,-12),Database!$A:$AS,MATCH($S$1,Database!$A$1:$AS$1,),)))))</f>
        <v/>
      </c>
      <c r="T217" s="13">
        <f>IF(VLOOKUP(B217,Database!$A:$AV,MATCH($T$1,Database!$A$1:$AV$1,),)=0,"#N/A",((((VLOOKUP(B217,Database!$A:$AS,MATCH($T$1,Database!$A$1:$AS$1,),))))-(((VLOOKUP(EDATE(B217,-12),Database!$A:$AS,MATCH($T$1,Database!$A$1:$AS$1,),)))))/(((VLOOKUP(EDATE(B217,-12),Database!$A:$AS,MATCH($T$1,Database!$A$1:$AS$1,),)))))</f>
        <v/>
      </c>
      <c r="U217" s="13">
        <f>IF(VLOOKUP(B217,Database!$A:$AV,MATCH($U$1,Database!$A$1:$AV$1,),)=0,"#N/A",((((VLOOKUP(B217,Database!$A:$AS,MATCH($U$1,Database!$A$1:$AS$1,),))))-(((VLOOKUP(EDATE(B217,-12),Database!$A:$AS,MATCH($U$1,Database!$A$1:$AS$1,),)))))/(((VLOOKUP(EDATE(B217,-12),Database!$A:$AS,MATCH($U$1,Database!$A$1:$AS$1,),)))))</f>
        <v/>
      </c>
      <c r="V217" s="13">
        <f>IF(VLOOKUP(B217,Database!$A:$AV,MATCH($V$1,Database!$A$1:$AV$1,),)=0,"#N/A",((((VLOOKUP(B217,Database!$A:$AS,MATCH($V$1,Database!$A$1:$AS$1,),))))-(((VLOOKUP(EDATE(B217,-12),Database!$A:$AS,MATCH($V$1,Database!$A$1:$AS$1,),)))))/(((VLOOKUP(EDATE(B217,-12),Database!$A:$AS,MATCH($V$1,Database!$A$1:$AS$1,),)))))</f>
        <v/>
      </c>
    </row>
    <row r="218" customFormat="1" s="86">
      <c r="A218" s="43" t="n"/>
      <c r="B218" s="75" t="n">
        <v>38777</v>
      </c>
      <c r="C218" s="13">
        <f>IF(VLOOKUP(B218,Database!$A:$AU,MATCH($C$1,Database!$A$1:$AU$1,),)=0,"#N/A",((((VLOOKUP(B218,Database!$A:$AU,MATCH($C$1,Database!$A$1:$AU$1,),))))-(((VLOOKUP(EDATE(B218,-12),Database!$A:$AU,MATCH($C$1,Database!$A$1:$AU$1,),)))))/(((VLOOKUP(EDATE(B218,-12),Database!$A:$AU,MATCH($C$1,Database!$A$1:$AU$1,),)))))</f>
        <v/>
      </c>
      <c r="D218" s="13">
        <f>IF(VLOOKUP(B218,Database!$A:$AV,MATCH($D$1,Database!$A$1:$AV$1,),)=0,"#N/A",((((VLOOKUP(B218,Database!$A:$AS,MATCH($D$1,Database!$A$1:$AS$1,),))))-(((VLOOKUP(EDATE(B218,-12),Database!$A:$AS,MATCH($D$1,Database!$A$1:$AS$1,),)))))/(((VLOOKUP(EDATE(B218,-12),Database!$A:$AS,MATCH($D$1,Database!$A$1:$AS$1,),)))))</f>
        <v/>
      </c>
      <c r="E218" s="13">
        <f>IF(VLOOKUP(B218,Database!$A:$AV,MATCH($E$1,Database!$A$1:$AV$1,),)=0,"#N/A",((((VLOOKUP(B218,Database!$A:$AS,MATCH($E$1,Database!$A$1:$AS$1,),))))-(((VLOOKUP(EDATE(B218,-12),Database!$A:$AS,MATCH($E$1,Database!$A$1:$AS$1,),)))))/(((VLOOKUP(EDATE(B218,-12),Database!$A:$AS,MATCH($E$1,Database!$A$1:$AS$1,),)))))</f>
        <v/>
      </c>
      <c r="F218" s="13">
        <f>IF(VLOOKUP(B218,Database!$A:$AV,MATCH($F$1,Database!$A$1:$AV$1,),)=0,"#N/A",((((VLOOKUP(B218,Database!$A:$AS,MATCH($F$1,Database!$A$1:$AS$1,),))))-(((VLOOKUP(EDATE(B218,-12),Database!$A:$AS,MATCH($F$1,Database!$A$1:$AS$1,),)))))/(((VLOOKUP(EDATE(B218,-12),Database!$A:$AS,MATCH($F$1,Database!$A$1:$AS$1,),)))))</f>
        <v/>
      </c>
      <c r="G218" s="13">
        <f>IF(VLOOKUP(B218,Database!$A:$AV,MATCH($G$1,Database!$A$1:$AV$1,),)=0,"#N/A",((((VLOOKUP(B218,Database!$A:$AS,MATCH($G$1,Database!$A$1:$AS$1,),))))-(((VLOOKUP(EDATE(B218,-12),Database!$A:$AS,MATCH($G$1,Database!$A$1:$AS$1,),)))))/(((VLOOKUP(EDATE(B218,-12),Database!$A:$AS,MATCH($G$1,Database!$A$1:$AS$1,),)))))</f>
        <v/>
      </c>
      <c r="H218" s="13">
        <f>IF(VLOOKUP(B218,Database!$A:$AV,MATCH($H$1,Database!$A$1:$AV$1,),)=0,"#N/A",((((VLOOKUP(B218,Database!$A:$AS,MATCH($H$1,Database!$A$1:$AS$1,),))))-(((VLOOKUP(EDATE(B218,-12),Database!$A:$AS,MATCH($H$1,Database!$A$1:$AS$1,),)))))/(((VLOOKUP(EDATE(B218,-12),Database!$A:$AS,MATCH($H$1,Database!$A$1:$AS$1,),)))))</f>
        <v/>
      </c>
      <c r="I218" s="13">
        <f>IF(VLOOKUP(B218,Database!$A:$AV,MATCH($I$1,Database!$A$1:$AV$1,),)=0,"#N/A",((((VLOOKUP(B218,Database!$A:$AS,MATCH($I$1,Database!$A$1:$AS$1,),))))-(((VLOOKUP(EDATE(B218,-12),Database!$A:$AS,MATCH($I$1,Database!$A$1:$AS$1,),)))))/(((VLOOKUP(EDATE(B218,-12),Database!$A:$AS,MATCH($I$1,Database!$A$1:$AS$1,),)))))</f>
        <v/>
      </c>
      <c r="J218" s="13">
        <f>IF(VLOOKUP(B218,Database!$A:$AV,MATCH($J$1,Database!$A$1:$AV$1,),)=0,"#N/A",((((VLOOKUP(B218,Database!$A:$AS,MATCH($J$1,Database!$A$1:$AS$1,),))))-(((VLOOKUP(EDATE(B218,-12),Database!$A:$AS,MATCH($J$1,Database!$A$1:$AS$1,),)))))/(((VLOOKUP(EDATE(B218,-12),Database!$A:$AS,MATCH($J$1,Database!$A$1:$AS$1,),)))))</f>
        <v/>
      </c>
      <c r="K218" s="13">
        <f>IF(VLOOKUP(B218,Database!$A:$AV,MATCH($K$1,Database!$A$1:$AV$1,),)=0,"#N/A",((((VLOOKUP(B218,Database!$A:$AS,MATCH($K$1,Database!$A$1:$AS$1,),))))-(((VLOOKUP(EDATE(B218,-12),Database!$A:$AS,MATCH($K$1,Database!$A$1:$AS$1,),)))))/(((VLOOKUP(EDATE(B218,-12),Database!$A:$AS,MATCH($K$1,Database!$A$1:$AS$1,),)))))</f>
        <v/>
      </c>
      <c r="L218" s="13">
        <f>((((VLOOKUP(B218,Database!$A:$AS,MATCH($L$1,Database!$A$1:$AS$1,),))))-(((VLOOKUP(EDATE(B218,-12),Database!$A:$AS,MATCH($L$1,Database!$A$1:$AS$1,),)))))/(((VLOOKUP(EDATE(B218,-12),Database!$A:$AS,MATCH($L$1,Database!$A$1:$AS$1,),))))</f>
        <v/>
      </c>
      <c r="M218" s="13">
        <f>((((VLOOKUP(B218,Database!$A:$AS,MATCH($M$1,Database!$A$1:$AS$1,),))))-(((VLOOKUP(EDATE(B218,-12),Database!$A:$AS,MATCH($M$1,Database!$A$1:$AS$1,),)))))/(((VLOOKUP(EDATE(B218,-12),Database!$A:$AS,MATCH($M$1,Database!$A$1:$AS$1,),))))</f>
        <v/>
      </c>
      <c r="N218" s="13">
        <f>((((VLOOKUP(B218,Database!$A:$AS,MATCH($N$1,Database!$A$1:$AS$1,),))))-(((VLOOKUP(EDATE(B218,-12),Database!$A:$AS,MATCH($N$1,Database!$A$1:$AS$1,),)))))/(((VLOOKUP(EDATE(B218,-12),Database!$A:$AS,MATCH($N$1,Database!$A$1:$AS$1,),))))</f>
        <v/>
      </c>
      <c r="O218" s="13">
        <f>IF(VLOOKUP(B218,Database!$A:$AV,MATCH($O$1,Database!$A$1:$AV$1,),)=0,"#N/A",((((VLOOKUP(B218,Database!$A:$AS,MATCH($O$1,Database!$A$1:$AS$1,),))))-(((VLOOKUP(EDATE(B218,-12),Database!$A:$AS,MATCH($O$1,Database!$A$1:$AS$1,),)))))/(((VLOOKUP(EDATE(B218,-12),Database!$A:$AS,MATCH($O$1,Database!$A$1:$AS$1,),)))))</f>
        <v/>
      </c>
      <c r="P218" s="13">
        <f>IF(VLOOKUP(B218,Database!$A:$AV,MATCH($P$1,Database!$A$1:$AV$1,),)=0,"#N/A",((((VLOOKUP(B218,Database!$A:$AS,MATCH($P$1,Database!$A$1:$AS$1,),))))-(((VLOOKUP(EDATE(B218,-12),Database!$A:$AS,MATCH($P$1,Database!$A$1:$AS$1,),)))))/(((VLOOKUP(EDATE(B218,-12),Database!$A:$AS,MATCH($P$1,Database!$A$1:$AS$1,),)))))</f>
        <v/>
      </c>
      <c r="Q218" s="13">
        <f>IF(VLOOKUP(B218,Database!$A:$AV,MATCH($Q$1,Database!$A$1:$AV$1,),)=0,"#N/A",((((VLOOKUP(B218,Database!$A:$AS,MATCH($Q$1,Database!$A$1:$AS$1,),))))-(((VLOOKUP(EDATE(B218,-12),Database!$A:$AS,MATCH($Q$1,Database!$A$1:$AS$1,),)))))/(((VLOOKUP(EDATE(B218,-12),Database!$A:$AS,MATCH($Q$1,Database!$A$1:$AS$1,),)))))</f>
        <v/>
      </c>
      <c r="R218" s="13">
        <f>IF(VLOOKUP(B218,Database!$A:$AV,MATCH($R$1,Database!$A$1:$AV$1,),)=0,"#N/A",((((VLOOKUP(B218,Database!$A:$AS,MATCH($R$1,Database!$A$1:$AS$1,),))))-(((VLOOKUP(EDATE(B218,-12),Database!$A:$AS,MATCH($R$1,Database!$A$1:$AS$1,),)))))/(((VLOOKUP(EDATE(B218,-12),Database!$A:$AS,MATCH($R$1,Database!$A$1:$AS$1,),)))))</f>
        <v/>
      </c>
      <c r="S218" s="13">
        <f>IF(VLOOKUP(B218,Database!$A:$AV,MATCH($S$1,Database!$A$1:$AV$1,),)=0,"#N/A",((((VLOOKUP(B218,Database!$A:$AS,MATCH($S$1,Database!$A$1:$AS$1,),))))-(((VLOOKUP(EDATE(B218,-12),Database!$A:$AS,MATCH($S$1,Database!$A$1:$AS$1,),)))))/(((VLOOKUP(EDATE(B218,-12),Database!$A:$AS,MATCH($S$1,Database!$A$1:$AS$1,),)))))</f>
        <v/>
      </c>
      <c r="T218" s="13">
        <f>IF(VLOOKUP(B218,Database!$A:$AV,MATCH($T$1,Database!$A$1:$AV$1,),)=0,"#N/A",((((VLOOKUP(B218,Database!$A:$AS,MATCH($T$1,Database!$A$1:$AS$1,),))))-(((VLOOKUP(EDATE(B218,-12),Database!$A:$AS,MATCH($T$1,Database!$A$1:$AS$1,),)))))/(((VLOOKUP(EDATE(B218,-12),Database!$A:$AS,MATCH($T$1,Database!$A$1:$AS$1,),)))))</f>
        <v/>
      </c>
      <c r="U218" s="13">
        <f>IF(VLOOKUP(B218,Database!$A:$AV,MATCH($U$1,Database!$A$1:$AV$1,),)=0,"#N/A",((((VLOOKUP(B218,Database!$A:$AS,MATCH($U$1,Database!$A$1:$AS$1,),))))-(((VLOOKUP(EDATE(B218,-12),Database!$A:$AS,MATCH($U$1,Database!$A$1:$AS$1,),)))))/(((VLOOKUP(EDATE(B218,-12),Database!$A:$AS,MATCH($U$1,Database!$A$1:$AS$1,),)))))</f>
        <v/>
      </c>
      <c r="V218" s="13">
        <f>IF(VLOOKUP(B218,Database!$A:$AV,MATCH($V$1,Database!$A$1:$AV$1,),)=0,"#N/A",((((VLOOKUP(B218,Database!$A:$AS,MATCH($V$1,Database!$A$1:$AS$1,),))))-(((VLOOKUP(EDATE(B218,-12),Database!$A:$AS,MATCH($V$1,Database!$A$1:$AS$1,),)))))/(((VLOOKUP(EDATE(B218,-12),Database!$A:$AS,MATCH($V$1,Database!$A$1:$AS$1,),)))))</f>
        <v/>
      </c>
    </row>
    <row r="219" customFormat="1" s="86">
      <c r="A219" s="43" t="n"/>
      <c r="B219" s="75" t="n">
        <v>38808</v>
      </c>
      <c r="C219" s="13">
        <f>IF(VLOOKUP(B219,Database!$A:$AU,MATCH($C$1,Database!$A$1:$AU$1,),)=0,"#N/A",((((VLOOKUP(B219,Database!$A:$AU,MATCH($C$1,Database!$A$1:$AU$1,),))))-(((VLOOKUP(EDATE(B219,-12),Database!$A:$AU,MATCH($C$1,Database!$A$1:$AU$1,),)))))/(((VLOOKUP(EDATE(B219,-12),Database!$A:$AU,MATCH($C$1,Database!$A$1:$AU$1,),)))))</f>
        <v/>
      </c>
      <c r="D219" s="13">
        <f>IF(VLOOKUP(B219,Database!$A:$AV,MATCH($D$1,Database!$A$1:$AV$1,),)=0,"#N/A",((((VLOOKUP(B219,Database!$A:$AS,MATCH($D$1,Database!$A$1:$AS$1,),))))-(((VLOOKUP(EDATE(B219,-12),Database!$A:$AS,MATCH($D$1,Database!$A$1:$AS$1,),)))))/(((VLOOKUP(EDATE(B219,-12),Database!$A:$AS,MATCH($D$1,Database!$A$1:$AS$1,),)))))</f>
        <v/>
      </c>
      <c r="E219" s="13">
        <f>IF(VLOOKUP(B219,Database!$A:$AV,MATCH($E$1,Database!$A$1:$AV$1,),)=0,"#N/A",((((VLOOKUP(B219,Database!$A:$AS,MATCH($E$1,Database!$A$1:$AS$1,),))))-(((VLOOKUP(EDATE(B219,-12),Database!$A:$AS,MATCH($E$1,Database!$A$1:$AS$1,),)))))/(((VLOOKUP(EDATE(B219,-12),Database!$A:$AS,MATCH($E$1,Database!$A$1:$AS$1,),)))))</f>
        <v/>
      </c>
      <c r="F219" s="13">
        <f>IF(VLOOKUP(B219,Database!$A:$AV,MATCH($F$1,Database!$A$1:$AV$1,),)=0,"#N/A",((((VLOOKUP(B219,Database!$A:$AS,MATCH($F$1,Database!$A$1:$AS$1,),))))-(((VLOOKUP(EDATE(B219,-12),Database!$A:$AS,MATCH($F$1,Database!$A$1:$AS$1,),)))))/(((VLOOKUP(EDATE(B219,-12),Database!$A:$AS,MATCH($F$1,Database!$A$1:$AS$1,),)))))</f>
        <v/>
      </c>
      <c r="G219" s="13">
        <f>IF(VLOOKUP(B219,Database!$A:$AV,MATCH($G$1,Database!$A$1:$AV$1,),)=0,"#N/A",((((VLOOKUP(B219,Database!$A:$AS,MATCH($G$1,Database!$A$1:$AS$1,),))))-(((VLOOKUP(EDATE(B219,-12),Database!$A:$AS,MATCH($G$1,Database!$A$1:$AS$1,),)))))/(((VLOOKUP(EDATE(B219,-12),Database!$A:$AS,MATCH($G$1,Database!$A$1:$AS$1,),)))))</f>
        <v/>
      </c>
      <c r="H219" s="13">
        <f>IF(VLOOKUP(B219,Database!$A:$AV,MATCH($H$1,Database!$A$1:$AV$1,),)=0,"#N/A",((((VLOOKUP(B219,Database!$A:$AS,MATCH($H$1,Database!$A$1:$AS$1,),))))-(((VLOOKUP(EDATE(B219,-12),Database!$A:$AS,MATCH($H$1,Database!$A$1:$AS$1,),)))))/(((VLOOKUP(EDATE(B219,-12),Database!$A:$AS,MATCH($H$1,Database!$A$1:$AS$1,),)))))</f>
        <v/>
      </c>
      <c r="I219" s="13">
        <f>IF(VLOOKUP(B219,Database!$A:$AV,MATCH($I$1,Database!$A$1:$AV$1,),)=0,"#N/A",((((VLOOKUP(B219,Database!$A:$AS,MATCH($I$1,Database!$A$1:$AS$1,),))))-(((VLOOKUP(EDATE(B219,-12),Database!$A:$AS,MATCH($I$1,Database!$A$1:$AS$1,),)))))/(((VLOOKUP(EDATE(B219,-12),Database!$A:$AS,MATCH($I$1,Database!$A$1:$AS$1,),)))))</f>
        <v/>
      </c>
      <c r="J219" s="13">
        <f>IF(VLOOKUP(B219,Database!$A:$AV,MATCH($J$1,Database!$A$1:$AV$1,),)=0,"#N/A",((((VLOOKUP(B219,Database!$A:$AS,MATCH($J$1,Database!$A$1:$AS$1,),))))-(((VLOOKUP(EDATE(B219,-12),Database!$A:$AS,MATCH($J$1,Database!$A$1:$AS$1,),)))))/(((VLOOKUP(EDATE(B219,-12),Database!$A:$AS,MATCH($J$1,Database!$A$1:$AS$1,),)))))</f>
        <v/>
      </c>
      <c r="K219" s="13">
        <f>IF(VLOOKUP(B219,Database!$A:$AV,MATCH($K$1,Database!$A$1:$AV$1,),)=0,"#N/A",((((VLOOKUP(B219,Database!$A:$AS,MATCH($K$1,Database!$A$1:$AS$1,),))))-(((VLOOKUP(EDATE(B219,-12),Database!$A:$AS,MATCH($K$1,Database!$A$1:$AS$1,),)))))/(((VLOOKUP(EDATE(B219,-12),Database!$A:$AS,MATCH($K$1,Database!$A$1:$AS$1,),)))))</f>
        <v/>
      </c>
      <c r="L219" s="13">
        <f>((((VLOOKUP(B219,Database!$A:$AS,MATCH($L$1,Database!$A$1:$AS$1,),))))-(((VLOOKUP(EDATE(B219,-12),Database!$A:$AS,MATCH($L$1,Database!$A$1:$AS$1,),)))))/(((VLOOKUP(EDATE(B219,-12),Database!$A:$AS,MATCH($L$1,Database!$A$1:$AS$1,),))))</f>
        <v/>
      </c>
      <c r="M219" s="13">
        <f>((((VLOOKUP(B219,Database!$A:$AS,MATCH($M$1,Database!$A$1:$AS$1,),))))-(((VLOOKUP(EDATE(B219,-12),Database!$A:$AS,MATCH($M$1,Database!$A$1:$AS$1,),)))))/(((VLOOKUP(EDATE(B219,-12),Database!$A:$AS,MATCH($M$1,Database!$A$1:$AS$1,),))))</f>
        <v/>
      </c>
      <c r="N219" s="13">
        <f>((((VLOOKUP(B219,Database!$A:$AS,MATCH($N$1,Database!$A$1:$AS$1,),))))-(((VLOOKUP(EDATE(B219,-12),Database!$A:$AS,MATCH($N$1,Database!$A$1:$AS$1,),)))))/(((VLOOKUP(EDATE(B219,-12),Database!$A:$AS,MATCH($N$1,Database!$A$1:$AS$1,),))))</f>
        <v/>
      </c>
      <c r="O219" s="13">
        <f>IF(VLOOKUP(B219,Database!$A:$AV,MATCH($O$1,Database!$A$1:$AV$1,),)=0,"#N/A",((((VLOOKUP(B219,Database!$A:$AS,MATCH($O$1,Database!$A$1:$AS$1,),))))-(((VLOOKUP(EDATE(B219,-12),Database!$A:$AS,MATCH($O$1,Database!$A$1:$AS$1,),)))))/(((VLOOKUP(EDATE(B219,-12),Database!$A:$AS,MATCH($O$1,Database!$A$1:$AS$1,),)))))</f>
        <v/>
      </c>
      <c r="P219" s="13">
        <f>IF(VLOOKUP(B219,Database!$A:$AV,MATCH($P$1,Database!$A$1:$AV$1,),)=0,"#N/A",((((VLOOKUP(B219,Database!$A:$AS,MATCH($P$1,Database!$A$1:$AS$1,),))))-(((VLOOKUP(EDATE(B219,-12),Database!$A:$AS,MATCH($P$1,Database!$A$1:$AS$1,),)))))/(((VLOOKUP(EDATE(B219,-12),Database!$A:$AS,MATCH($P$1,Database!$A$1:$AS$1,),)))))</f>
        <v/>
      </c>
      <c r="Q219" s="13">
        <f>IF(VLOOKUP(B219,Database!$A:$AV,MATCH($Q$1,Database!$A$1:$AV$1,),)=0,"#N/A",((((VLOOKUP(B219,Database!$A:$AS,MATCH($Q$1,Database!$A$1:$AS$1,),))))-(((VLOOKUP(EDATE(B219,-12),Database!$A:$AS,MATCH($Q$1,Database!$A$1:$AS$1,),)))))/(((VLOOKUP(EDATE(B219,-12),Database!$A:$AS,MATCH($Q$1,Database!$A$1:$AS$1,),)))))</f>
        <v/>
      </c>
      <c r="R219" s="13">
        <f>IF(VLOOKUP(B219,Database!$A:$AV,MATCH($R$1,Database!$A$1:$AV$1,),)=0,"#N/A",((((VLOOKUP(B219,Database!$A:$AS,MATCH($R$1,Database!$A$1:$AS$1,),))))-(((VLOOKUP(EDATE(B219,-12),Database!$A:$AS,MATCH($R$1,Database!$A$1:$AS$1,),)))))/(((VLOOKUP(EDATE(B219,-12),Database!$A:$AS,MATCH($R$1,Database!$A$1:$AS$1,),)))))</f>
        <v/>
      </c>
      <c r="S219" s="13">
        <f>IF(VLOOKUP(B219,Database!$A:$AV,MATCH($S$1,Database!$A$1:$AV$1,),)=0,"#N/A",((((VLOOKUP(B219,Database!$A:$AS,MATCH($S$1,Database!$A$1:$AS$1,),))))-(((VLOOKUP(EDATE(B219,-12),Database!$A:$AS,MATCH($S$1,Database!$A$1:$AS$1,),)))))/(((VLOOKUP(EDATE(B219,-12),Database!$A:$AS,MATCH($S$1,Database!$A$1:$AS$1,),)))))</f>
        <v/>
      </c>
      <c r="T219" s="13">
        <f>IF(VLOOKUP(B219,Database!$A:$AV,MATCH($T$1,Database!$A$1:$AV$1,),)=0,"#N/A",((((VLOOKUP(B219,Database!$A:$AS,MATCH($T$1,Database!$A$1:$AS$1,),))))-(((VLOOKUP(EDATE(B219,-12),Database!$A:$AS,MATCH($T$1,Database!$A$1:$AS$1,),)))))/(((VLOOKUP(EDATE(B219,-12),Database!$A:$AS,MATCH($T$1,Database!$A$1:$AS$1,),)))))</f>
        <v/>
      </c>
      <c r="U219" s="13">
        <f>IF(VLOOKUP(B219,Database!$A:$AV,MATCH($U$1,Database!$A$1:$AV$1,),)=0,"#N/A",((((VLOOKUP(B219,Database!$A:$AS,MATCH($U$1,Database!$A$1:$AS$1,),))))-(((VLOOKUP(EDATE(B219,-12),Database!$A:$AS,MATCH($U$1,Database!$A$1:$AS$1,),)))))/(((VLOOKUP(EDATE(B219,-12),Database!$A:$AS,MATCH($U$1,Database!$A$1:$AS$1,),)))))</f>
        <v/>
      </c>
      <c r="V219" s="13">
        <f>IF(VLOOKUP(B219,Database!$A:$AV,MATCH($V$1,Database!$A$1:$AV$1,),)=0,"#N/A",((((VLOOKUP(B219,Database!$A:$AS,MATCH($V$1,Database!$A$1:$AS$1,),))))-(((VLOOKUP(EDATE(B219,-12),Database!$A:$AS,MATCH($V$1,Database!$A$1:$AS$1,),)))))/(((VLOOKUP(EDATE(B219,-12),Database!$A:$AS,MATCH($V$1,Database!$A$1:$AS$1,),)))))</f>
        <v/>
      </c>
    </row>
    <row r="220" customFormat="1" s="86">
      <c r="A220" s="43" t="n"/>
      <c r="B220" s="75" t="n">
        <v>38838</v>
      </c>
      <c r="C220" s="13">
        <f>IF(VLOOKUP(B220,Database!$A:$AU,MATCH($C$1,Database!$A$1:$AU$1,),)=0,"#N/A",((((VLOOKUP(B220,Database!$A:$AU,MATCH($C$1,Database!$A$1:$AU$1,),))))-(((VLOOKUP(EDATE(B220,-12),Database!$A:$AU,MATCH($C$1,Database!$A$1:$AU$1,),)))))/(((VLOOKUP(EDATE(B220,-12),Database!$A:$AU,MATCH($C$1,Database!$A$1:$AU$1,),)))))</f>
        <v/>
      </c>
      <c r="D220" s="13">
        <f>IF(VLOOKUP(B220,Database!$A:$AV,MATCH($D$1,Database!$A$1:$AV$1,),)=0,"#N/A",((((VLOOKUP(B220,Database!$A:$AS,MATCH($D$1,Database!$A$1:$AS$1,),))))-(((VLOOKUP(EDATE(B220,-12),Database!$A:$AS,MATCH($D$1,Database!$A$1:$AS$1,),)))))/(((VLOOKUP(EDATE(B220,-12),Database!$A:$AS,MATCH($D$1,Database!$A$1:$AS$1,),)))))</f>
        <v/>
      </c>
      <c r="E220" s="13">
        <f>IF(VLOOKUP(B220,Database!$A:$AV,MATCH($E$1,Database!$A$1:$AV$1,),)=0,"#N/A",((((VLOOKUP(B220,Database!$A:$AS,MATCH($E$1,Database!$A$1:$AS$1,),))))-(((VLOOKUP(EDATE(B220,-12),Database!$A:$AS,MATCH($E$1,Database!$A$1:$AS$1,),)))))/(((VLOOKUP(EDATE(B220,-12),Database!$A:$AS,MATCH($E$1,Database!$A$1:$AS$1,),)))))</f>
        <v/>
      </c>
      <c r="F220" s="13">
        <f>IF(VLOOKUP(B220,Database!$A:$AV,MATCH($F$1,Database!$A$1:$AV$1,),)=0,"#N/A",((((VLOOKUP(B220,Database!$A:$AS,MATCH($F$1,Database!$A$1:$AS$1,),))))-(((VLOOKUP(EDATE(B220,-12),Database!$A:$AS,MATCH($F$1,Database!$A$1:$AS$1,),)))))/(((VLOOKUP(EDATE(B220,-12),Database!$A:$AS,MATCH($F$1,Database!$A$1:$AS$1,),)))))</f>
        <v/>
      </c>
      <c r="G220" s="13">
        <f>IF(VLOOKUP(B220,Database!$A:$AV,MATCH($G$1,Database!$A$1:$AV$1,),)=0,"#N/A",((((VLOOKUP(B220,Database!$A:$AS,MATCH($G$1,Database!$A$1:$AS$1,),))))-(((VLOOKUP(EDATE(B220,-12),Database!$A:$AS,MATCH($G$1,Database!$A$1:$AS$1,),)))))/(((VLOOKUP(EDATE(B220,-12),Database!$A:$AS,MATCH($G$1,Database!$A$1:$AS$1,),)))))</f>
        <v/>
      </c>
      <c r="H220" s="13">
        <f>IF(VLOOKUP(B220,Database!$A:$AV,MATCH($H$1,Database!$A$1:$AV$1,),)=0,"#N/A",((((VLOOKUP(B220,Database!$A:$AS,MATCH($H$1,Database!$A$1:$AS$1,),))))-(((VLOOKUP(EDATE(B220,-12),Database!$A:$AS,MATCH($H$1,Database!$A$1:$AS$1,),)))))/(((VLOOKUP(EDATE(B220,-12),Database!$A:$AS,MATCH($H$1,Database!$A$1:$AS$1,),)))))</f>
        <v/>
      </c>
      <c r="I220" s="13">
        <f>IF(VLOOKUP(B220,Database!$A:$AV,MATCH($I$1,Database!$A$1:$AV$1,),)=0,"#N/A",((((VLOOKUP(B220,Database!$A:$AS,MATCH($I$1,Database!$A$1:$AS$1,),))))-(((VLOOKUP(EDATE(B220,-12),Database!$A:$AS,MATCH($I$1,Database!$A$1:$AS$1,),)))))/(((VLOOKUP(EDATE(B220,-12),Database!$A:$AS,MATCH($I$1,Database!$A$1:$AS$1,),)))))</f>
        <v/>
      </c>
      <c r="J220" s="13">
        <f>IF(VLOOKUP(B220,Database!$A:$AV,MATCH($J$1,Database!$A$1:$AV$1,),)=0,"#N/A",((((VLOOKUP(B220,Database!$A:$AS,MATCH($J$1,Database!$A$1:$AS$1,),))))-(((VLOOKUP(EDATE(B220,-12),Database!$A:$AS,MATCH($J$1,Database!$A$1:$AS$1,),)))))/(((VLOOKUP(EDATE(B220,-12),Database!$A:$AS,MATCH($J$1,Database!$A$1:$AS$1,),)))))</f>
        <v/>
      </c>
      <c r="K220" s="13">
        <f>IF(VLOOKUP(B220,Database!$A:$AV,MATCH($K$1,Database!$A$1:$AV$1,),)=0,"#N/A",((((VLOOKUP(B220,Database!$A:$AS,MATCH($K$1,Database!$A$1:$AS$1,),))))-(((VLOOKUP(EDATE(B220,-12),Database!$A:$AS,MATCH($K$1,Database!$A$1:$AS$1,),)))))/(((VLOOKUP(EDATE(B220,-12),Database!$A:$AS,MATCH($K$1,Database!$A$1:$AS$1,),)))))</f>
        <v/>
      </c>
      <c r="L220" s="13">
        <f>((((VLOOKUP(B220,Database!$A:$AS,MATCH($L$1,Database!$A$1:$AS$1,),))))-(((VLOOKUP(EDATE(B220,-12),Database!$A:$AS,MATCH($L$1,Database!$A$1:$AS$1,),)))))/(((VLOOKUP(EDATE(B220,-12),Database!$A:$AS,MATCH($L$1,Database!$A$1:$AS$1,),))))</f>
        <v/>
      </c>
      <c r="M220" s="13">
        <f>((((VLOOKUP(B220,Database!$A:$AS,MATCH($M$1,Database!$A$1:$AS$1,),))))-(((VLOOKUP(EDATE(B220,-12),Database!$A:$AS,MATCH($M$1,Database!$A$1:$AS$1,),)))))/(((VLOOKUP(EDATE(B220,-12),Database!$A:$AS,MATCH($M$1,Database!$A$1:$AS$1,),))))</f>
        <v/>
      </c>
      <c r="N220" s="13">
        <f>((((VLOOKUP(B220,Database!$A:$AS,MATCH($N$1,Database!$A$1:$AS$1,),))))-(((VLOOKUP(EDATE(B220,-12),Database!$A:$AS,MATCH($N$1,Database!$A$1:$AS$1,),)))))/(((VLOOKUP(EDATE(B220,-12),Database!$A:$AS,MATCH($N$1,Database!$A$1:$AS$1,),))))</f>
        <v/>
      </c>
      <c r="O220" s="13">
        <f>IF(VLOOKUP(B220,Database!$A:$AV,MATCH($O$1,Database!$A$1:$AV$1,),)=0,"#N/A",((((VLOOKUP(B220,Database!$A:$AS,MATCH($O$1,Database!$A$1:$AS$1,),))))-(((VLOOKUP(EDATE(B220,-12),Database!$A:$AS,MATCH($O$1,Database!$A$1:$AS$1,),)))))/(((VLOOKUP(EDATE(B220,-12),Database!$A:$AS,MATCH($O$1,Database!$A$1:$AS$1,),)))))</f>
        <v/>
      </c>
      <c r="P220" s="13">
        <f>IF(VLOOKUP(B220,Database!$A:$AV,MATCH($P$1,Database!$A$1:$AV$1,),)=0,"#N/A",((((VLOOKUP(B220,Database!$A:$AS,MATCH($P$1,Database!$A$1:$AS$1,),))))-(((VLOOKUP(EDATE(B220,-12),Database!$A:$AS,MATCH($P$1,Database!$A$1:$AS$1,),)))))/(((VLOOKUP(EDATE(B220,-12),Database!$A:$AS,MATCH($P$1,Database!$A$1:$AS$1,),)))))</f>
        <v/>
      </c>
      <c r="Q220" s="13">
        <f>IF(VLOOKUP(B220,Database!$A:$AV,MATCH($Q$1,Database!$A$1:$AV$1,),)=0,"#N/A",((((VLOOKUP(B220,Database!$A:$AS,MATCH($Q$1,Database!$A$1:$AS$1,),))))-(((VLOOKUP(EDATE(B220,-12),Database!$A:$AS,MATCH($Q$1,Database!$A$1:$AS$1,),)))))/(((VLOOKUP(EDATE(B220,-12),Database!$A:$AS,MATCH($Q$1,Database!$A$1:$AS$1,),)))))</f>
        <v/>
      </c>
      <c r="R220" s="13">
        <f>IF(VLOOKUP(B220,Database!$A:$AV,MATCH($R$1,Database!$A$1:$AV$1,),)=0,"#N/A",((((VLOOKUP(B220,Database!$A:$AS,MATCH($R$1,Database!$A$1:$AS$1,),))))-(((VLOOKUP(EDATE(B220,-12),Database!$A:$AS,MATCH($R$1,Database!$A$1:$AS$1,),)))))/(((VLOOKUP(EDATE(B220,-12),Database!$A:$AS,MATCH($R$1,Database!$A$1:$AS$1,),)))))</f>
        <v/>
      </c>
      <c r="S220" s="13">
        <f>IF(VLOOKUP(B220,Database!$A:$AV,MATCH($S$1,Database!$A$1:$AV$1,),)=0,"#N/A",((((VLOOKUP(B220,Database!$A:$AS,MATCH($S$1,Database!$A$1:$AS$1,),))))-(((VLOOKUP(EDATE(B220,-12),Database!$A:$AS,MATCH($S$1,Database!$A$1:$AS$1,),)))))/(((VLOOKUP(EDATE(B220,-12),Database!$A:$AS,MATCH($S$1,Database!$A$1:$AS$1,),)))))</f>
        <v/>
      </c>
      <c r="T220" s="13">
        <f>IF(VLOOKUP(B220,Database!$A:$AV,MATCH($T$1,Database!$A$1:$AV$1,),)=0,"#N/A",((((VLOOKUP(B220,Database!$A:$AS,MATCH($T$1,Database!$A$1:$AS$1,),))))-(((VLOOKUP(EDATE(B220,-12),Database!$A:$AS,MATCH($T$1,Database!$A$1:$AS$1,),)))))/(((VLOOKUP(EDATE(B220,-12),Database!$A:$AS,MATCH($T$1,Database!$A$1:$AS$1,),)))))</f>
        <v/>
      </c>
      <c r="U220" s="13">
        <f>IF(VLOOKUP(B220,Database!$A:$AV,MATCH($U$1,Database!$A$1:$AV$1,),)=0,"#N/A",((((VLOOKUP(B220,Database!$A:$AS,MATCH($U$1,Database!$A$1:$AS$1,),))))-(((VLOOKUP(EDATE(B220,-12),Database!$A:$AS,MATCH($U$1,Database!$A$1:$AS$1,),)))))/(((VLOOKUP(EDATE(B220,-12),Database!$A:$AS,MATCH($U$1,Database!$A$1:$AS$1,),)))))</f>
        <v/>
      </c>
      <c r="V220" s="13">
        <f>IF(VLOOKUP(B220,Database!$A:$AV,MATCH($V$1,Database!$A$1:$AV$1,),)=0,"#N/A",((((VLOOKUP(B220,Database!$A:$AS,MATCH($V$1,Database!$A$1:$AS$1,),))))-(((VLOOKUP(EDATE(B220,-12),Database!$A:$AS,MATCH($V$1,Database!$A$1:$AS$1,),)))))/(((VLOOKUP(EDATE(B220,-12),Database!$A:$AS,MATCH($V$1,Database!$A$1:$AS$1,),)))))</f>
        <v/>
      </c>
    </row>
    <row r="221" customFormat="1" s="86">
      <c r="A221" s="43" t="n"/>
      <c r="B221" s="75" t="n">
        <v>38869</v>
      </c>
      <c r="C221" s="13">
        <f>IF(VLOOKUP(B221,Database!$A:$AU,MATCH($C$1,Database!$A$1:$AU$1,),)=0,"#N/A",((((VLOOKUP(B221,Database!$A:$AU,MATCH($C$1,Database!$A$1:$AU$1,),))))-(((VLOOKUP(EDATE(B221,-12),Database!$A:$AU,MATCH($C$1,Database!$A$1:$AU$1,),)))))/(((VLOOKUP(EDATE(B221,-12),Database!$A:$AU,MATCH($C$1,Database!$A$1:$AU$1,),)))))</f>
        <v/>
      </c>
      <c r="D221" s="13">
        <f>IF(VLOOKUP(B221,Database!$A:$AV,MATCH($D$1,Database!$A$1:$AV$1,),)=0,"#N/A",((((VLOOKUP(B221,Database!$A:$AS,MATCH($D$1,Database!$A$1:$AS$1,),))))-(((VLOOKUP(EDATE(B221,-12),Database!$A:$AS,MATCH($D$1,Database!$A$1:$AS$1,),)))))/(((VLOOKUP(EDATE(B221,-12),Database!$A:$AS,MATCH($D$1,Database!$A$1:$AS$1,),)))))</f>
        <v/>
      </c>
      <c r="E221" s="13">
        <f>IF(VLOOKUP(B221,Database!$A:$AV,MATCH($E$1,Database!$A$1:$AV$1,),)=0,"#N/A",((((VLOOKUP(B221,Database!$A:$AS,MATCH($E$1,Database!$A$1:$AS$1,),))))-(((VLOOKUP(EDATE(B221,-12),Database!$A:$AS,MATCH($E$1,Database!$A$1:$AS$1,),)))))/(((VLOOKUP(EDATE(B221,-12),Database!$A:$AS,MATCH($E$1,Database!$A$1:$AS$1,),)))))</f>
        <v/>
      </c>
      <c r="F221" s="13">
        <f>IF(VLOOKUP(B221,Database!$A:$AV,MATCH($F$1,Database!$A$1:$AV$1,),)=0,"#N/A",((((VLOOKUP(B221,Database!$A:$AS,MATCH($F$1,Database!$A$1:$AS$1,),))))-(((VLOOKUP(EDATE(B221,-12),Database!$A:$AS,MATCH($F$1,Database!$A$1:$AS$1,),)))))/(((VLOOKUP(EDATE(B221,-12),Database!$A:$AS,MATCH($F$1,Database!$A$1:$AS$1,),)))))</f>
        <v/>
      </c>
      <c r="G221" s="13">
        <f>IF(VLOOKUP(B221,Database!$A:$AV,MATCH($G$1,Database!$A$1:$AV$1,),)=0,"#N/A",((((VLOOKUP(B221,Database!$A:$AS,MATCH($G$1,Database!$A$1:$AS$1,),))))-(((VLOOKUP(EDATE(B221,-12),Database!$A:$AS,MATCH($G$1,Database!$A$1:$AS$1,),)))))/(((VLOOKUP(EDATE(B221,-12),Database!$A:$AS,MATCH($G$1,Database!$A$1:$AS$1,),)))))</f>
        <v/>
      </c>
      <c r="H221" s="13">
        <f>IF(VLOOKUP(B221,Database!$A:$AV,MATCH($H$1,Database!$A$1:$AV$1,),)=0,"#N/A",((((VLOOKUP(B221,Database!$A:$AS,MATCH($H$1,Database!$A$1:$AS$1,),))))-(((VLOOKUP(EDATE(B221,-12),Database!$A:$AS,MATCH($H$1,Database!$A$1:$AS$1,),)))))/(((VLOOKUP(EDATE(B221,-12),Database!$A:$AS,MATCH($H$1,Database!$A$1:$AS$1,),)))))</f>
        <v/>
      </c>
      <c r="I221" s="13">
        <f>IF(VLOOKUP(B221,Database!$A:$AV,MATCH($I$1,Database!$A$1:$AV$1,),)=0,"#N/A",((((VLOOKUP(B221,Database!$A:$AS,MATCH($I$1,Database!$A$1:$AS$1,),))))-(((VLOOKUP(EDATE(B221,-12),Database!$A:$AS,MATCH($I$1,Database!$A$1:$AS$1,),)))))/(((VLOOKUP(EDATE(B221,-12),Database!$A:$AS,MATCH($I$1,Database!$A$1:$AS$1,),)))))</f>
        <v/>
      </c>
      <c r="J221" s="13">
        <f>IF(VLOOKUP(B221,Database!$A:$AV,MATCH($J$1,Database!$A$1:$AV$1,),)=0,"#N/A",((((VLOOKUP(B221,Database!$A:$AS,MATCH($J$1,Database!$A$1:$AS$1,),))))-(((VLOOKUP(EDATE(B221,-12),Database!$A:$AS,MATCH($J$1,Database!$A$1:$AS$1,),)))))/(((VLOOKUP(EDATE(B221,-12),Database!$A:$AS,MATCH($J$1,Database!$A$1:$AS$1,),)))))</f>
        <v/>
      </c>
      <c r="K221" s="13">
        <f>IF(VLOOKUP(B221,Database!$A:$AV,MATCH($K$1,Database!$A$1:$AV$1,),)=0,"#N/A",((((VLOOKUP(B221,Database!$A:$AS,MATCH($K$1,Database!$A$1:$AS$1,),))))-(((VLOOKUP(EDATE(B221,-12),Database!$A:$AS,MATCH($K$1,Database!$A$1:$AS$1,),)))))/(((VLOOKUP(EDATE(B221,-12),Database!$A:$AS,MATCH($K$1,Database!$A$1:$AS$1,),)))))</f>
        <v/>
      </c>
      <c r="L221" s="13">
        <f>((((VLOOKUP(B221,Database!$A:$AS,MATCH($L$1,Database!$A$1:$AS$1,),))))-(((VLOOKUP(EDATE(B221,-12),Database!$A:$AS,MATCH($L$1,Database!$A$1:$AS$1,),)))))/(((VLOOKUP(EDATE(B221,-12),Database!$A:$AS,MATCH($L$1,Database!$A$1:$AS$1,),))))</f>
        <v/>
      </c>
      <c r="M221" s="13">
        <f>((((VLOOKUP(B221,Database!$A:$AS,MATCH($M$1,Database!$A$1:$AS$1,),))))-(((VLOOKUP(EDATE(B221,-12),Database!$A:$AS,MATCH($M$1,Database!$A$1:$AS$1,),)))))/(((VLOOKUP(EDATE(B221,-12),Database!$A:$AS,MATCH($M$1,Database!$A$1:$AS$1,),))))</f>
        <v/>
      </c>
      <c r="N221" s="13">
        <f>((((VLOOKUP(B221,Database!$A:$AS,MATCH($N$1,Database!$A$1:$AS$1,),))))-(((VLOOKUP(EDATE(B221,-12),Database!$A:$AS,MATCH($N$1,Database!$A$1:$AS$1,),)))))/(((VLOOKUP(EDATE(B221,-12),Database!$A:$AS,MATCH($N$1,Database!$A$1:$AS$1,),))))</f>
        <v/>
      </c>
      <c r="O221" s="13">
        <f>IF(VLOOKUP(B221,Database!$A:$AV,MATCH($O$1,Database!$A$1:$AV$1,),)=0,"#N/A",((((VLOOKUP(B221,Database!$A:$AS,MATCH($O$1,Database!$A$1:$AS$1,),))))-(((VLOOKUP(EDATE(B221,-12),Database!$A:$AS,MATCH($O$1,Database!$A$1:$AS$1,),)))))/(((VLOOKUP(EDATE(B221,-12),Database!$A:$AS,MATCH($O$1,Database!$A$1:$AS$1,),)))))</f>
        <v/>
      </c>
      <c r="P221" s="13">
        <f>IF(VLOOKUP(B221,Database!$A:$AV,MATCH($P$1,Database!$A$1:$AV$1,),)=0,"#N/A",((((VLOOKUP(B221,Database!$A:$AS,MATCH($P$1,Database!$A$1:$AS$1,),))))-(((VLOOKUP(EDATE(B221,-12),Database!$A:$AS,MATCH($P$1,Database!$A$1:$AS$1,),)))))/(((VLOOKUP(EDATE(B221,-12),Database!$A:$AS,MATCH($P$1,Database!$A$1:$AS$1,),)))))</f>
        <v/>
      </c>
      <c r="Q221" s="13">
        <f>IF(VLOOKUP(B221,Database!$A:$AV,MATCH($Q$1,Database!$A$1:$AV$1,),)=0,"#N/A",((((VLOOKUP(B221,Database!$A:$AS,MATCH($Q$1,Database!$A$1:$AS$1,),))))-(((VLOOKUP(EDATE(B221,-12),Database!$A:$AS,MATCH($Q$1,Database!$A$1:$AS$1,),)))))/(((VLOOKUP(EDATE(B221,-12),Database!$A:$AS,MATCH($Q$1,Database!$A$1:$AS$1,),)))))</f>
        <v/>
      </c>
      <c r="R221" s="13">
        <f>IF(VLOOKUP(B221,Database!$A:$AV,MATCH($R$1,Database!$A$1:$AV$1,),)=0,"#N/A",((((VLOOKUP(B221,Database!$A:$AS,MATCH($R$1,Database!$A$1:$AS$1,),))))-(((VLOOKUP(EDATE(B221,-12),Database!$A:$AS,MATCH($R$1,Database!$A$1:$AS$1,),)))))/(((VLOOKUP(EDATE(B221,-12),Database!$A:$AS,MATCH($R$1,Database!$A$1:$AS$1,),)))))</f>
        <v/>
      </c>
      <c r="S221" s="13">
        <f>IF(VLOOKUP(B221,Database!$A:$AV,MATCH($S$1,Database!$A$1:$AV$1,),)=0,"#N/A",((((VLOOKUP(B221,Database!$A:$AS,MATCH($S$1,Database!$A$1:$AS$1,),))))-(((VLOOKUP(EDATE(B221,-12),Database!$A:$AS,MATCH($S$1,Database!$A$1:$AS$1,),)))))/(((VLOOKUP(EDATE(B221,-12),Database!$A:$AS,MATCH($S$1,Database!$A$1:$AS$1,),)))))</f>
        <v/>
      </c>
      <c r="T221" s="13">
        <f>IF(VLOOKUP(B221,Database!$A:$AV,MATCH($T$1,Database!$A$1:$AV$1,),)=0,"#N/A",((((VLOOKUP(B221,Database!$A:$AS,MATCH($T$1,Database!$A$1:$AS$1,),))))-(((VLOOKUP(EDATE(B221,-12),Database!$A:$AS,MATCH($T$1,Database!$A$1:$AS$1,),)))))/(((VLOOKUP(EDATE(B221,-12),Database!$A:$AS,MATCH($T$1,Database!$A$1:$AS$1,),)))))</f>
        <v/>
      </c>
      <c r="U221" s="13">
        <f>IF(VLOOKUP(B221,Database!$A:$AV,MATCH($U$1,Database!$A$1:$AV$1,),)=0,"#N/A",((((VLOOKUP(B221,Database!$A:$AS,MATCH($U$1,Database!$A$1:$AS$1,),))))-(((VLOOKUP(EDATE(B221,-12),Database!$A:$AS,MATCH($U$1,Database!$A$1:$AS$1,),)))))/(((VLOOKUP(EDATE(B221,-12),Database!$A:$AS,MATCH($U$1,Database!$A$1:$AS$1,),)))))</f>
        <v/>
      </c>
      <c r="V221" s="13">
        <f>IF(VLOOKUP(B221,Database!$A:$AV,MATCH($V$1,Database!$A$1:$AV$1,),)=0,"#N/A",((((VLOOKUP(B221,Database!$A:$AS,MATCH($V$1,Database!$A$1:$AS$1,),))))-(((VLOOKUP(EDATE(B221,-12),Database!$A:$AS,MATCH($V$1,Database!$A$1:$AS$1,),)))))/(((VLOOKUP(EDATE(B221,-12),Database!$A:$AS,MATCH($V$1,Database!$A$1:$AS$1,),)))))</f>
        <v/>
      </c>
    </row>
    <row r="222" customFormat="1" s="86">
      <c r="A222" s="43" t="n"/>
      <c r="B222" s="75" t="n">
        <v>38899</v>
      </c>
      <c r="C222" s="13">
        <f>IF(VLOOKUP(B222,Database!$A:$AU,MATCH($C$1,Database!$A$1:$AU$1,),)=0,"#N/A",((((VLOOKUP(B222,Database!$A:$AU,MATCH($C$1,Database!$A$1:$AU$1,),))))-(((VLOOKUP(EDATE(B222,-12),Database!$A:$AU,MATCH($C$1,Database!$A$1:$AU$1,),)))))/(((VLOOKUP(EDATE(B222,-12),Database!$A:$AU,MATCH($C$1,Database!$A$1:$AU$1,),)))))</f>
        <v/>
      </c>
      <c r="D222" s="13">
        <f>IF(VLOOKUP(B222,Database!$A:$AV,MATCH($D$1,Database!$A$1:$AV$1,),)=0,"#N/A",((((VLOOKUP(B222,Database!$A:$AS,MATCH($D$1,Database!$A$1:$AS$1,),))))-(((VLOOKUP(EDATE(B222,-12),Database!$A:$AS,MATCH($D$1,Database!$A$1:$AS$1,),)))))/(((VLOOKUP(EDATE(B222,-12),Database!$A:$AS,MATCH($D$1,Database!$A$1:$AS$1,),)))))</f>
        <v/>
      </c>
      <c r="E222" s="13">
        <f>IF(VLOOKUP(B222,Database!$A:$AV,MATCH($E$1,Database!$A$1:$AV$1,),)=0,"#N/A",((((VLOOKUP(B222,Database!$A:$AS,MATCH($E$1,Database!$A$1:$AS$1,),))))-(((VLOOKUP(EDATE(B222,-12),Database!$A:$AS,MATCH($E$1,Database!$A$1:$AS$1,),)))))/(((VLOOKUP(EDATE(B222,-12),Database!$A:$AS,MATCH($E$1,Database!$A$1:$AS$1,),)))))</f>
        <v/>
      </c>
      <c r="F222" s="13">
        <f>IF(VLOOKUP(B222,Database!$A:$AV,MATCH($F$1,Database!$A$1:$AV$1,),)=0,"#N/A",((((VLOOKUP(B222,Database!$A:$AS,MATCH($F$1,Database!$A$1:$AS$1,),))))-(((VLOOKUP(EDATE(B222,-12),Database!$A:$AS,MATCH($F$1,Database!$A$1:$AS$1,),)))))/(((VLOOKUP(EDATE(B222,-12),Database!$A:$AS,MATCH($F$1,Database!$A$1:$AS$1,),)))))</f>
        <v/>
      </c>
      <c r="G222" s="13">
        <f>IF(VLOOKUP(B222,Database!$A:$AV,MATCH($G$1,Database!$A$1:$AV$1,),)=0,"#N/A",((((VLOOKUP(B222,Database!$A:$AS,MATCH($G$1,Database!$A$1:$AS$1,),))))-(((VLOOKUP(EDATE(B222,-12),Database!$A:$AS,MATCH($G$1,Database!$A$1:$AS$1,),)))))/(((VLOOKUP(EDATE(B222,-12),Database!$A:$AS,MATCH($G$1,Database!$A$1:$AS$1,),)))))</f>
        <v/>
      </c>
      <c r="H222" s="13">
        <f>IF(VLOOKUP(B222,Database!$A:$AV,MATCH($H$1,Database!$A$1:$AV$1,),)=0,"#N/A",((((VLOOKUP(B222,Database!$A:$AS,MATCH($H$1,Database!$A$1:$AS$1,),))))-(((VLOOKUP(EDATE(B222,-12),Database!$A:$AS,MATCH($H$1,Database!$A$1:$AS$1,),)))))/(((VLOOKUP(EDATE(B222,-12),Database!$A:$AS,MATCH($H$1,Database!$A$1:$AS$1,),)))))</f>
        <v/>
      </c>
      <c r="I222" s="13">
        <f>IF(VLOOKUP(B222,Database!$A:$AV,MATCH($I$1,Database!$A$1:$AV$1,),)=0,"#N/A",((((VLOOKUP(B222,Database!$A:$AS,MATCH($I$1,Database!$A$1:$AS$1,),))))-(((VLOOKUP(EDATE(B222,-12),Database!$A:$AS,MATCH($I$1,Database!$A$1:$AS$1,),)))))/(((VLOOKUP(EDATE(B222,-12),Database!$A:$AS,MATCH($I$1,Database!$A$1:$AS$1,),)))))</f>
        <v/>
      </c>
      <c r="J222" s="13">
        <f>IF(VLOOKUP(B222,Database!$A:$AV,MATCH($J$1,Database!$A$1:$AV$1,),)=0,"#N/A",((((VLOOKUP(B222,Database!$A:$AS,MATCH($J$1,Database!$A$1:$AS$1,),))))-(((VLOOKUP(EDATE(B222,-12),Database!$A:$AS,MATCH($J$1,Database!$A$1:$AS$1,),)))))/(((VLOOKUP(EDATE(B222,-12),Database!$A:$AS,MATCH($J$1,Database!$A$1:$AS$1,),)))))</f>
        <v/>
      </c>
      <c r="K222" s="13">
        <f>IF(VLOOKUP(B222,Database!$A:$AV,MATCH($K$1,Database!$A$1:$AV$1,),)=0,"#N/A",((((VLOOKUP(B222,Database!$A:$AS,MATCH($K$1,Database!$A$1:$AS$1,),))))-(((VLOOKUP(EDATE(B222,-12),Database!$A:$AS,MATCH($K$1,Database!$A$1:$AS$1,),)))))/(((VLOOKUP(EDATE(B222,-12),Database!$A:$AS,MATCH($K$1,Database!$A$1:$AS$1,),)))))</f>
        <v/>
      </c>
      <c r="L222" s="13">
        <f>((((VLOOKUP(B222,Database!$A:$AS,MATCH($L$1,Database!$A$1:$AS$1,),))))-(((VLOOKUP(EDATE(B222,-12),Database!$A:$AS,MATCH($L$1,Database!$A$1:$AS$1,),)))))/(((VLOOKUP(EDATE(B222,-12),Database!$A:$AS,MATCH($L$1,Database!$A$1:$AS$1,),))))</f>
        <v/>
      </c>
      <c r="M222" s="13">
        <f>((((VLOOKUP(B222,Database!$A:$AS,MATCH($M$1,Database!$A$1:$AS$1,),))))-(((VLOOKUP(EDATE(B222,-12),Database!$A:$AS,MATCH($M$1,Database!$A$1:$AS$1,),)))))/(((VLOOKUP(EDATE(B222,-12),Database!$A:$AS,MATCH($M$1,Database!$A$1:$AS$1,),))))</f>
        <v/>
      </c>
      <c r="N222" s="13">
        <f>((((VLOOKUP(B222,Database!$A:$AS,MATCH($N$1,Database!$A$1:$AS$1,),))))-(((VLOOKUP(EDATE(B222,-12),Database!$A:$AS,MATCH($N$1,Database!$A$1:$AS$1,),)))))/(((VLOOKUP(EDATE(B222,-12),Database!$A:$AS,MATCH($N$1,Database!$A$1:$AS$1,),))))</f>
        <v/>
      </c>
      <c r="O222" s="13">
        <f>IF(VLOOKUP(B222,Database!$A:$AV,MATCH($O$1,Database!$A$1:$AV$1,),)=0,"#N/A",((((VLOOKUP(B222,Database!$A:$AS,MATCH($O$1,Database!$A$1:$AS$1,),))))-(((VLOOKUP(EDATE(B222,-12),Database!$A:$AS,MATCH($O$1,Database!$A$1:$AS$1,),)))))/(((VLOOKUP(EDATE(B222,-12),Database!$A:$AS,MATCH($O$1,Database!$A$1:$AS$1,),)))))</f>
        <v/>
      </c>
      <c r="P222" s="13">
        <f>IF(VLOOKUP(B222,Database!$A:$AV,MATCH($P$1,Database!$A$1:$AV$1,),)=0,"#N/A",((((VLOOKUP(B222,Database!$A:$AS,MATCH($P$1,Database!$A$1:$AS$1,),))))-(((VLOOKUP(EDATE(B222,-12),Database!$A:$AS,MATCH($P$1,Database!$A$1:$AS$1,),)))))/(((VLOOKUP(EDATE(B222,-12),Database!$A:$AS,MATCH($P$1,Database!$A$1:$AS$1,),)))))</f>
        <v/>
      </c>
      <c r="Q222" s="13">
        <f>IF(VLOOKUP(B222,Database!$A:$AV,MATCH($Q$1,Database!$A$1:$AV$1,),)=0,"#N/A",((((VLOOKUP(B222,Database!$A:$AS,MATCH($Q$1,Database!$A$1:$AS$1,),))))-(((VLOOKUP(EDATE(B222,-12),Database!$A:$AS,MATCH($Q$1,Database!$A$1:$AS$1,),)))))/(((VLOOKUP(EDATE(B222,-12),Database!$A:$AS,MATCH($Q$1,Database!$A$1:$AS$1,),)))))</f>
        <v/>
      </c>
      <c r="R222" s="13">
        <f>IF(VLOOKUP(B222,Database!$A:$AV,MATCH($R$1,Database!$A$1:$AV$1,),)=0,"#N/A",((((VLOOKUP(B222,Database!$A:$AS,MATCH($R$1,Database!$A$1:$AS$1,),))))-(((VLOOKUP(EDATE(B222,-12),Database!$A:$AS,MATCH($R$1,Database!$A$1:$AS$1,),)))))/(((VLOOKUP(EDATE(B222,-12),Database!$A:$AS,MATCH($R$1,Database!$A$1:$AS$1,),)))))</f>
        <v/>
      </c>
      <c r="S222" s="13">
        <f>IF(VLOOKUP(B222,Database!$A:$AV,MATCH($S$1,Database!$A$1:$AV$1,),)=0,"#N/A",((((VLOOKUP(B222,Database!$A:$AS,MATCH($S$1,Database!$A$1:$AS$1,),))))-(((VLOOKUP(EDATE(B222,-12),Database!$A:$AS,MATCH($S$1,Database!$A$1:$AS$1,),)))))/(((VLOOKUP(EDATE(B222,-12),Database!$A:$AS,MATCH($S$1,Database!$A$1:$AS$1,),)))))</f>
        <v/>
      </c>
      <c r="T222" s="13">
        <f>IF(VLOOKUP(B222,Database!$A:$AV,MATCH($T$1,Database!$A$1:$AV$1,),)=0,"#N/A",((((VLOOKUP(B222,Database!$A:$AS,MATCH($T$1,Database!$A$1:$AS$1,),))))-(((VLOOKUP(EDATE(B222,-12),Database!$A:$AS,MATCH($T$1,Database!$A$1:$AS$1,),)))))/(((VLOOKUP(EDATE(B222,-12),Database!$A:$AS,MATCH($T$1,Database!$A$1:$AS$1,),)))))</f>
        <v/>
      </c>
      <c r="U222" s="13">
        <f>IF(VLOOKUP(B222,Database!$A:$AV,MATCH($U$1,Database!$A$1:$AV$1,),)=0,"#N/A",((((VLOOKUP(B222,Database!$A:$AS,MATCH($U$1,Database!$A$1:$AS$1,),))))-(((VLOOKUP(EDATE(B222,-12),Database!$A:$AS,MATCH($U$1,Database!$A$1:$AS$1,),)))))/(((VLOOKUP(EDATE(B222,-12),Database!$A:$AS,MATCH($U$1,Database!$A$1:$AS$1,),)))))</f>
        <v/>
      </c>
      <c r="V222" s="13">
        <f>IF(VLOOKUP(B222,Database!$A:$AV,MATCH($V$1,Database!$A$1:$AV$1,),)=0,"#N/A",((((VLOOKUP(B222,Database!$A:$AS,MATCH($V$1,Database!$A$1:$AS$1,),))))-(((VLOOKUP(EDATE(B222,-12),Database!$A:$AS,MATCH($V$1,Database!$A$1:$AS$1,),)))))/(((VLOOKUP(EDATE(B222,-12),Database!$A:$AS,MATCH($V$1,Database!$A$1:$AS$1,),)))))</f>
        <v/>
      </c>
    </row>
    <row r="223" customFormat="1" s="86">
      <c r="A223" s="43" t="n"/>
      <c r="B223" s="75" t="n">
        <v>38930</v>
      </c>
      <c r="C223" s="13">
        <f>IF(VLOOKUP(B223,Database!$A:$AU,MATCH($C$1,Database!$A$1:$AU$1,),)=0,"#N/A",((((VLOOKUP(B223,Database!$A:$AU,MATCH($C$1,Database!$A$1:$AU$1,),))))-(((VLOOKUP(EDATE(B223,-12),Database!$A:$AU,MATCH($C$1,Database!$A$1:$AU$1,),)))))/(((VLOOKUP(EDATE(B223,-12),Database!$A:$AU,MATCH($C$1,Database!$A$1:$AU$1,),)))))</f>
        <v/>
      </c>
      <c r="D223" s="13">
        <f>IF(VLOOKUP(B223,Database!$A:$AV,MATCH($D$1,Database!$A$1:$AV$1,),)=0,"#N/A",((((VLOOKUP(B223,Database!$A:$AS,MATCH($D$1,Database!$A$1:$AS$1,),))))-(((VLOOKUP(EDATE(B223,-12),Database!$A:$AS,MATCH($D$1,Database!$A$1:$AS$1,),)))))/(((VLOOKUP(EDATE(B223,-12),Database!$A:$AS,MATCH($D$1,Database!$A$1:$AS$1,),)))))</f>
        <v/>
      </c>
      <c r="E223" s="13">
        <f>IF(VLOOKUP(B223,Database!$A:$AV,MATCH($E$1,Database!$A$1:$AV$1,),)=0,"#N/A",((((VLOOKUP(B223,Database!$A:$AS,MATCH($E$1,Database!$A$1:$AS$1,),))))-(((VLOOKUP(EDATE(B223,-12),Database!$A:$AS,MATCH($E$1,Database!$A$1:$AS$1,),)))))/(((VLOOKUP(EDATE(B223,-12),Database!$A:$AS,MATCH($E$1,Database!$A$1:$AS$1,),)))))</f>
        <v/>
      </c>
      <c r="F223" s="13">
        <f>IF(VLOOKUP(B223,Database!$A:$AV,MATCH($F$1,Database!$A$1:$AV$1,),)=0,"#N/A",((((VLOOKUP(B223,Database!$A:$AS,MATCH($F$1,Database!$A$1:$AS$1,),))))-(((VLOOKUP(EDATE(B223,-12),Database!$A:$AS,MATCH($F$1,Database!$A$1:$AS$1,),)))))/(((VLOOKUP(EDATE(B223,-12),Database!$A:$AS,MATCH($F$1,Database!$A$1:$AS$1,),)))))</f>
        <v/>
      </c>
      <c r="G223" s="13">
        <f>IF(VLOOKUP(B223,Database!$A:$AV,MATCH($G$1,Database!$A$1:$AV$1,),)=0,"#N/A",((((VLOOKUP(B223,Database!$A:$AS,MATCH($G$1,Database!$A$1:$AS$1,),))))-(((VLOOKUP(EDATE(B223,-12),Database!$A:$AS,MATCH($G$1,Database!$A$1:$AS$1,),)))))/(((VLOOKUP(EDATE(B223,-12),Database!$A:$AS,MATCH($G$1,Database!$A$1:$AS$1,),)))))</f>
        <v/>
      </c>
      <c r="H223" s="13">
        <f>IF(VLOOKUP(B223,Database!$A:$AV,MATCH($H$1,Database!$A$1:$AV$1,),)=0,"#N/A",((((VLOOKUP(B223,Database!$A:$AS,MATCH($H$1,Database!$A$1:$AS$1,),))))-(((VLOOKUP(EDATE(B223,-12),Database!$A:$AS,MATCH($H$1,Database!$A$1:$AS$1,),)))))/(((VLOOKUP(EDATE(B223,-12),Database!$A:$AS,MATCH($H$1,Database!$A$1:$AS$1,),)))))</f>
        <v/>
      </c>
      <c r="I223" s="13">
        <f>IF(VLOOKUP(B223,Database!$A:$AV,MATCH($I$1,Database!$A$1:$AV$1,),)=0,"#N/A",((((VLOOKUP(B223,Database!$A:$AS,MATCH($I$1,Database!$A$1:$AS$1,),))))-(((VLOOKUP(EDATE(B223,-12),Database!$A:$AS,MATCH($I$1,Database!$A$1:$AS$1,),)))))/(((VLOOKUP(EDATE(B223,-12),Database!$A:$AS,MATCH($I$1,Database!$A$1:$AS$1,),)))))</f>
        <v/>
      </c>
      <c r="J223" s="13">
        <f>IF(VLOOKUP(B223,Database!$A:$AV,MATCH($J$1,Database!$A$1:$AV$1,),)=0,"#N/A",((((VLOOKUP(B223,Database!$A:$AS,MATCH($J$1,Database!$A$1:$AS$1,),))))-(((VLOOKUP(EDATE(B223,-12),Database!$A:$AS,MATCH($J$1,Database!$A$1:$AS$1,),)))))/(((VLOOKUP(EDATE(B223,-12),Database!$A:$AS,MATCH($J$1,Database!$A$1:$AS$1,),)))))</f>
        <v/>
      </c>
      <c r="K223" s="13">
        <f>IF(VLOOKUP(B223,Database!$A:$AV,MATCH($K$1,Database!$A$1:$AV$1,),)=0,"#N/A",((((VLOOKUP(B223,Database!$A:$AS,MATCH($K$1,Database!$A$1:$AS$1,),))))-(((VLOOKUP(EDATE(B223,-12),Database!$A:$AS,MATCH($K$1,Database!$A$1:$AS$1,),)))))/(((VLOOKUP(EDATE(B223,-12),Database!$A:$AS,MATCH($K$1,Database!$A$1:$AS$1,),)))))</f>
        <v/>
      </c>
      <c r="L223" s="13">
        <f>((((VLOOKUP(B223,Database!$A:$AS,MATCH($L$1,Database!$A$1:$AS$1,),))))-(((VLOOKUP(EDATE(B223,-12),Database!$A:$AS,MATCH($L$1,Database!$A$1:$AS$1,),)))))/(((VLOOKUP(EDATE(B223,-12),Database!$A:$AS,MATCH($L$1,Database!$A$1:$AS$1,),))))</f>
        <v/>
      </c>
      <c r="M223" s="13">
        <f>((((VLOOKUP(B223,Database!$A:$AS,MATCH($M$1,Database!$A$1:$AS$1,),))))-(((VLOOKUP(EDATE(B223,-12),Database!$A:$AS,MATCH($M$1,Database!$A$1:$AS$1,),)))))/(((VLOOKUP(EDATE(B223,-12),Database!$A:$AS,MATCH($M$1,Database!$A$1:$AS$1,),))))</f>
        <v/>
      </c>
      <c r="N223" s="13">
        <f>((((VLOOKUP(B223,Database!$A:$AS,MATCH($N$1,Database!$A$1:$AS$1,),))))-(((VLOOKUP(EDATE(B223,-12),Database!$A:$AS,MATCH($N$1,Database!$A$1:$AS$1,),)))))/(((VLOOKUP(EDATE(B223,-12),Database!$A:$AS,MATCH($N$1,Database!$A$1:$AS$1,),))))</f>
        <v/>
      </c>
      <c r="O223" s="13">
        <f>IF(VLOOKUP(B223,Database!$A:$AV,MATCH($O$1,Database!$A$1:$AV$1,),)=0,"#N/A",((((VLOOKUP(B223,Database!$A:$AS,MATCH($O$1,Database!$A$1:$AS$1,),))))-(((VLOOKUP(EDATE(B223,-12),Database!$A:$AS,MATCH($O$1,Database!$A$1:$AS$1,),)))))/(((VLOOKUP(EDATE(B223,-12),Database!$A:$AS,MATCH($O$1,Database!$A$1:$AS$1,),)))))</f>
        <v/>
      </c>
      <c r="P223" s="13">
        <f>IF(VLOOKUP(B223,Database!$A:$AV,MATCH($P$1,Database!$A$1:$AV$1,),)=0,"#N/A",((((VLOOKUP(B223,Database!$A:$AS,MATCH($P$1,Database!$A$1:$AS$1,),))))-(((VLOOKUP(EDATE(B223,-12),Database!$A:$AS,MATCH($P$1,Database!$A$1:$AS$1,),)))))/(((VLOOKUP(EDATE(B223,-12),Database!$A:$AS,MATCH($P$1,Database!$A$1:$AS$1,),)))))</f>
        <v/>
      </c>
      <c r="Q223" s="13">
        <f>IF(VLOOKUP(B223,Database!$A:$AV,MATCH($Q$1,Database!$A$1:$AV$1,),)=0,"#N/A",((((VLOOKUP(B223,Database!$A:$AS,MATCH($Q$1,Database!$A$1:$AS$1,),))))-(((VLOOKUP(EDATE(B223,-12),Database!$A:$AS,MATCH($Q$1,Database!$A$1:$AS$1,),)))))/(((VLOOKUP(EDATE(B223,-12),Database!$A:$AS,MATCH($Q$1,Database!$A$1:$AS$1,),)))))</f>
        <v/>
      </c>
      <c r="R223" s="13">
        <f>IF(VLOOKUP(B223,Database!$A:$AV,MATCH($R$1,Database!$A$1:$AV$1,),)=0,"#N/A",((((VLOOKUP(B223,Database!$A:$AS,MATCH($R$1,Database!$A$1:$AS$1,),))))-(((VLOOKUP(EDATE(B223,-12),Database!$A:$AS,MATCH($R$1,Database!$A$1:$AS$1,),)))))/(((VLOOKUP(EDATE(B223,-12),Database!$A:$AS,MATCH($R$1,Database!$A$1:$AS$1,),)))))</f>
        <v/>
      </c>
      <c r="S223" s="13">
        <f>IF(VLOOKUP(B223,Database!$A:$AV,MATCH($S$1,Database!$A$1:$AV$1,),)=0,"#N/A",((((VLOOKUP(B223,Database!$A:$AS,MATCH($S$1,Database!$A$1:$AS$1,),))))-(((VLOOKUP(EDATE(B223,-12),Database!$A:$AS,MATCH($S$1,Database!$A$1:$AS$1,),)))))/(((VLOOKUP(EDATE(B223,-12),Database!$A:$AS,MATCH($S$1,Database!$A$1:$AS$1,),)))))</f>
        <v/>
      </c>
      <c r="T223" s="13">
        <f>IF(VLOOKUP(B223,Database!$A:$AV,MATCH($T$1,Database!$A$1:$AV$1,),)=0,"#N/A",((((VLOOKUP(B223,Database!$A:$AS,MATCH($T$1,Database!$A$1:$AS$1,),))))-(((VLOOKUP(EDATE(B223,-12),Database!$A:$AS,MATCH($T$1,Database!$A$1:$AS$1,),)))))/(((VLOOKUP(EDATE(B223,-12),Database!$A:$AS,MATCH($T$1,Database!$A$1:$AS$1,),)))))</f>
        <v/>
      </c>
      <c r="U223" s="13">
        <f>IF(VLOOKUP(B223,Database!$A:$AV,MATCH($U$1,Database!$A$1:$AV$1,),)=0,"#N/A",((((VLOOKUP(B223,Database!$A:$AS,MATCH($U$1,Database!$A$1:$AS$1,),))))-(((VLOOKUP(EDATE(B223,-12),Database!$A:$AS,MATCH($U$1,Database!$A$1:$AS$1,),)))))/(((VLOOKUP(EDATE(B223,-12),Database!$A:$AS,MATCH($U$1,Database!$A$1:$AS$1,),)))))</f>
        <v/>
      </c>
      <c r="V223" s="13">
        <f>IF(VLOOKUP(B223,Database!$A:$AV,MATCH($V$1,Database!$A$1:$AV$1,),)=0,"#N/A",((((VLOOKUP(B223,Database!$A:$AS,MATCH($V$1,Database!$A$1:$AS$1,),))))-(((VLOOKUP(EDATE(B223,-12),Database!$A:$AS,MATCH($V$1,Database!$A$1:$AS$1,),)))))/(((VLOOKUP(EDATE(B223,-12),Database!$A:$AS,MATCH($V$1,Database!$A$1:$AS$1,),)))))</f>
        <v/>
      </c>
    </row>
    <row r="224" customFormat="1" s="86">
      <c r="A224" s="43" t="n"/>
      <c r="B224" s="75" t="n">
        <v>38961</v>
      </c>
      <c r="C224" s="13">
        <f>IF(VLOOKUP(B224,Database!$A:$AU,MATCH($C$1,Database!$A$1:$AU$1,),)=0,"#N/A",((((VLOOKUP(B224,Database!$A:$AU,MATCH($C$1,Database!$A$1:$AU$1,),))))-(((VLOOKUP(EDATE(B224,-12),Database!$A:$AU,MATCH($C$1,Database!$A$1:$AU$1,),)))))/(((VLOOKUP(EDATE(B224,-12),Database!$A:$AU,MATCH($C$1,Database!$A$1:$AU$1,),)))))</f>
        <v/>
      </c>
      <c r="D224" s="13">
        <f>IF(VLOOKUP(B224,Database!$A:$AV,MATCH($D$1,Database!$A$1:$AV$1,),)=0,"#N/A",((((VLOOKUP(B224,Database!$A:$AS,MATCH($D$1,Database!$A$1:$AS$1,),))))-(((VLOOKUP(EDATE(B224,-12),Database!$A:$AS,MATCH($D$1,Database!$A$1:$AS$1,),)))))/(((VLOOKUP(EDATE(B224,-12),Database!$A:$AS,MATCH($D$1,Database!$A$1:$AS$1,),)))))</f>
        <v/>
      </c>
      <c r="E224" s="13">
        <f>IF(VLOOKUP(B224,Database!$A:$AV,MATCH($E$1,Database!$A$1:$AV$1,),)=0,"#N/A",((((VLOOKUP(B224,Database!$A:$AS,MATCH($E$1,Database!$A$1:$AS$1,),))))-(((VLOOKUP(EDATE(B224,-12),Database!$A:$AS,MATCH($E$1,Database!$A$1:$AS$1,),)))))/(((VLOOKUP(EDATE(B224,-12),Database!$A:$AS,MATCH($E$1,Database!$A$1:$AS$1,),)))))</f>
        <v/>
      </c>
      <c r="F224" s="13">
        <f>IF(VLOOKUP(B224,Database!$A:$AV,MATCH($F$1,Database!$A$1:$AV$1,),)=0,"#N/A",((((VLOOKUP(B224,Database!$A:$AS,MATCH($F$1,Database!$A$1:$AS$1,),))))-(((VLOOKUP(EDATE(B224,-12),Database!$A:$AS,MATCH($F$1,Database!$A$1:$AS$1,),)))))/(((VLOOKUP(EDATE(B224,-12),Database!$A:$AS,MATCH($F$1,Database!$A$1:$AS$1,),)))))</f>
        <v/>
      </c>
      <c r="G224" s="13">
        <f>IF(VLOOKUP(B224,Database!$A:$AV,MATCH($G$1,Database!$A$1:$AV$1,),)=0,"#N/A",((((VLOOKUP(B224,Database!$A:$AS,MATCH($G$1,Database!$A$1:$AS$1,),))))-(((VLOOKUP(EDATE(B224,-12),Database!$A:$AS,MATCH($G$1,Database!$A$1:$AS$1,),)))))/(((VLOOKUP(EDATE(B224,-12),Database!$A:$AS,MATCH($G$1,Database!$A$1:$AS$1,),)))))</f>
        <v/>
      </c>
      <c r="H224" s="13">
        <f>IF(VLOOKUP(B224,Database!$A:$AV,MATCH($H$1,Database!$A$1:$AV$1,),)=0,"#N/A",((((VLOOKUP(B224,Database!$A:$AS,MATCH($H$1,Database!$A$1:$AS$1,),))))-(((VLOOKUP(EDATE(B224,-12),Database!$A:$AS,MATCH($H$1,Database!$A$1:$AS$1,),)))))/(((VLOOKUP(EDATE(B224,-12),Database!$A:$AS,MATCH($H$1,Database!$A$1:$AS$1,),)))))</f>
        <v/>
      </c>
      <c r="I224" s="13">
        <f>IF(VLOOKUP(B224,Database!$A:$AV,MATCH($I$1,Database!$A$1:$AV$1,),)=0,"#N/A",((((VLOOKUP(B224,Database!$A:$AS,MATCH($I$1,Database!$A$1:$AS$1,),))))-(((VLOOKUP(EDATE(B224,-12),Database!$A:$AS,MATCH($I$1,Database!$A$1:$AS$1,),)))))/(((VLOOKUP(EDATE(B224,-12),Database!$A:$AS,MATCH($I$1,Database!$A$1:$AS$1,),)))))</f>
        <v/>
      </c>
      <c r="J224" s="13">
        <f>IF(VLOOKUP(B224,Database!$A:$AV,MATCH($J$1,Database!$A$1:$AV$1,),)=0,"#N/A",((((VLOOKUP(B224,Database!$A:$AS,MATCH($J$1,Database!$A$1:$AS$1,),))))-(((VLOOKUP(EDATE(B224,-12),Database!$A:$AS,MATCH($J$1,Database!$A$1:$AS$1,),)))))/(((VLOOKUP(EDATE(B224,-12),Database!$A:$AS,MATCH($J$1,Database!$A$1:$AS$1,),)))))</f>
        <v/>
      </c>
      <c r="K224" s="13">
        <f>IF(VLOOKUP(B224,Database!$A:$AV,MATCH($K$1,Database!$A$1:$AV$1,),)=0,"#N/A",((((VLOOKUP(B224,Database!$A:$AS,MATCH($K$1,Database!$A$1:$AS$1,),))))-(((VLOOKUP(EDATE(B224,-12),Database!$A:$AS,MATCH($K$1,Database!$A$1:$AS$1,),)))))/(((VLOOKUP(EDATE(B224,-12),Database!$A:$AS,MATCH($K$1,Database!$A$1:$AS$1,),)))))</f>
        <v/>
      </c>
      <c r="L224" s="13">
        <f>((((VLOOKUP(B224,Database!$A:$AS,MATCH($L$1,Database!$A$1:$AS$1,),))))-(((VLOOKUP(EDATE(B224,-12),Database!$A:$AS,MATCH($L$1,Database!$A$1:$AS$1,),)))))/(((VLOOKUP(EDATE(B224,-12),Database!$A:$AS,MATCH($L$1,Database!$A$1:$AS$1,),))))</f>
        <v/>
      </c>
      <c r="M224" s="13">
        <f>((((VLOOKUP(B224,Database!$A:$AS,MATCH($M$1,Database!$A$1:$AS$1,),))))-(((VLOOKUP(EDATE(B224,-12),Database!$A:$AS,MATCH($M$1,Database!$A$1:$AS$1,),)))))/(((VLOOKUP(EDATE(B224,-12),Database!$A:$AS,MATCH($M$1,Database!$A$1:$AS$1,),))))</f>
        <v/>
      </c>
      <c r="N224" s="13">
        <f>((((VLOOKUP(B224,Database!$A:$AS,MATCH($N$1,Database!$A$1:$AS$1,),))))-(((VLOOKUP(EDATE(B224,-12),Database!$A:$AS,MATCH($N$1,Database!$A$1:$AS$1,),)))))/(((VLOOKUP(EDATE(B224,-12),Database!$A:$AS,MATCH($N$1,Database!$A$1:$AS$1,),))))</f>
        <v/>
      </c>
      <c r="O224" s="13">
        <f>IF(VLOOKUP(B224,Database!$A:$AV,MATCH($O$1,Database!$A$1:$AV$1,),)=0,"#N/A",((((VLOOKUP(B224,Database!$A:$AS,MATCH($O$1,Database!$A$1:$AS$1,),))))-(((VLOOKUP(EDATE(B224,-12),Database!$A:$AS,MATCH($O$1,Database!$A$1:$AS$1,),)))))/(((VLOOKUP(EDATE(B224,-12),Database!$A:$AS,MATCH($O$1,Database!$A$1:$AS$1,),)))))</f>
        <v/>
      </c>
      <c r="P224" s="13">
        <f>IF(VLOOKUP(B224,Database!$A:$AV,MATCH($P$1,Database!$A$1:$AV$1,),)=0,"#N/A",((((VLOOKUP(B224,Database!$A:$AS,MATCH($P$1,Database!$A$1:$AS$1,),))))-(((VLOOKUP(EDATE(B224,-12),Database!$A:$AS,MATCH($P$1,Database!$A$1:$AS$1,),)))))/(((VLOOKUP(EDATE(B224,-12),Database!$A:$AS,MATCH($P$1,Database!$A$1:$AS$1,),)))))</f>
        <v/>
      </c>
      <c r="Q224" s="13">
        <f>IF(VLOOKUP(B224,Database!$A:$AV,MATCH($Q$1,Database!$A$1:$AV$1,),)=0,"#N/A",((((VLOOKUP(B224,Database!$A:$AS,MATCH($Q$1,Database!$A$1:$AS$1,),))))-(((VLOOKUP(EDATE(B224,-12),Database!$A:$AS,MATCH($Q$1,Database!$A$1:$AS$1,),)))))/(((VLOOKUP(EDATE(B224,-12),Database!$A:$AS,MATCH($Q$1,Database!$A$1:$AS$1,),)))))</f>
        <v/>
      </c>
      <c r="R224" s="13">
        <f>IF(VLOOKUP(B224,Database!$A:$AV,MATCH($R$1,Database!$A$1:$AV$1,),)=0,"#N/A",((((VLOOKUP(B224,Database!$A:$AS,MATCH($R$1,Database!$A$1:$AS$1,),))))-(((VLOOKUP(EDATE(B224,-12),Database!$A:$AS,MATCH($R$1,Database!$A$1:$AS$1,),)))))/(((VLOOKUP(EDATE(B224,-12),Database!$A:$AS,MATCH($R$1,Database!$A$1:$AS$1,),)))))</f>
        <v/>
      </c>
      <c r="S224" s="13">
        <f>IF(VLOOKUP(B224,Database!$A:$AV,MATCH($S$1,Database!$A$1:$AV$1,),)=0,"#N/A",((((VLOOKUP(B224,Database!$A:$AS,MATCH($S$1,Database!$A$1:$AS$1,),))))-(((VLOOKUP(EDATE(B224,-12),Database!$A:$AS,MATCH($S$1,Database!$A$1:$AS$1,),)))))/(((VLOOKUP(EDATE(B224,-12),Database!$A:$AS,MATCH($S$1,Database!$A$1:$AS$1,),)))))</f>
        <v/>
      </c>
      <c r="T224" s="13">
        <f>IF(VLOOKUP(B224,Database!$A:$AV,MATCH($T$1,Database!$A$1:$AV$1,),)=0,"#N/A",((((VLOOKUP(B224,Database!$A:$AS,MATCH($T$1,Database!$A$1:$AS$1,),))))-(((VLOOKUP(EDATE(B224,-12),Database!$A:$AS,MATCH($T$1,Database!$A$1:$AS$1,),)))))/(((VLOOKUP(EDATE(B224,-12),Database!$A:$AS,MATCH($T$1,Database!$A$1:$AS$1,),)))))</f>
        <v/>
      </c>
      <c r="U224" s="13">
        <f>IF(VLOOKUP(B224,Database!$A:$AV,MATCH($U$1,Database!$A$1:$AV$1,),)=0,"#N/A",((((VLOOKUP(B224,Database!$A:$AS,MATCH($U$1,Database!$A$1:$AS$1,),))))-(((VLOOKUP(EDATE(B224,-12),Database!$A:$AS,MATCH($U$1,Database!$A$1:$AS$1,),)))))/(((VLOOKUP(EDATE(B224,-12),Database!$A:$AS,MATCH($U$1,Database!$A$1:$AS$1,),)))))</f>
        <v/>
      </c>
      <c r="V224" s="13">
        <f>IF(VLOOKUP(B224,Database!$A:$AV,MATCH($V$1,Database!$A$1:$AV$1,),)=0,"#N/A",((((VLOOKUP(B224,Database!$A:$AS,MATCH($V$1,Database!$A$1:$AS$1,),))))-(((VLOOKUP(EDATE(B224,-12),Database!$A:$AS,MATCH($V$1,Database!$A$1:$AS$1,),)))))/(((VLOOKUP(EDATE(B224,-12),Database!$A:$AS,MATCH($V$1,Database!$A$1:$AS$1,),)))))</f>
        <v/>
      </c>
    </row>
    <row r="225" customFormat="1" s="86">
      <c r="A225" s="43" t="n"/>
      <c r="B225" s="75" t="n">
        <v>38991</v>
      </c>
      <c r="C225" s="13">
        <f>IF(VLOOKUP(B225,Database!$A:$AU,MATCH($C$1,Database!$A$1:$AU$1,),)=0,"#N/A",((((VLOOKUP(B225,Database!$A:$AU,MATCH($C$1,Database!$A$1:$AU$1,),))))-(((VLOOKUP(EDATE(B225,-12),Database!$A:$AU,MATCH($C$1,Database!$A$1:$AU$1,),)))))/(((VLOOKUP(EDATE(B225,-12),Database!$A:$AU,MATCH($C$1,Database!$A$1:$AU$1,),)))))</f>
        <v/>
      </c>
      <c r="D225" s="13">
        <f>IF(VLOOKUP(B225,Database!$A:$AV,MATCH($D$1,Database!$A$1:$AV$1,),)=0,"#N/A",((((VLOOKUP(B225,Database!$A:$AS,MATCH($D$1,Database!$A$1:$AS$1,),))))-(((VLOOKUP(EDATE(B225,-12),Database!$A:$AS,MATCH($D$1,Database!$A$1:$AS$1,),)))))/(((VLOOKUP(EDATE(B225,-12),Database!$A:$AS,MATCH($D$1,Database!$A$1:$AS$1,),)))))</f>
        <v/>
      </c>
      <c r="E225" s="13">
        <f>IF(VLOOKUP(B225,Database!$A:$AV,MATCH($E$1,Database!$A$1:$AV$1,),)=0,"#N/A",((((VLOOKUP(B225,Database!$A:$AS,MATCH($E$1,Database!$A$1:$AS$1,),))))-(((VLOOKUP(EDATE(B225,-12),Database!$A:$AS,MATCH($E$1,Database!$A$1:$AS$1,),)))))/(((VLOOKUP(EDATE(B225,-12),Database!$A:$AS,MATCH($E$1,Database!$A$1:$AS$1,),)))))</f>
        <v/>
      </c>
      <c r="F225" s="13">
        <f>IF(VLOOKUP(B225,Database!$A:$AV,MATCH($F$1,Database!$A$1:$AV$1,),)=0,"#N/A",((((VLOOKUP(B225,Database!$A:$AS,MATCH($F$1,Database!$A$1:$AS$1,),))))-(((VLOOKUP(EDATE(B225,-12),Database!$A:$AS,MATCH($F$1,Database!$A$1:$AS$1,),)))))/(((VLOOKUP(EDATE(B225,-12),Database!$A:$AS,MATCH($F$1,Database!$A$1:$AS$1,),)))))</f>
        <v/>
      </c>
      <c r="G225" s="13">
        <f>IF(VLOOKUP(B225,Database!$A:$AV,MATCH($G$1,Database!$A$1:$AV$1,),)=0,"#N/A",((((VLOOKUP(B225,Database!$A:$AS,MATCH($G$1,Database!$A$1:$AS$1,),))))-(((VLOOKUP(EDATE(B225,-12),Database!$A:$AS,MATCH($G$1,Database!$A$1:$AS$1,),)))))/(((VLOOKUP(EDATE(B225,-12),Database!$A:$AS,MATCH($G$1,Database!$A$1:$AS$1,),)))))</f>
        <v/>
      </c>
      <c r="H225" s="13">
        <f>IF(VLOOKUP(B225,Database!$A:$AV,MATCH($H$1,Database!$A$1:$AV$1,),)=0,"#N/A",((((VLOOKUP(B225,Database!$A:$AS,MATCH($H$1,Database!$A$1:$AS$1,),))))-(((VLOOKUP(EDATE(B225,-12),Database!$A:$AS,MATCH($H$1,Database!$A$1:$AS$1,),)))))/(((VLOOKUP(EDATE(B225,-12),Database!$A:$AS,MATCH($H$1,Database!$A$1:$AS$1,),)))))</f>
        <v/>
      </c>
      <c r="I225" s="13">
        <f>IF(VLOOKUP(B225,Database!$A:$AV,MATCH($I$1,Database!$A$1:$AV$1,),)=0,"#N/A",((((VLOOKUP(B225,Database!$A:$AS,MATCH($I$1,Database!$A$1:$AS$1,),))))-(((VLOOKUP(EDATE(B225,-12),Database!$A:$AS,MATCH($I$1,Database!$A$1:$AS$1,),)))))/(((VLOOKUP(EDATE(B225,-12),Database!$A:$AS,MATCH($I$1,Database!$A$1:$AS$1,),)))))</f>
        <v/>
      </c>
      <c r="J225" s="13">
        <f>IF(VLOOKUP(B225,Database!$A:$AV,MATCH($J$1,Database!$A$1:$AV$1,),)=0,"#N/A",((((VLOOKUP(B225,Database!$A:$AS,MATCH($J$1,Database!$A$1:$AS$1,),))))-(((VLOOKUP(EDATE(B225,-12),Database!$A:$AS,MATCH($J$1,Database!$A$1:$AS$1,),)))))/(((VLOOKUP(EDATE(B225,-12),Database!$A:$AS,MATCH($J$1,Database!$A$1:$AS$1,),)))))</f>
        <v/>
      </c>
      <c r="K225" s="13">
        <f>IF(VLOOKUP(B225,Database!$A:$AV,MATCH($K$1,Database!$A$1:$AV$1,),)=0,"#N/A",((((VLOOKUP(B225,Database!$A:$AS,MATCH($K$1,Database!$A$1:$AS$1,),))))-(((VLOOKUP(EDATE(B225,-12),Database!$A:$AS,MATCH($K$1,Database!$A$1:$AS$1,),)))))/(((VLOOKUP(EDATE(B225,-12),Database!$A:$AS,MATCH($K$1,Database!$A$1:$AS$1,),)))))</f>
        <v/>
      </c>
      <c r="L225" s="13">
        <f>((((VLOOKUP(B225,Database!$A:$AS,MATCH($L$1,Database!$A$1:$AS$1,),))))-(((VLOOKUP(EDATE(B225,-12),Database!$A:$AS,MATCH($L$1,Database!$A$1:$AS$1,),)))))/(((VLOOKUP(EDATE(B225,-12),Database!$A:$AS,MATCH($L$1,Database!$A$1:$AS$1,),))))</f>
        <v/>
      </c>
      <c r="M225" s="13">
        <f>((((VLOOKUP(B225,Database!$A:$AS,MATCH($M$1,Database!$A$1:$AS$1,),))))-(((VLOOKUP(EDATE(B225,-12),Database!$A:$AS,MATCH($M$1,Database!$A$1:$AS$1,),)))))/(((VLOOKUP(EDATE(B225,-12),Database!$A:$AS,MATCH($M$1,Database!$A$1:$AS$1,),))))</f>
        <v/>
      </c>
      <c r="N225" s="13">
        <f>((((VLOOKUP(B225,Database!$A:$AS,MATCH($N$1,Database!$A$1:$AS$1,),))))-(((VLOOKUP(EDATE(B225,-12),Database!$A:$AS,MATCH($N$1,Database!$A$1:$AS$1,),)))))/(((VLOOKUP(EDATE(B225,-12),Database!$A:$AS,MATCH($N$1,Database!$A$1:$AS$1,),))))</f>
        <v/>
      </c>
      <c r="O225" s="13">
        <f>IF(VLOOKUP(B225,Database!$A:$AV,MATCH($O$1,Database!$A$1:$AV$1,),)=0,"#N/A",((((VLOOKUP(B225,Database!$A:$AS,MATCH($O$1,Database!$A$1:$AS$1,),))))-(((VLOOKUP(EDATE(B225,-12),Database!$A:$AS,MATCH($O$1,Database!$A$1:$AS$1,),)))))/(((VLOOKUP(EDATE(B225,-12),Database!$A:$AS,MATCH($O$1,Database!$A$1:$AS$1,),)))))</f>
        <v/>
      </c>
      <c r="P225" s="13">
        <f>IF(VLOOKUP(B225,Database!$A:$AV,MATCH($P$1,Database!$A$1:$AV$1,),)=0,"#N/A",((((VLOOKUP(B225,Database!$A:$AS,MATCH($P$1,Database!$A$1:$AS$1,),))))-(((VLOOKUP(EDATE(B225,-12),Database!$A:$AS,MATCH($P$1,Database!$A$1:$AS$1,),)))))/(((VLOOKUP(EDATE(B225,-12),Database!$A:$AS,MATCH($P$1,Database!$A$1:$AS$1,),)))))</f>
        <v/>
      </c>
      <c r="Q225" s="13">
        <f>IF(VLOOKUP(B225,Database!$A:$AV,MATCH($Q$1,Database!$A$1:$AV$1,),)=0,"#N/A",((((VLOOKUP(B225,Database!$A:$AS,MATCH($Q$1,Database!$A$1:$AS$1,),))))-(((VLOOKUP(EDATE(B225,-12),Database!$A:$AS,MATCH($Q$1,Database!$A$1:$AS$1,),)))))/(((VLOOKUP(EDATE(B225,-12),Database!$A:$AS,MATCH($Q$1,Database!$A$1:$AS$1,),)))))</f>
        <v/>
      </c>
      <c r="R225" s="13">
        <f>IF(VLOOKUP(B225,Database!$A:$AV,MATCH($R$1,Database!$A$1:$AV$1,),)=0,"#N/A",((((VLOOKUP(B225,Database!$A:$AS,MATCH($R$1,Database!$A$1:$AS$1,),))))-(((VLOOKUP(EDATE(B225,-12),Database!$A:$AS,MATCH($R$1,Database!$A$1:$AS$1,),)))))/(((VLOOKUP(EDATE(B225,-12),Database!$A:$AS,MATCH($R$1,Database!$A$1:$AS$1,),)))))</f>
        <v/>
      </c>
      <c r="S225" s="13">
        <f>IF(VLOOKUP(B225,Database!$A:$AV,MATCH($S$1,Database!$A$1:$AV$1,),)=0,"#N/A",((((VLOOKUP(B225,Database!$A:$AS,MATCH($S$1,Database!$A$1:$AS$1,),))))-(((VLOOKUP(EDATE(B225,-12),Database!$A:$AS,MATCH($S$1,Database!$A$1:$AS$1,),)))))/(((VLOOKUP(EDATE(B225,-12),Database!$A:$AS,MATCH($S$1,Database!$A$1:$AS$1,),)))))</f>
        <v/>
      </c>
      <c r="T225" s="13">
        <f>IF(VLOOKUP(B225,Database!$A:$AV,MATCH($T$1,Database!$A$1:$AV$1,),)=0,"#N/A",((((VLOOKUP(B225,Database!$A:$AS,MATCH($T$1,Database!$A$1:$AS$1,),))))-(((VLOOKUP(EDATE(B225,-12),Database!$A:$AS,MATCH($T$1,Database!$A$1:$AS$1,),)))))/(((VLOOKUP(EDATE(B225,-12),Database!$A:$AS,MATCH($T$1,Database!$A$1:$AS$1,),)))))</f>
        <v/>
      </c>
      <c r="U225" s="13">
        <f>IF(VLOOKUP(B225,Database!$A:$AV,MATCH($U$1,Database!$A$1:$AV$1,),)=0,"#N/A",((((VLOOKUP(B225,Database!$A:$AS,MATCH($U$1,Database!$A$1:$AS$1,),))))-(((VLOOKUP(EDATE(B225,-12),Database!$A:$AS,MATCH($U$1,Database!$A$1:$AS$1,),)))))/(((VLOOKUP(EDATE(B225,-12),Database!$A:$AS,MATCH($U$1,Database!$A$1:$AS$1,),)))))</f>
        <v/>
      </c>
      <c r="V225" s="13">
        <f>IF(VLOOKUP(B225,Database!$A:$AV,MATCH($V$1,Database!$A$1:$AV$1,),)=0,"#N/A",((((VLOOKUP(B225,Database!$A:$AS,MATCH($V$1,Database!$A$1:$AS$1,),))))-(((VLOOKUP(EDATE(B225,-12),Database!$A:$AS,MATCH($V$1,Database!$A$1:$AS$1,),)))))/(((VLOOKUP(EDATE(B225,-12),Database!$A:$AS,MATCH($V$1,Database!$A$1:$AS$1,),)))))</f>
        <v/>
      </c>
    </row>
    <row r="226" customFormat="1" s="86">
      <c r="A226" s="43" t="n"/>
      <c r="B226" s="75" t="n">
        <v>39022</v>
      </c>
      <c r="C226" s="13">
        <f>IF(VLOOKUP(B226,Database!$A:$AU,MATCH($C$1,Database!$A$1:$AU$1,),)=0,"#N/A",((((VLOOKUP(B226,Database!$A:$AU,MATCH($C$1,Database!$A$1:$AU$1,),))))-(((VLOOKUP(EDATE(B226,-12),Database!$A:$AU,MATCH($C$1,Database!$A$1:$AU$1,),)))))/(((VLOOKUP(EDATE(B226,-12),Database!$A:$AU,MATCH($C$1,Database!$A$1:$AU$1,),)))))</f>
        <v/>
      </c>
      <c r="D226" s="13">
        <f>IF(VLOOKUP(B226,Database!$A:$AV,MATCH($D$1,Database!$A$1:$AV$1,),)=0,"#N/A",((((VLOOKUP(B226,Database!$A:$AS,MATCH($D$1,Database!$A$1:$AS$1,),))))-(((VLOOKUP(EDATE(B226,-12),Database!$A:$AS,MATCH($D$1,Database!$A$1:$AS$1,),)))))/(((VLOOKUP(EDATE(B226,-12),Database!$A:$AS,MATCH($D$1,Database!$A$1:$AS$1,),)))))</f>
        <v/>
      </c>
      <c r="E226" s="13">
        <f>IF(VLOOKUP(B226,Database!$A:$AV,MATCH($E$1,Database!$A$1:$AV$1,),)=0,"#N/A",((((VLOOKUP(B226,Database!$A:$AS,MATCH($E$1,Database!$A$1:$AS$1,),))))-(((VLOOKUP(EDATE(B226,-12),Database!$A:$AS,MATCH($E$1,Database!$A$1:$AS$1,),)))))/(((VLOOKUP(EDATE(B226,-12),Database!$A:$AS,MATCH($E$1,Database!$A$1:$AS$1,),)))))</f>
        <v/>
      </c>
      <c r="F226" s="13">
        <f>IF(VLOOKUP(B226,Database!$A:$AV,MATCH($F$1,Database!$A$1:$AV$1,),)=0,"#N/A",((((VLOOKUP(B226,Database!$A:$AS,MATCH($F$1,Database!$A$1:$AS$1,),))))-(((VLOOKUP(EDATE(B226,-12),Database!$A:$AS,MATCH($F$1,Database!$A$1:$AS$1,),)))))/(((VLOOKUP(EDATE(B226,-12),Database!$A:$AS,MATCH($F$1,Database!$A$1:$AS$1,),)))))</f>
        <v/>
      </c>
      <c r="G226" s="13">
        <f>IF(VLOOKUP(B226,Database!$A:$AV,MATCH($G$1,Database!$A$1:$AV$1,),)=0,"#N/A",((((VLOOKUP(B226,Database!$A:$AS,MATCH($G$1,Database!$A$1:$AS$1,),))))-(((VLOOKUP(EDATE(B226,-12),Database!$A:$AS,MATCH($G$1,Database!$A$1:$AS$1,),)))))/(((VLOOKUP(EDATE(B226,-12),Database!$A:$AS,MATCH($G$1,Database!$A$1:$AS$1,),)))))</f>
        <v/>
      </c>
      <c r="H226" s="13">
        <f>IF(VLOOKUP(B226,Database!$A:$AV,MATCH($H$1,Database!$A$1:$AV$1,),)=0,"#N/A",((((VLOOKUP(B226,Database!$A:$AS,MATCH($H$1,Database!$A$1:$AS$1,),))))-(((VLOOKUP(EDATE(B226,-12),Database!$A:$AS,MATCH($H$1,Database!$A$1:$AS$1,),)))))/(((VLOOKUP(EDATE(B226,-12),Database!$A:$AS,MATCH($H$1,Database!$A$1:$AS$1,),)))))</f>
        <v/>
      </c>
      <c r="I226" s="13">
        <f>IF(VLOOKUP(B226,Database!$A:$AV,MATCH($I$1,Database!$A$1:$AV$1,),)=0,"#N/A",((((VLOOKUP(B226,Database!$A:$AS,MATCH($I$1,Database!$A$1:$AS$1,),))))-(((VLOOKUP(EDATE(B226,-12),Database!$A:$AS,MATCH($I$1,Database!$A$1:$AS$1,),)))))/(((VLOOKUP(EDATE(B226,-12),Database!$A:$AS,MATCH($I$1,Database!$A$1:$AS$1,),)))))</f>
        <v/>
      </c>
      <c r="J226" s="13">
        <f>IF(VLOOKUP(B226,Database!$A:$AV,MATCH($J$1,Database!$A$1:$AV$1,),)=0,"#N/A",((((VLOOKUP(B226,Database!$A:$AS,MATCH($J$1,Database!$A$1:$AS$1,),))))-(((VLOOKUP(EDATE(B226,-12),Database!$A:$AS,MATCH($J$1,Database!$A$1:$AS$1,),)))))/(((VLOOKUP(EDATE(B226,-12),Database!$A:$AS,MATCH($J$1,Database!$A$1:$AS$1,),)))))</f>
        <v/>
      </c>
      <c r="K226" s="13">
        <f>IF(VLOOKUP(B226,Database!$A:$AV,MATCH($K$1,Database!$A$1:$AV$1,),)=0,"#N/A",((((VLOOKUP(B226,Database!$A:$AS,MATCH($K$1,Database!$A$1:$AS$1,),))))-(((VLOOKUP(EDATE(B226,-12),Database!$A:$AS,MATCH($K$1,Database!$A$1:$AS$1,),)))))/(((VLOOKUP(EDATE(B226,-12),Database!$A:$AS,MATCH($K$1,Database!$A$1:$AS$1,),)))))</f>
        <v/>
      </c>
      <c r="L226" s="13">
        <f>((((VLOOKUP(B226,Database!$A:$AS,MATCH($L$1,Database!$A$1:$AS$1,),))))-(((VLOOKUP(EDATE(B226,-12),Database!$A:$AS,MATCH($L$1,Database!$A$1:$AS$1,),)))))/(((VLOOKUP(EDATE(B226,-12),Database!$A:$AS,MATCH($L$1,Database!$A$1:$AS$1,),))))</f>
        <v/>
      </c>
      <c r="M226" s="13">
        <f>((((VLOOKUP(B226,Database!$A:$AS,MATCH($M$1,Database!$A$1:$AS$1,),))))-(((VLOOKUP(EDATE(B226,-12),Database!$A:$AS,MATCH($M$1,Database!$A$1:$AS$1,),)))))/(((VLOOKUP(EDATE(B226,-12),Database!$A:$AS,MATCH($M$1,Database!$A$1:$AS$1,),))))</f>
        <v/>
      </c>
      <c r="N226" s="13">
        <f>((((VLOOKUP(B226,Database!$A:$AS,MATCH($N$1,Database!$A$1:$AS$1,),))))-(((VLOOKUP(EDATE(B226,-12),Database!$A:$AS,MATCH($N$1,Database!$A$1:$AS$1,),)))))/(((VLOOKUP(EDATE(B226,-12),Database!$A:$AS,MATCH($N$1,Database!$A$1:$AS$1,),))))</f>
        <v/>
      </c>
      <c r="O226" s="13">
        <f>IF(VLOOKUP(B226,Database!$A:$AV,MATCH($O$1,Database!$A$1:$AV$1,),)=0,"#N/A",((((VLOOKUP(B226,Database!$A:$AS,MATCH($O$1,Database!$A$1:$AS$1,),))))-(((VLOOKUP(EDATE(B226,-12),Database!$A:$AS,MATCH($O$1,Database!$A$1:$AS$1,),)))))/(((VLOOKUP(EDATE(B226,-12),Database!$A:$AS,MATCH($O$1,Database!$A$1:$AS$1,),)))))</f>
        <v/>
      </c>
      <c r="P226" s="13">
        <f>IF(VLOOKUP(B226,Database!$A:$AV,MATCH($P$1,Database!$A$1:$AV$1,),)=0,"#N/A",((((VLOOKUP(B226,Database!$A:$AS,MATCH($P$1,Database!$A$1:$AS$1,),))))-(((VLOOKUP(EDATE(B226,-12),Database!$A:$AS,MATCH($P$1,Database!$A$1:$AS$1,),)))))/(((VLOOKUP(EDATE(B226,-12),Database!$A:$AS,MATCH($P$1,Database!$A$1:$AS$1,),)))))</f>
        <v/>
      </c>
      <c r="Q226" s="13">
        <f>IF(VLOOKUP(B226,Database!$A:$AV,MATCH($Q$1,Database!$A$1:$AV$1,),)=0,"#N/A",((((VLOOKUP(B226,Database!$A:$AS,MATCH($Q$1,Database!$A$1:$AS$1,),))))-(((VLOOKUP(EDATE(B226,-12),Database!$A:$AS,MATCH($Q$1,Database!$A$1:$AS$1,),)))))/(((VLOOKUP(EDATE(B226,-12),Database!$A:$AS,MATCH($Q$1,Database!$A$1:$AS$1,),)))))</f>
        <v/>
      </c>
      <c r="R226" s="13">
        <f>IF(VLOOKUP(B226,Database!$A:$AV,MATCH($R$1,Database!$A$1:$AV$1,),)=0,"#N/A",((((VLOOKUP(B226,Database!$A:$AS,MATCH($R$1,Database!$A$1:$AS$1,),))))-(((VLOOKUP(EDATE(B226,-12),Database!$A:$AS,MATCH($R$1,Database!$A$1:$AS$1,),)))))/(((VLOOKUP(EDATE(B226,-12),Database!$A:$AS,MATCH($R$1,Database!$A$1:$AS$1,),)))))</f>
        <v/>
      </c>
      <c r="S226" s="13">
        <f>IF(VLOOKUP(B226,Database!$A:$AV,MATCH($S$1,Database!$A$1:$AV$1,),)=0,"#N/A",((((VLOOKUP(B226,Database!$A:$AS,MATCH($S$1,Database!$A$1:$AS$1,),))))-(((VLOOKUP(EDATE(B226,-12),Database!$A:$AS,MATCH($S$1,Database!$A$1:$AS$1,),)))))/(((VLOOKUP(EDATE(B226,-12),Database!$A:$AS,MATCH($S$1,Database!$A$1:$AS$1,),)))))</f>
        <v/>
      </c>
      <c r="T226" s="13">
        <f>IF(VLOOKUP(B226,Database!$A:$AV,MATCH($T$1,Database!$A$1:$AV$1,),)=0,"#N/A",((((VLOOKUP(B226,Database!$A:$AS,MATCH($T$1,Database!$A$1:$AS$1,),))))-(((VLOOKUP(EDATE(B226,-12),Database!$A:$AS,MATCH($T$1,Database!$A$1:$AS$1,),)))))/(((VLOOKUP(EDATE(B226,-12),Database!$A:$AS,MATCH($T$1,Database!$A$1:$AS$1,),)))))</f>
        <v/>
      </c>
      <c r="U226" s="13">
        <f>IF(VLOOKUP(B226,Database!$A:$AV,MATCH($U$1,Database!$A$1:$AV$1,),)=0,"#N/A",((((VLOOKUP(B226,Database!$A:$AS,MATCH($U$1,Database!$A$1:$AS$1,),))))-(((VLOOKUP(EDATE(B226,-12),Database!$A:$AS,MATCH($U$1,Database!$A$1:$AS$1,),)))))/(((VLOOKUP(EDATE(B226,-12),Database!$A:$AS,MATCH($U$1,Database!$A$1:$AS$1,),)))))</f>
        <v/>
      </c>
      <c r="V226" s="13">
        <f>IF(VLOOKUP(B226,Database!$A:$AV,MATCH($V$1,Database!$A$1:$AV$1,),)=0,"#N/A",((((VLOOKUP(B226,Database!$A:$AS,MATCH($V$1,Database!$A$1:$AS$1,),))))-(((VLOOKUP(EDATE(B226,-12),Database!$A:$AS,MATCH($V$1,Database!$A$1:$AS$1,),)))))/(((VLOOKUP(EDATE(B226,-12),Database!$A:$AS,MATCH($V$1,Database!$A$1:$AS$1,),)))))</f>
        <v/>
      </c>
    </row>
    <row r="227" customFormat="1" s="86">
      <c r="A227" s="43" t="n"/>
      <c r="B227" s="75" t="n">
        <v>39052</v>
      </c>
      <c r="C227" s="13">
        <f>IF(VLOOKUP(B227,Database!$A:$AU,MATCH($C$1,Database!$A$1:$AU$1,),)=0,"#N/A",((((VLOOKUP(B227,Database!$A:$AU,MATCH($C$1,Database!$A$1:$AU$1,),))))-(((VLOOKUP(EDATE(B227,-12),Database!$A:$AU,MATCH($C$1,Database!$A$1:$AU$1,),)))))/(((VLOOKUP(EDATE(B227,-12),Database!$A:$AU,MATCH($C$1,Database!$A$1:$AU$1,),)))))</f>
        <v/>
      </c>
      <c r="D227" s="13">
        <f>IF(VLOOKUP(B227,Database!$A:$AV,MATCH($D$1,Database!$A$1:$AV$1,),)=0,"#N/A",((((VLOOKUP(B227,Database!$A:$AS,MATCH($D$1,Database!$A$1:$AS$1,),))))-(((VLOOKUP(EDATE(B227,-12),Database!$A:$AS,MATCH($D$1,Database!$A$1:$AS$1,),)))))/(((VLOOKUP(EDATE(B227,-12),Database!$A:$AS,MATCH($D$1,Database!$A$1:$AS$1,),)))))</f>
        <v/>
      </c>
      <c r="E227" s="13">
        <f>IF(VLOOKUP(B227,Database!$A:$AV,MATCH($E$1,Database!$A$1:$AV$1,),)=0,"#N/A",((((VLOOKUP(B227,Database!$A:$AS,MATCH($E$1,Database!$A$1:$AS$1,),))))-(((VLOOKUP(EDATE(B227,-12),Database!$A:$AS,MATCH($E$1,Database!$A$1:$AS$1,),)))))/(((VLOOKUP(EDATE(B227,-12),Database!$A:$AS,MATCH($E$1,Database!$A$1:$AS$1,),)))))</f>
        <v/>
      </c>
      <c r="F227" s="13">
        <f>IF(VLOOKUP(B227,Database!$A:$AV,MATCH($F$1,Database!$A$1:$AV$1,),)=0,"#N/A",((((VLOOKUP(B227,Database!$A:$AS,MATCH($F$1,Database!$A$1:$AS$1,),))))-(((VLOOKUP(EDATE(B227,-12),Database!$A:$AS,MATCH($F$1,Database!$A$1:$AS$1,),)))))/(((VLOOKUP(EDATE(B227,-12),Database!$A:$AS,MATCH($F$1,Database!$A$1:$AS$1,),)))))</f>
        <v/>
      </c>
      <c r="G227" s="13">
        <f>IF(VLOOKUP(B227,Database!$A:$AV,MATCH($G$1,Database!$A$1:$AV$1,),)=0,"#N/A",((((VLOOKUP(B227,Database!$A:$AS,MATCH($G$1,Database!$A$1:$AS$1,),))))-(((VLOOKUP(EDATE(B227,-12),Database!$A:$AS,MATCH($G$1,Database!$A$1:$AS$1,),)))))/(((VLOOKUP(EDATE(B227,-12),Database!$A:$AS,MATCH($G$1,Database!$A$1:$AS$1,),)))))</f>
        <v/>
      </c>
      <c r="H227" s="13">
        <f>IF(VLOOKUP(B227,Database!$A:$AV,MATCH($H$1,Database!$A$1:$AV$1,),)=0,"#N/A",((((VLOOKUP(B227,Database!$A:$AS,MATCH($H$1,Database!$A$1:$AS$1,),))))-(((VLOOKUP(EDATE(B227,-12),Database!$A:$AS,MATCH($H$1,Database!$A$1:$AS$1,),)))))/(((VLOOKUP(EDATE(B227,-12),Database!$A:$AS,MATCH($H$1,Database!$A$1:$AS$1,),)))))</f>
        <v/>
      </c>
      <c r="I227" s="13">
        <f>IF(VLOOKUP(B227,Database!$A:$AV,MATCH($I$1,Database!$A$1:$AV$1,),)=0,"#N/A",((((VLOOKUP(B227,Database!$A:$AS,MATCH($I$1,Database!$A$1:$AS$1,),))))-(((VLOOKUP(EDATE(B227,-12),Database!$A:$AS,MATCH($I$1,Database!$A$1:$AS$1,),)))))/(((VLOOKUP(EDATE(B227,-12),Database!$A:$AS,MATCH($I$1,Database!$A$1:$AS$1,),)))))</f>
        <v/>
      </c>
      <c r="J227" s="13">
        <f>IF(VLOOKUP(B227,Database!$A:$AV,MATCH($J$1,Database!$A$1:$AV$1,),)=0,"#N/A",((((VLOOKUP(B227,Database!$A:$AS,MATCH($J$1,Database!$A$1:$AS$1,),))))-(((VLOOKUP(EDATE(B227,-12),Database!$A:$AS,MATCH($J$1,Database!$A$1:$AS$1,),)))))/(((VLOOKUP(EDATE(B227,-12),Database!$A:$AS,MATCH($J$1,Database!$A$1:$AS$1,),)))))</f>
        <v/>
      </c>
      <c r="K227" s="13">
        <f>IF(VLOOKUP(B227,Database!$A:$AV,MATCH($K$1,Database!$A$1:$AV$1,),)=0,"#N/A",((((VLOOKUP(B227,Database!$A:$AS,MATCH($K$1,Database!$A$1:$AS$1,),))))-(((VLOOKUP(EDATE(B227,-12),Database!$A:$AS,MATCH($K$1,Database!$A$1:$AS$1,),)))))/(((VLOOKUP(EDATE(B227,-12),Database!$A:$AS,MATCH($K$1,Database!$A$1:$AS$1,),)))))</f>
        <v/>
      </c>
      <c r="L227" s="13">
        <f>((((VLOOKUP(B227,Database!$A:$AS,MATCH($L$1,Database!$A$1:$AS$1,),))))-(((VLOOKUP(EDATE(B227,-12),Database!$A:$AS,MATCH($L$1,Database!$A$1:$AS$1,),)))))/(((VLOOKUP(EDATE(B227,-12),Database!$A:$AS,MATCH($L$1,Database!$A$1:$AS$1,),))))</f>
        <v/>
      </c>
      <c r="M227" s="13">
        <f>((((VLOOKUP(B227,Database!$A:$AS,MATCH($M$1,Database!$A$1:$AS$1,),))))-(((VLOOKUP(EDATE(B227,-12),Database!$A:$AS,MATCH($M$1,Database!$A$1:$AS$1,),)))))/(((VLOOKUP(EDATE(B227,-12),Database!$A:$AS,MATCH($M$1,Database!$A$1:$AS$1,),))))</f>
        <v/>
      </c>
      <c r="N227" s="13">
        <f>((((VLOOKUP(B227,Database!$A:$AS,MATCH($N$1,Database!$A$1:$AS$1,),))))-(((VLOOKUP(EDATE(B227,-12),Database!$A:$AS,MATCH($N$1,Database!$A$1:$AS$1,),)))))/(((VLOOKUP(EDATE(B227,-12),Database!$A:$AS,MATCH($N$1,Database!$A$1:$AS$1,),))))</f>
        <v/>
      </c>
      <c r="O227" s="13">
        <f>IF(VLOOKUP(B227,Database!$A:$AV,MATCH($O$1,Database!$A$1:$AV$1,),)=0,"#N/A",((((VLOOKUP(B227,Database!$A:$AS,MATCH($O$1,Database!$A$1:$AS$1,),))))-(((VLOOKUP(EDATE(B227,-12),Database!$A:$AS,MATCH($O$1,Database!$A$1:$AS$1,),)))))/(((VLOOKUP(EDATE(B227,-12),Database!$A:$AS,MATCH($O$1,Database!$A$1:$AS$1,),)))))</f>
        <v/>
      </c>
      <c r="P227" s="13">
        <f>IF(VLOOKUP(B227,Database!$A:$AV,MATCH($P$1,Database!$A$1:$AV$1,),)=0,"#N/A",((((VLOOKUP(B227,Database!$A:$AS,MATCH($P$1,Database!$A$1:$AS$1,),))))-(((VLOOKUP(EDATE(B227,-12),Database!$A:$AS,MATCH($P$1,Database!$A$1:$AS$1,),)))))/(((VLOOKUP(EDATE(B227,-12),Database!$A:$AS,MATCH($P$1,Database!$A$1:$AS$1,),)))))</f>
        <v/>
      </c>
      <c r="Q227" s="13">
        <f>IF(VLOOKUP(B227,Database!$A:$AV,MATCH($Q$1,Database!$A$1:$AV$1,),)=0,"#N/A",((((VLOOKUP(B227,Database!$A:$AS,MATCH($Q$1,Database!$A$1:$AS$1,),))))-(((VLOOKUP(EDATE(B227,-12),Database!$A:$AS,MATCH($Q$1,Database!$A$1:$AS$1,),)))))/(((VLOOKUP(EDATE(B227,-12),Database!$A:$AS,MATCH($Q$1,Database!$A$1:$AS$1,),)))))</f>
        <v/>
      </c>
      <c r="R227" s="13">
        <f>IF(VLOOKUP(B227,Database!$A:$AV,MATCH($R$1,Database!$A$1:$AV$1,),)=0,"#N/A",((((VLOOKUP(B227,Database!$A:$AS,MATCH($R$1,Database!$A$1:$AS$1,),))))-(((VLOOKUP(EDATE(B227,-12),Database!$A:$AS,MATCH($R$1,Database!$A$1:$AS$1,),)))))/(((VLOOKUP(EDATE(B227,-12),Database!$A:$AS,MATCH($R$1,Database!$A$1:$AS$1,),)))))</f>
        <v/>
      </c>
      <c r="S227" s="13">
        <f>IF(VLOOKUP(B227,Database!$A:$AV,MATCH($S$1,Database!$A$1:$AV$1,),)=0,"#N/A",((((VLOOKUP(B227,Database!$A:$AS,MATCH($S$1,Database!$A$1:$AS$1,),))))-(((VLOOKUP(EDATE(B227,-12),Database!$A:$AS,MATCH($S$1,Database!$A$1:$AS$1,),)))))/(((VLOOKUP(EDATE(B227,-12),Database!$A:$AS,MATCH($S$1,Database!$A$1:$AS$1,),)))))</f>
        <v/>
      </c>
      <c r="T227" s="13">
        <f>IF(VLOOKUP(B227,Database!$A:$AV,MATCH($T$1,Database!$A$1:$AV$1,),)=0,"#N/A",((((VLOOKUP(B227,Database!$A:$AS,MATCH($T$1,Database!$A$1:$AS$1,),))))-(((VLOOKUP(EDATE(B227,-12),Database!$A:$AS,MATCH($T$1,Database!$A$1:$AS$1,),)))))/(((VLOOKUP(EDATE(B227,-12),Database!$A:$AS,MATCH($T$1,Database!$A$1:$AS$1,),)))))</f>
        <v/>
      </c>
      <c r="U227" s="13">
        <f>IF(VLOOKUP(B227,Database!$A:$AV,MATCH($U$1,Database!$A$1:$AV$1,),)=0,"#N/A",((((VLOOKUP(B227,Database!$A:$AS,MATCH($U$1,Database!$A$1:$AS$1,),))))-(((VLOOKUP(EDATE(B227,-12),Database!$A:$AS,MATCH($U$1,Database!$A$1:$AS$1,),)))))/(((VLOOKUP(EDATE(B227,-12),Database!$A:$AS,MATCH($U$1,Database!$A$1:$AS$1,),)))))</f>
        <v/>
      </c>
      <c r="V227" s="13">
        <f>IF(VLOOKUP(B227,Database!$A:$AV,MATCH($V$1,Database!$A$1:$AV$1,),)=0,"#N/A",((((VLOOKUP(B227,Database!$A:$AS,MATCH($V$1,Database!$A$1:$AS$1,),))))-(((VLOOKUP(EDATE(B227,-12),Database!$A:$AS,MATCH($V$1,Database!$A$1:$AS$1,),)))))/(((VLOOKUP(EDATE(B227,-12),Database!$A:$AS,MATCH($V$1,Database!$A$1:$AS$1,),)))))</f>
        <v/>
      </c>
    </row>
    <row r="228" customFormat="1" s="86">
      <c r="A228" s="43" t="n"/>
      <c r="B228" s="75" t="n">
        <v>39083</v>
      </c>
      <c r="C228" s="13">
        <f>IF(VLOOKUP(B228,Database!$A:$AU,MATCH($C$1,Database!$A$1:$AU$1,),)=0,"#N/A",((((VLOOKUP(B228,Database!$A:$AU,MATCH($C$1,Database!$A$1:$AU$1,),))))-(((VLOOKUP(EDATE(B228,-12),Database!$A:$AU,MATCH($C$1,Database!$A$1:$AU$1,),)))))/(((VLOOKUP(EDATE(B228,-12),Database!$A:$AU,MATCH($C$1,Database!$A$1:$AU$1,),)))))</f>
        <v/>
      </c>
      <c r="D228" s="13">
        <f>IF(VLOOKUP(B228,Database!$A:$AV,MATCH($D$1,Database!$A$1:$AV$1,),)=0,"#N/A",((((VLOOKUP(B228,Database!$A:$AS,MATCH($D$1,Database!$A$1:$AS$1,),))))-(((VLOOKUP(EDATE(B228,-12),Database!$A:$AS,MATCH($D$1,Database!$A$1:$AS$1,),)))))/(((VLOOKUP(EDATE(B228,-12),Database!$A:$AS,MATCH($D$1,Database!$A$1:$AS$1,),)))))</f>
        <v/>
      </c>
      <c r="E228" s="13">
        <f>IF(VLOOKUP(B228,Database!$A:$AV,MATCH($E$1,Database!$A$1:$AV$1,),)=0,"#N/A",((((VLOOKUP(B228,Database!$A:$AS,MATCH($E$1,Database!$A$1:$AS$1,),))))-(((VLOOKUP(EDATE(B228,-12),Database!$A:$AS,MATCH($E$1,Database!$A$1:$AS$1,),)))))/(((VLOOKUP(EDATE(B228,-12),Database!$A:$AS,MATCH($E$1,Database!$A$1:$AS$1,),)))))</f>
        <v/>
      </c>
      <c r="F228" s="13">
        <f>IF(VLOOKUP(B228,Database!$A:$AV,MATCH($F$1,Database!$A$1:$AV$1,),)=0,"#N/A",((((VLOOKUP(B228,Database!$A:$AS,MATCH($F$1,Database!$A$1:$AS$1,),))))-(((VLOOKUP(EDATE(B228,-12),Database!$A:$AS,MATCH($F$1,Database!$A$1:$AS$1,),)))))/(((VLOOKUP(EDATE(B228,-12),Database!$A:$AS,MATCH($F$1,Database!$A$1:$AS$1,),)))))</f>
        <v/>
      </c>
      <c r="G228" s="13">
        <f>IF(VLOOKUP(B228,Database!$A:$AV,MATCH($G$1,Database!$A$1:$AV$1,),)=0,"#N/A",((((VLOOKUP(B228,Database!$A:$AS,MATCH($G$1,Database!$A$1:$AS$1,),))))-(((VLOOKUP(EDATE(B228,-12),Database!$A:$AS,MATCH($G$1,Database!$A$1:$AS$1,),)))))/(((VLOOKUP(EDATE(B228,-12),Database!$A:$AS,MATCH($G$1,Database!$A$1:$AS$1,),)))))</f>
        <v/>
      </c>
      <c r="H228" s="13">
        <f>IF(VLOOKUP(B228,Database!$A:$AV,MATCH($H$1,Database!$A$1:$AV$1,),)=0,"#N/A",((((VLOOKUP(B228,Database!$A:$AS,MATCH($H$1,Database!$A$1:$AS$1,),))))-(((VLOOKUP(EDATE(B228,-12),Database!$A:$AS,MATCH($H$1,Database!$A$1:$AS$1,),)))))/(((VLOOKUP(EDATE(B228,-12),Database!$A:$AS,MATCH($H$1,Database!$A$1:$AS$1,),)))))</f>
        <v/>
      </c>
      <c r="I228" s="13">
        <f>IF(VLOOKUP(B228,Database!$A:$AV,MATCH($I$1,Database!$A$1:$AV$1,),)=0,"#N/A",((((VLOOKUP(B228,Database!$A:$AS,MATCH($I$1,Database!$A$1:$AS$1,),))))-(((VLOOKUP(EDATE(B228,-12),Database!$A:$AS,MATCH($I$1,Database!$A$1:$AS$1,),)))))/(((VLOOKUP(EDATE(B228,-12),Database!$A:$AS,MATCH($I$1,Database!$A$1:$AS$1,),)))))</f>
        <v/>
      </c>
      <c r="J228" s="13">
        <f>IF(VLOOKUP(B228,Database!$A:$AV,MATCH($J$1,Database!$A$1:$AV$1,),)=0,"#N/A",((((VLOOKUP(B228,Database!$A:$AS,MATCH($J$1,Database!$A$1:$AS$1,),))))-(((VLOOKUP(EDATE(B228,-12),Database!$A:$AS,MATCH($J$1,Database!$A$1:$AS$1,),)))))/(((VLOOKUP(EDATE(B228,-12),Database!$A:$AS,MATCH($J$1,Database!$A$1:$AS$1,),)))))</f>
        <v/>
      </c>
      <c r="K228" s="13">
        <f>IF(VLOOKUP(B228,Database!$A:$AV,MATCH($K$1,Database!$A$1:$AV$1,),)=0,"#N/A",((((VLOOKUP(B228,Database!$A:$AS,MATCH($K$1,Database!$A$1:$AS$1,),))))-(((VLOOKUP(EDATE(B228,-12),Database!$A:$AS,MATCH($K$1,Database!$A$1:$AS$1,),)))))/(((VLOOKUP(EDATE(B228,-12),Database!$A:$AS,MATCH($K$1,Database!$A$1:$AS$1,),)))))</f>
        <v/>
      </c>
      <c r="L228" s="13">
        <f>((((VLOOKUP(B228,Database!$A:$AS,MATCH($L$1,Database!$A$1:$AS$1,),))))-(((VLOOKUP(EDATE(B228,-12),Database!$A:$AS,MATCH($L$1,Database!$A$1:$AS$1,),)))))/(((VLOOKUP(EDATE(B228,-12),Database!$A:$AS,MATCH($L$1,Database!$A$1:$AS$1,),))))</f>
        <v/>
      </c>
      <c r="M228" s="13">
        <f>((((VLOOKUP(B228,Database!$A:$AS,MATCH($M$1,Database!$A$1:$AS$1,),))))-(((VLOOKUP(EDATE(B228,-12),Database!$A:$AS,MATCH($M$1,Database!$A$1:$AS$1,),)))))/(((VLOOKUP(EDATE(B228,-12),Database!$A:$AS,MATCH($M$1,Database!$A$1:$AS$1,),))))</f>
        <v/>
      </c>
      <c r="N228" s="13">
        <f>((((VLOOKUP(B228,Database!$A:$AS,MATCH($N$1,Database!$A$1:$AS$1,),))))-(((VLOOKUP(EDATE(B228,-12),Database!$A:$AS,MATCH($N$1,Database!$A$1:$AS$1,),)))))/(((VLOOKUP(EDATE(B228,-12),Database!$A:$AS,MATCH($N$1,Database!$A$1:$AS$1,),))))</f>
        <v/>
      </c>
      <c r="O228" s="13">
        <f>IF(VLOOKUP(B228,Database!$A:$AV,MATCH($O$1,Database!$A$1:$AV$1,),)=0,"#N/A",((((VLOOKUP(B228,Database!$A:$AS,MATCH($O$1,Database!$A$1:$AS$1,),))))-(((VLOOKUP(EDATE(B228,-12),Database!$A:$AS,MATCH($O$1,Database!$A$1:$AS$1,),)))))/(((VLOOKUP(EDATE(B228,-12),Database!$A:$AS,MATCH($O$1,Database!$A$1:$AS$1,),)))))</f>
        <v/>
      </c>
      <c r="P228" s="13">
        <f>IF(VLOOKUP(B228,Database!$A:$AV,MATCH($P$1,Database!$A$1:$AV$1,),)=0,"#N/A",((((VLOOKUP(B228,Database!$A:$AS,MATCH($P$1,Database!$A$1:$AS$1,),))))-(((VLOOKUP(EDATE(B228,-12),Database!$A:$AS,MATCH($P$1,Database!$A$1:$AS$1,),)))))/(((VLOOKUP(EDATE(B228,-12),Database!$A:$AS,MATCH($P$1,Database!$A$1:$AS$1,),)))))</f>
        <v/>
      </c>
      <c r="Q228" s="13">
        <f>IF(VLOOKUP(B228,Database!$A:$AV,MATCH($Q$1,Database!$A$1:$AV$1,),)=0,"#N/A",((((VLOOKUP(B228,Database!$A:$AS,MATCH($Q$1,Database!$A$1:$AS$1,),))))-(((VLOOKUP(EDATE(B228,-12),Database!$A:$AS,MATCH($Q$1,Database!$A$1:$AS$1,),)))))/(((VLOOKUP(EDATE(B228,-12),Database!$A:$AS,MATCH($Q$1,Database!$A$1:$AS$1,),)))))</f>
        <v/>
      </c>
      <c r="R228" s="13">
        <f>IF(VLOOKUP(B228,Database!$A:$AV,MATCH($R$1,Database!$A$1:$AV$1,),)=0,"#N/A",((((VLOOKUP(B228,Database!$A:$AS,MATCH($R$1,Database!$A$1:$AS$1,),))))-(((VLOOKUP(EDATE(B228,-12),Database!$A:$AS,MATCH($R$1,Database!$A$1:$AS$1,),)))))/(((VLOOKUP(EDATE(B228,-12),Database!$A:$AS,MATCH($R$1,Database!$A$1:$AS$1,),)))))</f>
        <v/>
      </c>
      <c r="S228" s="13">
        <f>IF(VLOOKUP(B228,Database!$A:$AV,MATCH($S$1,Database!$A$1:$AV$1,),)=0,"#N/A",((((VLOOKUP(B228,Database!$A:$AS,MATCH($S$1,Database!$A$1:$AS$1,),))))-(((VLOOKUP(EDATE(B228,-12),Database!$A:$AS,MATCH($S$1,Database!$A$1:$AS$1,),)))))/(((VLOOKUP(EDATE(B228,-12),Database!$A:$AS,MATCH($S$1,Database!$A$1:$AS$1,),)))))</f>
        <v/>
      </c>
      <c r="T228" s="13">
        <f>IF(VLOOKUP(B228,Database!$A:$AV,MATCH($T$1,Database!$A$1:$AV$1,),)=0,"#N/A",((((VLOOKUP(B228,Database!$A:$AS,MATCH($T$1,Database!$A$1:$AS$1,),))))-(((VLOOKUP(EDATE(B228,-12),Database!$A:$AS,MATCH($T$1,Database!$A$1:$AS$1,),)))))/(((VLOOKUP(EDATE(B228,-12),Database!$A:$AS,MATCH($T$1,Database!$A$1:$AS$1,),)))))</f>
        <v/>
      </c>
      <c r="U228" s="13">
        <f>IF(VLOOKUP(B228,Database!$A:$AV,MATCH($U$1,Database!$A$1:$AV$1,),)=0,"#N/A",((((VLOOKUP(B228,Database!$A:$AS,MATCH($U$1,Database!$A$1:$AS$1,),))))-(((VLOOKUP(EDATE(B228,-12),Database!$A:$AS,MATCH($U$1,Database!$A$1:$AS$1,),)))))/(((VLOOKUP(EDATE(B228,-12),Database!$A:$AS,MATCH($U$1,Database!$A$1:$AS$1,),)))))</f>
        <v/>
      </c>
      <c r="V228" s="13">
        <f>IF(VLOOKUP(B228,Database!$A:$AV,MATCH($V$1,Database!$A$1:$AV$1,),)=0,"#N/A",((((VLOOKUP(B228,Database!$A:$AS,MATCH($V$1,Database!$A$1:$AS$1,),))))-(((VLOOKUP(EDATE(B228,-12),Database!$A:$AS,MATCH($V$1,Database!$A$1:$AS$1,),)))))/(((VLOOKUP(EDATE(B228,-12),Database!$A:$AS,MATCH($V$1,Database!$A$1:$AS$1,),)))))</f>
        <v/>
      </c>
    </row>
    <row r="229" customFormat="1" s="86">
      <c r="A229" s="43" t="n"/>
      <c r="B229" s="75" t="n">
        <v>39114</v>
      </c>
      <c r="C229" s="13">
        <f>IF(VLOOKUP(B229,Database!$A:$AU,MATCH($C$1,Database!$A$1:$AU$1,),)=0,"#N/A",((((VLOOKUP(B229,Database!$A:$AU,MATCH($C$1,Database!$A$1:$AU$1,),))))-(((VLOOKUP(EDATE(B229,-12),Database!$A:$AU,MATCH($C$1,Database!$A$1:$AU$1,),)))))/(((VLOOKUP(EDATE(B229,-12),Database!$A:$AU,MATCH($C$1,Database!$A$1:$AU$1,),)))))</f>
        <v/>
      </c>
      <c r="D229" s="13">
        <f>IF(VLOOKUP(B229,Database!$A:$AV,MATCH($D$1,Database!$A$1:$AV$1,),)=0,"#N/A",((((VLOOKUP(B229,Database!$A:$AS,MATCH($D$1,Database!$A$1:$AS$1,),))))-(((VLOOKUP(EDATE(B229,-12),Database!$A:$AS,MATCH($D$1,Database!$A$1:$AS$1,),)))))/(((VLOOKUP(EDATE(B229,-12),Database!$A:$AS,MATCH($D$1,Database!$A$1:$AS$1,),)))))</f>
        <v/>
      </c>
      <c r="E229" s="13">
        <f>IF(VLOOKUP(B229,Database!$A:$AV,MATCH($E$1,Database!$A$1:$AV$1,),)=0,"#N/A",((((VLOOKUP(B229,Database!$A:$AS,MATCH($E$1,Database!$A$1:$AS$1,),))))-(((VLOOKUP(EDATE(B229,-12),Database!$A:$AS,MATCH($E$1,Database!$A$1:$AS$1,),)))))/(((VLOOKUP(EDATE(B229,-12),Database!$A:$AS,MATCH($E$1,Database!$A$1:$AS$1,),)))))</f>
        <v/>
      </c>
      <c r="F229" s="13">
        <f>IF(VLOOKUP(B229,Database!$A:$AV,MATCH($F$1,Database!$A$1:$AV$1,),)=0,"#N/A",((((VLOOKUP(B229,Database!$A:$AS,MATCH($F$1,Database!$A$1:$AS$1,),))))-(((VLOOKUP(EDATE(B229,-12),Database!$A:$AS,MATCH($F$1,Database!$A$1:$AS$1,),)))))/(((VLOOKUP(EDATE(B229,-12),Database!$A:$AS,MATCH($F$1,Database!$A$1:$AS$1,),)))))</f>
        <v/>
      </c>
      <c r="G229" s="13">
        <f>IF(VLOOKUP(B229,Database!$A:$AV,MATCH($G$1,Database!$A$1:$AV$1,),)=0,"#N/A",((((VLOOKUP(B229,Database!$A:$AS,MATCH($G$1,Database!$A$1:$AS$1,),))))-(((VLOOKUP(EDATE(B229,-12),Database!$A:$AS,MATCH($G$1,Database!$A$1:$AS$1,),)))))/(((VLOOKUP(EDATE(B229,-12),Database!$A:$AS,MATCH($G$1,Database!$A$1:$AS$1,),)))))</f>
        <v/>
      </c>
      <c r="H229" s="13">
        <f>IF(VLOOKUP(B229,Database!$A:$AV,MATCH($H$1,Database!$A$1:$AV$1,),)=0,"#N/A",((((VLOOKUP(B229,Database!$A:$AS,MATCH($H$1,Database!$A$1:$AS$1,),))))-(((VLOOKUP(EDATE(B229,-12),Database!$A:$AS,MATCH($H$1,Database!$A$1:$AS$1,),)))))/(((VLOOKUP(EDATE(B229,-12),Database!$A:$AS,MATCH($H$1,Database!$A$1:$AS$1,),)))))</f>
        <v/>
      </c>
      <c r="I229" s="13">
        <f>IF(VLOOKUP(B229,Database!$A:$AV,MATCH($I$1,Database!$A$1:$AV$1,),)=0,"#N/A",((((VLOOKUP(B229,Database!$A:$AS,MATCH($I$1,Database!$A$1:$AS$1,),))))-(((VLOOKUP(EDATE(B229,-12),Database!$A:$AS,MATCH($I$1,Database!$A$1:$AS$1,),)))))/(((VLOOKUP(EDATE(B229,-12),Database!$A:$AS,MATCH($I$1,Database!$A$1:$AS$1,),)))))</f>
        <v/>
      </c>
      <c r="J229" s="13">
        <f>IF(VLOOKUP(B229,Database!$A:$AV,MATCH($J$1,Database!$A$1:$AV$1,),)=0,"#N/A",((((VLOOKUP(B229,Database!$A:$AS,MATCH($J$1,Database!$A$1:$AS$1,),))))-(((VLOOKUP(EDATE(B229,-12),Database!$A:$AS,MATCH($J$1,Database!$A$1:$AS$1,),)))))/(((VLOOKUP(EDATE(B229,-12),Database!$A:$AS,MATCH($J$1,Database!$A$1:$AS$1,),)))))</f>
        <v/>
      </c>
      <c r="K229" s="13">
        <f>IF(VLOOKUP(B229,Database!$A:$AV,MATCH($K$1,Database!$A$1:$AV$1,),)=0,"#N/A",((((VLOOKUP(B229,Database!$A:$AS,MATCH($K$1,Database!$A$1:$AS$1,),))))-(((VLOOKUP(EDATE(B229,-12),Database!$A:$AS,MATCH($K$1,Database!$A$1:$AS$1,),)))))/(((VLOOKUP(EDATE(B229,-12),Database!$A:$AS,MATCH($K$1,Database!$A$1:$AS$1,),)))))</f>
        <v/>
      </c>
      <c r="L229" s="13">
        <f>((((VLOOKUP(B229,Database!$A:$AS,MATCH($L$1,Database!$A$1:$AS$1,),))))-(((VLOOKUP(EDATE(B229,-12),Database!$A:$AS,MATCH($L$1,Database!$A$1:$AS$1,),)))))/(((VLOOKUP(EDATE(B229,-12),Database!$A:$AS,MATCH($L$1,Database!$A$1:$AS$1,),))))</f>
        <v/>
      </c>
      <c r="M229" s="13">
        <f>((((VLOOKUP(B229,Database!$A:$AS,MATCH($M$1,Database!$A$1:$AS$1,),))))-(((VLOOKUP(EDATE(B229,-12),Database!$A:$AS,MATCH($M$1,Database!$A$1:$AS$1,),)))))/(((VLOOKUP(EDATE(B229,-12),Database!$A:$AS,MATCH($M$1,Database!$A$1:$AS$1,),))))</f>
        <v/>
      </c>
      <c r="N229" s="13">
        <f>((((VLOOKUP(B229,Database!$A:$AS,MATCH($N$1,Database!$A$1:$AS$1,),))))-(((VLOOKUP(EDATE(B229,-12),Database!$A:$AS,MATCH($N$1,Database!$A$1:$AS$1,),)))))/(((VLOOKUP(EDATE(B229,-12),Database!$A:$AS,MATCH($N$1,Database!$A$1:$AS$1,),))))</f>
        <v/>
      </c>
      <c r="O229" s="13">
        <f>IF(VLOOKUP(B229,Database!$A:$AV,MATCH($O$1,Database!$A$1:$AV$1,),)=0,"#N/A",((((VLOOKUP(B229,Database!$A:$AS,MATCH($O$1,Database!$A$1:$AS$1,),))))-(((VLOOKUP(EDATE(B229,-12),Database!$A:$AS,MATCH($O$1,Database!$A$1:$AS$1,),)))))/(((VLOOKUP(EDATE(B229,-12),Database!$A:$AS,MATCH($O$1,Database!$A$1:$AS$1,),)))))</f>
        <v/>
      </c>
      <c r="P229" s="13">
        <f>IF(VLOOKUP(B229,Database!$A:$AV,MATCH($P$1,Database!$A$1:$AV$1,),)=0,"#N/A",((((VLOOKUP(B229,Database!$A:$AS,MATCH($P$1,Database!$A$1:$AS$1,),))))-(((VLOOKUP(EDATE(B229,-12),Database!$A:$AS,MATCH($P$1,Database!$A$1:$AS$1,),)))))/(((VLOOKUP(EDATE(B229,-12),Database!$A:$AS,MATCH($P$1,Database!$A$1:$AS$1,),)))))</f>
        <v/>
      </c>
      <c r="Q229" s="13">
        <f>IF(VLOOKUP(B229,Database!$A:$AV,MATCH($Q$1,Database!$A$1:$AV$1,),)=0,"#N/A",((((VLOOKUP(B229,Database!$A:$AS,MATCH($Q$1,Database!$A$1:$AS$1,),))))-(((VLOOKUP(EDATE(B229,-12),Database!$A:$AS,MATCH($Q$1,Database!$A$1:$AS$1,),)))))/(((VLOOKUP(EDATE(B229,-12),Database!$A:$AS,MATCH($Q$1,Database!$A$1:$AS$1,),)))))</f>
        <v/>
      </c>
      <c r="R229" s="13">
        <f>IF(VLOOKUP(B229,Database!$A:$AV,MATCH($R$1,Database!$A$1:$AV$1,),)=0,"#N/A",((((VLOOKUP(B229,Database!$A:$AS,MATCH($R$1,Database!$A$1:$AS$1,),))))-(((VLOOKUP(EDATE(B229,-12),Database!$A:$AS,MATCH($R$1,Database!$A$1:$AS$1,),)))))/(((VLOOKUP(EDATE(B229,-12),Database!$A:$AS,MATCH($R$1,Database!$A$1:$AS$1,),)))))</f>
        <v/>
      </c>
      <c r="S229" s="13">
        <f>IF(VLOOKUP(B229,Database!$A:$AV,MATCH($S$1,Database!$A$1:$AV$1,),)=0,"#N/A",((((VLOOKUP(B229,Database!$A:$AS,MATCH($S$1,Database!$A$1:$AS$1,),))))-(((VLOOKUP(EDATE(B229,-12),Database!$A:$AS,MATCH($S$1,Database!$A$1:$AS$1,),)))))/(((VLOOKUP(EDATE(B229,-12),Database!$A:$AS,MATCH($S$1,Database!$A$1:$AS$1,),)))))</f>
        <v/>
      </c>
      <c r="T229" s="13">
        <f>IF(VLOOKUP(B229,Database!$A:$AV,MATCH($T$1,Database!$A$1:$AV$1,),)=0,"#N/A",((((VLOOKUP(B229,Database!$A:$AS,MATCH($T$1,Database!$A$1:$AS$1,),))))-(((VLOOKUP(EDATE(B229,-12),Database!$A:$AS,MATCH($T$1,Database!$A$1:$AS$1,),)))))/(((VLOOKUP(EDATE(B229,-12),Database!$A:$AS,MATCH($T$1,Database!$A$1:$AS$1,),)))))</f>
        <v/>
      </c>
      <c r="U229" s="13">
        <f>IF(VLOOKUP(B229,Database!$A:$AV,MATCH($U$1,Database!$A$1:$AV$1,),)=0,"#N/A",((((VLOOKUP(B229,Database!$A:$AS,MATCH($U$1,Database!$A$1:$AS$1,),))))-(((VLOOKUP(EDATE(B229,-12),Database!$A:$AS,MATCH($U$1,Database!$A$1:$AS$1,),)))))/(((VLOOKUP(EDATE(B229,-12),Database!$A:$AS,MATCH($U$1,Database!$A$1:$AS$1,),)))))</f>
        <v/>
      </c>
      <c r="V229" s="13">
        <f>IF(VLOOKUP(B229,Database!$A:$AV,MATCH($V$1,Database!$A$1:$AV$1,),)=0,"#N/A",((((VLOOKUP(B229,Database!$A:$AS,MATCH($V$1,Database!$A$1:$AS$1,),))))-(((VLOOKUP(EDATE(B229,-12),Database!$A:$AS,MATCH($V$1,Database!$A$1:$AS$1,),)))))/(((VLOOKUP(EDATE(B229,-12),Database!$A:$AS,MATCH($V$1,Database!$A$1:$AS$1,),)))))</f>
        <v/>
      </c>
    </row>
    <row r="230" customFormat="1" s="86">
      <c r="A230" s="43" t="n"/>
      <c r="B230" s="75" t="n">
        <v>39142</v>
      </c>
      <c r="C230" s="13">
        <f>IF(VLOOKUP(B230,Database!$A:$AU,MATCH($C$1,Database!$A$1:$AU$1,),)=0,"#N/A",((((VLOOKUP(B230,Database!$A:$AU,MATCH($C$1,Database!$A$1:$AU$1,),))))-(((VLOOKUP(EDATE(B230,-12),Database!$A:$AU,MATCH($C$1,Database!$A$1:$AU$1,),)))))/(((VLOOKUP(EDATE(B230,-12),Database!$A:$AU,MATCH($C$1,Database!$A$1:$AU$1,),)))))</f>
        <v/>
      </c>
      <c r="D230" s="13">
        <f>IF(VLOOKUP(B230,Database!$A:$AV,MATCH($D$1,Database!$A$1:$AV$1,),)=0,"#N/A",((((VLOOKUP(B230,Database!$A:$AS,MATCH($D$1,Database!$A$1:$AS$1,),))))-(((VLOOKUP(EDATE(B230,-12),Database!$A:$AS,MATCH($D$1,Database!$A$1:$AS$1,),)))))/(((VLOOKUP(EDATE(B230,-12),Database!$A:$AS,MATCH($D$1,Database!$A$1:$AS$1,),)))))</f>
        <v/>
      </c>
      <c r="E230" s="13">
        <f>IF(VLOOKUP(B230,Database!$A:$AV,MATCH($E$1,Database!$A$1:$AV$1,),)=0,"#N/A",((((VLOOKUP(B230,Database!$A:$AS,MATCH($E$1,Database!$A$1:$AS$1,),))))-(((VLOOKUP(EDATE(B230,-12),Database!$A:$AS,MATCH($E$1,Database!$A$1:$AS$1,),)))))/(((VLOOKUP(EDATE(B230,-12),Database!$A:$AS,MATCH($E$1,Database!$A$1:$AS$1,),)))))</f>
        <v/>
      </c>
      <c r="F230" s="13">
        <f>IF(VLOOKUP(B230,Database!$A:$AV,MATCH($F$1,Database!$A$1:$AV$1,),)=0,"#N/A",((((VLOOKUP(B230,Database!$A:$AS,MATCH($F$1,Database!$A$1:$AS$1,),))))-(((VLOOKUP(EDATE(B230,-12),Database!$A:$AS,MATCH($F$1,Database!$A$1:$AS$1,),)))))/(((VLOOKUP(EDATE(B230,-12),Database!$A:$AS,MATCH($F$1,Database!$A$1:$AS$1,),)))))</f>
        <v/>
      </c>
      <c r="G230" s="13">
        <f>IF(VLOOKUP(B230,Database!$A:$AV,MATCH($G$1,Database!$A$1:$AV$1,),)=0,"#N/A",((((VLOOKUP(B230,Database!$A:$AS,MATCH($G$1,Database!$A$1:$AS$1,),))))-(((VLOOKUP(EDATE(B230,-12),Database!$A:$AS,MATCH($G$1,Database!$A$1:$AS$1,),)))))/(((VLOOKUP(EDATE(B230,-12),Database!$A:$AS,MATCH($G$1,Database!$A$1:$AS$1,),)))))</f>
        <v/>
      </c>
      <c r="H230" s="13">
        <f>IF(VLOOKUP(B230,Database!$A:$AV,MATCH($H$1,Database!$A$1:$AV$1,),)=0,"#N/A",((((VLOOKUP(B230,Database!$A:$AS,MATCH($H$1,Database!$A$1:$AS$1,),))))-(((VLOOKUP(EDATE(B230,-12),Database!$A:$AS,MATCH($H$1,Database!$A$1:$AS$1,),)))))/(((VLOOKUP(EDATE(B230,-12),Database!$A:$AS,MATCH($H$1,Database!$A$1:$AS$1,),)))))</f>
        <v/>
      </c>
      <c r="I230" s="13">
        <f>IF(VLOOKUP(B230,Database!$A:$AV,MATCH($I$1,Database!$A$1:$AV$1,),)=0,"#N/A",((((VLOOKUP(B230,Database!$A:$AS,MATCH($I$1,Database!$A$1:$AS$1,),))))-(((VLOOKUP(EDATE(B230,-12),Database!$A:$AS,MATCH($I$1,Database!$A$1:$AS$1,),)))))/(((VLOOKUP(EDATE(B230,-12),Database!$A:$AS,MATCH($I$1,Database!$A$1:$AS$1,),)))))</f>
        <v/>
      </c>
      <c r="J230" s="13">
        <f>IF(VLOOKUP(B230,Database!$A:$AV,MATCH($J$1,Database!$A$1:$AV$1,),)=0,"#N/A",((((VLOOKUP(B230,Database!$A:$AS,MATCH($J$1,Database!$A$1:$AS$1,),))))-(((VLOOKUP(EDATE(B230,-12),Database!$A:$AS,MATCH($J$1,Database!$A$1:$AS$1,),)))))/(((VLOOKUP(EDATE(B230,-12),Database!$A:$AS,MATCH($J$1,Database!$A$1:$AS$1,),)))))</f>
        <v/>
      </c>
      <c r="K230" s="13">
        <f>IF(VLOOKUP(B230,Database!$A:$AV,MATCH($K$1,Database!$A$1:$AV$1,),)=0,"#N/A",((((VLOOKUP(B230,Database!$A:$AS,MATCH($K$1,Database!$A$1:$AS$1,),))))-(((VLOOKUP(EDATE(B230,-12),Database!$A:$AS,MATCH($K$1,Database!$A$1:$AS$1,),)))))/(((VLOOKUP(EDATE(B230,-12),Database!$A:$AS,MATCH($K$1,Database!$A$1:$AS$1,),)))))</f>
        <v/>
      </c>
      <c r="L230" s="13">
        <f>((((VLOOKUP(B230,Database!$A:$AS,MATCH($L$1,Database!$A$1:$AS$1,),))))-(((VLOOKUP(EDATE(B230,-12),Database!$A:$AS,MATCH($L$1,Database!$A$1:$AS$1,),)))))/(((VLOOKUP(EDATE(B230,-12),Database!$A:$AS,MATCH($L$1,Database!$A$1:$AS$1,),))))</f>
        <v/>
      </c>
      <c r="M230" s="13">
        <f>((((VLOOKUP(B230,Database!$A:$AS,MATCH($M$1,Database!$A$1:$AS$1,),))))-(((VLOOKUP(EDATE(B230,-12),Database!$A:$AS,MATCH($M$1,Database!$A$1:$AS$1,),)))))/(((VLOOKUP(EDATE(B230,-12),Database!$A:$AS,MATCH($M$1,Database!$A$1:$AS$1,),))))</f>
        <v/>
      </c>
      <c r="N230" s="13">
        <f>((((VLOOKUP(B230,Database!$A:$AS,MATCH($N$1,Database!$A$1:$AS$1,),))))-(((VLOOKUP(EDATE(B230,-12),Database!$A:$AS,MATCH($N$1,Database!$A$1:$AS$1,),)))))/(((VLOOKUP(EDATE(B230,-12),Database!$A:$AS,MATCH($N$1,Database!$A$1:$AS$1,),))))</f>
        <v/>
      </c>
      <c r="O230" s="13">
        <f>IF(VLOOKUP(B230,Database!$A:$AV,MATCH($O$1,Database!$A$1:$AV$1,),)=0,"#N/A",((((VLOOKUP(B230,Database!$A:$AS,MATCH($O$1,Database!$A$1:$AS$1,),))))-(((VLOOKUP(EDATE(B230,-12),Database!$A:$AS,MATCH($O$1,Database!$A$1:$AS$1,),)))))/(((VLOOKUP(EDATE(B230,-12),Database!$A:$AS,MATCH($O$1,Database!$A$1:$AS$1,),)))))</f>
        <v/>
      </c>
      <c r="P230" s="13">
        <f>IF(VLOOKUP(B230,Database!$A:$AV,MATCH($P$1,Database!$A$1:$AV$1,),)=0,"#N/A",((((VLOOKUP(B230,Database!$A:$AS,MATCH($P$1,Database!$A$1:$AS$1,),))))-(((VLOOKUP(EDATE(B230,-12),Database!$A:$AS,MATCH($P$1,Database!$A$1:$AS$1,),)))))/(((VLOOKUP(EDATE(B230,-12),Database!$A:$AS,MATCH($P$1,Database!$A$1:$AS$1,),)))))</f>
        <v/>
      </c>
      <c r="Q230" s="13">
        <f>IF(VLOOKUP(B230,Database!$A:$AV,MATCH($Q$1,Database!$A$1:$AV$1,),)=0,"#N/A",((((VLOOKUP(B230,Database!$A:$AS,MATCH($Q$1,Database!$A$1:$AS$1,),))))-(((VLOOKUP(EDATE(B230,-12),Database!$A:$AS,MATCH($Q$1,Database!$A$1:$AS$1,),)))))/(((VLOOKUP(EDATE(B230,-12),Database!$A:$AS,MATCH($Q$1,Database!$A$1:$AS$1,),)))))</f>
        <v/>
      </c>
      <c r="R230" s="13">
        <f>IF(VLOOKUP(B230,Database!$A:$AV,MATCH($R$1,Database!$A$1:$AV$1,),)=0,"#N/A",((((VLOOKUP(B230,Database!$A:$AS,MATCH($R$1,Database!$A$1:$AS$1,),))))-(((VLOOKUP(EDATE(B230,-12),Database!$A:$AS,MATCH($R$1,Database!$A$1:$AS$1,),)))))/(((VLOOKUP(EDATE(B230,-12),Database!$A:$AS,MATCH($R$1,Database!$A$1:$AS$1,),)))))</f>
        <v/>
      </c>
      <c r="S230" s="13">
        <f>IF(VLOOKUP(B230,Database!$A:$AV,MATCH($S$1,Database!$A$1:$AV$1,),)=0,"#N/A",((((VLOOKUP(B230,Database!$A:$AS,MATCH($S$1,Database!$A$1:$AS$1,),))))-(((VLOOKUP(EDATE(B230,-12),Database!$A:$AS,MATCH($S$1,Database!$A$1:$AS$1,),)))))/(((VLOOKUP(EDATE(B230,-12),Database!$A:$AS,MATCH($S$1,Database!$A$1:$AS$1,),)))))</f>
        <v/>
      </c>
      <c r="T230" s="13">
        <f>IF(VLOOKUP(B230,Database!$A:$AV,MATCH($T$1,Database!$A$1:$AV$1,),)=0,"#N/A",((((VLOOKUP(B230,Database!$A:$AS,MATCH($T$1,Database!$A$1:$AS$1,),))))-(((VLOOKUP(EDATE(B230,-12),Database!$A:$AS,MATCH($T$1,Database!$A$1:$AS$1,),)))))/(((VLOOKUP(EDATE(B230,-12),Database!$A:$AS,MATCH($T$1,Database!$A$1:$AS$1,),)))))</f>
        <v/>
      </c>
      <c r="U230" s="13">
        <f>IF(VLOOKUP(B230,Database!$A:$AV,MATCH($U$1,Database!$A$1:$AV$1,),)=0,"#N/A",((((VLOOKUP(B230,Database!$A:$AS,MATCH($U$1,Database!$A$1:$AS$1,),))))-(((VLOOKUP(EDATE(B230,-12),Database!$A:$AS,MATCH($U$1,Database!$A$1:$AS$1,),)))))/(((VLOOKUP(EDATE(B230,-12),Database!$A:$AS,MATCH($U$1,Database!$A$1:$AS$1,),)))))</f>
        <v/>
      </c>
      <c r="V230" s="13">
        <f>IF(VLOOKUP(B230,Database!$A:$AV,MATCH($V$1,Database!$A$1:$AV$1,),)=0,"#N/A",((((VLOOKUP(B230,Database!$A:$AS,MATCH($V$1,Database!$A$1:$AS$1,),))))-(((VLOOKUP(EDATE(B230,-12),Database!$A:$AS,MATCH($V$1,Database!$A$1:$AS$1,),)))))/(((VLOOKUP(EDATE(B230,-12),Database!$A:$AS,MATCH($V$1,Database!$A$1:$AS$1,),)))))</f>
        <v/>
      </c>
    </row>
    <row r="231" customFormat="1" s="86">
      <c r="A231" s="43" t="n"/>
      <c r="B231" s="75" t="n">
        <v>39173</v>
      </c>
      <c r="C231" s="13">
        <f>IF(VLOOKUP(B231,Database!$A:$AU,MATCH($C$1,Database!$A$1:$AU$1,),)=0,"#N/A",((((VLOOKUP(B231,Database!$A:$AU,MATCH($C$1,Database!$A$1:$AU$1,),))))-(((VLOOKUP(EDATE(B231,-12),Database!$A:$AU,MATCH($C$1,Database!$A$1:$AU$1,),)))))/(((VLOOKUP(EDATE(B231,-12),Database!$A:$AU,MATCH($C$1,Database!$A$1:$AU$1,),)))))</f>
        <v/>
      </c>
      <c r="D231" s="13">
        <f>IF(VLOOKUP(B231,Database!$A:$AV,MATCH($D$1,Database!$A$1:$AV$1,),)=0,"#N/A",((((VLOOKUP(B231,Database!$A:$AS,MATCH($D$1,Database!$A$1:$AS$1,),))))-(((VLOOKUP(EDATE(B231,-12),Database!$A:$AS,MATCH($D$1,Database!$A$1:$AS$1,),)))))/(((VLOOKUP(EDATE(B231,-12),Database!$A:$AS,MATCH($D$1,Database!$A$1:$AS$1,),)))))</f>
        <v/>
      </c>
      <c r="E231" s="13">
        <f>IF(VLOOKUP(B231,Database!$A:$AV,MATCH($E$1,Database!$A$1:$AV$1,),)=0,"#N/A",((((VLOOKUP(B231,Database!$A:$AS,MATCH($E$1,Database!$A$1:$AS$1,),))))-(((VLOOKUP(EDATE(B231,-12),Database!$A:$AS,MATCH($E$1,Database!$A$1:$AS$1,),)))))/(((VLOOKUP(EDATE(B231,-12),Database!$A:$AS,MATCH($E$1,Database!$A$1:$AS$1,),)))))</f>
        <v/>
      </c>
      <c r="F231" s="13">
        <f>IF(VLOOKUP(B231,Database!$A:$AV,MATCH($F$1,Database!$A$1:$AV$1,),)=0,"#N/A",((((VLOOKUP(B231,Database!$A:$AS,MATCH($F$1,Database!$A$1:$AS$1,),))))-(((VLOOKUP(EDATE(B231,-12),Database!$A:$AS,MATCH($F$1,Database!$A$1:$AS$1,),)))))/(((VLOOKUP(EDATE(B231,-12),Database!$A:$AS,MATCH($F$1,Database!$A$1:$AS$1,),)))))</f>
        <v/>
      </c>
      <c r="G231" s="13">
        <f>IF(VLOOKUP(B231,Database!$A:$AV,MATCH($G$1,Database!$A$1:$AV$1,),)=0,"#N/A",((((VLOOKUP(B231,Database!$A:$AS,MATCH($G$1,Database!$A$1:$AS$1,),))))-(((VLOOKUP(EDATE(B231,-12),Database!$A:$AS,MATCH($G$1,Database!$A$1:$AS$1,),)))))/(((VLOOKUP(EDATE(B231,-12),Database!$A:$AS,MATCH($G$1,Database!$A$1:$AS$1,),)))))</f>
        <v/>
      </c>
      <c r="H231" s="13">
        <f>IF(VLOOKUP(B231,Database!$A:$AV,MATCH($H$1,Database!$A$1:$AV$1,),)=0,"#N/A",((((VLOOKUP(B231,Database!$A:$AS,MATCH($H$1,Database!$A$1:$AS$1,),))))-(((VLOOKUP(EDATE(B231,-12),Database!$A:$AS,MATCH($H$1,Database!$A$1:$AS$1,),)))))/(((VLOOKUP(EDATE(B231,-12),Database!$A:$AS,MATCH($H$1,Database!$A$1:$AS$1,),)))))</f>
        <v/>
      </c>
      <c r="I231" s="13">
        <f>IF(VLOOKUP(B231,Database!$A:$AV,MATCH($I$1,Database!$A$1:$AV$1,),)=0,"#N/A",((((VLOOKUP(B231,Database!$A:$AS,MATCH($I$1,Database!$A$1:$AS$1,),))))-(((VLOOKUP(EDATE(B231,-12),Database!$A:$AS,MATCH($I$1,Database!$A$1:$AS$1,),)))))/(((VLOOKUP(EDATE(B231,-12),Database!$A:$AS,MATCH($I$1,Database!$A$1:$AS$1,),)))))</f>
        <v/>
      </c>
      <c r="J231" s="13">
        <f>IF(VLOOKUP(B231,Database!$A:$AV,MATCH($J$1,Database!$A$1:$AV$1,),)=0,"#N/A",((((VLOOKUP(B231,Database!$A:$AS,MATCH($J$1,Database!$A$1:$AS$1,),))))-(((VLOOKUP(EDATE(B231,-12),Database!$A:$AS,MATCH($J$1,Database!$A$1:$AS$1,),)))))/(((VLOOKUP(EDATE(B231,-12),Database!$A:$AS,MATCH($J$1,Database!$A$1:$AS$1,),)))))</f>
        <v/>
      </c>
      <c r="K231" s="13">
        <f>IF(VLOOKUP(B231,Database!$A:$AV,MATCH($K$1,Database!$A$1:$AV$1,),)=0,"#N/A",((((VLOOKUP(B231,Database!$A:$AS,MATCH($K$1,Database!$A$1:$AS$1,),))))-(((VLOOKUP(EDATE(B231,-12),Database!$A:$AS,MATCH($K$1,Database!$A$1:$AS$1,),)))))/(((VLOOKUP(EDATE(B231,-12),Database!$A:$AS,MATCH($K$1,Database!$A$1:$AS$1,),)))))</f>
        <v/>
      </c>
      <c r="L231" s="13">
        <f>((((VLOOKUP(B231,Database!$A:$AS,MATCH($L$1,Database!$A$1:$AS$1,),))))-(((VLOOKUP(EDATE(B231,-12),Database!$A:$AS,MATCH($L$1,Database!$A$1:$AS$1,),)))))/(((VLOOKUP(EDATE(B231,-12),Database!$A:$AS,MATCH($L$1,Database!$A$1:$AS$1,),))))</f>
        <v/>
      </c>
      <c r="M231" s="13">
        <f>((((VLOOKUP(B231,Database!$A:$AS,MATCH($M$1,Database!$A$1:$AS$1,),))))-(((VLOOKUP(EDATE(B231,-12),Database!$A:$AS,MATCH($M$1,Database!$A$1:$AS$1,),)))))/(((VLOOKUP(EDATE(B231,-12),Database!$A:$AS,MATCH($M$1,Database!$A$1:$AS$1,),))))</f>
        <v/>
      </c>
      <c r="N231" s="13">
        <f>((((VLOOKUP(B231,Database!$A:$AS,MATCH($N$1,Database!$A$1:$AS$1,),))))-(((VLOOKUP(EDATE(B231,-12),Database!$A:$AS,MATCH($N$1,Database!$A$1:$AS$1,),)))))/(((VLOOKUP(EDATE(B231,-12),Database!$A:$AS,MATCH($N$1,Database!$A$1:$AS$1,),))))</f>
        <v/>
      </c>
      <c r="O231" s="13">
        <f>IF(VLOOKUP(B231,Database!$A:$AV,MATCH($O$1,Database!$A$1:$AV$1,),)=0,"#N/A",((((VLOOKUP(B231,Database!$A:$AS,MATCH($O$1,Database!$A$1:$AS$1,),))))-(((VLOOKUP(EDATE(B231,-12),Database!$A:$AS,MATCH($O$1,Database!$A$1:$AS$1,),)))))/(((VLOOKUP(EDATE(B231,-12),Database!$A:$AS,MATCH($O$1,Database!$A$1:$AS$1,),)))))</f>
        <v/>
      </c>
      <c r="P231" s="13">
        <f>IF(VLOOKUP(B231,Database!$A:$AV,MATCH($P$1,Database!$A$1:$AV$1,),)=0,"#N/A",((((VLOOKUP(B231,Database!$A:$AS,MATCH($P$1,Database!$A$1:$AS$1,),))))-(((VLOOKUP(EDATE(B231,-12),Database!$A:$AS,MATCH($P$1,Database!$A$1:$AS$1,),)))))/(((VLOOKUP(EDATE(B231,-12),Database!$A:$AS,MATCH($P$1,Database!$A$1:$AS$1,),)))))</f>
        <v/>
      </c>
      <c r="Q231" s="13">
        <f>IF(VLOOKUP(B231,Database!$A:$AV,MATCH($Q$1,Database!$A$1:$AV$1,),)=0,"#N/A",((((VLOOKUP(B231,Database!$A:$AS,MATCH($Q$1,Database!$A$1:$AS$1,),))))-(((VLOOKUP(EDATE(B231,-12),Database!$A:$AS,MATCH($Q$1,Database!$A$1:$AS$1,),)))))/(((VLOOKUP(EDATE(B231,-12),Database!$A:$AS,MATCH($Q$1,Database!$A$1:$AS$1,),)))))</f>
        <v/>
      </c>
      <c r="R231" s="13">
        <f>IF(VLOOKUP(B231,Database!$A:$AV,MATCH($R$1,Database!$A$1:$AV$1,),)=0,"#N/A",((((VLOOKUP(B231,Database!$A:$AS,MATCH($R$1,Database!$A$1:$AS$1,),))))-(((VLOOKUP(EDATE(B231,-12),Database!$A:$AS,MATCH($R$1,Database!$A$1:$AS$1,),)))))/(((VLOOKUP(EDATE(B231,-12),Database!$A:$AS,MATCH($R$1,Database!$A$1:$AS$1,),)))))</f>
        <v/>
      </c>
      <c r="S231" s="13">
        <f>IF(VLOOKUP(B231,Database!$A:$AV,MATCH($S$1,Database!$A$1:$AV$1,),)=0,"#N/A",((((VLOOKUP(B231,Database!$A:$AS,MATCH($S$1,Database!$A$1:$AS$1,),))))-(((VLOOKUP(EDATE(B231,-12),Database!$A:$AS,MATCH($S$1,Database!$A$1:$AS$1,),)))))/(((VLOOKUP(EDATE(B231,-12),Database!$A:$AS,MATCH($S$1,Database!$A$1:$AS$1,),)))))</f>
        <v/>
      </c>
      <c r="T231" s="13">
        <f>IF(VLOOKUP(B231,Database!$A:$AV,MATCH($T$1,Database!$A$1:$AV$1,),)=0,"#N/A",((((VLOOKUP(B231,Database!$A:$AS,MATCH($T$1,Database!$A$1:$AS$1,),))))-(((VLOOKUP(EDATE(B231,-12),Database!$A:$AS,MATCH($T$1,Database!$A$1:$AS$1,),)))))/(((VLOOKUP(EDATE(B231,-12),Database!$A:$AS,MATCH($T$1,Database!$A$1:$AS$1,),)))))</f>
        <v/>
      </c>
      <c r="U231" s="13">
        <f>IF(VLOOKUP(B231,Database!$A:$AV,MATCH($U$1,Database!$A$1:$AV$1,),)=0,"#N/A",((((VLOOKUP(B231,Database!$A:$AS,MATCH($U$1,Database!$A$1:$AS$1,),))))-(((VLOOKUP(EDATE(B231,-12),Database!$A:$AS,MATCH($U$1,Database!$A$1:$AS$1,),)))))/(((VLOOKUP(EDATE(B231,-12),Database!$A:$AS,MATCH($U$1,Database!$A$1:$AS$1,),)))))</f>
        <v/>
      </c>
      <c r="V231" s="13">
        <f>IF(VLOOKUP(B231,Database!$A:$AV,MATCH($V$1,Database!$A$1:$AV$1,),)=0,"#N/A",((((VLOOKUP(B231,Database!$A:$AS,MATCH($V$1,Database!$A$1:$AS$1,),))))-(((VLOOKUP(EDATE(B231,-12),Database!$A:$AS,MATCH($V$1,Database!$A$1:$AS$1,),)))))/(((VLOOKUP(EDATE(B231,-12),Database!$A:$AS,MATCH($V$1,Database!$A$1:$AS$1,),)))))</f>
        <v/>
      </c>
    </row>
    <row r="232" customFormat="1" s="86">
      <c r="A232" s="43" t="n"/>
      <c r="B232" s="75" t="n">
        <v>39203</v>
      </c>
      <c r="C232" s="13">
        <f>IF(VLOOKUP(B232,Database!$A:$AU,MATCH($C$1,Database!$A$1:$AU$1,),)=0,"#N/A",((((VLOOKUP(B232,Database!$A:$AU,MATCH($C$1,Database!$A$1:$AU$1,),))))-(((VLOOKUP(EDATE(B232,-12),Database!$A:$AU,MATCH($C$1,Database!$A$1:$AU$1,),)))))/(((VLOOKUP(EDATE(B232,-12),Database!$A:$AU,MATCH($C$1,Database!$A$1:$AU$1,),)))))</f>
        <v/>
      </c>
      <c r="D232" s="13">
        <f>IF(VLOOKUP(B232,Database!$A:$AV,MATCH($D$1,Database!$A$1:$AV$1,),)=0,"#N/A",((((VLOOKUP(B232,Database!$A:$AS,MATCH($D$1,Database!$A$1:$AS$1,),))))-(((VLOOKUP(EDATE(B232,-12),Database!$A:$AS,MATCH($D$1,Database!$A$1:$AS$1,),)))))/(((VLOOKUP(EDATE(B232,-12),Database!$A:$AS,MATCH($D$1,Database!$A$1:$AS$1,),)))))</f>
        <v/>
      </c>
      <c r="E232" s="13">
        <f>IF(VLOOKUP(B232,Database!$A:$AV,MATCH($E$1,Database!$A$1:$AV$1,),)=0,"#N/A",((((VLOOKUP(B232,Database!$A:$AS,MATCH($E$1,Database!$A$1:$AS$1,),))))-(((VLOOKUP(EDATE(B232,-12),Database!$A:$AS,MATCH($E$1,Database!$A$1:$AS$1,),)))))/(((VLOOKUP(EDATE(B232,-12),Database!$A:$AS,MATCH($E$1,Database!$A$1:$AS$1,),)))))</f>
        <v/>
      </c>
      <c r="F232" s="13">
        <f>IF(VLOOKUP(B232,Database!$A:$AV,MATCH($F$1,Database!$A$1:$AV$1,),)=0,"#N/A",((((VLOOKUP(B232,Database!$A:$AS,MATCH($F$1,Database!$A$1:$AS$1,),))))-(((VLOOKUP(EDATE(B232,-12),Database!$A:$AS,MATCH($F$1,Database!$A$1:$AS$1,),)))))/(((VLOOKUP(EDATE(B232,-12),Database!$A:$AS,MATCH($F$1,Database!$A$1:$AS$1,),)))))</f>
        <v/>
      </c>
      <c r="G232" s="13">
        <f>IF(VLOOKUP(B232,Database!$A:$AV,MATCH($G$1,Database!$A$1:$AV$1,),)=0,"#N/A",((((VLOOKUP(B232,Database!$A:$AS,MATCH($G$1,Database!$A$1:$AS$1,),))))-(((VLOOKUP(EDATE(B232,-12),Database!$A:$AS,MATCH($G$1,Database!$A$1:$AS$1,),)))))/(((VLOOKUP(EDATE(B232,-12),Database!$A:$AS,MATCH($G$1,Database!$A$1:$AS$1,),)))))</f>
        <v/>
      </c>
      <c r="H232" s="13">
        <f>IF(VLOOKUP(B232,Database!$A:$AV,MATCH($H$1,Database!$A$1:$AV$1,),)=0,"#N/A",((((VLOOKUP(B232,Database!$A:$AS,MATCH($H$1,Database!$A$1:$AS$1,),))))-(((VLOOKUP(EDATE(B232,-12),Database!$A:$AS,MATCH($H$1,Database!$A$1:$AS$1,),)))))/(((VLOOKUP(EDATE(B232,-12),Database!$A:$AS,MATCH($H$1,Database!$A$1:$AS$1,),)))))</f>
        <v/>
      </c>
      <c r="I232" s="13">
        <f>IF(VLOOKUP(B232,Database!$A:$AV,MATCH($I$1,Database!$A$1:$AV$1,),)=0,"#N/A",((((VLOOKUP(B232,Database!$A:$AS,MATCH($I$1,Database!$A$1:$AS$1,),))))-(((VLOOKUP(EDATE(B232,-12),Database!$A:$AS,MATCH($I$1,Database!$A$1:$AS$1,),)))))/(((VLOOKUP(EDATE(B232,-12),Database!$A:$AS,MATCH($I$1,Database!$A$1:$AS$1,),)))))</f>
        <v/>
      </c>
      <c r="J232" s="13">
        <f>IF(VLOOKUP(B232,Database!$A:$AV,MATCH($J$1,Database!$A$1:$AV$1,),)=0,"#N/A",((((VLOOKUP(B232,Database!$A:$AS,MATCH($J$1,Database!$A$1:$AS$1,),))))-(((VLOOKUP(EDATE(B232,-12),Database!$A:$AS,MATCH($J$1,Database!$A$1:$AS$1,),)))))/(((VLOOKUP(EDATE(B232,-12),Database!$A:$AS,MATCH($J$1,Database!$A$1:$AS$1,),)))))</f>
        <v/>
      </c>
      <c r="K232" s="13">
        <f>IF(VLOOKUP(B232,Database!$A:$AV,MATCH($K$1,Database!$A$1:$AV$1,),)=0,"#N/A",((((VLOOKUP(B232,Database!$A:$AS,MATCH($K$1,Database!$A$1:$AS$1,),))))-(((VLOOKUP(EDATE(B232,-12),Database!$A:$AS,MATCH($K$1,Database!$A$1:$AS$1,),)))))/(((VLOOKUP(EDATE(B232,-12),Database!$A:$AS,MATCH($K$1,Database!$A$1:$AS$1,),)))))</f>
        <v/>
      </c>
      <c r="L232" s="13">
        <f>((((VLOOKUP(B232,Database!$A:$AS,MATCH($L$1,Database!$A$1:$AS$1,),))))-(((VLOOKUP(EDATE(B232,-12),Database!$A:$AS,MATCH($L$1,Database!$A$1:$AS$1,),)))))/(((VLOOKUP(EDATE(B232,-12),Database!$A:$AS,MATCH($L$1,Database!$A$1:$AS$1,),))))</f>
        <v/>
      </c>
      <c r="M232" s="13">
        <f>((((VLOOKUP(B232,Database!$A:$AS,MATCH($M$1,Database!$A$1:$AS$1,),))))-(((VLOOKUP(EDATE(B232,-12),Database!$A:$AS,MATCH($M$1,Database!$A$1:$AS$1,),)))))/(((VLOOKUP(EDATE(B232,-12),Database!$A:$AS,MATCH($M$1,Database!$A$1:$AS$1,),))))</f>
        <v/>
      </c>
      <c r="N232" s="13">
        <f>((((VLOOKUP(B232,Database!$A:$AS,MATCH($N$1,Database!$A$1:$AS$1,),))))-(((VLOOKUP(EDATE(B232,-12),Database!$A:$AS,MATCH($N$1,Database!$A$1:$AS$1,),)))))/(((VLOOKUP(EDATE(B232,-12),Database!$A:$AS,MATCH($N$1,Database!$A$1:$AS$1,),))))</f>
        <v/>
      </c>
      <c r="O232" s="13">
        <f>IF(VLOOKUP(B232,Database!$A:$AV,MATCH($O$1,Database!$A$1:$AV$1,),)=0,"#N/A",((((VLOOKUP(B232,Database!$A:$AS,MATCH($O$1,Database!$A$1:$AS$1,),))))-(((VLOOKUP(EDATE(B232,-12),Database!$A:$AS,MATCH($O$1,Database!$A$1:$AS$1,),)))))/(((VLOOKUP(EDATE(B232,-12),Database!$A:$AS,MATCH($O$1,Database!$A$1:$AS$1,),)))))</f>
        <v/>
      </c>
      <c r="P232" s="13">
        <f>IF(VLOOKUP(B232,Database!$A:$AV,MATCH($P$1,Database!$A$1:$AV$1,),)=0,"#N/A",((((VLOOKUP(B232,Database!$A:$AS,MATCH($P$1,Database!$A$1:$AS$1,),))))-(((VLOOKUP(EDATE(B232,-12),Database!$A:$AS,MATCH($P$1,Database!$A$1:$AS$1,),)))))/(((VLOOKUP(EDATE(B232,-12),Database!$A:$AS,MATCH($P$1,Database!$A$1:$AS$1,),)))))</f>
        <v/>
      </c>
      <c r="Q232" s="13">
        <f>IF(VLOOKUP(B232,Database!$A:$AV,MATCH($Q$1,Database!$A$1:$AV$1,),)=0,"#N/A",((((VLOOKUP(B232,Database!$A:$AS,MATCH($Q$1,Database!$A$1:$AS$1,),))))-(((VLOOKUP(EDATE(B232,-12),Database!$A:$AS,MATCH($Q$1,Database!$A$1:$AS$1,),)))))/(((VLOOKUP(EDATE(B232,-12),Database!$A:$AS,MATCH($Q$1,Database!$A$1:$AS$1,),)))))</f>
        <v/>
      </c>
      <c r="R232" s="13">
        <f>IF(VLOOKUP(B232,Database!$A:$AV,MATCH($R$1,Database!$A$1:$AV$1,),)=0,"#N/A",((((VLOOKUP(B232,Database!$A:$AS,MATCH($R$1,Database!$A$1:$AS$1,),))))-(((VLOOKUP(EDATE(B232,-12),Database!$A:$AS,MATCH($R$1,Database!$A$1:$AS$1,),)))))/(((VLOOKUP(EDATE(B232,-12),Database!$A:$AS,MATCH($R$1,Database!$A$1:$AS$1,),)))))</f>
        <v/>
      </c>
      <c r="S232" s="13">
        <f>IF(VLOOKUP(B232,Database!$A:$AV,MATCH($S$1,Database!$A$1:$AV$1,),)=0,"#N/A",((((VLOOKUP(B232,Database!$A:$AS,MATCH($S$1,Database!$A$1:$AS$1,),))))-(((VLOOKUP(EDATE(B232,-12),Database!$A:$AS,MATCH($S$1,Database!$A$1:$AS$1,),)))))/(((VLOOKUP(EDATE(B232,-12),Database!$A:$AS,MATCH($S$1,Database!$A$1:$AS$1,),)))))</f>
        <v/>
      </c>
      <c r="T232" s="13">
        <f>IF(VLOOKUP(B232,Database!$A:$AV,MATCH($T$1,Database!$A$1:$AV$1,),)=0,"#N/A",((((VLOOKUP(B232,Database!$A:$AS,MATCH($T$1,Database!$A$1:$AS$1,),))))-(((VLOOKUP(EDATE(B232,-12),Database!$A:$AS,MATCH($T$1,Database!$A$1:$AS$1,),)))))/(((VLOOKUP(EDATE(B232,-12),Database!$A:$AS,MATCH($T$1,Database!$A$1:$AS$1,),)))))</f>
        <v/>
      </c>
      <c r="U232" s="13">
        <f>IF(VLOOKUP(B232,Database!$A:$AV,MATCH($U$1,Database!$A$1:$AV$1,),)=0,"#N/A",((((VLOOKUP(B232,Database!$A:$AS,MATCH($U$1,Database!$A$1:$AS$1,),))))-(((VLOOKUP(EDATE(B232,-12),Database!$A:$AS,MATCH($U$1,Database!$A$1:$AS$1,),)))))/(((VLOOKUP(EDATE(B232,-12),Database!$A:$AS,MATCH($U$1,Database!$A$1:$AS$1,),)))))</f>
        <v/>
      </c>
      <c r="V232" s="13">
        <f>IF(VLOOKUP(B232,Database!$A:$AV,MATCH($V$1,Database!$A$1:$AV$1,),)=0,"#N/A",((((VLOOKUP(B232,Database!$A:$AS,MATCH($V$1,Database!$A$1:$AS$1,),))))-(((VLOOKUP(EDATE(B232,-12),Database!$A:$AS,MATCH($V$1,Database!$A$1:$AS$1,),)))))/(((VLOOKUP(EDATE(B232,-12),Database!$A:$AS,MATCH($V$1,Database!$A$1:$AS$1,),)))))</f>
        <v/>
      </c>
    </row>
    <row r="233" customFormat="1" s="86">
      <c r="A233" s="43" t="n"/>
      <c r="B233" s="75" t="n">
        <v>39234</v>
      </c>
      <c r="C233" s="13">
        <f>IF(VLOOKUP(B233,Database!$A:$AU,MATCH($C$1,Database!$A$1:$AU$1,),)=0,"#N/A",((((VLOOKUP(B233,Database!$A:$AU,MATCH($C$1,Database!$A$1:$AU$1,),))))-(((VLOOKUP(EDATE(B233,-12),Database!$A:$AU,MATCH($C$1,Database!$A$1:$AU$1,),)))))/(((VLOOKUP(EDATE(B233,-12),Database!$A:$AU,MATCH($C$1,Database!$A$1:$AU$1,),)))))</f>
        <v/>
      </c>
      <c r="D233" s="13">
        <f>IF(VLOOKUP(B233,Database!$A:$AV,MATCH($D$1,Database!$A$1:$AV$1,),)=0,"#N/A",((((VLOOKUP(B233,Database!$A:$AS,MATCH($D$1,Database!$A$1:$AS$1,),))))-(((VLOOKUP(EDATE(B233,-12),Database!$A:$AS,MATCH($D$1,Database!$A$1:$AS$1,),)))))/(((VLOOKUP(EDATE(B233,-12),Database!$A:$AS,MATCH($D$1,Database!$A$1:$AS$1,),)))))</f>
        <v/>
      </c>
      <c r="E233" s="13">
        <f>IF(VLOOKUP(B233,Database!$A:$AV,MATCH($E$1,Database!$A$1:$AV$1,),)=0,"#N/A",((((VLOOKUP(B233,Database!$A:$AS,MATCH($E$1,Database!$A$1:$AS$1,),))))-(((VLOOKUP(EDATE(B233,-12),Database!$A:$AS,MATCH($E$1,Database!$A$1:$AS$1,),)))))/(((VLOOKUP(EDATE(B233,-12),Database!$A:$AS,MATCH($E$1,Database!$A$1:$AS$1,),)))))</f>
        <v/>
      </c>
      <c r="F233" s="13">
        <f>IF(VLOOKUP(B233,Database!$A:$AV,MATCH($F$1,Database!$A$1:$AV$1,),)=0,"#N/A",((((VLOOKUP(B233,Database!$A:$AS,MATCH($F$1,Database!$A$1:$AS$1,),))))-(((VLOOKUP(EDATE(B233,-12),Database!$A:$AS,MATCH($F$1,Database!$A$1:$AS$1,),)))))/(((VLOOKUP(EDATE(B233,-12),Database!$A:$AS,MATCH($F$1,Database!$A$1:$AS$1,),)))))</f>
        <v/>
      </c>
      <c r="G233" s="13">
        <f>IF(VLOOKUP(B233,Database!$A:$AV,MATCH($G$1,Database!$A$1:$AV$1,),)=0,"#N/A",((((VLOOKUP(B233,Database!$A:$AS,MATCH($G$1,Database!$A$1:$AS$1,),))))-(((VLOOKUP(EDATE(B233,-12),Database!$A:$AS,MATCH($G$1,Database!$A$1:$AS$1,),)))))/(((VLOOKUP(EDATE(B233,-12),Database!$A:$AS,MATCH($G$1,Database!$A$1:$AS$1,),)))))</f>
        <v/>
      </c>
      <c r="H233" s="13">
        <f>IF(VLOOKUP(B233,Database!$A:$AV,MATCH($H$1,Database!$A$1:$AV$1,),)=0,"#N/A",((((VLOOKUP(B233,Database!$A:$AS,MATCH($H$1,Database!$A$1:$AS$1,),))))-(((VLOOKUP(EDATE(B233,-12),Database!$A:$AS,MATCH($H$1,Database!$A$1:$AS$1,),)))))/(((VLOOKUP(EDATE(B233,-12),Database!$A:$AS,MATCH($H$1,Database!$A$1:$AS$1,),)))))</f>
        <v/>
      </c>
      <c r="I233" s="13">
        <f>IF(VLOOKUP(B233,Database!$A:$AV,MATCH($I$1,Database!$A$1:$AV$1,),)=0,"#N/A",((((VLOOKUP(B233,Database!$A:$AS,MATCH($I$1,Database!$A$1:$AS$1,),))))-(((VLOOKUP(EDATE(B233,-12),Database!$A:$AS,MATCH($I$1,Database!$A$1:$AS$1,),)))))/(((VLOOKUP(EDATE(B233,-12),Database!$A:$AS,MATCH($I$1,Database!$A$1:$AS$1,),)))))</f>
        <v/>
      </c>
      <c r="J233" s="13">
        <f>IF(VLOOKUP(B233,Database!$A:$AV,MATCH($J$1,Database!$A$1:$AV$1,),)=0,"#N/A",((((VLOOKUP(B233,Database!$A:$AS,MATCH($J$1,Database!$A$1:$AS$1,),))))-(((VLOOKUP(EDATE(B233,-12),Database!$A:$AS,MATCH($J$1,Database!$A$1:$AS$1,),)))))/(((VLOOKUP(EDATE(B233,-12),Database!$A:$AS,MATCH($J$1,Database!$A$1:$AS$1,),)))))</f>
        <v/>
      </c>
      <c r="K233" s="13">
        <f>IF(VLOOKUP(B233,Database!$A:$AV,MATCH($K$1,Database!$A$1:$AV$1,),)=0,"#N/A",((((VLOOKUP(B233,Database!$A:$AS,MATCH($K$1,Database!$A$1:$AS$1,),))))-(((VLOOKUP(EDATE(B233,-12),Database!$A:$AS,MATCH($K$1,Database!$A$1:$AS$1,),)))))/(((VLOOKUP(EDATE(B233,-12),Database!$A:$AS,MATCH($K$1,Database!$A$1:$AS$1,),)))))</f>
        <v/>
      </c>
      <c r="L233" s="13">
        <f>((((VLOOKUP(B233,Database!$A:$AS,MATCH($L$1,Database!$A$1:$AS$1,),))))-(((VLOOKUP(EDATE(B233,-12),Database!$A:$AS,MATCH($L$1,Database!$A$1:$AS$1,),)))))/(((VLOOKUP(EDATE(B233,-12),Database!$A:$AS,MATCH($L$1,Database!$A$1:$AS$1,),))))</f>
        <v/>
      </c>
      <c r="M233" s="13">
        <f>((((VLOOKUP(B233,Database!$A:$AS,MATCH($M$1,Database!$A$1:$AS$1,),))))-(((VLOOKUP(EDATE(B233,-12),Database!$A:$AS,MATCH($M$1,Database!$A$1:$AS$1,),)))))/(((VLOOKUP(EDATE(B233,-12),Database!$A:$AS,MATCH($M$1,Database!$A$1:$AS$1,),))))</f>
        <v/>
      </c>
      <c r="N233" s="13">
        <f>((((VLOOKUP(B233,Database!$A:$AS,MATCH($N$1,Database!$A$1:$AS$1,),))))-(((VLOOKUP(EDATE(B233,-12),Database!$A:$AS,MATCH($N$1,Database!$A$1:$AS$1,),)))))/(((VLOOKUP(EDATE(B233,-12),Database!$A:$AS,MATCH($N$1,Database!$A$1:$AS$1,),))))</f>
        <v/>
      </c>
      <c r="O233" s="13">
        <f>IF(VLOOKUP(B233,Database!$A:$AV,MATCH($O$1,Database!$A$1:$AV$1,),)=0,"#N/A",((((VLOOKUP(B233,Database!$A:$AS,MATCH($O$1,Database!$A$1:$AS$1,),))))-(((VLOOKUP(EDATE(B233,-12),Database!$A:$AS,MATCH($O$1,Database!$A$1:$AS$1,),)))))/(((VLOOKUP(EDATE(B233,-12),Database!$A:$AS,MATCH($O$1,Database!$A$1:$AS$1,),)))))</f>
        <v/>
      </c>
      <c r="P233" s="13">
        <f>IF(VLOOKUP(B233,Database!$A:$AV,MATCH($P$1,Database!$A$1:$AV$1,),)=0,"#N/A",((((VLOOKUP(B233,Database!$A:$AS,MATCH($P$1,Database!$A$1:$AS$1,),))))-(((VLOOKUP(EDATE(B233,-12),Database!$A:$AS,MATCH($P$1,Database!$A$1:$AS$1,),)))))/(((VLOOKUP(EDATE(B233,-12),Database!$A:$AS,MATCH($P$1,Database!$A$1:$AS$1,),)))))</f>
        <v/>
      </c>
      <c r="Q233" s="13">
        <f>IF(VLOOKUP(B233,Database!$A:$AV,MATCH($Q$1,Database!$A$1:$AV$1,),)=0,"#N/A",((((VLOOKUP(B233,Database!$A:$AS,MATCH($Q$1,Database!$A$1:$AS$1,),))))-(((VLOOKUP(EDATE(B233,-12),Database!$A:$AS,MATCH($Q$1,Database!$A$1:$AS$1,),)))))/(((VLOOKUP(EDATE(B233,-12),Database!$A:$AS,MATCH($Q$1,Database!$A$1:$AS$1,),)))))</f>
        <v/>
      </c>
      <c r="R233" s="13">
        <f>IF(VLOOKUP(B233,Database!$A:$AV,MATCH($R$1,Database!$A$1:$AV$1,),)=0,"#N/A",((((VLOOKUP(B233,Database!$A:$AS,MATCH($R$1,Database!$A$1:$AS$1,),))))-(((VLOOKUP(EDATE(B233,-12),Database!$A:$AS,MATCH($R$1,Database!$A$1:$AS$1,),)))))/(((VLOOKUP(EDATE(B233,-12),Database!$A:$AS,MATCH($R$1,Database!$A$1:$AS$1,),)))))</f>
        <v/>
      </c>
      <c r="S233" s="13">
        <f>IF(VLOOKUP(B233,Database!$A:$AV,MATCH($S$1,Database!$A$1:$AV$1,),)=0,"#N/A",((((VLOOKUP(B233,Database!$A:$AS,MATCH($S$1,Database!$A$1:$AS$1,),))))-(((VLOOKUP(EDATE(B233,-12),Database!$A:$AS,MATCH($S$1,Database!$A$1:$AS$1,),)))))/(((VLOOKUP(EDATE(B233,-12),Database!$A:$AS,MATCH($S$1,Database!$A$1:$AS$1,),)))))</f>
        <v/>
      </c>
      <c r="T233" s="13">
        <f>IF(VLOOKUP(B233,Database!$A:$AV,MATCH($T$1,Database!$A$1:$AV$1,),)=0,"#N/A",((((VLOOKUP(B233,Database!$A:$AS,MATCH($T$1,Database!$A$1:$AS$1,),))))-(((VLOOKUP(EDATE(B233,-12),Database!$A:$AS,MATCH($T$1,Database!$A$1:$AS$1,),)))))/(((VLOOKUP(EDATE(B233,-12),Database!$A:$AS,MATCH($T$1,Database!$A$1:$AS$1,),)))))</f>
        <v/>
      </c>
      <c r="U233" s="13">
        <f>IF(VLOOKUP(B233,Database!$A:$AV,MATCH($U$1,Database!$A$1:$AV$1,),)=0,"#N/A",((((VLOOKUP(B233,Database!$A:$AS,MATCH($U$1,Database!$A$1:$AS$1,),))))-(((VLOOKUP(EDATE(B233,-12),Database!$A:$AS,MATCH($U$1,Database!$A$1:$AS$1,),)))))/(((VLOOKUP(EDATE(B233,-12),Database!$A:$AS,MATCH($U$1,Database!$A$1:$AS$1,),)))))</f>
        <v/>
      </c>
      <c r="V233" s="13">
        <f>IF(VLOOKUP(B233,Database!$A:$AV,MATCH($V$1,Database!$A$1:$AV$1,),)=0,"#N/A",((((VLOOKUP(B233,Database!$A:$AS,MATCH($V$1,Database!$A$1:$AS$1,),))))-(((VLOOKUP(EDATE(B233,-12),Database!$A:$AS,MATCH($V$1,Database!$A$1:$AS$1,),)))))/(((VLOOKUP(EDATE(B233,-12),Database!$A:$AS,MATCH($V$1,Database!$A$1:$AS$1,),)))))</f>
        <v/>
      </c>
    </row>
    <row r="234" customFormat="1" s="86">
      <c r="A234" s="43" t="n"/>
      <c r="B234" s="75" t="n">
        <v>39264</v>
      </c>
      <c r="C234" s="13">
        <f>IF(VLOOKUP(B234,Database!$A:$AU,MATCH($C$1,Database!$A$1:$AU$1,),)=0,"#N/A",((((VLOOKUP(B234,Database!$A:$AU,MATCH($C$1,Database!$A$1:$AU$1,),))))-(((VLOOKUP(EDATE(B234,-12),Database!$A:$AU,MATCH($C$1,Database!$A$1:$AU$1,),)))))/(((VLOOKUP(EDATE(B234,-12),Database!$A:$AU,MATCH($C$1,Database!$A$1:$AU$1,),)))))</f>
        <v/>
      </c>
      <c r="D234" s="13">
        <f>IF(VLOOKUP(B234,Database!$A:$AV,MATCH($D$1,Database!$A$1:$AV$1,),)=0,"#N/A",((((VLOOKUP(B234,Database!$A:$AS,MATCH($D$1,Database!$A$1:$AS$1,),))))-(((VLOOKUP(EDATE(B234,-12),Database!$A:$AS,MATCH($D$1,Database!$A$1:$AS$1,),)))))/(((VLOOKUP(EDATE(B234,-12),Database!$A:$AS,MATCH($D$1,Database!$A$1:$AS$1,),)))))</f>
        <v/>
      </c>
      <c r="E234" s="13">
        <f>IF(VLOOKUP(B234,Database!$A:$AV,MATCH($E$1,Database!$A$1:$AV$1,),)=0,"#N/A",((((VLOOKUP(B234,Database!$A:$AS,MATCH($E$1,Database!$A$1:$AS$1,),))))-(((VLOOKUP(EDATE(B234,-12),Database!$A:$AS,MATCH($E$1,Database!$A$1:$AS$1,),)))))/(((VLOOKUP(EDATE(B234,-12),Database!$A:$AS,MATCH($E$1,Database!$A$1:$AS$1,),)))))</f>
        <v/>
      </c>
      <c r="F234" s="13">
        <f>IF(VLOOKUP(B234,Database!$A:$AV,MATCH($F$1,Database!$A$1:$AV$1,),)=0,"#N/A",((((VLOOKUP(B234,Database!$A:$AS,MATCH($F$1,Database!$A$1:$AS$1,),))))-(((VLOOKUP(EDATE(B234,-12),Database!$A:$AS,MATCH($F$1,Database!$A$1:$AS$1,),)))))/(((VLOOKUP(EDATE(B234,-12),Database!$A:$AS,MATCH($F$1,Database!$A$1:$AS$1,),)))))</f>
        <v/>
      </c>
      <c r="G234" s="13">
        <f>IF(VLOOKUP(B234,Database!$A:$AV,MATCH($G$1,Database!$A$1:$AV$1,),)=0,"#N/A",((((VLOOKUP(B234,Database!$A:$AS,MATCH($G$1,Database!$A$1:$AS$1,),))))-(((VLOOKUP(EDATE(B234,-12),Database!$A:$AS,MATCH($G$1,Database!$A$1:$AS$1,),)))))/(((VLOOKUP(EDATE(B234,-12),Database!$A:$AS,MATCH($G$1,Database!$A$1:$AS$1,),)))))</f>
        <v/>
      </c>
      <c r="H234" s="13">
        <f>IF(VLOOKUP(B234,Database!$A:$AV,MATCH($H$1,Database!$A$1:$AV$1,),)=0,"#N/A",((((VLOOKUP(B234,Database!$A:$AS,MATCH($H$1,Database!$A$1:$AS$1,),))))-(((VLOOKUP(EDATE(B234,-12),Database!$A:$AS,MATCH($H$1,Database!$A$1:$AS$1,),)))))/(((VLOOKUP(EDATE(B234,-12),Database!$A:$AS,MATCH($H$1,Database!$A$1:$AS$1,),)))))</f>
        <v/>
      </c>
      <c r="I234" s="13">
        <f>IF(VLOOKUP(B234,Database!$A:$AV,MATCH($I$1,Database!$A$1:$AV$1,),)=0,"#N/A",((((VLOOKUP(B234,Database!$A:$AS,MATCH($I$1,Database!$A$1:$AS$1,),))))-(((VLOOKUP(EDATE(B234,-12),Database!$A:$AS,MATCH($I$1,Database!$A$1:$AS$1,),)))))/(((VLOOKUP(EDATE(B234,-12),Database!$A:$AS,MATCH($I$1,Database!$A$1:$AS$1,),)))))</f>
        <v/>
      </c>
      <c r="J234" s="13">
        <f>IF(VLOOKUP(B234,Database!$A:$AV,MATCH($J$1,Database!$A$1:$AV$1,),)=0,"#N/A",((((VLOOKUP(B234,Database!$A:$AS,MATCH($J$1,Database!$A$1:$AS$1,),))))-(((VLOOKUP(EDATE(B234,-12),Database!$A:$AS,MATCH($J$1,Database!$A$1:$AS$1,),)))))/(((VLOOKUP(EDATE(B234,-12),Database!$A:$AS,MATCH($J$1,Database!$A$1:$AS$1,),)))))</f>
        <v/>
      </c>
      <c r="K234" s="13">
        <f>IF(VLOOKUP(B234,Database!$A:$AV,MATCH($K$1,Database!$A$1:$AV$1,),)=0,"#N/A",((((VLOOKUP(B234,Database!$A:$AS,MATCH($K$1,Database!$A$1:$AS$1,),))))-(((VLOOKUP(EDATE(B234,-12),Database!$A:$AS,MATCH($K$1,Database!$A$1:$AS$1,),)))))/(((VLOOKUP(EDATE(B234,-12),Database!$A:$AS,MATCH($K$1,Database!$A$1:$AS$1,),)))))</f>
        <v/>
      </c>
      <c r="L234" s="13">
        <f>((((VLOOKUP(B234,Database!$A:$AS,MATCH($L$1,Database!$A$1:$AS$1,),))))-(((VLOOKUP(EDATE(B234,-12),Database!$A:$AS,MATCH($L$1,Database!$A$1:$AS$1,),)))))/(((VLOOKUP(EDATE(B234,-12),Database!$A:$AS,MATCH($L$1,Database!$A$1:$AS$1,),))))</f>
        <v/>
      </c>
      <c r="M234" s="13">
        <f>((((VLOOKUP(B234,Database!$A:$AS,MATCH($M$1,Database!$A$1:$AS$1,),))))-(((VLOOKUP(EDATE(B234,-12),Database!$A:$AS,MATCH($M$1,Database!$A$1:$AS$1,),)))))/(((VLOOKUP(EDATE(B234,-12),Database!$A:$AS,MATCH($M$1,Database!$A$1:$AS$1,),))))</f>
        <v/>
      </c>
      <c r="N234" s="13">
        <f>((((VLOOKUP(B234,Database!$A:$AS,MATCH($N$1,Database!$A$1:$AS$1,),))))-(((VLOOKUP(EDATE(B234,-12),Database!$A:$AS,MATCH($N$1,Database!$A$1:$AS$1,),)))))/(((VLOOKUP(EDATE(B234,-12),Database!$A:$AS,MATCH($N$1,Database!$A$1:$AS$1,),))))</f>
        <v/>
      </c>
      <c r="O234" s="13">
        <f>IF(VLOOKUP(B234,Database!$A:$AV,MATCH($O$1,Database!$A$1:$AV$1,),)=0,"#N/A",((((VLOOKUP(B234,Database!$A:$AS,MATCH($O$1,Database!$A$1:$AS$1,),))))-(((VLOOKUP(EDATE(B234,-12),Database!$A:$AS,MATCH($O$1,Database!$A$1:$AS$1,),)))))/(((VLOOKUP(EDATE(B234,-12),Database!$A:$AS,MATCH($O$1,Database!$A$1:$AS$1,),)))))</f>
        <v/>
      </c>
      <c r="P234" s="13">
        <f>IF(VLOOKUP(B234,Database!$A:$AV,MATCH($P$1,Database!$A$1:$AV$1,),)=0,"#N/A",((((VLOOKUP(B234,Database!$A:$AS,MATCH($P$1,Database!$A$1:$AS$1,),))))-(((VLOOKUP(EDATE(B234,-12),Database!$A:$AS,MATCH($P$1,Database!$A$1:$AS$1,),)))))/(((VLOOKUP(EDATE(B234,-12),Database!$A:$AS,MATCH($P$1,Database!$A$1:$AS$1,),)))))</f>
        <v/>
      </c>
      <c r="Q234" s="13">
        <f>IF(VLOOKUP(B234,Database!$A:$AV,MATCH($Q$1,Database!$A$1:$AV$1,),)=0,"#N/A",((((VLOOKUP(B234,Database!$A:$AS,MATCH($Q$1,Database!$A$1:$AS$1,),))))-(((VLOOKUP(EDATE(B234,-12),Database!$A:$AS,MATCH($Q$1,Database!$A$1:$AS$1,),)))))/(((VLOOKUP(EDATE(B234,-12),Database!$A:$AS,MATCH($Q$1,Database!$A$1:$AS$1,),)))))</f>
        <v/>
      </c>
      <c r="R234" s="13">
        <f>IF(VLOOKUP(B234,Database!$A:$AV,MATCH($R$1,Database!$A$1:$AV$1,),)=0,"#N/A",((((VLOOKUP(B234,Database!$A:$AS,MATCH($R$1,Database!$A$1:$AS$1,),))))-(((VLOOKUP(EDATE(B234,-12),Database!$A:$AS,MATCH($R$1,Database!$A$1:$AS$1,),)))))/(((VLOOKUP(EDATE(B234,-12),Database!$A:$AS,MATCH($R$1,Database!$A$1:$AS$1,),)))))</f>
        <v/>
      </c>
      <c r="S234" s="13">
        <f>IF(VLOOKUP(B234,Database!$A:$AV,MATCH($S$1,Database!$A$1:$AV$1,),)=0,"#N/A",((((VLOOKUP(B234,Database!$A:$AS,MATCH($S$1,Database!$A$1:$AS$1,),))))-(((VLOOKUP(EDATE(B234,-12),Database!$A:$AS,MATCH($S$1,Database!$A$1:$AS$1,),)))))/(((VLOOKUP(EDATE(B234,-12),Database!$A:$AS,MATCH($S$1,Database!$A$1:$AS$1,),)))))</f>
        <v/>
      </c>
      <c r="T234" s="13">
        <f>IF(VLOOKUP(B234,Database!$A:$AV,MATCH($T$1,Database!$A$1:$AV$1,),)=0,"#N/A",((((VLOOKUP(B234,Database!$A:$AS,MATCH($T$1,Database!$A$1:$AS$1,),))))-(((VLOOKUP(EDATE(B234,-12),Database!$A:$AS,MATCH($T$1,Database!$A$1:$AS$1,),)))))/(((VLOOKUP(EDATE(B234,-12),Database!$A:$AS,MATCH($T$1,Database!$A$1:$AS$1,),)))))</f>
        <v/>
      </c>
      <c r="U234" s="13">
        <f>IF(VLOOKUP(B234,Database!$A:$AV,MATCH($U$1,Database!$A$1:$AV$1,),)=0,"#N/A",((((VLOOKUP(B234,Database!$A:$AS,MATCH($U$1,Database!$A$1:$AS$1,),))))-(((VLOOKUP(EDATE(B234,-12),Database!$A:$AS,MATCH($U$1,Database!$A$1:$AS$1,),)))))/(((VLOOKUP(EDATE(B234,-12),Database!$A:$AS,MATCH($U$1,Database!$A$1:$AS$1,),)))))</f>
        <v/>
      </c>
      <c r="V234" s="13">
        <f>IF(VLOOKUP(B234,Database!$A:$AV,MATCH($V$1,Database!$A$1:$AV$1,),)=0,"#N/A",((((VLOOKUP(B234,Database!$A:$AS,MATCH($V$1,Database!$A$1:$AS$1,),))))-(((VLOOKUP(EDATE(B234,-12),Database!$A:$AS,MATCH($V$1,Database!$A$1:$AS$1,),)))))/(((VLOOKUP(EDATE(B234,-12),Database!$A:$AS,MATCH($V$1,Database!$A$1:$AS$1,),)))))</f>
        <v/>
      </c>
    </row>
    <row r="235" customFormat="1" s="86">
      <c r="A235" s="43" t="n"/>
      <c r="B235" s="75" t="n">
        <v>39295</v>
      </c>
      <c r="C235" s="13">
        <f>IF(VLOOKUP(B235,Database!$A:$AU,MATCH($C$1,Database!$A$1:$AU$1,),)=0,"#N/A",((((VLOOKUP(B235,Database!$A:$AU,MATCH($C$1,Database!$A$1:$AU$1,),))))-(((VLOOKUP(EDATE(B235,-12),Database!$A:$AU,MATCH($C$1,Database!$A$1:$AU$1,),)))))/(((VLOOKUP(EDATE(B235,-12),Database!$A:$AU,MATCH($C$1,Database!$A$1:$AU$1,),)))))</f>
        <v/>
      </c>
      <c r="D235" s="13">
        <f>IF(VLOOKUP(B235,Database!$A:$AV,MATCH($D$1,Database!$A$1:$AV$1,),)=0,"#N/A",((((VLOOKUP(B235,Database!$A:$AS,MATCH($D$1,Database!$A$1:$AS$1,),))))-(((VLOOKUP(EDATE(B235,-12),Database!$A:$AS,MATCH($D$1,Database!$A$1:$AS$1,),)))))/(((VLOOKUP(EDATE(B235,-12),Database!$A:$AS,MATCH($D$1,Database!$A$1:$AS$1,),)))))</f>
        <v/>
      </c>
      <c r="E235" s="13">
        <f>IF(VLOOKUP(B235,Database!$A:$AV,MATCH($E$1,Database!$A$1:$AV$1,),)=0,"#N/A",((((VLOOKUP(B235,Database!$A:$AS,MATCH($E$1,Database!$A$1:$AS$1,),))))-(((VLOOKUP(EDATE(B235,-12),Database!$A:$AS,MATCH($E$1,Database!$A$1:$AS$1,),)))))/(((VLOOKUP(EDATE(B235,-12),Database!$A:$AS,MATCH($E$1,Database!$A$1:$AS$1,),)))))</f>
        <v/>
      </c>
      <c r="F235" s="13">
        <f>IF(VLOOKUP(B235,Database!$A:$AV,MATCH($F$1,Database!$A$1:$AV$1,),)=0,"#N/A",((((VLOOKUP(B235,Database!$A:$AS,MATCH($F$1,Database!$A$1:$AS$1,),))))-(((VLOOKUP(EDATE(B235,-12),Database!$A:$AS,MATCH($F$1,Database!$A$1:$AS$1,),)))))/(((VLOOKUP(EDATE(B235,-12),Database!$A:$AS,MATCH($F$1,Database!$A$1:$AS$1,),)))))</f>
        <v/>
      </c>
      <c r="G235" s="13">
        <f>IF(VLOOKUP(B235,Database!$A:$AV,MATCH($G$1,Database!$A$1:$AV$1,),)=0,"#N/A",((((VLOOKUP(B235,Database!$A:$AS,MATCH($G$1,Database!$A$1:$AS$1,),))))-(((VLOOKUP(EDATE(B235,-12),Database!$A:$AS,MATCH($G$1,Database!$A$1:$AS$1,),)))))/(((VLOOKUP(EDATE(B235,-12),Database!$A:$AS,MATCH($G$1,Database!$A$1:$AS$1,),)))))</f>
        <v/>
      </c>
      <c r="H235" s="13">
        <f>IF(VLOOKUP(B235,Database!$A:$AV,MATCH($H$1,Database!$A$1:$AV$1,),)=0,"#N/A",((((VLOOKUP(B235,Database!$A:$AS,MATCH($H$1,Database!$A$1:$AS$1,),))))-(((VLOOKUP(EDATE(B235,-12),Database!$A:$AS,MATCH($H$1,Database!$A$1:$AS$1,),)))))/(((VLOOKUP(EDATE(B235,-12),Database!$A:$AS,MATCH($H$1,Database!$A$1:$AS$1,),)))))</f>
        <v/>
      </c>
      <c r="I235" s="13">
        <f>IF(VLOOKUP(B235,Database!$A:$AV,MATCH($I$1,Database!$A$1:$AV$1,),)=0,"#N/A",((((VLOOKUP(B235,Database!$A:$AS,MATCH($I$1,Database!$A$1:$AS$1,),))))-(((VLOOKUP(EDATE(B235,-12),Database!$A:$AS,MATCH($I$1,Database!$A$1:$AS$1,),)))))/(((VLOOKUP(EDATE(B235,-12),Database!$A:$AS,MATCH($I$1,Database!$A$1:$AS$1,),)))))</f>
        <v/>
      </c>
      <c r="J235" s="13">
        <f>IF(VLOOKUP(B235,Database!$A:$AV,MATCH($J$1,Database!$A$1:$AV$1,),)=0,"#N/A",((((VLOOKUP(B235,Database!$A:$AS,MATCH($J$1,Database!$A$1:$AS$1,),))))-(((VLOOKUP(EDATE(B235,-12),Database!$A:$AS,MATCH($J$1,Database!$A$1:$AS$1,),)))))/(((VLOOKUP(EDATE(B235,-12),Database!$A:$AS,MATCH($J$1,Database!$A$1:$AS$1,),)))))</f>
        <v/>
      </c>
      <c r="K235" s="13">
        <f>IF(VLOOKUP(B235,Database!$A:$AV,MATCH($K$1,Database!$A$1:$AV$1,),)=0,"#N/A",((((VLOOKUP(B235,Database!$A:$AS,MATCH($K$1,Database!$A$1:$AS$1,),))))-(((VLOOKUP(EDATE(B235,-12),Database!$A:$AS,MATCH($K$1,Database!$A$1:$AS$1,),)))))/(((VLOOKUP(EDATE(B235,-12),Database!$A:$AS,MATCH($K$1,Database!$A$1:$AS$1,),)))))</f>
        <v/>
      </c>
      <c r="L235" s="13">
        <f>((((VLOOKUP(B235,Database!$A:$AS,MATCH($L$1,Database!$A$1:$AS$1,),))))-(((VLOOKUP(EDATE(B235,-12),Database!$A:$AS,MATCH($L$1,Database!$A$1:$AS$1,),)))))/(((VLOOKUP(EDATE(B235,-12),Database!$A:$AS,MATCH($L$1,Database!$A$1:$AS$1,),))))</f>
        <v/>
      </c>
      <c r="M235" s="13">
        <f>((((VLOOKUP(B235,Database!$A:$AS,MATCH($M$1,Database!$A$1:$AS$1,),))))-(((VLOOKUP(EDATE(B235,-12),Database!$A:$AS,MATCH($M$1,Database!$A$1:$AS$1,),)))))/(((VLOOKUP(EDATE(B235,-12),Database!$A:$AS,MATCH($M$1,Database!$A$1:$AS$1,),))))</f>
        <v/>
      </c>
      <c r="N235" s="13">
        <f>((((VLOOKUP(B235,Database!$A:$AS,MATCH($N$1,Database!$A$1:$AS$1,),))))-(((VLOOKUP(EDATE(B235,-12),Database!$A:$AS,MATCH($N$1,Database!$A$1:$AS$1,),)))))/(((VLOOKUP(EDATE(B235,-12),Database!$A:$AS,MATCH($N$1,Database!$A$1:$AS$1,),))))</f>
        <v/>
      </c>
      <c r="O235" s="13">
        <f>IF(VLOOKUP(B235,Database!$A:$AV,MATCH($O$1,Database!$A$1:$AV$1,),)=0,"#N/A",((((VLOOKUP(B235,Database!$A:$AS,MATCH($O$1,Database!$A$1:$AS$1,),))))-(((VLOOKUP(EDATE(B235,-12),Database!$A:$AS,MATCH($O$1,Database!$A$1:$AS$1,),)))))/(((VLOOKUP(EDATE(B235,-12),Database!$A:$AS,MATCH($O$1,Database!$A$1:$AS$1,),)))))</f>
        <v/>
      </c>
      <c r="P235" s="13">
        <f>IF(VLOOKUP(B235,Database!$A:$AV,MATCH($P$1,Database!$A$1:$AV$1,),)=0,"#N/A",((((VLOOKUP(B235,Database!$A:$AS,MATCH($P$1,Database!$A$1:$AS$1,),))))-(((VLOOKUP(EDATE(B235,-12),Database!$A:$AS,MATCH($P$1,Database!$A$1:$AS$1,),)))))/(((VLOOKUP(EDATE(B235,-12),Database!$A:$AS,MATCH($P$1,Database!$A$1:$AS$1,),)))))</f>
        <v/>
      </c>
      <c r="Q235" s="13">
        <f>IF(VLOOKUP(B235,Database!$A:$AV,MATCH($Q$1,Database!$A$1:$AV$1,),)=0,"#N/A",((((VLOOKUP(B235,Database!$A:$AS,MATCH($Q$1,Database!$A$1:$AS$1,),))))-(((VLOOKUP(EDATE(B235,-12),Database!$A:$AS,MATCH($Q$1,Database!$A$1:$AS$1,),)))))/(((VLOOKUP(EDATE(B235,-12),Database!$A:$AS,MATCH($Q$1,Database!$A$1:$AS$1,),)))))</f>
        <v/>
      </c>
      <c r="R235" s="13">
        <f>IF(VLOOKUP(B235,Database!$A:$AV,MATCH($R$1,Database!$A$1:$AV$1,),)=0,"#N/A",((((VLOOKUP(B235,Database!$A:$AS,MATCH($R$1,Database!$A$1:$AS$1,),))))-(((VLOOKUP(EDATE(B235,-12),Database!$A:$AS,MATCH($R$1,Database!$A$1:$AS$1,),)))))/(((VLOOKUP(EDATE(B235,-12),Database!$A:$AS,MATCH($R$1,Database!$A$1:$AS$1,),)))))</f>
        <v/>
      </c>
      <c r="S235" s="13">
        <f>IF(VLOOKUP(B235,Database!$A:$AV,MATCH($S$1,Database!$A$1:$AV$1,),)=0,"#N/A",((((VLOOKUP(B235,Database!$A:$AS,MATCH($S$1,Database!$A$1:$AS$1,),))))-(((VLOOKUP(EDATE(B235,-12),Database!$A:$AS,MATCH($S$1,Database!$A$1:$AS$1,),)))))/(((VLOOKUP(EDATE(B235,-12),Database!$A:$AS,MATCH($S$1,Database!$A$1:$AS$1,),)))))</f>
        <v/>
      </c>
      <c r="T235" s="13">
        <f>IF(VLOOKUP(B235,Database!$A:$AV,MATCH($T$1,Database!$A$1:$AV$1,),)=0,"#N/A",((((VLOOKUP(B235,Database!$A:$AS,MATCH($T$1,Database!$A$1:$AS$1,),))))-(((VLOOKUP(EDATE(B235,-12),Database!$A:$AS,MATCH($T$1,Database!$A$1:$AS$1,),)))))/(((VLOOKUP(EDATE(B235,-12),Database!$A:$AS,MATCH($T$1,Database!$A$1:$AS$1,),)))))</f>
        <v/>
      </c>
      <c r="U235" s="13">
        <f>IF(VLOOKUP(B235,Database!$A:$AV,MATCH($U$1,Database!$A$1:$AV$1,),)=0,"#N/A",((((VLOOKUP(B235,Database!$A:$AS,MATCH($U$1,Database!$A$1:$AS$1,),))))-(((VLOOKUP(EDATE(B235,-12),Database!$A:$AS,MATCH($U$1,Database!$A$1:$AS$1,),)))))/(((VLOOKUP(EDATE(B235,-12),Database!$A:$AS,MATCH($U$1,Database!$A$1:$AS$1,),)))))</f>
        <v/>
      </c>
      <c r="V235" s="13">
        <f>IF(VLOOKUP(B235,Database!$A:$AV,MATCH($V$1,Database!$A$1:$AV$1,),)=0,"#N/A",((((VLOOKUP(B235,Database!$A:$AS,MATCH($V$1,Database!$A$1:$AS$1,),))))-(((VLOOKUP(EDATE(B235,-12),Database!$A:$AS,MATCH($V$1,Database!$A$1:$AS$1,),)))))/(((VLOOKUP(EDATE(B235,-12),Database!$A:$AS,MATCH($V$1,Database!$A$1:$AS$1,),)))))</f>
        <v/>
      </c>
    </row>
    <row r="236" customFormat="1" s="86">
      <c r="A236" s="43" t="n"/>
      <c r="B236" s="75" t="n">
        <v>39326</v>
      </c>
      <c r="C236" s="13">
        <f>IF(VLOOKUP(B236,Database!$A:$AU,MATCH($C$1,Database!$A$1:$AU$1,),)=0,"#N/A",((((VLOOKUP(B236,Database!$A:$AU,MATCH($C$1,Database!$A$1:$AU$1,),))))-(((VLOOKUP(EDATE(B236,-12),Database!$A:$AU,MATCH($C$1,Database!$A$1:$AU$1,),)))))/(((VLOOKUP(EDATE(B236,-12),Database!$A:$AU,MATCH($C$1,Database!$A$1:$AU$1,),)))))</f>
        <v/>
      </c>
      <c r="D236" s="13">
        <f>IF(VLOOKUP(B236,Database!$A:$AV,MATCH($D$1,Database!$A$1:$AV$1,),)=0,"#N/A",((((VLOOKUP(B236,Database!$A:$AS,MATCH($D$1,Database!$A$1:$AS$1,),))))-(((VLOOKUP(EDATE(B236,-12),Database!$A:$AS,MATCH($D$1,Database!$A$1:$AS$1,),)))))/(((VLOOKUP(EDATE(B236,-12),Database!$A:$AS,MATCH($D$1,Database!$A$1:$AS$1,),)))))</f>
        <v/>
      </c>
      <c r="E236" s="13">
        <f>IF(VLOOKUP(B236,Database!$A:$AV,MATCH($E$1,Database!$A$1:$AV$1,),)=0,"#N/A",((((VLOOKUP(B236,Database!$A:$AS,MATCH($E$1,Database!$A$1:$AS$1,),))))-(((VLOOKUP(EDATE(B236,-12),Database!$A:$AS,MATCH($E$1,Database!$A$1:$AS$1,),)))))/(((VLOOKUP(EDATE(B236,-12),Database!$A:$AS,MATCH($E$1,Database!$A$1:$AS$1,),)))))</f>
        <v/>
      </c>
      <c r="F236" s="13">
        <f>IF(VLOOKUP(B236,Database!$A:$AV,MATCH($F$1,Database!$A$1:$AV$1,),)=0,"#N/A",((((VLOOKUP(B236,Database!$A:$AS,MATCH($F$1,Database!$A$1:$AS$1,),))))-(((VLOOKUP(EDATE(B236,-12),Database!$A:$AS,MATCH($F$1,Database!$A$1:$AS$1,),)))))/(((VLOOKUP(EDATE(B236,-12),Database!$A:$AS,MATCH($F$1,Database!$A$1:$AS$1,),)))))</f>
        <v/>
      </c>
      <c r="G236" s="13">
        <f>IF(VLOOKUP(B236,Database!$A:$AV,MATCH($G$1,Database!$A$1:$AV$1,),)=0,"#N/A",((((VLOOKUP(B236,Database!$A:$AS,MATCH($G$1,Database!$A$1:$AS$1,),))))-(((VLOOKUP(EDATE(B236,-12),Database!$A:$AS,MATCH($G$1,Database!$A$1:$AS$1,),)))))/(((VLOOKUP(EDATE(B236,-12),Database!$A:$AS,MATCH($G$1,Database!$A$1:$AS$1,),)))))</f>
        <v/>
      </c>
      <c r="H236" s="13">
        <f>IF(VLOOKUP(B236,Database!$A:$AV,MATCH($H$1,Database!$A$1:$AV$1,),)=0,"#N/A",((((VLOOKUP(B236,Database!$A:$AS,MATCH($H$1,Database!$A$1:$AS$1,),))))-(((VLOOKUP(EDATE(B236,-12),Database!$A:$AS,MATCH($H$1,Database!$A$1:$AS$1,),)))))/(((VLOOKUP(EDATE(B236,-12),Database!$A:$AS,MATCH($H$1,Database!$A$1:$AS$1,),)))))</f>
        <v/>
      </c>
      <c r="I236" s="13">
        <f>IF(VLOOKUP(B236,Database!$A:$AV,MATCH($I$1,Database!$A$1:$AV$1,),)=0,"#N/A",((((VLOOKUP(B236,Database!$A:$AS,MATCH($I$1,Database!$A$1:$AS$1,),))))-(((VLOOKUP(EDATE(B236,-12),Database!$A:$AS,MATCH($I$1,Database!$A$1:$AS$1,),)))))/(((VLOOKUP(EDATE(B236,-12),Database!$A:$AS,MATCH($I$1,Database!$A$1:$AS$1,),)))))</f>
        <v/>
      </c>
      <c r="J236" s="13">
        <f>IF(VLOOKUP(B236,Database!$A:$AV,MATCH($J$1,Database!$A$1:$AV$1,),)=0,"#N/A",((((VLOOKUP(B236,Database!$A:$AS,MATCH($J$1,Database!$A$1:$AS$1,),))))-(((VLOOKUP(EDATE(B236,-12),Database!$A:$AS,MATCH($J$1,Database!$A$1:$AS$1,),)))))/(((VLOOKUP(EDATE(B236,-12),Database!$A:$AS,MATCH($J$1,Database!$A$1:$AS$1,),)))))</f>
        <v/>
      </c>
      <c r="K236" s="13">
        <f>IF(VLOOKUP(B236,Database!$A:$AV,MATCH($K$1,Database!$A$1:$AV$1,),)=0,"#N/A",((((VLOOKUP(B236,Database!$A:$AS,MATCH($K$1,Database!$A$1:$AS$1,),))))-(((VLOOKUP(EDATE(B236,-12),Database!$A:$AS,MATCH($K$1,Database!$A$1:$AS$1,),)))))/(((VLOOKUP(EDATE(B236,-12),Database!$A:$AS,MATCH($K$1,Database!$A$1:$AS$1,),)))))</f>
        <v/>
      </c>
      <c r="L236" s="13">
        <f>((((VLOOKUP(B236,Database!$A:$AS,MATCH($L$1,Database!$A$1:$AS$1,),))))-(((VLOOKUP(EDATE(B236,-12),Database!$A:$AS,MATCH($L$1,Database!$A$1:$AS$1,),)))))/(((VLOOKUP(EDATE(B236,-12),Database!$A:$AS,MATCH($L$1,Database!$A$1:$AS$1,),))))</f>
        <v/>
      </c>
      <c r="M236" s="13">
        <f>((((VLOOKUP(B236,Database!$A:$AS,MATCH($M$1,Database!$A$1:$AS$1,),))))-(((VLOOKUP(EDATE(B236,-12),Database!$A:$AS,MATCH($M$1,Database!$A$1:$AS$1,),)))))/(((VLOOKUP(EDATE(B236,-12),Database!$A:$AS,MATCH($M$1,Database!$A$1:$AS$1,),))))</f>
        <v/>
      </c>
      <c r="N236" s="13">
        <f>((((VLOOKUP(B236,Database!$A:$AS,MATCH($N$1,Database!$A$1:$AS$1,),))))-(((VLOOKUP(EDATE(B236,-12),Database!$A:$AS,MATCH($N$1,Database!$A$1:$AS$1,),)))))/(((VLOOKUP(EDATE(B236,-12),Database!$A:$AS,MATCH($N$1,Database!$A$1:$AS$1,),))))</f>
        <v/>
      </c>
      <c r="O236" s="13">
        <f>IF(VLOOKUP(B236,Database!$A:$AV,MATCH($O$1,Database!$A$1:$AV$1,),)=0,"#N/A",((((VLOOKUP(B236,Database!$A:$AS,MATCH($O$1,Database!$A$1:$AS$1,),))))-(((VLOOKUP(EDATE(B236,-12),Database!$A:$AS,MATCH($O$1,Database!$A$1:$AS$1,),)))))/(((VLOOKUP(EDATE(B236,-12),Database!$A:$AS,MATCH($O$1,Database!$A$1:$AS$1,),)))))</f>
        <v/>
      </c>
      <c r="P236" s="13">
        <f>IF(VLOOKUP(B236,Database!$A:$AV,MATCH($P$1,Database!$A$1:$AV$1,),)=0,"#N/A",((((VLOOKUP(B236,Database!$A:$AS,MATCH($P$1,Database!$A$1:$AS$1,),))))-(((VLOOKUP(EDATE(B236,-12),Database!$A:$AS,MATCH($P$1,Database!$A$1:$AS$1,),)))))/(((VLOOKUP(EDATE(B236,-12),Database!$A:$AS,MATCH($P$1,Database!$A$1:$AS$1,),)))))</f>
        <v/>
      </c>
      <c r="Q236" s="13">
        <f>IF(VLOOKUP(B236,Database!$A:$AV,MATCH($Q$1,Database!$A$1:$AV$1,),)=0,"#N/A",((((VLOOKUP(B236,Database!$A:$AS,MATCH($Q$1,Database!$A$1:$AS$1,),))))-(((VLOOKUP(EDATE(B236,-12),Database!$A:$AS,MATCH($Q$1,Database!$A$1:$AS$1,),)))))/(((VLOOKUP(EDATE(B236,-12),Database!$A:$AS,MATCH($Q$1,Database!$A$1:$AS$1,),)))))</f>
        <v/>
      </c>
      <c r="R236" s="13">
        <f>IF(VLOOKUP(B236,Database!$A:$AV,MATCH($R$1,Database!$A$1:$AV$1,),)=0,"#N/A",((((VLOOKUP(B236,Database!$A:$AS,MATCH($R$1,Database!$A$1:$AS$1,),))))-(((VLOOKUP(EDATE(B236,-12),Database!$A:$AS,MATCH($R$1,Database!$A$1:$AS$1,),)))))/(((VLOOKUP(EDATE(B236,-12),Database!$A:$AS,MATCH($R$1,Database!$A$1:$AS$1,),)))))</f>
        <v/>
      </c>
      <c r="S236" s="13">
        <f>IF(VLOOKUP(B236,Database!$A:$AV,MATCH($S$1,Database!$A$1:$AV$1,),)=0,"#N/A",((((VLOOKUP(B236,Database!$A:$AS,MATCH($S$1,Database!$A$1:$AS$1,),))))-(((VLOOKUP(EDATE(B236,-12),Database!$A:$AS,MATCH($S$1,Database!$A$1:$AS$1,),)))))/(((VLOOKUP(EDATE(B236,-12),Database!$A:$AS,MATCH($S$1,Database!$A$1:$AS$1,),)))))</f>
        <v/>
      </c>
      <c r="T236" s="13">
        <f>IF(VLOOKUP(B236,Database!$A:$AV,MATCH($T$1,Database!$A$1:$AV$1,),)=0,"#N/A",((((VLOOKUP(B236,Database!$A:$AS,MATCH($T$1,Database!$A$1:$AS$1,),))))-(((VLOOKUP(EDATE(B236,-12),Database!$A:$AS,MATCH($T$1,Database!$A$1:$AS$1,),)))))/(((VLOOKUP(EDATE(B236,-12),Database!$A:$AS,MATCH($T$1,Database!$A$1:$AS$1,),)))))</f>
        <v/>
      </c>
      <c r="U236" s="13">
        <f>IF(VLOOKUP(B236,Database!$A:$AV,MATCH($U$1,Database!$A$1:$AV$1,),)=0,"#N/A",((((VLOOKUP(B236,Database!$A:$AS,MATCH($U$1,Database!$A$1:$AS$1,),))))-(((VLOOKUP(EDATE(B236,-12),Database!$A:$AS,MATCH($U$1,Database!$A$1:$AS$1,),)))))/(((VLOOKUP(EDATE(B236,-12),Database!$A:$AS,MATCH($U$1,Database!$A$1:$AS$1,),)))))</f>
        <v/>
      </c>
      <c r="V236" s="13">
        <f>IF(VLOOKUP(B236,Database!$A:$AV,MATCH($V$1,Database!$A$1:$AV$1,),)=0,"#N/A",((((VLOOKUP(B236,Database!$A:$AS,MATCH($V$1,Database!$A$1:$AS$1,),))))-(((VLOOKUP(EDATE(B236,-12),Database!$A:$AS,MATCH($V$1,Database!$A$1:$AS$1,),)))))/(((VLOOKUP(EDATE(B236,-12),Database!$A:$AS,MATCH($V$1,Database!$A$1:$AS$1,),)))))</f>
        <v/>
      </c>
    </row>
    <row r="237" customFormat="1" s="86">
      <c r="A237" s="43" t="n"/>
      <c r="B237" s="75" t="n">
        <v>39356</v>
      </c>
      <c r="C237" s="13">
        <f>IF(VLOOKUP(B237,Database!$A:$AU,MATCH($C$1,Database!$A$1:$AU$1,),)=0,"#N/A",((((VLOOKUP(B237,Database!$A:$AU,MATCH($C$1,Database!$A$1:$AU$1,),))))-(((VLOOKUP(EDATE(B237,-12),Database!$A:$AU,MATCH($C$1,Database!$A$1:$AU$1,),)))))/(((VLOOKUP(EDATE(B237,-12),Database!$A:$AU,MATCH($C$1,Database!$A$1:$AU$1,),)))))</f>
        <v/>
      </c>
      <c r="D237" s="13">
        <f>IF(VLOOKUP(B237,Database!$A:$AV,MATCH($D$1,Database!$A$1:$AV$1,),)=0,"#N/A",((((VLOOKUP(B237,Database!$A:$AS,MATCH($D$1,Database!$A$1:$AS$1,),))))-(((VLOOKUP(EDATE(B237,-12),Database!$A:$AS,MATCH($D$1,Database!$A$1:$AS$1,),)))))/(((VLOOKUP(EDATE(B237,-12),Database!$A:$AS,MATCH($D$1,Database!$A$1:$AS$1,),)))))</f>
        <v/>
      </c>
      <c r="E237" s="13">
        <f>IF(VLOOKUP(B237,Database!$A:$AV,MATCH($E$1,Database!$A$1:$AV$1,),)=0,"#N/A",((((VLOOKUP(B237,Database!$A:$AS,MATCH($E$1,Database!$A$1:$AS$1,),))))-(((VLOOKUP(EDATE(B237,-12),Database!$A:$AS,MATCH($E$1,Database!$A$1:$AS$1,),)))))/(((VLOOKUP(EDATE(B237,-12),Database!$A:$AS,MATCH($E$1,Database!$A$1:$AS$1,),)))))</f>
        <v/>
      </c>
      <c r="F237" s="13">
        <f>IF(VLOOKUP(B237,Database!$A:$AV,MATCH($F$1,Database!$A$1:$AV$1,),)=0,"#N/A",((((VLOOKUP(B237,Database!$A:$AS,MATCH($F$1,Database!$A$1:$AS$1,),))))-(((VLOOKUP(EDATE(B237,-12),Database!$A:$AS,MATCH($F$1,Database!$A$1:$AS$1,),)))))/(((VLOOKUP(EDATE(B237,-12),Database!$A:$AS,MATCH($F$1,Database!$A$1:$AS$1,),)))))</f>
        <v/>
      </c>
      <c r="G237" s="13">
        <f>IF(VLOOKUP(B237,Database!$A:$AV,MATCH($G$1,Database!$A$1:$AV$1,),)=0,"#N/A",((((VLOOKUP(B237,Database!$A:$AS,MATCH($G$1,Database!$A$1:$AS$1,),))))-(((VLOOKUP(EDATE(B237,-12),Database!$A:$AS,MATCH($G$1,Database!$A$1:$AS$1,),)))))/(((VLOOKUP(EDATE(B237,-12),Database!$A:$AS,MATCH($G$1,Database!$A$1:$AS$1,),)))))</f>
        <v/>
      </c>
      <c r="H237" s="13">
        <f>IF(VLOOKUP(B237,Database!$A:$AV,MATCH($H$1,Database!$A$1:$AV$1,),)=0,"#N/A",((((VLOOKUP(B237,Database!$A:$AS,MATCH($H$1,Database!$A$1:$AS$1,),))))-(((VLOOKUP(EDATE(B237,-12),Database!$A:$AS,MATCH($H$1,Database!$A$1:$AS$1,),)))))/(((VLOOKUP(EDATE(B237,-12),Database!$A:$AS,MATCH($H$1,Database!$A$1:$AS$1,),)))))</f>
        <v/>
      </c>
      <c r="I237" s="13">
        <f>IF(VLOOKUP(B237,Database!$A:$AV,MATCH($I$1,Database!$A$1:$AV$1,),)=0,"#N/A",((((VLOOKUP(B237,Database!$A:$AS,MATCH($I$1,Database!$A$1:$AS$1,),))))-(((VLOOKUP(EDATE(B237,-12),Database!$A:$AS,MATCH($I$1,Database!$A$1:$AS$1,),)))))/(((VLOOKUP(EDATE(B237,-12),Database!$A:$AS,MATCH($I$1,Database!$A$1:$AS$1,),)))))</f>
        <v/>
      </c>
      <c r="J237" s="13">
        <f>IF(VLOOKUP(B237,Database!$A:$AV,MATCH($J$1,Database!$A$1:$AV$1,),)=0,"#N/A",((((VLOOKUP(B237,Database!$A:$AS,MATCH($J$1,Database!$A$1:$AS$1,),))))-(((VLOOKUP(EDATE(B237,-12),Database!$A:$AS,MATCH($J$1,Database!$A$1:$AS$1,),)))))/(((VLOOKUP(EDATE(B237,-12),Database!$A:$AS,MATCH($J$1,Database!$A$1:$AS$1,),)))))</f>
        <v/>
      </c>
      <c r="K237" s="13">
        <f>IF(VLOOKUP(B237,Database!$A:$AV,MATCH($K$1,Database!$A$1:$AV$1,),)=0,"#N/A",((((VLOOKUP(B237,Database!$A:$AS,MATCH($K$1,Database!$A$1:$AS$1,),))))-(((VLOOKUP(EDATE(B237,-12),Database!$A:$AS,MATCH($K$1,Database!$A$1:$AS$1,),)))))/(((VLOOKUP(EDATE(B237,-12),Database!$A:$AS,MATCH($K$1,Database!$A$1:$AS$1,),)))))</f>
        <v/>
      </c>
      <c r="L237" s="13">
        <f>((((VLOOKUP(B237,Database!$A:$AS,MATCH($L$1,Database!$A$1:$AS$1,),))))-(((VLOOKUP(EDATE(B237,-12),Database!$A:$AS,MATCH($L$1,Database!$A$1:$AS$1,),)))))/(((VLOOKUP(EDATE(B237,-12),Database!$A:$AS,MATCH($L$1,Database!$A$1:$AS$1,),))))</f>
        <v/>
      </c>
      <c r="M237" s="13">
        <f>((((VLOOKUP(B237,Database!$A:$AS,MATCH($M$1,Database!$A$1:$AS$1,),))))-(((VLOOKUP(EDATE(B237,-12),Database!$A:$AS,MATCH($M$1,Database!$A$1:$AS$1,),)))))/(((VLOOKUP(EDATE(B237,-12),Database!$A:$AS,MATCH($M$1,Database!$A$1:$AS$1,),))))</f>
        <v/>
      </c>
      <c r="N237" s="13">
        <f>((((VLOOKUP(B237,Database!$A:$AS,MATCH($N$1,Database!$A$1:$AS$1,),))))-(((VLOOKUP(EDATE(B237,-12),Database!$A:$AS,MATCH($N$1,Database!$A$1:$AS$1,),)))))/(((VLOOKUP(EDATE(B237,-12),Database!$A:$AS,MATCH($N$1,Database!$A$1:$AS$1,),))))</f>
        <v/>
      </c>
      <c r="O237" s="13">
        <f>IF(VLOOKUP(B237,Database!$A:$AV,MATCH($O$1,Database!$A$1:$AV$1,),)=0,"#N/A",((((VLOOKUP(B237,Database!$A:$AS,MATCH($O$1,Database!$A$1:$AS$1,),))))-(((VLOOKUP(EDATE(B237,-12),Database!$A:$AS,MATCH($O$1,Database!$A$1:$AS$1,),)))))/(((VLOOKUP(EDATE(B237,-12),Database!$A:$AS,MATCH($O$1,Database!$A$1:$AS$1,),)))))</f>
        <v/>
      </c>
      <c r="P237" s="13">
        <f>IF(VLOOKUP(B237,Database!$A:$AV,MATCH($P$1,Database!$A$1:$AV$1,),)=0,"#N/A",((((VLOOKUP(B237,Database!$A:$AS,MATCH($P$1,Database!$A$1:$AS$1,),))))-(((VLOOKUP(EDATE(B237,-12),Database!$A:$AS,MATCH($P$1,Database!$A$1:$AS$1,),)))))/(((VLOOKUP(EDATE(B237,-12),Database!$A:$AS,MATCH($P$1,Database!$A$1:$AS$1,),)))))</f>
        <v/>
      </c>
      <c r="Q237" s="13">
        <f>IF(VLOOKUP(B237,Database!$A:$AV,MATCH($Q$1,Database!$A$1:$AV$1,),)=0,"#N/A",((((VLOOKUP(B237,Database!$A:$AS,MATCH($Q$1,Database!$A$1:$AS$1,),))))-(((VLOOKUP(EDATE(B237,-12),Database!$A:$AS,MATCH($Q$1,Database!$A$1:$AS$1,),)))))/(((VLOOKUP(EDATE(B237,-12),Database!$A:$AS,MATCH($Q$1,Database!$A$1:$AS$1,),)))))</f>
        <v/>
      </c>
      <c r="R237" s="13">
        <f>IF(VLOOKUP(B237,Database!$A:$AV,MATCH($R$1,Database!$A$1:$AV$1,),)=0,"#N/A",((((VLOOKUP(B237,Database!$A:$AS,MATCH($R$1,Database!$A$1:$AS$1,),))))-(((VLOOKUP(EDATE(B237,-12),Database!$A:$AS,MATCH($R$1,Database!$A$1:$AS$1,),)))))/(((VLOOKUP(EDATE(B237,-12),Database!$A:$AS,MATCH($R$1,Database!$A$1:$AS$1,),)))))</f>
        <v/>
      </c>
      <c r="S237" s="13">
        <f>IF(VLOOKUP(B237,Database!$A:$AV,MATCH($S$1,Database!$A$1:$AV$1,),)=0,"#N/A",((((VLOOKUP(B237,Database!$A:$AS,MATCH($S$1,Database!$A$1:$AS$1,),))))-(((VLOOKUP(EDATE(B237,-12),Database!$A:$AS,MATCH($S$1,Database!$A$1:$AS$1,),)))))/(((VLOOKUP(EDATE(B237,-12),Database!$A:$AS,MATCH($S$1,Database!$A$1:$AS$1,),)))))</f>
        <v/>
      </c>
      <c r="T237" s="13">
        <f>IF(VLOOKUP(B237,Database!$A:$AV,MATCH($T$1,Database!$A$1:$AV$1,),)=0,"#N/A",((((VLOOKUP(B237,Database!$A:$AS,MATCH($T$1,Database!$A$1:$AS$1,),))))-(((VLOOKUP(EDATE(B237,-12),Database!$A:$AS,MATCH($T$1,Database!$A$1:$AS$1,),)))))/(((VLOOKUP(EDATE(B237,-12),Database!$A:$AS,MATCH($T$1,Database!$A$1:$AS$1,),)))))</f>
        <v/>
      </c>
      <c r="U237" s="13">
        <f>IF(VLOOKUP(B237,Database!$A:$AV,MATCH($U$1,Database!$A$1:$AV$1,),)=0,"#N/A",((((VLOOKUP(B237,Database!$A:$AS,MATCH($U$1,Database!$A$1:$AS$1,),))))-(((VLOOKUP(EDATE(B237,-12),Database!$A:$AS,MATCH($U$1,Database!$A$1:$AS$1,),)))))/(((VLOOKUP(EDATE(B237,-12),Database!$A:$AS,MATCH($U$1,Database!$A$1:$AS$1,),)))))</f>
        <v/>
      </c>
      <c r="V237" s="13">
        <f>IF(VLOOKUP(B237,Database!$A:$AV,MATCH($V$1,Database!$A$1:$AV$1,),)=0,"#N/A",((((VLOOKUP(B237,Database!$A:$AS,MATCH($V$1,Database!$A$1:$AS$1,),))))-(((VLOOKUP(EDATE(B237,-12),Database!$A:$AS,MATCH($V$1,Database!$A$1:$AS$1,),)))))/(((VLOOKUP(EDATE(B237,-12),Database!$A:$AS,MATCH($V$1,Database!$A$1:$AS$1,),)))))</f>
        <v/>
      </c>
    </row>
    <row r="238" customFormat="1" s="86">
      <c r="A238" s="43" t="n"/>
      <c r="B238" s="75" t="n">
        <v>39387</v>
      </c>
      <c r="C238" s="13">
        <f>IF(VLOOKUP(B238,Database!$A:$AU,MATCH($C$1,Database!$A$1:$AU$1,),)=0,"#N/A",((((VLOOKUP(B238,Database!$A:$AU,MATCH($C$1,Database!$A$1:$AU$1,),))))-(((VLOOKUP(EDATE(B238,-12),Database!$A:$AU,MATCH($C$1,Database!$A$1:$AU$1,),)))))/(((VLOOKUP(EDATE(B238,-12),Database!$A:$AU,MATCH($C$1,Database!$A$1:$AU$1,),)))))</f>
        <v/>
      </c>
      <c r="D238" s="13">
        <f>IF(VLOOKUP(B238,Database!$A:$AV,MATCH($D$1,Database!$A$1:$AV$1,),)=0,"#N/A",((((VLOOKUP(B238,Database!$A:$AS,MATCH($D$1,Database!$A$1:$AS$1,),))))-(((VLOOKUP(EDATE(B238,-12),Database!$A:$AS,MATCH($D$1,Database!$A$1:$AS$1,),)))))/(((VLOOKUP(EDATE(B238,-12),Database!$A:$AS,MATCH($D$1,Database!$A$1:$AS$1,),)))))</f>
        <v/>
      </c>
      <c r="E238" s="13">
        <f>IF(VLOOKUP(B238,Database!$A:$AV,MATCH($E$1,Database!$A$1:$AV$1,),)=0,"#N/A",((((VLOOKUP(B238,Database!$A:$AS,MATCH($E$1,Database!$A$1:$AS$1,),))))-(((VLOOKUP(EDATE(B238,-12),Database!$A:$AS,MATCH($E$1,Database!$A$1:$AS$1,),)))))/(((VLOOKUP(EDATE(B238,-12),Database!$A:$AS,MATCH($E$1,Database!$A$1:$AS$1,),)))))</f>
        <v/>
      </c>
      <c r="F238" s="13">
        <f>IF(VLOOKUP(B238,Database!$A:$AV,MATCH($F$1,Database!$A$1:$AV$1,),)=0,"#N/A",((((VLOOKUP(B238,Database!$A:$AS,MATCH($F$1,Database!$A$1:$AS$1,),))))-(((VLOOKUP(EDATE(B238,-12),Database!$A:$AS,MATCH($F$1,Database!$A$1:$AS$1,),)))))/(((VLOOKUP(EDATE(B238,-12),Database!$A:$AS,MATCH($F$1,Database!$A$1:$AS$1,),)))))</f>
        <v/>
      </c>
      <c r="G238" s="13">
        <f>IF(VLOOKUP(B238,Database!$A:$AV,MATCH($G$1,Database!$A$1:$AV$1,),)=0,"#N/A",((((VLOOKUP(B238,Database!$A:$AS,MATCH($G$1,Database!$A$1:$AS$1,),))))-(((VLOOKUP(EDATE(B238,-12),Database!$A:$AS,MATCH($G$1,Database!$A$1:$AS$1,),)))))/(((VLOOKUP(EDATE(B238,-12),Database!$A:$AS,MATCH($G$1,Database!$A$1:$AS$1,),)))))</f>
        <v/>
      </c>
      <c r="H238" s="13">
        <f>IF(VLOOKUP(B238,Database!$A:$AV,MATCH($H$1,Database!$A$1:$AV$1,),)=0,"#N/A",((((VLOOKUP(B238,Database!$A:$AS,MATCH($H$1,Database!$A$1:$AS$1,),))))-(((VLOOKUP(EDATE(B238,-12),Database!$A:$AS,MATCH($H$1,Database!$A$1:$AS$1,),)))))/(((VLOOKUP(EDATE(B238,-12),Database!$A:$AS,MATCH($H$1,Database!$A$1:$AS$1,),)))))</f>
        <v/>
      </c>
      <c r="I238" s="13">
        <f>IF(VLOOKUP(B238,Database!$A:$AV,MATCH($I$1,Database!$A$1:$AV$1,),)=0,"#N/A",((((VLOOKUP(B238,Database!$A:$AS,MATCH($I$1,Database!$A$1:$AS$1,),))))-(((VLOOKUP(EDATE(B238,-12),Database!$A:$AS,MATCH($I$1,Database!$A$1:$AS$1,),)))))/(((VLOOKUP(EDATE(B238,-12),Database!$A:$AS,MATCH($I$1,Database!$A$1:$AS$1,),)))))</f>
        <v/>
      </c>
      <c r="J238" s="13">
        <f>IF(VLOOKUP(B238,Database!$A:$AV,MATCH($J$1,Database!$A$1:$AV$1,),)=0,"#N/A",((((VLOOKUP(B238,Database!$A:$AS,MATCH($J$1,Database!$A$1:$AS$1,),))))-(((VLOOKUP(EDATE(B238,-12),Database!$A:$AS,MATCH($J$1,Database!$A$1:$AS$1,),)))))/(((VLOOKUP(EDATE(B238,-12),Database!$A:$AS,MATCH($J$1,Database!$A$1:$AS$1,),)))))</f>
        <v/>
      </c>
      <c r="K238" s="13">
        <f>IF(VLOOKUP(B238,Database!$A:$AV,MATCH($K$1,Database!$A$1:$AV$1,),)=0,"#N/A",((((VLOOKUP(B238,Database!$A:$AS,MATCH($K$1,Database!$A$1:$AS$1,),))))-(((VLOOKUP(EDATE(B238,-12),Database!$A:$AS,MATCH($K$1,Database!$A$1:$AS$1,),)))))/(((VLOOKUP(EDATE(B238,-12),Database!$A:$AS,MATCH($K$1,Database!$A$1:$AS$1,),)))))</f>
        <v/>
      </c>
      <c r="L238" s="13">
        <f>((((VLOOKUP(B238,Database!$A:$AS,MATCH($L$1,Database!$A$1:$AS$1,),))))-(((VLOOKUP(EDATE(B238,-12),Database!$A:$AS,MATCH($L$1,Database!$A$1:$AS$1,),)))))/(((VLOOKUP(EDATE(B238,-12),Database!$A:$AS,MATCH($L$1,Database!$A$1:$AS$1,),))))</f>
        <v/>
      </c>
      <c r="M238" s="13">
        <f>((((VLOOKUP(B238,Database!$A:$AS,MATCH($M$1,Database!$A$1:$AS$1,),))))-(((VLOOKUP(EDATE(B238,-12),Database!$A:$AS,MATCH($M$1,Database!$A$1:$AS$1,),)))))/(((VLOOKUP(EDATE(B238,-12),Database!$A:$AS,MATCH($M$1,Database!$A$1:$AS$1,),))))</f>
        <v/>
      </c>
      <c r="N238" s="13">
        <f>((((VLOOKUP(B238,Database!$A:$AS,MATCH($N$1,Database!$A$1:$AS$1,),))))-(((VLOOKUP(EDATE(B238,-12),Database!$A:$AS,MATCH($N$1,Database!$A$1:$AS$1,),)))))/(((VLOOKUP(EDATE(B238,-12),Database!$A:$AS,MATCH($N$1,Database!$A$1:$AS$1,),))))</f>
        <v/>
      </c>
      <c r="O238" s="13">
        <f>IF(VLOOKUP(B238,Database!$A:$AV,MATCH($O$1,Database!$A$1:$AV$1,),)=0,"#N/A",((((VLOOKUP(B238,Database!$A:$AS,MATCH($O$1,Database!$A$1:$AS$1,),))))-(((VLOOKUP(EDATE(B238,-12),Database!$A:$AS,MATCH($O$1,Database!$A$1:$AS$1,),)))))/(((VLOOKUP(EDATE(B238,-12),Database!$A:$AS,MATCH($O$1,Database!$A$1:$AS$1,),)))))</f>
        <v/>
      </c>
      <c r="P238" s="13">
        <f>IF(VLOOKUP(B238,Database!$A:$AV,MATCH($P$1,Database!$A$1:$AV$1,),)=0,"#N/A",((((VLOOKUP(B238,Database!$A:$AS,MATCH($P$1,Database!$A$1:$AS$1,),))))-(((VLOOKUP(EDATE(B238,-12),Database!$A:$AS,MATCH($P$1,Database!$A$1:$AS$1,),)))))/(((VLOOKUP(EDATE(B238,-12),Database!$A:$AS,MATCH($P$1,Database!$A$1:$AS$1,),)))))</f>
        <v/>
      </c>
      <c r="Q238" s="13">
        <f>IF(VLOOKUP(B238,Database!$A:$AV,MATCH($Q$1,Database!$A$1:$AV$1,),)=0,"#N/A",((((VLOOKUP(B238,Database!$A:$AS,MATCH($Q$1,Database!$A$1:$AS$1,),))))-(((VLOOKUP(EDATE(B238,-12),Database!$A:$AS,MATCH($Q$1,Database!$A$1:$AS$1,),)))))/(((VLOOKUP(EDATE(B238,-12),Database!$A:$AS,MATCH($Q$1,Database!$A$1:$AS$1,),)))))</f>
        <v/>
      </c>
      <c r="R238" s="13">
        <f>IF(VLOOKUP(B238,Database!$A:$AV,MATCH($R$1,Database!$A$1:$AV$1,),)=0,"#N/A",((((VLOOKUP(B238,Database!$A:$AS,MATCH($R$1,Database!$A$1:$AS$1,),))))-(((VLOOKUP(EDATE(B238,-12),Database!$A:$AS,MATCH($R$1,Database!$A$1:$AS$1,),)))))/(((VLOOKUP(EDATE(B238,-12),Database!$A:$AS,MATCH($R$1,Database!$A$1:$AS$1,),)))))</f>
        <v/>
      </c>
      <c r="S238" s="13">
        <f>IF(VLOOKUP(B238,Database!$A:$AV,MATCH($S$1,Database!$A$1:$AV$1,),)=0,"#N/A",((((VLOOKUP(B238,Database!$A:$AS,MATCH($S$1,Database!$A$1:$AS$1,),))))-(((VLOOKUP(EDATE(B238,-12),Database!$A:$AS,MATCH($S$1,Database!$A$1:$AS$1,),)))))/(((VLOOKUP(EDATE(B238,-12),Database!$A:$AS,MATCH($S$1,Database!$A$1:$AS$1,),)))))</f>
        <v/>
      </c>
      <c r="T238" s="13">
        <f>IF(VLOOKUP(B238,Database!$A:$AV,MATCH($T$1,Database!$A$1:$AV$1,),)=0,"#N/A",((((VLOOKUP(B238,Database!$A:$AS,MATCH($T$1,Database!$A$1:$AS$1,),))))-(((VLOOKUP(EDATE(B238,-12),Database!$A:$AS,MATCH($T$1,Database!$A$1:$AS$1,),)))))/(((VLOOKUP(EDATE(B238,-12),Database!$A:$AS,MATCH($T$1,Database!$A$1:$AS$1,),)))))</f>
        <v/>
      </c>
      <c r="U238" s="13">
        <f>IF(VLOOKUP(B238,Database!$A:$AV,MATCH($U$1,Database!$A$1:$AV$1,),)=0,"#N/A",((((VLOOKUP(B238,Database!$A:$AS,MATCH($U$1,Database!$A$1:$AS$1,),))))-(((VLOOKUP(EDATE(B238,-12),Database!$A:$AS,MATCH($U$1,Database!$A$1:$AS$1,),)))))/(((VLOOKUP(EDATE(B238,-12),Database!$A:$AS,MATCH($U$1,Database!$A$1:$AS$1,),)))))</f>
        <v/>
      </c>
      <c r="V238" s="13">
        <f>IF(VLOOKUP(B238,Database!$A:$AV,MATCH($V$1,Database!$A$1:$AV$1,),)=0,"#N/A",((((VLOOKUP(B238,Database!$A:$AS,MATCH($V$1,Database!$A$1:$AS$1,),))))-(((VLOOKUP(EDATE(B238,-12),Database!$A:$AS,MATCH($V$1,Database!$A$1:$AS$1,),)))))/(((VLOOKUP(EDATE(B238,-12),Database!$A:$AS,MATCH($V$1,Database!$A$1:$AS$1,),)))))</f>
        <v/>
      </c>
    </row>
    <row r="239" customFormat="1" s="86">
      <c r="A239" s="43" t="n"/>
      <c r="B239" s="75" t="n">
        <v>39417</v>
      </c>
      <c r="C239" s="13">
        <f>IF(VLOOKUP(B239,Database!$A:$AU,MATCH($C$1,Database!$A$1:$AU$1,),)=0,"#N/A",((((VLOOKUP(B239,Database!$A:$AU,MATCH($C$1,Database!$A$1:$AU$1,),))))-(((VLOOKUP(EDATE(B239,-12),Database!$A:$AU,MATCH($C$1,Database!$A$1:$AU$1,),)))))/(((VLOOKUP(EDATE(B239,-12),Database!$A:$AU,MATCH($C$1,Database!$A$1:$AU$1,),)))))</f>
        <v/>
      </c>
      <c r="D239" s="13">
        <f>IF(VLOOKUP(B239,Database!$A:$AV,MATCH($D$1,Database!$A$1:$AV$1,),)=0,"#N/A",((((VLOOKUP(B239,Database!$A:$AS,MATCH($D$1,Database!$A$1:$AS$1,),))))-(((VLOOKUP(EDATE(B239,-12),Database!$A:$AS,MATCH($D$1,Database!$A$1:$AS$1,),)))))/(((VLOOKUP(EDATE(B239,-12),Database!$A:$AS,MATCH($D$1,Database!$A$1:$AS$1,),)))))</f>
        <v/>
      </c>
      <c r="E239" s="13">
        <f>IF(VLOOKUP(B239,Database!$A:$AV,MATCH($E$1,Database!$A$1:$AV$1,),)=0,"#N/A",((((VLOOKUP(B239,Database!$A:$AS,MATCH($E$1,Database!$A$1:$AS$1,),))))-(((VLOOKUP(EDATE(B239,-12),Database!$A:$AS,MATCH($E$1,Database!$A$1:$AS$1,),)))))/(((VLOOKUP(EDATE(B239,-12),Database!$A:$AS,MATCH($E$1,Database!$A$1:$AS$1,),)))))</f>
        <v/>
      </c>
      <c r="F239" s="13">
        <f>IF(VLOOKUP(B239,Database!$A:$AV,MATCH($F$1,Database!$A$1:$AV$1,),)=0,"#N/A",((((VLOOKUP(B239,Database!$A:$AS,MATCH($F$1,Database!$A$1:$AS$1,),))))-(((VLOOKUP(EDATE(B239,-12),Database!$A:$AS,MATCH($F$1,Database!$A$1:$AS$1,),)))))/(((VLOOKUP(EDATE(B239,-12),Database!$A:$AS,MATCH($F$1,Database!$A$1:$AS$1,),)))))</f>
        <v/>
      </c>
      <c r="G239" s="13">
        <f>IF(VLOOKUP(B239,Database!$A:$AV,MATCH($G$1,Database!$A$1:$AV$1,),)=0,"#N/A",((((VLOOKUP(B239,Database!$A:$AS,MATCH($G$1,Database!$A$1:$AS$1,),))))-(((VLOOKUP(EDATE(B239,-12),Database!$A:$AS,MATCH($G$1,Database!$A$1:$AS$1,),)))))/(((VLOOKUP(EDATE(B239,-12),Database!$A:$AS,MATCH($G$1,Database!$A$1:$AS$1,),)))))</f>
        <v/>
      </c>
      <c r="H239" s="13">
        <f>IF(VLOOKUP(B239,Database!$A:$AV,MATCH($H$1,Database!$A$1:$AV$1,),)=0,"#N/A",((((VLOOKUP(B239,Database!$A:$AS,MATCH($H$1,Database!$A$1:$AS$1,),))))-(((VLOOKUP(EDATE(B239,-12),Database!$A:$AS,MATCH($H$1,Database!$A$1:$AS$1,),)))))/(((VLOOKUP(EDATE(B239,-12),Database!$A:$AS,MATCH($H$1,Database!$A$1:$AS$1,),)))))</f>
        <v/>
      </c>
      <c r="I239" s="13">
        <f>IF(VLOOKUP(B239,Database!$A:$AV,MATCH($I$1,Database!$A$1:$AV$1,),)=0,"#N/A",((((VLOOKUP(B239,Database!$A:$AS,MATCH($I$1,Database!$A$1:$AS$1,),))))-(((VLOOKUP(EDATE(B239,-12),Database!$A:$AS,MATCH($I$1,Database!$A$1:$AS$1,),)))))/(((VLOOKUP(EDATE(B239,-12),Database!$A:$AS,MATCH($I$1,Database!$A$1:$AS$1,),)))))</f>
        <v/>
      </c>
      <c r="J239" s="13">
        <f>IF(VLOOKUP(B239,Database!$A:$AV,MATCH($J$1,Database!$A$1:$AV$1,),)=0,"#N/A",((((VLOOKUP(B239,Database!$A:$AS,MATCH($J$1,Database!$A$1:$AS$1,),))))-(((VLOOKUP(EDATE(B239,-12),Database!$A:$AS,MATCH($J$1,Database!$A$1:$AS$1,),)))))/(((VLOOKUP(EDATE(B239,-12),Database!$A:$AS,MATCH($J$1,Database!$A$1:$AS$1,),)))))</f>
        <v/>
      </c>
      <c r="K239" s="13">
        <f>IF(VLOOKUP(B239,Database!$A:$AV,MATCH($K$1,Database!$A$1:$AV$1,),)=0,"#N/A",((((VLOOKUP(B239,Database!$A:$AS,MATCH($K$1,Database!$A$1:$AS$1,),))))-(((VLOOKUP(EDATE(B239,-12),Database!$A:$AS,MATCH($K$1,Database!$A$1:$AS$1,),)))))/(((VLOOKUP(EDATE(B239,-12),Database!$A:$AS,MATCH($K$1,Database!$A$1:$AS$1,),)))))</f>
        <v/>
      </c>
      <c r="L239" s="13">
        <f>((((VLOOKUP(B239,Database!$A:$AS,MATCH($L$1,Database!$A$1:$AS$1,),))))-(((VLOOKUP(EDATE(B239,-12),Database!$A:$AS,MATCH($L$1,Database!$A$1:$AS$1,),)))))/(((VLOOKUP(EDATE(B239,-12),Database!$A:$AS,MATCH($L$1,Database!$A$1:$AS$1,),))))</f>
        <v/>
      </c>
      <c r="M239" s="13">
        <f>((((VLOOKUP(B239,Database!$A:$AS,MATCH($M$1,Database!$A$1:$AS$1,),))))-(((VLOOKUP(EDATE(B239,-12),Database!$A:$AS,MATCH($M$1,Database!$A$1:$AS$1,),)))))/(((VLOOKUP(EDATE(B239,-12),Database!$A:$AS,MATCH($M$1,Database!$A$1:$AS$1,),))))</f>
        <v/>
      </c>
      <c r="N239" s="13">
        <f>((((VLOOKUP(B239,Database!$A:$AS,MATCH($N$1,Database!$A$1:$AS$1,),))))-(((VLOOKUP(EDATE(B239,-12),Database!$A:$AS,MATCH($N$1,Database!$A$1:$AS$1,),)))))/(((VLOOKUP(EDATE(B239,-12),Database!$A:$AS,MATCH($N$1,Database!$A$1:$AS$1,),))))</f>
        <v/>
      </c>
      <c r="O239" s="13">
        <f>IF(VLOOKUP(B239,Database!$A:$AV,MATCH($O$1,Database!$A$1:$AV$1,),)=0,"#N/A",((((VLOOKUP(B239,Database!$A:$AS,MATCH($O$1,Database!$A$1:$AS$1,),))))-(((VLOOKUP(EDATE(B239,-12),Database!$A:$AS,MATCH($O$1,Database!$A$1:$AS$1,),)))))/(((VLOOKUP(EDATE(B239,-12),Database!$A:$AS,MATCH($O$1,Database!$A$1:$AS$1,),)))))</f>
        <v/>
      </c>
      <c r="P239" s="13">
        <f>IF(VLOOKUP(B239,Database!$A:$AV,MATCH($P$1,Database!$A$1:$AV$1,),)=0,"#N/A",((((VLOOKUP(B239,Database!$A:$AS,MATCH($P$1,Database!$A$1:$AS$1,),))))-(((VLOOKUP(EDATE(B239,-12),Database!$A:$AS,MATCH($P$1,Database!$A$1:$AS$1,),)))))/(((VLOOKUP(EDATE(B239,-12),Database!$A:$AS,MATCH($P$1,Database!$A$1:$AS$1,),)))))</f>
        <v/>
      </c>
      <c r="Q239" s="13">
        <f>IF(VLOOKUP(B239,Database!$A:$AV,MATCH($Q$1,Database!$A$1:$AV$1,),)=0,"#N/A",((((VLOOKUP(B239,Database!$A:$AS,MATCH($Q$1,Database!$A$1:$AS$1,),))))-(((VLOOKUP(EDATE(B239,-12),Database!$A:$AS,MATCH($Q$1,Database!$A$1:$AS$1,),)))))/(((VLOOKUP(EDATE(B239,-12),Database!$A:$AS,MATCH($Q$1,Database!$A$1:$AS$1,),)))))</f>
        <v/>
      </c>
      <c r="R239" s="13">
        <f>IF(VLOOKUP(B239,Database!$A:$AV,MATCH($R$1,Database!$A$1:$AV$1,),)=0,"#N/A",((((VLOOKUP(B239,Database!$A:$AS,MATCH($R$1,Database!$A$1:$AS$1,),))))-(((VLOOKUP(EDATE(B239,-12),Database!$A:$AS,MATCH($R$1,Database!$A$1:$AS$1,),)))))/(((VLOOKUP(EDATE(B239,-12),Database!$A:$AS,MATCH($R$1,Database!$A$1:$AS$1,),)))))</f>
        <v/>
      </c>
      <c r="S239" s="13">
        <f>IF(VLOOKUP(B239,Database!$A:$AV,MATCH($S$1,Database!$A$1:$AV$1,),)=0,"#N/A",((((VLOOKUP(B239,Database!$A:$AS,MATCH($S$1,Database!$A$1:$AS$1,),))))-(((VLOOKUP(EDATE(B239,-12),Database!$A:$AS,MATCH($S$1,Database!$A$1:$AS$1,),)))))/(((VLOOKUP(EDATE(B239,-12),Database!$A:$AS,MATCH($S$1,Database!$A$1:$AS$1,),)))))</f>
        <v/>
      </c>
      <c r="T239" s="13">
        <f>IF(VLOOKUP(B239,Database!$A:$AV,MATCH($T$1,Database!$A$1:$AV$1,),)=0,"#N/A",((((VLOOKUP(B239,Database!$A:$AS,MATCH($T$1,Database!$A$1:$AS$1,),))))-(((VLOOKUP(EDATE(B239,-12),Database!$A:$AS,MATCH($T$1,Database!$A$1:$AS$1,),)))))/(((VLOOKUP(EDATE(B239,-12),Database!$A:$AS,MATCH($T$1,Database!$A$1:$AS$1,),)))))</f>
        <v/>
      </c>
      <c r="U239" s="13">
        <f>IF(VLOOKUP(B239,Database!$A:$AV,MATCH($U$1,Database!$A$1:$AV$1,),)=0,"#N/A",((((VLOOKUP(B239,Database!$A:$AS,MATCH($U$1,Database!$A$1:$AS$1,),))))-(((VLOOKUP(EDATE(B239,-12),Database!$A:$AS,MATCH($U$1,Database!$A$1:$AS$1,),)))))/(((VLOOKUP(EDATE(B239,-12),Database!$A:$AS,MATCH($U$1,Database!$A$1:$AS$1,),)))))</f>
        <v/>
      </c>
      <c r="V239" s="13">
        <f>IF(VLOOKUP(B239,Database!$A:$AV,MATCH($V$1,Database!$A$1:$AV$1,),)=0,"#N/A",((((VLOOKUP(B239,Database!$A:$AS,MATCH($V$1,Database!$A$1:$AS$1,),))))-(((VLOOKUP(EDATE(B239,-12),Database!$A:$AS,MATCH($V$1,Database!$A$1:$AS$1,),)))))/(((VLOOKUP(EDATE(B239,-12),Database!$A:$AS,MATCH($V$1,Database!$A$1:$AS$1,),)))))</f>
        <v/>
      </c>
    </row>
    <row r="240" customFormat="1" s="86">
      <c r="A240" s="43" t="n"/>
      <c r="B240" s="75" t="n">
        <v>39448</v>
      </c>
      <c r="C240" s="13">
        <f>IF(VLOOKUP(B240,Database!$A:$AU,MATCH($C$1,Database!$A$1:$AU$1,),)=0,"#N/A",((((VLOOKUP(B240,Database!$A:$AU,MATCH($C$1,Database!$A$1:$AU$1,),))))-(((VLOOKUP(EDATE(B240,-12),Database!$A:$AU,MATCH($C$1,Database!$A$1:$AU$1,),)))))/(((VLOOKUP(EDATE(B240,-12),Database!$A:$AU,MATCH($C$1,Database!$A$1:$AU$1,),)))))</f>
        <v/>
      </c>
      <c r="D240" s="13">
        <f>IF(VLOOKUP(B240,Database!$A:$AV,MATCH($D$1,Database!$A$1:$AV$1,),)=0,"#N/A",((((VLOOKUP(B240,Database!$A:$AS,MATCH($D$1,Database!$A$1:$AS$1,),))))-(((VLOOKUP(EDATE(B240,-12),Database!$A:$AS,MATCH($D$1,Database!$A$1:$AS$1,),)))))/(((VLOOKUP(EDATE(B240,-12),Database!$A:$AS,MATCH($D$1,Database!$A$1:$AS$1,),)))))</f>
        <v/>
      </c>
      <c r="E240" s="13">
        <f>IF(VLOOKUP(B240,Database!$A:$AV,MATCH($E$1,Database!$A$1:$AV$1,),)=0,"#N/A",((((VLOOKUP(B240,Database!$A:$AS,MATCH($E$1,Database!$A$1:$AS$1,),))))-(((VLOOKUP(EDATE(B240,-12),Database!$A:$AS,MATCH($E$1,Database!$A$1:$AS$1,),)))))/(((VLOOKUP(EDATE(B240,-12),Database!$A:$AS,MATCH($E$1,Database!$A$1:$AS$1,),)))))</f>
        <v/>
      </c>
      <c r="F240" s="13">
        <f>IF(VLOOKUP(B240,Database!$A:$AV,MATCH($F$1,Database!$A$1:$AV$1,),)=0,"#N/A",((((VLOOKUP(B240,Database!$A:$AS,MATCH($F$1,Database!$A$1:$AS$1,),))))-(((VLOOKUP(EDATE(B240,-12),Database!$A:$AS,MATCH($F$1,Database!$A$1:$AS$1,),)))))/(((VLOOKUP(EDATE(B240,-12),Database!$A:$AS,MATCH($F$1,Database!$A$1:$AS$1,),)))))</f>
        <v/>
      </c>
      <c r="G240" s="13">
        <f>IF(VLOOKUP(B240,Database!$A:$AV,MATCH($G$1,Database!$A$1:$AV$1,),)=0,"#N/A",((((VLOOKUP(B240,Database!$A:$AS,MATCH($G$1,Database!$A$1:$AS$1,),))))-(((VLOOKUP(EDATE(B240,-12),Database!$A:$AS,MATCH($G$1,Database!$A$1:$AS$1,),)))))/(((VLOOKUP(EDATE(B240,-12),Database!$A:$AS,MATCH($G$1,Database!$A$1:$AS$1,),)))))</f>
        <v/>
      </c>
      <c r="H240" s="13">
        <f>IF(VLOOKUP(B240,Database!$A:$AV,MATCH($H$1,Database!$A$1:$AV$1,),)=0,"#N/A",((((VLOOKUP(B240,Database!$A:$AS,MATCH($H$1,Database!$A$1:$AS$1,),))))-(((VLOOKUP(EDATE(B240,-12),Database!$A:$AS,MATCH($H$1,Database!$A$1:$AS$1,),)))))/(((VLOOKUP(EDATE(B240,-12),Database!$A:$AS,MATCH($H$1,Database!$A$1:$AS$1,),)))))</f>
        <v/>
      </c>
      <c r="I240" s="13">
        <f>IF(VLOOKUP(B240,Database!$A:$AV,MATCH($I$1,Database!$A$1:$AV$1,),)=0,"#N/A",((((VLOOKUP(B240,Database!$A:$AS,MATCH($I$1,Database!$A$1:$AS$1,),))))-(((VLOOKUP(EDATE(B240,-12),Database!$A:$AS,MATCH($I$1,Database!$A$1:$AS$1,),)))))/(((VLOOKUP(EDATE(B240,-12),Database!$A:$AS,MATCH($I$1,Database!$A$1:$AS$1,),)))))</f>
        <v/>
      </c>
      <c r="J240" s="13">
        <f>IF(VLOOKUP(B240,Database!$A:$AV,MATCH($J$1,Database!$A$1:$AV$1,),)=0,"#N/A",((((VLOOKUP(B240,Database!$A:$AS,MATCH($J$1,Database!$A$1:$AS$1,),))))-(((VLOOKUP(EDATE(B240,-12),Database!$A:$AS,MATCH($J$1,Database!$A$1:$AS$1,),)))))/(((VLOOKUP(EDATE(B240,-12),Database!$A:$AS,MATCH($J$1,Database!$A$1:$AS$1,),)))))</f>
        <v/>
      </c>
      <c r="K240" s="13">
        <f>IF(VLOOKUP(B240,Database!$A:$AV,MATCH($K$1,Database!$A$1:$AV$1,),)=0,"#N/A",((((VLOOKUP(B240,Database!$A:$AS,MATCH($K$1,Database!$A$1:$AS$1,),))))-(((VLOOKUP(EDATE(B240,-12),Database!$A:$AS,MATCH($K$1,Database!$A$1:$AS$1,),)))))/(((VLOOKUP(EDATE(B240,-12),Database!$A:$AS,MATCH($K$1,Database!$A$1:$AS$1,),)))))</f>
        <v/>
      </c>
      <c r="L240" s="13">
        <f>((((VLOOKUP(B240,Database!$A:$AS,MATCH($L$1,Database!$A$1:$AS$1,),))))-(((VLOOKUP(EDATE(B240,-12),Database!$A:$AS,MATCH($L$1,Database!$A$1:$AS$1,),)))))/(((VLOOKUP(EDATE(B240,-12),Database!$A:$AS,MATCH($L$1,Database!$A$1:$AS$1,),))))</f>
        <v/>
      </c>
      <c r="M240" s="13">
        <f>((((VLOOKUP(B240,Database!$A:$AS,MATCH($M$1,Database!$A$1:$AS$1,),))))-(((VLOOKUP(EDATE(B240,-12),Database!$A:$AS,MATCH($M$1,Database!$A$1:$AS$1,),)))))/(((VLOOKUP(EDATE(B240,-12),Database!$A:$AS,MATCH($M$1,Database!$A$1:$AS$1,),))))</f>
        <v/>
      </c>
      <c r="N240" s="13">
        <f>((((VLOOKUP(B240,Database!$A:$AS,MATCH($N$1,Database!$A$1:$AS$1,),))))-(((VLOOKUP(EDATE(B240,-12),Database!$A:$AS,MATCH($N$1,Database!$A$1:$AS$1,),)))))/(((VLOOKUP(EDATE(B240,-12),Database!$A:$AS,MATCH($N$1,Database!$A$1:$AS$1,),))))</f>
        <v/>
      </c>
      <c r="O240" s="13">
        <f>IF(VLOOKUP(B240,Database!$A:$AV,MATCH($O$1,Database!$A$1:$AV$1,),)=0,"#N/A",((((VLOOKUP(B240,Database!$A:$AS,MATCH($O$1,Database!$A$1:$AS$1,),))))-(((VLOOKUP(EDATE(B240,-12),Database!$A:$AS,MATCH($O$1,Database!$A$1:$AS$1,),)))))/(((VLOOKUP(EDATE(B240,-12),Database!$A:$AS,MATCH($O$1,Database!$A$1:$AS$1,),)))))</f>
        <v/>
      </c>
      <c r="P240" s="13">
        <f>IF(VLOOKUP(B240,Database!$A:$AV,MATCH($P$1,Database!$A$1:$AV$1,),)=0,"#N/A",((((VLOOKUP(B240,Database!$A:$AS,MATCH($P$1,Database!$A$1:$AS$1,),))))-(((VLOOKUP(EDATE(B240,-12),Database!$A:$AS,MATCH($P$1,Database!$A$1:$AS$1,),)))))/(((VLOOKUP(EDATE(B240,-12),Database!$A:$AS,MATCH($P$1,Database!$A$1:$AS$1,),)))))</f>
        <v/>
      </c>
      <c r="Q240" s="13">
        <f>IF(VLOOKUP(B240,Database!$A:$AV,MATCH($Q$1,Database!$A$1:$AV$1,),)=0,"#N/A",((((VLOOKUP(B240,Database!$A:$AS,MATCH($Q$1,Database!$A$1:$AS$1,),))))-(((VLOOKUP(EDATE(B240,-12),Database!$A:$AS,MATCH($Q$1,Database!$A$1:$AS$1,),)))))/(((VLOOKUP(EDATE(B240,-12),Database!$A:$AS,MATCH($Q$1,Database!$A$1:$AS$1,),)))))</f>
        <v/>
      </c>
      <c r="R240" s="13">
        <f>IF(VLOOKUP(B240,Database!$A:$AV,MATCH($R$1,Database!$A$1:$AV$1,),)=0,"#N/A",((((VLOOKUP(B240,Database!$A:$AS,MATCH($R$1,Database!$A$1:$AS$1,),))))-(((VLOOKUP(EDATE(B240,-12),Database!$A:$AS,MATCH($R$1,Database!$A$1:$AS$1,),)))))/(((VLOOKUP(EDATE(B240,-12),Database!$A:$AS,MATCH($R$1,Database!$A$1:$AS$1,),)))))</f>
        <v/>
      </c>
      <c r="S240" s="13">
        <f>IF(VLOOKUP(B240,Database!$A:$AV,MATCH($S$1,Database!$A$1:$AV$1,),)=0,"#N/A",((((VLOOKUP(B240,Database!$A:$AS,MATCH($S$1,Database!$A$1:$AS$1,),))))-(((VLOOKUP(EDATE(B240,-12),Database!$A:$AS,MATCH($S$1,Database!$A$1:$AS$1,),)))))/(((VLOOKUP(EDATE(B240,-12),Database!$A:$AS,MATCH($S$1,Database!$A$1:$AS$1,),)))))</f>
        <v/>
      </c>
      <c r="T240" s="13">
        <f>IF(VLOOKUP(B240,Database!$A:$AV,MATCH($T$1,Database!$A$1:$AV$1,),)=0,"#N/A",((((VLOOKUP(B240,Database!$A:$AS,MATCH($T$1,Database!$A$1:$AS$1,),))))-(((VLOOKUP(EDATE(B240,-12),Database!$A:$AS,MATCH($T$1,Database!$A$1:$AS$1,),)))))/(((VLOOKUP(EDATE(B240,-12),Database!$A:$AS,MATCH($T$1,Database!$A$1:$AS$1,),)))))</f>
        <v/>
      </c>
      <c r="U240" s="13">
        <f>IF(VLOOKUP(B240,Database!$A:$AV,MATCH($U$1,Database!$A$1:$AV$1,),)=0,"#N/A",((((VLOOKUP(B240,Database!$A:$AS,MATCH($U$1,Database!$A$1:$AS$1,),))))-(((VLOOKUP(EDATE(B240,-12),Database!$A:$AS,MATCH($U$1,Database!$A$1:$AS$1,),)))))/(((VLOOKUP(EDATE(B240,-12),Database!$A:$AS,MATCH($U$1,Database!$A$1:$AS$1,),)))))</f>
        <v/>
      </c>
      <c r="V240" s="13">
        <f>IF(VLOOKUP(B240,Database!$A:$AV,MATCH($V$1,Database!$A$1:$AV$1,),)=0,"#N/A",((((VLOOKUP(B240,Database!$A:$AS,MATCH($V$1,Database!$A$1:$AS$1,),))))-(((VLOOKUP(EDATE(B240,-12),Database!$A:$AS,MATCH($V$1,Database!$A$1:$AS$1,),)))))/(((VLOOKUP(EDATE(B240,-12),Database!$A:$AS,MATCH($V$1,Database!$A$1:$AS$1,),)))))</f>
        <v/>
      </c>
    </row>
    <row r="241" customFormat="1" s="86">
      <c r="A241" s="43" t="n"/>
      <c r="B241" s="75" t="n">
        <v>39479</v>
      </c>
      <c r="C241" s="13">
        <f>IF(VLOOKUP(B241,Database!$A:$AU,MATCH($C$1,Database!$A$1:$AU$1,),)=0,"#N/A",((((VLOOKUP(B241,Database!$A:$AU,MATCH($C$1,Database!$A$1:$AU$1,),))))-(((VLOOKUP(EDATE(B241,-12),Database!$A:$AU,MATCH($C$1,Database!$A$1:$AU$1,),)))))/(((VLOOKUP(EDATE(B241,-12),Database!$A:$AU,MATCH($C$1,Database!$A$1:$AU$1,),)))))</f>
        <v/>
      </c>
      <c r="D241" s="13">
        <f>IF(VLOOKUP(B241,Database!$A:$AV,MATCH($D$1,Database!$A$1:$AV$1,),)=0,"#N/A",((((VLOOKUP(B241,Database!$A:$AS,MATCH($D$1,Database!$A$1:$AS$1,),))))-(((VLOOKUP(EDATE(B241,-12),Database!$A:$AS,MATCH($D$1,Database!$A$1:$AS$1,),)))))/(((VLOOKUP(EDATE(B241,-12),Database!$A:$AS,MATCH($D$1,Database!$A$1:$AS$1,),)))))</f>
        <v/>
      </c>
      <c r="E241" s="13">
        <f>IF(VLOOKUP(B241,Database!$A:$AV,MATCH($E$1,Database!$A$1:$AV$1,),)=0,"#N/A",((((VLOOKUP(B241,Database!$A:$AS,MATCH($E$1,Database!$A$1:$AS$1,),))))-(((VLOOKUP(EDATE(B241,-12),Database!$A:$AS,MATCH($E$1,Database!$A$1:$AS$1,),)))))/(((VLOOKUP(EDATE(B241,-12),Database!$A:$AS,MATCH($E$1,Database!$A$1:$AS$1,),)))))</f>
        <v/>
      </c>
      <c r="F241" s="13">
        <f>IF(VLOOKUP(B241,Database!$A:$AV,MATCH($F$1,Database!$A$1:$AV$1,),)=0,"#N/A",((((VLOOKUP(B241,Database!$A:$AS,MATCH($F$1,Database!$A$1:$AS$1,),))))-(((VLOOKUP(EDATE(B241,-12),Database!$A:$AS,MATCH($F$1,Database!$A$1:$AS$1,),)))))/(((VLOOKUP(EDATE(B241,-12),Database!$A:$AS,MATCH($F$1,Database!$A$1:$AS$1,),)))))</f>
        <v/>
      </c>
      <c r="G241" s="13">
        <f>IF(VLOOKUP(B241,Database!$A:$AV,MATCH($G$1,Database!$A$1:$AV$1,),)=0,"#N/A",((((VLOOKUP(B241,Database!$A:$AS,MATCH($G$1,Database!$A$1:$AS$1,),))))-(((VLOOKUP(EDATE(B241,-12),Database!$A:$AS,MATCH($G$1,Database!$A$1:$AS$1,),)))))/(((VLOOKUP(EDATE(B241,-12),Database!$A:$AS,MATCH($G$1,Database!$A$1:$AS$1,),)))))</f>
        <v/>
      </c>
      <c r="H241" s="13">
        <f>IF(VLOOKUP(B241,Database!$A:$AV,MATCH($H$1,Database!$A$1:$AV$1,),)=0,"#N/A",((((VLOOKUP(B241,Database!$A:$AS,MATCH($H$1,Database!$A$1:$AS$1,),))))-(((VLOOKUP(EDATE(B241,-12),Database!$A:$AS,MATCH($H$1,Database!$A$1:$AS$1,),)))))/(((VLOOKUP(EDATE(B241,-12),Database!$A:$AS,MATCH($H$1,Database!$A$1:$AS$1,),)))))</f>
        <v/>
      </c>
      <c r="I241" s="13">
        <f>IF(VLOOKUP(B241,Database!$A:$AV,MATCH($I$1,Database!$A$1:$AV$1,),)=0,"#N/A",((((VLOOKUP(B241,Database!$A:$AS,MATCH($I$1,Database!$A$1:$AS$1,),))))-(((VLOOKUP(EDATE(B241,-12),Database!$A:$AS,MATCH($I$1,Database!$A$1:$AS$1,),)))))/(((VLOOKUP(EDATE(B241,-12),Database!$A:$AS,MATCH($I$1,Database!$A$1:$AS$1,),)))))</f>
        <v/>
      </c>
      <c r="J241" s="13">
        <f>IF(VLOOKUP(B241,Database!$A:$AV,MATCH($J$1,Database!$A$1:$AV$1,),)=0,"#N/A",((((VLOOKUP(B241,Database!$A:$AS,MATCH($J$1,Database!$A$1:$AS$1,),))))-(((VLOOKUP(EDATE(B241,-12),Database!$A:$AS,MATCH($J$1,Database!$A$1:$AS$1,),)))))/(((VLOOKUP(EDATE(B241,-12),Database!$A:$AS,MATCH($J$1,Database!$A$1:$AS$1,),)))))</f>
        <v/>
      </c>
      <c r="K241" s="13">
        <f>IF(VLOOKUP(B241,Database!$A:$AV,MATCH($K$1,Database!$A$1:$AV$1,),)=0,"#N/A",((((VLOOKUP(B241,Database!$A:$AS,MATCH($K$1,Database!$A$1:$AS$1,),))))-(((VLOOKUP(EDATE(B241,-12),Database!$A:$AS,MATCH($K$1,Database!$A$1:$AS$1,),)))))/(((VLOOKUP(EDATE(B241,-12),Database!$A:$AS,MATCH($K$1,Database!$A$1:$AS$1,),)))))</f>
        <v/>
      </c>
      <c r="L241" s="13">
        <f>((((VLOOKUP(B241,Database!$A:$AS,MATCH($L$1,Database!$A$1:$AS$1,),))))-(((VLOOKUP(EDATE(B241,-12),Database!$A:$AS,MATCH($L$1,Database!$A$1:$AS$1,),)))))/(((VLOOKUP(EDATE(B241,-12),Database!$A:$AS,MATCH($L$1,Database!$A$1:$AS$1,),))))</f>
        <v/>
      </c>
      <c r="M241" s="13">
        <f>((((VLOOKUP(B241,Database!$A:$AS,MATCH($M$1,Database!$A$1:$AS$1,),))))-(((VLOOKUP(EDATE(B241,-12),Database!$A:$AS,MATCH($M$1,Database!$A$1:$AS$1,),)))))/(((VLOOKUP(EDATE(B241,-12),Database!$A:$AS,MATCH($M$1,Database!$A$1:$AS$1,),))))</f>
        <v/>
      </c>
      <c r="N241" s="13">
        <f>((((VLOOKUP(B241,Database!$A:$AS,MATCH($N$1,Database!$A$1:$AS$1,),))))-(((VLOOKUP(EDATE(B241,-12),Database!$A:$AS,MATCH($N$1,Database!$A$1:$AS$1,),)))))/(((VLOOKUP(EDATE(B241,-12),Database!$A:$AS,MATCH($N$1,Database!$A$1:$AS$1,),))))</f>
        <v/>
      </c>
      <c r="O241" s="13">
        <f>IF(VLOOKUP(B241,Database!$A:$AV,MATCH($O$1,Database!$A$1:$AV$1,),)=0,"#N/A",((((VLOOKUP(B241,Database!$A:$AS,MATCH($O$1,Database!$A$1:$AS$1,),))))-(((VLOOKUP(EDATE(B241,-12),Database!$A:$AS,MATCH($O$1,Database!$A$1:$AS$1,),)))))/(((VLOOKUP(EDATE(B241,-12),Database!$A:$AS,MATCH($O$1,Database!$A$1:$AS$1,),)))))</f>
        <v/>
      </c>
      <c r="P241" s="13">
        <f>IF(VLOOKUP(B241,Database!$A:$AV,MATCH($P$1,Database!$A$1:$AV$1,),)=0,"#N/A",((((VLOOKUP(B241,Database!$A:$AS,MATCH($P$1,Database!$A$1:$AS$1,),))))-(((VLOOKUP(EDATE(B241,-12),Database!$A:$AS,MATCH($P$1,Database!$A$1:$AS$1,),)))))/(((VLOOKUP(EDATE(B241,-12),Database!$A:$AS,MATCH($P$1,Database!$A$1:$AS$1,),)))))</f>
        <v/>
      </c>
      <c r="Q241" s="13">
        <f>IF(VLOOKUP(B241,Database!$A:$AV,MATCH($Q$1,Database!$A$1:$AV$1,),)=0,"#N/A",((((VLOOKUP(B241,Database!$A:$AS,MATCH($Q$1,Database!$A$1:$AS$1,),))))-(((VLOOKUP(EDATE(B241,-12),Database!$A:$AS,MATCH($Q$1,Database!$A$1:$AS$1,),)))))/(((VLOOKUP(EDATE(B241,-12),Database!$A:$AS,MATCH($Q$1,Database!$A$1:$AS$1,),)))))</f>
        <v/>
      </c>
      <c r="R241" s="13">
        <f>IF(VLOOKUP(B241,Database!$A:$AV,MATCH($R$1,Database!$A$1:$AV$1,),)=0,"#N/A",((((VLOOKUP(B241,Database!$A:$AS,MATCH($R$1,Database!$A$1:$AS$1,),))))-(((VLOOKUP(EDATE(B241,-12),Database!$A:$AS,MATCH($R$1,Database!$A$1:$AS$1,),)))))/(((VLOOKUP(EDATE(B241,-12),Database!$A:$AS,MATCH($R$1,Database!$A$1:$AS$1,),)))))</f>
        <v/>
      </c>
      <c r="S241" s="13">
        <f>IF(VLOOKUP(B241,Database!$A:$AV,MATCH($S$1,Database!$A$1:$AV$1,),)=0,"#N/A",((((VLOOKUP(B241,Database!$A:$AS,MATCH($S$1,Database!$A$1:$AS$1,),))))-(((VLOOKUP(EDATE(B241,-12),Database!$A:$AS,MATCH($S$1,Database!$A$1:$AS$1,),)))))/(((VLOOKUP(EDATE(B241,-12),Database!$A:$AS,MATCH($S$1,Database!$A$1:$AS$1,),)))))</f>
        <v/>
      </c>
      <c r="T241" s="13">
        <f>IF(VLOOKUP(B241,Database!$A:$AV,MATCH($T$1,Database!$A$1:$AV$1,),)=0,"#N/A",((((VLOOKUP(B241,Database!$A:$AS,MATCH($T$1,Database!$A$1:$AS$1,),))))-(((VLOOKUP(EDATE(B241,-12),Database!$A:$AS,MATCH($T$1,Database!$A$1:$AS$1,),)))))/(((VLOOKUP(EDATE(B241,-12),Database!$A:$AS,MATCH($T$1,Database!$A$1:$AS$1,),)))))</f>
        <v/>
      </c>
      <c r="U241" s="13">
        <f>IF(VLOOKUP(B241,Database!$A:$AV,MATCH($U$1,Database!$A$1:$AV$1,),)=0,"#N/A",((((VLOOKUP(B241,Database!$A:$AS,MATCH($U$1,Database!$A$1:$AS$1,),))))-(((VLOOKUP(EDATE(B241,-12),Database!$A:$AS,MATCH($U$1,Database!$A$1:$AS$1,),)))))/(((VLOOKUP(EDATE(B241,-12),Database!$A:$AS,MATCH($U$1,Database!$A$1:$AS$1,),)))))</f>
        <v/>
      </c>
      <c r="V241" s="13">
        <f>IF(VLOOKUP(B241,Database!$A:$AV,MATCH($V$1,Database!$A$1:$AV$1,),)=0,"#N/A",((((VLOOKUP(B241,Database!$A:$AS,MATCH($V$1,Database!$A$1:$AS$1,),))))-(((VLOOKUP(EDATE(B241,-12),Database!$A:$AS,MATCH($V$1,Database!$A$1:$AS$1,),)))))/(((VLOOKUP(EDATE(B241,-12),Database!$A:$AS,MATCH($V$1,Database!$A$1:$AS$1,),)))))</f>
        <v/>
      </c>
    </row>
    <row r="242" customFormat="1" s="86">
      <c r="A242" s="43" t="n"/>
      <c r="B242" s="75" t="n">
        <v>39508</v>
      </c>
      <c r="C242" s="13">
        <f>IF(VLOOKUP(B242,Database!$A:$AU,MATCH($C$1,Database!$A$1:$AU$1,),)=0,"#N/A",((((VLOOKUP(B242,Database!$A:$AU,MATCH($C$1,Database!$A$1:$AU$1,),))))-(((VLOOKUP(EDATE(B242,-12),Database!$A:$AU,MATCH($C$1,Database!$A$1:$AU$1,),)))))/(((VLOOKUP(EDATE(B242,-12),Database!$A:$AU,MATCH($C$1,Database!$A$1:$AU$1,),)))))</f>
        <v/>
      </c>
      <c r="D242" s="13">
        <f>IF(VLOOKUP(B242,Database!$A:$AV,MATCH($D$1,Database!$A$1:$AV$1,),)=0,"#N/A",((((VLOOKUP(B242,Database!$A:$AS,MATCH($D$1,Database!$A$1:$AS$1,),))))-(((VLOOKUP(EDATE(B242,-12),Database!$A:$AS,MATCH($D$1,Database!$A$1:$AS$1,),)))))/(((VLOOKUP(EDATE(B242,-12),Database!$A:$AS,MATCH($D$1,Database!$A$1:$AS$1,),)))))</f>
        <v/>
      </c>
      <c r="E242" s="13">
        <f>IF(VLOOKUP(B242,Database!$A:$AV,MATCH($E$1,Database!$A$1:$AV$1,),)=0,"#N/A",((((VLOOKUP(B242,Database!$A:$AS,MATCH($E$1,Database!$A$1:$AS$1,),))))-(((VLOOKUP(EDATE(B242,-12),Database!$A:$AS,MATCH($E$1,Database!$A$1:$AS$1,),)))))/(((VLOOKUP(EDATE(B242,-12),Database!$A:$AS,MATCH($E$1,Database!$A$1:$AS$1,),)))))</f>
        <v/>
      </c>
      <c r="F242" s="13">
        <f>IF(VLOOKUP(B242,Database!$A:$AV,MATCH($F$1,Database!$A$1:$AV$1,),)=0,"#N/A",((((VLOOKUP(B242,Database!$A:$AS,MATCH($F$1,Database!$A$1:$AS$1,),))))-(((VLOOKUP(EDATE(B242,-12),Database!$A:$AS,MATCH($F$1,Database!$A$1:$AS$1,),)))))/(((VLOOKUP(EDATE(B242,-12),Database!$A:$AS,MATCH($F$1,Database!$A$1:$AS$1,),)))))</f>
        <v/>
      </c>
      <c r="G242" s="13">
        <f>IF(VLOOKUP(B242,Database!$A:$AV,MATCH($G$1,Database!$A$1:$AV$1,),)=0,"#N/A",((((VLOOKUP(B242,Database!$A:$AS,MATCH($G$1,Database!$A$1:$AS$1,),))))-(((VLOOKUP(EDATE(B242,-12),Database!$A:$AS,MATCH($G$1,Database!$A$1:$AS$1,),)))))/(((VLOOKUP(EDATE(B242,-12),Database!$A:$AS,MATCH($G$1,Database!$A$1:$AS$1,),)))))</f>
        <v/>
      </c>
      <c r="H242" s="13">
        <f>IF(VLOOKUP(B242,Database!$A:$AV,MATCH($H$1,Database!$A$1:$AV$1,),)=0,"#N/A",((((VLOOKUP(B242,Database!$A:$AS,MATCH($H$1,Database!$A$1:$AS$1,),))))-(((VLOOKUP(EDATE(B242,-12),Database!$A:$AS,MATCH($H$1,Database!$A$1:$AS$1,),)))))/(((VLOOKUP(EDATE(B242,-12),Database!$A:$AS,MATCH($H$1,Database!$A$1:$AS$1,),)))))</f>
        <v/>
      </c>
      <c r="I242" s="13">
        <f>IF(VLOOKUP(B242,Database!$A:$AV,MATCH($I$1,Database!$A$1:$AV$1,),)=0,"#N/A",((((VLOOKUP(B242,Database!$A:$AS,MATCH($I$1,Database!$A$1:$AS$1,),))))-(((VLOOKUP(EDATE(B242,-12),Database!$A:$AS,MATCH($I$1,Database!$A$1:$AS$1,),)))))/(((VLOOKUP(EDATE(B242,-12),Database!$A:$AS,MATCH($I$1,Database!$A$1:$AS$1,),)))))</f>
        <v/>
      </c>
      <c r="J242" s="13">
        <f>IF(VLOOKUP(B242,Database!$A:$AV,MATCH($J$1,Database!$A$1:$AV$1,),)=0,"#N/A",((((VLOOKUP(B242,Database!$A:$AS,MATCH($J$1,Database!$A$1:$AS$1,),))))-(((VLOOKUP(EDATE(B242,-12),Database!$A:$AS,MATCH($J$1,Database!$A$1:$AS$1,),)))))/(((VLOOKUP(EDATE(B242,-12),Database!$A:$AS,MATCH($J$1,Database!$A$1:$AS$1,),)))))</f>
        <v/>
      </c>
      <c r="K242" s="13">
        <f>IF(VLOOKUP(B242,Database!$A:$AV,MATCH($K$1,Database!$A$1:$AV$1,),)=0,"#N/A",((((VLOOKUP(B242,Database!$A:$AS,MATCH($K$1,Database!$A$1:$AS$1,),))))-(((VLOOKUP(EDATE(B242,-12),Database!$A:$AS,MATCH($K$1,Database!$A$1:$AS$1,),)))))/(((VLOOKUP(EDATE(B242,-12),Database!$A:$AS,MATCH($K$1,Database!$A$1:$AS$1,),)))))</f>
        <v/>
      </c>
      <c r="L242" s="13">
        <f>((((VLOOKUP(B242,Database!$A:$AS,MATCH($L$1,Database!$A$1:$AS$1,),))))-(((VLOOKUP(EDATE(B242,-12),Database!$A:$AS,MATCH($L$1,Database!$A$1:$AS$1,),)))))/(((VLOOKUP(EDATE(B242,-12),Database!$A:$AS,MATCH($L$1,Database!$A$1:$AS$1,),))))</f>
        <v/>
      </c>
      <c r="M242" s="13">
        <f>((((VLOOKUP(B242,Database!$A:$AS,MATCH($M$1,Database!$A$1:$AS$1,),))))-(((VLOOKUP(EDATE(B242,-12),Database!$A:$AS,MATCH($M$1,Database!$A$1:$AS$1,),)))))/(((VLOOKUP(EDATE(B242,-12),Database!$A:$AS,MATCH($M$1,Database!$A$1:$AS$1,),))))</f>
        <v/>
      </c>
      <c r="N242" s="13">
        <f>((((VLOOKUP(B242,Database!$A:$AS,MATCH($N$1,Database!$A$1:$AS$1,),))))-(((VLOOKUP(EDATE(B242,-12),Database!$A:$AS,MATCH($N$1,Database!$A$1:$AS$1,),)))))/(((VLOOKUP(EDATE(B242,-12),Database!$A:$AS,MATCH($N$1,Database!$A$1:$AS$1,),))))</f>
        <v/>
      </c>
      <c r="O242" s="13">
        <f>IF(VLOOKUP(B242,Database!$A:$AV,MATCH($O$1,Database!$A$1:$AV$1,),)=0,"#N/A",((((VLOOKUP(B242,Database!$A:$AS,MATCH($O$1,Database!$A$1:$AS$1,),))))-(((VLOOKUP(EDATE(B242,-12),Database!$A:$AS,MATCH($O$1,Database!$A$1:$AS$1,),)))))/(((VLOOKUP(EDATE(B242,-12),Database!$A:$AS,MATCH($O$1,Database!$A$1:$AS$1,),)))))</f>
        <v/>
      </c>
      <c r="P242" s="13">
        <f>IF(VLOOKUP(B242,Database!$A:$AV,MATCH($P$1,Database!$A$1:$AV$1,),)=0,"#N/A",((((VLOOKUP(B242,Database!$A:$AS,MATCH($P$1,Database!$A$1:$AS$1,),))))-(((VLOOKUP(EDATE(B242,-12),Database!$A:$AS,MATCH($P$1,Database!$A$1:$AS$1,),)))))/(((VLOOKUP(EDATE(B242,-12),Database!$A:$AS,MATCH($P$1,Database!$A$1:$AS$1,),)))))</f>
        <v/>
      </c>
      <c r="Q242" s="13">
        <f>IF(VLOOKUP(B242,Database!$A:$AV,MATCH($Q$1,Database!$A$1:$AV$1,),)=0,"#N/A",((((VLOOKUP(B242,Database!$A:$AS,MATCH($Q$1,Database!$A$1:$AS$1,),))))-(((VLOOKUP(EDATE(B242,-12),Database!$A:$AS,MATCH($Q$1,Database!$A$1:$AS$1,),)))))/(((VLOOKUP(EDATE(B242,-12),Database!$A:$AS,MATCH($Q$1,Database!$A$1:$AS$1,),)))))</f>
        <v/>
      </c>
      <c r="R242" s="13">
        <f>IF(VLOOKUP(B242,Database!$A:$AV,MATCH($R$1,Database!$A$1:$AV$1,),)=0,"#N/A",((((VLOOKUP(B242,Database!$A:$AS,MATCH($R$1,Database!$A$1:$AS$1,),))))-(((VLOOKUP(EDATE(B242,-12),Database!$A:$AS,MATCH($R$1,Database!$A$1:$AS$1,),)))))/(((VLOOKUP(EDATE(B242,-12),Database!$A:$AS,MATCH($R$1,Database!$A$1:$AS$1,),)))))</f>
        <v/>
      </c>
      <c r="S242" s="13">
        <f>IF(VLOOKUP(B242,Database!$A:$AV,MATCH($S$1,Database!$A$1:$AV$1,),)=0,"#N/A",((((VLOOKUP(B242,Database!$A:$AS,MATCH($S$1,Database!$A$1:$AS$1,),))))-(((VLOOKUP(EDATE(B242,-12),Database!$A:$AS,MATCH($S$1,Database!$A$1:$AS$1,),)))))/(((VLOOKUP(EDATE(B242,-12),Database!$A:$AS,MATCH($S$1,Database!$A$1:$AS$1,),)))))</f>
        <v/>
      </c>
      <c r="T242" s="13">
        <f>IF(VLOOKUP(B242,Database!$A:$AV,MATCH($T$1,Database!$A$1:$AV$1,),)=0,"#N/A",((((VLOOKUP(B242,Database!$A:$AS,MATCH($T$1,Database!$A$1:$AS$1,),))))-(((VLOOKUP(EDATE(B242,-12),Database!$A:$AS,MATCH($T$1,Database!$A$1:$AS$1,),)))))/(((VLOOKUP(EDATE(B242,-12),Database!$A:$AS,MATCH($T$1,Database!$A$1:$AS$1,),)))))</f>
        <v/>
      </c>
      <c r="U242" s="13">
        <f>IF(VLOOKUP(B242,Database!$A:$AV,MATCH($U$1,Database!$A$1:$AV$1,),)=0,"#N/A",((((VLOOKUP(B242,Database!$A:$AS,MATCH($U$1,Database!$A$1:$AS$1,),))))-(((VLOOKUP(EDATE(B242,-12),Database!$A:$AS,MATCH($U$1,Database!$A$1:$AS$1,),)))))/(((VLOOKUP(EDATE(B242,-12),Database!$A:$AS,MATCH($U$1,Database!$A$1:$AS$1,),)))))</f>
        <v/>
      </c>
      <c r="V242" s="13">
        <f>IF(VLOOKUP(B242,Database!$A:$AV,MATCH($V$1,Database!$A$1:$AV$1,),)=0,"#N/A",((((VLOOKUP(B242,Database!$A:$AS,MATCH($V$1,Database!$A$1:$AS$1,),))))-(((VLOOKUP(EDATE(B242,-12),Database!$A:$AS,MATCH($V$1,Database!$A$1:$AS$1,),)))))/(((VLOOKUP(EDATE(B242,-12),Database!$A:$AS,MATCH($V$1,Database!$A$1:$AS$1,),)))))</f>
        <v/>
      </c>
    </row>
    <row r="243" customFormat="1" s="86">
      <c r="A243" s="43" t="n"/>
      <c r="B243" s="75" t="n">
        <v>39539</v>
      </c>
      <c r="C243" s="13">
        <f>IF(VLOOKUP(B243,Database!$A:$AU,MATCH($C$1,Database!$A$1:$AU$1,),)=0,"#N/A",((((VLOOKUP(B243,Database!$A:$AU,MATCH($C$1,Database!$A$1:$AU$1,),))))-(((VLOOKUP(EDATE(B243,-12),Database!$A:$AU,MATCH($C$1,Database!$A$1:$AU$1,),)))))/(((VLOOKUP(EDATE(B243,-12),Database!$A:$AU,MATCH($C$1,Database!$A$1:$AU$1,),)))))</f>
        <v/>
      </c>
      <c r="D243" s="13">
        <f>IF(VLOOKUP(B243,Database!$A:$AV,MATCH($D$1,Database!$A$1:$AV$1,),)=0,"#N/A",((((VLOOKUP(B243,Database!$A:$AS,MATCH($D$1,Database!$A$1:$AS$1,),))))-(((VLOOKUP(EDATE(B243,-12),Database!$A:$AS,MATCH($D$1,Database!$A$1:$AS$1,),)))))/(((VLOOKUP(EDATE(B243,-12),Database!$A:$AS,MATCH($D$1,Database!$A$1:$AS$1,),)))))</f>
        <v/>
      </c>
      <c r="E243" s="13">
        <f>IF(VLOOKUP(B243,Database!$A:$AV,MATCH($E$1,Database!$A$1:$AV$1,),)=0,"#N/A",((((VLOOKUP(B243,Database!$A:$AS,MATCH($E$1,Database!$A$1:$AS$1,),))))-(((VLOOKUP(EDATE(B243,-12),Database!$A:$AS,MATCH($E$1,Database!$A$1:$AS$1,),)))))/(((VLOOKUP(EDATE(B243,-12),Database!$A:$AS,MATCH($E$1,Database!$A$1:$AS$1,),)))))</f>
        <v/>
      </c>
      <c r="F243" s="13">
        <f>IF(VLOOKUP(B243,Database!$A:$AV,MATCH($F$1,Database!$A$1:$AV$1,),)=0,"#N/A",((((VLOOKUP(B243,Database!$A:$AS,MATCH($F$1,Database!$A$1:$AS$1,),))))-(((VLOOKUP(EDATE(B243,-12),Database!$A:$AS,MATCH($F$1,Database!$A$1:$AS$1,),)))))/(((VLOOKUP(EDATE(B243,-12),Database!$A:$AS,MATCH($F$1,Database!$A$1:$AS$1,),)))))</f>
        <v/>
      </c>
      <c r="G243" s="13">
        <f>IF(VLOOKUP(B243,Database!$A:$AV,MATCH($G$1,Database!$A$1:$AV$1,),)=0,"#N/A",((((VLOOKUP(B243,Database!$A:$AS,MATCH($G$1,Database!$A$1:$AS$1,),))))-(((VLOOKUP(EDATE(B243,-12),Database!$A:$AS,MATCH($G$1,Database!$A$1:$AS$1,),)))))/(((VLOOKUP(EDATE(B243,-12),Database!$A:$AS,MATCH($G$1,Database!$A$1:$AS$1,),)))))</f>
        <v/>
      </c>
      <c r="H243" s="13">
        <f>IF(VLOOKUP(B243,Database!$A:$AV,MATCH($H$1,Database!$A$1:$AV$1,),)=0,"#N/A",((((VLOOKUP(B243,Database!$A:$AS,MATCH($H$1,Database!$A$1:$AS$1,),))))-(((VLOOKUP(EDATE(B243,-12),Database!$A:$AS,MATCH($H$1,Database!$A$1:$AS$1,),)))))/(((VLOOKUP(EDATE(B243,-12),Database!$A:$AS,MATCH($H$1,Database!$A$1:$AS$1,),)))))</f>
        <v/>
      </c>
      <c r="I243" s="13">
        <f>IF(VLOOKUP(B243,Database!$A:$AV,MATCH($I$1,Database!$A$1:$AV$1,),)=0,"#N/A",((((VLOOKUP(B243,Database!$A:$AS,MATCH($I$1,Database!$A$1:$AS$1,),))))-(((VLOOKUP(EDATE(B243,-12),Database!$A:$AS,MATCH($I$1,Database!$A$1:$AS$1,),)))))/(((VLOOKUP(EDATE(B243,-12),Database!$A:$AS,MATCH($I$1,Database!$A$1:$AS$1,),)))))</f>
        <v/>
      </c>
      <c r="J243" s="13">
        <f>IF(VLOOKUP(B243,Database!$A:$AV,MATCH($J$1,Database!$A$1:$AV$1,),)=0,"#N/A",((((VLOOKUP(B243,Database!$A:$AS,MATCH($J$1,Database!$A$1:$AS$1,),))))-(((VLOOKUP(EDATE(B243,-12),Database!$A:$AS,MATCH($J$1,Database!$A$1:$AS$1,),)))))/(((VLOOKUP(EDATE(B243,-12),Database!$A:$AS,MATCH($J$1,Database!$A$1:$AS$1,),)))))</f>
        <v/>
      </c>
      <c r="K243" s="13">
        <f>IF(VLOOKUP(B243,Database!$A:$AV,MATCH($K$1,Database!$A$1:$AV$1,),)=0,"#N/A",((((VLOOKUP(B243,Database!$A:$AS,MATCH($K$1,Database!$A$1:$AS$1,),))))-(((VLOOKUP(EDATE(B243,-12),Database!$A:$AS,MATCH($K$1,Database!$A$1:$AS$1,),)))))/(((VLOOKUP(EDATE(B243,-12),Database!$A:$AS,MATCH($K$1,Database!$A$1:$AS$1,),)))))</f>
        <v/>
      </c>
      <c r="L243" s="13">
        <f>((((VLOOKUP(B243,Database!$A:$AS,MATCH($L$1,Database!$A$1:$AS$1,),))))-(((VLOOKUP(EDATE(B243,-12),Database!$A:$AS,MATCH($L$1,Database!$A$1:$AS$1,),)))))/(((VLOOKUP(EDATE(B243,-12),Database!$A:$AS,MATCH($L$1,Database!$A$1:$AS$1,),))))</f>
        <v/>
      </c>
      <c r="M243" s="13">
        <f>((((VLOOKUP(B243,Database!$A:$AS,MATCH($M$1,Database!$A$1:$AS$1,),))))-(((VLOOKUP(EDATE(B243,-12),Database!$A:$AS,MATCH($M$1,Database!$A$1:$AS$1,),)))))/(((VLOOKUP(EDATE(B243,-12),Database!$A:$AS,MATCH($M$1,Database!$A$1:$AS$1,),))))</f>
        <v/>
      </c>
      <c r="N243" s="13">
        <f>((((VLOOKUP(B243,Database!$A:$AS,MATCH($N$1,Database!$A$1:$AS$1,),))))-(((VLOOKUP(EDATE(B243,-12),Database!$A:$AS,MATCH($N$1,Database!$A$1:$AS$1,),)))))/(((VLOOKUP(EDATE(B243,-12),Database!$A:$AS,MATCH($N$1,Database!$A$1:$AS$1,),))))</f>
        <v/>
      </c>
      <c r="O243" s="13">
        <f>IF(VLOOKUP(B243,Database!$A:$AV,MATCH($O$1,Database!$A$1:$AV$1,),)=0,"#N/A",((((VLOOKUP(B243,Database!$A:$AS,MATCH($O$1,Database!$A$1:$AS$1,),))))-(((VLOOKUP(EDATE(B243,-12),Database!$A:$AS,MATCH($O$1,Database!$A$1:$AS$1,),)))))/(((VLOOKUP(EDATE(B243,-12),Database!$A:$AS,MATCH($O$1,Database!$A$1:$AS$1,),)))))</f>
        <v/>
      </c>
      <c r="P243" s="13">
        <f>IF(VLOOKUP(B243,Database!$A:$AV,MATCH($P$1,Database!$A$1:$AV$1,),)=0,"#N/A",((((VLOOKUP(B243,Database!$A:$AS,MATCH($P$1,Database!$A$1:$AS$1,),))))-(((VLOOKUP(EDATE(B243,-12),Database!$A:$AS,MATCH($P$1,Database!$A$1:$AS$1,),)))))/(((VLOOKUP(EDATE(B243,-12),Database!$A:$AS,MATCH($P$1,Database!$A$1:$AS$1,),)))))</f>
        <v/>
      </c>
      <c r="Q243" s="13">
        <f>IF(VLOOKUP(B243,Database!$A:$AV,MATCH($Q$1,Database!$A$1:$AV$1,),)=0,"#N/A",((((VLOOKUP(B243,Database!$A:$AS,MATCH($Q$1,Database!$A$1:$AS$1,),))))-(((VLOOKUP(EDATE(B243,-12),Database!$A:$AS,MATCH($Q$1,Database!$A$1:$AS$1,),)))))/(((VLOOKUP(EDATE(B243,-12),Database!$A:$AS,MATCH($Q$1,Database!$A$1:$AS$1,),)))))</f>
        <v/>
      </c>
      <c r="R243" s="13">
        <f>IF(VLOOKUP(B243,Database!$A:$AV,MATCH($R$1,Database!$A$1:$AV$1,),)=0,"#N/A",((((VLOOKUP(B243,Database!$A:$AS,MATCH($R$1,Database!$A$1:$AS$1,),))))-(((VLOOKUP(EDATE(B243,-12),Database!$A:$AS,MATCH($R$1,Database!$A$1:$AS$1,),)))))/(((VLOOKUP(EDATE(B243,-12),Database!$A:$AS,MATCH($R$1,Database!$A$1:$AS$1,),)))))</f>
        <v/>
      </c>
      <c r="S243" s="13">
        <f>IF(VLOOKUP(B243,Database!$A:$AV,MATCH($S$1,Database!$A$1:$AV$1,),)=0,"#N/A",((((VLOOKUP(B243,Database!$A:$AS,MATCH($S$1,Database!$A$1:$AS$1,),))))-(((VLOOKUP(EDATE(B243,-12),Database!$A:$AS,MATCH($S$1,Database!$A$1:$AS$1,),)))))/(((VLOOKUP(EDATE(B243,-12),Database!$A:$AS,MATCH($S$1,Database!$A$1:$AS$1,),)))))</f>
        <v/>
      </c>
      <c r="T243" s="13">
        <f>IF(VLOOKUP(B243,Database!$A:$AV,MATCH($T$1,Database!$A$1:$AV$1,),)=0,"#N/A",((((VLOOKUP(B243,Database!$A:$AS,MATCH($T$1,Database!$A$1:$AS$1,),))))-(((VLOOKUP(EDATE(B243,-12),Database!$A:$AS,MATCH($T$1,Database!$A$1:$AS$1,),)))))/(((VLOOKUP(EDATE(B243,-12),Database!$A:$AS,MATCH($T$1,Database!$A$1:$AS$1,),)))))</f>
        <v/>
      </c>
      <c r="U243" s="13">
        <f>IF(VLOOKUP(B243,Database!$A:$AV,MATCH($U$1,Database!$A$1:$AV$1,),)=0,"#N/A",((((VLOOKUP(B243,Database!$A:$AS,MATCH($U$1,Database!$A$1:$AS$1,),))))-(((VLOOKUP(EDATE(B243,-12),Database!$A:$AS,MATCH($U$1,Database!$A$1:$AS$1,),)))))/(((VLOOKUP(EDATE(B243,-12),Database!$A:$AS,MATCH($U$1,Database!$A$1:$AS$1,),)))))</f>
        <v/>
      </c>
      <c r="V243" s="13">
        <f>IF(VLOOKUP(B243,Database!$A:$AV,MATCH($V$1,Database!$A$1:$AV$1,),)=0,"#N/A",((((VLOOKUP(B243,Database!$A:$AS,MATCH($V$1,Database!$A$1:$AS$1,),))))-(((VLOOKUP(EDATE(B243,-12),Database!$A:$AS,MATCH($V$1,Database!$A$1:$AS$1,),)))))/(((VLOOKUP(EDATE(B243,-12),Database!$A:$AS,MATCH($V$1,Database!$A$1:$AS$1,),)))))</f>
        <v/>
      </c>
    </row>
    <row r="244" customFormat="1" s="86">
      <c r="A244" s="43" t="n"/>
      <c r="B244" s="75" t="n">
        <v>39569</v>
      </c>
      <c r="C244" s="13">
        <f>IF(VLOOKUP(B244,Database!$A:$AU,MATCH($C$1,Database!$A$1:$AU$1,),)=0,"#N/A",((((VLOOKUP(B244,Database!$A:$AU,MATCH($C$1,Database!$A$1:$AU$1,),))))-(((VLOOKUP(EDATE(B244,-12),Database!$A:$AU,MATCH($C$1,Database!$A$1:$AU$1,),)))))/(((VLOOKUP(EDATE(B244,-12),Database!$A:$AU,MATCH($C$1,Database!$A$1:$AU$1,),)))))</f>
        <v/>
      </c>
      <c r="D244" s="13">
        <f>IF(VLOOKUP(B244,Database!$A:$AV,MATCH($D$1,Database!$A$1:$AV$1,),)=0,"#N/A",((((VLOOKUP(B244,Database!$A:$AS,MATCH($D$1,Database!$A$1:$AS$1,),))))-(((VLOOKUP(EDATE(B244,-12),Database!$A:$AS,MATCH($D$1,Database!$A$1:$AS$1,),)))))/(((VLOOKUP(EDATE(B244,-12),Database!$A:$AS,MATCH($D$1,Database!$A$1:$AS$1,),)))))</f>
        <v/>
      </c>
      <c r="E244" s="13">
        <f>IF(VLOOKUP(B244,Database!$A:$AV,MATCH($E$1,Database!$A$1:$AV$1,),)=0,"#N/A",((((VLOOKUP(B244,Database!$A:$AS,MATCH($E$1,Database!$A$1:$AS$1,),))))-(((VLOOKUP(EDATE(B244,-12),Database!$A:$AS,MATCH($E$1,Database!$A$1:$AS$1,),)))))/(((VLOOKUP(EDATE(B244,-12),Database!$A:$AS,MATCH($E$1,Database!$A$1:$AS$1,),)))))</f>
        <v/>
      </c>
      <c r="F244" s="13">
        <f>IF(VLOOKUP(B244,Database!$A:$AV,MATCH($F$1,Database!$A$1:$AV$1,),)=0,"#N/A",((((VLOOKUP(B244,Database!$A:$AS,MATCH($F$1,Database!$A$1:$AS$1,),))))-(((VLOOKUP(EDATE(B244,-12),Database!$A:$AS,MATCH($F$1,Database!$A$1:$AS$1,),)))))/(((VLOOKUP(EDATE(B244,-12),Database!$A:$AS,MATCH($F$1,Database!$A$1:$AS$1,),)))))</f>
        <v/>
      </c>
      <c r="G244" s="13">
        <f>IF(VLOOKUP(B244,Database!$A:$AV,MATCH($G$1,Database!$A$1:$AV$1,),)=0,"#N/A",((((VLOOKUP(B244,Database!$A:$AS,MATCH($G$1,Database!$A$1:$AS$1,),))))-(((VLOOKUP(EDATE(B244,-12),Database!$A:$AS,MATCH($G$1,Database!$A$1:$AS$1,),)))))/(((VLOOKUP(EDATE(B244,-12),Database!$A:$AS,MATCH($G$1,Database!$A$1:$AS$1,),)))))</f>
        <v/>
      </c>
      <c r="H244" s="13">
        <f>IF(VLOOKUP(B244,Database!$A:$AV,MATCH($H$1,Database!$A$1:$AV$1,),)=0,"#N/A",((((VLOOKUP(B244,Database!$A:$AS,MATCH($H$1,Database!$A$1:$AS$1,),))))-(((VLOOKUP(EDATE(B244,-12),Database!$A:$AS,MATCH($H$1,Database!$A$1:$AS$1,),)))))/(((VLOOKUP(EDATE(B244,-12),Database!$A:$AS,MATCH($H$1,Database!$A$1:$AS$1,),)))))</f>
        <v/>
      </c>
      <c r="I244" s="13">
        <f>IF(VLOOKUP(B244,Database!$A:$AV,MATCH($I$1,Database!$A$1:$AV$1,),)=0,"#N/A",((((VLOOKUP(B244,Database!$A:$AS,MATCH($I$1,Database!$A$1:$AS$1,),))))-(((VLOOKUP(EDATE(B244,-12),Database!$A:$AS,MATCH($I$1,Database!$A$1:$AS$1,),)))))/(((VLOOKUP(EDATE(B244,-12),Database!$A:$AS,MATCH($I$1,Database!$A$1:$AS$1,),)))))</f>
        <v/>
      </c>
      <c r="J244" s="13">
        <f>IF(VLOOKUP(B244,Database!$A:$AV,MATCH($J$1,Database!$A$1:$AV$1,),)=0,"#N/A",((((VLOOKUP(B244,Database!$A:$AS,MATCH($J$1,Database!$A$1:$AS$1,),))))-(((VLOOKUP(EDATE(B244,-12),Database!$A:$AS,MATCH($J$1,Database!$A$1:$AS$1,),)))))/(((VLOOKUP(EDATE(B244,-12),Database!$A:$AS,MATCH($J$1,Database!$A$1:$AS$1,),)))))</f>
        <v/>
      </c>
      <c r="K244" s="13">
        <f>IF(VLOOKUP(B244,Database!$A:$AV,MATCH($K$1,Database!$A$1:$AV$1,),)=0,"#N/A",((((VLOOKUP(B244,Database!$A:$AS,MATCH($K$1,Database!$A$1:$AS$1,),))))-(((VLOOKUP(EDATE(B244,-12),Database!$A:$AS,MATCH($K$1,Database!$A$1:$AS$1,),)))))/(((VLOOKUP(EDATE(B244,-12),Database!$A:$AS,MATCH($K$1,Database!$A$1:$AS$1,),)))))</f>
        <v/>
      </c>
      <c r="L244" s="13">
        <f>((((VLOOKUP(B244,Database!$A:$AS,MATCH($L$1,Database!$A$1:$AS$1,),))))-(((VLOOKUP(EDATE(B244,-12),Database!$A:$AS,MATCH($L$1,Database!$A$1:$AS$1,),)))))/(((VLOOKUP(EDATE(B244,-12),Database!$A:$AS,MATCH($L$1,Database!$A$1:$AS$1,),))))</f>
        <v/>
      </c>
      <c r="M244" s="13">
        <f>((((VLOOKUP(B244,Database!$A:$AS,MATCH($M$1,Database!$A$1:$AS$1,),))))-(((VLOOKUP(EDATE(B244,-12),Database!$A:$AS,MATCH($M$1,Database!$A$1:$AS$1,),)))))/(((VLOOKUP(EDATE(B244,-12),Database!$A:$AS,MATCH($M$1,Database!$A$1:$AS$1,),))))</f>
        <v/>
      </c>
      <c r="N244" s="13">
        <f>((((VLOOKUP(B244,Database!$A:$AS,MATCH($N$1,Database!$A$1:$AS$1,),))))-(((VLOOKUP(EDATE(B244,-12),Database!$A:$AS,MATCH($N$1,Database!$A$1:$AS$1,),)))))/(((VLOOKUP(EDATE(B244,-12),Database!$A:$AS,MATCH($N$1,Database!$A$1:$AS$1,),))))</f>
        <v/>
      </c>
      <c r="O244" s="13">
        <f>IF(VLOOKUP(B244,Database!$A:$AV,MATCH($O$1,Database!$A$1:$AV$1,),)=0,"#N/A",((((VLOOKUP(B244,Database!$A:$AS,MATCH($O$1,Database!$A$1:$AS$1,),))))-(((VLOOKUP(EDATE(B244,-12),Database!$A:$AS,MATCH($O$1,Database!$A$1:$AS$1,),)))))/(((VLOOKUP(EDATE(B244,-12),Database!$A:$AS,MATCH($O$1,Database!$A$1:$AS$1,),)))))</f>
        <v/>
      </c>
      <c r="P244" s="13">
        <f>IF(VLOOKUP(B244,Database!$A:$AV,MATCH($P$1,Database!$A$1:$AV$1,),)=0,"#N/A",((((VLOOKUP(B244,Database!$A:$AS,MATCH($P$1,Database!$A$1:$AS$1,),))))-(((VLOOKUP(EDATE(B244,-12),Database!$A:$AS,MATCH($P$1,Database!$A$1:$AS$1,),)))))/(((VLOOKUP(EDATE(B244,-12),Database!$A:$AS,MATCH($P$1,Database!$A$1:$AS$1,),)))))</f>
        <v/>
      </c>
      <c r="Q244" s="13">
        <f>IF(VLOOKUP(B244,Database!$A:$AV,MATCH($Q$1,Database!$A$1:$AV$1,),)=0,"#N/A",((((VLOOKUP(B244,Database!$A:$AS,MATCH($Q$1,Database!$A$1:$AS$1,),))))-(((VLOOKUP(EDATE(B244,-12),Database!$A:$AS,MATCH($Q$1,Database!$A$1:$AS$1,),)))))/(((VLOOKUP(EDATE(B244,-12),Database!$A:$AS,MATCH($Q$1,Database!$A$1:$AS$1,),)))))</f>
        <v/>
      </c>
      <c r="R244" s="13">
        <f>IF(VLOOKUP(B244,Database!$A:$AV,MATCH($R$1,Database!$A$1:$AV$1,),)=0,"#N/A",((((VLOOKUP(B244,Database!$A:$AS,MATCH($R$1,Database!$A$1:$AS$1,),))))-(((VLOOKUP(EDATE(B244,-12),Database!$A:$AS,MATCH($R$1,Database!$A$1:$AS$1,),)))))/(((VLOOKUP(EDATE(B244,-12),Database!$A:$AS,MATCH($R$1,Database!$A$1:$AS$1,),)))))</f>
        <v/>
      </c>
      <c r="S244" s="13">
        <f>IF(VLOOKUP(B244,Database!$A:$AV,MATCH($S$1,Database!$A$1:$AV$1,),)=0,"#N/A",((((VLOOKUP(B244,Database!$A:$AS,MATCH($S$1,Database!$A$1:$AS$1,),))))-(((VLOOKUP(EDATE(B244,-12),Database!$A:$AS,MATCH($S$1,Database!$A$1:$AS$1,),)))))/(((VLOOKUP(EDATE(B244,-12),Database!$A:$AS,MATCH($S$1,Database!$A$1:$AS$1,),)))))</f>
        <v/>
      </c>
      <c r="T244" s="13">
        <f>IF(VLOOKUP(B244,Database!$A:$AV,MATCH($T$1,Database!$A$1:$AV$1,),)=0,"#N/A",((((VLOOKUP(B244,Database!$A:$AS,MATCH($T$1,Database!$A$1:$AS$1,),))))-(((VLOOKUP(EDATE(B244,-12),Database!$A:$AS,MATCH($T$1,Database!$A$1:$AS$1,),)))))/(((VLOOKUP(EDATE(B244,-12),Database!$A:$AS,MATCH($T$1,Database!$A$1:$AS$1,),)))))</f>
        <v/>
      </c>
      <c r="U244" s="13">
        <f>IF(VLOOKUP(B244,Database!$A:$AV,MATCH($U$1,Database!$A$1:$AV$1,),)=0,"#N/A",((((VLOOKUP(B244,Database!$A:$AS,MATCH($U$1,Database!$A$1:$AS$1,),))))-(((VLOOKUP(EDATE(B244,-12),Database!$A:$AS,MATCH($U$1,Database!$A$1:$AS$1,),)))))/(((VLOOKUP(EDATE(B244,-12),Database!$A:$AS,MATCH($U$1,Database!$A$1:$AS$1,),)))))</f>
        <v/>
      </c>
      <c r="V244" s="13">
        <f>IF(VLOOKUP(B244,Database!$A:$AV,MATCH($V$1,Database!$A$1:$AV$1,),)=0,"#N/A",((((VLOOKUP(B244,Database!$A:$AS,MATCH($V$1,Database!$A$1:$AS$1,),))))-(((VLOOKUP(EDATE(B244,-12),Database!$A:$AS,MATCH($V$1,Database!$A$1:$AS$1,),)))))/(((VLOOKUP(EDATE(B244,-12),Database!$A:$AS,MATCH($V$1,Database!$A$1:$AS$1,),)))))</f>
        <v/>
      </c>
    </row>
    <row r="245" customFormat="1" s="86">
      <c r="A245" s="43" t="n"/>
      <c r="B245" s="75" t="n">
        <v>39600</v>
      </c>
      <c r="C245" s="13">
        <f>IF(VLOOKUP(B245,Database!$A:$AU,MATCH($C$1,Database!$A$1:$AU$1,),)=0,"#N/A",((((VLOOKUP(B245,Database!$A:$AU,MATCH($C$1,Database!$A$1:$AU$1,),))))-(((VLOOKUP(EDATE(B245,-12),Database!$A:$AU,MATCH($C$1,Database!$A$1:$AU$1,),)))))/(((VLOOKUP(EDATE(B245,-12),Database!$A:$AU,MATCH($C$1,Database!$A$1:$AU$1,),)))))</f>
        <v/>
      </c>
      <c r="D245" s="13">
        <f>IF(VLOOKUP(B245,Database!$A:$AV,MATCH($D$1,Database!$A$1:$AV$1,),)=0,"#N/A",((((VLOOKUP(B245,Database!$A:$AS,MATCH($D$1,Database!$A$1:$AS$1,),))))-(((VLOOKUP(EDATE(B245,-12),Database!$A:$AS,MATCH($D$1,Database!$A$1:$AS$1,),)))))/(((VLOOKUP(EDATE(B245,-12),Database!$A:$AS,MATCH($D$1,Database!$A$1:$AS$1,),)))))</f>
        <v/>
      </c>
      <c r="E245" s="13">
        <f>IF(VLOOKUP(B245,Database!$A:$AV,MATCH($E$1,Database!$A$1:$AV$1,),)=0,"#N/A",((((VLOOKUP(B245,Database!$A:$AS,MATCH($E$1,Database!$A$1:$AS$1,),))))-(((VLOOKUP(EDATE(B245,-12),Database!$A:$AS,MATCH($E$1,Database!$A$1:$AS$1,),)))))/(((VLOOKUP(EDATE(B245,-12),Database!$A:$AS,MATCH($E$1,Database!$A$1:$AS$1,),)))))</f>
        <v/>
      </c>
      <c r="F245" s="13">
        <f>IF(VLOOKUP(B245,Database!$A:$AV,MATCH($F$1,Database!$A$1:$AV$1,),)=0,"#N/A",((((VLOOKUP(B245,Database!$A:$AS,MATCH($F$1,Database!$A$1:$AS$1,),))))-(((VLOOKUP(EDATE(B245,-12),Database!$A:$AS,MATCH($F$1,Database!$A$1:$AS$1,),)))))/(((VLOOKUP(EDATE(B245,-12),Database!$A:$AS,MATCH($F$1,Database!$A$1:$AS$1,),)))))</f>
        <v/>
      </c>
      <c r="G245" s="13">
        <f>IF(VLOOKUP(B245,Database!$A:$AV,MATCH($G$1,Database!$A$1:$AV$1,),)=0,"#N/A",((((VLOOKUP(B245,Database!$A:$AS,MATCH($G$1,Database!$A$1:$AS$1,),))))-(((VLOOKUP(EDATE(B245,-12),Database!$A:$AS,MATCH($G$1,Database!$A$1:$AS$1,),)))))/(((VLOOKUP(EDATE(B245,-12),Database!$A:$AS,MATCH($G$1,Database!$A$1:$AS$1,),)))))</f>
        <v/>
      </c>
      <c r="H245" s="13">
        <f>IF(VLOOKUP(B245,Database!$A:$AV,MATCH($H$1,Database!$A$1:$AV$1,),)=0,"#N/A",((((VLOOKUP(B245,Database!$A:$AS,MATCH($H$1,Database!$A$1:$AS$1,),))))-(((VLOOKUP(EDATE(B245,-12),Database!$A:$AS,MATCH($H$1,Database!$A$1:$AS$1,),)))))/(((VLOOKUP(EDATE(B245,-12),Database!$A:$AS,MATCH($H$1,Database!$A$1:$AS$1,),)))))</f>
        <v/>
      </c>
      <c r="I245" s="13">
        <f>IF(VLOOKUP(B245,Database!$A:$AV,MATCH($I$1,Database!$A$1:$AV$1,),)=0,"#N/A",((((VLOOKUP(B245,Database!$A:$AS,MATCH($I$1,Database!$A$1:$AS$1,),))))-(((VLOOKUP(EDATE(B245,-12),Database!$A:$AS,MATCH($I$1,Database!$A$1:$AS$1,),)))))/(((VLOOKUP(EDATE(B245,-12),Database!$A:$AS,MATCH($I$1,Database!$A$1:$AS$1,),)))))</f>
        <v/>
      </c>
      <c r="J245" s="13">
        <f>IF(VLOOKUP(B245,Database!$A:$AV,MATCH($J$1,Database!$A$1:$AV$1,),)=0,"#N/A",((((VLOOKUP(B245,Database!$A:$AS,MATCH($J$1,Database!$A$1:$AS$1,),))))-(((VLOOKUP(EDATE(B245,-12),Database!$A:$AS,MATCH($J$1,Database!$A$1:$AS$1,),)))))/(((VLOOKUP(EDATE(B245,-12),Database!$A:$AS,MATCH($J$1,Database!$A$1:$AS$1,),)))))</f>
        <v/>
      </c>
      <c r="K245" s="13">
        <f>IF(VLOOKUP(B245,Database!$A:$AV,MATCH($K$1,Database!$A$1:$AV$1,),)=0,"#N/A",((((VLOOKUP(B245,Database!$A:$AS,MATCH($K$1,Database!$A$1:$AS$1,),))))-(((VLOOKUP(EDATE(B245,-12),Database!$A:$AS,MATCH($K$1,Database!$A$1:$AS$1,),)))))/(((VLOOKUP(EDATE(B245,-12),Database!$A:$AS,MATCH($K$1,Database!$A$1:$AS$1,),)))))</f>
        <v/>
      </c>
      <c r="L245" s="13">
        <f>((((VLOOKUP(B245,Database!$A:$AS,MATCH($L$1,Database!$A$1:$AS$1,),))))-(((VLOOKUP(EDATE(B245,-12),Database!$A:$AS,MATCH($L$1,Database!$A$1:$AS$1,),)))))/(((VLOOKUP(EDATE(B245,-12),Database!$A:$AS,MATCH($L$1,Database!$A$1:$AS$1,),))))</f>
        <v/>
      </c>
      <c r="M245" s="13">
        <f>((((VLOOKUP(B245,Database!$A:$AS,MATCH($M$1,Database!$A$1:$AS$1,),))))-(((VLOOKUP(EDATE(B245,-12),Database!$A:$AS,MATCH($M$1,Database!$A$1:$AS$1,),)))))/(((VLOOKUP(EDATE(B245,-12),Database!$A:$AS,MATCH($M$1,Database!$A$1:$AS$1,),))))</f>
        <v/>
      </c>
      <c r="N245" s="13">
        <f>((((VLOOKUP(B245,Database!$A:$AS,MATCH($N$1,Database!$A$1:$AS$1,),))))-(((VLOOKUP(EDATE(B245,-12),Database!$A:$AS,MATCH($N$1,Database!$A$1:$AS$1,),)))))/(((VLOOKUP(EDATE(B245,-12),Database!$A:$AS,MATCH($N$1,Database!$A$1:$AS$1,),))))</f>
        <v/>
      </c>
      <c r="O245" s="13">
        <f>IF(VLOOKUP(B245,Database!$A:$AV,MATCH($O$1,Database!$A$1:$AV$1,),)=0,"#N/A",((((VLOOKUP(B245,Database!$A:$AS,MATCH($O$1,Database!$A$1:$AS$1,),))))-(((VLOOKUP(EDATE(B245,-12),Database!$A:$AS,MATCH($O$1,Database!$A$1:$AS$1,),)))))/(((VLOOKUP(EDATE(B245,-12),Database!$A:$AS,MATCH($O$1,Database!$A$1:$AS$1,),)))))</f>
        <v/>
      </c>
      <c r="P245" s="13">
        <f>IF(VLOOKUP(B245,Database!$A:$AV,MATCH($P$1,Database!$A$1:$AV$1,),)=0,"#N/A",((((VLOOKUP(B245,Database!$A:$AS,MATCH($P$1,Database!$A$1:$AS$1,),))))-(((VLOOKUP(EDATE(B245,-12),Database!$A:$AS,MATCH($P$1,Database!$A$1:$AS$1,),)))))/(((VLOOKUP(EDATE(B245,-12),Database!$A:$AS,MATCH($P$1,Database!$A$1:$AS$1,),)))))</f>
        <v/>
      </c>
      <c r="Q245" s="13">
        <f>IF(VLOOKUP(B245,Database!$A:$AV,MATCH($Q$1,Database!$A$1:$AV$1,),)=0,"#N/A",((((VLOOKUP(B245,Database!$A:$AS,MATCH($Q$1,Database!$A$1:$AS$1,),))))-(((VLOOKUP(EDATE(B245,-12),Database!$A:$AS,MATCH($Q$1,Database!$A$1:$AS$1,),)))))/(((VLOOKUP(EDATE(B245,-12),Database!$A:$AS,MATCH($Q$1,Database!$A$1:$AS$1,),)))))</f>
        <v/>
      </c>
      <c r="R245" s="13">
        <f>IF(VLOOKUP(B245,Database!$A:$AV,MATCH($R$1,Database!$A$1:$AV$1,),)=0,"#N/A",((((VLOOKUP(B245,Database!$A:$AS,MATCH($R$1,Database!$A$1:$AS$1,),))))-(((VLOOKUP(EDATE(B245,-12),Database!$A:$AS,MATCH($R$1,Database!$A$1:$AS$1,),)))))/(((VLOOKUP(EDATE(B245,-12),Database!$A:$AS,MATCH($R$1,Database!$A$1:$AS$1,),)))))</f>
        <v/>
      </c>
      <c r="S245" s="13">
        <f>IF(VLOOKUP(B245,Database!$A:$AV,MATCH($S$1,Database!$A$1:$AV$1,),)=0,"#N/A",((((VLOOKUP(B245,Database!$A:$AS,MATCH($S$1,Database!$A$1:$AS$1,),))))-(((VLOOKUP(EDATE(B245,-12),Database!$A:$AS,MATCH($S$1,Database!$A$1:$AS$1,),)))))/(((VLOOKUP(EDATE(B245,-12),Database!$A:$AS,MATCH($S$1,Database!$A$1:$AS$1,),)))))</f>
        <v/>
      </c>
      <c r="T245" s="13">
        <f>IF(VLOOKUP(B245,Database!$A:$AV,MATCH($T$1,Database!$A$1:$AV$1,),)=0,"#N/A",((((VLOOKUP(B245,Database!$A:$AS,MATCH($T$1,Database!$A$1:$AS$1,),))))-(((VLOOKUP(EDATE(B245,-12),Database!$A:$AS,MATCH($T$1,Database!$A$1:$AS$1,),)))))/(((VLOOKUP(EDATE(B245,-12),Database!$A:$AS,MATCH($T$1,Database!$A$1:$AS$1,),)))))</f>
        <v/>
      </c>
      <c r="U245" s="13">
        <f>IF(VLOOKUP(B245,Database!$A:$AV,MATCH($U$1,Database!$A$1:$AV$1,),)=0,"#N/A",((((VLOOKUP(B245,Database!$A:$AS,MATCH($U$1,Database!$A$1:$AS$1,),))))-(((VLOOKUP(EDATE(B245,-12),Database!$A:$AS,MATCH($U$1,Database!$A$1:$AS$1,),)))))/(((VLOOKUP(EDATE(B245,-12),Database!$A:$AS,MATCH($U$1,Database!$A$1:$AS$1,),)))))</f>
        <v/>
      </c>
      <c r="V245" s="13">
        <f>IF(VLOOKUP(B245,Database!$A:$AV,MATCH($V$1,Database!$A$1:$AV$1,),)=0,"#N/A",((((VLOOKUP(B245,Database!$A:$AS,MATCH($V$1,Database!$A$1:$AS$1,),))))-(((VLOOKUP(EDATE(B245,-12),Database!$A:$AS,MATCH($V$1,Database!$A$1:$AS$1,),)))))/(((VLOOKUP(EDATE(B245,-12),Database!$A:$AS,MATCH($V$1,Database!$A$1:$AS$1,),)))))</f>
        <v/>
      </c>
    </row>
    <row r="246" customFormat="1" s="86">
      <c r="A246" s="43" t="n"/>
      <c r="B246" s="75" t="n">
        <v>39630</v>
      </c>
      <c r="C246" s="13">
        <f>IF(VLOOKUP(B246,Database!$A:$AU,MATCH($C$1,Database!$A$1:$AU$1,),)=0,"#N/A",((((VLOOKUP(B246,Database!$A:$AU,MATCH($C$1,Database!$A$1:$AU$1,),))))-(((VLOOKUP(EDATE(B246,-12),Database!$A:$AU,MATCH($C$1,Database!$A$1:$AU$1,),)))))/(((VLOOKUP(EDATE(B246,-12),Database!$A:$AU,MATCH($C$1,Database!$A$1:$AU$1,),)))))</f>
        <v/>
      </c>
      <c r="D246" s="13">
        <f>IF(VLOOKUP(B246,Database!$A:$AV,MATCH($D$1,Database!$A$1:$AV$1,),)=0,"#N/A",((((VLOOKUP(B246,Database!$A:$AS,MATCH($D$1,Database!$A$1:$AS$1,),))))-(((VLOOKUP(EDATE(B246,-12),Database!$A:$AS,MATCH($D$1,Database!$A$1:$AS$1,),)))))/(((VLOOKUP(EDATE(B246,-12),Database!$A:$AS,MATCH($D$1,Database!$A$1:$AS$1,),)))))</f>
        <v/>
      </c>
      <c r="E246" s="13">
        <f>IF(VLOOKUP(B246,Database!$A:$AV,MATCH($E$1,Database!$A$1:$AV$1,),)=0,"#N/A",((((VLOOKUP(B246,Database!$A:$AS,MATCH($E$1,Database!$A$1:$AS$1,),))))-(((VLOOKUP(EDATE(B246,-12),Database!$A:$AS,MATCH($E$1,Database!$A$1:$AS$1,),)))))/(((VLOOKUP(EDATE(B246,-12),Database!$A:$AS,MATCH($E$1,Database!$A$1:$AS$1,),)))))</f>
        <v/>
      </c>
      <c r="F246" s="13">
        <f>IF(VLOOKUP(B246,Database!$A:$AV,MATCH($F$1,Database!$A$1:$AV$1,),)=0,"#N/A",((((VLOOKUP(B246,Database!$A:$AS,MATCH($F$1,Database!$A$1:$AS$1,),))))-(((VLOOKUP(EDATE(B246,-12),Database!$A:$AS,MATCH($F$1,Database!$A$1:$AS$1,),)))))/(((VLOOKUP(EDATE(B246,-12),Database!$A:$AS,MATCH($F$1,Database!$A$1:$AS$1,),)))))</f>
        <v/>
      </c>
      <c r="G246" s="13">
        <f>IF(VLOOKUP(B246,Database!$A:$AV,MATCH($G$1,Database!$A$1:$AV$1,),)=0,"#N/A",((((VLOOKUP(B246,Database!$A:$AS,MATCH($G$1,Database!$A$1:$AS$1,),))))-(((VLOOKUP(EDATE(B246,-12),Database!$A:$AS,MATCH($G$1,Database!$A$1:$AS$1,),)))))/(((VLOOKUP(EDATE(B246,-12),Database!$A:$AS,MATCH($G$1,Database!$A$1:$AS$1,),)))))</f>
        <v/>
      </c>
      <c r="H246" s="13">
        <f>IF(VLOOKUP(B246,Database!$A:$AV,MATCH($H$1,Database!$A$1:$AV$1,),)=0,"#N/A",((((VLOOKUP(B246,Database!$A:$AS,MATCH($H$1,Database!$A$1:$AS$1,),))))-(((VLOOKUP(EDATE(B246,-12),Database!$A:$AS,MATCH($H$1,Database!$A$1:$AS$1,),)))))/(((VLOOKUP(EDATE(B246,-12),Database!$A:$AS,MATCH($H$1,Database!$A$1:$AS$1,),)))))</f>
        <v/>
      </c>
      <c r="I246" s="13">
        <f>IF(VLOOKUP(B246,Database!$A:$AV,MATCH($I$1,Database!$A$1:$AV$1,),)=0,"#N/A",((((VLOOKUP(B246,Database!$A:$AS,MATCH($I$1,Database!$A$1:$AS$1,),))))-(((VLOOKUP(EDATE(B246,-12),Database!$A:$AS,MATCH($I$1,Database!$A$1:$AS$1,),)))))/(((VLOOKUP(EDATE(B246,-12),Database!$A:$AS,MATCH($I$1,Database!$A$1:$AS$1,),)))))</f>
        <v/>
      </c>
      <c r="J246" s="13">
        <f>IF(VLOOKUP(B246,Database!$A:$AV,MATCH($J$1,Database!$A$1:$AV$1,),)=0,"#N/A",((((VLOOKUP(B246,Database!$A:$AS,MATCH($J$1,Database!$A$1:$AS$1,),))))-(((VLOOKUP(EDATE(B246,-12),Database!$A:$AS,MATCH($J$1,Database!$A$1:$AS$1,),)))))/(((VLOOKUP(EDATE(B246,-12),Database!$A:$AS,MATCH($J$1,Database!$A$1:$AS$1,),)))))</f>
        <v/>
      </c>
      <c r="K246" s="13">
        <f>IF(VLOOKUP(B246,Database!$A:$AV,MATCH($K$1,Database!$A$1:$AV$1,),)=0,"#N/A",((((VLOOKUP(B246,Database!$A:$AS,MATCH($K$1,Database!$A$1:$AS$1,),))))-(((VLOOKUP(EDATE(B246,-12),Database!$A:$AS,MATCH($K$1,Database!$A$1:$AS$1,),)))))/(((VLOOKUP(EDATE(B246,-12),Database!$A:$AS,MATCH($K$1,Database!$A$1:$AS$1,),)))))</f>
        <v/>
      </c>
      <c r="L246" s="13">
        <f>((((VLOOKUP(B246,Database!$A:$AS,MATCH($L$1,Database!$A$1:$AS$1,),))))-(((VLOOKUP(EDATE(B246,-12),Database!$A:$AS,MATCH($L$1,Database!$A$1:$AS$1,),)))))/(((VLOOKUP(EDATE(B246,-12),Database!$A:$AS,MATCH($L$1,Database!$A$1:$AS$1,),))))</f>
        <v/>
      </c>
      <c r="M246" s="13">
        <f>((((VLOOKUP(B246,Database!$A:$AS,MATCH($M$1,Database!$A$1:$AS$1,),))))-(((VLOOKUP(EDATE(B246,-12),Database!$A:$AS,MATCH($M$1,Database!$A$1:$AS$1,),)))))/(((VLOOKUP(EDATE(B246,-12),Database!$A:$AS,MATCH($M$1,Database!$A$1:$AS$1,),))))</f>
        <v/>
      </c>
      <c r="N246" s="13">
        <f>((((VLOOKUP(B246,Database!$A:$AS,MATCH($N$1,Database!$A$1:$AS$1,),))))-(((VLOOKUP(EDATE(B246,-12),Database!$A:$AS,MATCH($N$1,Database!$A$1:$AS$1,),)))))/(((VLOOKUP(EDATE(B246,-12),Database!$A:$AS,MATCH($N$1,Database!$A$1:$AS$1,),))))</f>
        <v/>
      </c>
      <c r="O246" s="13">
        <f>IF(VLOOKUP(B246,Database!$A:$AV,MATCH($O$1,Database!$A$1:$AV$1,),)=0,"#N/A",((((VLOOKUP(B246,Database!$A:$AS,MATCH($O$1,Database!$A$1:$AS$1,),))))-(((VLOOKUP(EDATE(B246,-12),Database!$A:$AS,MATCH($O$1,Database!$A$1:$AS$1,),)))))/(((VLOOKUP(EDATE(B246,-12),Database!$A:$AS,MATCH($O$1,Database!$A$1:$AS$1,),)))))</f>
        <v/>
      </c>
      <c r="P246" s="13">
        <f>IF(VLOOKUP(B246,Database!$A:$AV,MATCH($P$1,Database!$A$1:$AV$1,),)=0,"#N/A",((((VLOOKUP(B246,Database!$A:$AS,MATCH($P$1,Database!$A$1:$AS$1,),))))-(((VLOOKUP(EDATE(B246,-12),Database!$A:$AS,MATCH($P$1,Database!$A$1:$AS$1,),)))))/(((VLOOKUP(EDATE(B246,-12),Database!$A:$AS,MATCH($P$1,Database!$A$1:$AS$1,),)))))</f>
        <v/>
      </c>
      <c r="Q246" s="13">
        <f>IF(VLOOKUP(B246,Database!$A:$AV,MATCH($Q$1,Database!$A$1:$AV$1,),)=0,"#N/A",((((VLOOKUP(B246,Database!$A:$AS,MATCH($Q$1,Database!$A$1:$AS$1,),))))-(((VLOOKUP(EDATE(B246,-12),Database!$A:$AS,MATCH($Q$1,Database!$A$1:$AS$1,),)))))/(((VLOOKUP(EDATE(B246,-12),Database!$A:$AS,MATCH($Q$1,Database!$A$1:$AS$1,),)))))</f>
        <v/>
      </c>
      <c r="R246" s="13">
        <f>IF(VLOOKUP(B246,Database!$A:$AV,MATCH($R$1,Database!$A$1:$AV$1,),)=0,"#N/A",((((VLOOKUP(B246,Database!$A:$AS,MATCH($R$1,Database!$A$1:$AS$1,),))))-(((VLOOKUP(EDATE(B246,-12),Database!$A:$AS,MATCH($R$1,Database!$A$1:$AS$1,),)))))/(((VLOOKUP(EDATE(B246,-12),Database!$A:$AS,MATCH($R$1,Database!$A$1:$AS$1,),)))))</f>
        <v/>
      </c>
      <c r="S246" s="13">
        <f>IF(VLOOKUP(B246,Database!$A:$AV,MATCH($S$1,Database!$A$1:$AV$1,),)=0,"#N/A",((((VLOOKUP(B246,Database!$A:$AS,MATCH($S$1,Database!$A$1:$AS$1,),))))-(((VLOOKUP(EDATE(B246,-12),Database!$A:$AS,MATCH($S$1,Database!$A$1:$AS$1,),)))))/(((VLOOKUP(EDATE(B246,-12),Database!$A:$AS,MATCH($S$1,Database!$A$1:$AS$1,),)))))</f>
        <v/>
      </c>
      <c r="T246" s="13">
        <f>IF(VLOOKUP(B246,Database!$A:$AV,MATCH($T$1,Database!$A$1:$AV$1,),)=0,"#N/A",((((VLOOKUP(B246,Database!$A:$AS,MATCH($T$1,Database!$A$1:$AS$1,),))))-(((VLOOKUP(EDATE(B246,-12),Database!$A:$AS,MATCH($T$1,Database!$A$1:$AS$1,),)))))/(((VLOOKUP(EDATE(B246,-12),Database!$A:$AS,MATCH($T$1,Database!$A$1:$AS$1,),)))))</f>
        <v/>
      </c>
      <c r="U246" s="13">
        <f>IF(VLOOKUP(B246,Database!$A:$AV,MATCH($U$1,Database!$A$1:$AV$1,),)=0,"#N/A",((((VLOOKUP(B246,Database!$A:$AS,MATCH($U$1,Database!$A$1:$AS$1,),))))-(((VLOOKUP(EDATE(B246,-12),Database!$A:$AS,MATCH($U$1,Database!$A$1:$AS$1,),)))))/(((VLOOKUP(EDATE(B246,-12),Database!$A:$AS,MATCH($U$1,Database!$A$1:$AS$1,),)))))</f>
        <v/>
      </c>
      <c r="V246" s="13">
        <f>IF(VLOOKUP(B246,Database!$A:$AV,MATCH($V$1,Database!$A$1:$AV$1,),)=0,"#N/A",((((VLOOKUP(B246,Database!$A:$AS,MATCH($V$1,Database!$A$1:$AS$1,),))))-(((VLOOKUP(EDATE(B246,-12),Database!$A:$AS,MATCH($V$1,Database!$A$1:$AS$1,),)))))/(((VLOOKUP(EDATE(B246,-12),Database!$A:$AS,MATCH($V$1,Database!$A$1:$AS$1,),)))))</f>
        <v/>
      </c>
    </row>
    <row r="247" customFormat="1" s="86">
      <c r="A247" s="43" t="n"/>
      <c r="B247" s="75" t="n">
        <v>39661</v>
      </c>
      <c r="C247" s="13">
        <f>IF(VLOOKUP(B247,Database!$A:$AU,MATCH($C$1,Database!$A$1:$AU$1,),)=0,"#N/A",((((VLOOKUP(B247,Database!$A:$AU,MATCH($C$1,Database!$A$1:$AU$1,),))))-(((VLOOKUP(EDATE(B247,-12),Database!$A:$AU,MATCH($C$1,Database!$A$1:$AU$1,),)))))/(((VLOOKUP(EDATE(B247,-12),Database!$A:$AU,MATCH($C$1,Database!$A$1:$AU$1,),)))))</f>
        <v/>
      </c>
      <c r="D247" s="13">
        <f>IF(VLOOKUP(B247,Database!$A:$AV,MATCH($D$1,Database!$A$1:$AV$1,),)=0,"#N/A",((((VLOOKUP(B247,Database!$A:$AS,MATCH($D$1,Database!$A$1:$AS$1,),))))-(((VLOOKUP(EDATE(B247,-12),Database!$A:$AS,MATCH($D$1,Database!$A$1:$AS$1,),)))))/(((VLOOKUP(EDATE(B247,-12),Database!$A:$AS,MATCH($D$1,Database!$A$1:$AS$1,),)))))</f>
        <v/>
      </c>
      <c r="E247" s="13">
        <f>IF(VLOOKUP(B247,Database!$A:$AV,MATCH($E$1,Database!$A$1:$AV$1,),)=0,"#N/A",((((VLOOKUP(B247,Database!$A:$AS,MATCH($E$1,Database!$A$1:$AS$1,),))))-(((VLOOKUP(EDATE(B247,-12),Database!$A:$AS,MATCH($E$1,Database!$A$1:$AS$1,),)))))/(((VLOOKUP(EDATE(B247,-12),Database!$A:$AS,MATCH($E$1,Database!$A$1:$AS$1,),)))))</f>
        <v/>
      </c>
      <c r="F247" s="13">
        <f>IF(VLOOKUP(B247,Database!$A:$AV,MATCH($F$1,Database!$A$1:$AV$1,),)=0,"#N/A",((((VLOOKUP(B247,Database!$A:$AS,MATCH($F$1,Database!$A$1:$AS$1,),))))-(((VLOOKUP(EDATE(B247,-12),Database!$A:$AS,MATCH($F$1,Database!$A$1:$AS$1,),)))))/(((VLOOKUP(EDATE(B247,-12),Database!$A:$AS,MATCH($F$1,Database!$A$1:$AS$1,),)))))</f>
        <v/>
      </c>
      <c r="G247" s="13">
        <f>IF(VLOOKUP(B247,Database!$A:$AV,MATCH($G$1,Database!$A$1:$AV$1,),)=0,"#N/A",((((VLOOKUP(B247,Database!$A:$AS,MATCH($G$1,Database!$A$1:$AS$1,),))))-(((VLOOKUP(EDATE(B247,-12),Database!$A:$AS,MATCH($G$1,Database!$A$1:$AS$1,),)))))/(((VLOOKUP(EDATE(B247,-12),Database!$A:$AS,MATCH($G$1,Database!$A$1:$AS$1,),)))))</f>
        <v/>
      </c>
      <c r="H247" s="13">
        <f>IF(VLOOKUP(B247,Database!$A:$AV,MATCH($H$1,Database!$A$1:$AV$1,),)=0,"#N/A",((((VLOOKUP(B247,Database!$A:$AS,MATCH($H$1,Database!$A$1:$AS$1,),))))-(((VLOOKUP(EDATE(B247,-12),Database!$A:$AS,MATCH($H$1,Database!$A$1:$AS$1,),)))))/(((VLOOKUP(EDATE(B247,-12),Database!$A:$AS,MATCH($H$1,Database!$A$1:$AS$1,),)))))</f>
        <v/>
      </c>
      <c r="I247" s="13">
        <f>IF(VLOOKUP(B247,Database!$A:$AV,MATCH($I$1,Database!$A$1:$AV$1,),)=0,"#N/A",((((VLOOKUP(B247,Database!$A:$AS,MATCH($I$1,Database!$A$1:$AS$1,),))))-(((VLOOKUP(EDATE(B247,-12),Database!$A:$AS,MATCH($I$1,Database!$A$1:$AS$1,),)))))/(((VLOOKUP(EDATE(B247,-12),Database!$A:$AS,MATCH($I$1,Database!$A$1:$AS$1,),)))))</f>
        <v/>
      </c>
      <c r="J247" s="13">
        <f>IF(VLOOKUP(B247,Database!$A:$AV,MATCH($J$1,Database!$A$1:$AV$1,),)=0,"#N/A",((((VLOOKUP(B247,Database!$A:$AS,MATCH($J$1,Database!$A$1:$AS$1,),))))-(((VLOOKUP(EDATE(B247,-12),Database!$A:$AS,MATCH($J$1,Database!$A$1:$AS$1,),)))))/(((VLOOKUP(EDATE(B247,-12),Database!$A:$AS,MATCH($J$1,Database!$A$1:$AS$1,),)))))</f>
        <v/>
      </c>
      <c r="K247" s="13">
        <f>IF(VLOOKUP(B247,Database!$A:$AV,MATCH($K$1,Database!$A$1:$AV$1,),)=0,"#N/A",((((VLOOKUP(B247,Database!$A:$AS,MATCH($K$1,Database!$A$1:$AS$1,),))))-(((VLOOKUP(EDATE(B247,-12),Database!$A:$AS,MATCH($K$1,Database!$A$1:$AS$1,),)))))/(((VLOOKUP(EDATE(B247,-12),Database!$A:$AS,MATCH($K$1,Database!$A$1:$AS$1,),)))))</f>
        <v/>
      </c>
      <c r="L247" s="13">
        <f>((((VLOOKUP(B247,Database!$A:$AS,MATCH($L$1,Database!$A$1:$AS$1,),))))-(((VLOOKUP(EDATE(B247,-12),Database!$A:$AS,MATCH($L$1,Database!$A$1:$AS$1,),)))))/(((VLOOKUP(EDATE(B247,-12),Database!$A:$AS,MATCH($L$1,Database!$A$1:$AS$1,),))))</f>
        <v/>
      </c>
      <c r="M247" s="13">
        <f>((((VLOOKUP(B247,Database!$A:$AS,MATCH($M$1,Database!$A$1:$AS$1,),))))-(((VLOOKUP(EDATE(B247,-12),Database!$A:$AS,MATCH($M$1,Database!$A$1:$AS$1,),)))))/(((VLOOKUP(EDATE(B247,-12),Database!$A:$AS,MATCH($M$1,Database!$A$1:$AS$1,),))))</f>
        <v/>
      </c>
      <c r="N247" s="13">
        <f>((((VLOOKUP(B247,Database!$A:$AS,MATCH($N$1,Database!$A$1:$AS$1,),))))-(((VLOOKUP(EDATE(B247,-12),Database!$A:$AS,MATCH($N$1,Database!$A$1:$AS$1,),)))))/(((VLOOKUP(EDATE(B247,-12),Database!$A:$AS,MATCH($N$1,Database!$A$1:$AS$1,),))))</f>
        <v/>
      </c>
      <c r="O247" s="13">
        <f>IF(VLOOKUP(B247,Database!$A:$AV,MATCH($O$1,Database!$A$1:$AV$1,),)=0,"#N/A",((((VLOOKUP(B247,Database!$A:$AS,MATCH($O$1,Database!$A$1:$AS$1,),))))-(((VLOOKUP(EDATE(B247,-12),Database!$A:$AS,MATCH($O$1,Database!$A$1:$AS$1,),)))))/(((VLOOKUP(EDATE(B247,-12),Database!$A:$AS,MATCH($O$1,Database!$A$1:$AS$1,),)))))</f>
        <v/>
      </c>
      <c r="P247" s="13">
        <f>IF(VLOOKUP(B247,Database!$A:$AV,MATCH($P$1,Database!$A$1:$AV$1,),)=0,"#N/A",((((VLOOKUP(B247,Database!$A:$AS,MATCH($P$1,Database!$A$1:$AS$1,),))))-(((VLOOKUP(EDATE(B247,-12),Database!$A:$AS,MATCH($P$1,Database!$A$1:$AS$1,),)))))/(((VLOOKUP(EDATE(B247,-12),Database!$A:$AS,MATCH($P$1,Database!$A$1:$AS$1,),)))))</f>
        <v/>
      </c>
      <c r="Q247" s="13">
        <f>IF(VLOOKUP(B247,Database!$A:$AV,MATCH($Q$1,Database!$A$1:$AV$1,),)=0,"#N/A",((((VLOOKUP(B247,Database!$A:$AS,MATCH($Q$1,Database!$A$1:$AS$1,),))))-(((VLOOKUP(EDATE(B247,-12),Database!$A:$AS,MATCH($Q$1,Database!$A$1:$AS$1,),)))))/(((VLOOKUP(EDATE(B247,-12),Database!$A:$AS,MATCH($Q$1,Database!$A$1:$AS$1,),)))))</f>
        <v/>
      </c>
      <c r="R247" s="13">
        <f>IF(VLOOKUP(B247,Database!$A:$AV,MATCH($R$1,Database!$A$1:$AV$1,),)=0,"#N/A",((((VLOOKUP(B247,Database!$A:$AS,MATCH($R$1,Database!$A$1:$AS$1,),))))-(((VLOOKUP(EDATE(B247,-12),Database!$A:$AS,MATCH($R$1,Database!$A$1:$AS$1,),)))))/(((VLOOKUP(EDATE(B247,-12),Database!$A:$AS,MATCH($R$1,Database!$A$1:$AS$1,),)))))</f>
        <v/>
      </c>
      <c r="S247" s="13">
        <f>IF(VLOOKUP(B247,Database!$A:$AV,MATCH($S$1,Database!$A$1:$AV$1,),)=0,"#N/A",((((VLOOKUP(B247,Database!$A:$AS,MATCH($S$1,Database!$A$1:$AS$1,),))))-(((VLOOKUP(EDATE(B247,-12),Database!$A:$AS,MATCH($S$1,Database!$A$1:$AS$1,),)))))/(((VLOOKUP(EDATE(B247,-12),Database!$A:$AS,MATCH($S$1,Database!$A$1:$AS$1,),)))))</f>
        <v/>
      </c>
      <c r="T247" s="13">
        <f>IF(VLOOKUP(B247,Database!$A:$AV,MATCH($T$1,Database!$A$1:$AV$1,),)=0,"#N/A",((((VLOOKUP(B247,Database!$A:$AS,MATCH($T$1,Database!$A$1:$AS$1,),))))-(((VLOOKUP(EDATE(B247,-12),Database!$A:$AS,MATCH($T$1,Database!$A$1:$AS$1,),)))))/(((VLOOKUP(EDATE(B247,-12),Database!$A:$AS,MATCH($T$1,Database!$A$1:$AS$1,),)))))</f>
        <v/>
      </c>
      <c r="U247" s="13">
        <f>IF(VLOOKUP(B247,Database!$A:$AV,MATCH($U$1,Database!$A$1:$AV$1,),)=0,"#N/A",((((VLOOKUP(B247,Database!$A:$AS,MATCH($U$1,Database!$A$1:$AS$1,),))))-(((VLOOKUP(EDATE(B247,-12),Database!$A:$AS,MATCH($U$1,Database!$A$1:$AS$1,),)))))/(((VLOOKUP(EDATE(B247,-12),Database!$A:$AS,MATCH($U$1,Database!$A$1:$AS$1,),)))))</f>
        <v/>
      </c>
      <c r="V247" s="13">
        <f>IF(VLOOKUP(B247,Database!$A:$AV,MATCH($V$1,Database!$A$1:$AV$1,),)=0,"#N/A",((((VLOOKUP(B247,Database!$A:$AS,MATCH($V$1,Database!$A$1:$AS$1,),))))-(((VLOOKUP(EDATE(B247,-12),Database!$A:$AS,MATCH($V$1,Database!$A$1:$AS$1,),)))))/(((VLOOKUP(EDATE(B247,-12),Database!$A:$AS,MATCH($V$1,Database!$A$1:$AS$1,),)))))</f>
        <v/>
      </c>
    </row>
    <row r="248" customFormat="1" s="86">
      <c r="A248" s="43" t="n"/>
      <c r="B248" s="75" t="n">
        <v>39692</v>
      </c>
      <c r="C248" s="13">
        <f>IF(VLOOKUP(B248,Database!$A:$AU,MATCH($C$1,Database!$A$1:$AU$1,),)=0,"#N/A",((((VLOOKUP(B248,Database!$A:$AU,MATCH($C$1,Database!$A$1:$AU$1,),))))-(((VLOOKUP(EDATE(B248,-12),Database!$A:$AU,MATCH($C$1,Database!$A$1:$AU$1,),)))))/(((VLOOKUP(EDATE(B248,-12),Database!$A:$AU,MATCH($C$1,Database!$A$1:$AU$1,),)))))</f>
        <v/>
      </c>
      <c r="D248" s="13">
        <f>IF(VLOOKUP(B248,Database!$A:$AV,MATCH($D$1,Database!$A$1:$AV$1,),)=0,"#N/A",((((VLOOKUP(B248,Database!$A:$AS,MATCH($D$1,Database!$A$1:$AS$1,),))))-(((VLOOKUP(EDATE(B248,-12),Database!$A:$AS,MATCH($D$1,Database!$A$1:$AS$1,),)))))/(((VLOOKUP(EDATE(B248,-12),Database!$A:$AS,MATCH($D$1,Database!$A$1:$AS$1,),)))))</f>
        <v/>
      </c>
      <c r="E248" s="13">
        <f>IF(VLOOKUP(B248,Database!$A:$AV,MATCH($E$1,Database!$A$1:$AV$1,),)=0,"#N/A",((((VLOOKUP(B248,Database!$A:$AS,MATCH($E$1,Database!$A$1:$AS$1,),))))-(((VLOOKUP(EDATE(B248,-12),Database!$A:$AS,MATCH($E$1,Database!$A$1:$AS$1,),)))))/(((VLOOKUP(EDATE(B248,-12),Database!$A:$AS,MATCH($E$1,Database!$A$1:$AS$1,),)))))</f>
        <v/>
      </c>
      <c r="F248" s="13">
        <f>IF(VLOOKUP(B248,Database!$A:$AV,MATCH($F$1,Database!$A$1:$AV$1,),)=0,"#N/A",((((VLOOKUP(B248,Database!$A:$AS,MATCH($F$1,Database!$A$1:$AS$1,),))))-(((VLOOKUP(EDATE(B248,-12),Database!$A:$AS,MATCH($F$1,Database!$A$1:$AS$1,),)))))/(((VLOOKUP(EDATE(B248,-12),Database!$A:$AS,MATCH($F$1,Database!$A$1:$AS$1,),)))))</f>
        <v/>
      </c>
      <c r="G248" s="13">
        <f>IF(VLOOKUP(B248,Database!$A:$AV,MATCH($G$1,Database!$A$1:$AV$1,),)=0,"#N/A",((((VLOOKUP(B248,Database!$A:$AS,MATCH($G$1,Database!$A$1:$AS$1,),))))-(((VLOOKUP(EDATE(B248,-12),Database!$A:$AS,MATCH($G$1,Database!$A$1:$AS$1,),)))))/(((VLOOKUP(EDATE(B248,-12),Database!$A:$AS,MATCH($G$1,Database!$A$1:$AS$1,),)))))</f>
        <v/>
      </c>
      <c r="H248" s="13">
        <f>IF(VLOOKUP(B248,Database!$A:$AV,MATCH($H$1,Database!$A$1:$AV$1,),)=0,"#N/A",((((VLOOKUP(B248,Database!$A:$AS,MATCH($H$1,Database!$A$1:$AS$1,),))))-(((VLOOKUP(EDATE(B248,-12),Database!$A:$AS,MATCH($H$1,Database!$A$1:$AS$1,),)))))/(((VLOOKUP(EDATE(B248,-12),Database!$A:$AS,MATCH($H$1,Database!$A$1:$AS$1,),)))))</f>
        <v/>
      </c>
      <c r="I248" s="13">
        <f>IF(VLOOKUP(B248,Database!$A:$AV,MATCH($I$1,Database!$A$1:$AV$1,),)=0,"#N/A",((((VLOOKUP(B248,Database!$A:$AS,MATCH($I$1,Database!$A$1:$AS$1,),))))-(((VLOOKUP(EDATE(B248,-12),Database!$A:$AS,MATCH($I$1,Database!$A$1:$AS$1,),)))))/(((VLOOKUP(EDATE(B248,-12),Database!$A:$AS,MATCH($I$1,Database!$A$1:$AS$1,),)))))</f>
        <v/>
      </c>
      <c r="J248" s="13">
        <f>IF(VLOOKUP(B248,Database!$A:$AV,MATCH($J$1,Database!$A$1:$AV$1,),)=0,"#N/A",((((VLOOKUP(B248,Database!$A:$AS,MATCH($J$1,Database!$A$1:$AS$1,),))))-(((VLOOKUP(EDATE(B248,-12),Database!$A:$AS,MATCH($J$1,Database!$A$1:$AS$1,),)))))/(((VLOOKUP(EDATE(B248,-12),Database!$A:$AS,MATCH($J$1,Database!$A$1:$AS$1,),)))))</f>
        <v/>
      </c>
      <c r="K248" s="13">
        <f>IF(VLOOKUP(B248,Database!$A:$AV,MATCH($K$1,Database!$A$1:$AV$1,),)=0,"#N/A",((((VLOOKUP(B248,Database!$A:$AS,MATCH($K$1,Database!$A$1:$AS$1,),))))-(((VLOOKUP(EDATE(B248,-12),Database!$A:$AS,MATCH($K$1,Database!$A$1:$AS$1,),)))))/(((VLOOKUP(EDATE(B248,-12),Database!$A:$AS,MATCH($K$1,Database!$A$1:$AS$1,),)))))</f>
        <v/>
      </c>
      <c r="L248" s="13">
        <f>((((VLOOKUP(B248,Database!$A:$AS,MATCH($L$1,Database!$A$1:$AS$1,),))))-(((VLOOKUP(EDATE(B248,-12),Database!$A:$AS,MATCH($L$1,Database!$A$1:$AS$1,),)))))/(((VLOOKUP(EDATE(B248,-12),Database!$A:$AS,MATCH($L$1,Database!$A$1:$AS$1,),))))</f>
        <v/>
      </c>
      <c r="M248" s="13">
        <f>((((VLOOKUP(B248,Database!$A:$AS,MATCH($M$1,Database!$A$1:$AS$1,),))))-(((VLOOKUP(EDATE(B248,-12),Database!$A:$AS,MATCH($M$1,Database!$A$1:$AS$1,),)))))/(((VLOOKUP(EDATE(B248,-12),Database!$A:$AS,MATCH($M$1,Database!$A$1:$AS$1,),))))</f>
        <v/>
      </c>
      <c r="N248" s="13">
        <f>((((VLOOKUP(B248,Database!$A:$AS,MATCH($N$1,Database!$A$1:$AS$1,),))))-(((VLOOKUP(EDATE(B248,-12),Database!$A:$AS,MATCH($N$1,Database!$A$1:$AS$1,),)))))/(((VLOOKUP(EDATE(B248,-12),Database!$A:$AS,MATCH($N$1,Database!$A$1:$AS$1,),))))</f>
        <v/>
      </c>
      <c r="O248" s="13">
        <f>IF(VLOOKUP(B248,Database!$A:$AV,MATCH($O$1,Database!$A$1:$AV$1,),)=0,"#N/A",((((VLOOKUP(B248,Database!$A:$AS,MATCH($O$1,Database!$A$1:$AS$1,),))))-(((VLOOKUP(EDATE(B248,-12),Database!$A:$AS,MATCH($O$1,Database!$A$1:$AS$1,),)))))/(((VLOOKUP(EDATE(B248,-12),Database!$A:$AS,MATCH($O$1,Database!$A$1:$AS$1,),)))))</f>
        <v/>
      </c>
      <c r="P248" s="13">
        <f>IF(VLOOKUP(B248,Database!$A:$AV,MATCH($P$1,Database!$A$1:$AV$1,),)=0,"#N/A",((((VLOOKUP(B248,Database!$A:$AS,MATCH($P$1,Database!$A$1:$AS$1,),))))-(((VLOOKUP(EDATE(B248,-12),Database!$A:$AS,MATCH($P$1,Database!$A$1:$AS$1,),)))))/(((VLOOKUP(EDATE(B248,-12),Database!$A:$AS,MATCH($P$1,Database!$A$1:$AS$1,),)))))</f>
        <v/>
      </c>
      <c r="Q248" s="13">
        <f>IF(VLOOKUP(B248,Database!$A:$AV,MATCH($Q$1,Database!$A$1:$AV$1,),)=0,"#N/A",((((VLOOKUP(B248,Database!$A:$AS,MATCH($Q$1,Database!$A$1:$AS$1,),))))-(((VLOOKUP(EDATE(B248,-12),Database!$A:$AS,MATCH($Q$1,Database!$A$1:$AS$1,),)))))/(((VLOOKUP(EDATE(B248,-12),Database!$A:$AS,MATCH($Q$1,Database!$A$1:$AS$1,),)))))</f>
        <v/>
      </c>
      <c r="R248" s="13">
        <f>IF(VLOOKUP(B248,Database!$A:$AV,MATCH($R$1,Database!$A$1:$AV$1,),)=0,"#N/A",((((VLOOKUP(B248,Database!$A:$AS,MATCH($R$1,Database!$A$1:$AS$1,),))))-(((VLOOKUP(EDATE(B248,-12),Database!$A:$AS,MATCH($R$1,Database!$A$1:$AS$1,),)))))/(((VLOOKUP(EDATE(B248,-12),Database!$A:$AS,MATCH($R$1,Database!$A$1:$AS$1,),)))))</f>
        <v/>
      </c>
      <c r="S248" s="13">
        <f>IF(VLOOKUP(B248,Database!$A:$AV,MATCH($S$1,Database!$A$1:$AV$1,),)=0,"#N/A",((((VLOOKUP(B248,Database!$A:$AS,MATCH($S$1,Database!$A$1:$AS$1,),))))-(((VLOOKUP(EDATE(B248,-12),Database!$A:$AS,MATCH($S$1,Database!$A$1:$AS$1,),)))))/(((VLOOKUP(EDATE(B248,-12),Database!$A:$AS,MATCH($S$1,Database!$A$1:$AS$1,),)))))</f>
        <v/>
      </c>
      <c r="T248" s="13">
        <f>IF(VLOOKUP(B248,Database!$A:$AV,MATCH($T$1,Database!$A$1:$AV$1,),)=0,"#N/A",((((VLOOKUP(B248,Database!$A:$AS,MATCH($T$1,Database!$A$1:$AS$1,),))))-(((VLOOKUP(EDATE(B248,-12),Database!$A:$AS,MATCH($T$1,Database!$A$1:$AS$1,),)))))/(((VLOOKUP(EDATE(B248,-12),Database!$A:$AS,MATCH($T$1,Database!$A$1:$AS$1,),)))))</f>
        <v/>
      </c>
      <c r="U248" s="13">
        <f>IF(VLOOKUP(B248,Database!$A:$AV,MATCH($U$1,Database!$A$1:$AV$1,),)=0,"#N/A",((((VLOOKUP(B248,Database!$A:$AS,MATCH($U$1,Database!$A$1:$AS$1,),))))-(((VLOOKUP(EDATE(B248,-12),Database!$A:$AS,MATCH($U$1,Database!$A$1:$AS$1,),)))))/(((VLOOKUP(EDATE(B248,-12),Database!$A:$AS,MATCH($U$1,Database!$A$1:$AS$1,),)))))</f>
        <v/>
      </c>
      <c r="V248" s="13">
        <f>IF(VLOOKUP(B248,Database!$A:$AV,MATCH($V$1,Database!$A$1:$AV$1,),)=0,"#N/A",((((VLOOKUP(B248,Database!$A:$AS,MATCH($V$1,Database!$A$1:$AS$1,),))))-(((VLOOKUP(EDATE(B248,-12),Database!$A:$AS,MATCH($V$1,Database!$A$1:$AS$1,),)))))/(((VLOOKUP(EDATE(B248,-12),Database!$A:$AS,MATCH($V$1,Database!$A$1:$AS$1,),)))))</f>
        <v/>
      </c>
    </row>
    <row r="249" customFormat="1" s="86">
      <c r="A249" s="43" t="n"/>
      <c r="B249" s="75" t="n">
        <v>39722</v>
      </c>
      <c r="C249" s="13">
        <f>IF(VLOOKUP(B249,Database!$A:$AU,MATCH($C$1,Database!$A$1:$AU$1,),)=0,"#N/A",((((VLOOKUP(B249,Database!$A:$AU,MATCH($C$1,Database!$A$1:$AU$1,),))))-(((VLOOKUP(EDATE(B249,-12),Database!$A:$AU,MATCH($C$1,Database!$A$1:$AU$1,),)))))/(((VLOOKUP(EDATE(B249,-12),Database!$A:$AU,MATCH($C$1,Database!$A$1:$AU$1,),)))))</f>
        <v/>
      </c>
      <c r="D249" s="13">
        <f>IF(VLOOKUP(B249,Database!$A:$AV,MATCH($D$1,Database!$A$1:$AV$1,),)=0,"#N/A",((((VLOOKUP(B249,Database!$A:$AS,MATCH($D$1,Database!$A$1:$AS$1,),))))-(((VLOOKUP(EDATE(B249,-12),Database!$A:$AS,MATCH($D$1,Database!$A$1:$AS$1,),)))))/(((VLOOKUP(EDATE(B249,-12),Database!$A:$AS,MATCH($D$1,Database!$A$1:$AS$1,),)))))</f>
        <v/>
      </c>
      <c r="E249" s="13">
        <f>IF(VLOOKUP(B249,Database!$A:$AV,MATCH($E$1,Database!$A$1:$AV$1,),)=0,"#N/A",((((VLOOKUP(B249,Database!$A:$AS,MATCH($E$1,Database!$A$1:$AS$1,),))))-(((VLOOKUP(EDATE(B249,-12),Database!$A:$AS,MATCH($E$1,Database!$A$1:$AS$1,),)))))/(((VLOOKUP(EDATE(B249,-12),Database!$A:$AS,MATCH($E$1,Database!$A$1:$AS$1,),)))))</f>
        <v/>
      </c>
      <c r="F249" s="13">
        <f>IF(VLOOKUP(B249,Database!$A:$AV,MATCH($F$1,Database!$A$1:$AV$1,),)=0,"#N/A",((((VLOOKUP(B249,Database!$A:$AS,MATCH($F$1,Database!$A$1:$AS$1,),))))-(((VLOOKUP(EDATE(B249,-12),Database!$A:$AS,MATCH($F$1,Database!$A$1:$AS$1,),)))))/(((VLOOKUP(EDATE(B249,-12),Database!$A:$AS,MATCH($F$1,Database!$A$1:$AS$1,),)))))</f>
        <v/>
      </c>
      <c r="G249" s="13">
        <f>IF(VLOOKUP(B249,Database!$A:$AV,MATCH($G$1,Database!$A$1:$AV$1,),)=0,"#N/A",((((VLOOKUP(B249,Database!$A:$AS,MATCH($G$1,Database!$A$1:$AS$1,),))))-(((VLOOKUP(EDATE(B249,-12),Database!$A:$AS,MATCH($G$1,Database!$A$1:$AS$1,),)))))/(((VLOOKUP(EDATE(B249,-12),Database!$A:$AS,MATCH($G$1,Database!$A$1:$AS$1,),)))))</f>
        <v/>
      </c>
      <c r="H249" s="13">
        <f>IF(VLOOKUP(B249,Database!$A:$AV,MATCH($H$1,Database!$A$1:$AV$1,),)=0,"#N/A",((((VLOOKUP(B249,Database!$A:$AS,MATCH($H$1,Database!$A$1:$AS$1,),))))-(((VLOOKUP(EDATE(B249,-12),Database!$A:$AS,MATCH($H$1,Database!$A$1:$AS$1,),)))))/(((VLOOKUP(EDATE(B249,-12),Database!$A:$AS,MATCH($H$1,Database!$A$1:$AS$1,),)))))</f>
        <v/>
      </c>
      <c r="I249" s="13">
        <f>IF(VLOOKUP(B249,Database!$A:$AV,MATCH($I$1,Database!$A$1:$AV$1,),)=0,"#N/A",((((VLOOKUP(B249,Database!$A:$AS,MATCH($I$1,Database!$A$1:$AS$1,),))))-(((VLOOKUP(EDATE(B249,-12),Database!$A:$AS,MATCH($I$1,Database!$A$1:$AS$1,),)))))/(((VLOOKUP(EDATE(B249,-12),Database!$A:$AS,MATCH($I$1,Database!$A$1:$AS$1,),)))))</f>
        <v/>
      </c>
      <c r="J249" s="13">
        <f>IF(VLOOKUP(B249,Database!$A:$AV,MATCH($J$1,Database!$A$1:$AV$1,),)=0,"#N/A",((((VLOOKUP(B249,Database!$A:$AS,MATCH($J$1,Database!$A$1:$AS$1,),))))-(((VLOOKUP(EDATE(B249,-12),Database!$A:$AS,MATCH($J$1,Database!$A$1:$AS$1,),)))))/(((VLOOKUP(EDATE(B249,-12),Database!$A:$AS,MATCH($J$1,Database!$A$1:$AS$1,),)))))</f>
        <v/>
      </c>
      <c r="K249" s="13">
        <f>IF(VLOOKUP(B249,Database!$A:$AV,MATCH($K$1,Database!$A$1:$AV$1,),)=0,"#N/A",((((VLOOKUP(B249,Database!$A:$AS,MATCH($K$1,Database!$A$1:$AS$1,),))))-(((VLOOKUP(EDATE(B249,-12),Database!$A:$AS,MATCH($K$1,Database!$A$1:$AS$1,),)))))/(((VLOOKUP(EDATE(B249,-12),Database!$A:$AS,MATCH($K$1,Database!$A$1:$AS$1,),)))))</f>
        <v/>
      </c>
      <c r="L249" s="13">
        <f>((((VLOOKUP(B249,Database!$A:$AS,MATCH($L$1,Database!$A$1:$AS$1,),))))-(((VLOOKUP(EDATE(B249,-12),Database!$A:$AS,MATCH($L$1,Database!$A$1:$AS$1,),)))))/(((VLOOKUP(EDATE(B249,-12),Database!$A:$AS,MATCH($L$1,Database!$A$1:$AS$1,),))))</f>
        <v/>
      </c>
      <c r="M249" s="13">
        <f>((((VLOOKUP(B249,Database!$A:$AS,MATCH($M$1,Database!$A$1:$AS$1,),))))-(((VLOOKUP(EDATE(B249,-12),Database!$A:$AS,MATCH($M$1,Database!$A$1:$AS$1,),)))))/(((VLOOKUP(EDATE(B249,-12),Database!$A:$AS,MATCH($M$1,Database!$A$1:$AS$1,),))))</f>
        <v/>
      </c>
      <c r="N249" s="13">
        <f>((((VLOOKUP(B249,Database!$A:$AS,MATCH($N$1,Database!$A$1:$AS$1,),))))-(((VLOOKUP(EDATE(B249,-12),Database!$A:$AS,MATCH($N$1,Database!$A$1:$AS$1,),)))))/(((VLOOKUP(EDATE(B249,-12),Database!$A:$AS,MATCH($N$1,Database!$A$1:$AS$1,),))))</f>
        <v/>
      </c>
      <c r="O249" s="13">
        <f>IF(VLOOKUP(B249,Database!$A:$AV,MATCH($O$1,Database!$A$1:$AV$1,),)=0,"#N/A",((((VLOOKUP(B249,Database!$A:$AS,MATCH($O$1,Database!$A$1:$AS$1,),))))-(((VLOOKUP(EDATE(B249,-12),Database!$A:$AS,MATCH($O$1,Database!$A$1:$AS$1,),)))))/(((VLOOKUP(EDATE(B249,-12),Database!$A:$AS,MATCH($O$1,Database!$A$1:$AS$1,),)))))</f>
        <v/>
      </c>
      <c r="P249" s="13">
        <f>IF(VLOOKUP(B249,Database!$A:$AV,MATCH($P$1,Database!$A$1:$AV$1,),)=0,"#N/A",((((VLOOKUP(B249,Database!$A:$AS,MATCH($P$1,Database!$A$1:$AS$1,),))))-(((VLOOKUP(EDATE(B249,-12),Database!$A:$AS,MATCH($P$1,Database!$A$1:$AS$1,),)))))/(((VLOOKUP(EDATE(B249,-12),Database!$A:$AS,MATCH($P$1,Database!$A$1:$AS$1,),)))))</f>
        <v/>
      </c>
      <c r="Q249" s="13">
        <f>IF(VLOOKUP(B249,Database!$A:$AV,MATCH($Q$1,Database!$A$1:$AV$1,),)=0,"#N/A",((((VLOOKUP(B249,Database!$A:$AS,MATCH($Q$1,Database!$A$1:$AS$1,),))))-(((VLOOKUP(EDATE(B249,-12),Database!$A:$AS,MATCH($Q$1,Database!$A$1:$AS$1,),)))))/(((VLOOKUP(EDATE(B249,-12),Database!$A:$AS,MATCH($Q$1,Database!$A$1:$AS$1,),)))))</f>
        <v/>
      </c>
      <c r="R249" s="13">
        <f>IF(VLOOKUP(B249,Database!$A:$AV,MATCH($R$1,Database!$A$1:$AV$1,),)=0,"#N/A",((((VLOOKUP(B249,Database!$A:$AS,MATCH($R$1,Database!$A$1:$AS$1,),))))-(((VLOOKUP(EDATE(B249,-12),Database!$A:$AS,MATCH($R$1,Database!$A$1:$AS$1,),)))))/(((VLOOKUP(EDATE(B249,-12),Database!$A:$AS,MATCH($R$1,Database!$A$1:$AS$1,),)))))</f>
        <v/>
      </c>
      <c r="S249" s="13">
        <f>IF(VLOOKUP(B249,Database!$A:$AV,MATCH($S$1,Database!$A$1:$AV$1,),)=0,"#N/A",((((VLOOKUP(B249,Database!$A:$AS,MATCH($S$1,Database!$A$1:$AS$1,),))))-(((VLOOKUP(EDATE(B249,-12),Database!$A:$AS,MATCH($S$1,Database!$A$1:$AS$1,),)))))/(((VLOOKUP(EDATE(B249,-12),Database!$A:$AS,MATCH($S$1,Database!$A$1:$AS$1,),)))))</f>
        <v/>
      </c>
      <c r="T249" s="13">
        <f>IF(VLOOKUP(B249,Database!$A:$AV,MATCH($T$1,Database!$A$1:$AV$1,),)=0,"#N/A",((((VLOOKUP(B249,Database!$A:$AS,MATCH($T$1,Database!$A$1:$AS$1,),))))-(((VLOOKUP(EDATE(B249,-12),Database!$A:$AS,MATCH($T$1,Database!$A$1:$AS$1,),)))))/(((VLOOKUP(EDATE(B249,-12),Database!$A:$AS,MATCH($T$1,Database!$A$1:$AS$1,),)))))</f>
        <v/>
      </c>
      <c r="U249" s="13">
        <f>IF(VLOOKUP(B249,Database!$A:$AV,MATCH($U$1,Database!$A$1:$AV$1,),)=0,"#N/A",((((VLOOKUP(B249,Database!$A:$AS,MATCH($U$1,Database!$A$1:$AS$1,),))))-(((VLOOKUP(EDATE(B249,-12),Database!$A:$AS,MATCH($U$1,Database!$A$1:$AS$1,),)))))/(((VLOOKUP(EDATE(B249,-12),Database!$A:$AS,MATCH($U$1,Database!$A$1:$AS$1,),)))))</f>
        <v/>
      </c>
      <c r="V249" s="13">
        <f>IF(VLOOKUP(B249,Database!$A:$AV,MATCH($V$1,Database!$A$1:$AV$1,),)=0,"#N/A",((((VLOOKUP(B249,Database!$A:$AS,MATCH($V$1,Database!$A$1:$AS$1,),))))-(((VLOOKUP(EDATE(B249,-12),Database!$A:$AS,MATCH($V$1,Database!$A$1:$AS$1,),)))))/(((VLOOKUP(EDATE(B249,-12),Database!$A:$AS,MATCH($V$1,Database!$A$1:$AS$1,),)))))</f>
        <v/>
      </c>
    </row>
    <row r="250" customFormat="1" s="86">
      <c r="A250" s="43" t="n"/>
      <c r="B250" s="75" t="n">
        <v>39753</v>
      </c>
      <c r="C250" s="13">
        <f>IF(VLOOKUP(B250,Database!$A:$AU,MATCH($C$1,Database!$A$1:$AU$1,),)=0,"#N/A",((((VLOOKUP(B250,Database!$A:$AU,MATCH($C$1,Database!$A$1:$AU$1,),))))-(((VLOOKUP(EDATE(B250,-12),Database!$A:$AU,MATCH($C$1,Database!$A$1:$AU$1,),)))))/(((VLOOKUP(EDATE(B250,-12),Database!$A:$AU,MATCH($C$1,Database!$A$1:$AU$1,),)))))</f>
        <v/>
      </c>
      <c r="D250" s="13">
        <f>IF(VLOOKUP(B250,Database!$A:$AV,MATCH($D$1,Database!$A$1:$AV$1,),)=0,"#N/A",((((VLOOKUP(B250,Database!$A:$AS,MATCH($D$1,Database!$A$1:$AS$1,),))))-(((VLOOKUP(EDATE(B250,-12),Database!$A:$AS,MATCH($D$1,Database!$A$1:$AS$1,),)))))/(((VLOOKUP(EDATE(B250,-12),Database!$A:$AS,MATCH($D$1,Database!$A$1:$AS$1,),)))))</f>
        <v/>
      </c>
      <c r="E250" s="13">
        <f>IF(VLOOKUP(B250,Database!$A:$AV,MATCH($E$1,Database!$A$1:$AV$1,),)=0,"#N/A",((((VLOOKUP(B250,Database!$A:$AS,MATCH($E$1,Database!$A$1:$AS$1,),))))-(((VLOOKUP(EDATE(B250,-12),Database!$A:$AS,MATCH($E$1,Database!$A$1:$AS$1,),)))))/(((VLOOKUP(EDATE(B250,-12),Database!$A:$AS,MATCH($E$1,Database!$A$1:$AS$1,),)))))</f>
        <v/>
      </c>
      <c r="F250" s="13">
        <f>IF(VLOOKUP(B250,Database!$A:$AV,MATCH($F$1,Database!$A$1:$AV$1,),)=0,"#N/A",((((VLOOKUP(B250,Database!$A:$AS,MATCH($F$1,Database!$A$1:$AS$1,),))))-(((VLOOKUP(EDATE(B250,-12),Database!$A:$AS,MATCH($F$1,Database!$A$1:$AS$1,),)))))/(((VLOOKUP(EDATE(B250,-12),Database!$A:$AS,MATCH($F$1,Database!$A$1:$AS$1,),)))))</f>
        <v/>
      </c>
      <c r="G250" s="13">
        <f>IF(VLOOKUP(B250,Database!$A:$AV,MATCH($G$1,Database!$A$1:$AV$1,),)=0,"#N/A",((((VLOOKUP(B250,Database!$A:$AS,MATCH($G$1,Database!$A$1:$AS$1,),))))-(((VLOOKUP(EDATE(B250,-12),Database!$A:$AS,MATCH($G$1,Database!$A$1:$AS$1,),)))))/(((VLOOKUP(EDATE(B250,-12),Database!$A:$AS,MATCH($G$1,Database!$A$1:$AS$1,),)))))</f>
        <v/>
      </c>
      <c r="H250" s="13">
        <f>IF(VLOOKUP(B250,Database!$A:$AV,MATCH($H$1,Database!$A$1:$AV$1,),)=0,"#N/A",((((VLOOKUP(B250,Database!$A:$AS,MATCH($H$1,Database!$A$1:$AS$1,),))))-(((VLOOKUP(EDATE(B250,-12),Database!$A:$AS,MATCH($H$1,Database!$A$1:$AS$1,),)))))/(((VLOOKUP(EDATE(B250,-12),Database!$A:$AS,MATCH($H$1,Database!$A$1:$AS$1,),)))))</f>
        <v/>
      </c>
      <c r="I250" s="13">
        <f>IF(VLOOKUP(B250,Database!$A:$AV,MATCH($I$1,Database!$A$1:$AV$1,),)=0,"#N/A",((((VLOOKUP(B250,Database!$A:$AS,MATCH($I$1,Database!$A$1:$AS$1,),))))-(((VLOOKUP(EDATE(B250,-12),Database!$A:$AS,MATCH($I$1,Database!$A$1:$AS$1,),)))))/(((VLOOKUP(EDATE(B250,-12),Database!$A:$AS,MATCH($I$1,Database!$A$1:$AS$1,),)))))</f>
        <v/>
      </c>
      <c r="J250" s="13">
        <f>IF(VLOOKUP(B250,Database!$A:$AV,MATCH($J$1,Database!$A$1:$AV$1,),)=0,"#N/A",((((VLOOKUP(B250,Database!$A:$AS,MATCH($J$1,Database!$A$1:$AS$1,),))))-(((VLOOKUP(EDATE(B250,-12),Database!$A:$AS,MATCH($J$1,Database!$A$1:$AS$1,),)))))/(((VLOOKUP(EDATE(B250,-12),Database!$A:$AS,MATCH($J$1,Database!$A$1:$AS$1,),)))))</f>
        <v/>
      </c>
      <c r="K250" s="13">
        <f>IF(VLOOKUP(B250,Database!$A:$AV,MATCH($K$1,Database!$A$1:$AV$1,),)=0,"#N/A",((((VLOOKUP(B250,Database!$A:$AS,MATCH($K$1,Database!$A$1:$AS$1,),))))-(((VLOOKUP(EDATE(B250,-12),Database!$A:$AS,MATCH($K$1,Database!$A$1:$AS$1,),)))))/(((VLOOKUP(EDATE(B250,-12),Database!$A:$AS,MATCH($K$1,Database!$A$1:$AS$1,),)))))</f>
        <v/>
      </c>
      <c r="L250" s="13">
        <f>((((VLOOKUP(B250,Database!$A:$AS,MATCH($L$1,Database!$A$1:$AS$1,),))))-(((VLOOKUP(EDATE(B250,-12),Database!$A:$AS,MATCH($L$1,Database!$A$1:$AS$1,),)))))/(((VLOOKUP(EDATE(B250,-12),Database!$A:$AS,MATCH($L$1,Database!$A$1:$AS$1,),))))</f>
        <v/>
      </c>
      <c r="M250" s="13">
        <f>((((VLOOKUP(B250,Database!$A:$AS,MATCH($M$1,Database!$A$1:$AS$1,),))))-(((VLOOKUP(EDATE(B250,-12),Database!$A:$AS,MATCH($M$1,Database!$A$1:$AS$1,),)))))/(((VLOOKUP(EDATE(B250,-12),Database!$A:$AS,MATCH($M$1,Database!$A$1:$AS$1,),))))</f>
        <v/>
      </c>
      <c r="N250" s="13">
        <f>((((VLOOKUP(B250,Database!$A:$AS,MATCH($N$1,Database!$A$1:$AS$1,),))))-(((VLOOKUP(EDATE(B250,-12),Database!$A:$AS,MATCH($N$1,Database!$A$1:$AS$1,),)))))/(((VLOOKUP(EDATE(B250,-12),Database!$A:$AS,MATCH($N$1,Database!$A$1:$AS$1,),))))</f>
        <v/>
      </c>
      <c r="O250" s="13">
        <f>IF(VLOOKUP(B250,Database!$A:$AV,MATCH($O$1,Database!$A$1:$AV$1,),)=0,"#N/A",((((VLOOKUP(B250,Database!$A:$AS,MATCH($O$1,Database!$A$1:$AS$1,),))))-(((VLOOKUP(EDATE(B250,-12),Database!$A:$AS,MATCH($O$1,Database!$A$1:$AS$1,),)))))/(((VLOOKUP(EDATE(B250,-12),Database!$A:$AS,MATCH($O$1,Database!$A$1:$AS$1,),)))))</f>
        <v/>
      </c>
      <c r="P250" s="13">
        <f>IF(VLOOKUP(B250,Database!$A:$AV,MATCH($P$1,Database!$A$1:$AV$1,),)=0,"#N/A",((((VLOOKUP(B250,Database!$A:$AS,MATCH($P$1,Database!$A$1:$AS$1,),))))-(((VLOOKUP(EDATE(B250,-12),Database!$A:$AS,MATCH($P$1,Database!$A$1:$AS$1,),)))))/(((VLOOKUP(EDATE(B250,-12),Database!$A:$AS,MATCH($P$1,Database!$A$1:$AS$1,),)))))</f>
        <v/>
      </c>
      <c r="Q250" s="13">
        <f>IF(VLOOKUP(B250,Database!$A:$AV,MATCH($Q$1,Database!$A$1:$AV$1,),)=0,"#N/A",((((VLOOKUP(B250,Database!$A:$AS,MATCH($Q$1,Database!$A$1:$AS$1,),))))-(((VLOOKUP(EDATE(B250,-12),Database!$A:$AS,MATCH($Q$1,Database!$A$1:$AS$1,),)))))/(((VLOOKUP(EDATE(B250,-12),Database!$A:$AS,MATCH($Q$1,Database!$A$1:$AS$1,),)))))</f>
        <v/>
      </c>
      <c r="R250" s="13">
        <f>IF(VLOOKUP(B250,Database!$A:$AV,MATCH($R$1,Database!$A$1:$AV$1,),)=0,"#N/A",((((VLOOKUP(B250,Database!$A:$AS,MATCH($R$1,Database!$A$1:$AS$1,),))))-(((VLOOKUP(EDATE(B250,-12),Database!$A:$AS,MATCH($R$1,Database!$A$1:$AS$1,),)))))/(((VLOOKUP(EDATE(B250,-12),Database!$A:$AS,MATCH($R$1,Database!$A$1:$AS$1,),)))))</f>
        <v/>
      </c>
      <c r="S250" s="13">
        <f>IF(VLOOKUP(B250,Database!$A:$AV,MATCH($S$1,Database!$A$1:$AV$1,),)=0,"#N/A",((((VLOOKUP(B250,Database!$A:$AS,MATCH($S$1,Database!$A$1:$AS$1,),))))-(((VLOOKUP(EDATE(B250,-12),Database!$A:$AS,MATCH($S$1,Database!$A$1:$AS$1,),)))))/(((VLOOKUP(EDATE(B250,-12),Database!$A:$AS,MATCH($S$1,Database!$A$1:$AS$1,),)))))</f>
        <v/>
      </c>
      <c r="T250" s="13">
        <f>IF(VLOOKUP(B250,Database!$A:$AV,MATCH($T$1,Database!$A$1:$AV$1,),)=0,"#N/A",((((VLOOKUP(B250,Database!$A:$AS,MATCH($T$1,Database!$A$1:$AS$1,),))))-(((VLOOKUP(EDATE(B250,-12),Database!$A:$AS,MATCH($T$1,Database!$A$1:$AS$1,),)))))/(((VLOOKUP(EDATE(B250,-12),Database!$A:$AS,MATCH($T$1,Database!$A$1:$AS$1,),)))))</f>
        <v/>
      </c>
      <c r="U250" s="13">
        <f>IF(VLOOKUP(B250,Database!$A:$AV,MATCH($U$1,Database!$A$1:$AV$1,),)=0,"#N/A",((((VLOOKUP(B250,Database!$A:$AS,MATCH($U$1,Database!$A$1:$AS$1,),))))-(((VLOOKUP(EDATE(B250,-12),Database!$A:$AS,MATCH($U$1,Database!$A$1:$AS$1,),)))))/(((VLOOKUP(EDATE(B250,-12),Database!$A:$AS,MATCH($U$1,Database!$A$1:$AS$1,),)))))</f>
        <v/>
      </c>
      <c r="V250" s="13">
        <f>IF(VLOOKUP(B250,Database!$A:$AV,MATCH($V$1,Database!$A$1:$AV$1,),)=0,"#N/A",((((VLOOKUP(B250,Database!$A:$AS,MATCH($V$1,Database!$A$1:$AS$1,),))))-(((VLOOKUP(EDATE(B250,-12),Database!$A:$AS,MATCH($V$1,Database!$A$1:$AS$1,),)))))/(((VLOOKUP(EDATE(B250,-12),Database!$A:$AS,MATCH($V$1,Database!$A$1:$AS$1,),)))))</f>
        <v/>
      </c>
    </row>
    <row r="251" customFormat="1" s="86">
      <c r="A251" s="43" t="n"/>
      <c r="B251" s="75" t="n">
        <v>39783</v>
      </c>
      <c r="C251" s="13">
        <f>IF(VLOOKUP(B251,Database!$A:$AU,MATCH($C$1,Database!$A$1:$AU$1,),)=0,"#N/A",((((VLOOKUP(B251,Database!$A:$AU,MATCH($C$1,Database!$A$1:$AU$1,),))))-(((VLOOKUP(EDATE(B251,-12),Database!$A:$AU,MATCH($C$1,Database!$A$1:$AU$1,),)))))/(((VLOOKUP(EDATE(B251,-12),Database!$A:$AU,MATCH($C$1,Database!$A$1:$AU$1,),)))))</f>
        <v/>
      </c>
      <c r="D251" s="13">
        <f>IF(VLOOKUP(B251,Database!$A:$AV,MATCH($D$1,Database!$A$1:$AV$1,),)=0,"#N/A",((((VLOOKUP(B251,Database!$A:$AS,MATCH($D$1,Database!$A$1:$AS$1,),))))-(((VLOOKUP(EDATE(B251,-12),Database!$A:$AS,MATCH($D$1,Database!$A$1:$AS$1,),)))))/(((VLOOKUP(EDATE(B251,-12),Database!$A:$AS,MATCH($D$1,Database!$A$1:$AS$1,),)))))</f>
        <v/>
      </c>
      <c r="E251" s="13">
        <f>IF(VLOOKUP(B251,Database!$A:$AV,MATCH($E$1,Database!$A$1:$AV$1,),)=0,"#N/A",((((VLOOKUP(B251,Database!$A:$AS,MATCH($E$1,Database!$A$1:$AS$1,),))))-(((VLOOKUP(EDATE(B251,-12),Database!$A:$AS,MATCH($E$1,Database!$A$1:$AS$1,),)))))/(((VLOOKUP(EDATE(B251,-12),Database!$A:$AS,MATCH($E$1,Database!$A$1:$AS$1,),)))))</f>
        <v/>
      </c>
      <c r="F251" s="13">
        <f>IF(VLOOKUP(B251,Database!$A:$AV,MATCH($F$1,Database!$A$1:$AV$1,),)=0,"#N/A",((((VLOOKUP(B251,Database!$A:$AS,MATCH($F$1,Database!$A$1:$AS$1,),))))-(((VLOOKUP(EDATE(B251,-12),Database!$A:$AS,MATCH($F$1,Database!$A$1:$AS$1,),)))))/(((VLOOKUP(EDATE(B251,-12),Database!$A:$AS,MATCH($F$1,Database!$A$1:$AS$1,),)))))</f>
        <v/>
      </c>
      <c r="G251" s="13">
        <f>IF(VLOOKUP(B251,Database!$A:$AV,MATCH($G$1,Database!$A$1:$AV$1,),)=0,"#N/A",((((VLOOKUP(B251,Database!$A:$AS,MATCH($G$1,Database!$A$1:$AS$1,),))))-(((VLOOKUP(EDATE(B251,-12),Database!$A:$AS,MATCH($G$1,Database!$A$1:$AS$1,),)))))/(((VLOOKUP(EDATE(B251,-12),Database!$A:$AS,MATCH($G$1,Database!$A$1:$AS$1,),)))))</f>
        <v/>
      </c>
      <c r="H251" s="13">
        <f>IF(VLOOKUP(B251,Database!$A:$AV,MATCH($H$1,Database!$A$1:$AV$1,),)=0,"#N/A",((((VLOOKUP(B251,Database!$A:$AS,MATCH($H$1,Database!$A$1:$AS$1,),))))-(((VLOOKUP(EDATE(B251,-12),Database!$A:$AS,MATCH($H$1,Database!$A$1:$AS$1,),)))))/(((VLOOKUP(EDATE(B251,-12),Database!$A:$AS,MATCH($H$1,Database!$A$1:$AS$1,),)))))</f>
        <v/>
      </c>
      <c r="I251" s="13">
        <f>IF(VLOOKUP(B251,Database!$A:$AV,MATCH($I$1,Database!$A$1:$AV$1,),)=0,"#N/A",((((VLOOKUP(B251,Database!$A:$AS,MATCH($I$1,Database!$A$1:$AS$1,),))))-(((VLOOKUP(EDATE(B251,-12),Database!$A:$AS,MATCH($I$1,Database!$A$1:$AS$1,),)))))/(((VLOOKUP(EDATE(B251,-12),Database!$A:$AS,MATCH($I$1,Database!$A$1:$AS$1,),)))))</f>
        <v/>
      </c>
      <c r="J251" s="13">
        <f>IF(VLOOKUP(B251,Database!$A:$AV,MATCH($J$1,Database!$A$1:$AV$1,),)=0,"#N/A",((((VLOOKUP(B251,Database!$A:$AS,MATCH($J$1,Database!$A$1:$AS$1,),))))-(((VLOOKUP(EDATE(B251,-12),Database!$A:$AS,MATCH($J$1,Database!$A$1:$AS$1,),)))))/(((VLOOKUP(EDATE(B251,-12),Database!$A:$AS,MATCH($J$1,Database!$A$1:$AS$1,),)))))</f>
        <v/>
      </c>
      <c r="K251" s="13">
        <f>IF(VLOOKUP(B251,Database!$A:$AV,MATCH($K$1,Database!$A$1:$AV$1,),)=0,"#N/A",((((VLOOKUP(B251,Database!$A:$AS,MATCH($K$1,Database!$A$1:$AS$1,),))))-(((VLOOKUP(EDATE(B251,-12),Database!$A:$AS,MATCH($K$1,Database!$A$1:$AS$1,),)))))/(((VLOOKUP(EDATE(B251,-12),Database!$A:$AS,MATCH($K$1,Database!$A$1:$AS$1,),)))))</f>
        <v/>
      </c>
      <c r="L251" s="13">
        <f>((((VLOOKUP(B251,Database!$A:$AS,MATCH($L$1,Database!$A$1:$AS$1,),))))-(((VLOOKUP(EDATE(B251,-12),Database!$A:$AS,MATCH($L$1,Database!$A$1:$AS$1,),)))))/(((VLOOKUP(EDATE(B251,-12),Database!$A:$AS,MATCH($L$1,Database!$A$1:$AS$1,),))))</f>
        <v/>
      </c>
      <c r="M251" s="13">
        <f>((((VLOOKUP(B251,Database!$A:$AS,MATCH($M$1,Database!$A$1:$AS$1,),))))-(((VLOOKUP(EDATE(B251,-12),Database!$A:$AS,MATCH($M$1,Database!$A$1:$AS$1,),)))))/(((VLOOKUP(EDATE(B251,-12),Database!$A:$AS,MATCH($M$1,Database!$A$1:$AS$1,),))))</f>
        <v/>
      </c>
      <c r="N251" s="13">
        <f>((((VLOOKUP(B251,Database!$A:$AS,MATCH($N$1,Database!$A$1:$AS$1,),))))-(((VLOOKUP(EDATE(B251,-12),Database!$A:$AS,MATCH($N$1,Database!$A$1:$AS$1,),)))))/(((VLOOKUP(EDATE(B251,-12),Database!$A:$AS,MATCH($N$1,Database!$A$1:$AS$1,),))))</f>
        <v/>
      </c>
      <c r="O251" s="13">
        <f>IF(VLOOKUP(B251,Database!$A:$AV,MATCH($O$1,Database!$A$1:$AV$1,),)=0,"#N/A",((((VLOOKUP(B251,Database!$A:$AS,MATCH($O$1,Database!$A$1:$AS$1,),))))-(((VLOOKUP(EDATE(B251,-12),Database!$A:$AS,MATCH($O$1,Database!$A$1:$AS$1,),)))))/(((VLOOKUP(EDATE(B251,-12),Database!$A:$AS,MATCH($O$1,Database!$A$1:$AS$1,),)))))</f>
        <v/>
      </c>
      <c r="P251" s="13">
        <f>IF(VLOOKUP(B251,Database!$A:$AV,MATCH($P$1,Database!$A$1:$AV$1,),)=0,"#N/A",((((VLOOKUP(B251,Database!$A:$AS,MATCH($P$1,Database!$A$1:$AS$1,),))))-(((VLOOKUP(EDATE(B251,-12),Database!$A:$AS,MATCH($P$1,Database!$A$1:$AS$1,),)))))/(((VLOOKUP(EDATE(B251,-12),Database!$A:$AS,MATCH($P$1,Database!$A$1:$AS$1,),)))))</f>
        <v/>
      </c>
      <c r="Q251" s="13">
        <f>IF(VLOOKUP(B251,Database!$A:$AV,MATCH($Q$1,Database!$A$1:$AV$1,),)=0,"#N/A",((((VLOOKUP(B251,Database!$A:$AS,MATCH($Q$1,Database!$A$1:$AS$1,),))))-(((VLOOKUP(EDATE(B251,-12),Database!$A:$AS,MATCH($Q$1,Database!$A$1:$AS$1,),)))))/(((VLOOKUP(EDATE(B251,-12),Database!$A:$AS,MATCH($Q$1,Database!$A$1:$AS$1,),)))))</f>
        <v/>
      </c>
      <c r="R251" s="13">
        <f>IF(VLOOKUP(B251,Database!$A:$AV,MATCH($R$1,Database!$A$1:$AV$1,),)=0,"#N/A",((((VLOOKUP(B251,Database!$A:$AS,MATCH($R$1,Database!$A$1:$AS$1,),))))-(((VLOOKUP(EDATE(B251,-12),Database!$A:$AS,MATCH($R$1,Database!$A$1:$AS$1,),)))))/(((VLOOKUP(EDATE(B251,-12),Database!$A:$AS,MATCH($R$1,Database!$A$1:$AS$1,),)))))</f>
        <v/>
      </c>
      <c r="S251" s="13">
        <f>IF(VLOOKUP(B251,Database!$A:$AV,MATCH($S$1,Database!$A$1:$AV$1,),)=0,"#N/A",((((VLOOKUP(B251,Database!$A:$AS,MATCH($S$1,Database!$A$1:$AS$1,),))))-(((VLOOKUP(EDATE(B251,-12),Database!$A:$AS,MATCH($S$1,Database!$A$1:$AS$1,),)))))/(((VLOOKUP(EDATE(B251,-12),Database!$A:$AS,MATCH($S$1,Database!$A$1:$AS$1,),)))))</f>
        <v/>
      </c>
      <c r="T251" s="13">
        <f>IF(VLOOKUP(B251,Database!$A:$AV,MATCH($T$1,Database!$A$1:$AV$1,),)=0,"#N/A",((((VLOOKUP(B251,Database!$A:$AS,MATCH($T$1,Database!$A$1:$AS$1,),))))-(((VLOOKUP(EDATE(B251,-12),Database!$A:$AS,MATCH($T$1,Database!$A$1:$AS$1,),)))))/(((VLOOKUP(EDATE(B251,-12),Database!$A:$AS,MATCH($T$1,Database!$A$1:$AS$1,),)))))</f>
        <v/>
      </c>
      <c r="U251" s="13">
        <f>IF(VLOOKUP(B251,Database!$A:$AV,MATCH($U$1,Database!$A$1:$AV$1,),)=0,"#N/A",((((VLOOKUP(B251,Database!$A:$AS,MATCH($U$1,Database!$A$1:$AS$1,),))))-(((VLOOKUP(EDATE(B251,-12),Database!$A:$AS,MATCH($U$1,Database!$A$1:$AS$1,),)))))/(((VLOOKUP(EDATE(B251,-12),Database!$A:$AS,MATCH($U$1,Database!$A$1:$AS$1,),)))))</f>
        <v/>
      </c>
      <c r="V251" s="13">
        <f>IF(VLOOKUP(B251,Database!$A:$AV,MATCH($V$1,Database!$A$1:$AV$1,),)=0,"#N/A",((((VLOOKUP(B251,Database!$A:$AS,MATCH($V$1,Database!$A$1:$AS$1,),))))-(((VLOOKUP(EDATE(B251,-12),Database!$A:$AS,MATCH($V$1,Database!$A$1:$AS$1,),)))))/(((VLOOKUP(EDATE(B251,-12),Database!$A:$AS,MATCH($V$1,Database!$A$1:$AS$1,),)))))</f>
        <v/>
      </c>
    </row>
    <row r="252" customFormat="1" s="86">
      <c r="A252" s="43" t="n"/>
      <c r="B252" s="75" t="n">
        <v>39814</v>
      </c>
      <c r="C252" s="13">
        <f>IF(VLOOKUP(B252,Database!$A:$AU,MATCH($C$1,Database!$A$1:$AU$1,),)=0,"#N/A",((((VLOOKUP(B252,Database!$A:$AU,MATCH($C$1,Database!$A$1:$AU$1,),))))-(((VLOOKUP(EDATE(B252,-12),Database!$A:$AU,MATCH($C$1,Database!$A$1:$AU$1,),)))))/(((VLOOKUP(EDATE(B252,-12),Database!$A:$AU,MATCH($C$1,Database!$A$1:$AU$1,),)))))</f>
        <v/>
      </c>
      <c r="D252" s="13">
        <f>IF(VLOOKUP(B252,Database!$A:$AV,MATCH($D$1,Database!$A$1:$AV$1,),)=0,"#N/A",((((VLOOKUP(B252,Database!$A:$AS,MATCH($D$1,Database!$A$1:$AS$1,),))))-(((VLOOKUP(EDATE(B252,-12),Database!$A:$AS,MATCH($D$1,Database!$A$1:$AS$1,),)))))/(((VLOOKUP(EDATE(B252,-12),Database!$A:$AS,MATCH($D$1,Database!$A$1:$AS$1,),)))))</f>
        <v/>
      </c>
      <c r="E252" s="13">
        <f>IF(VLOOKUP(B252,Database!$A:$AV,MATCH($E$1,Database!$A$1:$AV$1,),)=0,"#N/A",((((VLOOKUP(B252,Database!$A:$AS,MATCH($E$1,Database!$A$1:$AS$1,),))))-(((VLOOKUP(EDATE(B252,-12),Database!$A:$AS,MATCH($E$1,Database!$A$1:$AS$1,),)))))/(((VLOOKUP(EDATE(B252,-12),Database!$A:$AS,MATCH($E$1,Database!$A$1:$AS$1,),)))))</f>
        <v/>
      </c>
      <c r="F252" s="13">
        <f>IF(VLOOKUP(B252,Database!$A:$AV,MATCH($F$1,Database!$A$1:$AV$1,),)=0,"#N/A",((((VLOOKUP(B252,Database!$A:$AS,MATCH($F$1,Database!$A$1:$AS$1,),))))-(((VLOOKUP(EDATE(B252,-12),Database!$A:$AS,MATCH($F$1,Database!$A$1:$AS$1,),)))))/(((VLOOKUP(EDATE(B252,-12),Database!$A:$AS,MATCH($F$1,Database!$A$1:$AS$1,),)))))</f>
        <v/>
      </c>
      <c r="G252" s="13">
        <f>IF(VLOOKUP(B252,Database!$A:$AV,MATCH($G$1,Database!$A$1:$AV$1,),)=0,"#N/A",((((VLOOKUP(B252,Database!$A:$AS,MATCH($G$1,Database!$A$1:$AS$1,),))))-(((VLOOKUP(EDATE(B252,-12),Database!$A:$AS,MATCH($G$1,Database!$A$1:$AS$1,),)))))/(((VLOOKUP(EDATE(B252,-12),Database!$A:$AS,MATCH($G$1,Database!$A$1:$AS$1,),)))))</f>
        <v/>
      </c>
      <c r="H252" s="13">
        <f>IF(VLOOKUP(B252,Database!$A:$AV,MATCH($H$1,Database!$A$1:$AV$1,),)=0,"#N/A",((((VLOOKUP(B252,Database!$A:$AS,MATCH($H$1,Database!$A$1:$AS$1,),))))-(((VLOOKUP(EDATE(B252,-12),Database!$A:$AS,MATCH($H$1,Database!$A$1:$AS$1,),)))))/(((VLOOKUP(EDATE(B252,-12),Database!$A:$AS,MATCH($H$1,Database!$A$1:$AS$1,),)))))</f>
        <v/>
      </c>
      <c r="I252" s="13">
        <f>IF(VLOOKUP(B252,Database!$A:$AV,MATCH($I$1,Database!$A$1:$AV$1,),)=0,"#N/A",((((VLOOKUP(B252,Database!$A:$AS,MATCH($I$1,Database!$A$1:$AS$1,),))))-(((VLOOKUP(EDATE(B252,-12),Database!$A:$AS,MATCH($I$1,Database!$A$1:$AS$1,),)))))/(((VLOOKUP(EDATE(B252,-12),Database!$A:$AS,MATCH($I$1,Database!$A$1:$AS$1,),)))))</f>
        <v/>
      </c>
      <c r="J252" s="13">
        <f>IF(VLOOKUP(B252,Database!$A:$AV,MATCH($J$1,Database!$A$1:$AV$1,),)=0,"#N/A",((((VLOOKUP(B252,Database!$A:$AS,MATCH($J$1,Database!$A$1:$AS$1,),))))-(((VLOOKUP(EDATE(B252,-12),Database!$A:$AS,MATCH($J$1,Database!$A$1:$AS$1,),)))))/(((VLOOKUP(EDATE(B252,-12),Database!$A:$AS,MATCH($J$1,Database!$A$1:$AS$1,),)))))</f>
        <v/>
      </c>
      <c r="K252" s="13">
        <f>IF(VLOOKUP(B252,Database!$A:$AV,MATCH($K$1,Database!$A$1:$AV$1,),)=0,"#N/A",((((VLOOKUP(B252,Database!$A:$AS,MATCH($K$1,Database!$A$1:$AS$1,),))))-(((VLOOKUP(EDATE(B252,-12),Database!$A:$AS,MATCH($K$1,Database!$A$1:$AS$1,),)))))/(((VLOOKUP(EDATE(B252,-12),Database!$A:$AS,MATCH($K$1,Database!$A$1:$AS$1,),)))))</f>
        <v/>
      </c>
      <c r="L252" s="13">
        <f>((((VLOOKUP(B252,Database!$A:$AS,MATCH($L$1,Database!$A$1:$AS$1,),))))-(((VLOOKUP(EDATE(B252,-12),Database!$A:$AS,MATCH($L$1,Database!$A$1:$AS$1,),)))))/(((VLOOKUP(EDATE(B252,-12),Database!$A:$AS,MATCH($L$1,Database!$A$1:$AS$1,),))))</f>
        <v/>
      </c>
      <c r="M252" s="13">
        <f>((((VLOOKUP(B252,Database!$A:$AS,MATCH($M$1,Database!$A$1:$AS$1,),))))-(((VLOOKUP(EDATE(B252,-12),Database!$A:$AS,MATCH($M$1,Database!$A$1:$AS$1,),)))))/(((VLOOKUP(EDATE(B252,-12),Database!$A:$AS,MATCH($M$1,Database!$A$1:$AS$1,),))))</f>
        <v/>
      </c>
      <c r="N252" s="13">
        <f>((((VLOOKUP(B252,Database!$A:$AS,MATCH($N$1,Database!$A$1:$AS$1,),))))-(((VLOOKUP(EDATE(B252,-12),Database!$A:$AS,MATCH($N$1,Database!$A$1:$AS$1,),)))))/(((VLOOKUP(EDATE(B252,-12),Database!$A:$AS,MATCH($N$1,Database!$A$1:$AS$1,),))))</f>
        <v/>
      </c>
      <c r="O252" s="13">
        <f>IF(VLOOKUP(B252,Database!$A:$AV,MATCH($O$1,Database!$A$1:$AV$1,),)=0,"#N/A",((((VLOOKUP(B252,Database!$A:$AS,MATCH($O$1,Database!$A$1:$AS$1,),))))-(((VLOOKUP(EDATE(B252,-12),Database!$A:$AS,MATCH($O$1,Database!$A$1:$AS$1,),)))))/(((VLOOKUP(EDATE(B252,-12),Database!$A:$AS,MATCH($O$1,Database!$A$1:$AS$1,),)))))</f>
        <v/>
      </c>
      <c r="P252" s="13">
        <f>IF(VLOOKUP(B252,Database!$A:$AV,MATCH($P$1,Database!$A$1:$AV$1,),)=0,"#N/A",((((VLOOKUP(B252,Database!$A:$AS,MATCH($P$1,Database!$A$1:$AS$1,),))))-(((VLOOKUP(EDATE(B252,-12),Database!$A:$AS,MATCH($P$1,Database!$A$1:$AS$1,),)))))/(((VLOOKUP(EDATE(B252,-12),Database!$A:$AS,MATCH($P$1,Database!$A$1:$AS$1,),)))))</f>
        <v/>
      </c>
      <c r="Q252" s="13">
        <f>IF(VLOOKUP(B252,Database!$A:$AV,MATCH($Q$1,Database!$A$1:$AV$1,),)=0,"#N/A",((((VLOOKUP(B252,Database!$A:$AS,MATCH($Q$1,Database!$A$1:$AS$1,),))))-(((VLOOKUP(EDATE(B252,-12),Database!$A:$AS,MATCH($Q$1,Database!$A$1:$AS$1,),)))))/(((VLOOKUP(EDATE(B252,-12),Database!$A:$AS,MATCH($Q$1,Database!$A$1:$AS$1,),)))))</f>
        <v/>
      </c>
      <c r="R252" s="13">
        <f>IF(VLOOKUP(B252,Database!$A:$AV,MATCH($R$1,Database!$A$1:$AV$1,),)=0,"#N/A",((((VLOOKUP(B252,Database!$A:$AS,MATCH($R$1,Database!$A$1:$AS$1,),))))-(((VLOOKUP(EDATE(B252,-12),Database!$A:$AS,MATCH($R$1,Database!$A$1:$AS$1,),)))))/(((VLOOKUP(EDATE(B252,-12),Database!$A:$AS,MATCH($R$1,Database!$A$1:$AS$1,),)))))</f>
        <v/>
      </c>
      <c r="S252" s="13">
        <f>IF(VLOOKUP(B252,Database!$A:$AV,MATCH($S$1,Database!$A$1:$AV$1,),)=0,"#N/A",((((VLOOKUP(B252,Database!$A:$AS,MATCH($S$1,Database!$A$1:$AS$1,),))))-(((VLOOKUP(EDATE(B252,-12),Database!$A:$AS,MATCH($S$1,Database!$A$1:$AS$1,),)))))/(((VLOOKUP(EDATE(B252,-12),Database!$A:$AS,MATCH($S$1,Database!$A$1:$AS$1,),)))))</f>
        <v/>
      </c>
      <c r="T252" s="13">
        <f>IF(VLOOKUP(B252,Database!$A:$AV,MATCH($T$1,Database!$A$1:$AV$1,),)=0,"#N/A",((((VLOOKUP(B252,Database!$A:$AS,MATCH($T$1,Database!$A$1:$AS$1,),))))-(((VLOOKUP(EDATE(B252,-12),Database!$A:$AS,MATCH($T$1,Database!$A$1:$AS$1,),)))))/(((VLOOKUP(EDATE(B252,-12),Database!$A:$AS,MATCH($T$1,Database!$A$1:$AS$1,),)))))</f>
        <v/>
      </c>
      <c r="U252" s="13">
        <f>IF(VLOOKUP(B252,Database!$A:$AV,MATCH($U$1,Database!$A$1:$AV$1,),)=0,"#N/A",((((VLOOKUP(B252,Database!$A:$AS,MATCH($U$1,Database!$A$1:$AS$1,),))))-(((VLOOKUP(EDATE(B252,-12),Database!$A:$AS,MATCH($U$1,Database!$A$1:$AS$1,),)))))/(((VLOOKUP(EDATE(B252,-12),Database!$A:$AS,MATCH($U$1,Database!$A$1:$AS$1,),)))))</f>
        <v/>
      </c>
      <c r="V252" s="13">
        <f>IF(VLOOKUP(B252,Database!$A:$AV,MATCH($V$1,Database!$A$1:$AV$1,),)=0,"#N/A",((((VLOOKUP(B252,Database!$A:$AS,MATCH($V$1,Database!$A$1:$AS$1,),))))-(((VLOOKUP(EDATE(B252,-12),Database!$A:$AS,MATCH($V$1,Database!$A$1:$AS$1,),)))))/(((VLOOKUP(EDATE(B252,-12),Database!$A:$AS,MATCH($V$1,Database!$A$1:$AS$1,),)))))</f>
        <v/>
      </c>
    </row>
    <row r="253" customFormat="1" s="86">
      <c r="A253" s="43" t="n"/>
      <c r="B253" s="75" t="n">
        <v>39845</v>
      </c>
      <c r="C253" s="13">
        <f>IF(VLOOKUP(B253,Database!$A:$AU,MATCH($C$1,Database!$A$1:$AU$1,),)=0,"#N/A",((((VLOOKUP(B253,Database!$A:$AU,MATCH($C$1,Database!$A$1:$AU$1,),))))-(((VLOOKUP(EDATE(B253,-12),Database!$A:$AU,MATCH($C$1,Database!$A$1:$AU$1,),)))))/(((VLOOKUP(EDATE(B253,-12),Database!$A:$AU,MATCH($C$1,Database!$A$1:$AU$1,),)))))</f>
        <v/>
      </c>
      <c r="D253" s="13">
        <f>IF(VLOOKUP(B253,Database!$A:$AV,MATCH($D$1,Database!$A$1:$AV$1,),)=0,"#N/A",((((VLOOKUP(B253,Database!$A:$AS,MATCH($D$1,Database!$A$1:$AS$1,),))))-(((VLOOKUP(EDATE(B253,-12),Database!$A:$AS,MATCH($D$1,Database!$A$1:$AS$1,),)))))/(((VLOOKUP(EDATE(B253,-12),Database!$A:$AS,MATCH($D$1,Database!$A$1:$AS$1,),)))))</f>
        <v/>
      </c>
      <c r="E253" s="13">
        <f>IF(VLOOKUP(B253,Database!$A:$AV,MATCH($E$1,Database!$A$1:$AV$1,),)=0,"#N/A",((((VLOOKUP(B253,Database!$A:$AS,MATCH($E$1,Database!$A$1:$AS$1,),))))-(((VLOOKUP(EDATE(B253,-12),Database!$A:$AS,MATCH($E$1,Database!$A$1:$AS$1,),)))))/(((VLOOKUP(EDATE(B253,-12),Database!$A:$AS,MATCH($E$1,Database!$A$1:$AS$1,),)))))</f>
        <v/>
      </c>
      <c r="F253" s="13">
        <f>IF(VLOOKUP(B253,Database!$A:$AV,MATCH($F$1,Database!$A$1:$AV$1,),)=0,"#N/A",((((VLOOKUP(B253,Database!$A:$AS,MATCH($F$1,Database!$A$1:$AS$1,),))))-(((VLOOKUP(EDATE(B253,-12),Database!$A:$AS,MATCH($F$1,Database!$A$1:$AS$1,),)))))/(((VLOOKUP(EDATE(B253,-12),Database!$A:$AS,MATCH($F$1,Database!$A$1:$AS$1,),)))))</f>
        <v/>
      </c>
      <c r="G253" s="13">
        <f>IF(VLOOKUP(B253,Database!$A:$AV,MATCH($G$1,Database!$A$1:$AV$1,),)=0,"#N/A",((((VLOOKUP(B253,Database!$A:$AS,MATCH($G$1,Database!$A$1:$AS$1,),))))-(((VLOOKUP(EDATE(B253,-12),Database!$A:$AS,MATCH($G$1,Database!$A$1:$AS$1,),)))))/(((VLOOKUP(EDATE(B253,-12),Database!$A:$AS,MATCH($G$1,Database!$A$1:$AS$1,),)))))</f>
        <v/>
      </c>
      <c r="H253" s="13">
        <f>IF(VLOOKUP(B253,Database!$A:$AV,MATCH($H$1,Database!$A$1:$AV$1,),)=0,"#N/A",((((VLOOKUP(B253,Database!$A:$AS,MATCH($H$1,Database!$A$1:$AS$1,),))))-(((VLOOKUP(EDATE(B253,-12),Database!$A:$AS,MATCH($H$1,Database!$A$1:$AS$1,),)))))/(((VLOOKUP(EDATE(B253,-12),Database!$A:$AS,MATCH($H$1,Database!$A$1:$AS$1,),)))))</f>
        <v/>
      </c>
      <c r="I253" s="13">
        <f>IF(VLOOKUP(B253,Database!$A:$AV,MATCH($I$1,Database!$A$1:$AV$1,),)=0,"#N/A",((((VLOOKUP(B253,Database!$A:$AS,MATCH($I$1,Database!$A$1:$AS$1,),))))-(((VLOOKUP(EDATE(B253,-12),Database!$A:$AS,MATCH($I$1,Database!$A$1:$AS$1,),)))))/(((VLOOKUP(EDATE(B253,-12),Database!$A:$AS,MATCH($I$1,Database!$A$1:$AS$1,),)))))</f>
        <v/>
      </c>
      <c r="J253" s="13">
        <f>IF(VLOOKUP(B253,Database!$A:$AV,MATCH($J$1,Database!$A$1:$AV$1,),)=0,"#N/A",((((VLOOKUP(B253,Database!$A:$AS,MATCH($J$1,Database!$A$1:$AS$1,),))))-(((VLOOKUP(EDATE(B253,-12),Database!$A:$AS,MATCH($J$1,Database!$A$1:$AS$1,),)))))/(((VLOOKUP(EDATE(B253,-12),Database!$A:$AS,MATCH($J$1,Database!$A$1:$AS$1,),)))))</f>
        <v/>
      </c>
      <c r="K253" s="13">
        <f>IF(VLOOKUP(B253,Database!$A:$AV,MATCH($K$1,Database!$A$1:$AV$1,),)=0,"#N/A",((((VLOOKUP(B253,Database!$A:$AS,MATCH($K$1,Database!$A$1:$AS$1,),))))-(((VLOOKUP(EDATE(B253,-12),Database!$A:$AS,MATCH($K$1,Database!$A$1:$AS$1,),)))))/(((VLOOKUP(EDATE(B253,-12),Database!$A:$AS,MATCH($K$1,Database!$A$1:$AS$1,),)))))</f>
        <v/>
      </c>
      <c r="L253" s="13">
        <f>((((VLOOKUP(B253,Database!$A:$AS,MATCH($L$1,Database!$A$1:$AS$1,),))))-(((VLOOKUP(EDATE(B253,-12),Database!$A:$AS,MATCH($L$1,Database!$A$1:$AS$1,),)))))/(((VLOOKUP(EDATE(B253,-12),Database!$A:$AS,MATCH($L$1,Database!$A$1:$AS$1,),))))</f>
        <v/>
      </c>
      <c r="M253" s="13">
        <f>((((VLOOKUP(B253,Database!$A:$AS,MATCH($M$1,Database!$A$1:$AS$1,),))))-(((VLOOKUP(EDATE(B253,-12),Database!$A:$AS,MATCH($M$1,Database!$A$1:$AS$1,),)))))/(((VLOOKUP(EDATE(B253,-12),Database!$A:$AS,MATCH($M$1,Database!$A$1:$AS$1,),))))</f>
        <v/>
      </c>
      <c r="N253" s="13">
        <f>((((VLOOKUP(B253,Database!$A:$AS,MATCH($N$1,Database!$A$1:$AS$1,),))))-(((VLOOKUP(EDATE(B253,-12),Database!$A:$AS,MATCH($N$1,Database!$A$1:$AS$1,),)))))/(((VLOOKUP(EDATE(B253,-12),Database!$A:$AS,MATCH($N$1,Database!$A$1:$AS$1,),))))</f>
        <v/>
      </c>
      <c r="O253" s="13">
        <f>IF(VLOOKUP(B253,Database!$A:$AV,MATCH($O$1,Database!$A$1:$AV$1,),)=0,"#N/A",((((VLOOKUP(B253,Database!$A:$AS,MATCH($O$1,Database!$A$1:$AS$1,),))))-(((VLOOKUP(EDATE(B253,-12),Database!$A:$AS,MATCH($O$1,Database!$A$1:$AS$1,),)))))/(((VLOOKUP(EDATE(B253,-12),Database!$A:$AS,MATCH($O$1,Database!$A$1:$AS$1,),)))))</f>
        <v/>
      </c>
      <c r="P253" s="13">
        <f>IF(VLOOKUP(B253,Database!$A:$AV,MATCH($P$1,Database!$A$1:$AV$1,),)=0,"#N/A",((((VLOOKUP(B253,Database!$A:$AS,MATCH($P$1,Database!$A$1:$AS$1,),))))-(((VLOOKUP(EDATE(B253,-12),Database!$A:$AS,MATCH($P$1,Database!$A$1:$AS$1,),)))))/(((VLOOKUP(EDATE(B253,-12),Database!$A:$AS,MATCH($P$1,Database!$A$1:$AS$1,),)))))</f>
        <v/>
      </c>
      <c r="Q253" s="13">
        <f>IF(VLOOKUP(B253,Database!$A:$AV,MATCH($Q$1,Database!$A$1:$AV$1,),)=0,"#N/A",((((VLOOKUP(B253,Database!$A:$AS,MATCH($Q$1,Database!$A$1:$AS$1,),))))-(((VLOOKUP(EDATE(B253,-12),Database!$A:$AS,MATCH($Q$1,Database!$A$1:$AS$1,),)))))/(((VLOOKUP(EDATE(B253,-12),Database!$A:$AS,MATCH($Q$1,Database!$A$1:$AS$1,),)))))</f>
        <v/>
      </c>
      <c r="R253" s="13">
        <f>IF(VLOOKUP(B253,Database!$A:$AV,MATCH($R$1,Database!$A$1:$AV$1,),)=0,"#N/A",((((VLOOKUP(B253,Database!$A:$AS,MATCH($R$1,Database!$A$1:$AS$1,),))))-(((VLOOKUP(EDATE(B253,-12),Database!$A:$AS,MATCH($R$1,Database!$A$1:$AS$1,),)))))/(((VLOOKUP(EDATE(B253,-12),Database!$A:$AS,MATCH($R$1,Database!$A$1:$AS$1,),)))))</f>
        <v/>
      </c>
      <c r="S253" s="13">
        <f>IF(VLOOKUP(B253,Database!$A:$AV,MATCH($S$1,Database!$A$1:$AV$1,),)=0,"#N/A",((((VLOOKUP(B253,Database!$A:$AS,MATCH($S$1,Database!$A$1:$AS$1,),))))-(((VLOOKUP(EDATE(B253,-12),Database!$A:$AS,MATCH($S$1,Database!$A$1:$AS$1,),)))))/(((VLOOKUP(EDATE(B253,-12),Database!$A:$AS,MATCH($S$1,Database!$A$1:$AS$1,),)))))</f>
        <v/>
      </c>
      <c r="T253" s="13">
        <f>IF(VLOOKUP(B253,Database!$A:$AV,MATCH($T$1,Database!$A$1:$AV$1,),)=0,"#N/A",((((VLOOKUP(B253,Database!$A:$AS,MATCH($T$1,Database!$A$1:$AS$1,),))))-(((VLOOKUP(EDATE(B253,-12),Database!$A:$AS,MATCH($T$1,Database!$A$1:$AS$1,),)))))/(((VLOOKUP(EDATE(B253,-12),Database!$A:$AS,MATCH($T$1,Database!$A$1:$AS$1,),)))))</f>
        <v/>
      </c>
      <c r="U253" s="13">
        <f>IF(VLOOKUP(B253,Database!$A:$AV,MATCH($U$1,Database!$A$1:$AV$1,),)=0,"#N/A",((((VLOOKUP(B253,Database!$A:$AS,MATCH($U$1,Database!$A$1:$AS$1,),))))-(((VLOOKUP(EDATE(B253,-12),Database!$A:$AS,MATCH($U$1,Database!$A$1:$AS$1,),)))))/(((VLOOKUP(EDATE(B253,-12),Database!$A:$AS,MATCH($U$1,Database!$A$1:$AS$1,),)))))</f>
        <v/>
      </c>
      <c r="V253" s="13">
        <f>IF(VLOOKUP(B253,Database!$A:$AV,MATCH($V$1,Database!$A$1:$AV$1,),)=0,"#N/A",((((VLOOKUP(B253,Database!$A:$AS,MATCH($V$1,Database!$A$1:$AS$1,),))))-(((VLOOKUP(EDATE(B253,-12),Database!$A:$AS,MATCH($V$1,Database!$A$1:$AS$1,),)))))/(((VLOOKUP(EDATE(B253,-12),Database!$A:$AS,MATCH($V$1,Database!$A$1:$AS$1,),)))))</f>
        <v/>
      </c>
    </row>
    <row r="254" customFormat="1" s="86">
      <c r="A254" s="43" t="n"/>
      <c r="B254" s="75" t="n">
        <v>39873</v>
      </c>
      <c r="C254" s="13">
        <f>IF(VLOOKUP(B254,Database!$A:$AU,MATCH($C$1,Database!$A$1:$AU$1,),)=0,"#N/A",((((VLOOKUP(B254,Database!$A:$AU,MATCH($C$1,Database!$A$1:$AU$1,),))))-(((VLOOKUP(EDATE(B254,-12),Database!$A:$AU,MATCH($C$1,Database!$A$1:$AU$1,),)))))/(((VLOOKUP(EDATE(B254,-12),Database!$A:$AU,MATCH($C$1,Database!$A$1:$AU$1,),)))))</f>
        <v/>
      </c>
      <c r="D254" s="13">
        <f>IF(VLOOKUP(B254,Database!$A:$AV,MATCH($D$1,Database!$A$1:$AV$1,),)=0,"#N/A",((((VLOOKUP(B254,Database!$A:$AS,MATCH($D$1,Database!$A$1:$AS$1,),))))-(((VLOOKUP(EDATE(B254,-12),Database!$A:$AS,MATCH($D$1,Database!$A$1:$AS$1,),)))))/(((VLOOKUP(EDATE(B254,-12),Database!$A:$AS,MATCH($D$1,Database!$A$1:$AS$1,),)))))</f>
        <v/>
      </c>
      <c r="E254" s="13">
        <f>IF(VLOOKUP(B254,Database!$A:$AV,MATCH($E$1,Database!$A$1:$AV$1,),)=0,"#N/A",((((VLOOKUP(B254,Database!$A:$AS,MATCH($E$1,Database!$A$1:$AS$1,),))))-(((VLOOKUP(EDATE(B254,-12),Database!$A:$AS,MATCH($E$1,Database!$A$1:$AS$1,),)))))/(((VLOOKUP(EDATE(B254,-12),Database!$A:$AS,MATCH($E$1,Database!$A$1:$AS$1,),)))))</f>
        <v/>
      </c>
      <c r="F254" s="13">
        <f>IF(VLOOKUP(B254,Database!$A:$AV,MATCH($F$1,Database!$A$1:$AV$1,),)=0,"#N/A",((((VLOOKUP(B254,Database!$A:$AS,MATCH($F$1,Database!$A$1:$AS$1,),))))-(((VLOOKUP(EDATE(B254,-12),Database!$A:$AS,MATCH($F$1,Database!$A$1:$AS$1,),)))))/(((VLOOKUP(EDATE(B254,-12),Database!$A:$AS,MATCH($F$1,Database!$A$1:$AS$1,),)))))</f>
        <v/>
      </c>
      <c r="G254" s="13">
        <f>IF(VLOOKUP(B254,Database!$A:$AV,MATCH($G$1,Database!$A$1:$AV$1,),)=0,"#N/A",((((VLOOKUP(B254,Database!$A:$AS,MATCH($G$1,Database!$A$1:$AS$1,),))))-(((VLOOKUP(EDATE(B254,-12),Database!$A:$AS,MATCH($G$1,Database!$A$1:$AS$1,),)))))/(((VLOOKUP(EDATE(B254,-12),Database!$A:$AS,MATCH($G$1,Database!$A$1:$AS$1,),)))))</f>
        <v/>
      </c>
      <c r="H254" s="13">
        <f>IF(VLOOKUP(B254,Database!$A:$AV,MATCH($H$1,Database!$A$1:$AV$1,),)=0,"#N/A",((((VLOOKUP(B254,Database!$A:$AS,MATCH($H$1,Database!$A$1:$AS$1,),))))-(((VLOOKUP(EDATE(B254,-12),Database!$A:$AS,MATCH($H$1,Database!$A$1:$AS$1,),)))))/(((VLOOKUP(EDATE(B254,-12),Database!$A:$AS,MATCH($H$1,Database!$A$1:$AS$1,),)))))</f>
        <v/>
      </c>
      <c r="I254" s="13">
        <f>IF(VLOOKUP(B254,Database!$A:$AV,MATCH($I$1,Database!$A$1:$AV$1,),)=0,"#N/A",((((VLOOKUP(B254,Database!$A:$AS,MATCH($I$1,Database!$A$1:$AS$1,),))))-(((VLOOKUP(EDATE(B254,-12),Database!$A:$AS,MATCH($I$1,Database!$A$1:$AS$1,),)))))/(((VLOOKUP(EDATE(B254,-12),Database!$A:$AS,MATCH($I$1,Database!$A$1:$AS$1,),)))))</f>
        <v/>
      </c>
      <c r="J254" s="13">
        <f>IF(VLOOKUP(B254,Database!$A:$AV,MATCH($J$1,Database!$A$1:$AV$1,),)=0,"#N/A",((((VLOOKUP(B254,Database!$A:$AS,MATCH($J$1,Database!$A$1:$AS$1,),))))-(((VLOOKUP(EDATE(B254,-12),Database!$A:$AS,MATCH($J$1,Database!$A$1:$AS$1,),)))))/(((VLOOKUP(EDATE(B254,-12),Database!$A:$AS,MATCH($J$1,Database!$A$1:$AS$1,),)))))</f>
        <v/>
      </c>
      <c r="K254" s="13">
        <f>IF(VLOOKUP(B254,Database!$A:$AV,MATCH($K$1,Database!$A$1:$AV$1,),)=0,"#N/A",((((VLOOKUP(B254,Database!$A:$AS,MATCH($K$1,Database!$A$1:$AS$1,),))))-(((VLOOKUP(EDATE(B254,-12),Database!$A:$AS,MATCH($K$1,Database!$A$1:$AS$1,),)))))/(((VLOOKUP(EDATE(B254,-12),Database!$A:$AS,MATCH($K$1,Database!$A$1:$AS$1,),)))))</f>
        <v/>
      </c>
      <c r="L254" s="13">
        <f>((((VLOOKUP(B254,Database!$A:$AS,MATCH($L$1,Database!$A$1:$AS$1,),))))-(((VLOOKUP(EDATE(B254,-12),Database!$A:$AS,MATCH($L$1,Database!$A$1:$AS$1,),)))))/(((VLOOKUP(EDATE(B254,-12),Database!$A:$AS,MATCH($L$1,Database!$A$1:$AS$1,),))))</f>
        <v/>
      </c>
      <c r="M254" s="13">
        <f>((((VLOOKUP(B254,Database!$A:$AS,MATCH($M$1,Database!$A$1:$AS$1,),))))-(((VLOOKUP(EDATE(B254,-12),Database!$A:$AS,MATCH($M$1,Database!$A$1:$AS$1,),)))))/(((VLOOKUP(EDATE(B254,-12),Database!$A:$AS,MATCH($M$1,Database!$A$1:$AS$1,),))))</f>
        <v/>
      </c>
      <c r="N254" s="13">
        <f>((((VLOOKUP(B254,Database!$A:$AS,MATCH($N$1,Database!$A$1:$AS$1,),))))-(((VLOOKUP(EDATE(B254,-12),Database!$A:$AS,MATCH($N$1,Database!$A$1:$AS$1,),)))))/(((VLOOKUP(EDATE(B254,-12),Database!$A:$AS,MATCH($N$1,Database!$A$1:$AS$1,),))))</f>
        <v/>
      </c>
      <c r="O254" s="13">
        <f>IF(VLOOKUP(B254,Database!$A:$AV,MATCH($O$1,Database!$A$1:$AV$1,),)=0,"#N/A",((((VLOOKUP(B254,Database!$A:$AS,MATCH($O$1,Database!$A$1:$AS$1,),))))-(((VLOOKUP(EDATE(B254,-12),Database!$A:$AS,MATCH($O$1,Database!$A$1:$AS$1,),)))))/(((VLOOKUP(EDATE(B254,-12),Database!$A:$AS,MATCH($O$1,Database!$A$1:$AS$1,),)))))</f>
        <v/>
      </c>
      <c r="P254" s="13">
        <f>IF(VLOOKUP(B254,Database!$A:$AV,MATCH($P$1,Database!$A$1:$AV$1,),)=0,"#N/A",((((VLOOKUP(B254,Database!$A:$AS,MATCH($P$1,Database!$A$1:$AS$1,),))))-(((VLOOKUP(EDATE(B254,-12),Database!$A:$AS,MATCH($P$1,Database!$A$1:$AS$1,),)))))/(((VLOOKUP(EDATE(B254,-12),Database!$A:$AS,MATCH($P$1,Database!$A$1:$AS$1,),)))))</f>
        <v/>
      </c>
      <c r="Q254" s="13">
        <f>IF(VLOOKUP(B254,Database!$A:$AV,MATCH($Q$1,Database!$A$1:$AV$1,),)=0,"#N/A",((((VLOOKUP(B254,Database!$A:$AS,MATCH($Q$1,Database!$A$1:$AS$1,),))))-(((VLOOKUP(EDATE(B254,-12),Database!$A:$AS,MATCH($Q$1,Database!$A$1:$AS$1,),)))))/(((VLOOKUP(EDATE(B254,-12),Database!$A:$AS,MATCH($Q$1,Database!$A$1:$AS$1,),)))))</f>
        <v/>
      </c>
      <c r="R254" s="13">
        <f>IF(VLOOKUP(B254,Database!$A:$AV,MATCH($R$1,Database!$A$1:$AV$1,),)=0,"#N/A",((((VLOOKUP(B254,Database!$A:$AS,MATCH($R$1,Database!$A$1:$AS$1,),))))-(((VLOOKUP(EDATE(B254,-12),Database!$A:$AS,MATCH($R$1,Database!$A$1:$AS$1,),)))))/(((VLOOKUP(EDATE(B254,-12),Database!$A:$AS,MATCH($R$1,Database!$A$1:$AS$1,),)))))</f>
        <v/>
      </c>
      <c r="S254" s="13">
        <f>IF(VLOOKUP(B254,Database!$A:$AV,MATCH($S$1,Database!$A$1:$AV$1,),)=0,"#N/A",((((VLOOKUP(B254,Database!$A:$AS,MATCH($S$1,Database!$A$1:$AS$1,),))))-(((VLOOKUP(EDATE(B254,-12),Database!$A:$AS,MATCH($S$1,Database!$A$1:$AS$1,),)))))/(((VLOOKUP(EDATE(B254,-12),Database!$A:$AS,MATCH($S$1,Database!$A$1:$AS$1,),)))))</f>
        <v/>
      </c>
      <c r="T254" s="13">
        <f>IF(VLOOKUP(B254,Database!$A:$AV,MATCH($T$1,Database!$A$1:$AV$1,),)=0,"#N/A",((((VLOOKUP(B254,Database!$A:$AS,MATCH($T$1,Database!$A$1:$AS$1,),))))-(((VLOOKUP(EDATE(B254,-12),Database!$A:$AS,MATCH($T$1,Database!$A$1:$AS$1,),)))))/(((VLOOKUP(EDATE(B254,-12),Database!$A:$AS,MATCH($T$1,Database!$A$1:$AS$1,),)))))</f>
        <v/>
      </c>
      <c r="U254" s="13">
        <f>IF(VLOOKUP(B254,Database!$A:$AV,MATCH($U$1,Database!$A$1:$AV$1,),)=0,"#N/A",((((VLOOKUP(B254,Database!$A:$AS,MATCH($U$1,Database!$A$1:$AS$1,),))))-(((VLOOKUP(EDATE(B254,-12),Database!$A:$AS,MATCH($U$1,Database!$A$1:$AS$1,),)))))/(((VLOOKUP(EDATE(B254,-12),Database!$A:$AS,MATCH($U$1,Database!$A$1:$AS$1,),)))))</f>
        <v/>
      </c>
      <c r="V254" s="13">
        <f>IF(VLOOKUP(B254,Database!$A:$AV,MATCH($V$1,Database!$A$1:$AV$1,),)=0,"#N/A",((((VLOOKUP(B254,Database!$A:$AS,MATCH($V$1,Database!$A$1:$AS$1,),))))-(((VLOOKUP(EDATE(B254,-12),Database!$A:$AS,MATCH($V$1,Database!$A$1:$AS$1,),)))))/(((VLOOKUP(EDATE(B254,-12),Database!$A:$AS,MATCH($V$1,Database!$A$1:$AS$1,),)))))</f>
        <v/>
      </c>
    </row>
    <row r="255" customFormat="1" s="86">
      <c r="A255" s="43" t="n"/>
      <c r="B255" s="75" t="n">
        <v>39904</v>
      </c>
      <c r="C255" s="13">
        <f>IF(VLOOKUP(B255,Database!$A:$AU,MATCH($C$1,Database!$A$1:$AU$1,),)=0,"#N/A",((((VLOOKUP(B255,Database!$A:$AU,MATCH($C$1,Database!$A$1:$AU$1,),))))-(((VLOOKUP(EDATE(B255,-12),Database!$A:$AU,MATCH($C$1,Database!$A$1:$AU$1,),)))))/(((VLOOKUP(EDATE(B255,-12),Database!$A:$AU,MATCH($C$1,Database!$A$1:$AU$1,),)))))</f>
        <v/>
      </c>
      <c r="D255" s="13">
        <f>IF(VLOOKUP(B255,Database!$A:$AV,MATCH($D$1,Database!$A$1:$AV$1,),)=0,"#N/A",((((VLOOKUP(B255,Database!$A:$AS,MATCH($D$1,Database!$A$1:$AS$1,),))))-(((VLOOKUP(EDATE(B255,-12),Database!$A:$AS,MATCH($D$1,Database!$A$1:$AS$1,),)))))/(((VLOOKUP(EDATE(B255,-12),Database!$A:$AS,MATCH($D$1,Database!$A$1:$AS$1,),)))))</f>
        <v/>
      </c>
      <c r="E255" s="13">
        <f>IF(VLOOKUP(B255,Database!$A:$AV,MATCH($E$1,Database!$A$1:$AV$1,),)=0,"#N/A",((((VLOOKUP(B255,Database!$A:$AS,MATCH($E$1,Database!$A$1:$AS$1,),))))-(((VLOOKUP(EDATE(B255,-12),Database!$A:$AS,MATCH($E$1,Database!$A$1:$AS$1,),)))))/(((VLOOKUP(EDATE(B255,-12),Database!$A:$AS,MATCH($E$1,Database!$A$1:$AS$1,),)))))</f>
        <v/>
      </c>
      <c r="F255" s="13">
        <f>IF(VLOOKUP(B255,Database!$A:$AV,MATCH($F$1,Database!$A$1:$AV$1,),)=0,"#N/A",((((VLOOKUP(B255,Database!$A:$AS,MATCH($F$1,Database!$A$1:$AS$1,),))))-(((VLOOKUP(EDATE(B255,-12),Database!$A:$AS,MATCH($F$1,Database!$A$1:$AS$1,),)))))/(((VLOOKUP(EDATE(B255,-12),Database!$A:$AS,MATCH($F$1,Database!$A$1:$AS$1,),)))))</f>
        <v/>
      </c>
      <c r="G255" s="13">
        <f>IF(VLOOKUP(B255,Database!$A:$AV,MATCH($G$1,Database!$A$1:$AV$1,),)=0,"#N/A",((((VLOOKUP(B255,Database!$A:$AS,MATCH($G$1,Database!$A$1:$AS$1,),))))-(((VLOOKUP(EDATE(B255,-12),Database!$A:$AS,MATCH($G$1,Database!$A$1:$AS$1,),)))))/(((VLOOKUP(EDATE(B255,-12),Database!$A:$AS,MATCH($G$1,Database!$A$1:$AS$1,),)))))</f>
        <v/>
      </c>
      <c r="H255" s="13">
        <f>IF(VLOOKUP(B255,Database!$A:$AV,MATCH($H$1,Database!$A$1:$AV$1,),)=0,"#N/A",((((VLOOKUP(B255,Database!$A:$AS,MATCH($H$1,Database!$A$1:$AS$1,),))))-(((VLOOKUP(EDATE(B255,-12),Database!$A:$AS,MATCH($H$1,Database!$A$1:$AS$1,),)))))/(((VLOOKUP(EDATE(B255,-12),Database!$A:$AS,MATCH($H$1,Database!$A$1:$AS$1,),)))))</f>
        <v/>
      </c>
      <c r="I255" s="13">
        <f>IF(VLOOKUP(B255,Database!$A:$AV,MATCH($I$1,Database!$A$1:$AV$1,),)=0,"#N/A",((((VLOOKUP(B255,Database!$A:$AS,MATCH($I$1,Database!$A$1:$AS$1,),))))-(((VLOOKUP(EDATE(B255,-12),Database!$A:$AS,MATCH($I$1,Database!$A$1:$AS$1,),)))))/(((VLOOKUP(EDATE(B255,-12),Database!$A:$AS,MATCH($I$1,Database!$A$1:$AS$1,),)))))</f>
        <v/>
      </c>
      <c r="J255" s="13">
        <f>IF(VLOOKUP(B255,Database!$A:$AV,MATCH($J$1,Database!$A$1:$AV$1,),)=0,"#N/A",((((VLOOKUP(B255,Database!$A:$AS,MATCH($J$1,Database!$A$1:$AS$1,),))))-(((VLOOKUP(EDATE(B255,-12),Database!$A:$AS,MATCH($J$1,Database!$A$1:$AS$1,),)))))/(((VLOOKUP(EDATE(B255,-12),Database!$A:$AS,MATCH($J$1,Database!$A$1:$AS$1,),)))))</f>
        <v/>
      </c>
      <c r="K255" s="13">
        <f>IF(VLOOKUP(B255,Database!$A:$AV,MATCH($K$1,Database!$A$1:$AV$1,),)=0,"#N/A",((((VLOOKUP(B255,Database!$A:$AS,MATCH($K$1,Database!$A$1:$AS$1,),))))-(((VLOOKUP(EDATE(B255,-12),Database!$A:$AS,MATCH($K$1,Database!$A$1:$AS$1,),)))))/(((VLOOKUP(EDATE(B255,-12),Database!$A:$AS,MATCH($K$1,Database!$A$1:$AS$1,),)))))</f>
        <v/>
      </c>
      <c r="L255" s="13">
        <f>((((VLOOKUP(B255,Database!$A:$AS,MATCH($L$1,Database!$A$1:$AS$1,),))))-(((VLOOKUP(EDATE(B255,-12),Database!$A:$AS,MATCH($L$1,Database!$A$1:$AS$1,),)))))/(((VLOOKUP(EDATE(B255,-12),Database!$A:$AS,MATCH($L$1,Database!$A$1:$AS$1,),))))</f>
        <v/>
      </c>
      <c r="M255" s="13">
        <f>((((VLOOKUP(B255,Database!$A:$AS,MATCH($M$1,Database!$A$1:$AS$1,),))))-(((VLOOKUP(EDATE(B255,-12),Database!$A:$AS,MATCH($M$1,Database!$A$1:$AS$1,),)))))/(((VLOOKUP(EDATE(B255,-12),Database!$A:$AS,MATCH($M$1,Database!$A$1:$AS$1,),))))</f>
        <v/>
      </c>
      <c r="N255" s="13">
        <f>((((VLOOKUP(B255,Database!$A:$AS,MATCH($N$1,Database!$A$1:$AS$1,),))))-(((VLOOKUP(EDATE(B255,-12),Database!$A:$AS,MATCH($N$1,Database!$A$1:$AS$1,),)))))/(((VLOOKUP(EDATE(B255,-12),Database!$A:$AS,MATCH($N$1,Database!$A$1:$AS$1,),))))</f>
        <v/>
      </c>
      <c r="O255" s="13">
        <f>IF(VLOOKUP(B255,Database!$A:$AV,MATCH($O$1,Database!$A$1:$AV$1,),)=0,"#N/A",((((VLOOKUP(B255,Database!$A:$AS,MATCH($O$1,Database!$A$1:$AS$1,),))))-(((VLOOKUP(EDATE(B255,-12),Database!$A:$AS,MATCH($O$1,Database!$A$1:$AS$1,),)))))/(((VLOOKUP(EDATE(B255,-12),Database!$A:$AS,MATCH($O$1,Database!$A$1:$AS$1,),)))))</f>
        <v/>
      </c>
      <c r="P255" s="13">
        <f>IF(VLOOKUP(B255,Database!$A:$AV,MATCH($P$1,Database!$A$1:$AV$1,),)=0,"#N/A",((((VLOOKUP(B255,Database!$A:$AS,MATCH($P$1,Database!$A$1:$AS$1,),))))-(((VLOOKUP(EDATE(B255,-12),Database!$A:$AS,MATCH($P$1,Database!$A$1:$AS$1,),)))))/(((VLOOKUP(EDATE(B255,-12),Database!$A:$AS,MATCH($P$1,Database!$A$1:$AS$1,),)))))</f>
        <v/>
      </c>
      <c r="Q255" s="13">
        <f>IF(VLOOKUP(B255,Database!$A:$AV,MATCH($Q$1,Database!$A$1:$AV$1,),)=0,"#N/A",((((VLOOKUP(B255,Database!$A:$AS,MATCH($Q$1,Database!$A$1:$AS$1,),))))-(((VLOOKUP(EDATE(B255,-12),Database!$A:$AS,MATCH($Q$1,Database!$A$1:$AS$1,),)))))/(((VLOOKUP(EDATE(B255,-12),Database!$A:$AS,MATCH($Q$1,Database!$A$1:$AS$1,),)))))</f>
        <v/>
      </c>
      <c r="R255" s="13">
        <f>IF(VLOOKUP(B255,Database!$A:$AV,MATCH($R$1,Database!$A$1:$AV$1,),)=0,"#N/A",((((VLOOKUP(B255,Database!$A:$AS,MATCH($R$1,Database!$A$1:$AS$1,),))))-(((VLOOKUP(EDATE(B255,-12),Database!$A:$AS,MATCH($R$1,Database!$A$1:$AS$1,),)))))/(((VLOOKUP(EDATE(B255,-12),Database!$A:$AS,MATCH($R$1,Database!$A$1:$AS$1,),)))))</f>
        <v/>
      </c>
      <c r="S255" s="13">
        <f>IF(VLOOKUP(B255,Database!$A:$AV,MATCH($S$1,Database!$A$1:$AV$1,),)=0,"#N/A",((((VLOOKUP(B255,Database!$A:$AS,MATCH($S$1,Database!$A$1:$AS$1,),))))-(((VLOOKUP(EDATE(B255,-12),Database!$A:$AS,MATCH($S$1,Database!$A$1:$AS$1,),)))))/(((VLOOKUP(EDATE(B255,-12),Database!$A:$AS,MATCH($S$1,Database!$A$1:$AS$1,),)))))</f>
        <v/>
      </c>
      <c r="T255" s="13">
        <f>IF(VLOOKUP(B255,Database!$A:$AV,MATCH($T$1,Database!$A$1:$AV$1,),)=0,"#N/A",((((VLOOKUP(B255,Database!$A:$AS,MATCH($T$1,Database!$A$1:$AS$1,),))))-(((VLOOKUP(EDATE(B255,-12),Database!$A:$AS,MATCH($T$1,Database!$A$1:$AS$1,),)))))/(((VLOOKUP(EDATE(B255,-12),Database!$A:$AS,MATCH($T$1,Database!$A$1:$AS$1,),)))))</f>
        <v/>
      </c>
      <c r="U255" s="13">
        <f>IF(VLOOKUP(B255,Database!$A:$AV,MATCH($U$1,Database!$A$1:$AV$1,),)=0,"#N/A",((((VLOOKUP(B255,Database!$A:$AS,MATCH($U$1,Database!$A$1:$AS$1,),))))-(((VLOOKUP(EDATE(B255,-12),Database!$A:$AS,MATCH($U$1,Database!$A$1:$AS$1,),)))))/(((VLOOKUP(EDATE(B255,-12),Database!$A:$AS,MATCH($U$1,Database!$A$1:$AS$1,),)))))</f>
        <v/>
      </c>
      <c r="V255" s="13">
        <f>IF(VLOOKUP(B255,Database!$A:$AV,MATCH($V$1,Database!$A$1:$AV$1,),)=0,"#N/A",((((VLOOKUP(B255,Database!$A:$AS,MATCH($V$1,Database!$A$1:$AS$1,),))))-(((VLOOKUP(EDATE(B255,-12),Database!$A:$AS,MATCH($V$1,Database!$A$1:$AS$1,),)))))/(((VLOOKUP(EDATE(B255,-12),Database!$A:$AS,MATCH($V$1,Database!$A$1:$AS$1,),)))))</f>
        <v/>
      </c>
    </row>
    <row r="256" customFormat="1" s="86">
      <c r="A256" s="43" t="n"/>
      <c r="B256" s="75" t="n">
        <v>39934</v>
      </c>
      <c r="C256" s="13">
        <f>IF(VLOOKUP(B256,Database!$A:$AU,MATCH($C$1,Database!$A$1:$AU$1,),)=0,"#N/A",((((VLOOKUP(B256,Database!$A:$AU,MATCH($C$1,Database!$A$1:$AU$1,),))))-(((VLOOKUP(EDATE(B256,-12),Database!$A:$AU,MATCH($C$1,Database!$A$1:$AU$1,),)))))/(((VLOOKUP(EDATE(B256,-12),Database!$A:$AU,MATCH($C$1,Database!$A$1:$AU$1,),)))))</f>
        <v/>
      </c>
      <c r="D256" s="13">
        <f>IF(VLOOKUP(B256,Database!$A:$AV,MATCH($D$1,Database!$A$1:$AV$1,),)=0,"#N/A",((((VLOOKUP(B256,Database!$A:$AS,MATCH($D$1,Database!$A$1:$AS$1,),))))-(((VLOOKUP(EDATE(B256,-12),Database!$A:$AS,MATCH($D$1,Database!$A$1:$AS$1,),)))))/(((VLOOKUP(EDATE(B256,-12),Database!$A:$AS,MATCH($D$1,Database!$A$1:$AS$1,),)))))</f>
        <v/>
      </c>
      <c r="E256" s="13">
        <f>IF(VLOOKUP(B256,Database!$A:$AV,MATCH($E$1,Database!$A$1:$AV$1,),)=0,"#N/A",((((VLOOKUP(B256,Database!$A:$AS,MATCH($E$1,Database!$A$1:$AS$1,),))))-(((VLOOKUP(EDATE(B256,-12),Database!$A:$AS,MATCH($E$1,Database!$A$1:$AS$1,),)))))/(((VLOOKUP(EDATE(B256,-12),Database!$A:$AS,MATCH($E$1,Database!$A$1:$AS$1,),)))))</f>
        <v/>
      </c>
      <c r="F256" s="13">
        <f>IF(VLOOKUP(B256,Database!$A:$AV,MATCH($F$1,Database!$A$1:$AV$1,),)=0,"#N/A",((((VLOOKUP(B256,Database!$A:$AS,MATCH($F$1,Database!$A$1:$AS$1,),))))-(((VLOOKUP(EDATE(B256,-12),Database!$A:$AS,MATCH($F$1,Database!$A$1:$AS$1,),)))))/(((VLOOKUP(EDATE(B256,-12),Database!$A:$AS,MATCH($F$1,Database!$A$1:$AS$1,),)))))</f>
        <v/>
      </c>
      <c r="G256" s="13">
        <f>IF(VLOOKUP(B256,Database!$A:$AV,MATCH($G$1,Database!$A$1:$AV$1,),)=0,"#N/A",((((VLOOKUP(B256,Database!$A:$AS,MATCH($G$1,Database!$A$1:$AS$1,),))))-(((VLOOKUP(EDATE(B256,-12),Database!$A:$AS,MATCH($G$1,Database!$A$1:$AS$1,),)))))/(((VLOOKUP(EDATE(B256,-12),Database!$A:$AS,MATCH($G$1,Database!$A$1:$AS$1,),)))))</f>
        <v/>
      </c>
      <c r="H256" s="13">
        <f>IF(VLOOKUP(B256,Database!$A:$AV,MATCH($H$1,Database!$A$1:$AV$1,),)=0,"#N/A",((((VLOOKUP(B256,Database!$A:$AS,MATCH($H$1,Database!$A$1:$AS$1,),))))-(((VLOOKUP(EDATE(B256,-12),Database!$A:$AS,MATCH($H$1,Database!$A$1:$AS$1,),)))))/(((VLOOKUP(EDATE(B256,-12),Database!$A:$AS,MATCH($H$1,Database!$A$1:$AS$1,),)))))</f>
        <v/>
      </c>
      <c r="I256" s="13">
        <f>IF(VLOOKUP(B256,Database!$A:$AV,MATCH($I$1,Database!$A$1:$AV$1,),)=0,"#N/A",((((VLOOKUP(B256,Database!$A:$AS,MATCH($I$1,Database!$A$1:$AS$1,),))))-(((VLOOKUP(EDATE(B256,-12),Database!$A:$AS,MATCH($I$1,Database!$A$1:$AS$1,),)))))/(((VLOOKUP(EDATE(B256,-12),Database!$A:$AS,MATCH($I$1,Database!$A$1:$AS$1,),)))))</f>
        <v/>
      </c>
      <c r="J256" s="13">
        <f>IF(VLOOKUP(B256,Database!$A:$AV,MATCH($J$1,Database!$A$1:$AV$1,),)=0,"#N/A",((((VLOOKUP(B256,Database!$A:$AS,MATCH($J$1,Database!$A$1:$AS$1,),))))-(((VLOOKUP(EDATE(B256,-12),Database!$A:$AS,MATCH($J$1,Database!$A$1:$AS$1,),)))))/(((VLOOKUP(EDATE(B256,-12),Database!$A:$AS,MATCH($J$1,Database!$A$1:$AS$1,),)))))</f>
        <v/>
      </c>
      <c r="K256" s="13">
        <f>IF(VLOOKUP(B256,Database!$A:$AV,MATCH($K$1,Database!$A$1:$AV$1,),)=0,"#N/A",((((VLOOKUP(B256,Database!$A:$AS,MATCH($K$1,Database!$A$1:$AS$1,),))))-(((VLOOKUP(EDATE(B256,-12),Database!$A:$AS,MATCH($K$1,Database!$A$1:$AS$1,),)))))/(((VLOOKUP(EDATE(B256,-12),Database!$A:$AS,MATCH($K$1,Database!$A$1:$AS$1,),)))))</f>
        <v/>
      </c>
      <c r="L256" s="13">
        <f>((((VLOOKUP(B256,Database!$A:$AS,MATCH($L$1,Database!$A$1:$AS$1,),))))-(((VLOOKUP(EDATE(B256,-12),Database!$A:$AS,MATCH($L$1,Database!$A$1:$AS$1,),)))))/(((VLOOKUP(EDATE(B256,-12),Database!$A:$AS,MATCH($L$1,Database!$A$1:$AS$1,),))))</f>
        <v/>
      </c>
      <c r="M256" s="13">
        <f>((((VLOOKUP(B256,Database!$A:$AS,MATCH($M$1,Database!$A$1:$AS$1,),))))-(((VLOOKUP(EDATE(B256,-12),Database!$A:$AS,MATCH($M$1,Database!$A$1:$AS$1,),)))))/(((VLOOKUP(EDATE(B256,-12),Database!$A:$AS,MATCH($M$1,Database!$A$1:$AS$1,),))))</f>
        <v/>
      </c>
      <c r="N256" s="13">
        <f>((((VLOOKUP(B256,Database!$A:$AS,MATCH($N$1,Database!$A$1:$AS$1,),))))-(((VLOOKUP(EDATE(B256,-12),Database!$A:$AS,MATCH($N$1,Database!$A$1:$AS$1,),)))))/(((VLOOKUP(EDATE(B256,-12),Database!$A:$AS,MATCH($N$1,Database!$A$1:$AS$1,),))))</f>
        <v/>
      </c>
      <c r="O256" s="13">
        <f>IF(VLOOKUP(B256,Database!$A:$AV,MATCH($O$1,Database!$A$1:$AV$1,),)=0,"#N/A",((((VLOOKUP(B256,Database!$A:$AS,MATCH($O$1,Database!$A$1:$AS$1,),))))-(((VLOOKUP(EDATE(B256,-12),Database!$A:$AS,MATCH($O$1,Database!$A$1:$AS$1,),)))))/(((VLOOKUP(EDATE(B256,-12),Database!$A:$AS,MATCH($O$1,Database!$A$1:$AS$1,),)))))</f>
        <v/>
      </c>
      <c r="P256" s="13">
        <f>IF(VLOOKUP(B256,Database!$A:$AV,MATCH($P$1,Database!$A$1:$AV$1,),)=0,"#N/A",((((VLOOKUP(B256,Database!$A:$AS,MATCH($P$1,Database!$A$1:$AS$1,),))))-(((VLOOKUP(EDATE(B256,-12),Database!$A:$AS,MATCH($P$1,Database!$A$1:$AS$1,),)))))/(((VLOOKUP(EDATE(B256,-12),Database!$A:$AS,MATCH($P$1,Database!$A$1:$AS$1,),)))))</f>
        <v/>
      </c>
      <c r="Q256" s="13">
        <f>IF(VLOOKUP(B256,Database!$A:$AV,MATCH($Q$1,Database!$A$1:$AV$1,),)=0,"#N/A",((((VLOOKUP(B256,Database!$A:$AS,MATCH($Q$1,Database!$A$1:$AS$1,),))))-(((VLOOKUP(EDATE(B256,-12),Database!$A:$AS,MATCH($Q$1,Database!$A$1:$AS$1,),)))))/(((VLOOKUP(EDATE(B256,-12),Database!$A:$AS,MATCH($Q$1,Database!$A$1:$AS$1,),)))))</f>
        <v/>
      </c>
      <c r="R256" s="13">
        <f>IF(VLOOKUP(B256,Database!$A:$AV,MATCH($R$1,Database!$A$1:$AV$1,),)=0,"#N/A",((((VLOOKUP(B256,Database!$A:$AS,MATCH($R$1,Database!$A$1:$AS$1,),))))-(((VLOOKUP(EDATE(B256,-12),Database!$A:$AS,MATCH($R$1,Database!$A$1:$AS$1,),)))))/(((VLOOKUP(EDATE(B256,-12),Database!$A:$AS,MATCH($R$1,Database!$A$1:$AS$1,),)))))</f>
        <v/>
      </c>
      <c r="S256" s="13">
        <f>IF(VLOOKUP(B256,Database!$A:$AV,MATCH($S$1,Database!$A$1:$AV$1,),)=0,"#N/A",((((VLOOKUP(B256,Database!$A:$AS,MATCH($S$1,Database!$A$1:$AS$1,),))))-(((VLOOKUP(EDATE(B256,-12),Database!$A:$AS,MATCH($S$1,Database!$A$1:$AS$1,),)))))/(((VLOOKUP(EDATE(B256,-12),Database!$A:$AS,MATCH($S$1,Database!$A$1:$AS$1,),)))))</f>
        <v/>
      </c>
      <c r="T256" s="13">
        <f>IF(VLOOKUP(B256,Database!$A:$AV,MATCH($T$1,Database!$A$1:$AV$1,),)=0,"#N/A",((((VLOOKUP(B256,Database!$A:$AS,MATCH($T$1,Database!$A$1:$AS$1,),))))-(((VLOOKUP(EDATE(B256,-12),Database!$A:$AS,MATCH($T$1,Database!$A$1:$AS$1,),)))))/(((VLOOKUP(EDATE(B256,-12),Database!$A:$AS,MATCH($T$1,Database!$A$1:$AS$1,),)))))</f>
        <v/>
      </c>
      <c r="U256" s="13">
        <f>IF(VLOOKUP(B256,Database!$A:$AV,MATCH($U$1,Database!$A$1:$AV$1,),)=0,"#N/A",((((VLOOKUP(B256,Database!$A:$AS,MATCH($U$1,Database!$A$1:$AS$1,),))))-(((VLOOKUP(EDATE(B256,-12),Database!$A:$AS,MATCH($U$1,Database!$A$1:$AS$1,),)))))/(((VLOOKUP(EDATE(B256,-12),Database!$A:$AS,MATCH($U$1,Database!$A$1:$AS$1,),)))))</f>
        <v/>
      </c>
      <c r="V256" s="13">
        <f>IF(VLOOKUP(B256,Database!$A:$AV,MATCH($V$1,Database!$A$1:$AV$1,),)=0,"#N/A",((((VLOOKUP(B256,Database!$A:$AS,MATCH($V$1,Database!$A$1:$AS$1,),))))-(((VLOOKUP(EDATE(B256,-12),Database!$A:$AS,MATCH($V$1,Database!$A$1:$AS$1,),)))))/(((VLOOKUP(EDATE(B256,-12),Database!$A:$AS,MATCH($V$1,Database!$A$1:$AS$1,),)))))</f>
        <v/>
      </c>
    </row>
    <row r="257" customFormat="1" s="86">
      <c r="A257" s="43" t="n"/>
      <c r="B257" s="75" t="n">
        <v>39965</v>
      </c>
      <c r="C257" s="13">
        <f>IF(VLOOKUP(B257,Database!$A:$AU,MATCH($C$1,Database!$A$1:$AU$1,),)=0,"#N/A",((((VLOOKUP(B257,Database!$A:$AU,MATCH($C$1,Database!$A$1:$AU$1,),))))-(((VLOOKUP(EDATE(B257,-12),Database!$A:$AU,MATCH($C$1,Database!$A$1:$AU$1,),)))))/(((VLOOKUP(EDATE(B257,-12),Database!$A:$AU,MATCH($C$1,Database!$A$1:$AU$1,),)))))</f>
        <v/>
      </c>
      <c r="D257" s="13">
        <f>IF(VLOOKUP(B257,Database!$A:$AV,MATCH($D$1,Database!$A$1:$AV$1,),)=0,"#N/A",((((VLOOKUP(B257,Database!$A:$AS,MATCH($D$1,Database!$A$1:$AS$1,),))))-(((VLOOKUP(EDATE(B257,-12),Database!$A:$AS,MATCH($D$1,Database!$A$1:$AS$1,),)))))/(((VLOOKUP(EDATE(B257,-12),Database!$A:$AS,MATCH($D$1,Database!$A$1:$AS$1,),)))))</f>
        <v/>
      </c>
      <c r="E257" s="13">
        <f>IF(VLOOKUP(B257,Database!$A:$AV,MATCH($E$1,Database!$A$1:$AV$1,),)=0,"#N/A",((((VLOOKUP(B257,Database!$A:$AS,MATCH($E$1,Database!$A$1:$AS$1,),))))-(((VLOOKUP(EDATE(B257,-12),Database!$A:$AS,MATCH($E$1,Database!$A$1:$AS$1,),)))))/(((VLOOKUP(EDATE(B257,-12),Database!$A:$AS,MATCH($E$1,Database!$A$1:$AS$1,),)))))</f>
        <v/>
      </c>
      <c r="F257" s="13">
        <f>IF(VLOOKUP(B257,Database!$A:$AV,MATCH($F$1,Database!$A$1:$AV$1,),)=0,"#N/A",((((VLOOKUP(B257,Database!$A:$AS,MATCH($F$1,Database!$A$1:$AS$1,),))))-(((VLOOKUP(EDATE(B257,-12),Database!$A:$AS,MATCH($F$1,Database!$A$1:$AS$1,),)))))/(((VLOOKUP(EDATE(B257,-12),Database!$A:$AS,MATCH($F$1,Database!$A$1:$AS$1,),)))))</f>
        <v/>
      </c>
      <c r="G257" s="13">
        <f>IF(VLOOKUP(B257,Database!$A:$AV,MATCH($G$1,Database!$A$1:$AV$1,),)=0,"#N/A",((((VLOOKUP(B257,Database!$A:$AS,MATCH($G$1,Database!$A$1:$AS$1,),))))-(((VLOOKUP(EDATE(B257,-12),Database!$A:$AS,MATCH($G$1,Database!$A$1:$AS$1,),)))))/(((VLOOKUP(EDATE(B257,-12),Database!$A:$AS,MATCH($G$1,Database!$A$1:$AS$1,),)))))</f>
        <v/>
      </c>
      <c r="H257" s="13">
        <f>IF(VLOOKUP(B257,Database!$A:$AV,MATCH($H$1,Database!$A$1:$AV$1,),)=0,"#N/A",((((VLOOKUP(B257,Database!$A:$AS,MATCH($H$1,Database!$A$1:$AS$1,),))))-(((VLOOKUP(EDATE(B257,-12),Database!$A:$AS,MATCH($H$1,Database!$A$1:$AS$1,),)))))/(((VLOOKUP(EDATE(B257,-12),Database!$A:$AS,MATCH($H$1,Database!$A$1:$AS$1,),)))))</f>
        <v/>
      </c>
      <c r="I257" s="13">
        <f>IF(VLOOKUP(B257,Database!$A:$AV,MATCH($I$1,Database!$A$1:$AV$1,),)=0,"#N/A",((((VLOOKUP(B257,Database!$A:$AS,MATCH($I$1,Database!$A$1:$AS$1,),))))-(((VLOOKUP(EDATE(B257,-12),Database!$A:$AS,MATCH($I$1,Database!$A$1:$AS$1,),)))))/(((VLOOKUP(EDATE(B257,-12),Database!$A:$AS,MATCH($I$1,Database!$A$1:$AS$1,),)))))</f>
        <v/>
      </c>
      <c r="J257" s="13">
        <f>IF(VLOOKUP(B257,Database!$A:$AV,MATCH($J$1,Database!$A$1:$AV$1,),)=0,"#N/A",((((VLOOKUP(B257,Database!$A:$AS,MATCH($J$1,Database!$A$1:$AS$1,),))))-(((VLOOKUP(EDATE(B257,-12),Database!$A:$AS,MATCH($J$1,Database!$A$1:$AS$1,),)))))/(((VLOOKUP(EDATE(B257,-12),Database!$A:$AS,MATCH($J$1,Database!$A$1:$AS$1,),)))))</f>
        <v/>
      </c>
      <c r="K257" s="13">
        <f>IF(VLOOKUP(B257,Database!$A:$AV,MATCH($K$1,Database!$A$1:$AV$1,),)=0,"#N/A",((((VLOOKUP(B257,Database!$A:$AS,MATCH($K$1,Database!$A$1:$AS$1,),))))-(((VLOOKUP(EDATE(B257,-12),Database!$A:$AS,MATCH($K$1,Database!$A$1:$AS$1,),)))))/(((VLOOKUP(EDATE(B257,-12),Database!$A:$AS,MATCH($K$1,Database!$A$1:$AS$1,),)))))</f>
        <v/>
      </c>
      <c r="L257" s="13">
        <f>((((VLOOKUP(B257,Database!$A:$AS,MATCH($L$1,Database!$A$1:$AS$1,),))))-(((VLOOKUP(EDATE(B257,-12),Database!$A:$AS,MATCH($L$1,Database!$A$1:$AS$1,),)))))/(((VLOOKUP(EDATE(B257,-12),Database!$A:$AS,MATCH($L$1,Database!$A$1:$AS$1,),))))</f>
        <v/>
      </c>
      <c r="M257" s="13">
        <f>((((VLOOKUP(B257,Database!$A:$AS,MATCH($M$1,Database!$A$1:$AS$1,),))))-(((VLOOKUP(EDATE(B257,-12),Database!$A:$AS,MATCH($M$1,Database!$A$1:$AS$1,),)))))/(((VLOOKUP(EDATE(B257,-12),Database!$A:$AS,MATCH($M$1,Database!$A$1:$AS$1,),))))</f>
        <v/>
      </c>
      <c r="N257" s="13">
        <f>((((VLOOKUP(B257,Database!$A:$AS,MATCH($N$1,Database!$A$1:$AS$1,),))))-(((VLOOKUP(EDATE(B257,-12),Database!$A:$AS,MATCH($N$1,Database!$A$1:$AS$1,),)))))/(((VLOOKUP(EDATE(B257,-12),Database!$A:$AS,MATCH($N$1,Database!$A$1:$AS$1,),))))</f>
        <v/>
      </c>
      <c r="O257" s="13">
        <f>IF(VLOOKUP(B257,Database!$A:$AV,MATCH($O$1,Database!$A$1:$AV$1,),)=0,"#N/A",((((VLOOKUP(B257,Database!$A:$AS,MATCH($O$1,Database!$A$1:$AS$1,),))))-(((VLOOKUP(EDATE(B257,-12),Database!$A:$AS,MATCH($O$1,Database!$A$1:$AS$1,),)))))/(((VLOOKUP(EDATE(B257,-12),Database!$A:$AS,MATCH($O$1,Database!$A$1:$AS$1,),)))))</f>
        <v/>
      </c>
      <c r="P257" s="13">
        <f>IF(VLOOKUP(B257,Database!$A:$AV,MATCH($P$1,Database!$A$1:$AV$1,),)=0,"#N/A",((((VLOOKUP(B257,Database!$A:$AS,MATCH($P$1,Database!$A$1:$AS$1,),))))-(((VLOOKUP(EDATE(B257,-12),Database!$A:$AS,MATCH($P$1,Database!$A$1:$AS$1,),)))))/(((VLOOKUP(EDATE(B257,-12),Database!$A:$AS,MATCH($P$1,Database!$A$1:$AS$1,),)))))</f>
        <v/>
      </c>
      <c r="Q257" s="13">
        <f>IF(VLOOKUP(B257,Database!$A:$AV,MATCH($Q$1,Database!$A$1:$AV$1,),)=0,"#N/A",((((VLOOKUP(B257,Database!$A:$AS,MATCH($Q$1,Database!$A$1:$AS$1,),))))-(((VLOOKUP(EDATE(B257,-12),Database!$A:$AS,MATCH($Q$1,Database!$A$1:$AS$1,),)))))/(((VLOOKUP(EDATE(B257,-12),Database!$A:$AS,MATCH($Q$1,Database!$A$1:$AS$1,),)))))</f>
        <v/>
      </c>
      <c r="R257" s="13">
        <f>IF(VLOOKUP(B257,Database!$A:$AV,MATCH($R$1,Database!$A$1:$AV$1,),)=0,"#N/A",((((VLOOKUP(B257,Database!$A:$AS,MATCH($R$1,Database!$A$1:$AS$1,),))))-(((VLOOKUP(EDATE(B257,-12),Database!$A:$AS,MATCH($R$1,Database!$A$1:$AS$1,),)))))/(((VLOOKUP(EDATE(B257,-12),Database!$A:$AS,MATCH($R$1,Database!$A$1:$AS$1,),)))))</f>
        <v/>
      </c>
      <c r="S257" s="13">
        <f>IF(VLOOKUP(B257,Database!$A:$AV,MATCH($S$1,Database!$A$1:$AV$1,),)=0,"#N/A",((((VLOOKUP(B257,Database!$A:$AS,MATCH($S$1,Database!$A$1:$AS$1,),))))-(((VLOOKUP(EDATE(B257,-12),Database!$A:$AS,MATCH($S$1,Database!$A$1:$AS$1,),)))))/(((VLOOKUP(EDATE(B257,-12),Database!$A:$AS,MATCH($S$1,Database!$A$1:$AS$1,),)))))</f>
        <v/>
      </c>
      <c r="T257" s="13">
        <f>IF(VLOOKUP(B257,Database!$A:$AV,MATCH($T$1,Database!$A$1:$AV$1,),)=0,"#N/A",((((VLOOKUP(B257,Database!$A:$AS,MATCH($T$1,Database!$A$1:$AS$1,),))))-(((VLOOKUP(EDATE(B257,-12),Database!$A:$AS,MATCH($T$1,Database!$A$1:$AS$1,),)))))/(((VLOOKUP(EDATE(B257,-12),Database!$A:$AS,MATCH($T$1,Database!$A$1:$AS$1,),)))))</f>
        <v/>
      </c>
      <c r="U257" s="13">
        <f>IF(VLOOKUP(B257,Database!$A:$AV,MATCH($U$1,Database!$A$1:$AV$1,),)=0,"#N/A",((((VLOOKUP(B257,Database!$A:$AS,MATCH($U$1,Database!$A$1:$AS$1,),))))-(((VLOOKUP(EDATE(B257,-12),Database!$A:$AS,MATCH($U$1,Database!$A$1:$AS$1,),)))))/(((VLOOKUP(EDATE(B257,-12),Database!$A:$AS,MATCH($U$1,Database!$A$1:$AS$1,),)))))</f>
        <v/>
      </c>
      <c r="V257" s="13">
        <f>IF(VLOOKUP(B257,Database!$A:$AV,MATCH($V$1,Database!$A$1:$AV$1,),)=0,"#N/A",((((VLOOKUP(B257,Database!$A:$AS,MATCH($V$1,Database!$A$1:$AS$1,),))))-(((VLOOKUP(EDATE(B257,-12),Database!$A:$AS,MATCH($V$1,Database!$A$1:$AS$1,),)))))/(((VLOOKUP(EDATE(B257,-12),Database!$A:$AS,MATCH($V$1,Database!$A$1:$AS$1,),)))))</f>
        <v/>
      </c>
    </row>
    <row r="258" customFormat="1" s="86">
      <c r="A258" s="43" t="n"/>
      <c r="B258" s="75" t="n">
        <v>39995</v>
      </c>
      <c r="C258" s="13">
        <f>IF(VLOOKUP(B258,Database!$A:$AU,MATCH($C$1,Database!$A$1:$AU$1,),)=0,"#N/A",((((VLOOKUP(B258,Database!$A:$AU,MATCH($C$1,Database!$A$1:$AU$1,),))))-(((VLOOKUP(EDATE(B258,-12),Database!$A:$AU,MATCH($C$1,Database!$A$1:$AU$1,),)))))/(((VLOOKUP(EDATE(B258,-12),Database!$A:$AU,MATCH($C$1,Database!$A$1:$AU$1,),)))))</f>
        <v/>
      </c>
      <c r="D258" s="13">
        <f>IF(VLOOKUP(B258,Database!$A:$AV,MATCH($D$1,Database!$A$1:$AV$1,),)=0,"#N/A",((((VLOOKUP(B258,Database!$A:$AS,MATCH($D$1,Database!$A$1:$AS$1,),))))-(((VLOOKUP(EDATE(B258,-12),Database!$A:$AS,MATCH($D$1,Database!$A$1:$AS$1,),)))))/(((VLOOKUP(EDATE(B258,-12),Database!$A:$AS,MATCH($D$1,Database!$A$1:$AS$1,),)))))</f>
        <v/>
      </c>
      <c r="E258" s="13">
        <f>IF(VLOOKUP(B258,Database!$A:$AV,MATCH($E$1,Database!$A$1:$AV$1,),)=0,"#N/A",((((VLOOKUP(B258,Database!$A:$AS,MATCH($E$1,Database!$A$1:$AS$1,),))))-(((VLOOKUP(EDATE(B258,-12),Database!$A:$AS,MATCH($E$1,Database!$A$1:$AS$1,),)))))/(((VLOOKUP(EDATE(B258,-12),Database!$A:$AS,MATCH($E$1,Database!$A$1:$AS$1,),)))))</f>
        <v/>
      </c>
      <c r="F258" s="13">
        <f>IF(VLOOKUP(B258,Database!$A:$AV,MATCH($F$1,Database!$A$1:$AV$1,),)=0,"#N/A",((((VLOOKUP(B258,Database!$A:$AS,MATCH($F$1,Database!$A$1:$AS$1,),))))-(((VLOOKUP(EDATE(B258,-12),Database!$A:$AS,MATCH($F$1,Database!$A$1:$AS$1,),)))))/(((VLOOKUP(EDATE(B258,-12),Database!$A:$AS,MATCH($F$1,Database!$A$1:$AS$1,),)))))</f>
        <v/>
      </c>
      <c r="G258" s="13">
        <f>IF(VLOOKUP(B258,Database!$A:$AV,MATCH($G$1,Database!$A$1:$AV$1,),)=0,"#N/A",((((VLOOKUP(B258,Database!$A:$AS,MATCH($G$1,Database!$A$1:$AS$1,),))))-(((VLOOKUP(EDATE(B258,-12),Database!$A:$AS,MATCH($G$1,Database!$A$1:$AS$1,),)))))/(((VLOOKUP(EDATE(B258,-12),Database!$A:$AS,MATCH($G$1,Database!$A$1:$AS$1,),)))))</f>
        <v/>
      </c>
      <c r="H258" s="13">
        <f>IF(VLOOKUP(B258,Database!$A:$AV,MATCH($H$1,Database!$A$1:$AV$1,),)=0,"#N/A",((((VLOOKUP(B258,Database!$A:$AS,MATCH($H$1,Database!$A$1:$AS$1,),))))-(((VLOOKUP(EDATE(B258,-12),Database!$A:$AS,MATCH($H$1,Database!$A$1:$AS$1,),)))))/(((VLOOKUP(EDATE(B258,-12),Database!$A:$AS,MATCH($H$1,Database!$A$1:$AS$1,),)))))</f>
        <v/>
      </c>
      <c r="I258" s="13">
        <f>IF(VLOOKUP(B258,Database!$A:$AV,MATCH($I$1,Database!$A$1:$AV$1,),)=0,"#N/A",((((VLOOKUP(B258,Database!$A:$AS,MATCH($I$1,Database!$A$1:$AS$1,),))))-(((VLOOKUP(EDATE(B258,-12),Database!$A:$AS,MATCH($I$1,Database!$A$1:$AS$1,),)))))/(((VLOOKUP(EDATE(B258,-12),Database!$A:$AS,MATCH($I$1,Database!$A$1:$AS$1,),)))))</f>
        <v/>
      </c>
      <c r="J258" s="13">
        <f>IF(VLOOKUP(B258,Database!$A:$AV,MATCH($J$1,Database!$A$1:$AV$1,),)=0,"#N/A",((((VLOOKUP(B258,Database!$A:$AS,MATCH($J$1,Database!$A$1:$AS$1,),))))-(((VLOOKUP(EDATE(B258,-12),Database!$A:$AS,MATCH($J$1,Database!$A$1:$AS$1,),)))))/(((VLOOKUP(EDATE(B258,-12),Database!$A:$AS,MATCH($J$1,Database!$A$1:$AS$1,),)))))</f>
        <v/>
      </c>
      <c r="K258" s="13">
        <f>IF(VLOOKUP(B258,Database!$A:$AV,MATCH($K$1,Database!$A$1:$AV$1,),)=0,"#N/A",((((VLOOKUP(B258,Database!$A:$AS,MATCH($K$1,Database!$A$1:$AS$1,),))))-(((VLOOKUP(EDATE(B258,-12),Database!$A:$AS,MATCH($K$1,Database!$A$1:$AS$1,),)))))/(((VLOOKUP(EDATE(B258,-12),Database!$A:$AS,MATCH($K$1,Database!$A$1:$AS$1,),)))))</f>
        <v/>
      </c>
      <c r="L258" s="13">
        <f>((((VLOOKUP(B258,Database!$A:$AS,MATCH($L$1,Database!$A$1:$AS$1,),))))-(((VLOOKUP(EDATE(B258,-12),Database!$A:$AS,MATCH($L$1,Database!$A$1:$AS$1,),)))))/(((VLOOKUP(EDATE(B258,-12),Database!$A:$AS,MATCH($L$1,Database!$A$1:$AS$1,),))))</f>
        <v/>
      </c>
      <c r="M258" s="13">
        <f>((((VLOOKUP(B258,Database!$A:$AS,MATCH($M$1,Database!$A$1:$AS$1,),))))-(((VLOOKUP(EDATE(B258,-12),Database!$A:$AS,MATCH($M$1,Database!$A$1:$AS$1,),)))))/(((VLOOKUP(EDATE(B258,-12),Database!$A:$AS,MATCH($M$1,Database!$A$1:$AS$1,),))))</f>
        <v/>
      </c>
      <c r="N258" s="13">
        <f>((((VLOOKUP(B258,Database!$A:$AS,MATCH($N$1,Database!$A$1:$AS$1,),))))-(((VLOOKUP(EDATE(B258,-12),Database!$A:$AS,MATCH($N$1,Database!$A$1:$AS$1,),)))))/(((VLOOKUP(EDATE(B258,-12),Database!$A:$AS,MATCH($N$1,Database!$A$1:$AS$1,),))))</f>
        <v/>
      </c>
      <c r="O258" s="13">
        <f>IF(VLOOKUP(B258,Database!$A:$AV,MATCH($O$1,Database!$A$1:$AV$1,),)=0,"#N/A",((((VLOOKUP(B258,Database!$A:$AS,MATCH($O$1,Database!$A$1:$AS$1,),))))-(((VLOOKUP(EDATE(B258,-12),Database!$A:$AS,MATCH($O$1,Database!$A$1:$AS$1,),)))))/(((VLOOKUP(EDATE(B258,-12),Database!$A:$AS,MATCH($O$1,Database!$A$1:$AS$1,),)))))</f>
        <v/>
      </c>
      <c r="P258" s="13">
        <f>IF(VLOOKUP(B258,Database!$A:$AV,MATCH($P$1,Database!$A$1:$AV$1,),)=0,"#N/A",((((VLOOKUP(B258,Database!$A:$AS,MATCH($P$1,Database!$A$1:$AS$1,),))))-(((VLOOKUP(EDATE(B258,-12),Database!$A:$AS,MATCH($P$1,Database!$A$1:$AS$1,),)))))/(((VLOOKUP(EDATE(B258,-12),Database!$A:$AS,MATCH($P$1,Database!$A$1:$AS$1,),)))))</f>
        <v/>
      </c>
      <c r="Q258" s="13">
        <f>IF(VLOOKUP(B258,Database!$A:$AV,MATCH($Q$1,Database!$A$1:$AV$1,),)=0,"#N/A",((((VLOOKUP(B258,Database!$A:$AS,MATCH($Q$1,Database!$A$1:$AS$1,),))))-(((VLOOKUP(EDATE(B258,-12),Database!$A:$AS,MATCH($Q$1,Database!$A$1:$AS$1,),)))))/(((VLOOKUP(EDATE(B258,-12),Database!$A:$AS,MATCH($Q$1,Database!$A$1:$AS$1,),)))))</f>
        <v/>
      </c>
      <c r="R258" s="13">
        <f>IF(VLOOKUP(B258,Database!$A:$AV,MATCH($R$1,Database!$A$1:$AV$1,),)=0,"#N/A",((((VLOOKUP(B258,Database!$A:$AS,MATCH($R$1,Database!$A$1:$AS$1,),))))-(((VLOOKUP(EDATE(B258,-12),Database!$A:$AS,MATCH($R$1,Database!$A$1:$AS$1,),)))))/(((VLOOKUP(EDATE(B258,-12),Database!$A:$AS,MATCH($R$1,Database!$A$1:$AS$1,),)))))</f>
        <v/>
      </c>
      <c r="S258" s="13">
        <f>IF(VLOOKUP(B258,Database!$A:$AV,MATCH($S$1,Database!$A$1:$AV$1,),)=0,"#N/A",((((VLOOKUP(B258,Database!$A:$AS,MATCH($S$1,Database!$A$1:$AS$1,),))))-(((VLOOKUP(EDATE(B258,-12),Database!$A:$AS,MATCH($S$1,Database!$A$1:$AS$1,),)))))/(((VLOOKUP(EDATE(B258,-12),Database!$A:$AS,MATCH($S$1,Database!$A$1:$AS$1,),)))))</f>
        <v/>
      </c>
      <c r="T258" s="13">
        <f>IF(VLOOKUP(B258,Database!$A:$AV,MATCH($T$1,Database!$A$1:$AV$1,),)=0,"#N/A",((((VLOOKUP(B258,Database!$A:$AS,MATCH($T$1,Database!$A$1:$AS$1,),))))-(((VLOOKUP(EDATE(B258,-12),Database!$A:$AS,MATCH($T$1,Database!$A$1:$AS$1,),)))))/(((VLOOKUP(EDATE(B258,-12),Database!$A:$AS,MATCH($T$1,Database!$A$1:$AS$1,),)))))</f>
        <v/>
      </c>
      <c r="U258" s="13">
        <f>IF(VLOOKUP(B258,Database!$A:$AV,MATCH($U$1,Database!$A$1:$AV$1,),)=0,"#N/A",((((VLOOKUP(B258,Database!$A:$AS,MATCH($U$1,Database!$A$1:$AS$1,),))))-(((VLOOKUP(EDATE(B258,-12),Database!$A:$AS,MATCH($U$1,Database!$A$1:$AS$1,),)))))/(((VLOOKUP(EDATE(B258,-12),Database!$A:$AS,MATCH($U$1,Database!$A$1:$AS$1,),)))))</f>
        <v/>
      </c>
      <c r="V258" s="13">
        <f>IF(VLOOKUP(B258,Database!$A:$AV,MATCH($V$1,Database!$A$1:$AV$1,),)=0,"#N/A",((((VLOOKUP(B258,Database!$A:$AS,MATCH($V$1,Database!$A$1:$AS$1,),))))-(((VLOOKUP(EDATE(B258,-12),Database!$A:$AS,MATCH($V$1,Database!$A$1:$AS$1,),)))))/(((VLOOKUP(EDATE(B258,-12),Database!$A:$AS,MATCH($V$1,Database!$A$1:$AS$1,),)))))</f>
        <v/>
      </c>
    </row>
    <row r="259" customFormat="1" s="86">
      <c r="A259" s="43" t="n"/>
      <c r="B259" s="75" t="n">
        <v>40026</v>
      </c>
      <c r="C259" s="13">
        <f>IF(VLOOKUP(B259,Database!$A:$AU,MATCH($C$1,Database!$A$1:$AU$1,),)=0,"#N/A",((((VLOOKUP(B259,Database!$A:$AU,MATCH($C$1,Database!$A$1:$AU$1,),))))-(((VLOOKUP(EDATE(B259,-12),Database!$A:$AU,MATCH($C$1,Database!$A$1:$AU$1,),)))))/(((VLOOKUP(EDATE(B259,-12),Database!$A:$AU,MATCH($C$1,Database!$A$1:$AU$1,),)))))</f>
        <v/>
      </c>
      <c r="D259" s="13">
        <f>IF(VLOOKUP(B259,Database!$A:$AV,MATCH($D$1,Database!$A$1:$AV$1,),)=0,"#N/A",((((VLOOKUP(B259,Database!$A:$AS,MATCH($D$1,Database!$A$1:$AS$1,),))))-(((VLOOKUP(EDATE(B259,-12),Database!$A:$AS,MATCH($D$1,Database!$A$1:$AS$1,),)))))/(((VLOOKUP(EDATE(B259,-12),Database!$A:$AS,MATCH($D$1,Database!$A$1:$AS$1,),)))))</f>
        <v/>
      </c>
      <c r="E259" s="13">
        <f>IF(VLOOKUP(B259,Database!$A:$AV,MATCH($E$1,Database!$A$1:$AV$1,),)=0,"#N/A",((((VLOOKUP(B259,Database!$A:$AS,MATCH($E$1,Database!$A$1:$AS$1,),))))-(((VLOOKUP(EDATE(B259,-12),Database!$A:$AS,MATCH($E$1,Database!$A$1:$AS$1,),)))))/(((VLOOKUP(EDATE(B259,-12),Database!$A:$AS,MATCH($E$1,Database!$A$1:$AS$1,),)))))</f>
        <v/>
      </c>
      <c r="F259" s="13">
        <f>IF(VLOOKUP(B259,Database!$A:$AV,MATCH($F$1,Database!$A$1:$AV$1,),)=0,"#N/A",((((VLOOKUP(B259,Database!$A:$AS,MATCH($F$1,Database!$A$1:$AS$1,),))))-(((VLOOKUP(EDATE(B259,-12),Database!$A:$AS,MATCH($F$1,Database!$A$1:$AS$1,),)))))/(((VLOOKUP(EDATE(B259,-12),Database!$A:$AS,MATCH($F$1,Database!$A$1:$AS$1,),)))))</f>
        <v/>
      </c>
      <c r="G259" s="13">
        <f>IF(VLOOKUP(B259,Database!$A:$AV,MATCH($G$1,Database!$A$1:$AV$1,),)=0,"#N/A",((((VLOOKUP(B259,Database!$A:$AS,MATCH($G$1,Database!$A$1:$AS$1,),))))-(((VLOOKUP(EDATE(B259,-12),Database!$A:$AS,MATCH($G$1,Database!$A$1:$AS$1,),)))))/(((VLOOKUP(EDATE(B259,-12),Database!$A:$AS,MATCH($G$1,Database!$A$1:$AS$1,),)))))</f>
        <v/>
      </c>
      <c r="H259" s="13">
        <f>IF(VLOOKUP(B259,Database!$A:$AV,MATCH($H$1,Database!$A$1:$AV$1,),)=0,"#N/A",((((VLOOKUP(B259,Database!$A:$AS,MATCH($H$1,Database!$A$1:$AS$1,),))))-(((VLOOKUP(EDATE(B259,-12),Database!$A:$AS,MATCH($H$1,Database!$A$1:$AS$1,),)))))/(((VLOOKUP(EDATE(B259,-12),Database!$A:$AS,MATCH($H$1,Database!$A$1:$AS$1,),)))))</f>
        <v/>
      </c>
      <c r="I259" s="13">
        <f>IF(VLOOKUP(B259,Database!$A:$AV,MATCH($I$1,Database!$A$1:$AV$1,),)=0,"#N/A",((((VLOOKUP(B259,Database!$A:$AS,MATCH($I$1,Database!$A$1:$AS$1,),))))-(((VLOOKUP(EDATE(B259,-12),Database!$A:$AS,MATCH($I$1,Database!$A$1:$AS$1,),)))))/(((VLOOKUP(EDATE(B259,-12),Database!$A:$AS,MATCH($I$1,Database!$A$1:$AS$1,),)))))</f>
        <v/>
      </c>
      <c r="J259" s="13">
        <f>IF(VLOOKUP(B259,Database!$A:$AV,MATCH($J$1,Database!$A$1:$AV$1,),)=0,"#N/A",((((VLOOKUP(B259,Database!$A:$AS,MATCH($J$1,Database!$A$1:$AS$1,),))))-(((VLOOKUP(EDATE(B259,-12),Database!$A:$AS,MATCH($J$1,Database!$A$1:$AS$1,),)))))/(((VLOOKUP(EDATE(B259,-12),Database!$A:$AS,MATCH($J$1,Database!$A$1:$AS$1,),)))))</f>
        <v/>
      </c>
      <c r="K259" s="13">
        <f>IF(VLOOKUP(B259,Database!$A:$AV,MATCH($K$1,Database!$A$1:$AV$1,),)=0,"#N/A",((((VLOOKUP(B259,Database!$A:$AS,MATCH($K$1,Database!$A$1:$AS$1,),))))-(((VLOOKUP(EDATE(B259,-12),Database!$A:$AS,MATCH($K$1,Database!$A$1:$AS$1,),)))))/(((VLOOKUP(EDATE(B259,-12),Database!$A:$AS,MATCH($K$1,Database!$A$1:$AS$1,),)))))</f>
        <v/>
      </c>
      <c r="L259" s="13">
        <f>((((VLOOKUP(B259,Database!$A:$AS,MATCH($L$1,Database!$A$1:$AS$1,),))))-(((VLOOKUP(EDATE(B259,-12),Database!$A:$AS,MATCH($L$1,Database!$A$1:$AS$1,),)))))/(((VLOOKUP(EDATE(B259,-12),Database!$A:$AS,MATCH($L$1,Database!$A$1:$AS$1,),))))</f>
        <v/>
      </c>
      <c r="M259" s="13">
        <f>((((VLOOKUP(B259,Database!$A:$AS,MATCH($M$1,Database!$A$1:$AS$1,),))))-(((VLOOKUP(EDATE(B259,-12),Database!$A:$AS,MATCH($M$1,Database!$A$1:$AS$1,),)))))/(((VLOOKUP(EDATE(B259,-12),Database!$A:$AS,MATCH($M$1,Database!$A$1:$AS$1,),))))</f>
        <v/>
      </c>
      <c r="N259" s="13">
        <f>((((VLOOKUP(B259,Database!$A:$AS,MATCH($N$1,Database!$A$1:$AS$1,),))))-(((VLOOKUP(EDATE(B259,-12),Database!$A:$AS,MATCH($N$1,Database!$A$1:$AS$1,),)))))/(((VLOOKUP(EDATE(B259,-12),Database!$A:$AS,MATCH($N$1,Database!$A$1:$AS$1,),))))</f>
        <v/>
      </c>
      <c r="O259" s="13">
        <f>IF(VLOOKUP(B259,Database!$A:$AV,MATCH($O$1,Database!$A$1:$AV$1,),)=0,"#N/A",((((VLOOKUP(B259,Database!$A:$AS,MATCH($O$1,Database!$A$1:$AS$1,),))))-(((VLOOKUP(EDATE(B259,-12),Database!$A:$AS,MATCH($O$1,Database!$A$1:$AS$1,),)))))/(((VLOOKUP(EDATE(B259,-12),Database!$A:$AS,MATCH($O$1,Database!$A$1:$AS$1,),)))))</f>
        <v/>
      </c>
      <c r="P259" s="13">
        <f>IF(VLOOKUP(B259,Database!$A:$AV,MATCH($P$1,Database!$A$1:$AV$1,),)=0,"#N/A",((((VLOOKUP(B259,Database!$A:$AS,MATCH($P$1,Database!$A$1:$AS$1,),))))-(((VLOOKUP(EDATE(B259,-12),Database!$A:$AS,MATCH($P$1,Database!$A$1:$AS$1,),)))))/(((VLOOKUP(EDATE(B259,-12),Database!$A:$AS,MATCH($P$1,Database!$A$1:$AS$1,),)))))</f>
        <v/>
      </c>
      <c r="Q259" s="13">
        <f>IF(VLOOKUP(B259,Database!$A:$AV,MATCH($Q$1,Database!$A$1:$AV$1,),)=0,"#N/A",((((VLOOKUP(B259,Database!$A:$AS,MATCH($Q$1,Database!$A$1:$AS$1,),))))-(((VLOOKUP(EDATE(B259,-12),Database!$A:$AS,MATCH($Q$1,Database!$A$1:$AS$1,),)))))/(((VLOOKUP(EDATE(B259,-12),Database!$A:$AS,MATCH($Q$1,Database!$A$1:$AS$1,),)))))</f>
        <v/>
      </c>
      <c r="R259" s="13">
        <f>IF(VLOOKUP(B259,Database!$A:$AV,MATCH($R$1,Database!$A$1:$AV$1,),)=0,"#N/A",((((VLOOKUP(B259,Database!$A:$AS,MATCH($R$1,Database!$A$1:$AS$1,),))))-(((VLOOKUP(EDATE(B259,-12),Database!$A:$AS,MATCH($R$1,Database!$A$1:$AS$1,),)))))/(((VLOOKUP(EDATE(B259,-12),Database!$A:$AS,MATCH($R$1,Database!$A$1:$AS$1,),)))))</f>
        <v/>
      </c>
      <c r="S259" s="13">
        <f>IF(VLOOKUP(B259,Database!$A:$AV,MATCH($S$1,Database!$A$1:$AV$1,),)=0,"#N/A",((((VLOOKUP(B259,Database!$A:$AS,MATCH($S$1,Database!$A$1:$AS$1,),))))-(((VLOOKUP(EDATE(B259,-12),Database!$A:$AS,MATCH($S$1,Database!$A$1:$AS$1,),)))))/(((VLOOKUP(EDATE(B259,-12),Database!$A:$AS,MATCH($S$1,Database!$A$1:$AS$1,),)))))</f>
        <v/>
      </c>
      <c r="T259" s="13">
        <f>IF(VLOOKUP(B259,Database!$A:$AV,MATCH($T$1,Database!$A$1:$AV$1,),)=0,"#N/A",((((VLOOKUP(B259,Database!$A:$AS,MATCH($T$1,Database!$A$1:$AS$1,),))))-(((VLOOKUP(EDATE(B259,-12),Database!$A:$AS,MATCH($T$1,Database!$A$1:$AS$1,),)))))/(((VLOOKUP(EDATE(B259,-12),Database!$A:$AS,MATCH($T$1,Database!$A$1:$AS$1,),)))))</f>
        <v/>
      </c>
      <c r="U259" s="13">
        <f>IF(VLOOKUP(B259,Database!$A:$AV,MATCH($U$1,Database!$A$1:$AV$1,),)=0,"#N/A",((((VLOOKUP(B259,Database!$A:$AS,MATCH($U$1,Database!$A$1:$AS$1,),))))-(((VLOOKUP(EDATE(B259,-12),Database!$A:$AS,MATCH($U$1,Database!$A$1:$AS$1,),)))))/(((VLOOKUP(EDATE(B259,-12),Database!$A:$AS,MATCH($U$1,Database!$A$1:$AS$1,),)))))</f>
        <v/>
      </c>
      <c r="V259" s="13">
        <f>IF(VLOOKUP(B259,Database!$A:$AV,MATCH($V$1,Database!$A$1:$AV$1,),)=0,"#N/A",((((VLOOKUP(B259,Database!$A:$AS,MATCH($V$1,Database!$A$1:$AS$1,),))))-(((VLOOKUP(EDATE(B259,-12),Database!$A:$AS,MATCH($V$1,Database!$A$1:$AS$1,),)))))/(((VLOOKUP(EDATE(B259,-12),Database!$A:$AS,MATCH($V$1,Database!$A$1:$AS$1,),)))))</f>
        <v/>
      </c>
    </row>
    <row r="260" customFormat="1" s="86">
      <c r="A260" s="43" t="n"/>
      <c r="B260" s="75" t="n">
        <v>40057</v>
      </c>
      <c r="C260" s="13">
        <f>IF(VLOOKUP(B260,Database!$A:$AU,MATCH($C$1,Database!$A$1:$AU$1,),)=0,"#N/A",((((VLOOKUP(B260,Database!$A:$AU,MATCH($C$1,Database!$A$1:$AU$1,),))))-(((VLOOKUP(EDATE(B260,-12),Database!$A:$AU,MATCH($C$1,Database!$A$1:$AU$1,),)))))/(((VLOOKUP(EDATE(B260,-12),Database!$A:$AU,MATCH($C$1,Database!$A$1:$AU$1,),)))))</f>
        <v/>
      </c>
      <c r="D260" s="13">
        <f>IF(VLOOKUP(B260,Database!$A:$AV,MATCH($D$1,Database!$A$1:$AV$1,),)=0,"#N/A",((((VLOOKUP(B260,Database!$A:$AS,MATCH($D$1,Database!$A$1:$AS$1,),))))-(((VLOOKUP(EDATE(B260,-12),Database!$A:$AS,MATCH($D$1,Database!$A$1:$AS$1,),)))))/(((VLOOKUP(EDATE(B260,-12),Database!$A:$AS,MATCH($D$1,Database!$A$1:$AS$1,),)))))</f>
        <v/>
      </c>
      <c r="E260" s="13">
        <f>IF(VLOOKUP(B260,Database!$A:$AV,MATCH($E$1,Database!$A$1:$AV$1,),)=0,"#N/A",((((VLOOKUP(B260,Database!$A:$AS,MATCH($E$1,Database!$A$1:$AS$1,),))))-(((VLOOKUP(EDATE(B260,-12),Database!$A:$AS,MATCH($E$1,Database!$A$1:$AS$1,),)))))/(((VLOOKUP(EDATE(B260,-12),Database!$A:$AS,MATCH($E$1,Database!$A$1:$AS$1,),)))))</f>
        <v/>
      </c>
      <c r="F260" s="13">
        <f>IF(VLOOKUP(B260,Database!$A:$AV,MATCH($F$1,Database!$A$1:$AV$1,),)=0,"#N/A",((((VLOOKUP(B260,Database!$A:$AS,MATCH($F$1,Database!$A$1:$AS$1,),))))-(((VLOOKUP(EDATE(B260,-12),Database!$A:$AS,MATCH($F$1,Database!$A$1:$AS$1,),)))))/(((VLOOKUP(EDATE(B260,-12),Database!$A:$AS,MATCH($F$1,Database!$A$1:$AS$1,),)))))</f>
        <v/>
      </c>
      <c r="G260" s="13">
        <f>IF(VLOOKUP(B260,Database!$A:$AV,MATCH($G$1,Database!$A$1:$AV$1,),)=0,"#N/A",((((VLOOKUP(B260,Database!$A:$AS,MATCH($G$1,Database!$A$1:$AS$1,),))))-(((VLOOKUP(EDATE(B260,-12),Database!$A:$AS,MATCH($G$1,Database!$A$1:$AS$1,),)))))/(((VLOOKUP(EDATE(B260,-12),Database!$A:$AS,MATCH($G$1,Database!$A$1:$AS$1,),)))))</f>
        <v/>
      </c>
      <c r="H260" s="13">
        <f>IF(VLOOKUP(B260,Database!$A:$AV,MATCH($H$1,Database!$A$1:$AV$1,),)=0,"#N/A",((((VLOOKUP(B260,Database!$A:$AS,MATCH($H$1,Database!$A$1:$AS$1,),))))-(((VLOOKUP(EDATE(B260,-12),Database!$A:$AS,MATCH($H$1,Database!$A$1:$AS$1,),)))))/(((VLOOKUP(EDATE(B260,-12),Database!$A:$AS,MATCH($H$1,Database!$A$1:$AS$1,),)))))</f>
        <v/>
      </c>
      <c r="I260" s="13">
        <f>IF(VLOOKUP(B260,Database!$A:$AV,MATCH($I$1,Database!$A$1:$AV$1,),)=0,"#N/A",((((VLOOKUP(B260,Database!$A:$AS,MATCH($I$1,Database!$A$1:$AS$1,),))))-(((VLOOKUP(EDATE(B260,-12),Database!$A:$AS,MATCH($I$1,Database!$A$1:$AS$1,),)))))/(((VLOOKUP(EDATE(B260,-12),Database!$A:$AS,MATCH($I$1,Database!$A$1:$AS$1,),)))))</f>
        <v/>
      </c>
      <c r="J260" s="13">
        <f>IF(VLOOKUP(B260,Database!$A:$AV,MATCH($J$1,Database!$A$1:$AV$1,),)=0,"#N/A",((((VLOOKUP(B260,Database!$A:$AS,MATCH($J$1,Database!$A$1:$AS$1,),))))-(((VLOOKUP(EDATE(B260,-12),Database!$A:$AS,MATCH($J$1,Database!$A$1:$AS$1,),)))))/(((VLOOKUP(EDATE(B260,-12),Database!$A:$AS,MATCH($J$1,Database!$A$1:$AS$1,),)))))</f>
        <v/>
      </c>
      <c r="K260" s="13">
        <f>IF(VLOOKUP(B260,Database!$A:$AV,MATCH($K$1,Database!$A$1:$AV$1,),)=0,"#N/A",((((VLOOKUP(B260,Database!$A:$AS,MATCH($K$1,Database!$A$1:$AS$1,),))))-(((VLOOKUP(EDATE(B260,-12),Database!$A:$AS,MATCH($K$1,Database!$A$1:$AS$1,),)))))/(((VLOOKUP(EDATE(B260,-12),Database!$A:$AS,MATCH($K$1,Database!$A$1:$AS$1,),)))))</f>
        <v/>
      </c>
      <c r="L260" s="13">
        <f>((((VLOOKUP(B260,Database!$A:$AS,MATCH($L$1,Database!$A$1:$AS$1,),))))-(((VLOOKUP(EDATE(B260,-12),Database!$A:$AS,MATCH($L$1,Database!$A$1:$AS$1,),)))))/(((VLOOKUP(EDATE(B260,-12),Database!$A:$AS,MATCH($L$1,Database!$A$1:$AS$1,),))))</f>
        <v/>
      </c>
      <c r="M260" s="13">
        <f>((((VLOOKUP(B260,Database!$A:$AS,MATCH($M$1,Database!$A$1:$AS$1,),))))-(((VLOOKUP(EDATE(B260,-12),Database!$A:$AS,MATCH($M$1,Database!$A$1:$AS$1,),)))))/(((VLOOKUP(EDATE(B260,-12),Database!$A:$AS,MATCH($M$1,Database!$A$1:$AS$1,),))))</f>
        <v/>
      </c>
      <c r="N260" s="13">
        <f>((((VLOOKUP(B260,Database!$A:$AS,MATCH($N$1,Database!$A$1:$AS$1,),))))-(((VLOOKUP(EDATE(B260,-12),Database!$A:$AS,MATCH($N$1,Database!$A$1:$AS$1,),)))))/(((VLOOKUP(EDATE(B260,-12),Database!$A:$AS,MATCH($N$1,Database!$A$1:$AS$1,),))))</f>
        <v/>
      </c>
      <c r="O260" s="13">
        <f>IF(VLOOKUP(B260,Database!$A:$AV,MATCH($O$1,Database!$A$1:$AV$1,),)=0,"#N/A",((((VLOOKUP(B260,Database!$A:$AS,MATCH($O$1,Database!$A$1:$AS$1,),))))-(((VLOOKUP(EDATE(B260,-12),Database!$A:$AS,MATCH($O$1,Database!$A$1:$AS$1,),)))))/(((VLOOKUP(EDATE(B260,-12),Database!$A:$AS,MATCH($O$1,Database!$A$1:$AS$1,),)))))</f>
        <v/>
      </c>
      <c r="P260" s="13">
        <f>IF(VLOOKUP(B260,Database!$A:$AV,MATCH($P$1,Database!$A$1:$AV$1,),)=0,"#N/A",((((VLOOKUP(B260,Database!$A:$AS,MATCH($P$1,Database!$A$1:$AS$1,),))))-(((VLOOKUP(EDATE(B260,-12),Database!$A:$AS,MATCH($P$1,Database!$A$1:$AS$1,),)))))/(((VLOOKUP(EDATE(B260,-12),Database!$A:$AS,MATCH($P$1,Database!$A$1:$AS$1,),)))))</f>
        <v/>
      </c>
      <c r="Q260" s="13">
        <f>IF(VLOOKUP(B260,Database!$A:$AV,MATCH($Q$1,Database!$A$1:$AV$1,),)=0,"#N/A",((((VLOOKUP(B260,Database!$A:$AS,MATCH($Q$1,Database!$A$1:$AS$1,),))))-(((VLOOKUP(EDATE(B260,-12),Database!$A:$AS,MATCH($Q$1,Database!$A$1:$AS$1,),)))))/(((VLOOKUP(EDATE(B260,-12),Database!$A:$AS,MATCH($Q$1,Database!$A$1:$AS$1,),)))))</f>
        <v/>
      </c>
      <c r="R260" s="13">
        <f>IF(VLOOKUP(B260,Database!$A:$AV,MATCH($R$1,Database!$A$1:$AV$1,),)=0,"#N/A",((((VLOOKUP(B260,Database!$A:$AS,MATCH($R$1,Database!$A$1:$AS$1,),))))-(((VLOOKUP(EDATE(B260,-12),Database!$A:$AS,MATCH($R$1,Database!$A$1:$AS$1,),)))))/(((VLOOKUP(EDATE(B260,-12),Database!$A:$AS,MATCH($R$1,Database!$A$1:$AS$1,),)))))</f>
        <v/>
      </c>
      <c r="S260" s="13">
        <f>IF(VLOOKUP(B260,Database!$A:$AV,MATCH($S$1,Database!$A$1:$AV$1,),)=0,"#N/A",((((VLOOKUP(B260,Database!$A:$AS,MATCH($S$1,Database!$A$1:$AS$1,),))))-(((VLOOKUP(EDATE(B260,-12),Database!$A:$AS,MATCH($S$1,Database!$A$1:$AS$1,),)))))/(((VLOOKUP(EDATE(B260,-12),Database!$A:$AS,MATCH($S$1,Database!$A$1:$AS$1,),)))))</f>
        <v/>
      </c>
      <c r="T260" s="13">
        <f>IF(VLOOKUP(B260,Database!$A:$AV,MATCH($T$1,Database!$A$1:$AV$1,),)=0,"#N/A",((((VLOOKUP(B260,Database!$A:$AS,MATCH($T$1,Database!$A$1:$AS$1,),))))-(((VLOOKUP(EDATE(B260,-12),Database!$A:$AS,MATCH($T$1,Database!$A$1:$AS$1,),)))))/(((VLOOKUP(EDATE(B260,-12),Database!$A:$AS,MATCH($T$1,Database!$A$1:$AS$1,),)))))</f>
        <v/>
      </c>
      <c r="U260" s="13">
        <f>IF(VLOOKUP(B260,Database!$A:$AV,MATCH($U$1,Database!$A$1:$AV$1,),)=0,"#N/A",((((VLOOKUP(B260,Database!$A:$AS,MATCH($U$1,Database!$A$1:$AS$1,),))))-(((VLOOKUP(EDATE(B260,-12),Database!$A:$AS,MATCH($U$1,Database!$A$1:$AS$1,),)))))/(((VLOOKUP(EDATE(B260,-12),Database!$A:$AS,MATCH($U$1,Database!$A$1:$AS$1,),)))))</f>
        <v/>
      </c>
      <c r="V260" s="13">
        <f>IF(VLOOKUP(B260,Database!$A:$AV,MATCH($V$1,Database!$A$1:$AV$1,),)=0,"#N/A",((((VLOOKUP(B260,Database!$A:$AS,MATCH($V$1,Database!$A$1:$AS$1,),))))-(((VLOOKUP(EDATE(B260,-12),Database!$A:$AS,MATCH($V$1,Database!$A$1:$AS$1,),)))))/(((VLOOKUP(EDATE(B260,-12),Database!$A:$AS,MATCH($V$1,Database!$A$1:$AS$1,),)))))</f>
        <v/>
      </c>
    </row>
    <row r="261" customFormat="1" s="86">
      <c r="A261" s="43" t="n"/>
      <c r="B261" s="75" t="n">
        <v>40087</v>
      </c>
      <c r="C261" s="13">
        <f>IF(VLOOKUP(B261,Database!$A:$AU,MATCH($C$1,Database!$A$1:$AU$1,),)=0,"#N/A",((((VLOOKUP(B261,Database!$A:$AU,MATCH($C$1,Database!$A$1:$AU$1,),))))-(((VLOOKUP(EDATE(B261,-12),Database!$A:$AU,MATCH($C$1,Database!$A$1:$AU$1,),)))))/(((VLOOKUP(EDATE(B261,-12),Database!$A:$AU,MATCH($C$1,Database!$A$1:$AU$1,),)))))</f>
        <v/>
      </c>
      <c r="D261" s="13">
        <f>IF(VLOOKUP(B261,Database!$A:$AV,MATCH($D$1,Database!$A$1:$AV$1,),)=0,"#N/A",((((VLOOKUP(B261,Database!$A:$AS,MATCH($D$1,Database!$A$1:$AS$1,),))))-(((VLOOKUP(EDATE(B261,-12),Database!$A:$AS,MATCH($D$1,Database!$A$1:$AS$1,),)))))/(((VLOOKUP(EDATE(B261,-12),Database!$A:$AS,MATCH($D$1,Database!$A$1:$AS$1,),)))))</f>
        <v/>
      </c>
      <c r="E261" s="13">
        <f>IF(VLOOKUP(B261,Database!$A:$AV,MATCH($E$1,Database!$A$1:$AV$1,),)=0,"#N/A",((((VLOOKUP(B261,Database!$A:$AS,MATCH($E$1,Database!$A$1:$AS$1,),))))-(((VLOOKUP(EDATE(B261,-12),Database!$A:$AS,MATCH($E$1,Database!$A$1:$AS$1,),)))))/(((VLOOKUP(EDATE(B261,-12),Database!$A:$AS,MATCH($E$1,Database!$A$1:$AS$1,),)))))</f>
        <v/>
      </c>
      <c r="F261" s="13">
        <f>IF(VLOOKUP(B261,Database!$A:$AV,MATCH($F$1,Database!$A$1:$AV$1,),)=0,"#N/A",((((VLOOKUP(B261,Database!$A:$AS,MATCH($F$1,Database!$A$1:$AS$1,),))))-(((VLOOKUP(EDATE(B261,-12),Database!$A:$AS,MATCH($F$1,Database!$A$1:$AS$1,),)))))/(((VLOOKUP(EDATE(B261,-12),Database!$A:$AS,MATCH($F$1,Database!$A$1:$AS$1,),)))))</f>
        <v/>
      </c>
      <c r="G261" s="13">
        <f>IF(VLOOKUP(B261,Database!$A:$AV,MATCH($G$1,Database!$A$1:$AV$1,),)=0,"#N/A",((((VLOOKUP(B261,Database!$A:$AS,MATCH($G$1,Database!$A$1:$AS$1,),))))-(((VLOOKUP(EDATE(B261,-12),Database!$A:$AS,MATCH($G$1,Database!$A$1:$AS$1,),)))))/(((VLOOKUP(EDATE(B261,-12),Database!$A:$AS,MATCH($G$1,Database!$A$1:$AS$1,),)))))</f>
        <v/>
      </c>
      <c r="H261" s="13">
        <f>IF(VLOOKUP(B261,Database!$A:$AV,MATCH($H$1,Database!$A$1:$AV$1,),)=0,"#N/A",((((VLOOKUP(B261,Database!$A:$AS,MATCH($H$1,Database!$A$1:$AS$1,),))))-(((VLOOKUP(EDATE(B261,-12),Database!$A:$AS,MATCH($H$1,Database!$A$1:$AS$1,),)))))/(((VLOOKUP(EDATE(B261,-12),Database!$A:$AS,MATCH($H$1,Database!$A$1:$AS$1,),)))))</f>
        <v/>
      </c>
      <c r="I261" s="13">
        <f>IF(VLOOKUP(B261,Database!$A:$AV,MATCH($I$1,Database!$A$1:$AV$1,),)=0,"#N/A",((((VLOOKUP(B261,Database!$A:$AS,MATCH($I$1,Database!$A$1:$AS$1,),))))-(((VLOOKUP(EDATE(B261,-12),Database!$A:$AS,MATCH($I$1,Database!$A$1:$AS$1,),)))))/(((VLOOKUP(EDATE(B261,-12),Database!$A:$AS,MATCH($I$1,Database!$A$1:$AS$1,),)))))</f>
        <v/>
      </c>
      <c r="J261" s="13">
        <f>IF(VLOOKUP(B261,Database!$A:$AV,MATCH($J$1,Database!$A$1:$AV$1,),)=0,"#N/A",((((VLOOKUP(B261,Database!$A:$AS,MATCH($J$1,Database!$A$1:$AS$1,),))))-(((VLOOKUP(EDATE(B261,-12),Database!$A:$AS,MATCH($J$1,Database!$A$1:$AS$1,),)))))/(((VLOOKUP(EDATE(B261,-12),Database!$A:$AS,MATCH($J$1,Database!$A$1:$AS$1,),)))))</f>
        <v/>
      </c>
      <c r="K261" s="13">
        <f>IF(VLOOKUP(B261,Database!$A:$AV,MATCH($K$1,Database!$A$1:$AV$1,),)=0,"#N/A",((((VLOOKUP(B261,Database!$A:$AS,MATCH($K$1,Database!$A$1:$AS$1,),))))-(((VLOOKUP(EDATE(B261,-12),Database!$A:$AS,MATCH($K$1,Database!$A$1:$AS$1,),)))))/(((VLOOKUP(EDATE(B261,-12),Database!$A:$AS,MATCH($K$1,Database!$A$1:$AS$1,),)))))</f>
        <v/>
      </c>
      <c r="L261" s="13">
        <f>((((VLOOKUP(B261,Database!$A:$AS,MATCH($L$1,Database!$A$1:$AS$1,),))))-(((VLOOKUP(EDATE(B261,-12),Database!$A:$AS,MATCH($L$1,Database!$A$1:$AS$1,),)))))/(((VLOOKUP(EDATE(B261,-12),Database!$A:$AS,MATCH($L$1,Database!$A$1:$AS$1,),))))</f>
        <v/>
      </c>
      <c r="M261" s="13">
        <f>((((VLOOKUP(B261,Database!$A:$AS,MATCH($M$1,Database!$A$1:$AS$1,),))))-(((VLOOKUP(EDATE(B261,-12),Database!$A:$AS,MATCH($M$1,Database!$A$1:$AS$1,),)))))/(((VLOOKUP(EDATE(B261,-12),Database!$A:$AS,MATCH($M$1,Database!$A$1:$AS$1,),))))</f>
        <v/>
      </c>
      <c r="N261" s="13">
        <f>((((VLOOKUP(B261,Database!$A:$AS,MATCH($N$1,Database!$A$1:$AS$1,),))))-(((VLOOKUP(EDATE(B261,-12),Database!$A:$AS,MATCH($N$1,Database!$A$1:$AS$1,),)))))/(((VLOOKUP(EDATE(B261,-12),Database!$A:$AS,MATCH($N$1,Database!$A$1:$AS$1,),))))</f>
        <v/>
      </c>
      <c r="O261" s="13">
        <f>IF(VLOOKUP(B261,Database!$A:$AV,MATCH($O$1,Database!$A$1:$AV$1,),)=0,"#N/A",((((VLOOKUP(B261,Database!$A:$AS,MATCH($O$1,Database!$A$1:$AS$1,),))))-(((VLOOKUP(EDATE(B261,-12),Database!$A:$AS,MATCH($O$1,Database!$A$1:$AS$1,),)))))/(((VLOOKUP(EDATE(B261,-12),Database!$A:$AS,MATCH($O$1,Database!$A$1:$AS$1,),)))))</f>
        <v/>
      </c>
      <c r="P261" s="13">
        <f>IF(VLOOKUP(B261,Database!$A:$AV,MATCH($P$1,Database!$A$1:$AV$1,),)=0,"#N/A",((((VLOOKUP(B261,Database!$A:$AS,MATCH($P$1,Database!$A$1:$AS$1,),))))-(((VLOOKUP(EDATE(B261,-12),Database!$A:$AS,MATCH($P$1,Database!$A$1:$AS$1,),)))))/(((VLOOKUP(EDATE(B261,-12),Database!$A:$AS,MATCH($P$1,Database!$A$1:$AS$1,),)))))</f>
        <v/>
      </c>
      <c r="Q261" s="13">
        <f>IF(VLOOKUP(B261,Database!$A:$AV,MATCH($Q$1,Database!$A$1:$AV$1,),)=0,"#N/A",((((VLOOKUP(B261,Database!$A:$AS,MATCH($Q$1,Database!$A$1:$AS$1,),))))-(((VLOOKUP(EDATE(B261,-12),Database!$A:$AS,MATCH($Q$1,Database!$A$1:$AS$1,),)))))/(((VLOOKUP(EDATE(B261,-12),Database!$A:$AS,MATCH($Q$1,Database!$A$1:$AS$1,),)))))</f>
        <v/>
      </c>
      <c r="R261" s="13">
        <f>IF(VLOOKUP(B261,Database!$A:$AV,MATCH($R$1,Database!$A$1:$AV$1,),)=0,"#N/A",((((VLOOKUP(B261,Database!$A:$AS,MATCH($R$1,Database!$A$1:$AS$1,),))))-(((VLOOKUP(EDATE(B261,-12),Database!$A:$AS,MATCH($R$1,Database!$A$1:$AS$1,),)))))/(((VLOOKUP(EDATE(B261,-12),Database!$A:$AS,MATCH($R$1,Database!$A$1:$AS$1,),)))))</f>
        <v/>
      </c>
      <c r="S261" s="13">
        <f>IF(VLOOKUP(B261,Database!$A:$AV,MATCH($S$1,Database!$A$1:$AV$1,),)=0,"#N/A",((((VLOOKUP(B261,Database!$A:$AS,MATCH($S$1,Database!$A$1:$AS$1,),))))-(((VLOOKUP(EDATE(B261,-12),Database!$A:$AS,MATCH($S$1,Database!$A$1:$AS$1,),)))))/(((VLOOKUP(EDATE(B261,-12),Database!$A:$AS,MATCH($S$1,Database!$A$1:$AS$1,),)))))</f>
        <v/>
      </c>
      <c r="T261" s="13">
        <f>IF(VLOOKUP(B261,Database!$A:$AV,MATCH($T$1,Database!$A$1:$AV$1,),)=0,"#N/A",((((VLOOKUP(B261,Database!$A:$AS,MATCH($T$1,Database!$A$1:$AS$1,),))))-(((VLOOKUP(EDATE(B261,-12),Database!$A:$AS,MATCH($T$1,Database!$A$1:$AS$1,),)))))/(((VLOOKUP(EDATE(B261,-12),Database!$A:$AS,MATCH($T$1,Database!$A$1:$AS$1,),)))))</f>
        <v/>
      </c>
      <c r="U261" s="13">
        <f>IF(VLOOKUP(B261,Database!$A:$AV,MATCH($U$1,Database!$A$1:$AV$1,),)=0,"#N/A",((((VLOOKUP(B261,Database!$A:$AS,MATCH($U$1,Database!$A$1:$AS$1,),))))-(((VLOOKUP(EDATE(B261,-12),Database!$A:$AS,MATCH($U$1,Database!$A$1:$AS$1,),)))))/(((VLOOKUP(EDATE(B261,-12),Database!$A:$AS,MATCH($U$1,Database!$A$1:$AS$1,),)))))</f>
        <v/>
      </c>
      <c r="V261" s="13">
        <f>IF(VLOOKUP(B261,Database!$A:$AV,MATCH($V$1,Database!$A$1:$AV$1,),)=0,"#N/A",((((VLOOKUP(B261,Database!$A:$AS,MATCH($V$1,Database!$A$1:$AS$1,),))))-(((VLOOKUP(EDATE(B261,-12),Database!$A:$AS,MATCH($V$1,Database!$A$1:$AS$1,),)))))/(((VLOOKUP(EDATE(B261,-12),Database!$A:$AS,MATCH($V$1,Database!$A$1:$AS$1,),)))))</f>
        <v/>
      </c>
    </row>
    <row r="262" customFormat="1" s="86">
      <c r="A262" s="43" t="n"/>
      <c r="B262" s="75" t="n">
        <v>40118</v>
      </c>
      <c r="C262" s="13">
        <f>IF(VLOOKUP(B262,Database!$A:$AU,MATCH($C$1,Database!$A$1:$AU$1,),)=0,"#N/A",((((VLOOKUP(B262,Database!$A:$AU,MATCH($C$1,Database!$A$1:$AU$1,),))))-(((VLOOKUP(EDATE(B262,-12),Database!$A:$AU,MATCH($C$1,Database!$A$1:$AU$1,),)))))/(((VLOOKUP(EDATE(B262,-12),Database!$A:$AU,MATCH($C$1,Database!$A$1:$AU$1,),)))))</f>
        <v/>
      </c>
      <c r="D262" s="13">
        <f>IF(VLOOKUP(B262,Database!$A:$AV,MATCH($D$1,Database!$A$1:$AV$1,),)=0,"#N/A",((((VLOOKUP(B262,Database!$A:$AS,MATCH($D$1,Database!$A$1:$AS$1,),))))-(((VLOOKUP(EDATE(B262,-12),Database!$A:$AS,MATCH($D$1,Database!$A$1:$AS$1,),)))))/(((VLOOKUP(EDATE(B262,-12),Database!$A:$AS,MATCH($D$1,Database!$A$1:$AS$1,),)))))</f>
        <v/>
      </c>
      <c r="E262" s="13">
        <f>IF(VLOOKUP(B262,Database!$A:$AV,MATCH($E$1,Database!$A$1:$AV$1,),)=0,"#N/A",((((VLOOKUP(B262,Database!$A:$AS,MATCH($E$1,Database!$A$1:$AS$1,),))))-(((VLOOKUP(EDATE(B262,-12),Database!$A:$AS,MATCH($E$1,Database!$A$1:$AS$1,),)))))/(((VLOOKUP(EDATE(B262,-12),Database!$A:$AS,MATCH($E$1,Database!$A$1:$AS$1,),)))))</f>
        <v/>
      </c>
      <c r="F262" s="13">
        <f>IF(VLOOKUP(B262,Database!$A:$AV,MATCH($F$1,Database!$A$1:$AV$1,),)=0,"#N/A",((((VLOOKUP(B262,Database!$A:$AS,MATCH($F$1,Database!$A$1:$AS$1,),))))-(((VLOOKUP(EDATE(B262,-12),Database!$A:$AS,MATCH($F$1,Database!$A$1:$AS$1,),)))))/(((VLOOKUP(EDATE(B262,-12),Database!$A:$AS,MATCH($F$1,Database!$A$1:$AS$1,),)))))</f>
        <v/>
      </c>
      <c r="G262" s="13">
        <f>IF(VLOOKUP(B262,Database!$A:$AV,MATCH($G$1,Database!$A$1:$AV$1,),)=0,"#N/A",((((VLOOKUP(B262,Database!$A:$AS,MATCH($G$1,Database!$A$1:$AS$1,),))))-(((VLOOKUP(EDATE(B262,-12),Database!$A:$AS,MATCH($G$1,Database!$A$1:$AS$1,),)))))/(((VLOOKUP(EDATE(B262,-12),Database!$A:$AS,MATCH($G$1,Database!$A$1:$AS$1,),)))))</f>
        <v/>
      </c>
      <c r="H262" s="13">
        <f>IF(VLOOKUP(B262,Database!$A:$AV,MATCH($H$1,Database!$A$1:$AV$1,),)=0,"#N/A",((((VLOOKUP(B262,Database!$A:$AS,MATCH($H$1,Database!$A$1:$AS$1,),))))-(((VLOOKUP(EDATE(B262,-12),Database!$A:$AS,MATCH($H$1,Database!$A$1:$AS$1,),)))))/(((VLOOKUP(EDATE(B262,-12),Database!$A:$AS,MATCH($H$1,Database!$A$1:$AS$1,),)))))</f>
        <v/>
      </c>
      <c r="I262" s="13">
        <f>IF(VLOOKUP(B262,Database!$A:$AV,MATCH($I$1,Database!$A$1:$AV$1,),)=0,"#N/A",((((VLOOKUP(B262,Database!$A:$AS,MATCH($I$1,Database!$A$1:$AS$1,),))))-(((VLOOKUP(EDATE(B262,-12),Database!$A:$AS,MATCH($I$1,Database!$A$1:$AS$1,),)))))/(((VLOOKUP(EDATE(B262,-12),Database!$A:$AS,MATCH($I$1,Database!$A$1:$AS$1,),)))))</f>
        <v/>
      </c>
      <c r="J262" s="13">
        <f>IF(VLOOKUP(B262,Database!$A:$AV,MATCH($J$1,Database!$A$1:$AV$1,),)=0,"#N/A",((((VLOOKUP(B262,Database!$A:$AS,MATCH($J$1,Database!$A$1:$AS$1,),))))-(((VLOOKUP(EDATE(B262,-12),Database!$A:$AS,MATCH($J$1,Database!$A$1:$AS$1,),)))))/(((VLOOKUP(EDATE(B262,-12),Database!$A:$AS,MATCH($J$1,Database!$A$1:$AS$1,),)))))</f>
        <v/>
      </c>
      <c r="K262" s="13">
        <f>IF(VLOOKUP(B262,Database!$A:$AV,MATCH($K$1,Database!$A$1:$AV$1,),)=0,"#N/A",((((VLOOKUP(B262,Database!$A:$AS,MATCH($K$1,Database!$A$1:$AS$1,),))))-(((VLOOKUP(EDATE(B262,-12),Database!$A:$AS,MATCH($K$1,Database!$A$1:$AS$1,),)))))/(((VLOOKUP(EDATE(B262,-12),Database!$A:$AS,MATCH($K$1,Database!$A$1:$AS$1,),)))))</f>
        <v/>
      </c>
      <c r="L262" s="13">
        <f>((((VLOOKUP(B262,Database!$A:$AS,MATCH($L$1,Database!$A$1:$AS$1,),))))-(((VLOOKUP(EDATE(B262,-12),Database!$A:$AS,MATCH($L$1,Database!$A$1:$AS$1,),)))))/(((VLOOKUP(EDATE(B262,-12),Database!$A:$AS,MATCH($L$1,Database!$A$1:$AS$1,),))))</f>
        <v/>
      </c>
      <c r="M262" s="13">
        <f>((((VLOOKUP(B262,Database!$A:$AS,MATCH($M$1,Database!$A$1:$AS$1,),))))-(((VLOOKUP(EDATE(B262,-12),Database!$A:$AS,MATCH($M$1,Database!$A$1:$AS$1,),)))))/(((VLOOKUP(EDATE(B262,-12),Database!$A:$AS,MATCH($M$1,Database!$A$1:$AS$1,),))))</f>
        <v/>
      </c>
      <c r="N262" s="13">
        <f>((((VLOOKUP(B262,Database!$A:$AS,MATCH($N$1,Database!$A$1:$AS$1,),))))-(((VLOOKUP(EDATE(B262,-12),Database!$A:$AS,MATCH($N$1,Database!$A$1:$AS$1,),)))))/(((VLOOKUP(EDATE(B262,-12),Database!$A:$AS,MATCH($N$1,Database!$A$1:$AS$1,),))))</f>
        <v/>
      </c>
      <c r="O262" s="13">
        <f>IF(VLOOKUP(B262,Database!$A:$AV,MATCH($O$1,Database!$A$1:$AV$1,),)=0,"#N/A",((((VLOOKUP(B262,Database!$A:$AS,MATCH($O$1,Database!$A$1:$AS$1,),))))-(((VLOOKUP(EDATE(B262,-12),Database!$A:$AS,MATCH($O$1,Database!$A$1:$AS$1,),)))))/(((VLOOKUP(EDATE(B262,-12),Database!$A:$AS,MATCH($O$1,Database!$A$1:$AS$1,),)))))</f>
        <v/>
      </c>
      <c r="P262" s="13">
        <f>IF(VLOOKUP(B262,Database!$A:$AV,MATCH($P$1,Database!$A$1:$AV$1,),)=0,"#N/A",((((VLOOKUP(B262,Database!$A:$AS,MATCH($P$1,Database!$A$1:$AS$1,),))))-(((VLOOKUP(EDATE(B262,-12),Database!$A:$AS,MATCH($P$1,Database!$A$1:$AS$1,),)))))/(((VLOOKUP(EDATE(B262,-12),Database!$A:$AS,MATCH($P$1,Database!$A$1:$AS$1,),)))))</f>
        <v/>
      </c>
      <c r="Q262" s="13">
        <f>IF(VLOOKUP(B262,Database!$A:$AV,MATCH($Q$1,Database!$A$1:$AV$1,),)=0,"#N/A",((((VLOOKUP(B262,Database!$A:$AS,MATCH($Q$1,Database!$A$1:$AS$1,),))))-(((VLOOKUP(EDATE(B262,-12),Database!$A:$AS,MATCH($Q$1,Database!$A$1:$AS$1,),)))))/(((VLOOKUP(EDATE(B262,-12),Database!$A:$AS,MATCH($Q$1,Database!$A$1:$AS$1,),)))))</f>
        <v/>
      </c>
      <c r="R262" s="13">
        <f>IF(VLOOKUP(B262,Database!$A:$AV,MATCH($R$1,Database!$A$1:$AV$1,),)=0,"#N/A",((((VLOOKUP(B262,Database!$A:$AS,MATCH($R$1,Database!$A$1:$AS$1,),))))-(((VLOOKUP(EDATE(B262,-12),Database!$A:$AS,MATCH($R$1,Database!$A$1:$AS$1,),)))))/(((VLOOKUP(EDATE(B262,-12),Database!$A:$AS,MATCH($R$1,Database!$A$1:$AS$1,),)))))</f>
        <v/>
      </c>
      <c r="S262" s="13">
        <f>IF(VLOOKUP(B262,Database!$A:$AV,MATCH($S$1,Database!$A$1:$AV$1,),)=0,"#N/A",((((VLOOKUP(B262,Database!$A:$AS,MATCH($S$1,Database!$A$1:$AS$1,),))))-(((VLOOKUP(EDATE(B262,-12),Database!$A:$AS,MATCH($S$1,Database!$A$1:$AS$1,),)))))/(((VLOOKUP(EDATE(B262,-12),Database!$A:$AS,MATCH($S$1,Database!$A$1:$AS$1,),)))))</f>
        <v/>
      </c>
      <c r="T262" s="13">
        <f>IF(VLOOKUP(B262,Database!$A:$AV,MATCH($T$1,Database!$A$1:$AV$1,),)=0,"#N/A",((((VLOOKUP(B262,Database!$A:$AS,MATCH($T$1,Database!$A$1:$AS$1,),))))-(((VLOOKUP(EDATE(B262,-12),Database!$A:$AS,MATCH($T$1,Database!$A$1:$AS$1,),)))))/(((VLOOKUP(EDATE(B262,-12),Database!$A:$AS,MATCH($T$1,Database!$A$1:$AS$1,),)))))</f>
        <v/>
      </c>
      <c r="U262" s="13">
        <f>IF(VLOOKUP(B262,Database!$A:$AV,MATCH($U$1,Database!$A$1:$AV$1,),)=0,"#N/A",((((VLOOKUP(B262,Database!$A:$AS,MATCH($U$1,Database!$A$1:$AS$1,),))))-(((VLOOKUP(EDATE(B262,-12),Database!$A:$AS,MATCH($U$1,Database!$A$1:$AS$1,),)))))/(((VLOOKUP(EDATE(B262,-12),Database!$A:$AS,MATCH($U$1,Database!$A$1:$AS$1,),)))))</f>
        <v/>
      </c>
      <c r="V262" s="13">
        <f>IF(VLOOKUP(B262,Database!$A:$AV,MATCH($V$1,Database!$A$1:$AV$1,),)=0,"#N/A",((((VLOOKUP(B262,Database!$A:$AS,MATCH($V$1,Database!$A$1:$AS$1,),))))-(((VLOOKUP(EDATE(B262,-12),Database!$A:$AS,MATCH($V$1,Database!$A$1:$AS$1,),)))))/(((VLOOKUP(EDATE(B262,-12),Database!$A:$AS,MATCH($V$1,Database!$A$1:$AS$1,),)))))</f>
        <v/>
      </c>
    </row>
    <row r="263" customFormat="1" s="86">
      <c r="A263" s="43" t="n"/>
      <c r="B263" s="75" t="n">
        <v>40148</v>
      </c>
      <c r="C263" s="13">
        <f>IF(VLOOKUP(B263,Database!$A:$AU,MATCH($C$1,Database!$A$1:$AU$1,),)=0,"#N/A",((((VLOOKUP(B263,Database!$A:$AU,MATCH($C$1,Database!$A$1:$AU$1,),))))-(((VLOOKUP(EDATE(B263,-12),Database!$A:$AU,MATCH($C$1,Database!$A$1:$AU$1,),)))))/(((VLOOKUP(EDATE(B263,-12),Database!$A:$AU,MATCH($C$1,Database!$A$1:$AU$1,),)))))</f>
        <v/>
      </c>
      <c r="D263" s="13">
        <f>IF(VLOOKUP(B263,Database!$A:$AV,MATCH($D$1,Database!$A$1:$AV$1,),)=0,"#N/A",((((VLOOKUP(B263,Database!$A:$AS,MATCH($D$1,Database!$A$1:$AS$1,),))))-(((VLOOKUP(EDATE(B263,-12),Database!$A:$AS,MATCH($D$1,Database!$A$1:$AS$1,),)))))/(((VLOOKUP(EDATE(B263,-12),Database!$A:$AS,MATCH($D$1,Database!$A$1:$AS$1,),)))))</f>
        <v/>
      </c>
      <c r="E263" s="13">
        <f>IF(VLOOKUP(B263,Database!$A:$AV,MATCH($E$1,Database!$A$1:$AV$1,),)=0,"#N/A",((((VLOOKUP(B263,Database!$A:$AS,MATCH($E$1,Database!$A$1:$AS$1,),))))-(((VLOOKUP(EDATE(B263,-12),Database!$A:$AS,MATCH($E$1,Database!$A$1:$AS$1,),)))))/(((VLOOKUP(EDATE(B263,-12),Database!$A:$AS,MATCH($E$1,Database!$A$1:$AS$1,),)))))</f>
        <v/>
      </c>
      <c r="F263" s="13">
        <f>IF(VLOOKUP(B263,Database!$A:$AV,MATCH($F$1,Database!$A$1:$AV$1,),)=0,"#N/A",((((VLOOKUP(B263,Database!$A:$AS,MATCH($F$1,Database!$A$1:$AS$1,),))))-(((VLOOKUP(EDATE(B263,-12),Database!$A:$AS,MATCH($F$1,Database!$A$1:$AS$1,),)))))/(((VLOOKUP(EDATE(B263,-12),Database!$A:$AS,MATCH($F$1,Database!$A$1:$AS$1,),)))))</f>
        <v/>
      </c>
      <c r="G263" s="13">
        <f>IF(VLOOKUP(B263,Database!$A:$AV,MATCH($G$1,Database!$A$1:$AV$1,),)=0,"#N/A",((((VLOOKUP(B263,Database!$A:$AS,MATCH($G$1,Database!$A$1:$AS$1,),))))-(((VLOOKUP(EDATE(B263,-12),Database!$A:$AS,MATCH($G$1,Database!$A$1:$AS$1,),)))))/(((VLOOKUP(EDATE(B263,-12),Database!$A:$AS,MATCH($G$1,Database!$A$1:$AS$1,),)))))</f>
        <v/>
      </c>
      <c r="H263" s="13">
        <f>IF(VLOOKUP(B263,Database!$A:$AV,MATCH($H$1,Database!$A$1:$AV$1,),)=0,"#N/A",((((VLOOKUP(B263,Database!$A:$AS,MATCH($H$1,Database!$A$1:$AS$1,),))))-(((VLOOKUP(EDATE(B263,-12),Database!$A:$AS,MATCH($H$1,Database!$A$1:$AS$1,),)))))/(((VLOOKUP(EDATE(B263,-12),Database!$A:$AS,MATCH($H$1,Database!$A$1:$AS$1,),)))))</f>
        <v/>
      </c>
      <c r="I263" s="13">
        <f>IF(VLOOKUP(B263,Database!$A:$AV,MATCH($I$1,Database!$A$1:$AV$1,),)=0,"#N/A",((((VLOOKUP(B263,Database!$A:$AS,MATCH($I$1,Database!$A$1:$AS$1,),))))-(((VLOOKUP(EDATE(B263,-12),Database!$A:$AS,MATCH($I$1,Database!$A$1:$AS$1,),)))))/(((VLOOKUP(EDATE(B263,-12),Database!$A:$AS,MATCH($I$1,Database!$A$1:$AS$1,),)))))</f>
        <v/>
      </c>
      <c r="J263" s="13">
        <f>IF(VLOOKUP(B263,Database!$A:$AV,MATCH($J$1,Database!$A$1:$AV$1,),)=0,"#N/A",((((VLOOKUP(B263,Database!$A:$AS,MATCH($J$1,Database!$A$1:$AS$1,),))))-(((VLOOKUP(EDATE(B263,-12),Database!$A:$AS,MATCH($J$1,Database!$A$1:$AS$1,),)))))/(((VLOOKUP(EDATE(B263,-12),Database!$A:$AS,MATCH($J$1,Database!$A$1:$AS$1,),)))))</f>
        <v/>
      </c>
      <c r="K263" s="13">
        <f>IF(VLOOKUP(B263,Database!$A:$AV,MATCH($K$1,Database!$A$1:$AV$1,),)=0,"#N/A",((((VLOOKUP(B263,Database!$A:$AS,MATCH($K$1,Database!$A$1:$AS$1,),))))-(((VLOOKUP(EDATE(B263,-12),Database!$A:$AS,MATCH($K$1,Database!$A$1:$AS$1,),)))))/(((VLOOKUP(EDATE(B263,-12),Database!$A:$AS,MATCH($K$1,Database!$A$1:$AS$1,),)))))</f>
        <v/>
      </c>
      <c r="L263" s="13">
        <f>((((VLOOKUP(B263,Database!$A:$AS,MATCH($L$1,Database!$A$1:$AS$1,),))))-(((VLOOKUP(EDATE(B263,-12),Database!$A:$AS,MATCH($L$1,Database!$A$1:$AS$1,),)))))/(((VLOOKUP(EDATE(B263,-12),Database!$A:$AS,MATCH($L$1,Database!$A$1:$AS$1,),))))</f>
        <v/>
      </c>
      <c r="M263" s="13">
        <f>((((VLOOKUP(B263,Database!$A:$AS,MATCH($M$1,Database!$A$1:$AS$1,),))))-(((VLOOKUP(EDATE(B263,-12),Database!$A:$AS,MATCH($M$1,Database!$A$1:$AS$1,),)))))/(((VLOOKUP(EDATE(B263,-12),Database!$A:$AS,MATCH($M$1,Database!$A$1:$AS$1,),))))</f>
        <v/>
      </c>
      <c r="N263" s="13">
        <f>((((VLOOKUP(B263,Database!$A:$AS,MATCH($N$1,Database!$A$1:$AS$1,),))))-(((VLOOKUP(EDATE(B263,-12),Database!$A:$AS,MATCH($N$1,Database!$A$1:$AS$1,),)))))/(((VLOOKUP(EDATE(B263,-12),Database!$A:$AS,MATCH($N$1,Database!$A$1:$AS$1,),))))</f>
        <v/>
      </c>
      <c r="O263" s="13">
        <f>IF(VLOOKUP(B263,Database!$A:$AV,MATCH($O$1,Database!$A$1:$AV$1,),)=0,"#N/A",((((VLOOKUP(B263,Database!$A:$AS,MATCH($O$1,Database!$A$1:$AS$1,),))))-(((VLOOKUP(EDATE(B263,-12),Database!$A:$AS,MATCH($O$1,Database!$A$1:$AS$1,),)))))/(((VLOOKUP(EDATE(B263,-12),Database!$A:$AS,MATCH($O$1,Database!$A$1:$AS$1,),)))))</f>
        <v/>
      </c>
      <c r="P263" s="13">
        <f>IF(VLOOKUP(B263,Database!$A:$AV,MATCH($P$1,Database!$A$1:$AV$1,),)=0,"#N/A",((((VLOOKUP(B263,Database!$A:$AS,MATCH($P$1,Database!$A$1:$AS$1,),))))-(((VLOOKUP(EDATE(B263,-12),Database!$A:$AS,MATCH($P$1,Database!$A$1:$AS$1,),)))))/(((VLOOKUP(EDATE(B263,-12),Database!$A:$AS,MATCH($P$1,Database!$A$1:$AS$1,),)))))</f>
        <v/>
      </c>
      <c r="Q263" s="13">
        <f>IF(VLOOKUP(B263,Database!$A:$AV,MATCH($Q$1,Database!$A$1:$AV$1,),)=0,"#N/A",((((VLOOKUP(B263,Database!$A:$AS,MATCH($Q$1,Database!$A$1:$AS$1,),))))-(((VLOOKUP(EDATE(B263,-12),Database!$A:$AS,MATCH($Q$1,Database!$A$1:$AS$1,),)))))/(((VLOOKUP(EDATE(B263,-12),Database!$A:$AS,MATCH($Q$1,Database!$A$1:$AS$1,),)))))</f>
        <v/>
      </c>
      <c r="R263" s="13">
        <f>IF(VLOOKUP(B263,Database!$A:$AV,MATCH($R$1,Database!$A$1:$AV$1,),)=0,"#N/A",((((VLOOKUP(B263,Database!$A:$AS,MATCH($R$1,Database!$A$1:$AS$1,),))))-(((VLOOKUP(EDATE(B263,-12),Database!$A:$AS,MATCH($R$1,Database!$A$1:$AS$1,),)))))/(((VLOOKUP(EDATE(B263,-12),Database!$A:$AS,MATCH($R$1,Database!$A$1:$AS$1,),)))))</f>
        <v/>
      </c>
      <c r="S263" s="13">
        <f>IF(VLOOKUP(B263,Database!$A:$AV,MATCH($S$1,Database!$A$1:$AV$1,),)=0,"#N/A",((((VLOOKUP(B263,Database!$A:$AS,MATCH($S$1,Database!$A$1:$AS$1,),))))-(((VLOOKUP(EDATE(B263,-12),Database!$A:$AS,MATCH($S$1,Database!$A$1:$AS$1,),)))))/(((VLOOKUP(EDATE(B263,-12),Database!$A:$AS,MATCH($S$1,Database!$A$1:$AS$1,),)))))</f>
        <v/>
      </c>
      <c r="T263" s="13">
        <f>IF(VLOOKUP(B263,Database!$A:$AV,MATCH($T$1,Database!$A$1:$AV$1,),)=0,"#N/A",((((VLOOKUP(B263,Database!$A:$AS,MATCH($T$1,Database!$A$1:$AS$1,),))))-(((VLOOKUP(EDATE(B263,-12),Database!$A:$AS,MATCH($T$1,Database!$A$1:$AS$1,),)))))/(((VLOOKUP(EDATE(B263,-12),Database!$A:$AS,MATCH($T$1,Database!$A$1:$AS$1,),)))))</f>
        <v/>
      </c>
      <c r="U263" s="13">
        <f>IF(VLOOKUP(B263,Database!$A:$AV,MATCH($U$1,Database!$A$1:$AV$1,),)=0,"#N/A",((((VLOOKUP(B263,Database!$A:$AS,MATCH($U$1,Database!$A$1:$AS$1,),))))-(((VLOOKUP(EDATE(B263,-12),Database!$A:$AS,MATCH($U$1,Database!$A$1:$AS$1,),)))))/(((VLOOKUP(EDATE(B263,-12),Database!$A:$AS,MATCH($U$1,Database!$A$1:$AS$1,),)))))</f>
        <v/>
      </c>
      <c r="V263" s="13">
        <f>IF(VLOOKUP(B263,Database!$A:$AV,MATCH($V$1,Database!$A$1:$AV$1,),)=0,"#N/A",((((VLOOKUP(B263,Database!$A:$AS,MATCH($V$1,Database!$A$1:$AS$1,),))))-(((VLOOKUP(EDATE(B263,-12),Database!$A:$AS,MATCH($V$1,Database!$A$1:$AS$1,),)))))/(((VLOOKUP(EDATE(B263,-12),Database!$A:$AS,MATCH($V$1,Database!$A$1:$AS$1,),)))))</f>
        <v/>
      </c>
    </row>
    <row r="264" customFormat="1" s="86">
      <c r="A264" s="43" t="n"/>
      <c r="B264" s="75" t="n">
        <v>40179</v>
      </c>
      <c r="C264" s="13">
        <f>IF(VLOOKUP(B264,Database!$A:$AU,MATCH($C$1,Database!$A$1:$AU$1,),)=0,"#N/A",((((VLOOKUP(B264,Database!$A:$AU,MATCH($C$1,Database!$A$1:$AU$1,),))))-(((VLOOKUP(EDATE(B264,-12),Database!$A:$AU,MATCH($C$1,Database!$A$1:$AU$1,),)))))/(((VLOOKUP(EDATE(B264,-12),Database!$A:$AU,MATCH($C$1,Database!$A$1:$AU$1,),)))))</f>
        <v/>
      </c>
      <c r="D264" s="13">
        <f>IF(VLOOKUP(B264,Database!$A:$AV,MATCH($D$1,Database!$A$1:$AV$1,),)=0,"#N/A",((((VLOOKUP(B264,Database!$A:$AS,MATCH($D$1,Database!$A$1:$AS$1,),))))-(((VLOOKUP(EDATE(B264,-12),Database!$A:$AS,MATCH($D$1,Database!$A$1:$AS$1,),)))))/(((VLOOKUP(EDATE(B264,-12),Database!$A:$AS,MATCH($D$1,Database!$A$1:$AS$1,),)))))</f>
        <v/>
      </c>
      <c r="E264" s="13">
        <f>IF(VLOOKUP(B264,Database!$A:$AV,MATCH($E$1,Database!$A$1:$AV$1,),)=0,"#N/A",((((VLOOKUP(B264,Database!$A:$AS,MATCH($E$1,Database!$A$1:$AS$1,),))))-(((VLOOKUP(EDATE(B264,-12),Database!$A:$AS,MATCH($E$1,Database!$A$1:$AS$1,),)))))/(((VLOOKUP(EDATE(B264,-12),Database!$A:$AS,MATCH($E$1,Database!$A$1:$AS$1,),)))))</f>
        <v/>
      </c>
      <c r="F264" s="13">
        <f>IF(VLOOKUP(B264,Database!$A:$AV,MATCH($F$1,Database!$A$1:$AV$1,),)=0,"#N/A",((((VLOOKUP(B264,Database!$A:$AS,MATCH($F$1,Database!$A$1:$AS$1,),))))-(((VLOOKUP(EDATE(B264,-12),Database!$A:$AS,MATCH($F$1,Database!$A$1:$AS$1,),)))))/(((VLOOKUP(EDATE(B264,-12),Database!$A:$AS,MATCH($F$1,Database!$A$1:$AS$1,),)))))</f>
        <v/>
      </c>
      <c r="G264" s="13">
        <f>IF(VLOOKUP(B264,Database!$A:$AV,MATCH($G$1,Database!$A$1:$AV$1,),)=0,"#N/A",((((VLOOKUP(B264,Database!$A:$AS,MATCH($G$1,Database!$A$1:$AS$1,),))))-(((VLOOKUP(EDATE(B264,-12),Database!$A:$AS,MATCH($G$1,Database!$A$1:$AS$1,),)))))/(((VLOOKUP(EDATE(B264,-12),Database!$A:$AS,MATCH($G$1,Database!$A$1:$AS$1,),)))))</f>
        <v/>
      </c>
      <c r="H264" s="13">
        <f>IF(VLOOKUP(B264,Database!$A:$AV,MATCH($H$1,Database!$A$1:$AV$1,),)=0,"#N/A",((((VLOOKUP(B264,Database!$A:$AS,MATCH($H$1,Database!$A$1:$AS$1,),))))-(((VLOOKUP(EDATE(B264,-12),Database!$A:$AS,MATCH($H$1,Database!$A$1:$AS$1,),)))))/(((VLOOKUP(EDATE(B264,-12),Database!$A:$AS,MATCH($H$1,Database!$A$1:$AS$1,),)))))</f>
        <v/>
      </c>
      <c r="I264" s="13">
        <f>IF(VLOOKUP(B264,Database!$A:$AV,MATCH($I$1,Database!$A$1:$AV$1,),)=0,"#N/A",((((VLOOKUP(B264,Database!$A:$AS,MATCH($I$1,Database!$A$1:$AS$1,),))))-(((VLOOKUP(EDATE(B264,-12),Database!$A:$AS,MATCH($I$1,Database!$A$1:$AS$1,),)))))/(((VLOOKUP(EDATE(B264,-12),Database!$A:$AS,MATCH($I$1,Database!$A$1:$AS$1,),)))))</f>
        <v/>
      </c>
      <c r="J264" s="13">
        <f>IF(VLOOKUP(B264,Database!$A:$AV,MATCH($J$1,Database!$A$1:$AV$1,),)=0,"#N/A",((((VLOOKUP(B264,Database!$A:$AS,MATCH($J$1,Database!$A$1:$AS$1,),))))-(((VLOOKUP(EDATE(B264,-12),Database!$A:$AS,MATCH($J$1,Database!$A$1:$AS$1,),)))))/(((VLOOKUP(EDATE(B264,-12),Database!$A:$AS,MATCH($J$1,Database!$A$1:$AS$1,),)))))</f>
        <v/>
      </c>
      <c r="K264" s="13">
        <f>IF(VLOOKUP(B264,Database!$A:$AV,MATCH($K$1,Database!$A$1:$AV$1,),)=0,"#N/A",((((VLOOKUP(B264,Database!$A:$AS,MATCH($K$1,Database!$A$1:$AS$1,),))))-(((VLOOKUP(EDATE(B264,-12),Database!$A:$AS,MATCH($K$1,Database!$A$1:$AS$1,),)))))/(((VLOOKUP(EDATE(B264,-12),Database!$A:$AS,MATCH($K$1,Database!$A$1:$AS$1,),)))))</f>
        <v/>
      </c>
      <c r="L264" s="13">
        <f>((((VLOOKUP(B264,Database!$A:$AS,MATCH($L$1,Database!$A$1:$AS$1,),))))-(((VLOOKUP(EDATE(B264,-12),Database!$A:$AS,MATCH($L$1,Database!$A$1:$AS$1,),)))))/(((VLOOKUP(EDATE(B264,-12),Database!$A:$AS,MATCH($L$1,Database!$A$1:$AS$1,),))))</f>
        <v/>
      </c>
      <c r="M264" s="13">
        <f>((((VLOOKUP(B264,Database!$A:$AS,MATCH($M$1,Database!$A$1:$AS$1,),))))-(((VLOOKUP(EDATE(B264,-12),Database!$A:$AS,MATCH($M$1,Database!$A$1:$AS$1,),)))))/(((VLOOKUP(EDATE(B264,-12),Database!$A:$AS,MATCH($M$1,Database!$A$1:$AS$1,),))))</f>
        <v/>
      </c>
      <c r="N264" s="13">
        <f>((((VLOOKUP(B264,Database!$A:$AS,MATCH($N$1,Database!$A$1:$AS$1,),))))-(((VLOOKUP(EDATE(B264,-12),Database!$A:$AS,MATCH($N$1,Database!$A$1:$AS$1,),)))))/(((VLOOKUP(EDATE(B264,-12),Database!$A:$AS,MATCH($N$1,Database!$A$1:$AS$1,),))))</f>
        <v/>
      </c>
      <c r="O264" s="13">
        <f>IF(VLOOKUP(B264,Database!$A:$AV,MATCH($O$1,Database!$A$1:$AV$1,),)=0,"#N/A",((((VLOOKUP(B264,Database!$A:$AS,MATCH($O$1,Database!$A$1:$AS$1,),))))-(((VLOOKUP(EDATE(B264,-12),Database!$A:$AS,MATCH($O$1,Database!$A$1:$AS$1,),)))))/(((VLOOKUP(EDATE(B264,-12),Database!$A:$AS,MATCH($O$1,Database!$A$1:$AS$1,),)))))</f>
        <v/>
      </c>
      <c r="P264" s="13">
        <f>IF(VLOOKUP(B264,Database!$A:$AV,MATCH($P$1,Database!$A$1:$AV$1,),)=0,"#N/A",((((VLOOKUP(B264,Database!$A:$AS,MATCH($P$1,Database!$A$1:$AS$1,),))))-(((VLOOKUP(EDATE(B264,-12),Database!$A:$AS,MATCH($P$1,Database!$A$1:$AS$1,),)))))/(((VLOOKUP(EDATE(B264,-12),Database!$A:$AS,MATCH($P$1,Database!$A$1:$AS$1,),)))))</f>
        <v/>
      </c>
      <c r="Q264" s="13">
        <f>IF(VLOOKUP(B264,Database!$A:$AV,MATCH($Q$1,Database!$A$1:$AV$1,),)=0,"#N/A",((((VLOOKUP(B264,Database!$A:$AS,MATCH($Q$1,Database!$A$1:$AS$1,),))))-(((VLOOKUP(EDATE(B264,-12),Database!$A:$AS,MATCH($Q$1,Database!$A$1:$AS$1,),)))))/(((VLOOKUP(EDATE(B264,-12),Database!$A:$AS,MATCH($Q$1,Database!$A$1:$AS$1,),)))))</f>
        <v/>
      </c>
      <c r="R264" s="13">
        <f>IF(VLOOKUP(B264,Database!$A:$AV,MATCH($R$1,Database!$A$1:$AV$1,),)=0,"#N/A",((((VLOOKUP(B264,Database!$A:$AS,MATCH($R$1,Database!$A$1:$AS$1,),))))-(((VLOOKUP(EDATE(B264,-12),Database!$A:$AS,MATCH($R$1,Database!$A$1:$AS$1,),)))))/(((VLOOKUP(EDATE(B264,-12),Database!$A:$AS,MATCH($R$1,Database!$A$1:$AS$1,),)))))</f>
        <v/>
      </c>
      <c r="S264" s="13">
        <f>IF(VLOOKUP(B264,Database!$A:$AV,MATCH($S$1,Database!$A$1:$AV$1,),)=0,"#N/A",((((VLOOKUP(B264,Database!$A:$AS,MATCH($S$1,Database!$A$1:$AS$1,),))))-(((VLOOKUP(EDATE(B264,-12),Database!$A:$AS,MATCH($S$1,Database!$A$1:$AS$1,),)))))/(((VLOOKUP(EDATE(B264,-12),Database!$A:$AS,MATCH($S$1,Database!$A$1:$AS$1,),)))))</f>
        <v/>
      </c>
      <c r="T264" s="13">
        <f>IF(VLOOKUP(B264,Database!$A:$AV,MATCH($T$1,Database!$A$1:$AV$1,),)=0,"#N/A",((((VLOOKUP(B264,Database!$A:$AS,MATCH($T$1,Database!$A$1:$AS$1,),))))-(((VLOOKUP(EDATE(B264,-12),Database!$A:$AS,MATCH($T$1,Database!$A$1:$AS$1,),)))))/(((VLOOKUP(EDATE(B264,-12),Database!$A:$AS,MATCH($T$1,Database!$A$1:$AS$1,),)))))</f>
        <v/>
      </c>
      <c r="U264" s="13">
        <f>IF(VLOOKUP(B264,Database!$A:$AV,MATCH($U$1,Database!$A$1:$AV$1,),)=0,"#N/A",((((VLOOKUP(B264,Database!$A:$AS,MATCH($U$1,Database!$A$1:$AS$1,),))))-(((VLOOKUP(EDATE(B264,-12),Database!$A:$AS,MATCH($U$1,Database!$A$1:$AS$1,),)))))/(((VLOOKUP(EDATE(B264,-12),Database!$A:$AS,MATCH($U$1,Database!$A$1:$AS$1,),)))))</f>
        <v/>
      </c>
      <c r="V264" s="13">
        <f>IF(VLOOKUP(B264,Database!$A:$AV,MATCH($V$1,Database!$A$1:$AV$1,),)=0,"#N/A",((((VLOOKUP(B264,Database!$A:$AS,MATCH($V$1,Database!$A$1:$AS$1,),))))-(((VLOOKUP(EDATE(B264,-12),Database!$A:$AS,MATCH($V$1,Database!$A$1:$AS$1,),)))))/(((VLOOKUP(EDATE(B264,-12),Database!$A:$AS,MATCH($V$1,Database!$A$1:$AS$1,),)))))</f>
        <v/>
      </c>
    </row>
    <row r="265" customFormat="1" s="86">
      <c r="A265" s="43" t="n"/>
      <c r="B265" s="75" t="n">
        <v>40210</v>
      </c>
      <c r="C265" s="13">
        <f>IF(VLOOKUP(B265,Database!$A:$AU,MATCH($C$1,Database!$A$1:$AU$1,),)=0,"#N/A",((((VLOOKUP(B265,Database!$A:$AU,MATCH($C$1,Database!$A$1:$AU$1,),))))-(((VLOOKUP(EDATE(B265,-12),Database!$A:$AU,MATCH($C$1,Database!$A$1:$AU$1,),)))))/(((VLOOKUP(EDATE(B265,-12),Database!$A:$AU,MATCH($C$1,Database!$A$1:$AU$1,),)))))</f>
        <v/>
      </c>
      <c r="D265" s="13">
        <f>IF(VLOOKUP(B265,Database!$A:$AV,MATCH($D$1,Database!$A$1:$AV$1,),)=0,"#N/A",((((VLOOKUP(B265,Database!$A:$AS,MATCH($D$1,Database!$A$1:$AS$1,),))))-(((VLOOKUP(EDATE(B265,-12),Database!$A:$AS,MATCH($D$1,Database!$A$1:$AS$1,),)))))/(((VLOOKUP(EDATE(B265,-12),Database!$A:$AS,MATCH($D$1,Database!$A$1:$AS$1,),)))))</f>
        <v/>
      </c>
      <c r="E265" s="13">
        <f>IF(VLOOKUP(B265,Database!$A:$AV,MATCH($E$1,Database!$A$1:$AV$1,),)=0,"#N/A",((((VLOOKUP(B265,Database!$A:$AS,MATCH($E$1,Database!$A$1:$AS$1,),))))-(((VLOOKUP(EDATE(B265,-12),Database!$A:$AS,MATCH($E$1,Database!$A$1:$AS$1,),)))))/(((VLOOKUP(EDATE(B265,-12),Database!$A:$AS,MATCH($E$1,Database!$A$1:$AS$1,),)))))</f>
        <v/>
      </c>
      <c r="F265" s="13">
        <f>IF(VLOOKUP(B265,Database!$A:$AV,MATCH($F$1,Database!$A$1:$AV$1,),)=0,"#N/A",((((VLOOKUP(B265,Database!$A:$AS,MATCH($F$1,Database!$A$1:$AS$1,),))))-(((VLOOKUP(EDATE(B265,-12),Database!$A:$AS,MATCH($F$1,Database!$A$1:$AS$1,),)))))/(((VLOOKUP(EDATE(B265,-12),Database!$A:$AS,MATCH($F$1,Database!$A$1:$AS$1,),)))))</f>
        <v/>
      </c>
      <c r="G265" s="13">
        <f>IF(VLOOKUP(B265,Database!$A:$AV,MATCH($G$1,Database!$A$1:$AV$1,),)=0,"#N/A",((((VLOOKUP(B265,Database!$A:$AS,MATCH($G$1,Database!$A$1:$AS$1,),))))-(((VLOOKUP(EDATE(B265,-12),Database!$A:$AS,MATCH($G$1,Database!$A$1:$AS$1,),)))))/(((VLOOKUP(EDATE(B265,-12),Database!$A:$AS,MATCH($G$1,Database!$A$1:$AS$1,),)))))</f>
        <v/>
      </c>
      <c r="H265" s="13">
        <f>IF(VLOOKUP(B265,Database!$A:$AV,MATCH($H$1,Database!$A$1:$AV$1,),)=0,"#N/A",((((VLOOKUP(B265,Database!$A:$AS,MATCH($H$1,Database!$A$1:$AS$1,),))))-(((VLOOKUP(EDATE(B265,-12),Database!$A:$AS,MATCH($H$1,Database!$A$1:$AS$1,),)))))/(((VLOOKUP(EDATE(B265,-12),Database!$A:$AS,MATCH($H$1,Database!$A$1:$AS$1,),)))))</f>
        <v/>
      </c>
      <c r="I265" s="13">
        <f>IF(VLOOKUP(B265,Database!$A:$AV,MATCH($I$1,Database!$A$1:$AV$1,),)=0,"#N/A",((((VLOOKUP(B265,Database!$A:$AS,MATCH($I$1,Database!$A$1:$AS$1,),))))-(((VLOOKUP(EDATE(B265,-12),Database!$A:$AS,MATCH($I$1,Database!$A$1:$AS$1,),)))))/(((VLOOKUP(EDATE(B265,-12),Database!$A:$AS,MATCH($I$1,Database!$A$1:$AS$1,),)))))</f>
        <v/>
      </c>
      <c r="J265" s="13">
        <f>IF(VLOOKUP(B265,Database!$A:$AV,MATCH($J$1,Database!$A$1:$AV$1,),)=0,"#N/A",((((VLOOKUP(B265,Database!$A:$AS,MATCH($J$1,Database!$A$1:$AS$1,),))))-(((VLOOKUP(EDATE(B265,-12),Database!$A:$AS,MATCH($J$1,Database!$A$1:$AS$1,),)))))/(((VLOOKUP(EDATE(B265,-12),Database!$A:$AS,MATCH($J$1,Database!$A$1:$AS$1,),)))))</f>
        <v/>
      </c>
      <c r="K265" s="13">
        <f>IF(VLOOKUP(B265,Database!$A:$AV,MATCH($K$1,Database!$A$1:$AV$1,),)=0,"#N/A",((((VLOOKUP(B265,Database!$A:$AS,MATCH($K$1,Database!$A$1:$AS$1,),))))-(((VLOOKUP(EDATE(B265,-12),Database!$A:$AS,MATCH($K$1,Database!$A$1:$AS$1,),)))))/(((VLOOKUP(EDATE(B265,-12),Database!$A:$AS,MATCH($K$1,Database!$A$1:$AS$1,),)))))</f>
        <v/>
      </c>
      <c r="L265" s="13">
        <f>((((VLOOKUP(B265,Database!$A:$AS,MATCH($L$1,Database!$A$1:$AS$1,),))))-(((VLOOKUP(EDATE(B265,-12),Database!$A:$AS,MATCH($L$1,Database!$A$1:$AS$1,),)))))/(((VLOOKUP(EDATE(B265,-12),Database!$A:$AS,MATCH($L$1,Database!$A$1:$AS$1,),))))</f>
        <v/>
      </c>
      <c r="M265" s="13">
        <f>((((VLOOKUP(B265,Database!$A:$AS,MATCH($M$1,Database!$A$1:$AS$1,),))))-(((VLOOKUP(EDATE(B265,-12),Database!$A:$AS,MATCH($M$1,Database!$A$1:$AS$1,),)))))/(((VLOOKUP(EDATE(B265,-12),Database!$A:$AS,MATCH($M$1,Database!$A$1:$AS$1,),))))</f>
        <v/>
      </c>
      <c r="N265" s="13">
        <f>((((VLOOKUP(B265,Database!$A:$AS,MATCH($N$1,Database!$A$1:$AS$1,),))))-(((VLOOKUP(EDATE(B265,-12),Database!$A:$AS,MATCH($N$1,Database!$A$1:$AS$1,),)))))/(((VLOOKUP(EDATE(B265,-12),Database!$A:$AS,MATCH($N$1,Database!$A$1:$AS$1,),))))</f>
        <v/>
      </c>
      <c r="O265" s="13">
        <f>IF(VLOOKUP(B265,Database!$A:$AV,MATCH($O$1,Database!$A$1:$AV$1,),)=0,"#N/A",((((VLOOKUP(B265,Database!$A:$AS,MATCH($O$1,Database!$A$1:$AS$1,),))))-(((VLOOKUP(EDATE(B265,-12),Database!$A:$AS,MATCH($O$1,Database!$A$1:$AS$1,),)))))/(((VLOOKUP(EDATE(B265,-12),Database!$A:$AS,MATCH($O$1,Database!$A$1:$AS$1,),)))))</f>
        <v/>
      </c>
      <c r="P265" s="13">
        <f>IF(VLOOKUP(B265,Database!$A:$AV,MATCH($P$1,Database!$A$1:$AV$1,),)=0,"#N/A",((((VLOOKUP(B265,Database!$A:$AS,MATCH($P$1,Database!$A$1:$AS$1,),))))-(((VLOOKUP(EDATE(B265,-12),Database!$A:$AS,MATCH($P$1,Database!$A$1:$AS$1,),)))))/(((VLOOKUP(EDATE(B265,-12),Database!$A:$AS,MATCH($P$1,Database!$A$1:$AS$1,),)))))</f>
        <v/>
      </c>
      <c r="Q265" s="13">
        <f>IF(VLOOKUP(B265,Database!$A:$AV,MATCH($Q$1,Database!$A$1:$AV$1,),)=0,"#N/A",((((VLOOKUP(B265,Database!$A:$AS,MATCH($Q$1,Database!$A$1:$AS$1,),))))-(((VLOOKUP(EDATE(B265,-12),Database!$A:$AS,MATCH($Q$1,Database!$A$1:$AS$1,),)))))/(((VLOOKUP(EDATE(B265,-12),Database!$A:$AS,MATCH($Q$1,Database!$A$1:$AS$1,),)))))</f>
        <v/>
      </c>
      <c r="R265" s="13">
        <f>IF(VLOOKUP(B265,Database!$A:$AV,MATCH($R$1,Database!$A$1:$AV$1,),)=0,"#N/A",((((VLOOKUP(B265,Database!$A:$AS,MATCH($R$1,Database!$A$1:$AS$1,),))))-(((VLOOKUP(EDATE(B265,-12),Database!$A:$AS,MATCH($R$1,Database!$A$1:$AS$1,),)))))/(((VLOOKUP(EDATE(B265,-12),Database!$A:$AS,MATCH($R$1,Database!$A$1:$AS$1,),)))))</f>
        <v/>
      </c>
      <c r="S265" s="13">
        <f>IF(VLOOKUP(B265,Database!$A:$AV,MATCH($S$1,Database!$A$1:$AV$1,),)=0,"#N/A",((((VLOOKUP(B265,Database!$A:$AS,MATCH($S$1,Database!$A$1:$AS$1,),))))-(((VLOOKUP(EDATE(B265,-12),Database!$A:$AS,MATCH($S$1,Database!$A$1:$AS$1,),)))))/(((VLOOKUP(EDATE(B265,-12),Database!$A:$AS,MATCH($S$1,Database!$A$1:$AS$1,),)))))</f>
        <v/>
      </c>
      <c r="T265" s="13">
        <f>IF(VLOOKUP(B265,Database!$A:$AV,MATCH($T$1,Database!$A$1:$AV$1,),)=0,"#N/A",((((VLOOKUP(B265,Database!$A:$AS,MATCH($T$1,Database!$A$1:$AS$1,),))))-(((VLOOKUP(EDATE(B265,-12),Database!$A:$AS,MATCH($T$1,Database!$A$1:$AS$1,),)))))/(((VLOOKUP(EDATE(B265,-12),Database!$A:$AS,MATCH($T$1,Database!$A$1:$AS$1,),)))))</f>
        <v/>
      </c>
      <c r="U265" s="13">
        <f>IF(VLOOKUP(B265,Database!$A:$AV,MATCH($U$1,Database!$A$1:$AV$1,),)=0,"#N/A",((((VLOOKUP(B265,Database!$A:$AS,MATCH($U$1,Database!$A$1:$AS$1,),))))-(((VLOOKUP(EDATE(B265,-12),Database!$A:$AS,MATCH($U$1,Database!$A$1:$AS$1,),)))))/(((VLOOKUP(EDATE(B265,-12),Database!$A:$AS,MATCH($U$1,Database!$A$1:$AS$1,),)))))</f>
        <v/>
      </c>
      <c r="V265" s="13">
        <f>IF(VLOOKUP(B265,Database!$A:$AV,MATCH($V$1,Database!$A$1:$AV$1,),)=0,"#N/A",((((VLOOKUP(B265,Database!$A:$AS,MATCH($V$1,Database!$A$1:$AS$1,),))))-(((VLOOKUP(EDATE(B265,-12),Database!$A:$AS,MATCH($V$1,Database!$A$1:$AS$1,),)))))/(((VLOOKUP(EDATE(B265,-12),Database!$A:$AS,MATCH($V$1,Database!$A$1:$AS$1,),)))))</f>
        <v/>
      </c>
    </row>
    <row r="266" customFormat="1" s="86">
      <c r="A266" s="43" t="n"/>
      <c r="B266" s="75" t="n">
        <v>40238</v>
      </c>
      <c r="C266" s="13">
        <f>IF(VLOOKUP(B266,Database!$A:$AU,MATCH($C$1,Database!$A$1:$AU$1,),)=0,"#N/A",((((VLOOKUP(B266,Database!$A:$AU,MATCH($C$1,Database!$A$1:$AU$1,),))))-(((VLOOKUP(EDATE(B266,-12),Database!$A:$AU,MATCH($C$1,Database!$A$1:$AU$1,),)))))/(((VLOOKUP(EDATE(B266,-12),Database!$A:$AU,MATCH($C$1,Database!$A$1:$AU$1,),)))))</f>
        <v/>
      </c>
      <c r="D266" s="13">
        <f>IF(VLOOKUP(B266,Database!$A:$AV,MATCH($D$1,Database!$A$1:$AV$1,),)=0,"#N/A",((((VLOOKUP(B266,Database!$A:$AS,MATCH($D$1,Database!$A$1:$AS$1,),))))-(((VLOOKUP(EDATE(B266,-12),Database!$A:$AS,MATCH($D$1,Database!$A$1:$AS$1,),)))))/(((VLOOKUP(EDATE(B266,-12),Database!$A:$AS,MATCH($D$1,Database!$A$1:$AS$1,),)))))</f>
        <v/>
      </c>
      <c r="E266" s="13">
        <f>IF(VLOOKUP(B266,Database!$A:$AV,MATCH($E$1,Database!$A$1:$AV$1,),)=0,"#N/A",((((VLOOKUP(B266,Database!$A:$AS,MATCH($E$1,Database!$A$1:$AS$1,),))))-(((VLOOKUP(EDATE(B266,-12),Database!$A:$AS,MATCH($E$1,Database!$A$1:$AS$1,),)))))/(((VLOOKUP(EDATE(B266,-12),Database!$A:$AS,MATCH($E$1,Database!$A$1:$AS$1,),)))))</f>
        <v/>
      </c>
      <c r="F266" s="13">
        <f>IF(VLOOKUP(B266,Database!$A:$AV,MATCH($F$1,Database!$A$1:$AV$1,),)=0,"#N/A",((((VLOOKUP(B266,Database!$A:$AS,MATCH($F$1,Database!$A$1:$AS$1,),))))-(((VLOOKUP(EDATE(B266,-12),Database!$A:$AS,MATCH($F$1,Database!$A$1:$AS$1,),)))))/(((VLOOKUP(EDATE(B266,-12),Database!$A:$AS,MATCH($F$1,Database!$A$1:$AS$1,),)))))</f>
        <v/>
      </c>
      <c r="G266" s="13">
        <f>IF(VLOOKUP(B266,Database!$A:$AV,MATCH($G$1,Database!$A$1:$AV$1,),)=0,"#N/A",((((VLOOKUP(B266,Database!$A:$AS,MATCH($G$1,Database!$A$1:$AS$1,),))))-(((VLOOKUP(EDATE(B266,-12),Database!$A:$AS,MATCH($G$1,Database!$A$1:$AS$1,),)))))/(((VLOOKUP(EDATE(B266,-12),Database!$A:$AS,MATCH($G$1,Database!$A$1:$AS$1,),)))))</f>
        <v/>
      </c>
      <c r="H266" s="13">
        <f>IF(VLOOKUP(B266,Database!$A:$AV,MATCH($H$1,Database!$A$1:$AV$1,),)=0,"#N/A",((((VLOOKUP(B266,Database!$A:$AS,MATCH($H$1,Database!$A$1:$AS$1,),))))-(((VLOOKUP(EDATE(B266,-12),Database!$A:$AS,MATCH($H$1,Database!$A$1:$AS$1,),)))))/(((VLOOKUP(EDATE(B266,-12),Database!$A:$AS,MATCH($H$1,Database!$A$1:$AS$1,),)))))</f>
        <v/>
      </c>
      <c r="I266" s="13">
        <f>IF(VLOOKUP(B266,Database!$A:$AV,MATCH($I$1,Database!$A$1:$AV$1,),)=0,"#N/A",((((VLOOKUP(B266,Database!$A:$AS,MATCH($I$1,Database!$A$1:$AS$1,),))))-(((VLOOKUP(EDATE(B266,-12),Database!$A:$AS,MATCH($I$1,Database!$A$1:$AS$1,),)))))/(((VLOOKUP(EDATE(B266,-12),Database!$A:$AS,MATCH($I$1,Database!$A$1:$AS$1,),)))))</f>
        <v/>
      </c>
      <c r="J266" s="13">
        <f>IF(VLOOKUP(B266,Database!$A:$AV,MATCH($J$1,Database!$A$1:$AV$1,),)=0,"#N/A",((((VLOOKUP(B266,Database!$A:$AS,MATCH($J$1,Database!$A$1:$AS$1,),))))-(((VLOOKUP(EDATE(B266,-12),Database!$A:$AS,MATCH($J$1,Database!$A$1:$AS$1,),)))))/(((VLOOKUP(EDATE(B266,-12),Database!$A:$AS,MATCH($J$1,Database!$A$1:$AS$1,),)))))</f>
        <v/>
      </c>
      <c r="K266" s="13">
        <f>IF(VLOOKUP(B266,Database!$A:$AV,MATCH($K$1,Database!$A$1:$AV$1,),)=0,"#N/A",((((VLOOKUP(B266,Database!$A:$AS,MATCH($K$1,Database!$A$1:$AS$1,),))))-(((VLOOKUP(EDATE(B266,-12),Database!$A:$AS,MATCH($K$1,Database!$A$1:$AS$1,),)))))/(((VLOOKUP(EDATE(B266,-12),Database!$A:$AS,MATCH($K$1,Database!$A$1:$AS$1,),)))))</f>
        <v/>
      </c>
      <c r="L266" s="13">
        <f>((((VLOOKUP(B266,Database!$A:$AS,MATCH($L$1,Database!$A$1:$AS$1,),))))-(((VLOOKUP(EDATE(B266,-12),Database!$A:$AS,MATCH($L$1,Database!$A$1:$AS$1,),)))))/(((VLOOKUP(EDATE(B266,-12),Database!$A:$AS,MATCH($L$1,Database!$A$1:$AS$1,),))))</f>
        <v/>
      </c>
      <c r="M266" s="13">
        <f>((((VLOOKUP(B266,Database!$A:$AS,MATCH($M$1,Database!$A$1:$AS$1,),))))-(((VLOOKUP(EDATE(B266,-12),Database!$A:$AS,MATCH($M$1,Database!$A$1:$AS$1,),)))))/(((VLOOKUP(EDATE(B266,-12),Database!$A:$AS,MATCH($M$1,Database!$A$1:$AS$1,),))))</f>
        <v/>
      </c>
      <c r="N266" s="13">
        <f>((((VLOOKUP(B266,Database!$A:$AS,MATCH($N$1,Database!$A$1:$AS$1,),))))-(((VLOOKUP(EDATE(B266,-12),Database!$A:$AS,MATCH($N$1,Database!$A$1:$AS$1,),)))))/(((VLOOKUP(EDATE(B266,-12),Database!$A:$AS,MATCH($N$1,Database!$A$1:$AS$1,),))))</f>
        <v/>
      </c>
      <c r="O266" s="13">
        <f>IF(VLOOKUP(B266,Database!$A:$AV,MATCH($O$1,Database!$A$1:$AV$1,),)=0,"#N/A",((((VLOOKUP(B266,Database!$A:$AS,MATCH($O$1,Database!$A$1:$AS$1,),))))-(((VLOOKUP(EDATE(B266,-12),Database!$A:$AS,MATCH($O$1,Database!$A$1:$AS$1,),)))))/(((VLOOKUP(EDATE(B266,-12),Database!$A:$AS,MATCH($O$1,Database!$A$1:$AS$1,),)))))</f>
        <v/>
      </c>
      <c r="P266" s="13">
        <f>IF(VLOOKUP(B266,Database!$A:$AV,MATCH($P$1,Database!$A$1:$AV$1,),)=0,"#N/A",((((VLOOKUP(B266,Database!$A:$AS,MATCH($P$1,Database!$A$1:$AS$1,),))))-(((VLOOKUP(EDATE(B266,-12),Database!$A:$AS,MATCH($P$1,Database!$A$1:$AS$1,),)))))/(((VLOOKUP(EDATE(B266,-12),Database!$A:$AS,MATCH($P$1,Database!$A$1:$AS$1,),)))))</f>
        <v/>
      </c>
      <c r="Q266" s="13">
        <f>IF(VLOOKUP(B266,Database!$A:$AV,MATCH($Q$1,Database!$A$1:$AV$1,),)=0,"#N/A",((((VLOOKUP(B266,Database!$A:$AS,MATCH($Q$1,Database!$A$1:$AS$1,),))))-(((VLOOKUP(EDATE(B266,-12),Database!$A:$AS,MATCH($Q$1,Database!$A$1:$AS$1,),)))))/(((VLOOKUP(EDATE(B266,-12),Database!$A:$AS,MATCH($Q$1,Database!$A$1:$AS$1,),)))))</f>
        <v/>
      </c>
      <c r="R266" s="13">
        <f>IF(VLOOKUP(B266,Database!$A:$AV,MATCH($R$1,Database!$A$1:$AV$1,),)=0,"#N/A",((((VLOOKUP(B266,Database!$A:$AS,MATCH($R$1,Database!$A$1:$AS$1,),))))-(((VLOOKUP(EDATE(B266,-12),Database!$A:$AS,MATCH($R$1,Database!$A$1:$AS$1,),)))))/(((VLOOKUP(EDATE(B266,-12),Database!$A:$AS,MATCH($R$1,Database!$A$1:$AS$1,),)))))</f>
        <v/>
      </c>
      <c r="S266" s="13">
        <f>IF(VLOOKUP(B266,Database!$A:$AV,MATCH($S$1,Database!$A$1:$AV$1,),)=0,"#N/A",((((VLOOKUP(B266,Database!$A:$AS,MATCH($S$1,Database!$A$1:$AS$1,),))))-(((VLOOKUP(EDATE(B266,-12),Database!$A:$AS,MATCH($S$1,Database!$A$1:$AS$1,),)))))/(((VLOOKUP(EDATE(B266,-12),Database!$A:$AS,MATCH($S$1,Database!$A$1:$AS$1,),)))))</f>
        <v/>
      </c>
      <c r="T266" s="13">
        <f>IF(VLOOKUP(B266,Database!$A:$AV,MATCH($T$1,Database!$A$1:$AV$1,),)=0,"#N/A",((((VLOOKUP(B266,Database!$A:$AS,MATCH($T$1,Database!$A$1:$AS$1,),))))-(((VLOOKUP(EDATE(B266,-12),Database!$A:$AS,MATCH($T$1,Database!$A$1:$AS$1,),)))))/(((VLOOKUP(EDATE(B266,-12),Database!$A:$AS,MATCH($T$1,Database!$A$1:$AS$1,),)))))</f>
        <v/>
      </c>
      <c r="U266" s="13">
        <f>IF(VLOOKUP(B266,Database!$A:$AV,MATCH($U$1,Database!$A$1:$AV$1,),)=0,"#N/A",((((VLOOKUP(B266,Database!$A:$AS,MATCH($U$1,Database!$A$1:$AS$1,),))))-(((VLOOKUP(EDATE(B266,-12),Database!$A:$AS,MATCH($U$1,Database!$A$1:$AS$1,),)))))/(((VLOOKUP(EDATE(B266,-12),Database!$A:$AS,MATCH($U$1,Database!$A$1:$AS$1,),)))))</f>
        <v/>
      </c>
      <c r="V266" s="13">
        <f>IF(VLOOKUP(B266,Database!$A:$AV,MATCH($V$1,Database!$A$1:$AV$1,),)=0,"#N/A",((((VLOOKUP(B266,Database!$A:$AS,MATCH($V$1,Database!$A$1:$AS$1,),))))-(((VLOOKUP(EDATE(B266,-12),Database!$A:$AS,MATCH($V$1,Database!$A$1:$AS$1,),)))))/(((VLOOKUP(EDATE(B266,-12),Database!$A:$AS,MATCH($V$1,Database!$A$1:$AS$1,),)))))</f>
        <v/>
      </c>
    </row>
    <row r="267" customFormat="1" s="86">
      <c r="A267" s="43" t="n"/>
      <c r="B267" s="75" t="n">
        <v>40269</v>
      </c>
      <c r="C267" s="13">
        <f>IF(VLOOKUP(B267,Database!$A:$AU,MATCH($C$1,Database!$A$1:$AU$1,),)=0,"#N/A",((((VLOOKUP(B267,Database!$A:$AU,MATCH($C$1,Database!$A$1:$AU$1,),))))-(((VLOOKUP(EDATE(B267,-12),Database!$A:$AU,MATCH($C$1,Database!$A$1:$AU$1,),)))))/(((VLOOKUP(EDATE(B267,-12),Database!$A:$AU,MATCH($C$1,Database!$A$1:$AU$1,),)))))</f>
        <v/>
      </c>
      <c r="D267" s="13">
        <f>IF(VLOOKUP(B267,Database!$A:$AV,MATCH($D$1,Database!$A$1:$AV$1,),)=0,"#N/A",((((VLOOKUP(B267,Database!$A:$AS,MATCH($D$1,Database!$A$1:$AS$1,),))))-(((VLOOKUP(EDATE(B267,-12),Database!$A:$AS,MATCH($D$1,Database!$A$1:$AS$1,),)))))/(((VLOOKUP(EDATE(B267,-12),Database!$A:$AS,MATCH($D$1,Database!$A$1:$AS$1,),)))))</f>
        <v/>
      </c>
      <c r="E267" s="13">
        <f>IF(VLOOKUP(B267,Database!$A:$AV,MATCH($E$1,Database!$A$1:$AV$1,),)=0,"#N/A",((((VLOOKUP(B267,Database!$A:$AS,MATCH($E$1,Database!$A$1:$AS$1,),))))-(((VLOOKUP(EDATE(B267,-12),Database!$A:$AS,MATCH($E$1,Database!$A$1:$AS$1,),)))))/(((VLOOKUP(EDATE(B267,-12),Database!$A:$AS,MATCH($E$1,Database!$A$1:$AS$1,),)))))</f>
        <v/>
      </c>
      <c r="F267" s="13">
        <f>IF(VLOOKUP(B267,Database!$A:$AV,MATCH($F$1,Database!$A$1:$AV$1,),)=0,"#N/A",((((VLOOKUP(B267,Database!$A:$AS,MATCH($F$1,Database!$A$1:$AS$1,),))))-(((VLOOKUP(EDATE(B267,-12),Database!$A:$AS,MATCH($F$1,Database!$A$1:$AS$1,),)))))/(((VLOOKUP(EDATE(B267,-12),Database!$A:$AS,MATCH($F$1,Database!$A$1:$AS$1,),)))))</f>
        <v/>
      </c>
      <c r="G267" s="13">
        <f>IF(VLOOKUP(B267,Database!$A:$AV,MATCH($G$1,Database!$A$1:$AV$1,),)=0,"#N/A",((((VLOOKUP(B267,Database!$A:$AS,MATCH($G$1,Database!$A$1:$AS$1,),))))-(((VLOOKUP(EDATE(B267,-12),Database!$A:$AS,MATCH($G$1,Database!$A$1:$AS$1,),)))))/(((VLOOKUP(EDATE(B267,-12),Database!$A:$AS,MATCH($G$1,Database!$A$1:$AS$1,),)))))</f>
        <v/>
      </c>
      <c r="H267" s="13">
        <f>IF(VLOOKUP(B267,Database!$A:$AV,MATCH($H$1,Database!$A$1:$AV$1,),)=0,"#N/A",((((VLOOKUP(B267,Database!$A:$AS,MATCH($H$1,Database!$A$1:$AS$1,),))))-(((VLOOKUP(EDATE(B267,-12),Database!$A:$AS,MATCH($H$1,Database!$A$1:$AS$1,),)))))/(((VLOOKUP(EDATE(B267,-12),Database!$A:$AS,MATCH($H$1,Database!$A$1:$AS$1,),)))))</f>
        <v/>
      </c>
      <c r="I267" s="13">
        <f>IF(VLOOKUP(B267,Database!$A:$AV,MATCH($I$1,Database!$A$1:$AV$1,),)=0,"#N/A",((((VLOOKUP(B267,Database!$A:$AS,MATCH($I$1,Database!$A$1:$AS$1,),))))-(((VLOOKUP(EDATE(B267,-12),Database!$A:$AS,MATCH($I$1,Database!$A$1:$AS$1,),)))))/(((VLOOKUP(EDATE(B267,-12),Database!$A:$AS,MATCH($I$1,Database!$A$1:$AS$1,),)))))</f>
        <v/>
      </c>
      <c r="J267" s="13">
        <f>IF(VLOOKUP(B267,Database!$A:$AV,MATCH($J$1,Database!$A$1:$AV$1,),)=0,"#N/A",((((VLOOKUP(B267,Database!$A:$AS,MATCH($J$1,Database!$A$1:$AS$1,),))))-(((VLOOKUP(EDATE(B267,-12),Database!$A:$AS,MATCH($J$1,Database!$A$1:$AS$1,),)))))/(((VLOOKUP(EDATE(B267,-12),Database!$A:$AS,MATCH($J$1,Database!$A$1:$AS$1,),)))))</f>
        <v/>
      </c>
      <c r="K267" s="13">
        <f>IF(VLOOKUP(B267,Database!$A:$AV,MATCH($K$1,Database!$A$1:$AV$1,),)=0,"#N/A",((((VLOOKUP(B267,Database!$A:$AS,MATCH($K$1,Database!$A$1:$AS$1,),))))-(((VLOOKUP(EDATE(B267,-12),Database!$A:$AS,MATCH($K$1,Database!$A$1:$AS$1,),)))))/(((VLOOKUP(EDATE(B267,-12),Database!$A:$AS,MATCH($K$1,Database!$A$1:$AS$1,),)))))</f>
        <v/>
      </c>
      <c r="L267" s="13">
        <f>((((VLOOKUP(B267,Database!$A:$AS,MATCH($L$1,Database!$A$1:$AS$1,),))))-(((VLOOKUP(EDATE(B267,-12),Database!$A:$AS,MATCH($L$1,Database!$A$1:$AS$1,),)))))/(((VLOOKUP(EDATE(B267,-12),Database!$A:$AS,MATCH($L$1,Database!$A$1:$AS$1,),))))</f>
        <v/>
      </c>
      <c r="M267" s="13">
        <f>((((VLOOKUP(B267,Database!$A:$AS,MATCH($M$1,Database!$A$1:$AS$1,),))))-(((VLOOKUP(EDATE(B267,-12),Database!$A:$AS,MATCH($M$1,Database!$A$1:$AS$1,),)))))/(((VLOOKUP(EDATE(B267,-12),Database!$A:$AS,MATCH($M$1,Database!$A$1:$AS$1,),))))</f>
        <v/>
      </c>
      <c r="N267" s="13">
        <f>((((VLOOKUP(B267,Database!$A:$AS,MATCH($N$1,Database!$A$1:$AS$1,),))))-(((VLOOKUP(EDATE(B267,-12),Database!$A:$AS,MATCH($N$1,Database!$A$1:$AS$1,),)))))/(((VLOOKUP(EDATE(B267,-12),Database!$A:$AS,MATCH($N$1,Database!$A$1:$AS$1,),))))</f>
        <v/>
      </c>
      <c r="O267" s="13">
        <f>IF(VLOOKUP(B267,Database!$A:$AV,MATCH($O$1,Database!$A$1:$AV$1,),)=0,"#N/A",((((VLOOKUP(B267,Database!$A:$AS,MATCH($O$1,Database!$A$1:$AS$1,),))))-(((VLOOKUP(EDATE(B267,-12),Database!$A:$AS,MATCH($O$1,Database!$A$1:$AS$1,),)))))/(((VLOOKUP(EDATE(B267,-12),Database!$A:$AS,MATCH($O$1,Database!$A$1:$AS$1,),)))))</f>
        <v/>
      </c>
      <c r="P267" s="13">
        <f>IF(VLOOKUP(B267,Database!$A:$AV,MATCH($P$1,Database!$A$1:$AV$1,),)=0,"#N/A",((((VLOOKUP(B267,Database!$A:$AS,MATCH($P$1,Database!$A$1:$AS$1,),))))-(((VLOOKUP(EDATE(B267,-12),Database!$A:$AS,MATCH($P$1,Database!$A$1:$AS$1,),)))))/(((VLOOKUP(EDATE(B267,-12),Database!$A:$AS,MATCH($P$1,Database!$A$1:$AS$1,),)))))</f>
        <v/>
      </c>
      <c r="Q267" s="13">
        <f>IF(VLOOKUP(B267,Database!$A:$AV,MATCH($Q$1,Database!$A$1:$AV$1,),)=0,"#N/A",((((VLOOKUP(B267,Database!$A:$AS,MATCH($Q$1,Database!$A$1:$AS$1,),))))-(((VLOOKUP(EDATE(B267,-12),Database!$A:$AS,MATCH($Q$1,Database!$A$1:$AS$1,),)))))/(((VLOOKUP(EDATE(B267,-12),Database!$A:$AS,MATCH($Q$1,Database!$A$1:$AS$1,),)))))</f>
        <v/>
      </c>
      <c r="R267" s="13">
        <f>IF(VLOOKUP(B267,Database!$A:$AV,MATCH($R$1,Database!$A$1:$AV$1,),)=0,"#N/A",((((VLOOKUP(B267,Database!$A:$AS,MATCH($R$1,Database!$A$1:$AS$1,),))))-(((VLOOKUP(EDATE(B267,-12),Database!$A:$AS,MATCH($R$1,Database!$A$1:$AS$1,),)))))/(((VLOOKUP(EDATE(B267,-12),Database!$A:$AS,MATCH($R$1,Database!$A$1:$AS$1,),)))))</f>
        <v/>
      </c>
      <c r="S267" s="13">
        <f>IF(VLOOKUP(B267,Database!$A:$AV,MATCH($S$1,Database!$A$1:$AV$1,),)=0,"#N/A",((((VLOOKUP(B267,Database!$A:$AS,MATCH($S$1,Database!$A$1:$AS$1,),))))-(((VLOOKUP(EDATE(B267,-12),Database!$A:$AS,MATCH($S$1,Database!$A$1:$AS$1,),)))))/(((VLOOKUP(EDATE(B267,-12),Database!$A:$AS,MATCH($S$1,Database!$A$1:$AS$1,),)))))</f>
        <v/>
      </c>
      <c r="T267" s="13">
        <f>IF(VLOOKUP(B267,Database!$A:$AV,MATCH($T$1,Database!$A$1:$AV$1,),)=0,"#N/A",((((VLOOKUP(B267,Database!$A:$AS,MATCH($T$1,Database!$A$1:$AS$1,),))))-(((VLOOKUP(EDATE(B267,-12),Database!$A:$AS,MATCH($T$1,Database!$A$1:$AS$1,),)))))/(((VLOOKUP(EDATE(B267,-12),Database!$A:$AS,MATCH($T$1,Database!$A$1:$AS$1,),)))))</f>
        <v/>
      </c>
      <c r="U267" s="13">
        <f>IF(VLOOKUP(B267,Database!$A:$AV,MATCH($U$1,Database!$A$1:$AV$1,),)=0,"#N/A",((((VLOOKUP(B267,Database!$A:$AS,MATCH($U$1,Database!$A$1:$AS$1,),))))-(((VLOOKUP(EDATE(B267,-12),Database!$A:$AS,MATCH($U$1,Database!$A$1:$AS$1,),)))))/(((VLOOKUP(EDATE(B267,-12),Database!$A:$AS,MATCH($U$1,Database!$A$1:$AS$1,),)))))</f>
        <v/>
      </c>
      <c r="V267" s="13">
        <f>IF(VLOOKUP(B267,Database!$A:$AV,MATCH($V$1,Database!$A$1:$AV$1,),)=0,"#N/A",((((VLOOKUP(B267,Database!$A:$AS,MATCH($V$1,Database!$A$1:$AS$1,),))))-(((VLOOKUP(EDATE(B267,-12),Database!$A:$AS,MATCH($V$1,Database!$A$1:$AS$1,),)))))/(((VLOOKUP(EDATE(B267,-12),Database!$A:$AS,MATCH($V$1,Database!$A$1:$AS$1,),)))))</f>
        <v/>
      </c>
    </row>
    <row r="268" customFormat="1" s="86">
      <c r="A268" s="43" t="n"/>
      <c r="B268" s="75" t="n">
        <v>40299</v>
      </c>
      <c r="C268" s="13">
        <f>IF(VLOOKUP(B268,Database!$A:$AU,MATCH($C$1,Database!$A$1:$AU$1,),)=0,"#N/A",((((VLOOKUP(B268,Database!$A:$AU,MATCH($C$1,Database!$A$1:$AU$1,),))))-(((VLOOKUP(EDATE(B268,-12),Database!$A:$AU,MATCH($C$1,Database!$A$1:$AU$1,),)))))/(((VLOOKUP(EDATE(B268,-12),Database!$A:$AU,MATCH($C$1,Database!$A$1:$AU$1,),)))))</f>
        <v/>
      </c>
      <c r="D268" s="13">
        <f>IF(VLOOKUP(B268,Database!$A:$AV,MATCH($D$1,Database!$A$1:$AV$1,),)=0,"#N/A",((((VLOOKUP(B268,Database!$A:$AS,MATCH($D$1,Database!$A$1:$AS$1,),))))-(((VLOOKUP(EDATE(B268,-12),Database!$A:$AS,MATCH($D$1,Database!$A$1:$AS$1,),)))))/(((VLOOKUP(EDATE(B268,-12),Database!$A:$AS,MATCH($D$1,Database!$A$1:$AS$1,),)))))</f>
        <v/>
      </c>
      <c r="E268" s="13">
        <f>IF(VLOOKUP(B268,Database!$A:$AV,MATCH($E$1,Database!$A$1:$AV$1,),)=0,"#N/A",((((VLOOKUP(B268,Database!$A:$AS,MATCH($E$1,Database!$A$1:$AS$1,),))))-(((VLOOKUP(EDATE(B268,-12),Database!$A:$AS,MATCH($E$1,Database!$A$1:$AS$1,),)))))/(((VLOOKUP(EDATE(B268,-12),Database!$A:$AS,MATCH($E$1,Database!$A$1:$AS$1,),)))))</f>
        <v/>
      </c>
      <c r="F268" s="13">
        <f>IF(VLOOKUP(B268,Database!$A:$AV,MATCH($F$1,Database!$A$1:$AV$1,),)=0,"#N/A",((((VLOOKUP(B268,Database!$A:$AS,MATCH($F$1,Database!$A$1:$AS$1,),))))-(((VLOOKUP(EDATE(B268,-12),Database!$A:$AS,MATCH($F$1,Database!$A$1:$AS$1,),)))))/(((VLOOKUP(EDATE(B268,-12),Database!$A:$AS,MATCH($F$1,Database!$A$1:$AS$1,),)))))</f>
        <v/>
      </c>
      <c r="G268" s="13">
        <f>IF(VLOOKUP(B268,Database!$A:$AV,MATCH($G$1,Database!$A$1:$AV$1,),)=0,"#N/A",((((VLOOKUP(B268,Database!$A:$AS,MATCH($G$1,Database!$A$1:$AS$1,),))))-(((VLOOKUP(EDATE(B268,-12),Database!$A:$AS,MATCH($G$1,Database!$A$1:$AS$1,),)))))/(((VLOOKUP(EDATE(B268,-12),Database!$A:$AS,MATCH($G$1,Database!$A$1:$AS$1,),)))))</f>
        <v/>
      </c>
      <c r="H268" s="13">
        <f>IF(VLOOKUP(B268,Database!$A:$AV,MATCH($H$1,Database!$A$1:$AV$1,),)=0,"#N/A",((((VLOOKUP(B268,Database!$A:$AS,MATCH($H$1,Database!$A$1:$AS$1,),))))-(((VLOOKUP(EDATE(B268,-12),Database!$A:$AS,MATCH($H$1,Database!$A$1:$AS$1,),)))))/(((VLOOKUP(EDATE(B268,-12),Database!$A:$AS,MATCH($H$1,Database!$A$1:$AS$1,),)))))</f>
        <v/>
      </c>
      <c r="I268" s="13">
        <f>IF(VLOOKUP(B268,Database!$A:$AV,MATCH($I$1,Database!$A$1:$AV$1,),)=0,"#N/A",((((VLOOKUP(B268,Database!$A:$AS,MATCH($I$1,Database!$A$1:$AS$1,),))))-(((VLOOKUP(EDATE(B268,-12),Database!$A:$AS,MATCH($I$1,Database!$A$1:$AS$1,),)))))/(((VLOOKUP(EDATE(B268,-12),Database!$A:$AS,MATCH($I$1,Database!$A$1:$AS$1,),)))))</f>
        <v/>
      </c>
      <c r="J268" s="13">
        <f>IF(VLOOKUP(B268,Database!$A:$AV,MATCH($J$1,Database!$A$1:$AV$1,),)=0,"#N/A",((((VLOOKUP(B268,Database!$A:$AS,MATCH($J$1,Database!$A$1:$AS$1,),))))-(((VLOOKUP(EDATE(B268,-12),Database!$A:$AS,MATCH($J$1,Database!$A$1:$AS$1,),)))))/(((VLOOKUP(EDATE(B268,-12),Database!$A:$AS,MATCH($J$1,Database!$A$1:$AS$1,),)))))</f>
        <v/>
      </c>
      <c r="K268" s="13">
        <f>IF(VLOOKUP(B268,Database!$A:$AV,MATCH($K$1,Database!$A$1:$AV$1,),)=0,"#N/A",((((VLOOKUP(B268,Database!$A:$AS,MATCH($K$1,Database!$A$1:$AS$1,),))))-(((VLOOKUP(EDATE(B268,-12),Database!$A:$AS,MATCH($K$1,Database!$A$1:$AS$1,),)))))/(((VLOOKUP(EDATE(B268,-12),Database!$A:$AS,MATCH($K$1,Database!$A$1:$AS$1,),)))))</f>
        <v/>
      </c>
      <c r="L268" s="13">
        <f>((((VLOOKUP(B268,Database!$A:$AS,MATCH($L$1,Database!$A$1:$AS$1,),))))-(((VLOOKUP(EDATE(B268,-12),Database!$A:$AS,MATCH($L$1,Database!$A$1:$AS$1,),)))))/(((VLOOKUP(EDATE(B268,-12),Database!$A:$AS,MATCH($L$1,Database!$A$1:$AS$1,),))))</f>
        <v/>
      </c>
      <c r="M268" s="13">
        <f>((((VLOOKUP(B268,Database!$A:$AS,MATCH($M$1,Database!$A$1:$AS$1,),))))-(((VLOOKUP(EDATE(B268,-12),Database!$A:$AS,MATCH($M$1,Database!$A$1:$AS$1,),)))))/(((VLOOKUP(EDATE(B268,-12),Database!$A:$AS,MATCH($M$1,Database!$A$1:$AS$1,),))))</f>
        <v/>
      </c>
      <c r="N268" s="13">
        <f>((((VLOOKUP(B268,Database!$A:$AS,MATCH($N$1,Database!$A$1:$AS$1,),))))-(((VLOOKUP(EDATE(B268,-12),Database!$A:$AS,MATCH($N$1,Database!$A$1:$AS$1,),)))))/(((VLOOKUP(EDATE(B268,-12),Database!$A:$AS,MATCH($N$1,Database!$A$1:$AS$1,),))))</f>
        <v/>
      </c>
      <c r="O268" s="13">
        <f>IF(VLOOKUP(B268,Database!$A:$AV,MATCH($O$1,Database!$A$1:$AV$1,),)=0,"#N/A",((((VLOOKUP(B268,Database!$A:$AS,MATCH($O$1,Database!$A$1:$AS$1,),))))-(((VLOOKUP(EDATE(B268,-12),Database!$A:$AS,MATCH($O$1,Database!$A$1:$AS$1,),)))))/(((VLOOKUP(EDATE(B268,-12),Database!$A:$AS,MATCH($O$1,Database!$A$1:$AS$1,),)))))</f>
        <v/>
      </c>
      <c r="P268" s="13">
        <f>IF(VLOOKUP(B268,Database!$A:$AV,MATCH($P$1,Database!$A$1:$AV$1,),)=0,"#N/A",((((VLOOKUP(B268,Database!$A:$AS,MATCH($P$1,Database!$A$1:$AS$1,),))))-(((VLOOKUP(EDATE(B268,-12),Database!$A:$AS,MATCH($P$1,Database!$A$1:$AS$1,),)))))/(((VLOOKUP(EDATE(B268,-12),Database!$A:$AS,MATCH($P$1,Database!$A$1:$AS$1,),)))))</f>
        <v/>
      </c>
      <c r="Q268" s="13">
        <f>IF(VLOOKUP(B268,Database!$A:$AV,MATCH($Q$1,Database!$A$1:$AV$1,),)=0,"#N/A",((((VLOOKUP(B268,Database!$A:$AS,MATCH($Q$1,Database!$A$1:$AS$1,),))))-(((VLOOKUP(EDATE(B268,-12),Database!$A:$AS,MATCH($Q$1,Database!$A$1:$AS$1,),)))))/(((VLOOKUP(EDATE(B268,-12),Database!$A:$AS,MATCH($Q$1,Database!$A$1:$AS$1,),)))))</f>
        <v/>
      </c>
      <c r="R268" s="13">
        <f>IF(VLOOKUP(B268,Database!$A:$AV,MATCH($R$1,Database!$A$1:$AV$1,),)=0,"#N/A",((((VLOOKUP(B268,Database!$A:$AS,MATCH($R$1,Database!$A$1:$AS$1,),))))-(((VLOOKUP(EDATE(B268,-12),Database!$A:$AS,MATCH($R$1,Database!$A$1:$AS$1,),)))))/(((VLOOKUP(EDATE(B268,-12),Database!$A:$AS,MATCH($R$1,Database!$A$1:$AS$1,),)))))</f>
        <v/>
      </c>
      <c r="S268" s="13">
        <f>IF(VLOOKUP(B268,Database!$A:$AV,MATCH($S$1,Database!$A$1:$AV$1,),)=0,"#N/A",((((VLOOKUP(B268,Database!$A:$AS,MATCH($S$1,Database!$A$1:$AS$1,),))))-(((VLOOKUP(EDATE(B268,-12),Database!$A:$AS,MATCH($S$1,Database!$A$1:$AS$1,),)))))/(((VLOOKUP(EDATE(B268,-12),Database!$A:$AS,MATCH($S$1,Database!$A$1:$AS$1,),)))))</f>
        <v/>
      </c>
      <c r="T268" s="13">
        <f>IF(VLOOKUP(B268,Database!$A:$AV,MATCH($T$1,Database!$A$1:$AV$1,),)=0,"#N/A",((((VLOOKUP(B268,Database!$A:$AS,MATCH($T$1,Database!$A$1:$AS$1,),))))-(((VLOOKUP(EDATE(B268,-12),Database!$A:$AS,MATCH($T$1,Database!$A$1:$AS$1,),)))))/(((VLOOKUP(EDATE(B268,-12),Database!$A:$AS,MATCH($T$1,Database!$A$1:$AS$1,),)))))</f>
        <v/>
      </c>
      <c r="U268" s="13">
        <f>IF(VLOOKUP(B268,Database!$A:$AV,MATCH($U$1,Database!$A$1:$AV$1,),)=0,"#N/A",((((VLOOKUP(B268,Database!$A:$AS,MATCH($U$1,Database!$A$1:$AS$1,),))))-(((VLOOKUP(EDATE(B268,-12),Database!$A:$AS,MATCH($U$1,Database!$A$1:$AS$1,),)))))/(((VLOOKUP(EDATE(B268,-12),Database!$A:$AS,MATCH($U$1,Database!$A$1:$AS$1,),)))))</f>
        <v/>
      </c>
      <c r="V268" s="13">
        <f>IF(VLOOKUP(B268,Database!$A:$AV,MATCH($V$1,Database!$A$1:$AV$1,),)=0,"#N/A",((((VLOOKUP(B268,Database!$A:$AS,MATCH($V$1,Database!$A$1:$AS$1,),))))-(((VLOOKUP(EDATE(B268,-12),Database!$A:$AS,MATCH($V$1,Database!$A$1:$AS$1,),)))))/(((VLOOKUP(EDATE(B268,-12),Database!$A:$AS,MATCH($V$1,Database!$A$1:$AS$1,),)))))</f>
        <v/>
      </c>
    </row>
    <row r="269" customFormat="1" s="86">
      <c r="A269" s="43" t="n"/>
      <c r="B269" s="75" t="n">
        <v>40330</v>
      </c>
      <c r="C269" s="13">
        <f>IF(VLOOKUP(B269,Database!$A:$AU,MATCH($C$1,Database!$A$1:$AU$1,),)=0,"#N/A",((((VLOOKUP(B269,Database!$A:$AU,MATCH($C$1,Database!$A$1:$AU$1,),))))-(((VLOOKUP(EDATE(B269,-12),Database!$A:$AU,MATCH($C$1,Database!$A$1:$AU$1,),)))))/(((VLOOKUP(EDATE(B269,-12),Database!$A:$AU,MATCH($C$1,Database!$A$1:$AU$1,),)))))</f>
        <v/>
      </c>
      <c r="D269" s="13">
        <f>IF(VLOOKUP(B269,Database!$A:$AV,MATCH($D$1,Database!$A$1:$AV$1,),)=0,"#N/A",((((VLOOKUP(B269,Database!$A:$AS,MATCH($D$1,Database!$A$1:$AS$1,),))))-(((VLOOKUP(EDATE(B269,-12),Database!$A:$AS,MATCH($D$1,Database!$A$1:$AS$1,),)))))/(((VLOOKUP(EDATE(B269,-12),Database!$A:$AS,MATCH($D$1,Database!$A$1:$AS$1,),)))))</f>
        <v/>
      </c>
      <c r="E269" s="13">
        <f>IF(VLOOKUP(B269,Database!$A:$AV,MATCH($E$1,Database!$A$1:$AV$1,),)=0,"#N/A",((((VLOOKUP(B269,Database!$A:$AS,MATCH($E$1,Database!$A$1:$AS$1,),))))-(((VLOOKUP(EDATE(B269,-12),Database!$A:$AS,MATCH($E$1,Database!$A$1:$AS$1,),)))))/(((VLOOKUP(EDATE(B269,-12),Database!$A:$AS,MATCH($E$1,Database!$A$1:$AS$1,),)))))</f>
        <v/>
      </c>
      <c r="F269" s="13">
        <f>IF(VLOOKUP(B269,Database!$A:$AV,MATCH($F$1,Database!$A$1:$AV$1,),)=0,"#N/A",((((VLOOKUP(B269,Database!$A:$AS,MATCH($F$1,Database!$A$1:$AS$1,),))))-(((VLOOKUP(EDATE(B269,-12),Database!$A:$AS,MATCH($F$1,Database!$A$1:$AS$1,),)))))/(((VLOOKUP(EDATE(B269,-12),Database!$A:$AS,MATCH($F$1,Database!$A$1:$AS$1,),)))))</f>
        <v/>
      </c>
      <c r="G269" s="13">
        <f>IF(VLOOKUP(B269,Database!$A:$AV,MATCH($G$1,Database!$A$1:$AV$1,),)=0,"#N/A",((((VLOOKUP(B269,Database!$A:$AS,MATCH($G$1,Database!$A$1:$AS$1,),))))-(((VLOOKUP(EDATE(B269,-12),Database!$A:$AS,MATCH($G$1,Database!$A$1:$AS$1,),)))))/(((VLOOKUP(EDATE(B269,-12),Database!$A:$AS,MATCH($G$1,Database!$A$1:$AS$1,),)))))</f>
        <v/>
      </c>
      <c r="H269" s="13">
        <f>IF(VLOOKUP(B269,Database!$A:$AV,MATCH($H$1,Database!$A$1:$AV$1,),)=0,"#N/A",((((VLOOKUP(B269,Database!$A:$AS,MATCH($H$1,Database!$A$1:$AS$1,),))))-(((VLOOKUP(EDATE(B269,-12),Database!$A:$AS,MATCH($H$1,Database!$A$1:$AS$1,),)))))/(((VLOOKUP(EDATE(B269,-12),Database!$A:$AS,MATCH($H$1,Database!$A$1:$AS$1,),)))))</f>
        <v/>
      </c>
      <c r="I269" s="13">
        <f>IF(VLOOKUP(B269,Database!$A:$AV,MATCH($I$1,Database!$A$1:$AV$1,),)=0,"#N/A",((((VLOOKUP(B269,Database!$A:$AS,MATCH($I$1,Database!$A$1:$AS$1,),))))-(((VLOOKUP(EDATE(B269,-12),Database!$A:$AS,MATCH($I$1,Database!$A$1:$AS$1,),)))))/(((VLOOKUP(EDATE(B269,-12),Database!$A:$AS,MATCH($I$1,Database!$A$1:$AS$1,),)))))</f>
        <v/>
      </c>
      <c r="J269" s="13">
        <f>IF(VLOOKUP(B269,Database!$A:$AV,MATCH($J$1,Database!$A$1:$AV$1,),)=0,"#N/A",((((VLOOKUP(B269,Database!$A:$AS,MATCH($J$1,Database!$A$1:$AS$1,),))))-(((VLOOKUP(EDATE(B269,-12),Database!$A:$AS,MATCH($J$1,Database!$A$1:$AS$1,),)))))/(((VLOOKUP(EDATE(B269,-12),Database!$A:$AS,MATCH($J$1,Database!$A$1:$AS$1,),)))))</f>
        <v/>
      </c>
      <c r="K269" s="13">
        <f>IF(VLOOKUP(B269,Database!$A:$AV,MATCH($K$1,Database!$A$1:$AV$1,),)=0,"#N/A",((((VLOOKUP(B269,Database!$A:$AS,MATCH($K$1,Database!$A$1:$AS$1,),))))-(((VLOOKUP(EDATE(B269,-12),Database!$A:$AS,MATCH($K$1,Database!$A$1:$AS$1,),)))))/(((VLOOKUP(EDATE(B269,-12),Database!$A:$AS,MATCH($K$1,Database!$A$1:$AS$1,),)))))</f>
        <v/>
      </c>
      <c r="L269" s="13">
        <f>((((VLOOKUP(B269,Database!$A:$AS,MATCH($L$1,Database!$A$1:$AS$1,),))))-(((VLOOKUP(EDATE(B269,-12),Database!$A:$AS,MATCH($L$1,Database!$A$1:$AS$1,),)))))/(((VLOOKUP(EDATE(B269,-12),Database!$A:$AS,MATCH($L$1,Database!$A$1:$AS$1,),))))</f>
        <v/>
      </c>
      <c r="M269" s="13">
        <f>((((VLOOKUP(B269,Database!$A:$AS,MATCH($M$1,Database!$A$1:$AS$1,),))))-(((VLOOKUP(EDATE(B269,-12),Database!$A:$AS,MATCH($M$1,Database!$A$1:$AS$1,),)))))/(((VLOOKUP(EDATE(B269,-12),Database!$A:$AS,MATCH($M$1,Database!$A$1:$AS$1,),))))</f>
        <v/>
      </c>
      <c r="N269" s="13">
        <f>((((VLOOKUP(B269,Database!$A:$AS,MATCH($N$1,Database!$A$1:$AS$1,),))))-(((VLOOKUP(EDATE(B269,-12),Database!$A:$AS,MATCH($N$1,Database!$A$1:$AS$1,),)))))/(((VLOOKUP(EDATE(B269,-12),Database!$A:$AS,MATCH($N$1,Database!$A$1:$AS$1,),))))</f>
        <v/>
      </c>
      <c r="O269" s="13">
        <f>IF(VLOOKUP(B269,Database!$A:$AV,MATCH($O$1,Database!$A$1:$AV$1,),)=0,"#N/A",((((VLOOKUP(B269,Database!$A:$AS,MATCH($O$1,Database!$A$1:$AS$1,),))))-(((VLOOKUP(EDATE(B269,-12),Database!$A:$AS,MATCH($O$1,Database!$A$1:$AS$1,),)))))/(((VLOOKUP(EDATE(B269,-12),Database!$A:$AS,MATCH($O$1,Database!$A$1:$AS$1,),)))))</f>
        <v/>
      </c>
      <c r="P269" s="13">
        <f>IF(VLOOKUP(B269,Database!$A:$AV,MATCH($P$1,Database!$A$1:$AV$1,),)=0,"#N/A",((((VLOOKUP(B269,Database!$A:$AS,MATCH($P$1,Database!$A$1:$AS$1,),))))-(((VLOOKUP(EDATE(B269,-12),Database!$A:$AS,MATCH($P$1,Database!$A$1:$AS$1,),)))))/(((VLOOKUP(EDATE(B269,-12),Database!$A:$AS,MATCH($P$1,Database!$A$1:$AS$1,),)))))</f>
        <v/>
      </c>
      <c r="Q269" s="13">
        <f>IF(VLOOKUP(B269,Database!$A:$AV,MATCH($Q$1,Database!$A$1:$AV$1,),)=0,"#N/A",((((VLOOKUP(B269,Database!$A:$AS,MATCH($Q$1,Database!$A$1:$AS$1,),))))-(((VLOOKUP(EDATE(B269,-12),Database!$A:$AS,MATCH($Q$1,Database!$A$1:$AS$1,),)))))/(((VLOOKUP(EDATE(B269,-12),Database!$A:$AS,MATCH($Q$1,Database!$A$1:$AS$1,),)))))</f>
        <v/>
      </c>
      <c r="R269" s="13">
        <f>IF(VLOOKUP(B269,Database!$A:$AV,MATCH($R$1,Database!$A$1:$AV$1,),)=0,"#N/A",((((VLOOKUP(B269,Database!$A:$AS,MATCH($R$1,Database!$A$1:$AS$1,),))))-(((VLOOKUP(EDATE(B269,-12),Database!$A:$AS,MATCH($R$1,Database!$A$1:$AS$1,),)))))/(((VLOOKUP(EDATE(B269,-12),Database!$A:$AS,MATCH($R$1,Database!$A$1:$AS$1,),)))))</f>
        <v/>
      </c>
      <c r="S269" s="13">
        <f>IF(VLOOKUP(B269,Database!$A:$AV,MATCH($S$1,Database!$A$1:$AV$1,),)=0,"#N/A",((((VLOOKUP(B269,Database!$A:$AS,MATCH($S$1,Database!$A$1:$AS$1,),))))-(((VLOOKUP(EDATE(B269,-12),Database!$A:$AS,MATCH($S$1,Database!$A$1:$AS$1,),)))))/(((VLOOKUP(EDATE(B269,-12),Database!$A:$AS,MATCH($S$1,Database!$A$1:$AS$1,),)))))</f>
        <v/>
      </c>
      <c r="T269" s="13">
        <f>IF(VLOOKUP(B269,Database!$A:$AV,MATCH($T$1,Database!$A$1:$AV$1,),)=0,"#N/A",((((VLOOKUP(B269,Database!$A:$AS,MATCH($T$1,Database!$A$1:$AS$1,),))))-(((VLOOKUP(EDATE(B269,-12),Database!$A:$AS,MATCH($T$1,Database!$A$1:$AS$1,),)))))/(((VLOOKUP(EDATE(B269,-12),Database!$A:$AS,MATCH($T$1,Database!$A$1:$AS$1,),)))))</f>
        <v/>
      </c>
      <c r="U269" s="13">
        <f>IF(VLOOKUP(B269,Database!$A:$AV,MATCH($U$1,Database!$A$1:$AV$1,),)=0,"#N/A",((((VLOOKUP(B269,Database!$A:$AS,MATCH($U$1,Database!$A$1:$AS$1,),))))-(((VLOOKUP(EDATE(B269,-12),Database!$A:$AS,MATCH($U$1,Database!$A$1:$AS$1,),)))))/(((VLOOKUP(EDATE(B269,-12),Database!$A:$AS,MATCH($U$1,Database!$A$1:$AS$1,),)))))</f>
        <v/>
      </c>
      <c r="V269" s="13">
        <f>IF(VLOOKUP(B269,Database!$A:$AV,MATCH($V$1,Database!$A$1:$AV$1,),)=0,"#N/A",((((VLOOKUP(B269,Database!$A:$AS,MATCH($V$1,Database!$A$1:$AS$1,),))))-(((VLOOKUP(EDATE(B269,-12),Database!$A:$AS,MATCH($V$1,Database!$A$1:$AS$1,),)))))/(((VLOOKUP(EDATE(B269,-12),Database!$A:$AS,MATCH($V$1,Database!$A$1:$AS$1,),)))))</f>
        <v/>
      </c>
    </row>
    <row r="270" customFormat="1" s="86">
      <c r="A270" s="43" t="n"/>
      <c r="B270" s="75" t="n">
        <v>40360</v>
      </c>
      <c r="C270" s="13">
        <f>IF(VLOOKUP(B270,Database!$A:$AU,MATCH($C$1,Database!$A$1:$AU$1,),)=0,"#N/A",((((VLOOKUP(B270,Database!$A:$AU,MATCH($C$1,Database!$A$1:$AU$1,),))))-(((VLOOKUP(EDATE(B270,-12),Database!$A:$AU,MATCH($C$1,Database!$A$1:$AU$1,),)))))/(((VLOOKUP(EDATE(B270,-12),Database!$A:$AU,MATCH($C$1,Database!$A$1:$AU$1,),)))))</f>
        <v/>
      </c>
      <c r="D270" s="13">
        <f>IF(VLOOKUP(B270,Database!$A:$AV,MATCH($D$1,Database!$A$1:$AV$1,),)=0,"#N/A",((((VLOOKUP(B270,Database!$A:$AS,MATCH($D$1,Database!$A$1:$AS$1,),))))-(((VLOOKUP(EDATE(B270,-12),Database!$A:$AS,MATCH($D$1,Database!$A$1:$AS$1,),)))))/(((VLOOKUP(EDATE(B270,-12),Database!$A:$AS,MATCH($D$1,Database!$A$1:$AS$1,),)))))</f>
        <v/>
      </c>
      <c r="E270" s="13">
        <f>IF(VLOOKUP(B270,Database!$A:$AV,MATCH($E$1,Database!$A$1:$AV$1,),)=0,"#N/A",((((VLOOKUP(B270,Database!$A:$AS,MATCH($E$1,Database!$A$1:$AS$1,),))))-(((VLOOKUP(EDATE(B270,-12),Database!$A:$AS,MATCH($E$1,Database!$A$1:$AS$1,),)))))/(((VLOOKUP(EDATE(B270,-12),Database!$A:$AS,MATCH($E$1,Database!$A$1:$AS$1,),)))))</f>
        <v/>
      </c>
      <c r="F270" s="13">
        <f>IF(VLOOKUP(B270,Database!$A:$AV,MATCH($F$1,Database!$A$1:$AV$1,),)=0,"#N/A",((((VLOOKUP(B270,Database!$A:$AS,MATCH($F$1,Database!$A$1:$AS$1,),))))-(((VLOOKUP(EDATE(B270,-12),Database!$A:$AS,MATCH($F$1,Database!$A$1:$AS$1,),)))))/(((VLOOKUP(EDATE(B270,-12),Database!$A:$AS,MATCH($F$1,Database!$A$1:$AS$1,),)))))</f>
        <v/>
      </c>
      <c r="G270" s="13">
        <f>IF(VLOOKUP(B270,Database!$A:$AV,MATCH($G$1,Database!$A$1:$AV$1,),)=0,"#N/A",((((VLOOKUP(B270,Database!$A:$AS,MATCH($G$1,Database!$A$1:$AS$1,),))))-(((VLOOKUP(EDATE(B270,-12),Database!$A:$AS,MATCH($G$1,Database!$A$1:$AS$1,),)))))/(((VLOOKUP(EDATE(B270,-12),Database!$A:$AS,MATCH($G$1,Database!$A$1:$AS$1,),)))))</f>
        <v/>
      </c>
      <c r="H270" s="13">
        <f>IF(VLOOKUP(B270,Database!$A:$AV,MATCH($H$1,Database!$A$1:$AV$1,),)=0,"#N/A",((((VLOOKUP(B270,Database!$A:$AS,MATCH($H$1,Database!$A$1:$AS$1,),))))-(((VLOOKUP(EDATE(B270,-12),Database!$A:$AS,MATCH($H$1,Database!$A$1:$AS$1,),)))))/(((VLOOKUP(EDATE(B270,-12),Database!$A:$AS,MATCH($H$1,Database!$A$1:$AS$1,),)))))</f>
        <v/>
      </c>
      <c r="I270" s="13">
        <f>IF(VLOOKUP(B270,Database!$A:$AV,MATCH($I$1,Database!$A$1:$AV$1,),)=0,"#N/A",((((VLOOKUP(B270,Database!$A:$AS,MATCH($I$1,Database!$A$1:$AS$1,),))))-(((VLOOKUP(EDATE(B270,-12),Database!$A:$AS,MATCH($I$1,Database!$A$1:$AS$1,),)))))/(((VLOOKUP(EDATE(B270,-12),Database!$A:$AS,MATCH($I$1,Database!$A$1:$AS$1,),)))))</f>
        <v/>
      </c>
      <c r="J270" s="13">
        <f>IF(VLOOKUP(B270,Database!$A:$AV,MATCH($J$1,Database!$A$1:$AV$1,),)=0,"#N/A",((((VLOOKUP(B270,Database!$A:$AS,MATCH($J$1,Database!$A$1:$AS$1,),))))-(((VLOOKUP(EDATE(B270,-12),Database!$A:$AS,MATCH($J$1,Database!$A$1:$AS$1,),)))))/(((VLOOKUP(EDATE(B270,-12),Database!$A:$AS,MATCH($J$1,Database!$A$1:$AS$1,),)))))</f>
        <v/>
      </c>
      <c r="K270" s="13">
        <f>IF(VLOOKUP(B270,Database!$A:$AV,MATCH($K$1,Database!$A$1:$AV$1,),)=0,"#N/A",((((VLOOKUP(B270,Database!$A:$AS,MATCH($K$1,Database!$A$1:$AS$1,),))))-(((VLOOKUP(EDATE(B270,-12),Database!$A:$AS,MATCH($K$1,Database!$A$1:$AS$1,),)))))/(((VLOOKUP(EDATE(B270,-12),Database!$A:$AS,MATCH($K$1,Database!$A$1:$AS$1,),)))))</f>
        <v/>
      </c>
      <c r="L270" s="13">
        <f>((((VLOOKUP(B270,Database!$A:$AS,MATCH($L$1,Database!$A$1:$AS$1,),))))-(((VLOOKUP(EDATE(B270,-12),Database!$A:$AS,MATCH($L$1,Database!$A$1:$AS$1,),)))))/(((VLOOKUP(EDATE(B270,-12),Database!$A:$AS,MATCH($L$1,Database!$A$1:$AS$1,),))))</f>
        <v/>
      </c>
      <c r="M270" s="13">
        <f>((((VLOOKUP(B270,Database!$A:$AS,MATCH($M$1,Database!$A$1:$AS$1,),))))-(((VLOOKUP(EDATE(B270,-12),Database!$A:$AS,MATCH($M$1,Database!$A$1:$AS$1,),)))))/(((VLOOKUP(EDATE(B270,-12),Database!$A:$AS,MATCH($M$1,Database!$A$1:$AS$1,),))))</f>
        <v/>
      </c>
      <c r="N270" s="13">
        <f>((((VLOOKUP(B270,Database!$A:$AS,MATCH($N$1,Database!$A$1:$AS$1,),))))-(((VLOOKUP(EDATE(B270,-12),Database!$A:$AS,MATCH($N$1,Database!$A$1:$AS$1,),)))))/(((VLOOKUP(EDATE(B270,-12),Database!$A:$AS,MATCH($N$1,Database!$A$1:$AS$1,),))))</f>
        <v/>
      </c>
      <c r="O270" s="13">
        <f>IF(VLOOKUP(B270,Database!$A:$AV,MATCH($O$1,Database!$A$1:$AV$1,),)=0,"#N/A",((((VLOOKUP(B270,Database!$A:$AS,MATCH($O$1,Database!$A$1:$AS$1,),))))-(((VLOOKUP(EDATE(B270,-12),Database!$A:$AS,MATCH($O$1,Database!$A$1:$AS$1,),)))))/(((VLOOKUP(EDATE(B270,-12),Database!$A:$AS,MATCH($O$1,Database!$A$1:$AS$1,),)))))</f>
        <v/>
      </c>
      <c r="P270" s="13">
        <f>IF(VLOOKUP(B270,Database!$A:$AV,MATCH($P$1,Database!$A$1:$AV$1,),)=0,"#N/A",((((VLOOKUP(B270,Database!$A:$AS,MATCH($P$1,Database!$A$1:$AS$1,),))))-(((VLOOKUP(EDATE(B270,-12),Database!$A:$AS,MATCH($P$1,Database!$A$1:$AS$1,),)))))/(((VLOOKUP(EDATE(B270,-12),Database!$A:$AS,MATCH($P$1,Database!$A$1:$AS$1,),)))))</f>
        <v/>
      </c>
      <c r="Q270" s="13">
        <f>IF(VLOOKUP(B270,Database!$A:$AV,MATCH($Q$1,Database!$A$1:$AV$1,),)=0,"#N/A",((((VLOOKUP(B270,Database!$A:$AS,MATCH($Q$1,Database!$A$1:$AS$1,),))))-(((VLOOKUP(EDATE(B270,-12),Database!$A:$AS,MATCH($Q$1,Database!$A$1:$AS$1,),)))))/(((VLOOKUP(EDATE(B270,-12),Database!$A:$AS,MATCH($Q$1,Database!$A$1:$AS$1,),)))))</f>
        <v/>
      </c>
      <c r="R270" s="13">
        <f>IF(VLOOKUP(B270,Database!$A:$AV,MATCH($R$1,Database!$A$1:$AV$1,),)=0,"#N/A",((((VLOOKUP(B270,Database!$A:$AS,MATCH($R$1,Database!$A$1:$AS$1,),))))-(((VLOOKUP(EDATE(B270,-12),Database!$A:$AS,MATCH($R$1,Database!$A$1:$AS$1,),)))))/(((VLOOKUP(EDATE(B270,-12),Database!$A:$AS,MATCH($R$1,Database!$A$1:$AS$1,),)))))</f>
        <v/>
      </c>
      <c r="S270" s="13">
        <f>IF(VLOOKUP(B270,Database!$A:$AV,MATCH($S$1,Database!$A$1:$AV$1,),)=0,"#N/A",((((VLOOKUP(B270,Database!$A:$AS,MATCH($S$1,Database!$A$1:$AS$1,),))))-(((VLOOKUP(EDATE(B270,-12),Database!$A:$AS,MATCH($S$1,Database!$A$1:$AS$1,),)))))/(((VLOOKUP(EDATE(B270,-12),Database!$A:$AS,MATCH($S$1,Database!$A$1:$AS$1,),)))))</f>
        <v/>
      </c>
      <c r="T270" s="13">
        <f>IF(VLOOKUP(B270,Database!$A:$AV,MATCH($T$1,Database!$A$1:$AV$1,),)=0,"#N/A",((((VLOOKUP(B270,Database!$A:$AS,MATCH($T$1,Database!$A$1:$AS$1,),))))-(((VLOOKUP(EDATE(B270,-12),Database!$A:$AS,MATCH($T$1,Database!$A$1:$AS$1,),)))))/(((VLOOKUP(EDATE(B270,-12),Database!$A:$AS,MATCH($T$1,Database!$A$1:$AS$1,),)))))</f>
        <v/>
      </c>
      <c r="U270" s="13">
        <f>IF(VLOOKUP(B270,Database!$A:$AV,MATCH($U$1,Database!$A$1:$AV$1,),)=0,"#N/A",((((VLOOKUP(B270,Database!$A:$AS,MATCH($U$1,Database!$A$1:$AS$1,),))))-(((VLOOKUP(EDATE(B270,-12),Database!$A:$AS,MATCH($U$1,Database!$A$1:$AS$1,),)))))/(((VLOOKUP(EDATE(B270,-12),Database!$A:$AS,MATCH($U$1,Database!$A$1:$AS$1,),)))))</f>
        <v/>
      </c>
      <c r="V270" s="13">
        <f>IF(VLOOKUP(B270,Database!$A:$AV,MATCH($V$1,Database!$A$1:$AV$1,),)=0,"#N/A",((((VLOOKUP(B270,Database!$A:$AS,MATCH($V$1,Database!$A$1:$AS$1,),))))-(((VLOOKUP(EDATE(B270,-12),Database!$A:$AS,MATCH($V$1,Database!$A$1:$AS$1,),)))))/(((VLOOKUP(EDATE(B270,-12),Database!$A:$AS,MATCH($V$1,Database!$A$1:$AS$1,),)))))</f>
        <v/>
      </c>
    </row>
    <row r="271" customFormat="1" s="86">
      <c r="A271" s="43" t="n"/>
      <c r="B271" s="75" t="n">
        <v>40391</v>
      </c>
      <c r="C271" s="13">
        <f>IF(VLOOKUP(B271,Database!$A:$AU,MATCH($C$1,Database!$A$1:$AU$1,),)=0,"#N/A",((((VLOOKUP(B271,Database!$A:$AU,MATCH($C$1,Database!$A$1:$AU$1,),))))-(((VLOOKUP(EDATE(B271,-12),Database!$A:$AU,MATCH($C$1,Database!$A$1:$AU$1,),)))))/(((VLOOKUP(EDATE(B271,-12),Database!$A:$AU,MATCH($C$1,Database!$A$1:$AU$1,),)))))</f>
        <v/>
      </c>
      <c r="D271" s="13">
        <f>IF(VLOOKUP(B271,Database!$A:$AV,MATCH($D$1,Database!$A$1:$AV$1,),)=0,"#N/A",((((VLOOKUP(B271,Database!$A:$AS,MATCH($D$1,Database!$A$1:$AS$1,),))))-(((VLOOKUP(EDATE(B271,-12),Database!$A:$AS,MATCH($D$1,Database!$A$1:$AS$1,),)))))/(((VLOOKUP(EDATE(B271,-12),Database!$A:$AS,MATCH($D$1,Database!$A$1:$AS$1,),)))))</f>
        <v/>
      </c>
      <c r="E271" s="13">
        <f>IF(VLOOKUP(B271,Database!$A:$AV,MATCH($E$1,Database!$A$1:$AV$1,),)=0,"#N/A",((((VLOOKUP(B271,Database!$A:$AS,MATCH($E$1,Database!$A$1:$AS$1,),))))-(((VLOOKUP(EDATE(B271,-12),Database!$A:$AS,MATCH($E$1,Database!$A$1:$AS$1,),)))))/(((VLOOKUP(EDATE(B271,-12),Database!$A:$AS,MATCH($E$1,Database!$A$1:$AS$1,),)))))</f>
        <v/>
      </c>
      <c r="F271" s="13">
        <f>IF(VLOOKUP(B271,Database!$A:$AV,MATCH($F$1,Database!$A$1:$AV$1,),)=0,"#N/A",((((VLOOKUP(B271,Database!$A:$AS,MATCH($F$1,Database!$A$1:$AS$1,),))))-(((VLOOKUP(EDATE(B271,-12),Database!$A:$AS,MATCH($F$1,Database!$A$1:$AS$1,),)))))/(((VLOOKUP(EDATE(B271,-12),Database!$A:$AS,MATCH($F$1,Database!$A$1:$AS$1,),)))))</f>
        <v/>
      </c>
      <c r="G271" s="13">
        <f>IF(VLOOKUP(B271,Database!$A:$AV,MATCH($G$1,Database!$A$1:$AV$1,),)=0,"#N/A",((((VLOOKUP(B271,Database!$A:$AS,MATCH($G$1,Database!$A$1:$AS$1,),))))-(((VLOOKUP(EDATE(B271,-12),Database!$A:$AS,MATCH($G$1,Database!$A$1:$AS$1,),)))))/(((VLOOKUP(EDATE(B271,-12),Database!$A:$AS,MATCH($G$1,Database!$A$1:$AS$1,),)))))</f>
        <v/>
      </c>
      <c r="H271" s="13">
        <f>IF(VLOOKUP(B271,Database!$A:$AV,MATCH($H$1,Database!$A$1:$AV$1,),)=0,"#N/A",((((VLOOKUP(B271,Database!$A:$AS,MATCH($H$1,Database!$A$1:$AS$1,),))))-(((VLOOKUP(EDATE(B271,-12),Database!$A:$AS,MATCH($H$1,Database!$A$1:$AS$1,),)))))/(((VLOOKUP(EDATE(B271,-12),Database!$A:$AS,MATCH($H$1,Database!$A$1:$AS$1,),)))))</f>
        <v/>
      </c>
      <c r="I271" s="13">
        <f>IF(VLOOKUP(B271,Database!$A:$AV,MATCH($I$1,Database!$A$1:$AV$1,),)=0,"#N/A",((((VLOOKUP(B271,Database!$A:$AS,MATCH($I$1,Database!$A$1:$AS$1,),))))-(((VLOOKUP(EDATE(B271,-12),Database!$A:$AS,MATCH($I$1,Database!$A$1:$AS$1,),)))))/(((VLOOKUP(EDATE(B271,-12),Database!$A:$AS,MATCH($I$1,Database!$A$1:$AS$1,),)))))</f>
        <v/>
      </c>
      <c r="J271" s="13">
        <f>IF(VLOOKUP(B271,Database!$A:$AV,MATCH($J$1,Database!$A$1:$AV$1,),)=0,"#N/A",((((VLOOKUP(B271,Database!$A:$AS,MATCH($J$1,Database!$A$1:$AS$1,),))))-(((VLOOKUP(EDATE(B271,-12),Database!$A:$AS,MATCH($J$1,Database!$A$1:$AS$1,),)))))/(((VLOOKUP(EDATE(B271,-12),Database!$A:$AS,MATCH($J$1,Database!$A$1:$AS$1,),)))))</f>
        <v/>
      </c>
      <c r="K271" s="13">
        <f>IF(VLOOKUP(B271,Database!$A:$AV,MATCH($K$1,Database!$A$1:$AV$1,),)=0,"#N/A",((((VLOOKUP(B271,Database!$A:$AS,MATCH($K$1,Database!$A$1:$AS$1,),))))-(((VLOOKUP(EDATE(B271,-12),Database!$A:$AS,MATCH($K$1,Database!$A$1:$AS$1,),)))))/(((VLOOKUP(EDATE(B271,-12),Database!$A:$AS,MATCH($K$1,Database!$A$1:$AS$1,),)))))</f>
        <v/>
      </c>
      <c r="L271" s="13">
        <f>((((VLOOKUP(B271,Database!$A:$AS,MATCH($L$1,Database!$A$1:$AS$1,),))))-(((VLOOKUP(EDATE(B271,-12),Database!$A:$AS,MATCH($L$1,Database!$A$1:$AS$1,),)))))/(((VLOOKUP(EDATE(B271,-12),Database!$A:$AS,MATCH($L$1,Database!$A$1:$AS$1,),))))</f>
        <v/>
      </c>
      <c r="M271" s="13">
        <f>((((VLOOKUP(B271,Database!$A:$AS,MATCH($M$1,Database!$A$1:$AS$1,),))))-(((VLOOKUP(EDATE(B271,-12),Database!$A:$AS,MATCH($M$1,Database!$A$1:$AS$1,),)))))/(((VLOOKUP(EDATE(B271,-12),Database!$A:$AS,MATCH($M$1,Database!$A$1:$AS$1,),))))</f>
        <v/>
      </c>
      <c r="N271" s="13">
        <f>((((VLOOKUP(B271,Database!$A:$AS,MATCH($N$1,Database!$A$1:$AS$1,),))))-(((VLOOKUP(EDATE(B271,-12),Database!$A:$AS,MATCH($N$1,Database!$A$1:$AS$1,),)))))/(((VLOOKUP(EDATE(B271,-12),Database!$A:$AS,MATCH($N$1,Database!$A$1:$AS$1,),))))</f>
        <v/>
      </c>
      <c r="O271" s="13">
        <f>IF(VLOOKUP(B271,Database!$A:$AV,MATCH($O$1,Database!$A$1:$AV$1,),)=0,"#N/A",((((VLOOKUP(B271,Database!$A:$AS,MATCH($O$1,Database!$A$1:$AS$1,),))))-(((VLOOKUP(EDATE(B271,-12),Database!$A:$AS,MATCH($O$1,Database!$A$1:$AS$1,),)))))/(((VLOOKUP(EDATE(B271,-12),Database!$A:$AS,MATCH($O$1,Database!$A$1:$AS$1,),)))))</f>
        <v/>
      </c>
      <c r="P271" s="13">
        <f>IF(VLOOKUP(B271,Database!$A:$AV,MATCH($P$1,Database!$A$1:$AV$1,),)=0,"#N/A",((((VLOOKUP(B271,Database!$A:$AS,MATCH($P$1,Database!$A$1:$AS$1,),))))-(((VLOOKUP(EDATE(B271,-12),Database!$A:$AS,MATCH($P$1,Database!$A$1:$AS$1,),)))))/(((VLOOKUP(EDATE(B271,-12),Database!$A:$AS,MATCH($P$1,Database!$A$1:$AS$1,),)))))</f>
        <v/>
      </c>
      <c r="Q271" s="13">
        <f>IF(VLOOKUP(B271,Database!$A:$AV,MATCH($Q$1,Database!$A$1:$AV$1,),)=0,"#N/A",((((VLOOKUP(B271,Database!$A:$AS,MATCH($Q$1,Database!$A$1:$AS$1,),))))-(((VLOOKUP(EDATE(B271,-12),Database!$A:$AS,MATCH($Q$1,Database!$A$1:$AS$1,),)))))/(((VLOOKUP(EDATE(B271,-12),Database!$A:$AS,MATCH($Q$1,Database!$A$1:$AS$1,),)))))</f>
        <v/>
      </c>
      <c r="R271" s="13">
        <f>IF(VLOOKUP(B271,Database!$A:$AV,MATCH($R$1,Database!$A$1:$AV$1,),)=0,"#N/A",((((VLOOKUP(B271,Database!$A:$AS,MATCH($R$1,Database!$A$1:$AS$1,),))))-(((VLOOKUP(EDATE(B271,-12),Database!$A:$AS,MATCH($R$1,Database!$A$1:$AS$1,),)))))/(((VLOOKUP(EDATE(B271,-12),Database!$A:$AS,MATCH($R$1,Database!$A$1:$AS$1,),)))))</f>
        <v/>
      </c>
      <c r="S271" s="13">
        <f>IF(VLOOKUP(B271,Database!$A:$AV,MATCH($S$1,Database!$A$1:$AV$1,),)=0,"#N/A",((((VLOOKUP(B271,Database!$A:$AS,MATCH($S$1,Database!$A$1:$AS$1,),))))-(((VLOOKUP(EDATE(B271,-12),Database!$A:$AS,MATCH($S$1,Database!$A$1:$AS$1,),)))))/(((VLOOKUP(EDATE(B271,-12),Database!$A:$AS,MATCH($S$1,Database!$A$1:$AS$1,),)))))</f>
        <v/>
      </c>
      <c r="T271" s="13">
        <f>IF(VLOOKUP(B271,Database!$A:$AV,MATCH($T$1,Database!$A$1:$AV$1,),)=0,"#N/A",((((VLOOKUP(B271,Database!$A:$AS,MATCH($T$1,Database!$A$1:$AS$1,),))))-(((VLOOKUP(EDATE(B271,-12),Database!$A:$AS,MATCH($T$1,Database!$A$1:$AS$1,),)))))/(((VLOOKUP(EDATE(B271,-12),Database!$A:$AS,MATCH($T$1,Database!$A$1:$AS$1,),)))))</f>
        <v/>
      </c>
      <c r="U271" s="13">
        <f>IF(VLOOKUP(B271,Database!$A:$AV,MATCH($U$1,Database!$A$1:$AV$1,),)=0,"#N/A",((((VLOOKUP(B271,Database!$A:$AS,MATCH($U$1,Database!$A$1:$AS$1,),))))-(((VLOOKUP(EDATE(B271,-12),Database!$A:$AS,MATCH($U$1,Database!$A$1:$AS$1,),)))))/(((VLOOKUP(EDATE(B271,-12),Database!$A:$AS,MATCH($U$1,Database!$A$1:$AS$1,),)))))</f>
        <v/>
      </c>
      <c r="V271" s="13">
        <f>IF(VLOOKUP(B271,Database!$A:$AV,MATCH($V$1,Database!$A$1:$AV$1,),)=0,"#N/A",((((VLOOKUP(B271,Database!$A:$AS,MATCH($V$1,Database!$A$1:$AS$1,),))))-(((VLOOKUP(EDATE(B271,-12),Database!$A:$AS,MATCH($V$1,Database!$A$1:$AS$1,),)))))/(((VLOOKUP(EDATE(B271,-12),Database!$A:$AS,MATCH($V$1,Database!$A$1:$AS$1,),)))))</f>
        <v/>
      </c>
    </row>
    <row r="272" customFormat="1" s="86">
      <c r="A272" s="43" t="n"/>
      <c r="B272" s="75" t="n">
        <v>40422</v>
      </c>
      <c r="C272" s="13">
        <f>IF(VLOOKUP(B272,Database!$A:$AU,MATCH($C$1,Database!$A$1:$AU$1,),)=0,"#N/A",((((VLOOKUP(B272,Database!$A:$AU,MATCH($C$1,Database!$A$1:$AU$1,),))))-(((VLOOKUP(EDATE(B272,-12),Database!$A:$AU,MATCH($C$1,Database!$A$1:$AU$1,),)))))/(((VLOOKUP(EDATE(B272,-12),Database!$A:$AU,MATCH($C$1,Database!$A$1:$AU$1,),)))))</f>
        <v/>
      </c>
      <c r="D272" s="13">
        <f>IF(VLOOKUP(B272,Database!$A:$AV,MATCH($D$1,Database!$A$1:$AV$1,),)=0,"#N/A",((((VLOOKUP(B272,Database!$A:$AS,MATCH($D$1,Database!$A$1:$AS$1,),))))-(((VLOOKUP(EDATE(B272,-12),Database!$A:$AS,MATCH($D$1,Database!$A$1:$AS$1,),)))))/(((VLOOKUP(EDATE(B272,-12),Database!$A:$AS,MATCH($D$1,Database!$A$1:$AS$1,),)))))</f>
        <v/>
      </c>
      <c r="E272" s="13">
        <f>IF(VLOOKUP(B272,Database!$A:$AV,MATCH($E$1,Database!$A$1:$AV$1,),)=0,"#N/A",((((VLOOKUP(B272,Database!$A:$AS,MATCH($E$1,Database!$A$1:$AS$1,),))))-(((VLOOKUP(EDATE(B272,-12),Database!$A:$AS,MATCH($E$1,Database!$A$1:$AS$1,),)))))/(((VLOOKUP(EDATE(B272,-12),Database!$A:$AS,MATCH($E$1,Database!$A$1:$AS$1,),)))))</f>
        <v/>
      </c>
      <c r="F272" s="13">
        <f>IF(VLOOKUP(B272,Database!$A:$AV,MATCH($F$1,Database!$A$1:$AV$1,),)=0,"#N/A",((((VLOOKUP(B272,Database!$A:$AS,MATCH($F$1,Database!$A$1:$AS$1,),))))-(((VLOOKUP(EDATE(B272,-12),Database!$A:$AS,MATCH($F$1,Database!$A$1:$AS$1,),)))))/(((VLOOKUP(EDATE(B272,-12),Database!$A:$AS,MATCH($F$1,Database!$A$1:$AS$1,),)))))</f>
        <v/>
      </c>
      <c r="G272" s="13">
        <f>IF(VLOOKUP(B272,Database!$A:$AV,MATCH($G$1,Database!$A$1:$AV$1,),)=0,"#N/A",((((VLOOKUP(B272,Database!$A:$AS,MATCH($G$1,Database!$A$1:$AS$1,),))))-(((VLOOKUP(EDATE(B272,-12),Database!$A:$AS,MATCH($G$1,Database!$A$1:$AS$1,),)))))/(((VLOOKUP(EDATE(B272,-12),Database!$A:$AS,MATCH($G$1,Database!$A$1:$AS$1,),)))))</f>
        <v/>
      </c>
      <c r="H272" s="13">
        <f>IF(VLOOKUP(B272,Database!$A:$AV,MATCH($H$1,Database!$A$1:$AV$1,),)=0,"#N/A",((((VLOOKUP(B272,Database!$A:$AS,MATCH($H$1,Database!$A$1:$AS$1,),))))-(((VLOOKUP(EDATE(B272,-12),Database!$A:$AS,MATCH($H$1,Database!$A$1:$AS$1,),)))))/(((VLOOKUP(EDATE(B272,-12),Database!$A:$AS,MATCH($H$1,Database!$A$1:$AS$1,),)))))</f>
        <v/>
      </c>
      <c r="I272" s="13">
        <f>IF(VLOOKUP(B272,Database!$A:$AV,MATCH($I$1,Database!$A$1:$AV$1,),)=0,"#N/A",((((VLOOKUP(B272,Database!$A:$AS,MATCH($I$1,Database!$A$1:$AS$1,),))))-(((VLOOKUP(EDATE(B272,-12),Database!$A:$AS,MATCH($I$1,Database!$A$1:$AS$1,),)))))/(((VLOOKUP(EDATE(B272,-12),Database!$A:$AS,MATCH($I$1,Database!$A$1:$AS$1,),)))))</f>
        <v/>
      </c>
      <c r="J272" s="13">
        <f>IF(VLOOKUP(B272,Database!$A:$AV,MATCH($J$1,Database!$A$1:$AV$1,),)=0,"#N/A",((((VLOOKUP(B272,Database!$A:$AS,MATCH($J$1,Database!$A$1:$AS$1,),))))-(((VLOOKUP(EDATE(B272,-12),Database!$A:$AS,MATCH($J$1,Database!$A$1:$AS$1,),)))))/(((VLOOKUP(EDATE(B272,-12),Database!$A:$AS,MATCH($J$1,Database!$A$1:$AS$1,),)))))</f>
        <v/>
      </c>
      <c r="K272" s="13">
        <f>IF(VLOOKUP(B272,Database!$A:$AV,MATCH($K$1,Database!$A$1:$AV$1,),)=0,"#N/A",((((VLOOKUP(B272,Database!$A:$AS,MATCH($K$1,Database!$A$1:$AS$1,),))))-(((VLOOKUP(EDATE(B272,-12),Database!$A:$AS,MATCH($K$1,Database!$A$1:$AS$1,),)))))/(((VLOOKUP(EDATE(B272,-12),Database!$A:$AS,MATCH($K$1,Database!$A$1:$AS$1,),)))))</f>
        <v/>
      </c>
      <c r="L272" s="13">
        <f>((((VLOOKUP(B272,Database!$A:$AS,MATCH($L$1,Database!$A$1:$AS$1,),))))-(((VLOOKUP(EDATE(B272,-12),Database!$A:$AS,MATCH($L$1,Database!$A$1:$AS$1,),)))))/(((VLOOKUP(EDATE(B272,-12),Database!$A:$AS,MATCH($L$1,Database!$A$1:$AS$1,),))))</f>
        <v/>
      </c>
      <c r="M272" s="13">
        <f>((((VLOOKUP(B272,Database!$A:$AS,MATCH($M$1,Database!$A$1:$AS$1,),))))-(((VLOOKUP(EDATE(B272,-12),Database!$A:$AS,MATCH($M$1,Database!$A$1:$AS$1,),)))))/(((VLOOKUP(EDATE(B272,-12),Database!$A:$AS,MATCH($M$1,Database!$A$1:$AS$1,),))))</f>
        <v/>
      </c>
      <c r="N272" s="13">
        <f>((((VLOOKUP(B272,Database!$A:$AS,MATCH($N$1,Database!$A$1:$AS$1,),))))-(((VLOOKUP(EDATE(B272,-12),Database!$A:$AS,MATCH($N$1,Database!$A$1:$AS$1,),)))))/(((VLOOKUP(EDATE(B272,-12),Database!$A:$AS,MATCH($N$1,Database!$A$1:$AS$1,),))))</f>
        <v/>
      </c>
      <c r="O272" s="13">
        <f>IF(VLOOKUP(B272,Database!$A:$AV,MATCH($O$1,Database!$A$1:$AV$1,),)=0,"#N/A",((((VLOOKUP(B272,Database!$A:$AS,MATCH($O$1,Database!$A$1:$AS$1,),))))-(((VLOOKUP(EDATE(B272,-12),Database!$A:$AS,MATCH($O$1,Database!$A$1:$AS$1,),)))))/(((VLOOKUP(EDATE(B272,-12),Database!$A:$AS,MATCH($O$1,Database!$A$1:$AS$1,),)))))</f>
        <v/>
      </c>
      <c r="P272" s="13">
        <f>IF(VLOOKUP(B272,Database!$A:$AV,MATCH($P$1,Database!$A$1:$AV$1,),)=0,"#N/A",((((VLOOKUP(B272,Database!$A:$AS,MATCH($P$1,Database!$A$1:$AS$1,),))))-(((VLOOKUP(EDATE(B272,-12),Database!$A:$AS,MATCH($P$1,Database!$A$1:$AS$1,),)))))/(((VLOOKUP(EDATE(B272,-12),Database!$A:$AS,MATCH($P$1,Database!$A$1:$AS$1,),)))))</f>
        <v/>
      </c>
      <c r="Q272" s="13">
        <f>IF(VLOOKUP(B272,Database!$A:$AV,MATCH($Q$1,Database!$A$1:$AV$1,),)=0,"#N/A",((((VLOOKUP(B272,Database!$A:$AS,MATCH($Q$1,Database!$A$1:$AS$1,),))))-(((VLOOKUP(EDATE(B272,-12),Database!$A:$AS,MATCH($Q$1,Database!$A$1:$AS$1,),)))))/(((VLOOKUP(EDATE(B272,-12),Database!$A:$AS,MATCH($Q$1,Database!$A$1:$AS$1,),)))))</f>
        <v/>
      </c>
      <c r="R272" s="13">
        <f>IF(VLOOKUP(B272,Database!$A:$AV,MATCH($R$1,Database!$A$1:$AV$1,),)=0,"#N/A",((((VLOOKUP(B272,Database!$A:$AS,MATCH($R$1,Database!$A$1:$AS$1,),))))-(((VLOOKUP(EDATE(B272,-12),Database!$A:$AS,MATCH($R$1,Database!$A$1:$AS$1,),)))))/(((VLOOKUP(EDATE(B272,-12),Database!$A:$AS,MATCH($R$1,Database!$A$1:$AS$1,),)))))</f>
        <v/>
      </c>
      <c r="S272" s="13">
        <f>IF(VLOOKUP(B272,Database!$A:$AV,MATCH($S$1,Database!$A$1:$AV$1,),)=0,"#N/A",((((VLOOKUP(B272,Database!$A:$AS,MATCH($S$1,Database!$A$1:$AS$1,),))))-(((VLOOKUP(EDATE(B272,-12),Database!$A:$AS,MATCH($S$1,Database!$A$1:$AS$1,),)))))/(((VLOOKUP(EDATE(B272,-12),Database!$A:$AS,MATCH($S$1,Database!$A$1:$AS$1,),)))))</f>
        <v/>
      </c>
      <c r="T272" s="13">
        <f>IF(VLOOKUP(B272,Database!$A:$AV,MATCH($T$1,Database!$A$1:$AV$1,),)=0,"#N/A",((((VLOOKUP(B272,Database!$A:$AS,MATCH($T$1,Database!$A$1:$AS$1,),))))-(((VLOOKUP(EDATE(B272,-12),Database!$A:$AS,MATCH($T$1,Database!$A$1:$AS$1,),)))))/(((VLOOKUP(EDATE(B272,-12),Database!$A:$AS,MATCH($T$1,Database!$A$1:$AS$1,),)))))</f>
        <v/>
      </c>
      <c r="U272" s="13">
        <f>IF(VLOOKUP(B272,Database!$A:$AV,MATCH($U$1,Database!$A$1:$AV$1,),)=0,"#N/A",((((VLOOKUP(B272,Database!$A:$AS,MATCH($U$1,Database!$A$1:$AS$1,),))))-(((VLOOKUP(EDATE(B272,-12),Database!$A:$AS,MATCH($U$1,Database!$A$1:$AS$1,),)))))/(((VLOOKUP(EDATE(B272,-12),Database!$A:$AS,MATCH($U$1,Database!$A$1:$AS$1,),)))))</f>
        <v/>
      </c>
      <c r="V272" s="13">
        <f>IF(VLOOKUP(B272,Database!$A:$AV,MATCH($V$1,Database!$A$1:$AV$1,),)=0,"#N/A",((((VLOOKUP(B272,Database!$A:$AS,MATCH($V$1,Database!$A$1:$AS$1,),))))-(((VLOOKUP(EDATE(B272,-12),Database!$A:$AS,MATCH($V$1,Database!$A$1:$AS$1,),)))))/(((VLOOKUP(EDATE(B272,-12),Database!$A:$AS,MATCH($V$1,Database!$A$1:$AS$1,),)))))</f>
        <v/>
      </c>
    </row>
    <row r="273" customFormat="1" s="86">
      <c r="A273" s="43" t="n"/>
      <c r="B273" s="75" t="n">
        <v>40452</v>
      </c>
      <c r="C273" s="13">
        <f>IF(VLOOKUP(B273,Database!$A:$AU,MATCH($C$1,Database!$A$1:$AU$1,),)=0,"#N/A",((((VLOOKUP(B273,Database!$A:$AU,MATCH($C$1,Database!$A$1:$AU$1,),))))-(((VLOOKUP(EDATE(B273,-12),Database!$A:$AU,MATCH($C$1,Database!$A$1:$AU$1,),)))))/(((VLOOKUP(EDATE(B273,-12),Database!$A:$AU,MATCH($C$1,Database!$A$1:$AU$1,),)))))</f>
        <v/>
      </c>
      <c r="D273" s="13">
        <f>IF(VLOOKUP(B273,Database!$A:$AV,MATCH($D$1,Database!$A$1:$AV$1,),)=0,"#N/A",((((VLOOKUP(B273,Database!$A:$AS,MATCH($D$1,Database!$A$1:$AS$1,),))))-(((VLOOKUP(EDATE(B273,-12),Database!$A:$AS,MATCH($D$1,Database!$A$1:$AS$1,),)))))/(((VLOOKUP(EDATE(B273,-12),Database!$A:$AS,MATCH($D$1,Database!$A$1:$AS$1,),)))))</f>
        <v/>
      </c>
      <c r="E273" s="13">
        <f>IF(VLOOKUP(B273,Database!$A:$AV,MATCH($E$1,Database!$A$1:$AV$1,),)=0,"#N/A",((((VLOOKUP(B273,Database!$A:$AS,MATCH($E$1,Database!$A$1:$AS$1,),))))-(((VLOOKUP(EDATE(B273,-12),Database!$A:$AS,MATCH($E$1,Database!$A$1:$AS$1,),)))))/(((VLOOKUP(EDATE(B273,-12),Database!$A:$AS,MATCH($E$1,Database!$A$1:$AS$1,),)))))</f>
        <v/>
      </c>
      <c r="F273" s="13">
        <f>IF(VLOOKUP(B273,Database!$A:$AV,MATCH($F$1,Database!$A$1:$AV$1,),)=0,"#N/A",((((VLOOKUP(B273,Database!$A:$AS,MATCH($F$1,Database!$A$1:$AS$1,),))))-(((VLOOKUP(EDATE(B273,-12),Database!$A:$AS,MATCH($F$1,Database!$A$1:$AS$1,),)))))/(((VLOOKUP(EDATE(B273,-12),Database!$A:$AS,MATCH($F$1,Database!$A$1:$AS$1,),)))))</f>
        <v/>
      </c>
      <c r="G273" s="13">
        <f>IF(VLOOKUP(B273,Database!$A:$AV,MATCH($G$1,Database!$A$1:$AV$1,),)=0,"#N/A",((((VLOOKUP(B273,Database!$A:$AS,MATCH($G$1,Database!$A$1:$AS$1,),))))-(((VLOOKUP(EDATE(B273,-12),Database!$A:$AS,MATCH($G$1,Database!$A$1:$AS$1,),)))))/(((VLOOKUP(EDATE(B273,-12),Database!$A:$AS,MATCH($G$1,Database!$A$1:$AS$1,),)))))</f>
        <v/>
      </c>
      <c r="H273" s="13">
        <f>IF(VLOOKUP(B273,Database!$A:$AV,MATCH($H$1,Database!$A$1:$AV$1,),)=0,"#N/A",((((VLOOKUP(B273,Database!$A:$AS,MATCH($H$1,Database!$A$1:$AS$1,),))))-(((VLOOKUP(EDATE(B273,-12),Database!$A:$AS,MATCH($H$1,Database!$A$1:$AS$1,),)))))/(((VLOOKUP(EDATE(B273,-12),Database!$A:$AS,MATCH($H$1,Database!$A$1:$AS$1,),)))))</f>
        <v/>
      </c>
      <c r="I273" s="13">
        <f>IF(VLOOKUP(B273,Database!$A:$AV,MATCH($I$1,Database!$A$1:$AV$1,),)=0,"#N/A",((((VLOOKUP(B273,Database!$A:$AS,MATCH($I$1,Database!$A$1:$AS$1,),))))-(((VLOOKUP(EDATE(B273,-12),Database!$A:$AS,MATCH($I$1,Database!$A$1:$AS$1,),)))))/(((VLOOKUP(EDATE(B273,-12),Database!$A:$AS,MATCH($I$1,Database!$A$1:$AS$1,),)))))</f>
        <v/>
      </c>
      <c r="J273" s="13">
        <f>IF(VLOOKUP(B273,Database!$A:$AV,MATCH($J$1,Database!$A$1:$AV$1,),)=0,"#N/A",((((VLOOKUP(B273,Database!$A:$AS,MATCH($J$1,Database!$A$1:$AS$1,),))))-(((VLOOKUP(EDATE(B273,-12),Database!$A:$AS,MATCH($J$1,Database!$A$1:$AS$1,),)))))/(((VLOOKUP(EDATE(B273,-12),Database!$A:$AS,MATCH($J$1,Database!$A$1:$AS$1,),)))))</f>
        <v/>
      </c>
      <c r="K273" s="13">
        <f>IF(VLOOKUP(B273,Database!$A:$AV,MATCH($K$1,Database!$A$1:$AV$1,),)=0,"#N/A",((((VLOOKUP(B273,Database!$A:$AS,MATCH($K$1,Database!$A$1:$AS$1,),))))-(((VLOOKUP(EDATE(B273,-12),Database!$A:$AS,MATCH($K$1,Database!$A$1:$AS$1,),)))))/(((VLOOKUP(EDATE(B273,-12),Database!$A:$AS,MATCH($K$1,Database!$A$1:$AS$1,),)))))</f>
        <v/>
      </c>
      <c r="L273" s="13">
        <f>((((VLOOKUP(B273,Database!$A:$AS,MATCH($L$1,Database!$A$1:$AS$1,),))))-(((VLOOKUP(EDATE(B273,-12),Database!$A:$AS,MATCH($L$1,Database!$A$1:$AS$1,),)))))/(((VLOOKUP(EDATE(B273,-12),Database!$A:$AS,MATCH($L$1,Database!$A$1:$AS$1,),))))</f>
        <v/>
      </c>
      <c r="M273" s="13">
        <f>((((VLOOKUP(B273,Database!$A:$AS,MATCH($M$1,Database!$A$1:$AS$1,),))))-(((VLOOKUP(EDATE(B273,-12),Database!$A:$AS,MATCH($M$1,Database!$A$1:$AS$1,),)))))/(((VLOOKUP(EDATE(B273,-12),Database!$A:$AS,MATCH($M$1,Database!$A$1:$AS$1,),))))</f>
        <v/>
      </c>
      <c r="N273" s="13">
        <f>((((VLOOKUP(B273,Database!$A:$AS,MATCH($N$1,Database!$A$1:$AS$1,),))))-(((VLOOKUP(EDATE(B273,-12),Database!$A:$AS,MATCH($N$1,Database!$A$1:$AS$1,),)))))/(((VLOOKUP(EDATE(B273,-12),Database!$A:$AS,MATCH($N$1,Database!$A$1:$AS$1,),))))</f>
        <v/>
      </c>
      <c r="O273" s="13">
        <f>IF(VLOOKUP(B273,Database!$A:$AV,MATCH($O$1,Database!$A$1:$AV$1,),)=0,"#N/A",((((VLOOKUP(B273,Database!$A:$AS,MATCH($O$1,Database!$A$1:$AS$1,),))))-(((VLOOKUP(EDATE(B273,-12),Database!$A:$AS,MATCH($O$1,Database!$A$1:$AS$1,),)))))/(((VLOOKUP(EDATE(B273,-12),Database!$A:$AS,MATCH($O$1,Database!$A$1:$AS$1,),)))))</f>
        <v/>
      </c>
      <c r="P273" s="13">
        <f>IF(VLOOKUP(B273,Database!$A:$AV,MATCH($P$1,Database!$A$1:$AV$1,),)=0,"#N/A",((((VLOOKUP(B273,Database!$A:$AS,MATCH($P$1,Database!$A$1:$AS$1,),))))-(((VLOOKUP(EDATE(B273,-12),Database!$A:$AS,MATCH($P$1,Database!$A$1:$AS$1,),)))))/(((VLOOKUP(EDATE(B273,-12),Database!$A:$AS,MATCH($P$1,Database!$A$1:$AS$1,),)))))</f>
        <v/>
      </c>
      <c r="Q273" s="13">
        <f>IF(VLOOKUP(B273,Database!$A:$AV,MATCH($Q$1,Database!$A$1:$AV$1,),)=0,"#N/A",((((VLOOKUP(B273,Database!$A:$AS,MATCH($Q$1,Database!$A$1:$AS$1,),))))-(((VLOOKUP(EDATE(B273,-12),Database!$A:$AS,MATCH($Q$1,Database!$A$1:$AS$1,),)))))/(((VLOOKUP(EDATE(B273,-12),Database!$A:$AS,MATCH($Q$1,Database!$A$1:$AS$1,),)))))</f>
        <v/>
      </c>
      <c r="R273" s="13">
        <f>IF(VLOOKUP(B273,Database!$A:$AV,MATCH($R$1,Database!$A$1:$AV$1,),)=0,"#N/A",((((VLOOKUP(B273,Database!$A:$AS,MATCH($R$1,Database!$A$1:$AS$1,),))))-(((VLOOKUP(EDATE(B273,-12),Database!$A:$AS,MATCH($R$1,Database!$A$1:$AS$1,),)))))/(((VLOOKUP(EDATE(B273,-12),Database!$A:$AS,MATCH($R$1,Database!$A$1:$AS$1,),)))))</f>
        <v/>
      </c>
      <c r="S273" s="13">
        <f>IF(VLOOKUP(B273,Database!$A:$AV,MATCH($S$1,Database!$A$1:$AV$1,),)=0,"#N/A",((((VLOOKUP(B273,Database!$A:$AS,MATCH($S$1,Database!$A$1:$AS$1,),))))-(((VLOOKUP(EDATE(B273,-12),Database!$A:$AS,MATCH($S$1,Database!$A$1:$AS$1,),)))))/(((VLOOKUP(EDATE(B273,-12),Database!$A:$AS,MATCH($S$1,Database!$A$1:$AS$1,),)))))</f>
        <v/>
      </c>
      <c r="T273" s="13">
        <f>IF(VLOOKUP(B273,Database!$A:$AV,MATCH($T$1,Database!$A$1:$AV$1,),)=0,"#N/A",((((VLOOKUP(B273,Database!$A:$AS,MATCH($T$1,Database!$A$1:$AS$1,),))))-(((VLOOKUP(EDATE(B273,-12),Database!$A:$AS,MATCH($T$1,Database!$A$1:$AS$1,),)))))/(((VLOOKUP(EDATE(B273,-12),Database!$A:$AS,MATCH($T$1,Database!$A$1:$AS$1,),)))))</f>
        <v/>
      </c>
      <c r="U273" s="13">
        <f>IF(VLOOKUP(B273,Database!$A:$AV,MATCH($U$1,Database!$A$1:$AV$1,),)=0,"#N/A",((((VLOOKUP(B273,Database!$A:$AS,MATCH($U$1,Database!$A$1:$AS$1,),))))-(((VLOOKUP(EDATE(B273,-12),Database!$A:$AS,MATCH($U$1,Database!$A$1:$AS$1,),)))))/(((VLOOKUP(EDATE(B273,-12),Database!$A:$AS,MATCH($U$1,Database!$A$1:$AS$1,),)))))</f>
        <v/>
      </c>
      <c r="V273" s="13">
        <f>IF(VLOOKUP(B273,Database!$A:$AV,MATCH($V$1,Database!$A$1:$AV$1,),)=0,"#N/A",((((VLOOKUP(B273,Database!$A:$AS,MATCH($V$1,Database!$A$1:$AS$1,),))))-(((VLOOKUP(EDATE(B273,-12),Database!$A:$AS,MATCH($V$1,Database!$A$1:$AS$1,),)))))/(((VLOOKUP(EDATE(B273,-12),Database!$A:$AS,MATCH($V$1,Database!$A$1:$AS$1,),)))))</f>
        <v/>
      </c>
    </row>
    <row r="274" customFormat="1" s="86">
      <c r="A274" s="43" t="n"/>
      <c r="B274" s="75" t="n">
        <v>40483</v>
      </c>
      <c r="C274" s="13">
        <f>IF(VLOOKUP(B274,Database!$A:$AU,MATCH($C$1,Database!$A$1:$AU$1,),)=0,"#N/A",((((VLOOKUP(B274,Database!$A:$AU,MATCH($C$1,Database!$A$1:$AU$1,),))))-(((VLOOKUP(EDATE(B274,-12),Database!$A:$AU,MATCH($C$1,Database!$A$1:$AU$1,),)))))/(((VLOOKUP(EDATE(B274,-12),Database!$A:$AU,MATCH($C$1,Database!$A$1:$AU$1,),)))))</f>
        <v/>
      </c>
      <c r="D274" s="13">
        <f>IF(VLOOKUP(B274,Database!$A:$AV,MATCH($D$1,Database!$A$1:$AV$1,),)=0,"#N/A",((((VLOOKUP(B274,Database!$A:$AS,MATCH($D$1,Database!$A$1:$AS$1,),))))-(((VLOOKUP(EDATE(B274,-12),Database!$A:$AS,MATCH($D$1,Database!$A$1:$AS$1,),)))))/(((VLOOKUP(EDATE(B274,-12),Database!$A:$AS,MATCH($D$1,Database!$A$1:$AS$1,),)))))</f>
        <v/>
      </c>
      <c r="E274" s="13">
        <f>IF(VLOOKUP(B274,Database!$A:$AV,MATCH($E$1,Database!$A$1:$AV$1,),)=0,"#N/A",((((VLOOKUP(B274,Database!$A:$AS,MATCH($E$1,Database!$A$1:$AS$1,),))))-(((VLOOKUP(EDATE(B274,-12),Database!$A:$AS,MATCH($E$1,Database!$A$1:$AS$1,),)))))/(((VLOOKUP(EDATE(B274,-12),Database!$A:$AS,MATCH($E$1,Database!$A$1:$AS$1,),)))))</f>
        <v/>
      </c>
      <c r="F274" s="13">
        <f>IF(VLOOKUP(B274,Database!$A:$AV,MATCH($F$1,Database!$A$1:$AV$1,),)=0,"#N/A",((((VLOOKUP(B274,Database!$A:$AS,MATCH($F$1,Database!$A$1:$AS$1,),))))-(((VLOOKUP(EDATE(B274,-12),Database!$A:$AS,MATCH($F$1,Database!$A$1:$AS$1,),)))))/(((VLOOKUP(EDATE(B274,-12),Database!$A:$AS,MATCH($F$1,Database!$A$1:$AS$1,),)))))</f>
        <v/>
      </c>
      <c r="G274" s="13">
        <f>IF(VLOOKUP(B274,Database!$A:$AV,MATCH($G$1,Database!$A$1:$AV$1,),)=0,"#N/A",((((VLOOKUP(B274,Database!$A:$AS,MATCH($G$1,Database!$A$1:$AS$1,),))))-(((VLOOKUP(EDATE(B274,-12),Database!$A:$AS,MATCH($G$1,Database!$A$1:$AS$1,),)))))/(((VLOOKUP(EDATE(B274,-12),Database!$A:$AS,MATCH($G$1,Database!$A$1:$AS$1,),)))))</f>
        <v/>
      </c>
      <c r="H274" s="13">
        <f>IF(VLOOKUP(B274,Database!$A:$AV,MATCH($H$1,Database!$A$1:$AV$1,),)=0,"#N/A",((((VLOOKUP(B274,Database!$A:$AS,MATCH($H$1,Database!$A$1:$AS$1,),))))-(((VLOOKUP(EDATE(B274,-12),Database!$A:$AS,MATCH($H$1,Database!$A$1:$AS$1,),)))))/(((VLOOKUP(EDATE(B274,-12),Database!$A:$AS,MATCH($H$1,Database!$A$1:$AS$1,),)))))</f>
        <v/>
      </c>
      <c r="I274" s="13">
        <f>IF(VLOOKUP(B274,Database!$A:$AV,MATCH($I$1,Database!$A$1:$AV$1,),)=0,"#N/A",((((VLOOKUP(B274,Database!$A:$AS,MATCH($I$1,Database!$A$1:$AS$1,),))))-(((VLOOKUP(EDATE(B274,-12),Database!$A:$AS,MATCH($I$1,Database!$A$1:$AS$1,),)))))/(((VLOOKUP(EDATE(B274,-12),Database!$A:$AS,MATCH($I$1,Database!$A$1:$AS$1,),)))))</f>
        <v/>
      </c>
      <c r="J274" s="13">
        <f>IF(VLOOKUP(B274,Database!$A:$AV,MATCH($J$1,Database!$A$1:$AV$1,),)=0,"#N/A",((((VLOOKUP(B274,Database!$A:$AS,MATCH($J$1,Database!$A$1:$AS$1,),))))-(((VLOOKUP(EDATE(B274,-12),Database!$A:$AS,MATCH($J$1,Database!$A$1:$AS$1,),)))))/(((VLOOKUP(EDATE(B274,-12),Database!$A:$AS,MATCH($J$1,Database!$A$1:$AS$1,),)))))</f>
        <v/>
      </c>
      <c r="K274" s="13">
        <f>IF(VLOOKUP(B274,Database!$A:$AV,MATCH($K$1,Database!$A$1:$AV$1,),)=0,"#N/A",((((VLOOKUP(B274,Database!$A:$AS,MATCH($K$1,Database!$A$1:$AS$1,),))))-(((VLOOKUP(EDATE(B274,-12),Database!$A:$AS,MATCH($K$1,Database!$A$1:$AS$1,),)))))/(((VLOOKUP(EDATE(B274,-12),Database!$A:$AS,MATCH($K$1,Database!$A$1:$AS$1,),)))))</f>
        <v/>
      </c>
      <c r="L274" s="13">
        <f>((((VLOOKUP(B274,Database!$A:$AS,MATCH($L$1,Database!$A$1:$AS$1,),))))-(((VLOOKUP(EDATE(B274,-12),Database!$A:$AS,MATCH($L$1,Database!$A$1:$AS$1,),)))))/(((VLOOKUP(EDATE(B274,-12),Database!$A:$AS,MATCH($L$1,Database!$A$1:$AS$1,),))))</f>
        <v/>
      </c>
      <c r="M274" s="13">
        <f>((((VLOOKUP(B274,Database!$A:$AS,MATCH($M$1,Database!$A$1:$AS$1,),))))-(((VLOOKUP(EDATE(B274,-12),Database!$A:$AS,MATCH($M$1,Database!$A$1:$AS$1,),)))))/(((VLOOKUP(EDATE(B274,-12),Database!$A:$AS,MATCH($M$1,Database!$A$1:$AS$1,),))))</f>
        <v/>
      </c>
      <c r="N274" s="13">
        <f>((((VLOOKUP(B274,Database!$A:$AS,MATCH($N$1,Database!$A$1:$AS$1,),))))-(((VLOOKUP(EDATE(B274,-12),Database!$A:$AS,MATCH($N$1,Database!$A$1:$AS$1,),)))))/(((VLOOKUP(EDATE(B274,-12),Database!$A:$AS,MATCH($N$1,Database!$A$1:$AS$1,),))))</f>
        <v/>
      </c>
      <c r="O274" s="13">
        <f>IF(VLOOKUP(B274,Database!$A:$AV,MATCH($O$1,Database!$A$1:$AV$1,),)=0,"#N/A",((((VLOOKUP(B274,Database!$A:$AS,MATCH($O$1,Database!$A$1:$AS$1,),))))-(((VLOOKUP(EDATE(B274,-12),Database!$A:$AS,MATCH($O$1,Database!$A$1:$AS$1,),)))))/(((VLOOKUP(EDATE(B274,-12),Database!$A:$AS,MATCH($O$1,Database!$A$1:$AS$1,),)))))</f>
        <v/>
      </c>
      <c r="P274" s="13">
        <f>IF(VLOOKUP(B274,Database!$A:$AV,MATCH($P$1,Database!$A$1:$AV$1,),)=0,"#N/A",((((VLOOKUP(B274,Database!$A:$AS,MATCH($P$1,Database!$A$1:$AS$1,),))))-(((VLOOKUP(EDATE(B274,-12),Database!$A:$AS,MATCH($P$1,Database!$A$1:$AS$1,),)))))/(((VLOOKUP(EDATE(B274,-12),Database!$A:$AS,MATCH($P$1,Database!$A$1:$AS$1,),)))))</f>
        <v/>
      </c>
      <c r="Q274" s="13">
        <f>IF(VLOOKUP(B274,Database!$A:$AV,MATCH($Q$1,Database!$A$1:$AV$1,),)=0,"#N/A",((((VLOOKUP(B274,Database!$A:$AS,MATCH($Q$1,Database!$A$1:$AS$1,),))))-(((VLOOKUP(EDATE(B274,-12),Database!$A:$AS,MATCH($Q$1,Database!$A$1:$AS$1,),)))))/(((VLOOKUP(EDATE(B274,-12),Database!$A:$AS,MATCH($Q$1,Database!$A$1:$AS$1,),)))))</f>
        <v/>
      </c>
      <c r="R274" s="13">
        <f>IF(VLOOKUP(B274,Database!$A:$AV,MATCH($R$1,Database!$A$1:$AV$1,),)=0,"#N/A",((((VLOOKUP(B274,Database!$A:$AS,MATCH($R$1,Database!$A$1:$AS$1,),))))-(((VLOOKUP(EDATE(B274,-12),Database!$A:$AS,MATCH($R$1,Database!$A$1:$AS$1,),)))))/(((VLOOKUP(EDATE(B274,-12),Database!$A:$AS,MATCH($R$1,Database!$A$1:$AS$1,),)))))</f>
        <v/>
      </c>
      <c r="S274" s="13">
        <f>IF(VLOOKUP(B274,Database!$A:$AV,MATCH($S$1,Database!$A$1:$AV$1,),)=0,"#N/A",((((VLOOKUP(B274,Database!$A:$AS,MATCH($S$1,Database!$A$1:$AS$1,),))))-(((VLOOKUP(EDATE(B274,-12),Database!$A:$AS,MATCH($S$1,Database!$A$1:$AS$1,),)))))/(((VLOOKUP(EDATE(B274,-12),Database!$A:$AS,MATCH($S$1,Database!$A$1:$AS$1,),)))))</f>
        <v/>
      </c>
      <c r="T274" s="13">
        <f>IF(VLOOKUP(B274,Database!$A:$AV,MATCH($T$1,Database!$A$1:$AV$1,),)=0,"#N/A",((((VLOOKUP(B274,Database!$A:$AS,MATCH($T$1,Database!$A$1:$AS$1,),))))-(((VLOOKUP(EDATE(B274,-12),Database!$A:$AS,MATCH($T$1,Database!$A$1:$AS$1,),)))))/(((VLOOKUP(EDATE(B274,-12),Database!$A:$AS,MATCH($T$1,Database!$A$1:$AS$1,),)))))</f>
        <v/>
      </c>
      <c r="U274" s="13">
        <f>IF(VLOOKUP(B274,Database!$A:$AV,MATCH($U$1,Database!$A$1:$AV$1,),)=0,"#N/A",((((VLOOKUP(B274,Database!$A:$AS,MATCH($U$1,Database!$A$1:$AS$1,),))))-(((VLOOKUP(EDATE(B274,-12),Database!$A:$AS,MATCH($U$1,Database!$A$1:$AS$1,),)))))/(((VLOOKUP(EDATE(B274,-12),Database!$A:$AS,MATCH($U$1,Database!$A$1:$AS$1,),)))))</f>
        <v/>
      </c>
      <c r="V274" s="13">
        <f>IF(VLOOKUP(B274,Database!$A:$AV,MATCH($V$1,Database!$A$1:$AV$1,),)=0,"#N/A",((((VLOOKUP(B274,Database!$A:$AS,MATCH($V$1,Database!$A$1:$AS$1,),))))-(((VLOOKUP(EDATE(B274,-12),Database!$A:$AS,MATCH($V$1,Database!$A$1:$AS$1,),)))))/(((VLOOKUP(EDATE(B274,-12),Database!$A:$AS,MATCH($V$1,Database!$A$1:$AS$1,),)))))</f>
        <v/>
      </c>
    </row>
    <row r="275" customFormat="1" s="86">
      <c r="A275" s="43" t="n"/>
      <c r="B275" s="75" t="n">
        <v>40513</v>
      </c>
      <c r="C275" s="13">
        <f>IF(VLOOKUP(B275,Database!$A:$AU,MATCH($C$1,Database!$A$1:$AU$1,),)=0,"#N/A",((((VLOOKUP(B275,Database!$A:$AU,MATCH($C$1,Database!$A$1:$AU$1,),))))-(((VLOOKUP(EDATE(B275,-12),Database!$A:$AU,MATCH($C$1,Database!$A$1:$AU$1,),)))))/(((VLOOKUP(EDATE(B275,-12),Database!$A:$AU,MATCH($C$1,Database!$A$1:$AU$1,),)))))</f>
        <v/>
      </c>
      <c r="D275" s="13">
        <f>IF(VLOOKUP(B275,Database!$A:$AV,MATCH($D$1,Database!$A$1:$AV$1,),)=0,"#N/A",((((VLOOKUP(B275,Database!$A:$AS,MATCH($D$1,Database!$A$1:$AS$1,),))))-(((VLOOKUP(EDATE(B275,-12),Database!$A:$AS,MATCH($D$1,Database!$A$1:$AS$1,),)))))/(((VLOOKUP(EDATE(B275,-12),Database!$A:$AS,MATCH($D$1,Database!$A$1:$AS$1,),)))))</f>
        <v/>
      </c>
      <c r="E275" s="13">
        <f>IF(VLOOKUP(B275,Database!$A:$AV,MATCH($E$1,Database!$A$1:$AV$1,),)=0,"#N/A",((((VLOOKUP(B275,Database!$A:$AS,MATCH($E$1,Database!$A$1:$AS$1,),))))-(((VLOOKUP(EDATE(B275,-12),Database!$A:$AS,MATCH($E$1,Database!$A$1:$AS$1,),)))))/(((VLOOKUP(EDATE(B275,-12),Database!$A:$AS,MATCH($E$1,Database!$A$1:$AS$1,),)))))</f>
        <v/>
      </c>
      <c r="F275" s="13">
        <f>IF(VLOOKUP(B275,Database!$A:$AV,MATCH($F$1,Database!$A$1:$AV$1,),)=0,"#N/A",((((VLOOKUP(B275,Database!$A:$AS,MATCH($F$1,Database!$A$1:$AS$1,),))))-(((VLOOKUP(EDATE(B275,-12),Database!$A:$AS,MATCH($F$1,Database!$A$1:$AS$1,),)))))/(((VLOOKUP(EDATE(B275,-12),Database!$A:$AS,MATCH($F$1,Database!$A$1:$AS$1,),)))))</f>
        <v/>
      </c>
      <c r="G275" s="13">
        <f>IF(VLOOKUP(B275,Database!$A:$AV,MATCH($G$1,Database!$A$1:$AV$1,),)=0,"#N/A",((((VLOOKUP(B275,Database!$A:$AS,MATCH($G$1,Database!$A$1:$AS$1,),))))-(((VLOOKUP(EDATE(B275,-12),Database!$A:$AS,MATCH($G$1,Database!$A$1:$AS$1,),)))))/(((VLOOKUP(EDATE(B275,-12),Database!$A:$AS,MATCH($G$1,Database!$A$1:$AS$1,),)))))</f>
        <v/>
      </c>
      <c r="H275" s="13">
        <f>IF(VLOOKUP(B275,Database!$A:$AV,MATCH($H$1,Database!$A$1:$AV$1,),)=0,"#N/A",((((VLOOKUP(B275,Database!$A:$AS,MATCH($H$1,Database!$A$1:$AS$1,),))))-(((VLOOKUP(EDATE(B275,-12),Database!$A:$AS,MATCH($H$1,Database!$A$1:$AS$1,),)))))/(((VLOOKUP(EDATE(B275,-12),Database!$A:$AS,MATCH($H$1,Database!$A$1:$AS$1,),)))))</f>
        <v/>
      </c>
      <c r="I275" s="13">
        <f>IF(VLOOKUP(B275,Database!$A:$AV,MATCH($I$1,Database!$A$1:$AV$1,),)=0,"#N/A",((((VLOOKUP(B275,Database!$A:$AS,MATCH($I$1,Database!$A$1:$AS$1,),))))-(((VLOOKUP(EDATE(B275,-12),Database!$A:$AS,MATCH($I$1,Database!$A$1:$AS$1,),)))))/(((VLOOKUP(EDATE(B275,-12),Database!$A:$AS,MATCH($I$1,Database!$A$1:$AS$1,),)))))</f>
        <v/>
      </c>
      <c r="J275" s="13">
        <f>IF(VLOOKUP(B275,Database!$A:$AV,MATCH($J$1,Database!$A$1:$AV$1,),)=0,"#N/A",((((VLOOKUP(B275,Database!$A:$AS,MATCH($J$1,Database!$A$1:$AS$1,),))))-(((VLOOKUP(EDATE(B275,-12),Database!$A:$AS,MATCH($J$1,Database!$A$1:$AS$1,),)))))/(((VLOOKUP(EDATE(B275,-12),Database!$A:$AS,MATCH($J$1,Database!$A$1:$AS$1,),)))))</f>
        <v/>
      </c>
      <c r="K275" s="13">
        <f>IF(VLOOKUP(B275,Database!$A:$AV,MATCH($K$1,Database!$A$1:$AV$1,),)=0,"#N/A",((((VLOOKUP(B275,Database!$A:$AS,MATCH($K$1,Database!$A$1:$AS$1,),))))-(((VLOOKUP(EDATE(B275,-12),Database!$A:$AS,MATCH($K$1,Database!$A$1:$AS$1,),)))))/(((VLOOKUP(EDATE(B275,-12),Database!$A:$AS,MATCH($K$1,Database!$A$1:$AS$1,),)))))</f>
        <v/>
      </c>
      <c r="L275" s="13">
        <f>((((VLOOKUP(B275,Database!$A:$AS,MATCH($L$1,Database!$A$1:$AS$1,),))))-(((VLOOKUP(EDATE(B275,-12),Database!$A:$AS,MATCH($L$1,Database!$A$1:$AS$1,),)))))/(((VLOOKUP(EDATE(B275,-12),Database!$A:$AS,MATCH($L$1,Database!$A$1:$AS$1,),))))</f>
        <v/>
      </c>
      <c r="M275" s="13">
        <f>((((VLOOKUP(B275,Database!$A:$AS,MATCH($M$1,Database!$A$1:$AS$1,),))))-(((VLOOKUP(EDATE(B275,-12),Database!$A:$AS,MATCH($M$1,Database!$A$1:$AS$1,),)))))/(((VLOOKUP(EDATE(B275,-12),Database!$A:$AS,MATCH($M$1,Database!$A$1:$AS$1,),))))</f>
        <v/>
      </c>
      <c r="N275" s="13">
        <f>((((VLOOKUP(B275,Database!$A:$AS,MATCH($N$1,Database!$A$1:$AS$1,),))))-(((VLOOKUP(EDATE(B275,-12),Database!$A:$AS,MATCH($N$1,Database!$A$1:$AS$1,),)))))/(((VLOOKUP(EDATE(B275,-12),Database!$A:$AS,MATCH($N$1,Database!$A$1:$AS$1,),))))</f>
        <v/>
      </c>
      <c r="O275" s="13">
        <f>IF(VLOOKUP(B275,Database!$A:$AV,MATCH($O$1,Database!$A$1:$AV$1,),)=0,"#N/A",((((VLOOKUP(B275,Database!$A:$AS,MATCH($O$1,Database!$A$1:$AS$1,),))))-(((VLOOKUP(EDATE(B275,-12),Database!$A:$AS,MATCH($O$1,Database!$A$1:$AS$1,),)))))/(((VLOOKUP(EDATE(B275,-12),Database!$A:$AS,MATCH($O$1,Database!$A$1:$AS$1,),)))))</f>
        <v/>
      </c>
      <c r="P275" s="13">
        <f>IF(VLOOKUP(B275,Database!$A:$AV,MATCH($P$1,Database!$A$1:$AV$1,),)=0,"#N/A",((((VLOOKUP(B275,Database!$A:$AS,MATCH($P$1,Database!$A$1:$AS$1,),))))-(((VLOOKUP(EDATE(B275,-12),Database!$A:$AS,MATCH($P$1,Database!$A$1:$AS$1,),)))))/(((VLOOKUP(EDATE(B275,-12),Database!$A:$AS,MATCH($P$1,Database!$A$1:$AS$1,),)))))</f>
        <v/>
      </c>
      <c r="Q275" s="13">
        <f>IF(VLOOKUP(B275,Database!$A:$AV,MATCH($Q$1,Database!$A$1:$AV$1,),)=0,"#N/A",((((VLOOKUP(B275,Database!$A:$AS,MATCH($Q$1,Database!$A$1:$AS$1,),))))-(((VLOOKUP(EDATE(B275,-12),Database!$A:$AS,MATCH($Q$1,Database!$A$1:$AS$1,),)))))/(((VLOOKUP(EDATE(B275,-12),Database!$A:$AS,MATCH($Q$1,Database!$A$1:$AS$1,),)))))</f>
        <v/>
      </c>
      <c r="R275" s="13">
        <f>IF(VLOOKUP(B275,Database!$A:$AV,MATCH($R$1,Database!$A$1:$AV$1,),)=0,"#N/A",((((VLOOKUP(B275,Database!$A:$AS,MATCH($R$1,Database!$A$1:$AS$1,),))))-(((VLOOKUP(EDATE(B275,-12),Database!$A:$AS,MATCH($R$1,Database!$A$1:$AS$1,),)))))/(((VLOOKUP(EDATE(B275,-12),Database!$A:$AS,MATCH($R$1,Database!$A$1:$AS$1,),)))))</f>
        <v/>
      </c>
      <c r="S275" s="13">
        <f>IF(VLOOKUP(B275,Database!$A:$AV,MATCH($S$1,Database!$A$1:$AV$1,),)=0,"#N/A",((((VLOOKUP(B275,Database!$A:$AS,MATCH($S$1,Database!$A$1:$AS$1,),))))-(((VLOOKUP(EDATE(B275,-12),Database!$A:$AS,MATCH($S$1,Database!$A$1:$AS$1,),)))))/(((VLOOKUP(EDATE(B275,-12),Database!$A:$AS,MATCH($S$1,Database!$A$1:$AS$1,),)))))</f>
        <v/>
      </c>
      <c r="T275" s="13">
        <f>IF(VLOOKUP(B275,Database!$A:$AV,MATCH($T$1,Database!$A$1:$AV$1,),)=0,"#N/A",((((VLOOKUP(B275,Database!$A:$AS,MATCH($T$1,Database!$A$1:$AS$1,),))))-(((VLOOKUP(EDATE(B275,-12),Database!$A:$AS,MATCH($T$1,Database!$A$1:$AS$1,),)))))/(((VLOOKUP(EDATE(B275,-12),Database!$A:$AS,MATCH($T$1,Database!$A$1:$AS$1,),)))))</f>
        <v/>
      </c>
      <c r="U275" s="13">
        <f>IF(VLOOKUP(B275,Database!$A:$AV,MATCH($U$1,Database!$A$1:$AV$1,),)=0,"#N/A",((((VLOOKUP(B275,Database!$A:$AS,MATCH($U$1,Database!$A$1:$AS$1,),))))-(((VLOOKUP(EDATE(B275,-12),Database!$A:$AS,MATCH($U$1,Database!$A$1:$AS$1,),)))))/(((VLOOKUP(EDATE(B275,-12),Database!$A:$AS,MATCH($U$1,Database!$A$1:$AS$1,),)))))</f>
        <v/>
      </c>
      <c r="V275" s="13">
        <f>IF(VLOOKUP(B275,Database!$A:$AV,MATCH($V$1,Database!$A$1:$AV$1,),)=0,"#N/A",((((VLOOKUP(B275,Database!$A:$AS,MATCH($V$1,Database!$A$1:$AS$1,),))))-(((VLOOKUP(EDATE(B275,-12),Database!$A:$AS,MATCH($V$1,Database!$A$1:$AS$1,),)))))/(((VLOOKUP(EDATE(B275,-12),Database!$A:$AS,MATCH($V$1,Database!$A$1:$AS$1,),)))))</f>
        <v/>
      </c>
    </row>
    <row r="276" customFormat="1" s="86">
      <c r="A276" s="43" t="n"/>
      <c r="B276" s="75" t="n">
        <v>40544</v>
      </c>
      <c r="C276" s="13">
        <f>IF(VLOOKUP(B276,Database!$A:$AU,MATCH($C$1,Database!$A$1:$AU$1,),)=0,"#N/A",((((VLOOKUP(B276,Database!$A:$AU,MATCH($C$1,Database!$A$1:$AU$1,),))))-(((VLOOKUP(EDATE(B276,-12),Database!$A:$AU,MATCH($C$1,Database!$A$1:$AU$1,),)))))/(((VLOOKUP(EDATE(B276,-12),Database!$A:$AU,MATCH($C$1,Database!$A$1:$AU$1,),)))))</f>
        <v/>
      </c>
      <c r="D276" s="13">
        <f>IF(VLOOKUP(B276,Database!$A:$AV,MATCH($D$1,Database!$A$1:$AV$1,),)=0,"#N/A",((((VLOOKUP(B276,Database!$A:$AS,MATCH($D$1,Database!$A$1:$AS$1,),))))-(((VLOOKUP(EDATE(B276,-12),Database!$A:$AS,MATCH($D$1,Database!$A$1:$AS$1,),)))))/(((VLOOKUP(EDATE(B276,-12),Database!$A:$AS,MATCH($D$1,Database!$A$1:$AS$1,),)))))</f>
        <v/>
      </c>
      <c r="E276" s="13">
        <f>IF(VLOOKUP(B276,Database!$A:$AV,MATCH($E$1,Database!$A$1:$AV$1,),)=0,"#N/A",((((VLOOKUP(B276,Database!$A:$AS,MATCH($E$1,Database!$A$1:$AS$1,),))))-(((VLOOKUP(EDATE(B276,-12),Database!$A:$AS,MATCH($E$1,Database!$A$1:$AS$1,),)))))/(((VLOOKUP(EDATE(B276,-12),Database!$A:$AS,MATCH($E$1,Database!$A$1:$AS$1,),)))))</f>
        <v/>
      </c>
      <c r="F276" s="13">
        <f>IF(VLOOKUP(B276,Database!$A:$AV,MATCH($F$1,Database!$A$1:$AV$1,),)=0,"#N/A",((((VLOOKUP(B276,Database!$A:$AS,MATCH($F$1,Database!$A$1:$AS$1,),))))-(((VLOOKUP(EDATE(B276,-12),Database!$A:$AS,MATCH($F$1,Database!$A$1:$AS$1,),)))))/(((VLOOKUP(EDATE(B276,-12),Database!$A:$AS,MATCH($F$1,Database!$A$1:$AS$1,),)))))</f>
        <v/>
      </c>
      <c r="G276" s="13">
        <f>IF(VLOOKUP(B276,Database!$A:$AV,MATCH($G$1,Database!$A$1:$AV$1,),)=0,"#N/A",((((VLOOKUP(B276,Database!$A:$AS,MATCH($G$1,Database!$A$1:$AS$1,),))))-(((VLOOKUP(EDATE(B276,-12),Database!$A:$AS,MATCH($G$1,Database!$A$1:$AS$1,),)))))/(((VLOOKUP(EDATE(B276,-12),Database!$A:$AS,MATCH($G$1,Database!$A$1:$AS$1,),)))))</f>
        <v/>
      </c>
      <c r="H276" s="13">
        <f>IF(VLOOKUP(B276,Database!$A:$AV,MATCH($H$1,Database!$A$1:$AV$1,),)=0,"#N/A",((((VLOOKUP(B276,Database!$A:$AS,MATCH($H$1,Database!$A$1:$AS$1,),))))-(((VLOOKUP(EDATE(B276,-12),Database!$A:$AS,MATCH($H$1,Database!$A$1:$AS$1,),)))))/(((VLOOKUP(EDATE(B276,-12),Database!$A:$AS,MATCH($H$1,Database!$A$1:$AS$1,),)))))</f>
        <v/>
      </c>
      <c r="I276" s="13">
        <f>IF(VLOOKUP(B276,Database!$A:$AV,MATCH($I$1,Database!$A$1:$AV$1,),)=0,"#N/A",((((VLOOKUP(B276,Database!$A:$AS,MATCH($I$1,Database!$A$1:$AS$1,),))))-(((VLOOKUP(EDATE(B276,-12),Database!$A:$AS,MATCH($I$1,Database!$A$1:$AS$1,),)))))/(((VLOOKUP(EDATE(B276,-12),Database!$A:$AS,MATCH($I$1,Database!$A$1:$AS$1,),)))))</f>
        <v/>
      </c>
      <c r="J276" s="13">
        <f>IF(VLOOKUP(B276,Database!$A:$AV,MATCH($J$1,Database!$A$1:$AV$1,),)=0,"#N/A",((((VLOOKUP(B276,Database!$A:$AS,MATCH($J$1,Database!$A$1:$AS$1,),))))-(((VLOOKUP(EDATE(B276,-12),Database!$A:$AS,MATCH($J$1,Database!$A$1:$AS$1,),)))))/(((VLOOKUP(EDATE(B276,-12),Database!$A:$AS,MATCH($J$1,Database!$A$1:$AS$1,),)))))</f>
        <v/>
      </c>
      <c r="K276" s="13">
        <f>IF(VLOOKUP(B276,Database!$A:$AV,MATCH($K$1,Database!$A$1:$AV$1,),)=0,"#N/A",((((VLOOKUP(B276,Database!$A:$AS,MATCH($K$1,Database!$A$1:$AS$1,),))))-(((VLOOKUP(EDATE(B276,-12),Database!$A:$AS,MATCH($K$1,Database!$A$1:$AS$1,),)))))/(((VLOOKUP(EDATE(B276,-12),Database!$A:$AS,MATCH($K$1,Database!$A$1:$AS$1,),)))))</f>
        <v/>
      </c>
      <c r="L276" s="13">
        <f>((((VLOOKUP(B276,Database!$A:$AS,MATCH($L$1,Database!$A$1:$AS$1,),))))-(((VLOOKUP(EDATE(B276,-12),Database!$A:$AS,MATCH($L$1,Database!$A$1:$AS$1,),)))))/(((VLOOKUP(EDATE(B276,-12),Database!$A:$AS,MATCH($L$1,Database!$A$1:$AS$1,),))))</f>
        <v/>
      </c>
      <c r="M276" s="13">
        <f>((((VLOOKUP(B276,Database!$A:$AS,MATCH($M$1,Database!$A$1:$AS$1,),))))-(((VLOOKUP(EDATE(B276,-12),Database!$A:$AS,MATCH($M$1,Database!$A$1:$AS$1,),)))))/(((VLOOKUP(EDATE(B276,-12),Database!$A:$AS,MATCH($M$1,Database!$A$1:$AS$1,),))))</f>
        <v/>
      </c>
      <c r="N276" s="13">
        <f>((((VLOOKUP(B276,Database!$A:$AS,MATCH($N$1,Database!$A$1:$AS$1,),))))-(((VLOOKUP(EDATE(B276,-12),Database!$A:$AS,MATCH($N$1,Database!$A$1:$AS$1,),)))))/(((VLOOKUP(EDATE(B276,-12),Database!$A:$AS,MATCH($N$1,Database!$A$1:$AS$1,),))))</f>
        <v/>
      </c>
      <c r="O276" s="13">
        <f>IF(VLOOKUP(B276,Database!$A:$AV,MATCH($O$1,Database!$A$1:$AV$1,),)=0,"#N/A",((((VLOOKUP(B276,Database!$A:$AS,MATCH($O$1,Database!$A$1:$AS$1,),))))-(((VLOOKUP(EDATE(B276,-12),Database!$A:$AS,MATCH($O$1,Database!$A$1:$AS$1,),)))))/(((VLOOKUP(EDATE(B276,-12),Database!$A:$AS,MATCH($O$1,Database!$A$1:$AS$1,),)))))</f>
        <v/>
      </c>
      <c r="P276" s="13">
        <f>IF(VLOOKUP(B276,Database!$A:$AV,MATCH($P$1,Database!$A$1:$AV$1,),)=0,"#N/A",((((VLOOKUP(B276,Database!$A:$AS,MATCH($P$1,Database!$A$1:$AS$1,),))))-(((VLOOKUP(EDATE(B276,-12),Database!$A:$AS,MATCH($P$1,Database!$A$1:$AS$1,),)))))/(((VLOOKUP(EDATE(B276,-12),Database!$A:$AS,MATCH($P$1,Database!$A$1:$AS$1,),)))))</f>
        <v/>
      </c>
      <c r="Q276" s="13">
        <f>IF(VLOOKUP(B276,Database!$A:$AV,MATCH($Q$1,Database!$A$1:$AV$1,),)=0,"#N/A",((((VLOOKUP(B276,Database!$A:$AS,MATCH($Q$1,Database!$A$1:$AS$1,),))))-(((VLOOKUP(EDATE(B276,-12),Database!$A:$AS,MATCH($Q$1,Database!$A$1:$AS$1,),)))))/(((VLOOKUP(EDATE(B276,-12),Database!$A:$AS,MATCH($Q$1,Database!$A$1:$AS$1,),)))))</f>
        <v/>
      </c>
      <c r="R276" s="13">
        <f>IF(VLOOKUP(B276,Database!$A:$AV,MATCH($R$1,Database!$A$1:$AV$1,),)=0,"#N/A",((((VLOOKUP(B276,Database!$A:$AS,MATCH($R$1,Database!$A$1:$AS$1,),))))-(((VLOOKUP(EDATE(B276,-12),Database!$A:$AS,MATCH($R$1,Database!$A$1:$AS$1,),)))))/(((VLOOKUP(EDATE(B276,-12),Database!$A:$AS,MATCH($R$1,Database!$A$1:$AS$1,),)))))</f>
        <v/>
      </c>
      <c r="S276" s="13">
        <f>IF(VLOOKUP(B276,Database!$A:$AV,MATCH($S$1,Database!$A$1:$AV$1,),)=0,"#N/A",((((VLOOKUP(B276,Database!$A:$AS,MATCH($S$1,Database!$A$1:$AS$1,),))))-(((VLOOKUP(EDATE(B276,-12),Database!$A:$AS,MATCH($S$1,Database!$A$1:$AS$1,),)))))/(((VLOOKUP(EDATE(B276,-12),Database!$A:$AS,MATCH($S$1,Database!$A$1:$AS$1,),)))))</f>
        <v/>
      </c>
      <c r="T276" s="13">
        <f>IF(VLOOKUP(B276,Database!$A:$AV,MATCH($T$1,Database!$A$1:$AV$1,),)=0,"#N/A",((((VLOOKUP(B276,Database!$A:$AS,MATCH($T$1,Database!$A$1:$AS$1,),))))-(((VLOOKUP(EDATE(B276,-12),Database!$A:$AS,MATCH($T$1,Database!$A$1:$AS$1,),)))))/(((VLOOKUP(EDATE(B276,-12),Database!$A:$AS,MATCH($T$1,Database!$A$1:$AS$1,),)))))</f>
        <v/>
      </c>
      <c r="U276" s="13">
        <f>IF(VLOOKUP(B276,Database!$A:$AV,MATCH($U$1,Database!$A$1:$AV$1,),)=0,"#N/A",((((VLOOKUP(B276,Database!$A:$AS,MATCH($U$1,Database!$A$1:$AS$1,),))))-(((VLOOKUP(EDATE(B276,-12),Database!$A:$AS,MATCH($U$1,Database!$A$1:$AS$1,),)))))/(((VLOOKUP(EDATE(B276,-12),Database!$A:$AS,MATCH($U$1,Database!$A$1:$AS$1,),)))))</f>
        <v/>
      </c>
      <c r="V276" s="13">
        <f>IF(VLOOKUP(B276,Database!$A:$AV,MATCH($V$1,Database!$A$1:$AV$1,),)=0,"#N/A",((((VLOOKUP(B276,Database!$A:$AS,MATCH($V$1,Database!$A$1:$AS$1,),))))-(((VLOOKUP(EDATE(B276,-12),Database!$A:$AS,MATCH($V$1,Database!$A$1:$AS$1,),)))))/(((VLOOKUP(EDATE(B276,-12),Database!$A:$AS,MATCH($V$1,Database!$A$1:$AS$1,),)))))</f>
        <v/>
      </c>
    </row>
    <row r="277" customFormat="1" s="86">
      <c r="A277" s="43" t="n"/>
      <c r="B277" s="75" t="n">
        <v>40575</v>
      </c>
      <c r="C277" s="13">
        <f>IF(VLOOKUP(B277,Database!$A:$AU,MATCH($C$1,Database!$A$1:$AU$1,),)=0,"#N/A",((((VLOOKUP(B277,Database!$A:$AU,MATCH($C$1,Database!$A$1:$AU$1,),))))-(((VLOOKUP(EDATE(B277,-12),Database!$A:$AU,MATCH($C$1,Database!$A$1:$AU$1,),)))))/(((VLOOKUP(EDATE(B277,-12),Database!$A:$AU,MATCH($C$1,Database!$A$1:$AU$1,),)))))</f>
        <v/>
      </c>
      <c r="D277" s="13">
        <f>IF(VLOOKUP(B277,Database!$A:$AV,MATCH($D$1,Database!$A$1:$AV$1,),)=0,"#N/A",((((VLOOKUP(B277,Database!$A:$AS,MATCH($D$1,Database!$A$1:$AS$1,),))))-(((VLOOKUP(EDATE(B277,-12),Database!$A:$AS,MATCH($D$1,Database!$A$1:$AS$1,),)))))/(((VLOOKUP(EDATE(B277,-12),Database!$A:$AS,MATCH($D$1,Database!$A$1:$AS$1,),)))))</f>
        <v/>
      </c>
      <c r="E277" s="13">
        <f>IF(VLOOKUP(B277,Database!$A:$AV,MATCH($E$1,Database!$A$1:$AV$1,),)=0,"#N/A",((((VLOOKUP(B277,Database!$A:$AS,MATCH($E$1,Database!$A$1:$AS$1,),))))-(((VLOOKUP(EDATE(B277,-12),Database!$A:$AS,MATCH($E$1,Database!$A$1:$AS$1,),)))))/(((VLOOKUP(EDATE(B277,-12),Database!$A:$AS,MATCH($E$1,Database!$A$1:$AS$1,),)))))</f>
        <v/>
      </c>
      <c r="F277" s="13">
        <f>IF(VLOOKUP(B277,Database!$A:$AV,MATCH($F$1,Database!$A$1:$AV$1,),)=0,"#N/A",((((VLOOKUP(B277,Database!$A:$AS,MATCH($F$1,Database!$A$1:$AS$1,),))))-(((VLOOKUP(EDATE(B277,-12),Database!$A:$AS,MATCH($F$1,Database!$A$1:$AS$1,),)))))/(((VLOOKUP(EDATE(B277,-12),Database!$A:$AS,MATCH($F$1,Database!$A$1:$AS$1,),)))))</f>
        <v/>
      </c>
      <c r="G277" s="13">
        <f>IF(VLOOKUP(B277,Database!$A:$AV,MATCH($G$1,Database!$A$1:$AV$1,),)=0,"#N/A",((((VLOOKUP(B277,Database!$A:$AS,MATCH($G$1,Database!$A$1:$AS$1,),))))-(((VLOOKUP(EDATE(B277,-12),Database!$A:$AS,MATCH($G$1,Database!$A$1:$AS$1,),)))))/(((VLOOKUP(EDATE(B277,-12),Database!$A:$AS,MATCH($G$1,Database!$A$1:$AS$1,),)))))</f>
        <v/>
      </c>
      <c r="H277" s="13">
        <f>IF(VLOOKUP(B277,Database!$A:$AV,MATCH($H$1,Database!$A$1:$AV$1,),)=0,"#N/A",((((VLOOKUP(B277,Database!$A:$AS,MATCH($H$1,Database!$A$1:$AS$1,),))))-(((VLOOKUP(EDATE(B277,-12),Database!$A:$AS,MATCH($H$1,Database!$A$1:$AS$1,),)))))/(((VLOOKUP(EDATE(B277,-12),Database!$A:$AS,MATCH($H$1,Database!$A$1:$AS$1,),)))))</f>
        <v/>
      </c>
      <c r="I277" s="13">
        <f>IF(VLOOKUP(B277,Database!$A:$AV,MATCH($I$1,Database!$A$1:$AV$1,),)=0,"#N/A",((((VLOOKUP(B277,Database!$A:$AS,MATCH($I$1,Database!$A$1:$AS$1,),))))-(((VLOOKUP(EDATE(B277,-12),Database!$A:$AS,MATCH($I$1,Database!$A$1:$AS$1,),)))))/(((VLOOKUP(EDATE(B277,-12),Database!$A:$AS,MATCH($I$1,Database!$A$1:$AS$1,),)))))</f>
        <v/>
      </c>
      <c r="J277" s="13">
        <f>IF(VLOOKUP(B277,Database!$A:$AV,MATCH($J$1,Database!$A$1:$AV$1,),)=0,"#N/A",((((VLOOKUP(B277,Database!$A:$AS,MATCH($J$1,Database!$A$1:$AS$1,),))))-(((VLOOKUP(EDATE(B277,-12),Database!$A:$AS,MATCH($J$1,Database!$A$1:$AS$1,),)))))/(((VLOOKUP(EDATE(B277,-12),Database!$A:$AS,MATCH($J$1,Database!$A$1:$AS$1,),)))))</f>
        <v/>
      </c>
      <c r="K277" s="13">
        <f>IF(VLOOKUP(B277,Database!$A:$AV,MATCH($K$1,Database!$A$1:$AV$1,),)=0,"#N/A",((((VLOOKUP(B277,Database!$A:$AS,MATCH($K$1,Database!$A$1:$AS$1,),))))-(((VLOOKUP(EDATE(B277,-12),Database!$A:$AS,MATCH($K$1,Database!$A$1:$AS$1,),)))))/(((VLOOKUP(EDATE(B277,-12),Database!$A:$AS,MATCH($K$1,Database!$A$1:$AS$1,),)))))</f>
        <v/>
      </c>
      <c r="L277" s="13">
        <f>((((VLOOKUP(B277,Database!$A:$AS,MATCH($L$1,Database!$A$1:$AS$1,),))))-(((VLOOKUP(EDATE(B277,-12),Database!$A:$AS,MATCH($L$1,Database!$A$1:$AS$1,),)))))/(((VLOOKUP(EDATE(B277,-12),Database!$A:$AS,MATCH($L$1,Database!$A$1:$AS$1,),))))</f>
        <v/>
      </c>
      <c r="M277" s="13">
        <f>((((VLOOKUP(B277,Database!$A:$AS,MATCH($M$1,Database!$A$1:$AS$1,),))))-(((VLOOKUP(EDATE(B277,-12),Database!$A:$AS,MATCH($M$1,Database!$A$1:$AS$1,),)))))/(((VLOOKUP(EDATE(B277,-12),Database!$A:$AS,MATCH($M$1,Database!$A$1:$AS$1,),))))</f>
        <v/>
      </c>
      <c r="N277" s="13">
        <f>((((VLOOKUP(B277,Database!$A:$AS,MATCH($N$1,Database!$A$1:$AS$1,),))))-(((VLOOKUP(EDATE(B277,-12),Database!$A:$AS,MATCH($N$1,Database!$A$1:$AS$1,),)))))/(((VLOOKUP(EDATE(B277,-12),Database!$A:$AS,MATCH($N$1,Database!$A$1:$AS$1,),))))</f>
        <v/>
      </c>
      <c r="O277" s="13">
        <f>IF(VLOOKUP(B277,Database!$A:$AV,MATCH($O$1,Database!$A$1:$AV$1,),)=0,"#N/A",((((VLOOKUP(B277,Database!$A:$AS,MATCH($O$1,Database!$A$1:$AS$1,),))))-(((VLOOKUP(EDATE(B277,-12),Database!$A:$AS,MATCH($O$1,Database!$A$1:$AS$1,),)))))/(((VLOOKUP(EDATE(B277,-12),Database!$A:$AS,MATCH($O$1,Database!$A$1:$AS$1,),)))))</f>
        <v/>
      </c>
      <c r="P277" s="13">
        <f>IF(VLOOKUP(B277,Database!$A:$AV,MATCH($P$1,Database!$A$1:$AV$1,),)=0,"#N/A",((((VLOOKUP(B277,Database!$A:$AS,MATCH($P$1,Database!$A$1:$AS$1,),))))-(((VLOOKUP(EDATE(B277,-12),Database!$A:$AS,MATCH($P$1,Database!$A$1:$AS$1,),)))))/(((VLOOKUP(EDATE(B277,-12),Database!$A:$AS,MATCH($P$1,Database!$A$1:$AS$1,),)))))</f>
        <v/>
      </c>
      <c r="Q277" s="13">
        <f>IF(VLOOKUP(B277,Database!$A:$AV,MATCH($Q$1,Database!$A$1:$AV$1,),)=0,"#N/A",((((VLOOKUP(B277,Database!$A:$AS,MATCH($Q$1,Database!$A$1:$AS$1,),))))-(((VLOOKUP(EDATE(B277,-12),Database!$A:$AS,MATCH($Q$1,Database!$A$1:$AS$1,),)))))/(((VLOOKUP(EDATE(B277,-12),Database!$A:$AS,MATCH($Q$1,Database!$A$1:$AS$1,),)))))</f>
        <v/>
      </c>
      <c r="R277" s="13">
        <f>IF(VLOOKUP(B277,Database!$A:$AV,MATCH($R$1,Database!$A$1:$AV$1,),)=0,"#N/A",((((VLOOKUP(B277,Database!$A:$AS,MATCH($R$1,Database!$A$1:$AS$1,),))))-(((VLOOKUP(EDATE(B277,-12),Database!$A:$AS,MATCH($R$1,Database!$A$1:$AS$1,),)))))/(((VLOOKUP(EDATE(B277,-12),Database!$A:$AS,MATCH($R$1,Database!$A$1:$AS$1,),)))))</f>
        <v/>
      </c>
      <c r="S277" s="13">
        <f>IF(VLOOKUP(B277,Database!$A:$AV,MATCH($S$1,Database!$A$1:$AV$1,),)=0,"#N/A",((((VLOOKUP(B277,Database!$A:$AS,MATCH($S$1,Database!$A$1:$AS$1,),))))-(((VLOOKUP(EDATE(B277,-12),Database!$A:$AS,MATCH($S$1,Database!$A$1:$AS$1,),)))))/(((VLOOKUP(EDATE(B277,-12),Database!$A:$AS,MATCH($S$1,Database!$A$1:$AS$1,),)))))</f>
        <v/>
      </c>
      <c r="T277" s="13">
        <f>IF(VLOOKUP(B277,Database!$A:$AV,MATCH($T$1,Database!$A$1:$AV$1,),)=0,"#N/A",((((VLOOKUP(B277,Database!$A:$AS,MATCH($T$1,Database!$A$1:$AS$1,),))))-(((VLOOKUP(EDATE(B277,-12),Database!$A:$AS,MATCH($T$1,Database!$A$1:$AS$1,),)))))/(((VLOOKUP(EDATE(B277,-12),Database!$A:$AS,MATCH($T$1,Database!$A$1:$AS$1,),)))))</f>
        <v/>
      </c>
      <c r="U277" s="13">
        <f>IF(VLOOKUP(B277,Database!$A:$AV,MATCH($U$1,Database!$A$1:$AV$1,),)=0,"#N/A",((((VLOOKUP(B277,Database!$A:$AS,MATCH($U$1,Database!$A$1:$AS$1,),))))-(((VLOOKUP(EDATE(B277,-12),Database!$A:$AS,MATCH($U$1,Database!$A$1:$AS$1,),)))))/(((VLOOKUP(EDATE(B277,-12),Database!$A:$AS,MATCH($U$1,Database!$A$1:$AS$1,),)))))</f>
        <v/>
      </c>
      <c r="V277" s="13">
        <f>IF(VLOOKUP(B277,Database!$A:$AV,MATCH($V$1,Database!$A$1:$AV$1,),)=0,"#N/A",((((VLOOKUP(B277,Database!$A:$AS,MATCH($V$1,Database!$A$1:$AS$1,),))))-(((VLOOKUP(EDATE(B277,-12),Database!$A:$AS,MATCH($V$1,Database!$A$1:$AS$1,),)))))/(((VLOOKUP(EDATE(B277,-12),Database!$A:$AS,MATCH($V$1,Database!$A$1:$AS$1,),)))))</f>
        <v/>
      </c>
    </row>
    <row r="278" customFormat="1" s="86">
      <c r="A278" s="43" t="n"/>
      <c r="B278" s="75" t="n">
        <v>40603</v>
      </c>
      <c r="C278" s="13">
        <f>IF(VLOOKUP(B278,Database!$A:$AU,MATCH($C$1,Database!$A$1:$AU$1,),)=0,"#N/A",((((VLOOKUP(B278,Database!$A:$AU,MATCH($C$1,Database!$A$1:$AU$1,),))))-(((VLOOKUP(EDATE(B278,-12),Database!$A:$AU,MATCH($C$1,Database!$A$1:$AU$1,),)))))/(((VLOOKUP(EDATE(B278,-12),Database!$A:$AU,MATCH($C$1,Database!$A$1:$AU$1,),)))))</f>
        <v/>
      </c>
      <c r="D278" s="13">
        <f>IF(VLOOKUP(B278,Database!$A:$AV,MATCH($D$1,Database!$A$1:$AV$1,),)=0,"#N/A",((((VLOOKUP(B278,Database!$A:$AS,MATCH($D$1,Database!$A$1:$AS$1,),))))-(((VLOOKUP(EDATE(B278,-12),Database!$A:$AS,MATCH($D$1,Database!$A$1:$AS$1,),)))))/(((VLOOKUP(EDATE(B278,-12),Database!$A:$AS,MATCH($D$1,Database!$A$1:$AS$1,),)))))</f>
        <v/>
      </c>
      <c r="E278" s="13">
        <f>IF(VLOOKUP(B278,Database!$A:$AV,MATCH($E$1,Database!$A$1:$AV$1,),)=0,"#N/A",((((VLOOKUP(B278,Database!$A:$AS,MATCH($E$1,Database!$A$1:$AS$1,),))))-(((VLOOKUP(EDATE(B278,-12),Database!$A:$AS,MATCH($E$1,Database!$A$1:$AS$1,),)))))/(((VLOOKUP(EDATE(B278,-12),Database!$A:$AS,MATCH($E$1,Database!$A$1:$AS$1,),)))))</f>
        <v/>
      </c>
      <c r="F278" s="13">
        <f>IF(VLOOKUP(B278,Database!$A:$AV,MATCH($F$1,Database!$A$1:$AV$1,),)=0,"#N/A",((((VLOOKUP(B278,Database!$A:$AS,MATCH($F$1,Database!$A$1:$AS$1,),))))-(((VLOOKUP(EDATE(B278,-12),Database!$A:$AS,MATCH($F$1,Database!$A$1:$AS$1,),)))))/(((VLOOKUP(EDATE(B278,-12),Database!$A:$AS,MATCH($F$1,Database!$A$1:$AS$1,),)))))</f>
        <v/>
      </c>
      <c r="G278" s="13">
        <f>IF(VLOOKUP(B278,Database!$A:$AV,MATCH($G$1,Database!$A$1:$AV$1,),)=0,"#N/A",((((VLOOKUP(B278,Database!$A:$AS,MATCH($G$1,Database!$A$1:$AS$1,),))))-(((VLOOKUP(EDATE(B278,-12),Database!$A:$AS,MATCH($G$1,Database!$A$1:$AS$1,),)))))/(((VLOOKUP(EDATE(B278,-12),Database!$A:$AS,MATCH($G$1,Database!$A$1:$AS$1,),)))))</f>
        <v/>
      </c>
      <c r="H278" s="13">
        <f>IF(VLOOKUP(B278,Database!$A:$AV,MATCH($H$1,Database!$A$1:$AV$1,),)=0,"#N/A",((((VLOOKUP(B278,Database!$A:$AS,MATCH($H$1,Database!$A$1:$AS$1,),))))-(((VLOOKUP(EDATE(B278,-12),Database!$A:$AS,MATCH($H$1,Database!$A$1:$AS$1,),)))))/(((VLOOKUP(EDATE(B278,-12),Database!$A:$AS,MATCH($H$1,Database!$A$1:$AS$1,),)))))</f>
        <v/>
      </c>
      <c r="I278" s="13">
        <f>IF(VLOOKUP(B278,Database!$A:$AV,MATCH($I$1,Database!$A$1:$AV$1,),)=0,"#N/A",((((VLOOKUP(B278,Database!$A:$AS,MATCH($I$1,Database!$A$1:$AS$1,),))))-(((VLOOKUP(EDATE(B278,-12),Database!$A:$AS,MATCH($I$1,Database!$A$1:$AS$1,),)))))/(((VLOOKUP(EDATE(B278,-12),Database!$A:$AS,MATCH($I$1,Database!$A$1:$AS$1,),)))))</f>
        <v/>
      </c>
      <c r="J278" s="13">
        <f>IF(VLOOKUP(B278,Database!$A:$AV,MATCH($J$1,Database!$A$1:$AV$1,),)=0,"#N/A",((((VLOOKUP(B278,Database!$A:$AS,MATCH($J$1,Database!$A$1:$AS$1,),))))-(((VLOOKUP(EDATE(B278,-12),Database!$A:$AS,MATCH($J$1,Database!$A$1:$AS$1,),)))))/(((VLOOKUP(EDATE(B278,-12),Database!$A:$AS,MATCH($J$1,Database!$A$1:$AS$1,),)))))</f>
        <v/>
      </c>
      <c r="K278" s="13">
        <f>IF(VLOOKUP(B278,Database!$A:$AV,MATCH($K$1,Database!$A$1:$AV$1,),)=0,"#N/A",((((VLOOKUP(B278,Database!$A:$AS,MATCH($K$1,Database!$A$1:$AS$1,),))))-(((VLOOKUP(EDATE(B278,-12),Database!$A:$AS,MATCH($K$1,Database!$A$1:$AS$1,),)))))/(((VLOOKUP(EDATE(B278,-12),Database!$A:$AS,MATCH($K$1,Database!$A$1:$AS$1,),)))))</f>
        <v/>
      </c>
      <c r="L278" s="13">
        <f>((((VLOOKUP(B278,Database!$A:$AS,MATCH($L$1,Database!$A$1:$AS$1,),))))-(((VLOOKUP(EDATE(B278,-12),Database!$A:$AS,MATCH($L$1,Database!$A$1:$AS$1,),)))))/(((VLOOKUP(EDATE(B278,-12),Database!$A:$AS,MATCH($L$1,Database!$A$1:$AS$1,),))))</f>
        <v/>
      </c>
      <c r="M278" s="13">
        <f>((((VLOOKUP(B278,Database!$A:$AS,MATCH($M$1,Database!$A$1:$AS$1,),))))-(((VLOOKUP(EDATE(B278,-12),Database!$A:$AS,MATCH($M$1,Database!$A$1:$AS$1,),)))))/(((VLOOKUP(EDATE(B278,-12),Database!$A:$AS,MATCH($M$1,Database!$A$1:$AS$1,),))))</f>
        <v/>
      </c>
      <c r="N278" s="13">
        <f>((((VLOOKUP(B278,Database!$A:$AS,MATCH($N$1,Database!$A$1:$AS$1,),))))-(((VLOOKUP(EDATE(B278,-12),Database!$A:$AS,MATCH($N$1,Database!$A$1:$AS$1,),)))))/(((VLOOKUP(EDATE(B278,-12),Database!$A:$AS,MATCH($N$1,Database!$A$1:$AS$1,),))))</f>
        <v/>
      </c>
      <c r="O278" s="13">
        <f>IF(VLOOKUP(B278,Database!$A:$AV,MATCH($O$1,Database!$A$1:$AV$1,),)=0,"#N/A",((((VLOOKUP(B278,Database!$A:$AS,MATCH($O$1,Database!$A$1:$AS$1,),))))-(((VLOOKUP(EDATE(B278,-12),Database!$A:$AS,MATCH($O$1,Database!$A$1:$AS$1,),)))))/(((VLOOKUP(EDATE(B278,-12),Database!$A:$AS,MATCH($O$1,Database!$A$1:$AS$1,),)))))</f>
        <v/>
      </c>
      <c r="P278" s="13">
        <f>IF(VLOOKUP(B278,Database!$A:$AV,MATCH($P$1,Database!$A$1:$AV$1,),)=0,"#N/A",((((VLOOKUP(B278,Database!$A:$AS,MATCH($P$1,Database!$A$1:$AS$1,),))))-(((VLOOKUP(EDATE(B278,-12),Database!$A:$AS,MATCH($P$1,Database!$A$1:$AS$1,),)))))/(((VLOOKUP(EDATE(B278,-12),Database!$A:$AS,MATCH($P$1,Database!$A$1:$AS$1,),)))))</f>
        <v/>
      </c>
      <c r="Q278" s="13">
        <f>IF(VLOOKUP(B278,Database!$A:$AV,MATCH($Q$1,Database!$A$1:$AV$1,),)=0,"#N/A",((((VLOOKUP(B278,Database!$A:$AS,MATCH($Q$1,Database!$A$1:$AS$1,),))))-(((VLOOKUP(EDATE(B278,-12),Database!$A:$AS,MATCH($Q$1,Database!$A$1:$AS$1,),)))))/(((VLOOKUP(EDATE(B278,-12),Database!$A:$AS,MATCH($Q$1,Database!$A$1:$AS$1,),)))))</f>
        <v/>
      </c>
      <c r="R278" s="13">
        <f>IF(VLOOKUP(B278,Database!$A:$AV,MATCH($R$1,Database!$A$1:$AV$1,),)=0,"#N/A",((((VLOOKUP(B278,Database!$A:$AS,MATCH($R$1,Database!$A$1:$AS$1,),))))-(((VLOOKUP(EDATE(B278,-12),Database!$A:$AS,MATCH($R$1,Database!$A$1:$AS$1,),)))))/(((VLOOKUP(EDATE(B278,-12),Database!$A:$AS,MATCH($R$1,Database!$A$1:$AS$1,),)))))</f>
        <v/>
      </c>
      <c r="S278" s="13">
        <f>IF(VLOOKUP(B278,Database!$A:$AV,MATCH($S$1,Database!$A$1:$AV$1,),)=0,"#N/A",((((VLOOKUP(B278,Database!$A:$AS,MATCH($S$1,Database!$A$1:$AS$1,),))))-(((VLOOKUP(EDATE(B278,-12),Database!$A:$AS,MATCH($S$1,Database!$A$1:$AS$1,),)))))/(((VLOOKUP(EDATE(B278,-12),Database!$A:$AS,MATCH($S$1,Database!$A$1:$AS$1,),)))))</f>
        <v/>
      </c>
      <c r="T278" s="13">
        <f>IF(VLOOKUP(B278,Database!$A:$AV,MATCH($T$1,Database!$A$1:$AV$1,),)=0,"#N/A",((((VLOOKUP(B278,Database!$A:$AS,MATCH($T$1,Database!$A$1:$AS$1,),))))-(((VLOOKUP(EDATE(B278,-12),Database!$A:$AS,MATCH($T$1,Database!$A$1:$AS$1,),)))))/(((VLOOKUP(EDATE(B278,-12),Database!$A:$AS,MATCH($T$1,Database!$A$1:$AS$1,),)))))</f>
        <v/>
      </c>
      <c r="U278" s="13">
        <f>IF(VLOOKUP(B278,Database!$A:$AV,MATCH($U$1,Database!$A$1:$AV$1,),)=0,"#N/A",((((VLOOKUP(B278,Database!$A:$AS,MATCH($U$1,Database!$A$1:$AS$1,),))))-(((VLOOKUP(EDATE(B278,-12),Database!$A:$AS,MATCH($U$1,Database!$A$1:$AS$1,),)))))/(((VLOOKUP(EDATE(B278,-12),Database!$A:$AS,MATCH($U$1,Database!$A$1:$AS$1,),)))))</f>
        <v/>
      </c>
      <c r="V278" s="13">
        <f>IF(VLOOKUP(B278,Database!$A:$AV,MATCH($V$1,Database!$A$1:$AV$1,),)=0,"#N/A",((((VLOOKUP(B278,Database!$A:$AS,MATCH($V$1,Database!$A$1:$AS$1,),))))-(((VLOOKUP(EDATE(B278,-12),Database!$A:$AS,MATCH($V$1,Database!$A$1:$AS$1,),)))))/(((VLOOKUP(EDATE(B278,-12),Database!$A:$AS,MATCH($V$1,Database!$A$1:$AS$1,),)))))</f>
        <v/>
      </c>
    </row>
    <row r="279" customFormat="1" s="86">
      <c r="A279" s="43" t="n"/>
      <c r="B279" s="75" t="n">
        <v>40634</v>
      </c>
      <c r="C279" s="13">
        <f>IF(VLOOKUP(B279,Database!$A:$AU,MATCH($C$1,Database!$A$1:$AU$1,),)=0,"#N/A",((((VLOOKUP(B279,Database!$A:$AU,MATCH($C$1,Database!$A$1:$AU$1,),))))-(((VLOOKUP(EDATE(B279,-12),Database!$A:$AU,MATCH($C$1,Database!$A$1:$AU$1,),)))))/(((VLOOKUP(EDATE(B279,-12),Database!$A:$AU,MATCH($C$1,Database!$A$1:$AU$1,),)))))</f>
        <v/>
      </c>
      <c r="D279" s="13">
        <f>IF(VLOOKUP(B279,Database!$A:$AV,MATCH($D$1,Database!$A$1:$AV$1,),)=0,"#N/A",((((VLOOKUP(B279,Database!$A:$AS,MATCH($D$1,Database!$A$1:$AS$1,),))))-(((VLOOKUP(EDATE(B279,-12),Database!$A:$AS,MATCH($D$1,Database!$A$1:$AS$1,),)))))/(((VLOOKUP(EDATE(B279,-12),Database!$A:$AS,MATCH($D$1,Database!$A$1:$AS$1,),)))))</f>
        <v/>
      </c>
      <c r="E279" s="13">
        <f>IF(VLOOKUP(B279,Database!$A:$AV,MATCH($E$1,Database!$A$1:$AV$1,),)=0,"#N/A",((((VLOOKUP(B279,Database!$A:$AS,MATCH($E$1,Database!$A$1:$AS$1,),))))-(((VLOOKUP(EDATE(B279,-12),Database!$A:$AS,MATCH($E$1,Database!$A$1:$AS$1,),)))))/(((VLOOKUP(EDATE(B279,-12),Database!$A:$AS,MATCH($E$1,Database!$A$1:$AS$1,),)))))</f>
        <v/>
      </c>
      <c r="F279" s="13">
        <f>IF(VLOOKUP(B279,Database!$A:$AV,MATCH($F$1,Database!$A$1:$AV$1,),)=0,"#N/A",((((VLOOKUP(B279,Database!$A:$AS,MATCH($F$1,Database!$A$1:$AS$1,),))))-(((VLOOKUP(EDATE(B279,-12),Database!$A:$AS,MATCH($F$1,Database!$A$1:$AS$1,),)))))/(((VLOOKUP(EDATE(B279,-12),Database!$A:$AS,MATCH($F$1,Database!$A$1:$AS$1,),)))))</f>
        <v/>
      </c>
      <c r="G279" s="13">
        <f>IF(VLOOKUP(B279,Database!$A:$AV,MATCH($G$1,Database!$A$1:$AV$1,),)=0,"#N/A",((((VLOOKUP(B279,Database!$A:$AS,MATCH($G$1,Database!$A$1:$AS$1,),))))-(((VLOOKUP(EDATE(B279,-12),Database!$A:$AS,MATCH($G$1,Database!$A$1:$AS$1,),)))))/(((VLOOKUP(EDATE(B279,-12),Database!$A:$AS,MATCH($G$1,Database!$A$1:$AS$1,),)))))</f>
        <v/>
      </c>
      <c r="H279" s="13">
        <f>IF(VLOOKUP(B279,Database!$A:$AV,MATCH($H$1,Database!$A$1:$AV$1,),)=0,"#N/A",((((VLOOKUP(B279,Database!$A:$AS,MATCH($H$1,Database!$A$1:$AS$1,),))))-(((VLOOKUP(EDATE(B279,-12),Database!$A:$AS,MATCH($H$1,Database!$A$1:$AS$1,),)))))/(((VLOOKUP(EDATE(B279,-12),Database!$A:$AS,MATCH($H$1,Database!$A$1:$AS$1,),)))))</f>
        <v/>
      </c>
      <c r="I279" s="13">
        <f>IF(VLOOKUP(B279,Database!$A:$AV,MATCH($I$1,Database!$A$1:$AV$1,),)=0,"#N/A",((((VLOOKUP(B279,Database!$A:$AS,MATCH($I$1,Database!$A$1:$AS$1,),))))-(((VLOOKUP(EDATE(B279,-12),Database!$A:$AS,MATCH($I$1,Database!$A$1:$AS$1,),)))))/(((VLOOKUP(EDATE(B279,-12),Database!$A:$AS,MATCH($I$1,Database!$A$1:$AS$1,),)))))</f>
        <v/>
      </c>
      <c r="J279" s="13">
        <f>IF(VLOOKUP(B279,Database!$A:$AV,MATCH($J$1,Database!$A$1:$AV$1,),)=0,"#N/A",((((VLOOKUP(B279,Database!$A:$AS,MATCH($J$1,Database!$A$1:$AS$1,),))))-(((VLOOKUP(EDATE(B279,-12),Database!$A:$AS,MATCH($J$1,Database!$A$1:$AS$1,),)))))/(((VLOOKUP(EDATE(B279,-12),Database!$A:$AS,MATCH($J$1,Database!$A$1:$AS$1,),)))))</f>
        <v/>
      </c>
      <c r="K279" s="13">
        <f>IF(VLOOKUP(B279,Database!$A:$AV,MATCH($K$1,Database!$A$1:$AV$1,),)=0,"#N/A",((((VLOOKUP(B279,Database!$A:$AS,MATCH($K$1,Database!$A$1:$AS$1,),))))-(((VLOOKUP(EDATE(B279,-12),Database!$A:$AS,MATCH($K$1,Database!$A$1:$AS$1,),)))))/(((VLOOKUP(EDATE(B279,-12),Database!$A:$AS,MATCH($K$1,Database!$A$1:$AS$1,),)))))</f>
        <v/>
      </c>
      <c r="L279" s="13">
        <f>((((VLOOKUP(B279,Database!$A:$AS,MATCH($L$1,Database!$A$1:$AS$1,),))))-(((VLOOKUP(EDATE(B279,-12),Database!$A:$AS,MATCH($L$1,Database!$A$1:$AS$1,),)))))/(((VLOOKUP(EDATE(B279,-12),Database!$A:$AS,MATCH($L$1,Database!$A$1:$AS$1,),))))</f>
        <v/>
      </c>
      <c r="M279" s="13">
        <f>((((VLOOKUP(B279,Database!$A:$AS,MATCH($M$1,Database!$A$1:$AS$1,),))))-(((VLOOKUP(EDATE(B279,-12),Database!$A:$AS,MATCH($M$1,Database!$A$1:$AS$1,),)))))/(((VLOOKUP(EDATE(B279,-12),Database!$A:$AS,MATCH($M$1,Database!$A$1:$AS$1,),))))</f>
        <v/>
      </c>
      <c r="N279" s="13">
        <f>((((VLOOKUP(B279,Database!$A:$AS,MATCH($N$1,Database!$A$1:$AS$1,),))))-(((VLOOKUP(EDATE(B279,-12),Database!$A:$AS,MATCH($N$1,Database!$A$1:$AS$1,),)))))/(((VLOOKUP(EDATE(B279,-12),Database!$A:$AS,MATCH($N$1,Database!$A$1:$AS$1,),))))</f>
        <v/>
      </c>
      <c r="O279" s="13">
        <f>IF(VLOOKUP(B279,Database!$A:$AV,MATCH($O$1,Database!$A$1:$AV$1,),)=0,"#N/A",((((VLOOKUP(B279,Database!$A:$AS,MATCH($O$1,Database!$A$1:$AS$1,),))))-(((VLOOKUP(EDATE(B279,-12),Database!$A:$AS,MATCH($O$1,Database!$A$1:$AS$1,),)))))/(((VLOOKUP(EDATE(B279,-12),Database!$A:$AS,MATCH($O$1,Database!$A$1:$AS$1,),)))))</f>
        <v/>
      </c>
      <c r="P279" s="13">
        <f>IF(VLOOKUP(B279,Database!$A:$AV,MATCH($P$1,Database!$A$1:$AV$1,),)=0,"#N/A",((((VLOOKUP(B279,Database!$A:$AS,MATCH($P$1,Database!$A$1:$AS$1,),))))-(((VLOOKUP(EDATE(B279,-12),Database!$A:$AS,MATCH($P$1,Database!$A$1:$AS$1,),)))))/(((VLOOKUP(EDATE(B279,-12),Database!$A:$AS,MATCH($P$1,Database!$A$1:$AS$1,),)))))</f>
        <v/>
      </c>
      <c r="Q279" s="13">
        <f>IF(VLOOKUP(B279,Database!$A:$AV,MATCH($Q$1,Database!$A$1:$AV$1,),)=0,"#N/A",((((VLOOKUP(B279,Database!$A:$AS,MATCH($Q$1,Database!$A$1:$AS$1,),))))-(((VLOOKUP(EDATE(B279,-12),Database!$A:$AS,MATCH($Q$1,Database!$A$1:$AS$1,),)))))/(((VLOOKUP(EDATE(B279,-12),Database!$A:$AS,MATCH($Q$1,Database!$A$1:$AS$1,),)))))</f>
        <v/>
      </c>
      <c r="R279" s="13">
        <f>IF(VLOOKUP(B279,Database!$A:$AV,MATCH($R$1,Database!$A$1:$AV$1,),)=0,"#N/A",((((VLOOKUP(B279,Database!$A:$AS,MATCH($R$1,Database!$A$1:$AS$1,),))))-(((VLOOKUP(EDATE(B279,-12),Database!$A:$AS,MATCH($R$1,Database!$A$1:$AS$1,),)))))/(((VLOOKUP(EDATE(B279,-12),Database!$A:$AS,MATCH($R$1,Database!$A$1:$AS$1,),)))))</f>
        <v/>
      </c>
      <c r="S279" s="13">
        <f>IF(VLOOKUP(B279,Database!$A:$AV,MATCH($S$1,Database!$A$1:$AV$1,),)=0,"#N/A",((((VLOOKUP(B279,Database!$A:$AS,MATCH($S$1,Database!$A$1:$AS$1,),))))-(((VLOOKUP(EDATE(B279,-12),Database!$A:$AS,MATCH($S$1,Database!$A$1:$AS$1,),)))))/(((VLOOKUP(EDATE(B279,-12),Database!$A:$AS,MATCH($S$1,Database!$A$1:$AS$1,),)))))</f>
        <v/>
      </c>
      <c r="T279" s="13">
        <f>IF(VLOOKUP(B279,Database!$A:$AV,MATCH($T$1,Database!$A$1:$AV$1,),)=0,"#N/A",((((VLOOKUP(B279,Database!$A:$AS,MATCH($T$1,Database!$A$1:$AS$1,),))))-(((VLOOKUP(EDATE(B279,-12),Database!$A:$AS,MATCH($T$1,Database!$A$1:$AS$1,),)))))/(((VLOOKUP(EDATE(B279,-12),Database!$A:$AS,MATCH($T$1,Database!$A$1:$AS$1,),)))))</f>
        <v/>
      </c>
      <c r="U279" s="13">
        <f>IF(VLOOKUP(B279,Database!$A:$AV,MATCH($U$1,Database!$A$1:$AV$1,),)=0,"#N/A",((((VLOOKUP(B279,Database!$A:$AS,MATCH($U$1,Database!$A$1:$AS$1,),))))-(((VLOOKUP(EDATE(B279,-12),Database!$A:$AS,MATCH($U$1,Database!$A$1:$AS$1,),)))))/(((VLOOKUP(EDATE(B279,-12),Database!$A:$AS,MATCH($U$1,Database!$A$1:$AS$1,),)))))</f>
        <v/>
      </c>
      <c r="V279" s="13">
        <f>IF(VLOOKUP(B279,Database!$A:$AV,MATCH($V$1,Database!$A$1:$AV$1,),)=0,"#N/A",((((VLOOKUP(B279,Database!$A:$AS,MATCH($V$1,Database!$A$1:$AS$1,),))))-(((VLOOKUP(EDATE(B279,-12),Database!$A:$AS,MATCH($V$1,Database!$A$1:$AS$1,),)))))/(((VLOOKUP(EDATE(B279,-12),Database!$A:$AS,MATCH($V$1,Database!$A$1:$AS$1,),)))))</f>
        <v/>
      </c>
    </row>
    <row r="280" customFormat="1" s="86">
      <c r="A280" s="43" t="n"/>
      <c r="B280" s="75" t="n">
        <v>40664</v>
      </c>
      <c r="C280" s="13">
        <f>IF(VLOOKUP(B280,Database!$A:$AU,MATCH($C$1,Database!$A$1:$AU$1,),)=0,"#N/A",((((VLOOKUP(B280,Database!$A:$AU,MATCH($C$1,Database!$A$1:$AU$1,),))))-(((VLOOKUP(EDATE(B280,-12),Database!$A:$AU,MATCH($C$1,Database!$A$1:$AU$1,),)))))/(((VLOOKUP(EDATE(B280,-12),Database!$A:$AU,MATCH($C$1,Database!$A$1:$AU$1,),)))))</f>
        <v/>
      </c>
      <c r="D280" s="13">
        <f>IF(VLOOKUP(B280,Database!$A:$AV,MATCH($D$1,Database!$A$1:$AV$1,),)=0,"#N/A",((((VLOOKUP(B280,Database!$A:$AS,MATCH($D$1,Database!$A$1:$AS$1,),))))-(((VLOOKUP(EDATE(B280,-12),Database!$A:$AS,MATCH($D$1,Database!$A$1:$AS$1,),)))))/(((VLOOKUP(EDATE(B280,-12),Database!$A:$AS,MATCH($D$1,Database!$A$1:$AS$1,),)))))</f>
        <v/>
      </c>
      <c r="E280" s="13">
        <f>IF(VLOOKUP(B280,Database!$A:$AV,MATCH($E$1,Database!$A$1:$AV$1,),)=0,"#N/A",((((VLOOKUP(B280,Database!$A:$AS,MATCH($E$1,Database!$A$1:$AS$1,),))))-(((VLOOKUP(EDATE(B280,-12),Database!$A:$AS,MATCH($E$1,Database!$A$1:$AS$1,),)))))/(((VLOOKUP(EDATE(B280,-12),Database!$A:$AS,MATCH($E$1,Database!$A$1:$AS$1,),)))))</f>
        <v/>
      </c>
      <c r="F280" s="13">
        <f>IF(VLOOKUP(B280,Database!$A:$AV,MATCH($F$1,Database!$A$1:$AV$1,),)=0,"#N/A",((((VLOOKUP(B280,Database!$A:$AS,MATCH($F$1,Database!$A$1:$AS$1,),))))-(((VLOOKUP(EDATE(B280,-12),Database!$A:$AS,MATCH($F$1,Database!$A$1:$AS$1,),)))))/(((VLOOKUP(EDATE(B280,-12),Database!$A:$AS,MATCH($F$1,Database!$A$1:$AS$1,),)))))</f>
        <v/>
      </c>
      <c r="G280" s="13">
        <f>IF(VLOOKUP(B280,Database!$A:$AV,MATCH($G$1,Database!$A$1:$AV$1,),)=0,"#N/A",((((VLOOKUP(B280,Database!$A:$AS,MATCH($G$1,Database!$A$1:$AS$1,),))))-(((VLOOKUP(EDATE(B280,-12),Database!$A:$AS,MATCH($G$1,Database!$A$1:$AS$1,),)))))/(((VLOOKUP(EDATE(B280,-12),Database!$A:$AS,MATCH($G$1,Database!$A$1:$AS$1,),)))))</f>
        <v/>
      </c>
      <c r="H280" s="13">
        <f>IF(VLOOKUP(B280,Database!$A:$AV,MATCH($H$1,Database!$A$1:$AV$1,),)=0,"#N/A",((((VLOOKUP(B280,Database!$A:$AS,MATCH($H$1,Database!$A$1:$AS$1,),))))-(((VLOOKUP(EDATE(B280,-12),Database!$A:$AS,MATCH($H$1,Database!$A$1:$AS$1,),)))))/(((VLOOKUP(EDATE(B280,-12),Database!$A:$AS,MATCH($H$1,Database!$A$1:$AS$1,),)))))</f>
        <v/>
      </c>
      <c r="I280" s="13">
        <f>IF(VLOOKUP(B280,Database!$A:$AV,MATCH($I$1,Database!$A$1:$AV$1,),)=0,"#N/A",((((VLOOKUP(B280,Database!$A:$AS,MATCH($I$1,Database!$A$1:$AS$1,),))))-(((VLOOKUP(EDATE(B280,-12),Database!$A:$AS,MATCH($I$1,Database!$A$1:$AS$1,),)))))/(((VLOOKUP(EDATE(B280,-12),Database!$A:$AS,MATCH($I$1,Database!$A$1:$AS$1,),)))))</f>
        <v/>
      </c>
      <c r="J280" s="13">
        <f>IF(VLOOKUP(B280,Database!$A:$AV,MATCH($J$1,Database!$A$1:$AV$1,),)=0,"#N/A",((((VLOOKUP(B280,Database!$A:$AS,MATCH($J$1,Database!$A$1:$AS$1,),))))-(((VLOOKUP(EDATE(B280,-12),Database!$A:$AS,MATCH($J$1,Database!$A$1:$AS$1,),)))))/(((VLOOKUP(EDATE(B280,-12),Database!$A:$AS,MATCH($J$1,Database!$A$1:$AS$1,),)))))</f>
        <v/>
      </c>
      <c r="K280" s="13">
        <f>IF(VLOOKUP(B280,Database!$A:$AV,MATCH($K$1,Database!$A$1:$AV$1,),)=0,"#N/A",((((VLOOKUP(B280,Database!$A:$AS,MATCH($K$1,Database!$A$1:$AS$1,),))))-(((VLOOKUP(EDATE(B280,-12),Database!$A:$AS,MATCH($K$1,Database!$A$1:$AS$1,),)))))/(((VLOOKUP(EDATE(B280,-12),Database!$A:$AS,MATCH($K$1,Database!$A$1:$AS$1,),)))))</f>
        <v/>
      </c>
      <c r="L280" s="13">
        <f>((((VLOOKUP(B280,Database!$A:$AS,MATCH($L$1,Database!$A$1:$AS$1,),))))-(((VLOOKUP(EDATE(B280,-12),Database!$A:$AS,MATCH($L$1,Database!$A$1:$AS$1,),)))))/(((VLOOKUP(EDATE(B280,-12),Database!$A:$AS,MATCH($L$1,Database!$A$1:$AS$1,),))))</f>
        <v/>
      </c>
      <c r="M280" s="13">
        <f>((((VLOOKUP(B280,Database!$A:$AS,MATCH($M$1,Database!$A$1:$AS$1,),))))-(((VLOOKUP(EDATE(B280,-12),Database!$A:$AS,MATCH($M$1,Database!$A$1:$AS$1,),)))))/(((VLOOKUP(EDATE(B280,-12),Database!$A:$AS,MATCH($M$1,Database!$A$1:$AS$1,),))))</f>
        <v/>
      </c>
      <c r="N280" s="13">
        <f>((((VLOOKUP(B280,Database!$A:$AS,MATCH($N$1,Database!$A$1:$AS$1,),))))-(((VLOOKUP(EDATE(B280,-12),Database!$A:$AS,MATCH($N$1,Database!$A$1:$AS$1,),)))))/(((VLOOKUP(EDATE(B280,-12),Database!$A:$AS,MATCH($N$1,Database!$A$1:$AS$1,),))))</f>
        <v/>
      </c>
      <c r="O280" s="13">
        <f>IF(VLOOKUP(B280,Database!$A:$AV,MATCH($O$1,Database!$A$1:$AV$1,),)=0,"#N/A",((((VLOOKUP(B280,Database!$A:$AS,MATCH($O$1,Database!$A$1:$AS$1,),))))-(((VLOOKUP(EDATE(B280,-12),Database!$A:$AS,MATCH($O$1,Database!$A$1:$AS$1,),)))))/(((VLOOKUP(EDATE(B280,-12),Database!$A:$AS,MATCH($O$1,Database!$A$1:$AS$1,),)))))</f>
        <v/>
      </c>
      <c r="P280" s="13">
        <f>IF(VLOOKUP(B280,Database!$A:$AV,MATCH($P$1,Database!$A$1:$AV$1,),)=0,"#N/A",((((VLOOKUP(B280,Database!$A:$AS,MATCH($P$1,Database!$A$1:$AS$1,),))))-(((VLOOKUP(EDATE(B280,-12),Database!$A:$AS,MATCH($P$1,Database!$A$1:$AS$1,),)))))/(((VLOOKUP(EDATE(B280,-12),Database!$A:$AS,MATCH($P$1,Database!$A$1:$AS$1,),)))))</f>
        <v/>
      </c>
      <c r="Q280" s="13">
        <f>IF(VLOOKUP(B280,Database!$A:$AV,MATCH($Q$1,Database!$A$1:$AV$1,),)=0,"#N/A",((((VLOOKUP(B280,Database!$A:$AS,MATCH($Q$1,Database!$A$1:$AS$1,),))))-(((VLOOKUP(EDATE(B280,-12),Database!$A:$AS,MATCH($Q$1,Database!$A$1:$AS$1,),)))))/(((VLOOKUP(EDATE(B280,-12),Database!$A:$AS,MATCH($Q$1,Database!$A$1:$AS$1,),)))))</f>
        <v/>
      </c>
      <c r="R280" s="13">
        <f>IF(VLOOKUP(B280,Database!$A:$AV,MATCH($R$1,Database!$A$1:$AV$1,),)=0,"#N/A",((((VLOOKUP(B280,Database!$A:$AS,MATCH($R$1,Database!$A$1:$AS$1,),))))-(((VLOOKUP(EDATE(B280,-12),Database!$A:$AS,MATCH($R$1,Database!$A$1:$AS$1,),)))))/(((VLOOKUP(EDATE(B280,-12),Database!$A:$AS,MATCH($R$1,Database!$A$1:$AS$1,),)))))</f>
        <v/>
      </c>
      <c r="S280" s="13">
        <f>IF(VLOOKUP(B280,Database!$A:$AV,MATCH($S$1,Database!$A$1:$AV$1,),)=0,"#N/A",((((VLOOKUP(B280,Database!$A:$AS,MATCH($S$1,Database!$A$1:$AS$1,),))))-(((VLOOKUP(EDATE(B280,-12),Database!$A:$AS,MATCH($S$1,Database!$A$1:$AS$1,),)))))/(((VLOOKUP(EDATE(B280,-12),Database!$A:$AS,MATCH($S$1,Database!$A$1:$AS$1,),)))))</f>
        <v/>
      </c>
      <c r="T280" s="13">
        <f>IF(VLOOKUP(B280,Database!$A:$AV,MATCH($T$1,Database!$A$1:$AV$1,),)=0,"#N/A",((((VLOOKUP(B280,Database!$A:$AS,MATCH($T$1,Database!$A$1:$AS$1,),))))-(((VLOOKUP(EDATE(B280,-12),Database!$A:$AS,MATCH($T$1,Database!$A$1:$AS$1,),)))))/(((VLOOKUP(EDATE(B280,-12),Database!$A:$AS,MATCH($T$1,Database!$A$1:$AS$1,),)))))</f>
        <v/>
      </c>
      <c r="U280" s="13">
        <f>IF(VLOOKUP(B280,Database!$A:$AV,MATCH($U$1,Database!$A$1:$AV$1,),)=0,"#N/A",((((VLOOKUP(B280,Database!$A:$AS,MATCH($U$1,Database!$A$1:$AS$1,),))))-(((VLOOKUP(EDATE(B280,-12),Database!$A:$AS,MATCH($U$1,Database!$A$1:$AS$1,),)))))/(((VLOOKUP(EDATE(B280,-12),Database!$A:$AS,MATCH($U$1,Database!$A$1:$AS$1,),)))))</f>
        <v/>
      </c>
      <c r="V280" s="13">
        <f>IF(VLOOKUP(B280,Database!$A:$AV,MATCH($V$1,Database!$A$1:$AV$1,),)=0,"#N/A",((((VLOOKUP(B280,Database!$A:$AS,MATCH($V$1,Database!$A$1:$AS$1,),))))-(((VLOOKUP(EDATE(B280,-12),Database!$A:$AS,MATCH($V$1,Database!$A$1:$AS$1,),)))))/(((VLOOKUP(EDATE(B280,-12),Database!$A:$AS,MATCH($V$1,Database!$A$1:$AS$1,),)))))</f>
        <v/>
      </c>
    </row>
    <row r="281" customFormat="1" s="86">
      <c r="A281" s="43" t="n"/>
      <c r="B281" s="75" t="n">
        <v>40695</v>
      </c>
      <c r="C281" s="13">
        <f>IF(VLOOKUP(B281,Database!$A:$AU,MATCH($C$1,Database!$A$1:$AU$1,),)=0,"#N/A",((((VLOOKUP(B281,Database!$A:$AU,MATCH($C$1,Database!$A$1:$AU$1,),))))-(((VLOOKUP(EDATE(B281,-12),Database!$A:$AU,MATCH($C$1,Database!$A$1:$AU$1,),)))))/(((VLOOKUP(EDATE(B281,-12),Database!$A:$AU,MATCH($C$1,Database!$A$1:$AU$1,),)))))</f>
        <v/>
      </c>
      <c r="D281" s="13">
        <f>IF(VLOOKUP(B281,Database!$A:$AV,MATCH($D$1,Database!$A$1:$AV$1,),)=0,"#N/A",((((VLOOKUP(B281,Database!$A:$AS,MATCH($D$1,Database!$A$1:$AS$1,),))))-(((VLOOKUP(EDATE(B281,-12),Database!$A:$AS,MATCH($D$1,Database!$A$1:$AS$1,),)))))/(((VLOOKUP(EDATE(B281,-12),Database!$A:$AS,MATCH($D$1,Database!$A$1:$AS$1,),)))))</f>
        <v/>
      </c>
      <c r="E281" s="13">
        <f>IF(VLOOKUP(B281,Database!$A:$AV,MATCH($E$1,Database!$A$1:$AV$1,),)=0,"#N/A",((((VLOOKUP(B281,Database!$A:$AS,MATCH($E$1,Database!$A$1:$AS$1,),))))-(((VLOOKUP(EDATE(B281,-12),Database!$A:$AS,MATCH($E$1,Database!$A$1:$AS$1,),)))))/(((VLOOKUP(EDATE(B281,-12),Database!$A:$AS,MATCH($E$1,Database!$A$1:$AS$1,),)))))</f>
        <v/>
      </c>
      <c r="F281" s="13">
        <f>IF(VLOOKUP(B281,Database!$A:$AV,MATCH($F$1,Database!$A$1:$AV$1,),)=0,"#N/A",((((VLOOKUP(B281,Database!$A:$AS,MATCH($F$1,Database!$A$1:$AS$1,),))))-(((VLOOKUP(EDATE(B281,-12),Database!$A:$AS,MATCH($F$1,Database!$A$1:$AS$1,),)))))/(((VLOOKUP(EDATE(B281,-12),Database!$A:$AS,MATCH($F$1,Database!$A$1:$AS$1,),)))))</f>
        <v/>
      </c>
      <c r="G281" s="13">
        <f>IF(VLOOKUP(B281,Database!$A:$AV,MATCH($G$1,Database!$A$1:$AV$1,),)=0,"#N/A",((((VLOOKUP(B281,Database!$A:$AS,MATCH($G$1,Database!$A$1:$AS$1,),))))-(((VLOOKUP(EDATE(B281,-12),Database!$A:$AS,MATCH($G$1,Database!$A$1:$AS$1,),)))))/(((VLOOKUP(EDATE(B281,-12),Database!$A:$AS,MATCH($G$1,Database!$A$1:$AS$1,),)))))</f>
        <v/>
      </c>
      <c r="H281" s="13">
        <f>IF(VLOOKUP(B281,Database!$A:$AV,MATCH($H$1,Database!$A$1:$AV$1,),)=0,"#N/A",((((VLOOKUP(B281,Database!$A:$AS,MATCH($H$1,Database!$A$1:$AS$1,),))))-(((VLOOKUP(EDATE(B281,-12),Database!$A:$AS,MATCH($H$1,Database!$A$1:$AS$1,),)))))/(((VLOOKUP(EDATE(B281,-12),Database!$A:$AS,MATCH($H$1,Database!$A$1:$AS$1,),)))))</f>
        <v/>
      </c>
      <c r="I281" s="13">
        <f>IF(VLOOKUP(B281,Database!$A:$AV,MATCH($I$1,Database!$A$1:$AV$1,),)=0,"#N/A",((((VLOOKUP(B281,Database!$A:$AS,MATCH($I$1,Database!$A$1:$AS$1,),))))-(((VLOOKUP(EDATE(B281,-12),Database!$A:$AS,MATCH($I$1,Database!$A$1:$AS$1,),)))))/(((VLOOKUP(EDATE(B281,-12),Database!$A:$AS,MATCH($I$1,Database!$A$1:$AS$1,),)))))</f>
        <v/>
      </c>
      <c r="J281" s="13">
        <f>IF(VLOOKUP(B281,Database!$A:$AV,MATCH($J$1,Database!$A$1:$AV$1,),)=0,"#N/A",((((VLOOKUP(B281,Database!$A:$AS,MATCH($J$1,Database!$A$1:$AS$1,),))))-(((VLOOKUP(EDATE(B281,-12),Database!$A:$AS,MATCH($J$1,Database!$A$1:$AS$1,),)))))/(((VLOOKUP(EDATE(B281,-12),Database!$A:$AS,MATCH($J$1,Database!$A$1:$AS$1,),)))))</f>
        <v/>
      </c>
      <c r="K281" s="13">
        <f>IF(VLOOKUP(B281,Database!$A:$AV,MATCH($K$1,Database!$A$1:$AV$1,),)=0,"#N/A",((((VLOOKUP(B281,Database!$A:$AS,MATCH($K$1,Database!$A$1:$AS$1,),))))-(((VLOOKUP(EDATE(B281,-12),Database!$A:$AS,MATCH($K$1,Database!$A$1:$AS$1,),)))))/(((VLOOKUP(EDATE(B281,-12),Database!$A:$AS,MATCH($K$1,Database!$A$1:$AS$1,),)))))</f>
        <v/>
      </c>
      <c r="L281" s="13">
        <f>((((VLOOKUP(B281,Database!$A:$AS,MATCH($L$1,Database!$A$1:$AS$1,),))))-(((VLOOKUP(EDATE(B281,-12),Database!$A:$AS,MATCH($L$1,Database!$A$1:$AS$1,),)))))/(((VLOOKUP(EDATE(B281,-12),Database!$A:$AS,MATCH($L$1,Database!$A$1:$AS$1,),))))</f>
        <v/>
      </c>
      <c r="M281" s="13">
        <f>((((VLOOKUP(B281,Database!$A:$AS,MATCH($M$1,Database!$A$1:$AS$1,),))))-(((VLOOKUP(EDATE(B281,-12),Database!$A:$AS,MATCH($M$1,Database!$A$1:$AS$1,),)))))/(((VLOOKUP(EDATE(B281,-12),Database!$A:$AS,MATCH($M$1,Database!$A$1:$AS$1,),))))</f>
        <v/>
      </c>
      <c r="N281" s="13">
        <f>((((VLOOKUP(B281,Database!$A:$AS,MATCH($N$1,Database!$A$1:$AS$1,),))))-(((VLOOKUP(EDATE(B281,-12),Database!$A:$AS,MATCH($N$1,Database!$A$1:$AS$1,),)))))/(((VLOOKUP(EDATE(B281,-12),Database!$A:$AS,MATCH($N$1,Database!$A$1:$AS$1,),))))</f>
        <v/>
      </c>
      <c r="O281" s="13">
        <f>IF(VLOOKUP(B281,Database!$A:$AV,MATCH($O$1,Database!$A$1:$AV$1,),)=0,"#N/A",((((VLOOKUP(B281,Database!$A:$AS,MATCH($O$1,Database!$A$1:$AS$1,),))))-(((VLOOKUP(EDATE(B281,-12),Database!$A:$AS,MATCH($O$1,Database!$A$1:$AS$1,),)))))/(((VLOOKUP(EDATE(B281,-12),Database!$A:$AS,MATCH($O$1,Database!$A$1:$AS$1,),)))))</f>
        <v/>
      </c>
      <c r="P281" s="13">
        <f>IF(VLOOKUP(B281,Database!$A:$AV,MATCH($P$1,Database!$A$1:$AV$1,),)=0,"#N/A",((((VLOOKUP(B281,Database!$A:$AS,MATCH($P$1,Database!$A$1:$AS$1,),))))-(((VLOOKUP(EDATE(B281,-12),Database!$A:$AS,MATCH($P$1,Database!$A$1:$AS$1,),)))))/(((VLOOKUP(EDATE(B281,-12),Database!$A:$AS,MATCH($P$1,Database!$A$1:$AS$1,),)))))</f>
        <v/>
      </c>
      <c r="Q281" s="13">
        <f>IF(VLOOKUP(B281,Database!$A:$AV,MATCH($Q$1,Database!$A$1:$AV$1,),)=0,"#N/A",((((VLOOKUP(B281,Database!$A:$AS,MATCH($Q$1,Database!$A$1:$AS$1,),))))-(((VLOOKUP(EDATE(B281,-12),Database!$A:$AS,MATCH($Q$1,Database!$A$1:$AS$1,),)))))/(((VLOOKUP(EDATE(B281,-12),Database!$A:$AS,MATCH($Q$1,Database!$A$1:$AS$1,),)))))</f>
        <v/>
      </c>
      <c r="R281" s="13">
        <f>IF(VLOOKUP(B281,Database!$A:$AV,MATCH($R$1,Database!$A$1:$AV$1,),)=0,"#N/A",((((VLOOKUP(B281,Database!$A:$AS,MATCH($R$1,Database!$A$1:$AS$1,),))))-(((VLOOKUP(EDATE(B281,-12),Database!$A:$AS,MATCH($R$1,Database!$A$1:$AS$1,),)))))/(((VLOOKUP(EDATE(B281,-12),Database!$A:$AS,MATCH($R$1,Database!$A$1:$AS$1,),)))))</f>
        <v/>
      </c>
      <c r="S281" s="13">
        <f>IF(VLOOKUP(B281,Database!$A:$AV,MATCH($S$1,Database!$A$1:$AV$1,),)=0,"#N/A",((((VLOOKUP(B281,Database!$A:$AS,MATCH($S$1,Database!$A$1:$AS$1,),))))-(((VLOOKUP(EDATE(B281,-12),Database!$A:$AS,MATCH($S$1,Database!$A$1:$AS$1,),)))))/(((VLOOKUP(EDATE(B281,-12),Database!$A:$AS,MATCH($S$1,Database!$A$1:$AS$1,),)))))</f>
        <v/>
      </c>
      <c r="T281" s="13">
        <f>IF(VLOOKUP(B281,Database!$A:$AV,MATCH($T$1,Database!$A$1:$AV$1,),)=0,"#N/A",((((VLOOKUP(B281,Database!$A:$AS,MATCH($T$1,Database!$A$1:$AS$1,),))))-(((VLOOKUP(EDATE(B281,-12),Database!$A:$AS,MATCH($T$1,Database!$A$1:$AS$1,),)))))/(((VLOOKUP(EDATE(B281,-12),Database!$A:$AS,MATCH($T$1,Database!$A$1:$AS$1,),)))))</f>
        <v/>
      </c>
      <c r="U281" s="13">
        <f>IF(VLOOKUP(B281,Database!$A:$AV,MATCH($U$1,Database!$A$1:$AV$1,),)=0,"#N/A",((((VLOOKUP(B281,Database!$A:$AS,MATCH($U$1,Database!$A$1:$AS$1,),))))-(((VLOOKUP(EDATE(B281,-12),Database!$A:$AS,MATCH($U$1,Database!$A$1:$AS$1,),)))))/(((VLOOKUP(EDATE(B281,-12),Database!$A:$AS,MATCH($U$1,Database!$A$1:$AS$1,),)))))</f>
        <v/>
      </c>
      <c r="V281" s="13">
        <f>IF(VLOOKUP(B281,Database!$A:$AV,MATCH($V$1,Database!$A$1:$AV$1,),)=0,"#N/A",((((VLOOKUP(B281,Database!$A:$AS,MATCH($V$1,Database!$A$1:$AS$1,),))))-(((VLOOKUP(EDATE(B281,-12),Database!$A:$AS,MATCH($V$1,Database!$A$1:$AS$1,),)))))/(((VLOOKUP(EDATE(B281,-12),Database!$A:$AS,MATCH($V$1,Database!$A$1:$AS$1,),)))))</f>
        <v/>
      </c>
    </row>
    <row r="282" customFormat="1" s="86">
      <c r="A282" s="43" t="n"/>
      <c r="B282" s="75" t="n">
        <v>40725</v>
      </c>
      <c r="C282" s="13">
        <f>IF(VLOOKUP(B282,Database!$A:$AU,MATCH($C$1,Database!$A$1:$AU$1,),)=0,"#N/A",((((VLOOKUP(B282,Database!$A:$AU,MATCH($C$1,Database!$A$1:$AU$1,),))))-(((VLOOKUP(EDATE(B282,-12),Database!$A:$AU,MATCH($C$1,Database!$A$1:$AU$1,),)))))/(((VLOOKUP(EDATE(B282,-12),Database!$A:$AU,MATCH($C$1,Database!$A$1:$AU$1,),)))))</f>
        <v/>
      </c>
      <c r="D282" s="13">
        <f>IF(VLOOKUP(B282,Database!$A:$AV,MATCH($D$1,Database!$A$1:$AV$1,),)=0,"#N/A",((((VLOOKUP(B282,Database!$A:$AS,MATCH($D$1,Database!$A$1:$AS$1,),))))-(((VLOOKUP(EDATE(B282,-12),Database!$A:$AS,MATCH($D$1,Database!$A$1:$AS$1,),)))))/(((VLOOKUP(EDATE(B282,-12),Database!$A:$AS,MATCH($D$1,Database!$A$1:$AS$1,),)))))</f>
        <v/>
      </c>
      <c r="E282" s="13">
        <f>IF(VLOOKUP(B282,Database!$A:$AV,MATCH($E$1,Database!$A$1:$AV$1,),)=0,"#N/A",((((VLOOKUP(B282,Database!$A:$AS,MATCH($E$1,Database!$A$1:$AS$1,),))))-(((VLOOKUP(EDATE(B282,-12),Database!$A:$AS,MATCH($E$1,Database!$A$1:$AS$1,),)))))/(((VLOOKUP(EDATE(B282,-12),Database!$A:$AS,MATCH($E$1,Database!$A$1:$AS$1,),)))))</f>
        <v/>
      </c>
      <c r="F282" s="13">
        <f>IF(VLOOKUP(B282,Database!$A:$AV,MATCH($F$1,Database!$A$1:$AV$1,),)=0,"#N/A",((((VLOOKUP(B282,Database!$A:$AS,MATCH($F$1,Database!$A$1:$AS$1,),))))-(((VLOOKUP(EDATE(B282,-12),Database!$A:$AS,MATCH($F$1,Database!$A$1:$AS$1,),)))))/(((VLOOKUP(EDATE(B282,-12),Database!$A:$AS,MATCH($F$1,Database!$A$1:$AS$1,),)))))</f>
        <v/>
      </c>
      <c r="G282" s="13">
        <f>IF(VLOOKUP(B282,Database!$A:$AV,MATCH($G$1,Database!$A$1:$AV$1,),)=0,"#N/A",((((VLOOKUP(B282,Database!$A:$AS,MATCH($G$1,Database!$A$1:$AS$1,),))))-(((VLOOKUP(EDATE(B282,-12),Database!$A:$AS,MATCH($G$1,Database!$A$1:$AS$1,),)))))/(((VLOOKUP(EDATE(B282,-12),Database!$A:$AS,MATCH($G$1,Database!$A$1:$AS$1,),)))))</f>
        <v/>
      </c>
      <c r="H282" s="13">
        <f>IF(VLOOKUP(B282,Database!$A:$AV,MATCH($H$1,Database!$A$1:$AV$1,),)=0,"#N/A",((((VLOOKUP(B282,Database!$A:$AS,MATCH($H$1,Database!$A$1:$AS$1,),))))-(((VLOOKUP(EDATE(B282,-12),Database!$A:$AS,MATCH($H$1,Database!$A$1:$AS$1,),)))))/(((VLOOKUP(EDATE(B282,-12),Database!$A:$AS,MATCH($H$1,Database!$A$1:$AS$1,),)))))</f>
        <v/>
      </c>
      <c r="I282" s="13">
        <f>IF(VLOOKUP(B282,Database!$A:$AV,MATCH($I$1,Database!$A$1:$AV$1,),)=0,"#N/A",((((VLOOKUP(B282,Database!$A:$AS,MATCH($I$1,Database!$A$1:$AS$1,),))))-(((VLOOKUP(EDATE(B282,-12),Database!$A:$AS,MATCH($I$1,Database!$A$1:$AS$1,),)))))/(((VLOOKUP(EDATE(B282,-12),Database!$A:$AS,MATCH($I$1,Database!$A$1:$AS$1,),)))))</f>
        <v/>
      </c>
      <c r="J282" s="13">
        <f>IF(VLOOKUP(B282,Database!$A:$AV,MATCH($J$1,Database!$A$1:$AV$1,),)=0,"#N/A",((((VLOOKUP(B282,Database!$A:$AS,MATCH($J$1,Database!$A$1:$AS$1,),))))-(((VLOOKUP(EDATE(B282,-12),Database!$A:$AS,MATCH($J$1,Database!$A$1:$AS$1,),)))))/(((VLOOKUP(EDATE(B282,-12),Database!$A:$AS,MATCH($J$1,Database!$A$1:$AS$1,),)))))</f>
        <v/>
      </c>
      <c r="K282" s="13">
        <f>IF(VLOOKUP(B282,Database!$A:$AV,MATCH($K$1,Database!$A$1:$AV$1,),)=0,"#N/A",((((VLOOKUP(B282,Database!$A:$AS,MATCH($K$1,Database!$A$1:$AS$1,),))))-(((VLOOKUP(EDATE(B282,-12),Database!$A:$AS,MATCH($K$1,Database!$A$1:$AS$1,),)))))/(((VLOOKUP(EDATE(B282,-12),Database!$A:$AS,MATCH($K$1,Database!$A$1:$AS$1,),)))))</f>
        <v/>
      </c>
      <c r="L282" s="13">
        <f>((((VLOOKUP(B282,Database!$A:$AS,MATCH($L$1,Database!$A$1:$AS$1,),))))-(((VLOOKUP(EDATE(B282,-12),Database!$A:$AS,MATCH($L$1,Database!$A$1:$AS$1,),)))))/(((VLOOKUP(EDATE(B282,-12),Database!$A:$AS,MATCH($L$1,Database!$A$1:$AS$1,),))))</f>
        <v/>
      </c>
      <c r="M282" s="13">
        <f>((((VLOOKUP(B282,Database!$A:$AS,MATCH($M$1,Database!$A$1:$AS$1,),))))-(((VLOOKUP(EDATE(B282,-12),Database!$A:$AS,MATCH($M$1,Database!$A$1:$AS$1,),)))))/(((VLOOKUP(EDATE(B282,-12),Database!$A:$AS,MATCH($M$1,Database!$A$1:$AS$1,),))))</f>
        <v/>
      </c>
      <c r="N282" s="13">
        <f>((((VLOOKUP(B282,Database!$A:$AS,MATCH($N$1,Database!$A$1:$AS$1,),))))-(((VLOOKUP(EDATE(B282,-12),Database!$A:$AS,MATCH($N$1,Database!$A$1:$AS$1,),)))))/(((VLOOKUP(EDATE(B282,-12),Database!$A:$AS,MATCH($N$1,Database!$A$1:$AS$1,),))))</f>
        <v/>
      </c>
      <c r="O282" s="13">
        <f>IF(VLOOKUP(B282,Database!$A:$AV,MATCH($O$1,Database!$A$1:$AV$1,),)=0,"#N/A",((((VLOOKUP(B282,Database!$A:$AS,MATCH($O$1,Database!$A$1:$AS$1,),))))-(((VLOOKUP(EDATE(B282,-12),Database!$A:$AS,MATCH($O$1,Database!$A$1:$AS$1,),)))))/(((VLOOKUP(EDATE(B282,-12),Database!$A:$AS,MATCH($O$1,Database!$A$1:$AS$1,),)))))</f>
        <v/>
      </c>
      <c r="P282" s="13">
        <f>IF(VLOOKUP(B282,Database!$A:$AV,MATCH($P$1,Database!$A$1:$AV$1,),)=0,"#N/A",((((VLOOKUP(B282,Database!$A:$AS,MATCH($P$1,Database!$A$1:$AS$1,),))))-(((VLOOKUP(EDATE(B282,-12),Database!$A:$AS,MATCH($P$1,Database!$A$1:$AS$1,),)))))/(((VLOOKUP(EDATE(B282,-12),Database!$A:$AS,MATCH($P$1,Database!$A$1:$AS$1,),)))))</f>
        <v/>
      </c>
      <c r="Q282" s="13">
        <f>IF(VLOOKUP(B282,Database!$A:$AV,MATCH($Q$1,Database!$A$1:$AV$1,),)=0,"#N/A",((((VLOOKUP(B282,Database!$A:$AS,MATCH($Q$1,Database!$A$1:$AS$1,),))))-(((VLOOKUP(EDATE(B282,-12),Database!$A:$AS,MATCH($Q$1,Database!$A$1:$AS$1,),)))))/(((VLOOKUP(EDATE(B282,-12),Database!$A:$AS,MATCH($Q$1,Database!$A$1:$AS$1,),)))))</f>
        <v/>
      </c>
      <c r="R282" s="13">
        <f>IF(VLOOKUP(B282,Database!$A:$AV,MATCH($R$1,Database!$A$1:$AV$1,),)=0,"#N/A",((((VLOOKUP(B282,Database!$A:$AS,MATCH($R$1,Database!$A$1:$AS$1,),))))-(((VLOOKUP(EDATE(B282,-12),Database!$A:$AS,MATCH($R$1,Database!$A$1:$AS$1,),)))))/(((VLOOKUP(EDATE(B282,-12),Database!$A:$AS,MATCH($R$1,Database!$A$1:$AS$1,),)))))</f>
        <v/>
      </c>
      <c r="S282" s="13">
        <f>IF(VLOOKUP(B282,Database!$A:$AV,MATCH($S$1,Database!$A$1:$AV$1,),)=0,"#N/A",((((VLOOKUP(B282,Database!$A:$AS,MATCH($S$1,Database!$A$1:$AS$1,),))))-(((VLOOKUP(EDATE(B282,-12),Database!$A:$AS,MATCH($S$1,Database!$A$1:$AS$1,),)))))/(((VLOOKUP(EDATE(B282,-12),Database!$A:$AS,MATCH($S$1,Database!$A$1:$AS$1,),)))))</f>
        <v/>
      </c>
      <c r="T282" s="13">
        <f>IF(VLOOKUP(B282,Database!$A:$AV,MATCH($T$1,Database!$A$1:$AV$1,),)=0,"#N/A",((((VLOOKUP(B282,Database!$A:$AS,MATCH($T$1,Database!$A$1:$AS$1,),))))-(((VLOOKUP(EDATE(B282,-12),Database!$A:$AS,MATCH($T$1,Database!$A$1:$AS$1,),)))))/(((VLOOKUP(EDATE(B282,-12),Database!$A:$AS,MATCH($T$1,Database!$A$1:$AS$1,),)))))</f>
        <v/>
      </c>
      <c r="U282" s="13">
        <f>IF(VLOOKUP(B282,Database!$A:$AV,MATCH($U$1,Database!$A$1:$AV$1,),)=0,"#N/A",((((VLOOKUP(B282,Database!$A:$AS,MATCH($U$1,Database!$A$1:$AS$1,),))))-(((VLOOKUP(EDATE(B282,-12),Database!$A:$AS,MATCH($U$1,Database!$A$1:$AS$1,),)))))/(((VLOOKUP(EDATE(B282,-12),Database!$A:$AS,MATCH($U$1,Database!$A$1:$AS$1,),)))))</f>
        <v/>
      </c>
      <c r="V282" s="13">
        <f>IF(VLOOKUP(B282,Database!$A:$AV,MATCH($V$1,Database!$A$1:$AV$1,),)=0,"#N/A",((((VLOOKUP(B282,Database!$A:$AS,MATCH($V$1,Database!$A$1:$AS$1,),))))-(((VLOOKUP(EDATE(B282,-12),Database!$A:$AS,MATCH($V$1,Database!$A$1:$AS$1,),)))))/(((VLOOKUP(EDATE(B282,-12),Database!$A:$AS,MATCH($V$1,Database!$A$1:$AS$1,),)))))</f>
        <v/>
      </c>
    </row>
    <row r="283" customFormat="1" s="86">
      <c r="A283" s="43" t="n"/>
      <c r="B283" s="75" t="n">
        <v>40756</v>
      </c>
      <c r="C283" s="13">
        <f>IF(VLOOKUP(B283,Database!$A:$AU,MATCH($C$1,Database!$A$1:$AU$1,),)=0,"#N/A",((((VLOOKUP(B283,Database!$A:$AU,MATCH($C$1,Database!$A$1:$AU$1,),))))-(((VLOOKUP(EDATE(B283,-12),Database!$A:$AU,MATCH($C$1,Database!$A$1:$AU$1,),)))))/(((VLOOKUP(EDATE(B283,-12),Database!$A:$AU,MATCH($C$1,Database!$A$1:$AU$1,),)))))</f>
        <v/>
      </c>
      <c r="D283" s="13">
        <f>IF(VLOOKUP(B283,Database!$A:$AV,MATCH($D$1,Database!$A$1:$AV$1,),)=0,"#N/A",((((VLOOKUP(B283,Database!$A:$AS,MATCH($D$1,Database!$A$1:$AS$1,),))))-(((VLOOKUP(EDATE(B283,-12),Database!$A:$AS,MATCH($D$1,Database!$A$1:$AS$1,),)))))/(((VLOOKUP(EDATE(B283,-12),Database!$A:$AS,MATCH($D$1,Database!$A$1:$AS$1,),)))))</f>
        <v/>
      </c>
      <c r="E283" s="13">
        <f>IF(VLOOKUP(B283,Database!$A:$AV,MATCH($E$1,Database!$A$1:$AV$1,),)=0,"#N/A",((((VLOOKUP(B283,Database!$A:$AS,MATCH($E$1,Database!$A$1:$AS$1,),))))-(((VLOOKUP(EDATE(B283,-12),Database!$A:$AS,MATCH($E$1,Database!$A$1:$AS$1,),)))))/(((VLOOKUP(EDATE(B283,-12),Database!$A:$AS,MATCH($E$1,Database!$A$1:$AS$1,),)))))</f>
        <v/>
      </c>
      <c r="F283" s="13">
        <f>IF(VLOOKUP(B283,Database!$A:$AV,MATCH($F$1,Database!$A$1:$AV$1,),)=0,"#N/A",((((VLOOKUP(B283,Database!$A:$AS,MATCH($F$1,Database!$A$1:$AS$1,),))))-(((VLOOKUP(EDATE(B283,-12),Database!$A:$AS,MATCH($F$1,Database!$A$1:$AS$1,),)))))/(((VLOOKUP(EDATE(B283,-12),Database!$A:$AS,MATCH($F$1,Database!$A$1:$AS$1,),)))))</f>
        <v/>
      </c>
      <c r="G283" s="13">
        <f>IF(VLOOKUP(B283,Database!$A:$AV,MATCH($G$1,Database!$A$1:$AV$1,),)=0,"#N/A",((((VLOOKUP(B283,Database!$A:$AS,MATCH($G$1,Database!$A$1:$AS$1,),))))-(((VLOOKUP(EDATE(B283,-12),Database!$A:$AS,MATCH($G$1,Database!$A$1:$AS$1,),)))))/(((VLOOKUP(EDATE(B283,-12),Database!$A:$AS,MATCH($G$1,Database!$A$1:$AS$1,),)))))</f>
        <v/>
      </c>
      <c r="H283" s="13">
        <f>IF(VLOOKUP(B283,Database!$A:$AV,MATCH($H$1,Database!$A$1:$AV$1,),)=0,"#N/A",((((VLOOKUP(B283,Database!$A:$AS,MATCH($H$1,Database!$A$1:$AS$1,),))))-(((VLOOKUP(EDATE(B283,-12),Database!$A:$AS,MATCH($H$1,Database!$A$1:$AS$1,),)))))/(((VLOOKUP(EDATE(B283,-12),Database!$A:$AS,MATCH($H$1,Database!$A$1:$AS$1,),)))))</f>
        <v/>
      </c>
      <c r="I283" s="13">
        <f>IF(VLOOKUP(B283,Database!$A:$AV,MATCH($I$1,Database!$A$1:$AV$1,),)=0,"#N/A",((((VLOOKUP(B283,Database!$A:$AS,MATCH($I$1,Database!$A$1:$AS$1,),))))-(((VLOOKUP(EDATE(B283,-12),Database!$A:$AS,MATCH($I$1,Database!$A$1:$AS$1,),)))))/(((VLOOKUP(EDATE(B283,-12),Database!$A:$AS,MATCH($I$1,Database!$A$1:$AS$1,),)))))</f>
        <v/>
      </c>
      <c r="J283" s="13">
        <f>IF(VLOOKUP(B283,Database!$A:$AV,MATCH($J$1,Database!$A$1:$AV$1,),)=0,"#N/A",((((VLOOKUP(B283,Database!$A:$AS,MATCH($J$1,Database!$A$1:$AS$1,),))))-(((VLOOKUP(EDATE(B283,-12),Database!$A:$AS,MATCH($J$1,Database!$A$1:$AS$1,),)))))/(((VLOOKUP(EDATE(B283,-12),Database!$A:$AS,MATCH($J$1,Database!$A$1:$AS$1,),)))))</f>
        <v/>
      </c>
      <c r="K283" s="13">
        <f>IF(VLOOKUP(B283,Database!$A:$AV,MATCH($K$1,Database!$A$1:$AV$1,),)=0,"#N/A",((((VLOOKUP(B283,Database!$A:$AS,MATCH($K$1,Database!$A$1:$AS$1,),))))-(((VLOOKUP(EDATE(B283,-12),Database!$A:$AS,MATCH($K$1,Database!$A$1:$AS$1,),)))))/(((VLOOKUP(EDATE(B283,-12),Database!$A:$AS,MATCH($K$1,Database!$A$1:$AS$1,),)))))</f>
        <v/>
      </c>
      <c r="L283" s="13">
        <f>((((VLOOKUP(B283,Database!$A:$AS,MATCH($L$1,Database!$A$1:$AS$1,),))))-(((VLOOKUP(EDATE(B283,-12),Database!$A:$AS,MATCH($L$1,Database!$A$1:$AS$1,),)))))/(((VLOOKUP(EDATE(B283,-12),Database!$A:$AS,MATCH($L$1,Database!$A$1:$AS$1,),))))</f>
        <v/>
      </c>
      <c r="M283" s="13">
        <f>((((VLOOKUP(B283,Database!$A:$AS,MATCH($M$1,Database!$A$1:$AS$1,),))))-(((VLOOKUP(EDATE(B283,-12),Database!$A:$AS,MATCH($M$1,Database!$A$1:$AS$1,),)))))/(((VLOOKUP(EDATE(B283,-12),Database!$A:$AS,MATCH($M$1,Database!$A$1:$AS$1,),))))</f>
        <v/>
      </c>
      <c r="N283" s="13">
        <f>((((VLOOKUP(B283,Database!$A:$AS,MATCH($N$1,Database!$A$1:$AS$1,),))))-(((VLOOKUP(EDATE(B283,-12),Database!$A:$AS,MATCH($N$1,Database!$A$1:$AS$1,),)))))/(((VLOOKUP(EDATE(B283,-12),Database!$A:$AS,MATCH($N$1,Database!$A$1:$AS$1,),))))</f>
        <v/>
      </c>
      <c r="O283" s="13">
        <f>IF(VLOOKUP(B283,Database!$A:$AV,MATCH($O$1,Database!$A$1:$AV$1,),)=0,"#N/A",((((VLOOKUP(B283,Database!$A:$AS,MATCH($O$1,Database!$A$1:$AS$1,),))))-(((VLOOKUP(EDATE(B283,-12),Database!$A:$AS,MATCH($O$1,Database!$A$1:$AS$1,),)))))/(((VLOOKUP(EDATE(B283,-12),Database!$A:$AS,MATCH($O$1,Database!$A$1:$AS$1,),)))))</f>
        <v/>
      </c>
      <c r="P283" s="13">
        <f>IF(VLOOKUP(B283,Database!$A:$AV,MATCH($P$1,Database!$A$1:$AV$1,),)=0,"#N/A",((((VLOOKUP(B283,Database!$A:$AS,MATCH($P$1,Database!$A$1:$AS$1,),))))-(((VLOOKUP(EDATE(B283,-12),Database!$A:$AS,MATCH($P$1,Database!$A$1:$AS$1,),)))))/(((VLOOKUP(EDATE(B283,-12),Database!$A:$AS,MATCH($P$1,Database!$A$1:$AS$1,),)))))</f>
        <v/>
      </c>
      <c r="Q283" s="13">
        <f>IF(VLOOKUP(B283,Database!$A:$AV,MATCH($Q$1,Database!$A$1:$AV$1,),)=0,"#N/A",((((VLOOKUP(B283,Database!$A:$AS,MATCH($Q$1,Database!$A$1:$AS$1,),))))-(((VLOOKUP(EDATE(B283,-12),Database!$A:$AS,MATCH($Q$1,Database!$A$1:$AS$1,),)))))/(((VLOOKUP(EDATE(B283,-12),Database!$A:$AS,MATCH($Q$1,Database!$A$1:$AS$1,),)))))</f>
        <v/>
      </c>
      <c r="R283" s="13">
        <f>IF(VLOOKUP(B283,Database!$A:$AV,MATCH($R$1,Database!$A$1:$AV$1,),)=0,"#N/A",((((VLOOKUP(B283,Database!$A:$AS,MATCH($R$1,Database!$A$1:$AS$1,),))))-(((VLOOKUP(EDATE(B283,-12),Database!$A:$AS,MATCH($R$1,Database!$A$1:$AS$1,),)))))/(((VLOOKUP(EDATE(B283,-12),Database!$A:$AS,MATCH($R$1,Database!$A$1:$AS$1,),)))))</f>
        <v/>
      </c>
      <c r="S283" s="13">
        <f>IF(VLOOKUP(B283,Database!$A:$AV,MATCH($S$1,Database!$A$1:$AV$1,),)=0,"#N/A",((((VLOOKUP(B283,Database!$A:$AS,MATCH($S$1,Database!$A$1:$AS$1,),))))-(((VLOOKUP(EDATE(B283,-12),Database!$A:$AS,MATCH($S$1,Database!$A$1:$AS$1,),)))))/(((VLOOKUP(EDATE(B283,-12),Database!$A:$AS,MATCH($S$1,Database!$A$1:$AS$1,),)))))</f>
        <v/>
      </c>
      <c r="T283" s="13">
        <f>IF(VLOOKUP(B283,Database!$A:$AV,MATCH($T$1,Database!$A$1:$AV$1,),)=0,"#N/A",((((VLOOKUP(B283,Database!$A:$AS,MATCH($T$1,Database!$A$1:$AS$1,),))))-(((VLOOKUP(EDATE(B283,-12),Database!$A:$AS,MATCH($T$1,Database!$A$1:$AS$1,),)))))/(((VLOOKUP(EDATE(B283,-12),Database!$A:$AS,MATCH($T$1,Database!$A$1:$AS$1,),)))))</f>
        <v/>
      </c>
      <c r="U283" s="13">
        <f>IF(VLOOKUP(B283,Database!$A:$AV,MATCH($U$1,Database!$A$1:$AV$1,),)=0,"#N/A",((((VLOOKUP(B283,Database!$A:$AS,MATCH($U$1,Database!$A$1:$AS$1,),))))-(((VLOOKUP(EDATE(B283,-12),Database!$A:$AS,MATCH($U$1,Database!$A$1:$AS$1,),)))))/(((VLOOKUP(EDATE(B283,-12),Database!$A:$AS,MATCH($U$1,Database!$A$1:$AS$1,),)))))</f>
        <v/>
      </c>
      <c r="V283" s="13">
        <f>IF(VLOOKUP(B283,Database!$A:$AV,MATCH($V$1,Database!$A$1:$AV$1,),)=0,"#N/A",((((VLOOKUP(B283,Database!$A:$AS,MATCH($V$1,Database!$A$1:$AS$1,),))))-(((VLOOKUP(EDATE(B283,-12),Database!$A:$AS,MATCH($V$1,Database!$A$1:$AS$1,),)))))/(((VLOOKUP(EDATE(B283,-12),Database!$A:$AS,MATCH($V$1,Database!$A$1:$AS$1,),)))))</f>
        <v/>
      </c>
    </row>
    <row r="284" customFormat="1" s="86">
      <c r="A284" s="43" t="n"/>
      <c r="B284" s="75" t="n">
        <v>40787</v>
      </c>
      <c r="C284" s="13">
        <f>IF(VLOOKUP(B284,Database!$A:$AU,MATCH($C$1,Database!$A$1:$AU$1,),)=0,"#N/A",((((VLOOKUP(B284,Database!$A:$AU,MATCH($C$1,Database!$A$1:$AU$1,),))))-(((VLOOKUP(EDATE(B284,-12),Database!$A:$AU,MATCH($C$1,Database!$A$1:$AU$1,),)))))/(((VLOOKUP(EDATE(B284,-12),Database!$A:$AU,MATCH($C$1,Database!$A$1:$AU$1,),)))))</f>
        <v/>
      </c>
      <c r="D284" s="13">
        <f>IF(VLOOKUP(B284,Database!$A:$AV,MATCH($D$1,Database!$A$1:$AV$1,),)=0,"#N/A",((((VLOOKUP(B284,Database!$A:$AS,MATCH($D$1,Database!$A$1:$AS$1,),))))-(((VLOOKUP(EDATE(B284,-12),Database!$A:$AS,MATCH($D$1,Database!$A$1:$AS$1,),)))))/(((VLOOKUP(EDATE(B284,-12),Database!$A:$AS,MATCH($D$1,Database!$A$1:$AS$1,),)))))</f>
        <v/>
      </c>
      <c r="E284" s="13">
        <f>IF(VLOOKUP(B284,Database!$A:$AV,MATCH($E$1,Database!$A$1:$AV$1,),)=0,"#N/A",((((VLOOKUP(B284,Database!$A:$AS,MATCH($E$1,Database!$A$1:$AS$1,),))))-(((VLOOKUP(EDATE(B284,-12),Database!$A:$AS,MATCH($E$1,Database!$A$1:$AS$1,),)))))/(((VLOOKUP(EDATE(B284,-12),Database!$A:$AS,MATCH($E$1,Database!$A$1:$AS$1,),)))))</f>
        <v/>
      </c>
      <c r="F284" s="13">
        <f>IF(VLOOKUP(B284,Database!$A:$AV,MATCH($F$1,Database!$A$1:$AV$1,),)=0,"#N/A",((((VLOOKUP(B284,Database!$A:$AS,MATCH($F$1,Database!$A$1:$AS$1,),))))-(((VLOOKUP(EDATE(B284,-12),Database!$A:$AS,MATCH($F$1,Database!$A$1:$AS$1,),)))))/(((VLOOKUP(EDATE(B284,-12),Database!$A:$AS,MATCH($F$1,Database!$A$1:$AS$1,),)))))</f>
        <v/>
      </c>
      <c r="G284" s="13">
        <f>IF(VLOOKUP(B284,Database!$A:$AV,MATCH($G$1,Database!$A$1:$AV$1,),)=0,"#N/A",((((VLOOKUP(B284,Database!$A:$AS,MATCH($G$1,Database!$A$1:$AS$1,),))))-(((VLOOKUP(EDATE(B284,-12),Database!$A:$AS,MATCH($G$1,Database!$A$1:$AS$1,),)))))/(((VLOOKUP(EDATE(B284,-12),Database!$A:$AS,MATCH($G$1,Database!$A$1:$AS$1,),)))))</f>
        <v/>
      </c>
      <c r="H284" s="13">
        <f>IF(VLOOKUP(B284,Database!$A:$AV,MATCH($H$1,Database!$A$1:$AV$1,),)=0,"#N/A",((((VLOOKUP(B284,Database!$A:$AS,MATCH($H$1,Database!$A$1:$AS$1,),))))-(((VLOOKUP(EDATE(B284,-12),Database!$A:$AS,MATCH($H$1,Database!$A$1:$AS$1,),)))))/(((VLOOKUP(EDATE(B284,-12),Database!$A:$AS,MATCH($H$1,Database!$A$1:$AS$1,),)))))</f>
        <v/>
      </c>
      <c r="I284" s="13">
        <f>IF(VLOOKUP(B284,Database!$A:$AV,MATCH($I$1,Database!$A$1:$AV$1,),)=0,"#N/A",((((VLOOKUP(B284,Database!$A:$AS,MATCH($I$1,Database!$A$1:$AS$1,),))))-(((VLOOKUP(EDATE(B284,-12),Database!$A:$AS,MATCH($I$1,Database!$A$1:$AS$1,),)))))/(((VLOOKUP(EDATE(B284,-12),Database!$A:$AS,MATCH($I$1,Database!$A$1:$AS$1,),)))))</f>
        <v/>
      </c>
      <c r="J284" s="13">
        <f>IF(VLOOKUP(B284,Database!$A:$AV,MATCH($J$1,Database!$A$1:$AV$1,),)=0,"#N/A",((((VLOOKUP(B284,Database!$A:$AS,MATCH($J$1,Database!$A$1:$AS$1,),))))-(((VLOOKUP(EDATE(B284,-12),Database!$A:$AS,MATCH($J$1,Database!$A$1:$AS$1,),)))))/(((VLOOKUP(EDATE(B284,-12),Database!$A:$AS,MATCH($J$1,Database!$A$1:$AS$1,),)))))</f>
        <v/>
      </c>
      <c r="K284" s="13">
        <f>IF(VLOOKUP(B284,Database!$A:$AV,MATCH($K$1,Database!$A$1:$AV$1,),)=0,"#N/A",((((VLOOKUP(B284,Database!$A:$AS,MATCH($K$1,Database!$A$1:$AS$1,),))))-(((VLOOKUP(EDATE(B284,-12),Database!$A:$AS,MATCH($K$1,Database!$A$1:$AS$1,),)))))/(((VLOOKUP(EDATE(B284,-12),Database!$A:$AS,MATCH($K$1,Database!$A$1:$AS$1,),)))))</f>
        <v/>
      </c>
      <c r="L284" s="13">
        <f>((((VLOOKUP(B284,Database!$A:$AS,MATCH($L$1,Database!$A$1:$AS$1,),))))-(((VLOOKUP(EDATE(B284,-12),Database!$A:$AS,MATCH($L$1,Database!$A$1:$AS$1,),)))))/(((VLOOKUP(EDATE(B284,-12),Database!$A:$AS,MATCH($L$1,Database!$A$1:$AS$1,),))))</f>
        <v/>
      </c>
      <c r="M284" s="13">
        <f>((((VLOOKUP(B284,Database!$A:$AS,MATCH($M$1,Database!$A$1:$AS$1,),))))-(((VLOOKUP(EDATE(B284,-12),Database!$A:$AS,MATCH($M$1,Database!$A$1:$AS$1,),)))))/(((VLOOKUP(EDATE(B284,-12),Database!$A:$AS,MATCH($M$1,Database!$A$1:$AS$1,),))))</f>
        <v/>
      </c>
      <c r="N284" s="13">
        <f>((((VLOOKUP(B284,Database!$A:$AS,MATCH($N$1,Database!$A$1:$AS$1,),))))-(((VLOOKUP(EDATE(B284,-12),Database!$A:$AS,MATCH($N$1,Database!$A$1:$AS$1,),)))))/(((VLOOKUP(EDATE(B284,-12),Database!$A:$AS,MATCH($N$1,Database!$A$1:$AS$1,),))))</f>
        <v/>
      </c>
      <c r="O284" s="13">
        <f>IF(VLOOKUP(B284,Database!$A:$AV,MATCH($O$1,Database!$A$1:$AV$1,),)=0,"#N/A",((((VLOOKUP(B284,Database!$A:$AS,MATCH($O$1,Database!$A$1:$AS$1,),))))-(((VLOOKUP(EDATE(B284,-12),Database!$A:$AS,MATCH($O$1,Database!$A$1:$AS$1,),)))))/(((VLOOKUP(EDATE(B284,-12),Database!$A:$AS,MATCH($O$1,Database!$A$1:$AS$1,),)))))</f>
        <v/>
      </c>
      <c r="P284" s="13">
        <f>IF(VLOOKUP(B284,Database!$A:$AV,MATCH($P$1,Database!$A$1:$AV$1,),)=0,"#N/A",((((VLOOKUP(B284,Database!$A:$AS,MATCH($P$1,Database!$A$1:$AS$1,),))))-(((VLOOKUP(EDATE(B284,-12),Database!$A:$AS,MATCH($P$1,Database!$A$1:$AS$1,),)))))/(((VLOOKUP(EDATE(B284,-12),Database!$A:$AS,MATCH($P$1,Database!$A$1:$AS$1,),)))))</f>
        <v/>
      </c>
      <c r="Q284" s="13">
        <f>IF(VLOOKUP(B284,Database!$A:$AV,MATCH($Q$1,Database!$A$1:$AV$1,),)=0,"#N/A",((((VLOOKUP(B284,Database!$A:$AS,MATCH($Q$1,Database!$A$1:$AS$1,),))))-(((VLOOKUP(EDATE(B284,-12),Database!$A:$AS,MATCH($Q$1,Database!$A$1:$AS$1,),)))))/(((VLOOKUP(EDATE(B284,-12),Database!$A:$AS,MATCH($Q$1,Database!$A$1:$AS$1,),)))))</f>
        <v/>
      </c>
      <c r="R284" s="13">
        <f>IF(VLOOKUP(B284,Database!$A:$AV,MATCH($R$1,Database!$A$1:$AV$1,),)=0,"#N/A",((((VLOOKUP(B284,Database!$A:$AS,MATCH($R$1,Database!$A$1:$AS$1,),))))-(((VLOOKUP(EDATE(B284,-12),Database!$A:$AS,MATCH($R$1,Database!$A$1:$AS$1,),)))))/(((VLOOKUP(EDATE(B284,-12),Database!$A:$AS,MATCH($R$1,Database!$A$1:$AS$1,),)))))</f>
        <v/>
      </c>
      <c r="S284" s="13">
        <f>IF(VLOOKUP(B284,Database!$A:$AV,MATCH($S$1,Database!$A$1:$AV$1,),)=0,"#N/A",((((VLOOKUP(B284,Database!$A:$AS,MATCH($S$1,Database!$A$1:$AS$1,),))))-(((VLOOKUP(EDATE(B284,-12),Database!$A:$AS,MATCH($S$1,Database!$A$1:$AS$1,),)))))/(((VLOOKUP(EDATE(B284,-12),Database!$A:$AS,MATCH($S$1,Database!$A$1:$AS$1,),)))))</f>
        <v/>
      </c>
      <c r="T284" s="13">
        <f>IF(VLOOKUP(B284,Database!$A:$AV,MATCH($T$1,Database!$A$1:$AV$1,),)=0,"#N/A",((((VLOOKUP(B284,Database!$A:$AS,MATCH($T$1,Database!$A$1:$AS$1,),))))-(((VLOOKUP(EDATE(B284,-12),Database!$A:$AS,MATCH($T$1,Database!$A$1:$AS$1,),)))))/(((VLOOKUP(EDATE(B284,-12),Database!$A:$AS,MATCH($T$1,Database!$A$1:$AS$1,),)))))</f>
        <v/>
      </c>
      <c r="U284" s="13">
        <f>IF(VLOOKUP(B284,Database!$A:$AV,MATCH($U$1,Database!$A$1:$AV$1,),)=0,"#N/A",((((VLOOKUP(B284,Database!$A:$AS,MATCH($U$1,Database!$A$1:$AS$1,),))))-(((VLOOKUP(EDATE(B284,-12),Database!$A:$AS,MATCH($U$1,Database!$A$1:$AS$1,),)))))/(((VLOOKUP(EDATE(B284,-12),Database!$A:$AS,MATCH($U$1,Database!$A$1:$AS$1,),)))))</f>
        <v/>
      </c>
      <c r="V284" s="13">
        <f>IF(VLOOKUP(B284,Database!$A:$AV,MATCH($V$1,Database!$A$1:$AV$1,),)=0,"#N/A",((((VLOOKUP(B284,Database!$A:$AS,MATCH($V$1,Database!$A$1:$AS$1,),))))-(((VLOOKUP(EDATE(B284,-12),Database!$A:$AS,MATCH($V$1,Database!$A$1:$AS$1,),)))))/(((VLOOKUP(EDATE(B284,-12),Database!$A:$AS,MATCH($V$1,Database!$A$1:$AS$1,),)))))</f>
        <v/>
      </c>
    </row>
    <row r="285" customFormat="1" s="86">
      <c r="A285" s="43" t="n"/>
      <c r="B285" s="75" t="n">
        <v>40817</v>
      </c>
      <c r="C285" s="13">
        <f>IF(VLOOKUP(B285,Database!$A:$AU,MATCH($C$1,Database!$A$1:$AU$1,),)=0,"#N/A",((((VLOOKUP(B285,Database!$A:$AU,MATCH($C$1,Database!$A$1:$AU$1,),))))-(((VLOOKUP(EDATE(B285,-12),Database!$A:$AU,MATCH($C$1,Database!$A$1:$AU$1,),)))))/(((VLOOKUP(EDATE(B285,-12),Database!$A:$AU,MATCH($C$1,Database!$A$1:$AU$1,),)))))</f>
        <v/>
      </c>
      <c r="D285" s="13">
        <f>IF(VLOOKUP(B285,Database!$A:$AV,MATCH($D$1,Database!$A$1:$AV$1,),)=0,"#N/A",((((VLOOKUP(B285,Database!$A:$AS,MATCH($D$1,Database!$A$1:$AS$1,),))))-(((VLOOKUP(EDATE(B285,-12),Database!$A:$AS,MATCH($D$1,Database!$A$1:$AS$1,),)))))/(((VLOOKUP(EDATE(B285,-12),Database!$A:$AS,MATCH($D$1,Database!$A$1:$AS$1,),)))))</f>
        <v/>
      </c>
      <c r="E285" s="13">
        <f>IF(VLOOKUP(B285,Database!$A:$AV,MATCH($E$1,Database!$A$1:$AV$1,),)=0,"#N/A",((((VLOOKUP(B285,Database!$A:$AS,MATCH($E$1,Database!$A$1:$AS$1,),))))-(((VLOOKUP(EDATE(B285,-12),Database!$A:$AS,MATCH($E$1,Database!$A$1:$AS$1,),)))))/(((VLOOKUP(EDATE(B285,-12),Database!$A:$AS,MATCH($E$1,Database!$A$1:$AS$1,),)))))</f>
        <v/>
      </c>
      <c r="F285" s="13">
        <f>IF(VLOOKUP(B285,Database!$A:$AV,MATCH($F$1,Database!$A$1:$AV$1,),)=0,"#N/A",((((VLOOKUP(B285,Database!$A:$AS,MATCH($F$1,Database!$A$1:$AS$1,),))))-(((VLOOKUP(EDATE(B285,-12),Database!$A:$AS,MATCH($F$1,Database!$A$1:$AS$1,),)))))/(((VLOOKUP(EDATE(B285,-12),Database!$A:$AS,MATCH($F$1,Database!$A$1:$AS$1,),)))))</f>
        <v/>
      </c>
      <c r="G285" s="13">
        <f>IF(VLOOKUP(B285,Database!$A:$AV,MATCH($G$1,Database!$A$1:$AV$1,),)=0,"#N/A",((((VLOOKUP(B285,Database!$A:$AS,MATCH($G$1,Database!$A$1:$AS$1,),))))-(((VLOOKUP(EDATE(B285,-12),Database!$A:$AS,MATCH($G$1,Database!$A$1:$AS$1,),)))))/(((VLOOKUP(EDATE(B285,-12),Database!$A:$AS,MATCH($G$1,Database!$A$1:$AS$1,),)))))</f>
        <v/>
      </c>
      <c r="H285" s="13">
        <f>IF(VLOOKUP(B285,Database!$A:$AV,MATCH($H$1,Database!$A$1:$AV$1,),)=0,"#N/A",((((VLOOKUP(B285,Database!$A:$AS,MATCH($H$1,Database!$A$1:$AS$1,),))))-(((VLOOKUP(EDATE(B285,-12),Database!$A:$AS,MATCH($H$1,Database!$A$1:$AS$1,),)))))/(((VLOOKUP(EDATE(B285,-12),Database!$A:$AS,MATCH($H$1,Database!$A$1:$AS$1,),)))))</f>
        <v/>
      </c>
      <c r="I285" s="13">
        <f>IF(VLOOKUP(B285,Database!$A:$AV,MATCH($I$1,Database!$A$1:$AV$1,),)=0,"#N/A",((((VLOOKUP(B285,Database!$A:$AS,MATCH($I$1,Database!$A$1:$AS$1,),))))-(((VLOOKUP(EDATE(B285,-12),Database!$A:$AS,MATCH($I$1,Database!$A$1:$AS$1,),)))))/(((VLOOKUP(EDATE(B285,-12),Database!$A:$AS,MATCH($I$1,Database!$A$1:$AS$1,),)))))</f>
        <v/>
      </c>
      <c r="J285" s="13">
        <f>IF(VLOOKUP(B285,Database!$A:$AV,MATCH($J$1,Database!$A$1:$AV$1,),)=0,"#N/A",((((VLOOKUP(B285,Database!$A:$AS,MATCH($J$1,Database!$A$1:$AS$1,),))))-(((VLOOKUP(EDATE(B285,-12),Database!$A:$AS,MATCH($J$1,Database!$A$1:$AS$1,),)))))/(((VLOOKUP(EDATE(B285,-12),Database!$A:$AS,MATCH($J$1,Database!$A$1:$AS$1,),)))))</f>
        <v/>
      </c>
      <c r="K285" s="13">
        <f>IF(VLOOKUP(B285,Database!$A:$AV,MATCH($K$1,Database!$A$1:$AV$1,),)=0,"#N/A",((((VLOOKUP(B285,Database!$A:$AS,MATCH($K$1,Database!$A$1:$AS$1,),))))-(((VLOOKUP(EDATE(B285,-12),Database!$A:$AS,MATCH($K$1,Database!$A$1:$AS$1,),)))))/(((VLOOKUP(EDATE(B285,-12),Database!$A:$AS,MATCH($K$1,Database!$A$1:$AS$1,),)))))</f>
        <v/>
      </c>
      <c r="L285" s="13">
        <f>((((VLOOKUP(B285,Database!$A:$AS,MATCH($L$1,Database!$A$1:$AS$1,),))))-(((VLOOKUP(EDATE(B285,-12),Database!$A:$AS,MATCH($L$1,Database!$A$1:$AS$1,),)))))/(((VLOOKUP(EDATE(B285,-12),Database!$A:$AS,MATCH($L$1,Database!$A$1:$AS$1,),))))</f>
        <v/>
      </c>
      <c r="M285" s="13">
        <f>((((VLOOKUP(B285,Database!$A:$AS,MATCH($M$1,Database!$A$1:$AS$1,),))))-(((VLOOKUP(EDATE(B285,-12),Database!$A:$AS,MATCH($M$1,Database!$A$1:$AS$1,),)))))/(((VLOOKUP(EDATE(B285,-12),Database!$A:$AS,MATCH($M$1,Database!$A$1:$AS$1,),))))</f>
        <v/>
      </c>
      <c r="N285" s="13">
        <f>((((VLOOKUP(B285,Database!$A:$AS,MATCH($N$1,Database!$A$1:$AS$1,),))))-(((VLOOKUP(EDATE(B285,-12),Database!$A:$AS,MATCH($N$1,Database!$A$1:$AS$1,),)))))/(((VLOOKUP(EDATE(B285,-12),Database!$A:$AS,MATCH($N$1,Database!$A$1:$AS$1,),))))</f>
        <v/>
      </c>
      <c r="O285" s="13">
        <f>IF(VLOOKUP(B285,Database!$A:$AV,MATCH($O$1,Database!$A$1:$AV$1,),)=0,"#N/A",((((VLOOKUP(B285,Database!$A:$AS,MATCH($O$1,Database!$A$1:$AS$1,),))))-(((VLOOKUP(EDATE(B285,-12),Database!$A:$AS,MATCH($O$1,Database!$A$1:$AS$1,),)))))/(((VLOOKUP(EDATE(B285,-12),Database!$A:$AS,MATCH($O$1,Database!$A$1:$AS$1,),)))))</f>
        <v/>
      </c>
      <c r="P285" s="13">
        <f>IF(VLOOKUP(B285,Database!$A:$AV,MATCH($P$1,Database!$A$1:$AV$1,),)=0,"#N/A",((((VLOOKUP(B285,Database!$A:$AS,MATCH($P$1,Database!$A$1:$AS$1,),))))-(((VLOOKUP(EDATE(B285,-12),Database!$A:$AS,MATCH($P$1,Database!$A$1:$AS$1,),)))))/(((VLOOKUP(EDATE(B285,-12),Database!$A:$AS,MATCH($P$1,Database!$A$1:$AS$1,),)))))</f>
        <v/>
      </c>
      <c r="Q285" s="13">
        <f>IF(VLOOKUP(B285,Database!$A:$AV,MATCH($Q$1,Database!$A$1:$AV$1,),)=0,"#N/A",((((VLOOKUP(B285,Database!$A:$AS,MATCH($Q$1,Database!$A$1:$AS$1,),))))-(((VLOOKUP(EDATE(B285,-12),Database!$A:$AS,MATCH($Q$1,Database!$A$1:$AS$1,),)))))/(((VLOOKUP(EDATE(B285,-12),Database!$A:$AS,MATCH($Q$1,Database!$A$1:$AS$1,),)))))</f>
        <v/>
      </c>
      <c r="R285" s="13">
        <f>IF(VLOOKUP(B285,Database!$A:$AV,MATCH($R$1,Database!$A$1:$AV$1,),)=0,"#N/A",((((VLOOKUP(B285,Database!$A:$AS,MATCH($R$1,Database!$A$1:$AS$1,),))))-(((VLOOKUP(EDATE(B285,-12),Database!$A:$AS,MATCH($R$1,Database!$A$1:$AS$1,),)))))/(((VLOOKUP(EDATE(B285,-12),Database!$A:$AS,MATCH($R$1,Database!$A$1:$AS$1,),)))))</f>
        <v/>
      </c>
      <c r="S285" s="13">
        <f>IF(VLOOKUP(B285,Database!$A:$AV,MATCH($S$1,Database!$A$1:$AV$1,),)=0,"#N/A",((((VLOOKUP(B285,Database!$A:$AS,MATCH($S$1,Database!$A$1:$AS$1,),))))-(((VLOOKUP(EDATE(B285,-12),Database!$A:$AS,MATCH($S$1,Database!$A$1:$AS$1,),)))))/(((VLOOKUP(EDATE(B285,-12),Database!$A:$AS,MATCH($S$1,Database!$A$1:$AS$1,),)))))</f>
        <v/>
      </c>
      <c r="T285" s="13">
        <f>IF(VLOOKUP(B285,Database!$A:$AV,MATCH($T$1,Database!$A$1:$AV$1,),)=0,"#N/A",((((VLOOKUP(B285,Database!$A:$AS,MATCH($T$1,Database!$A$1:$AS$1,),))))-(((VLOOKUP(EDATE(B285,-12),Database!$A:$AS,MATCH($T$1,Database!$A$1:$AS$1,),)))))/(((VLOOKUP(EDATE(B285,-12),Database!$A:$AS,MATCH($T$1,Database!$A$1:$AS$1,),)))))</f>
        <v/>
      </c>
      <c r="U285" s="13">
        <f>IF(VLOOKUP(B285,Database!$A:$AV,MATCH($U$1,Database!$A$1:$AV$1,),)=0,"#N/A",((((VLOOKUP(B285,Database!$A:$AS,MATCH($U$1,Database!$A$1:$AS$1,),))))-(((VLOOKUP(EDATE(B285,-12),Database!$A:$AS,MATCH($U$1,Database!$A$1:$AS$1,),)))))/(((VLOOKUP(EDATE(B285,-12),Database!$A:$AS,MATCH($U$1,Database!$A$1:$AS$1,),)))))</f>
        <v/>
      </c>
      <c r="V285" s="13">
        <f>IF(VLOOKUP(B285,Database!$A:$AV,MATCH($V$1,Database!$A$1:$AV$1,),)=0,"#N/A",((((VLOOKUP(B285,Database!$A:$AS,MATCH($V$1,Database!$A$1:$AS$1,),))))-(((VLOOKUP(EDATE(B285,-12),Database!$A:$AS,MATCH($V$1,Database!$A$1:$AS$1,),)))))/(((VLOOKUP(EDATE(B285,-12),Database!$A:$AS,MATCH($V$1,Database!$A$1:$AS$1,),)))))</f>
        <v/>
      </c>
    </row>
    <row r="286" customFormat="1" s="86">
      <c r="A286" s="43" t="n"/>
      <c r="B286" s="75" t="n">
        <v>40848</v>
      </c>
      <c r="C286" s="13">
        <f>IF(VLOOKUP(B286,Database!$A:$AU,MATCH($C$1,Database!$A$1:$AU$1,),)=0,"#N/A",((((VLOOKUP(B286,Database!$A:$AU,MATCH($C$1,Database!$A$1:$AU$1,),))))-(((VLOOKUP(EDATE(B286,-12),Database!$A:$AU,MATCH($C$1,Database!$A$1:$AU$1,),)))))/(((VLOOKUP(EDATE(B286,-12),Database!$A:$AU,MATCH($C$1,Database!$A$1:$AU$1,),)))))</f>
        <v/>
      </c>
      <c r="D286" s="13">
        <f>IF(VLOOKUP(B286,Database!$A:$AV,MATCH($D$1,Database!$A$1:$AV$1,),)=0,"#N/A",((((VLOOKUP(B286,Database!$A:$AS,MATCH($D$1,Database!$A$1:$AS$1,),))))-(((VLOOKUP(EDATE(B286,-12),Database!$A:$AS,MATCH($D$1,Database!$A$1:$AS$1,),)))))/(((VLOOKUP(EDATE(B286,-12),Database!$A:$AS,MATCH($D$1,Database!$A$1:$AS$1,),)))))</f>
        <v/>
      </c>
      <c r="E286" s="13">
        <f>IF(VLOOKUP(B286,Database!$A:$AV,MATCH($E$1,Database!$A$1:$AV$1,),)=0,"#N/A",((((VLOOKUP(B286,Database!$A:$AS,MATCH($E$1,Database!$A$1:$AS$1,),))))-(((VLOOKUP(EDATE(B286,-12),Database!$A:$AS,MATCH($E$1,Database!$A$1:$AS$1,),)))))/(((VLOOKUP(EDATE(B286,-12),Database!$A:$AS,MATCH($E$1,Database!$A$1:$AS$1,),)))))</f>
        <v/>
      </c>
      <c r="F286" s="13">
        <f>IF(VLOOKUP(B286,Database!$A:$AV,MATCH($F$1,Database!$A$1:$AV$1,),)=0,"#N/A",((((VLOOKUP(B286,Database!$A:$AS,MATCH($F$1,Database!$A$1:$AS$1,),))))-(((VLOOKUP(EDATE(B286,-12),Database!$A:$AS,MATCH($F$1,Database!$A$1:$AS$1,),)))))/(((VLOOKUP(EDATE(B286,-12),Database!$A:$AS,MATCH($F$1,Database!$A$1:$AS$1,),)))))</f>
        <v/>
      </c>
      <c r="G286" s="13">
        <f>IF(VLOOKUP(B286,Database!$A:$AV,MATCH($G$1,Database!$A$1:$AV$1,),)=0,"#N/A",((((VLOOKUP(B286,Database!$A:$AS,MATCH($G$1,Database!$A$1:$AS$1,),))))-(((VLOOKUP(EDATE(B286,-12),Database!$A:$AS,MATCH($G$1,Database!$A$1:$AS$1,),)))))/(((VLOOKUP(EDATE(B286,-12),Database!$A:$AS,MATCH($G$1,Database!$A$1:$AS$1,),)))))</f>
        <v/>
      </c>
      <c r="H286" s="13">
        <f>IF(VLOOKUP(B286,Database!$A:$AV,MATCH($H$1,Database!$A$1:$AV$1,),)=0,"#N/A",((((VLOOKUP(B286,Database!$A:$AS,MATCH($H$1,Database!$A$1:$AS$1,),))))-(((VLOOKUP(EDATE(B286,-12),Database!$A:$AS,MATCH($H$1,Database!$A$1:$AS$1,),)))))/(((VLOOKUP(EDATE(B286,-12),Database!$A:$AS,MATCH($H$1,Database!$A$1:$AS$1,),)))))</f>
        <v/>
      </c>
      <c r="I286" s="13">
        <f>IF(VLOOKUP(B286,Database!$A:$AV,MATCH($I$1,Database!$A$1:$AV$1,),)=0,"#N/A",((((VLOOKUP(B286,Database!$A:$AS,MATCH($I$1,Database!$A$1:$AS$1,),))))-(((VLOOKUP(EDATE(B286,-12),Database!$A:$AS,MATCH($I$1,Database!$A$1:$AS$1,),)))))/(((VLOOKUP(EDATE(B286,-12),Database!$A:$AS,MATCH($I$1,Database!$A$1:$AS$1,),)))))</f>
        <v/>
      </c>
      <c r="J286" s="13">
        <f>IF(VLOOKUP(B286,Database!$A:$AV,MATCH($J$1,Database!$A$1:$AV$1,),)=0,"#N/A",((((VLOOKUP(B286,Database!$A:$AS,MATCH($J$1,Database!$A$1:$AS$1,),))))-(((VLOOKUP(EDATE(B286,-12),Database!$A:$AS,MATCH($J$1,Database!$A$1:$AS$1,),)))))/(((VLOOKUP(EDATE(B286,-12),Database!$A:$AS,MATCH($J$1,Database!$A$1:$AS$1,),)))))</f>
        <v/>
      </c>
      <c r="K286" s="13">
        <f>IF(VLOOKUP(B286,Database!$A:$AV,MATCH($K$1,Database!$A$1:$AV$1,),)=0,"#N/A",((((VLOOKUP(B286,Database!$A:$AS,MATCH($K$1,Database!$A$1:$AS$1,),))))-(((VLOOKUP(EDATE(B286,-12),Database!$A:$AS,MATCH($K$1,Database!$A$1:$AS$1,),)))))/(((VLOOKUP(EDATE(B286,-12),Database!$A:$AS,MATCH($K$1,Database!$A$1:$AS$1,),)))))</f>
        <v/>
      </c>
      <c r="L286" s="13">
        <f>((((VLOOKUP(B286,Database!$A:$AS,MATCH($L$1,Database!$A$1:$AS$1,),))))-(((VLOOKUP(EDATE(B286,-12),Database!$A:$AS,MATCH($L$1,Database!$A$1:$AS$1,),)))))/(((VLOOKUP(EDATE(B286,-12),Database!$A:$AS,MATCH($L$1,Database!$A$1:$AS$1,),))))</f>
        <v/>
      </c>
      <c r="M286" s="13">
        <f>((((VLOOKUP(B286,Database!$A:$AS,MATCH($M$1,Database!$A$1:$AS$1,),))))-(((VLOOKUP(EDATE(B286,-12),Database!$A:$AS,MATCH($M$1,Database!$A$1:$AS$1,),)))))/(((VLOOKUP(EDATE(B286,-12),Database!$A:$AS,MATCH($M$1,Database!$A$1:$AS$1,),))))</f>
        <v/>
      </c>
      <c r="N286" s="13">
        <f>((((VLOOKUP(B286,Database!$A:$AS,MATCH($N$1,Database!$A$1:$AS$1,),))))-(((VLOOKUP(EDATE(B286,-12),Database!$A:$AS,MATCH($N$1,Database!$A$1:$AS$1,),)))))/(((VLOOKUP(EDATE(B286,-12),Database!$A:$AS,MATCH($N$1,Database!$A$1:$AS$1,),))))</f>
        <v/>
      </c>
      <c r="O286" s="13">
        <f>IF(VLOOKUP(B286,Database!$A:$AV,MATCH($O$1,Database!$A$1:$AV$1,),)=0,"#N/A",((((VLOOKUP(B286,Database!$A:$AS,MATCH($O$1,Database!$A$1:$AS$1,),))))-(((VLOOKUP(EDATE(B286,-12),Database!$A:$AS,MATCH($O$1,Database!$A$1:$AS$1,),)))))/(((VLOOKUP(EDATE(B286,-12),Database!$A:$AS,MATCH($O$1,Database!$A$1:$AS$1,),)))))</f>
        <v/>
      </c>
      <c r="P286" s="13">
        <f>IF(VLOOKUP(B286,Database!$A:$AV,MATCH($P$1,Database!$A$1:$AV$1,),)=0,"#N/A",((((VLOOKUP(B286,Database!$A:$AS,MATCH($P$1,Database!$A$1:$AS$1,),))))-(((VLOOKUP(EDATE(B286,-12),Database!$A:$AS,MATCH($P$1,Database!$A$1:$AS$1,),)))))/(((VLOOKUP(EDATE(B286,-12),Database!$A:$AS,MATCH($P$1,Database!$A$1:$AS$1,),)))))</f>
        <v/>
      </c>
      <c r="Q286" s="13">
        <f>IF(VLOOKUP(B286,Database!$A:$AV,MATCH($Q$1,Database!$A$1:$AV$1,),)=0,"#N/A",((((VLOOKUP(B286,Database!$A:$AS,MATCH($Q$1,Database!$A$1:$AS$1,),))))-(((VLOOKUP(EDATE(B286,-12),Database!$A:$AS,MATCH($Q$1,Database!$A$1:$AS$1,),)))))/(((VLOOKUP(EDATE(B286,-12),Database!$A:$AS,MATCH($Q$1,Database!$A$1:$AS$1,),)))))</f>
        <v/>
      </c>
      <c r="R286" s="13">
        <f>IF(VLOOKUP(B286,Database!$A:$AV,MATCH($R$1,Database!$A$1:$AV$1,),)=0,"#N/A",((((VLOOKUP(B286,Database!$A:$AS,MATCH($R$1,Database!$A$1:$AS$1,),))))-(((VLOOKUP(EDATE(B286,-12),Database!$A:$AS,MATCH($R$1,Database!$A$1:$AS$1,),)))))/(((VLOOKUP(EDATE(B286,-12),Database!$A:$AS,MATCH($R$1,Database!$A$1:$AS$1,),)))))</f>
        <v/>
      </c>
      <c r="S286" s="13">
        <f>IF(VLOOKUP(B286,Database!$A:$AV,MATCH($S$1,Database!$A$1:$AV$1,),)=0,"#N/A",((((VLOOKUP(B286,Database!$A:$AS,MATCH($S$1,Database!$A$1:$AS$1,),))))-(((VLOOKUP(EDATE(B286,-12),Database!$A:$AS,MATCH($S$1,Database!$A$1:$AS$1,),)))))/(((VLOOKUP(EDATE(B286,-12),Database!$A:$AS,MATCH($S$1,Database!$A$1:$AS$1,),)))))</f>
        <v/>
      </c>
      <c r="T286" s="13">
        <f>IF(VLOOKUP(B286,Database!$A:$AV,MATCH($T$1,Database!$A$1:$AV$1,),)=0,"#N/A",((((VLOOKUP(B286,Database!$A:$AS,MATCH($T$1,Database!$A$1:$AS$1,),))))-(((VLOOKUP(EDATE(B286,-12),Database!$A:$AS,MATCH($T$1,Database!$A$1:$AS$1,),)))))/(((VLOOKUP(EDATE(B286,-12),Database!$A:$AS,MATCH($T$1,Database!$A$1:$AS$1,),)))))</f>
        <v/>
      </c>
      <c r="U286" s="13">
        <f>IF(VLOOKUP(B286,Database!$A:$AV,MATCH($U$1,Database!$A$1:$AV$1,),)=0,"#N/A",((((VLOOKUP(B286,Database!$A:$AS,MATCH($U$1,Database!$A$1:$AS$1,),))))-(((VLOOKUP(EDATE(B286,-12),Database!$A:$AS,MATCH($U$1,Database!$A$1:$AS$1,),)))))/(((VLOOKUP(EDATE(B286,-12),Database!$A:$AS,MATCH($U$1,Database!$A$1:$AS$1,),)))))</f>
        <v/>
      </c>
      <c r="V286" s="13">
        <f>IF(VLOOKUP(B286,Database!$A:$AV,MATCH($V$1,Database!$A$1:$AV$1,),)=0,"#N/A",((((VLOOKUP(B286,Database!$A:$AS,MATCH($V$1,Database!$A$1:$AS$1,),))))-(((VLOOKUP(EDATE(B286,-12),Database!$A:$AS,MATCH($V$1,Database!$A$1:$AS$1,),)))))/(((VLOOKUP(EDATE(B286,-12),Database!$A:$AS,MATCH($V$1,Database!$A$1:$AS$1,),)))))</f>
        <v/>
      </c>
    </row>
    <row r="287" customFormat="1" s="86">
      <c r="A287" s="43" t="n"/>
      <c r="B287" s="75" t="n">
        <v>40878</v>
      </c>
      <c r="C287" s="13">
        <f>IF(VLOOKUP(B287,Database!$A:$AU,MATCH($C$1,Database!$A$1:$AU$1,),)=0,"#N/A",((((VLOOKUP(B287,Database!$A:$AU,MATCH($C$1,Database!$A$1:$AU$1,),))))-(((VLOOKUP(EDATE(B287,-12),Database!$A:$AU,MATCH($C$1,Database!$A$1:$AU$1,),)))))/(((VLOOKUP(EDATE(B287,-12),Database!$A:$AU,MATCH($C$1,Database!$A$1:$AU$1,),)))))</f>
        <v/>
      </c>
      <c r="D287" s="13">
        <f>IF(VLOOKUP(B287,Database!$A:$AV,MATCH($D$1,Database!$A$1:$AV$1,),)=0,"#N/A",((((VLOOKUP(B287,Database!$A:$AS,MATCH($D$1,Database!$A$1:$AS$1,),))))-(((VLOOKUP(EDATE(B287,-12),Database!$A:$AS,MATCH($D$1,Database!$A$1:$AS$1,),)))))/(((VLOOKUP(EDATE(B287,-12),Database!$A:$AS,MATCH($D$1,Database!$A$1:$AS$1,),)))))</f>
        <v/>
      </c>
      <c r="E287" s="13">
        <f>IF(VLOOKUP(B287,Database!$A:$AV,MATCH($E$1,Database!$A$1:$AV$1,),)=0,"#N/A",((((VLOOKUP(B287,Database!$A:$AS,MATCH($E$1,Database!$A$1:$AS$1,),))))-(((VLOOKUP(EDATE(B287,-12),Database!$A:$AS,MATCH($E$1,Database!$A$1:$AS$1,),)))))/(((VLOOKUP(EDATE(B287,-12),Database!$A:$AS,MATCH($E$1,Database!$A$1:$AS$1,),)))))</f>
        <v/>
      </c>
      <c r="F287" s="13">
        <f>IF(VLOOKUP(B287,Database!$A:$AV,MATCH($F$1,Database!$A$1:$AV$1,),)=0,"#N/A",((((VLOOKUP(B287,Database!$A:$AS,MATCH($F$1,Database!$A$1:$AS$1,),))))-(((VLOOKUP(EDATE(B287,-12),Database!$A:$AS,MATCH($F$1,Database!$A$1:$AS$1,),)))))/(((VLOOKUP(EDATE(B287,-12),Database!$A:$AS,MATCH($F$1,Database!$A$1:$AS$1,),)))))</f>
        <v/>
      </c>
      <c r="G287" s="13">
        <f>IF(VLOOKUP(B287,Database!$A:$AV,MATCH($G$1,Database!$A$1:$AV$1,),)=0,"#N/A",((((VLOOKUP(B287,Database!$A:$AS,MATCH($G$1,Database!$A$1:$AS$1,),))))-(((VLOOKUP(EDATE(B287,-12),Database!$A:$AS,MATCH($G$1,Database!$A$1:$AS$1,),)))))/(((VLOOKUP(EDATE(B287,-12),Database!$A:$AS,MATCH($G$1,Database!$A$1:$AS$1,),)))))</f>
        <v/>
      </c>
      <c r="H287" s="13">
        <f>IF(VLOOKUP(B287,Database!$A:$AV,MATCH($H$1,Database!$A$1:$AV$1,),)=0,"#N/A",((((VLOOKUP(B287,Database!$A:$AS,MATCH($H$1,Database!$A$1:$AS$1,),))))-(((VLOOKUP(EDATE(B287,-12),Database!$A:$AS,MATCH($H$1,Database!$A$1:$AS$1,),)))))/(((VLOOKUP(EDATE(B287,-12),Database!$A:$AS,MATCH($H$1,Database!$A$1:$AS$1,),)))))</f>
        <v/>
      </c>
      <c r="I287" s="13">
        <f>IF(VLOOKUP(B287,Database!$A:$AV,MATCH($I$1,Database!$A$1:$AV$1,),)=0,"#N/A",((((VLOOKUP(B287,Database!$A:$AS,MATCH($I$1,Database!$A$1:$AS$1,),))))-(((VLOOKUP(EDATE(B287,-12),Database!$A:$AS,MATCH($I$1,Database!$A$1:$AS$1,),)))))/(((VLOOKUP(EDATE(B287,-12),Database!$A:$AS,MATCH($I$1,Database!$A$1:$AS$1,),)))))</f>
        <v/>
      </c>
      <c r="J287" s="13">
        <f>IF(VLOOKUP(B287,Database!$A:$AV,MATCH($J$1,Database!$A$1:$AV$1,),)=0,"#N/A",((((VLOOKUP(B287,Database!$A:$AS,MATCH($J$1,Database!$A$1:$AS$1,),))))-(((VLOOKUP(EDATE(B287,-12),Database!$A:$AS,MATCH($J$1,Database!$A$1:$AS$1,),)))))/(((VLOOKUP(EDATE(B287,-12),Database!$A:$AS,MATCH($J$1,Database!$A$1:$AS$1,),)))))</f>
        <v/>
      </c>
      <c r="K287" s="13">
        <f>IF(VLOOKUP(B287,Database!$A:$AV,MATCH($K$1,Database!$A$1:$AV$1,),)=0,"#N/A",((((VLOOKUP(B287,Database!$A:$AS,MATCH($K$1,Database!$A$1:$AS$1,),))))-(((VLOOKUP(EDATE(B287,-12),Database!$A:$AS,MATCH($K$1,Database!$A$1:$AS$1,),)))))/(((VLOOKUP(EDATE(B287,-12),Database!$A:$AS,MATCH($K$1,Database!$A$1:$AS$1,),)))))</f>
        <v/>
      </c>
      <c r="L287" s="13">
        <f>((((VLOOKUP(B287,Database!$A:$AS,MATCH($L$1,Database!$A$1:$AS$1,),))))-(((VLOOKUP(EDATE(B287,-12),Database!$A:$AS,MATCH($L$1,Database!$A$1:$AS$1,),)))))/(((VLOOKUP(EDATE(B287,-12),Database!$A:$AS,MATCH($L$1,Database!$A$1:$AS$1,),))))</f>
        <v/>
      </c>
      <c r="M287" s="13">
        <f>((((VLOOKUP(B287,Database!$A:$AS,MATCH($M$1,Database!$A$1:$AS$1,),))))-(((VLOOKUP(EDATE(B287,-12),Database!$A:$AS,MATCH($M$1,Database!$A$1:$AS$1,),)))))/(((VLOOKUP(EDATE(B287,-12),Database!$A:$AS,MATCH($M$1,Database!$A$1:$AS$1,),))))</f>
        <v/>
      </c>
      <c r="N287" s="13">
        <f>((((VLOOKUP(B287,Database!$A:$AS,MATCH($N$1,Database!$A$1:$AS$1,),))))-(((VLOOKUP(EDATE(B287,-12),Database!$A:$AS,MATCH($N$1,Database!$A$1:$AS$1,),)))))/(((VLOOKUP(EDATE(B287,-12),Database!$A:$AS,MATCH($N$1,Database!$A$1:$AS$1,),))))</f>
        <v/>
      </c>
      <c r="O287" s="13">
        <f>IF(VLOOKUP(B287,Database!$A:$AV,MATCH($O$1,Database!$A$1:$AV$1,),)=0,"#N/A",((((VLOOKUP(B287,Database!$A:$AS,MATCH($O$1,Database!$A$1:$AS$1,),))))-(((VLOOKUP(EDATE(B287,-12),Database!$A:$AS,MATCH($O$1,Database!$A$1:$AS$1,),)))))/(((VLOOKUP(EDATE(B287,-12),Database!$A:$AS,MATCH($O$1,Database!$A$1:$AS$1,),)))))</f>
        <v/>
      </c>
      <c r="P287" s="13">
        <f>IF(VLOOKUP(B287,Database!$A:$AV,MATCH($P$1,Database!$A$1:$AV$1,),)=0,"#N/A",((((VLOOKUP(B287,Database!$A:$AS,MATCH($P$1,Database!$A$1:$AS$1,),))))-(((VLOOKUP(EDATE(B287,-12),Database!$A:$AS,MATCH($P$1,Database!$A$1:$AS$1,),)))))/(((VLOOKUP(EDATE(B287,-12),Database!$A:$AS,MATCH($P$1,Database!$A$1:$AS$1,),)))))</f>
        <v/>
      </c>
      <c r="Q287" s="13">
        <f>IF(VLOOKUP(B287,Database!$A:$AV,MATCH($Q$1,Database!$A$1:$AV$1,),)=0,"#N/A",((((VLOOKUP(B287,Database!$A:$AS,MATCH($Q$1,Database!$A$1:$AS$1,),))))-(((VLOOKUP(EDATE(B287,-12),Database!$A:$AS,MATCH($Q$1,Database!$A$1:$AS$1,),)))))/(((VLOOKUP(EDATE(B287,-12),Database!$A:$AS,MATCH($Q$1,Database!$A$1:$AS$1,),)))))</f>
        <v/>
      </c>
      <c r="R287" s="13">
        <f>IF(VLOOKUP(B287,Database!$A:$AV,MATCH($R$1,Database!$A$1:$AV$1,),)=0,"#N/A",((((VLOOKUP(B287,Database!$A:$AS,MATCH($R$1,Database!$A$1:$AS$1,),))))-(((VLOOKUP(EDATE(B287,-12),Database!$A:$AS,MATCH($R$1,Database!$A$1:$AS$1,),)))))/(((VLOOKUP(EDATE(B287,-12),Database!$A:$AS,MATCH($R$1,Database!$A$1:$AS$1,),)))))</f>
        <v/>
      </c>
      <c r="S287" s="13">
        <f>IF(VLOOKUP(B287,Database!$A:$AV,MATCH($S$1,Database!$A$1:$AV$1,),)=0,"#N/A",((((VLOOKUP(B287,Database!$A:$AS,MATCH($S$1,Database!$A$1:$AS$1,),))))-(((VLOOKUP(EDATE(B287,-12),Database!$A:$AS,MATCH($S$1,Database!$A$1:$AS$1,),)))))/(((VLOOKUP(EDATE(B287,-12),Database!$A:$AS,MATCH($S$1,Database!$A$1:$AS$1,),)))))</f>
        <v/>
      </c>
      <c r="T287" s="13">
        <f>IF(VLOOKUP(B287,Database!$A:$AV,MATCH($T$1,Database!$A$1:$AV$1,),)=0,"#N/A",((((VLOOKUP(B287,Database!$A:$AS,MATCH($T$1,Database!$A$1:$AS$1,),))))-(((VLOOKUP(EDATE(B287,-12),Database!$A:$AS,MATCH($T$1,Database!$A$1:$AS$1,),)))))/(((VLOOKUP(EDATE(B287,-12),Database!$A:$AS,MATCH($T$1,Database!$A$1:$AS$1,),)))))</f>
        <v/>
      </c>
      <c r="U287" s="13">
        <f>IF(VLOOKUP(B287,Database!$A:$AV,MATCH($U$1,Database!$A$1:$AV$1,),)=0,"#N/A",((((VLOOKUP(B287,Database!$A:$AS,MATCH($U$1,Database!$A$1:$AS$1,),))))-(((VLOOKUP(EDATE(B287,-12),Database!$A:$AS,MATCH($U$1,Database!$A$1:$AS$1,),)))))/(((VLOOKUP(EDATE(B287,-12),Database!$A:$AS,MATCH($U$1,Database!$A$1:$AS$1,),)))))</f>
        <v/>
      </c>
      <c r="V287" s="13">
        <f>IF(VLOOKUP(B287,Database!$A:$AV,MATCH($V$1,Database!$A$1:$AV$1,),)=0,"#N/A",((((VLOOKUP(B287,Database!$A:$AS,MATCH($V$1,Database!$A$1:$AS$1,),))))-(((VLOOKUP(EDATE(B287,-12),Database!$A:$AS,MATCH($V$1,Database!$A$1:$AS$1,),)))))/(((VLOOKUP(EDATE(B287,-12),Database!$A:$AS,MATCH($V$1,Database!$A$1:$AS$1,),)))))</f>
        <v/>
      </c>
    </row>
    <row r="288" customFormat="1" s="86">
      <c r="A288" s="43" t="n"/>
      <c r="B288" s="75" t="n">
        <v>40909</v>
      </c>
      <c r="C288" s="13">
        <f>IF(VLOOKUP(B288,Database!$A:$AU,MATCH($C$1,Database!$A$1:$AU$1,),)=0,"#N/A",((((VLOOKUP(B288,Database!$A:$AU,MATCH($C$1,Database!$A$1:$AU$1,),))))-(((VLOOKUP(EDATE(B288,-12),Database!$A:$AU,MATCH($C$1,Database!$A$1:$AU$1,),)))))/(((VLOOKUP(EDATE(B288,-12),Database!$A:$AU,MATCH($C$1,Database!$A$1:$AU$1,),)))))</f>
        <v/>
      </c>
      <c r="D288" s="13">
        <f>IF(VLOOKUP(B288,Database!$A:$AV,MATCH($D$1,Database!$A$1:$AV$1,),)=0,"#N/A",((((VLOOKUP(B288,Database!$A:$AS,MATCH($D$1,Database!$A$1:$AS$1,),))))-(((VLOOKUP(EDATE(B288,-12),Database!$A:$AS,MATCH($D$1,Database!$A$1:$AS$1,),)))))/(((VLOOKUP(EDATE(B288,-12),Database!$A:$AS,MATCH($D$1,Database!$A$1:$AS$1,),)))))</f>
        <v/>
      </c>
      <c r="E288" s="13">
        <f>IF(VLOOKUP(B288,Database!$A:$AV,MATCH($E$1,Database!$A$1:$AV$1,),)=0,"#N/A",((((VLOOKUP(B288,Database!$A:$AS,MATCH($E$1,Database!$A$1:$AS$1,),))))-(((VLOOKUP(EDATE(B288,-12),Database!$A:$AS,MATCH($E$1,Database!$A$1:$AS$1,),)))))/(((VLOOKUP(EDATE(B288,-12),Database!$A:$AS,MATCH($E$1,Database!$A$1:$AS$1,),)))))</f>
        <v/>
      </c>
      <c r="F288" s="13">
        <f>IF(VLOOKUP(B288,Database!$A:$AV,MATCH($F$1,Database!$A$1:$AV$1,),)=0,"#N/A",((((VLOOKUP(B288,Database!$A:$AS,MATCH($F$1,Database!$A$1:$AS$1,),))))-(((VLOOKUP(EDATE(B288,-12),Database!$A:$AS,MATCH($F$1,Database!$A$1:$AS$1,),)))))/(((VLOOKUP(EDATE(B288,-12),Database!$A:$AS,MATCH($F$1,Database!$A$1:$AS$1,),)))))</f>
        <v/>
      </c>
      <c r="G288" s="13">
        <f>IF(VLOOKUP(B288,Database!$A:$AV,MATCH($G$1,Database!$A$1:$AV$1,),)=0,"#N/A",((((VLOOKUP(B288,Database!$A:$AS,MATCH($G$1,Database!$A$1:$AS$1,),))))-(((VLOOKUP(EDATE(B288,-12),Database!$A:$AS,MATCH($G$1,Database!$A$1:$AS$1,),)))))/(((VLOOKUP(EDATE(B288,-12),Database!$A:$AS,MATCH($G$1,Database!$A$1:$AS$1,),)))))</f>
        <v/>
      </c>
      <c r="H288" s="13">
        <f>IF(VLOOKUP(B288,Database!$A:$AV,MATCH($H$1,Database!$A$1:$AV$1,),)=0,"#N/A",((((VLOOKUP(B288,Database!$A:$AS,MATCH($H$1,Database!$A$1:$AS$1,),))))-(((VLOOKUP(EDATE(B288,-12),Database!$A:$AS,MATCH($H$1,Database!$A$1:$AS$1,),)))))/(((VLOOKUP(EDATE(B288,-12),Database!$A:$AS,MATCH($H$1,Database!$A$1:$AS$1,),)))))</f>
        <v/>
      </c>
      <c r="I288" s="13">
        <f>IF(VLOOKUP(B288,Database!$A:$AV,MATCH($I$1,Database!$A$1:$AV$1,),)=0,"#N/A",((((VLOOKUP(B288,Database!$A:$AS,MATCH($I$1,Database!$A$1:$AS$1,),))))-(((VLOOKUP(EDATE(B288,-12),Database!$A:$AS,MATCH($I$1,Database!$A$1:$AS$1,),)))))/(((VLOOKUP(EDATE(B288,-12),Database!$A:$AS,MATCH($I$1,Database!$A$1:$AS$1,),)))))</f>
        <v/>
      </c>
      <c r="J288" s="13">
        <f>IF(VLOOKUP(B288,Database!$A:$AV,MATCH($J$1,Database!$A$1:$AV$1,),)=0,"#N/A",((((VLOOKUP(B288,Database!$A:$AS,MATCH($J$1,Database!$A$1:$AS$1,),))))-(((VLOOKUP(EDATE(B288,-12),Database!$A:$AS,MATCH($J$1,Database!$A$1:$AS$1,),)))))/(((VLOOKUP(EDATE(B288,-12),Database!$A:$AS,MATCH($J$1,Database!$A$1:$AS$1,),)))))</f>
        <v/>
      </c>
      <c r="K288" s="13">
        <f>IF(VLOOKUP(B288,Database!$A:$AV,MATCH($K$1,Database!$A$1:$AV$1,),)=0,"#N/A",((((VLOOKUP(B288,Database!$A:$AS,MATCH($K$1,Database!$A$1:$AS$1,),))))-(((VLOOKUP(EDATE(B288,-12),Database!$A:$AS,MATCH($K$1,Database!$A$1:$AS$1,),)))))/(((VLOOKUP(EDATE(B288,-12),Database!$A:$AS,MATCH($K$1,Database!$A$1:$AS$1,),)))))</f>
        <v/>
      </c>
      <c r="L288" s="13">
        <f>((((VLOOKUP(B288,Database!$A:$AS,MATCH($L$1,Database!$A$1:$AS$1,),))))-(((VLOOKUP(EDATE(B288,-12),Database!$A:$AS,MATCH($L$1,Database!$A$1:$AS$1,),)))))/(((VLOOKUP(EDATE(B288,-12),Database!$A:$AS,MATCH($L$1,Database!$A$1:$AS$1,),))))</f>
        <v/>
      </c>
      <c r="M288" s="13">
        <f>((((VLOOKUP(B288,Database!$A:$AS,MATCH($M$1,Database!$A$1:$AS$1,),))))-(((VLOOKUP(EDATE(B288,-12),Database!$A:$AS,MATCH($M$1,Database!$A$1:$AS$1,),)))))/(((VLOOKUP(EDATE(B288,-12),Database!$A:$AS,MATCH($M$1,Database!$A$1:$AS$1,),))))</f>
        <v/>
      </c>
      <c r="N288" s="13">
        <f>((((VLOOKUP(B288,Database!$A:$AS,MATCH($N$1,Database!$A$1:$AS$1,),))))-(((VLOOKUP(EDATE(B288,-12),Database!$A:$AS,MATCH($N$1,Database!$A$1:$AS$1,),)))))/(((VLOOKUP(EDATE(B288,-12),Database!$A:$AS,MATCH($N$1,Database!$A$1:$AS$1,),))))</f>
        <v/>
      </c>
      <c r="O288" s="13">
        <f>IF(VLOOKUP(B288,Database!$A:$AV,MATCH($O$1,Database!$A$1:$AV$1,),)=0,"#N/A",((((VLOOKUP(B288,Database!$A:$AS,MATCH($O$1,Database!$A$1:$AS$1,),))))-(((VLOOKUP(EDATE(B288,-12),Database!$A:$AS,MATCH($O$1,Database!$A$1:$AS$1,),)))))/(((VLOOKUP(EDATE(B288,-12),Database!$A:$AS,MATCH($O$1,Database!$A$1:$AS$1,),)))))</f>
        <v/>
      </c>
      <c r="P288" s="13">
        <f>IF(VLOOKUP(B288,Database!$A:$AV,MATCH($P$1,Database!$A$1:$AV$1,),)=0,"#N/A",((((VLOOKUP(B288,Database!$A:$AS,MATCH($P$1,Database!$A$1:$AS$1,),))))-(((VLOOKUP(EDATE(B288,-12),Database!$A:$AS,MATCH($P$1,Database!$A$1:$AS$1,),)))))/(((VLOOKUP(EDATE(B288,-12),Database!$A:$AS,MATCH($P$1,Database!$A$1:$AS$1,),)))))</f>
        <v/>
      </c>
      <c r="Q288" s="13">
        <f>IF(VLOOKUP(B288,Database!$A:$AV,MATCH($Q$1,Database!$A$1:$AV$1,),)=0,"#N/A",((((VLOOKUP(B288,Database!$A:$AS,MATCH($Q$1,Database!$A$1:$AS$1,),))))-(((VLOOKUP(EDATE(B288,-12),Database!$A:$AS,MATCH($Q$1,Database!$A$1:$AS$1,),)))))/(((VLOOKUP(EDATE(B288,-12),Database!$A:$AS,MATCH($Q$1,Database!$A$1:$AS$1,),)))))</f>
        <v/>
      </c>
      <c r="R288" s="13">
        <f>IF(VLOOKUP(B288,Database!$A:$AV,MATCH($R$1,Database!$A$1:$AV$1,),)=0,"#N/A",((((VLOOKUP(B288,Database!$A:$AS,MATCH($R$1,Database!$A$1:$AS$1,),))))-(((VLOOKUP(EDATE(B288,-12),Database!$A:$AS,MATCH($R$1,Database!$A$1:$AS$1,),)))))/(((VLOOKUP(EDATE(B288,-12),Database!$A:$AS,MATCH($R$1,Database!$A$1:$AS$1,),)))))</f>
        <v/>
      </c>
      <c r="S288" s="13">
        <f>IF(VLOOKUP(B288,Database!$A:$AV,MATCH($S$1,Database!$A$1:$AV$1,),)=0,"#N/A",((((VLOOKUP(B288,Database!$A:$AS,MATCH($S$1,Database!$A$1:$AS$1,),))))-(((VLOOKUP(EDATE(B288,-12),Database!$A:$AS,MATCH($S$1,Database!$A$1:$AS$1,),)))))/(((VLOOKUP(EDATE(B288,-12),Database!$A:$AS,MATCH($S$1,Database!$A$1:$AS$1,),)))))</f>
        <v/>
      </c>
      <c r="T288" s="13">
        <f>IF(VLOOKUP(B288,Database!$A:$AV,MATCH($T$1,Database!$A$1:$AV$1,),)=0,"#N/A",((((VLOOKUP(B288,Database!$A:$AS,MATCH($T$1,Database!$A$1:$AS$1,),))))-(((VLOOKUP(EDATE(B288,-12),Database!$A:$AS,MATCH($T$1,Database!$A$1:$AS$1,),)))))/(((VLOOKUP(EDATE(B288,-12),Database!$A:$AS,MATCH($T$1,Database!$A$1:$AS$1,),)))))</f>
        <v/>
      </c>
      <c r="U288" s="13">
        <f>IF(VLOOKUP(B288,Database!$A:$AV,MATCH($U$1,Database!$A$1:$AV$1,),)=0,"#N/A",((((VLOOKUP(B288,Database!$A:$AS,MATCH($U$1,Database!$A$1:$AS$1,),))))-(((VLOOKUP(EDATE(B288,-12),Database!$A:$AS,MATCH($U$1,Database!$A$1:$AS$1,),)))))/(((VLOOKUP(EDATE(B288,-12),Database!$A:$AS,MATCH($U$1,Database!$A$1:$AS$1,),)))))</f>
        <v/>
      </c>
      <c r="V288" s="13">
        <f>IF(VLOOKUP(B288,Database!$A:$AV,MATCH($V$1,Database!$A$1:$AV$1,),)=0,"#N/A",((((VLOOKUP(B288,Database!$A:$AS,MATCH($V$1,Database!$A$1:$AS$1,),))))-(((VLOOKUP(EDATE(B288,-12),Database!$A:$AS,MATCH($V$1,Database!$A$1:$AS$1,),)))))/(((VLOOKUP(EDATE(B288,-12),Database!$A:$AS,MATCH($V$1,Database!$A$1:$AS$1,),)))))</f>
        <v/>
      </c>
    </row>
    <row r="289" customFormat="1" s="86">
      <c r="A289" s="43" t="n"/>
      <c r="B289" s="75" t="n">
        <v>40940</v>
      </c>
      <c r="C289" s="13">
        <f>IF(VLOOKUP(B289,Database!$A:$AU,MATCH($C$1,Database!$A$1:$AU$1,),)=0,"#N/A",((((VLOOKUP(B289,Database!$A:$AU,MATCH($C$1,Database!$A$1:$AU$1,),))))-(((VLOOKUP(EDATE(B289,-12),Database!$A:$AU,MATCH($C$1,Database!$A$1:$AU$1,),)))))/(((VLOOKUP(EDATE(B289,-12),Database!$A:$AU,MATCH($C$1,Database!$A$1:$AU$1,),)))))</f>
        <v/>
      </c>
      <c r="D289" s="13">
        <f>IF(VLOOKUP(B289,Database!$A:$AV,MATCH($D$1,Database!$A$1:$AV$1,),)=0,"#N/A",((((VLOOKUP(B289,Database!$A:$AS,MATCH($D$1,Database!$A$1:$AS$1,),))))-(((VLOOKUP(EDATE(B289,-12),Database!$A:$AS,MATCH($D$1,Database!$A$1:$AS$1,),)))))/(((VLOOKUP(EDATE(B289,-12),Database!$A:$AS,MATCH($D$1,Database!$A$1:$AS$1,),)))))</f>
        <v/>
      </c>
      <c r="E289" s="13">
        <f>IF(VLOOKUP(B289,Database!$A:$AV,MATCH($E$1,Database!$A$1:$AV$1,),)=0,"#N/A",((((VLOOKUP(B289,Database!$A:$AS,MATCH($E$1,Database!$A$1:$AS$1,),))))-(((VLOOKUP(EDATE(B289,-12),Database!$A:$AS,MATCH($E$1,Database!$A$1:$AS$1,),)))))/(((VLOOKUP(EDATE(B289,-12),Database!$A:$AS,MATCH($E$1,Database!$A$1:$AS$1,),)))))</f>
        <v/>
      </c>
      <c r="F289" s="13">
        <f>IF(VLOOKUP(B289,Database!$A:$AV,MATCH($F$1,Database!$A$1:$AV$1,),)=0,"#N/A",((((VLOOKUP(B289,Database!$A:$AS,MATCH($F$1,Database!$A$1:$AS$1,),))))-(((VLOOKUP(EDATE(B289,-12),Database!$A:$AS,MATCH($F$1,Database!$A$1:$AS$1,),)))))/(((VLOOKUP(EDATE(B289,-12),Database!$A:$AS,MATCH($F$1,Database!$A$1:$AS$1,),)))))</f>
        <v/>
      </c>
      <c r="G289" s="13">
        <f>IF(VLOOKUP(B289,Database!$A:$AV,MATCH($G$1,Database!$A$1:$AV$1,),)=0,"#N/A",((((VLOOKUP(B289,Database!$A:$AS,MATCH($G$1,Database!$A$1:$AS$1,),))))-(((VLOOKUP(EDATE(B289,-12),Database!$A:$AS,MATCH($G$1,Database!$A$1:$AS$1,),)))))/(((VLOOKUP(EDATE(B289,-12),Database!$A:$AS,MATCH($G$1,Database!$A$1:$AS$1,),)))))</f>
        <v/>
      </c>
      <c r="H289" s="13">
        <f>IF(VLOOKUP(B289,Database!$A:$AV,MATCH($H$1,Database!$A$1:$AV$1,),)=0,"#N/A",((((VLOOKUP(B289,Database!$A:$AS,MATCH($H$1,Database!$A$1:$AS$1,),))))-(((VLOOKUP(EDATE(B289,-12),Database!$A:$AS,MATCH($H$1,Database!$A$1:$AS$1,),)))))/(((VLOOKUP(EDATE(B289,-12),Database!$A:$AS,MATCH($H$1,Database!$A$1:$AS$1,),)))))</f>
        <v/>
      </c>
      <c r="I289" s="13">
        <f>IF(VLOOKUP(B289,Database!$A:$AV,MATCH($I$1,Database!$A$1:$AV$1,),)=0,"#N/A",((((VLOOKUP(B289,Database!$A:$AS,MATCH($I$1,Database!$A$1:$AS$1,),))))-(((VLOOKUP(EDATE(B289,-12),Database!$A:$AS,MATCH($I$1,Database!$A$1:$AS$1,),)))))/(((VLOOKUP(EDATE(B289,-12),Database!$A:$AS,MATCH($I$1,Database!$A$1:$AS$1,),)))))</f>
        <v/>
      </c>
      <c r="J289" s="13">
        <f>IF(VLOOKUP(B289,Database!$A:$AV,MATCH($J$1,Database!$A$1:$AV$1,),)=0,"#N/A",((((VLOOKUP(B289,Database!$A:$AS,MATCH($J$1,Database!$A$1:$AS$1,),))))-(((VLOOKUP(EDATE(B289,-12),Database!$A:$AS,MATCH($J$1,Database!$A$1:$AS$1,),)))))/(((VLOOKUP(EDATE(B289,-12),Database!$A:$AS,MATCH($J$1,Database!$A$1:$AS$1,),)))))</f>
        <v/>
      </c>
      <c r="K289" s="13">
        <f>IF(VLOOKUP(B289,Database!$A:$AV,MATCH($K$1,Database!$A$1:$AV$1,),)=0,"#N/A",((((VLOOKUP(B289,Database!$A:$AS,MATCH($K$1,Database!$A$1:$AS$1,),))))-(((VLOOKUP(EDATE(B289,-12),Database!$A:$AS,MATCH($K$1,Database!$A$1:$AS$1,),)))))/(((VLOOKUP(EDATE(B289,-12),Database!$A:$AS,MATCH($K$1,Database!$A$1:$AS$1,),)))))</f>
        <v/>
      </c>
      <c r="L289" s="13">
        <f>((((VLOOKUP(B289,Database!$A:$AS,MATCH($L$1,Database!$A$1:$AS$1,),))))-(((VLOOKUP(EDATE(B289,-12),Database!$A:$AS,MATCH($L$1,Database!$A$1:$AS$1,),)))))/(((VLOOKUP(EDATE(B289,-12),Database!$A:$AS,MATCH($L$1,Database!$A$1:$AS$1,),))))</f>
        <v/>
      </c>
      <c r="M289" s="13">
        <f>((((VLOOKUP(B289,Database!$A:$AS,MATCH($M$1,Database!$A$1:$AS$1,),))))-(((VLOOKUP(EDATE(B289,-12),Database!$A:$AS,MATCH($M$1,Database!$A$1:$AS$1,),)))))/(((VLOOKUP(EDATE(B289,-12),Database!$A:$AS,MATCH($M$1,Database!$A$1:$AS$1,),))))</f>
        <v/>
      </c>
      <c r="N289" s="13">
        <f>((((VLOOKUP(B289,Database!$A:$AS,MATCH($N$1,Database!$A$1:$AS$1,),))))-(((VLOOKUP(EDATE(B289,-12),Database!$A:$AS,MATCH($N$1,Database!$A$1:$AS$1,),)))))/(((VLOOKUP(EDATE(B289,-12),Database!$A:$AS,MATCH($N$1,Database!$A$1:$AS$1,),))))</f>
        <v/>
      </c>
      <c r="O289" s="13">
        <f>IF(VLOOKUP(B289,Database!$A:$AV,MATCH($O$1,Database!$A$1:$AV$1,),)=0,"#N/A",((((VLOOKUP(B289,Database!$A:$AS,MATCH($O$1,Database!$A$1:$AS$1,),))))-(((VLOOKUP(EDATE(B289,-12),Database!$A:$AS,MATCH($O$1,Database!$A$1:$AS$1,),)))))/(((VLOOKUP(EDATE(B289,-12),Database!$A:$AS,MATCH($O$1,Database!$A$1:$AS$1,),)))))</f>
        <v/>
      </c>
      <c r="P289" s="13">
        <f>IF(VLOOKUP(B289,Database!$A:$AV,MATCH($P$1,Database!$A$1:$AV$1,),)=0,"#N/A",((((VLOOKUP(B289,Database!$A:$AS,MATCH($P$1,Database!$A$1:$AS$1,),))))-(((VLOOKUP(EDATE(B289,-12),Database!$A:$AS,MATCH($P$1,Database!$A$1:$AS$1,),)))))/(((VLOOKUP(EDATE(B289,-12),Database!$A:$AS,MATCH($P$1,Database!$A$1:$AS$1,),)))))</f>
        <v/>
      </c>
      <c r="Q289" s="13">
        <f>IF(VLOOKUP(B289,Database!$A:$AV,MATCH($Q$1,Database!$A$1:$AV$1,),)=0,"#N/A",((((VLOOKUP(B289,Database!$A:$AS,MATCH($Q$1,Database!$A$1:$AS$1,),))))-(((VLOOKUP(EDATE(B289,-12),Database!$A:$AS,MATCH($Q$1,Database!$A$1:$AS$1,),)))))/(((VLOOKUP(EDATE(B289,-12),Database!$A:$AS,MATCH($Q$1,Database!$A$1:$AS$1,),)))))</f>
        <v/>
      </c>
      <c r="R289" s="13">
        <f>IF(VLOOKUP(B289,Database!$A:$AV,MATCH($R$1,Database!$A$1:$AV$1,),)=0,"#N/A",((((VLOOKUP(B289,Database!$A:$AS,MATCH($R$1,Database!$A$1:$AS$1,),))))-(((VLOOKUP(EDATE(B289,-12),Database!$A:$AS,MATCH($R$1,Database!$A$1:$AS$1,),)))))/(((VLOOKUP(EDATE(B289,-12),Database!$A:$AS,MATCH($R$1,Database!$A$1:$AS$1,),)))))</f>
        <v/>
      </c>
      <c r="S289" s="13">
        <f>IF(VLOOKUP(B289,Database!$A:$AV,MATCH($S$1,Database!$A$1:$AV$1,),)=0,"#N/A",((((VLOOKUP(B289,Database!$A:$AS,MATCH($S$1,Database!$A$1:$AS$1,),))))-(((VLOOKUP(EDATE(B289,-12),Database!$A:$AS,MATCH($S$1,Database!$A$1:$AS$1,),)))))/(((VLOOKUP(EDATE(B289,-12),Database!$A:$AS,MATCH($S$1,Database!$A$1:$AS$1,),)))))</f>
        <v/>
      </c>
      <c r="T289" s="13">
        <f>IF(VLOOKUP(B289,Database!$A:$AV,MATCH($T$1,Database!$A$1:$AV$1,),)=0,"#N/A",((((VLOOKUP(B289,Database!$A:$AS,MATCH($T$1,Database!$A$1:$AS$1,),))))-(((VLOOKUP(EDATE(B289,-12),Database!$A:$AS,MATCH($T$1,Database!$A$1:$AS$1,),)))))/(((VLOOKUP(EDATE(B289,-12),Database!$A:$AS,MATCH($T$1,Database!$A$1:$AS$1,),)))))</f>
        <v/>
      </c>
      <c r="U289" s="13">
        <f>IF(VLOOKUP(B289,Database!$A:$AV,MATCH($U$1,Database!$A$1:$AV$1,),)=0,"#N/A",((((VLOOKUP(B289,Database!$A:$AS,MATCH($U$1,Database!$A$1:$AS$1,),))))-(((VLOOKUP(EDATE(B289,-12),Database!$A:$AS,MATCH($U$1,Database!$A$1:$AS$1,),)))))/(((VLOOKUP(EDATE(B289,-12),Database!$A:$AS,MATCH($U$1,Database!$A$1:$AS$1,),)))))</f>
        <v/>
      </c>
      <c r="V289" s="13">
        <f>IF(VLOOKUP(B289,Database!$A:$AV,MATCH($V$1,Database!$A$1:$AV$1,),)=0,"#N/A",((((VLOOKUP(B289,Database!$A:$AS,MATCH($V$1,Database!$A$1:$AS$1,),))))-(((VLOOKUP(EDATE(B289,-12),Database!$A:$AS,MATCH($V$1,Database!$A$1:$AS$1,),)))))/(((VLOOKUP(EDATE(B289,-12),Database!$A:$AS,MATCH($V$1,Database!$A$1:$AS$1,),)))))</f>
        <v/>
      </c>
    </row>
    <row r="290" customFormat="1" s="86">
      <c r="A290" s="43" t="n"/>
      <c r="B290" s="75" t="n">
        <v>40969</v>
      </c>
      <c r="C290" s="13">
        <f>IF(VLOOKUP(B290,Database!$A:$AU,MATCH($C$1,Database!$A$1:$AU$1,),)=0,"#N/A",((((VLOOKUP(B290,Database!$A:$AU,MATCH($C$1,Database!$A$1:$AU$1,),))))-(((VLOOKUP(EDATE(B290,-12),Database!$A:$AU,MATCH($C$1,Database!$A$1:$AU$1,),)))))/(((VLOOKUP(EDATE(B290,-12),Database!$A:$AU,MATCH($C$1,Database!$A$1:$AU$1,),)))))</f>
        <v/>
      </c>
      <c r="D290" s="13">
        <f>IF(VLOOKUP(B290,Database!$A:$AV,MATCH($D$1,Database!$A$1:$AV$1,),)=0,"#N/A",((((VLOOKUP(B290,Database!$A:$AS,MATCH($D$1,Database!$A$1:$AS$1,),))))-(((VLOOKUP(EDATE(B290,-12),Database!$A:$AS,MATCH($D$1,Database!$A$1:$AS$1,),)))))/(((VLOOKUP(EDATE(B290,-12),Database!$A:$AS,MATCH($D$1,Database!$A$1:$AS$1,),)))))</f>
        <v/>
      </c>
      <c r="E290" s="13">
        <f>IF(VLOOKUP(B290,Database!$A:$AV,MATCH($E$1,Database!$A$1:$AV$1,),)=0,"#N/A",((((VLOOKUP(B290,Database!$A:$AS,MATCH($E$1,Database!$A$1:$AS$1,),))))-(((VLOOKUP(EDATE(B290,-12),Database!$A:$AS,MATCH($E$1,Database!$A$1:$AS$1,),)))))/(((VLOOKUP(EDATE(B290,-12),Database!$A:$AS,MATCH($E$1,Database!$A$1:$AS$1,),)))))</f>
        <v/>
      </c>
      <c r="F290" s="13">
        <f>IF(VLOOKUP(B290,Database!$A:$AV,MATCH($F$1,Database!$A$1:$AV$1,),)=0,"#N/A",((((VLOOKUP(B290,Database!$A:$AS,MATCH($F$1,Database!$A$1:$AS$1,),))))-(((VLOOKUP(EDATE(B290,-12),Database!$A:$AS,MATCH($F$1,Database!$A$1:$AS$1,),)))))/(((VLOOKUP(EDATE(B290,-12),Database!$A:$AS,MATCH($F$1,Database!$A$1:$AS$1,),)))))</f>
        <v/>
      </c>
      <c r="G290" s="13">
        <f>IF(VLOOKUP(B290,Database!$A:$AV,MATCH($G$1,Database!$A$1:$AV$1,),)=0,"#N/A",((((VLOOKUP(B290,Database!$A:$AS,MATCH($G$1,Database!$A$1:$AS$1,),))))-(((VLOOKUP(EDATE(B290,-12),Database!$A:$AS,MATCH($G$1,Database!$A$1:$AS$1,),)))))/(((VLOOKUP(EDATE(B290,-12),Database!$A:$AS,MATCH($G$1,Database!$A$1:$AS$1,),)))))</f>
        <v/>
      </c>
      <c r="H290" s="13">
        <f>IF(VLOOKUP(B290,Database!$A:$AV,MATCH($H$1,Database!$A$1:$AV$1,),)=0,"#N/A",((((VLOOKUP(B290,Database!$A:$AS,MATCH($H$1,Database!$A$1:$AS$1,),))))-(((VLOOKUP(EDATE(B290,-12),Database!$A:$AS,MATCH($H$1,Database!$A$1:$AS$1,),)))))/(((VLOOKUP(EDATE(B290,-12),Database!$A:$AS,MATCH($H$1,Database!$A$1:$AS$1,),)))))</f>
        <v/>
      </c>
      <c r="I290" s="13">
        <f>IF(VLOOKUP(B290,Database!$A:$AV,MATCH($I$1,Database!$A$1:$AV$1,),)=0,"#N/A",((((VLOOKUP(B290,Database!$A:$AS,MATCH($I$1,Database!$A$1:$AS$1,),))))-(((VLOOKUP(EDATE(B290,-12),Database!$A:$AS,MATCH($I$1,Database!$A$1:$AS$1,),)))))/(((VLOOKUP(EDATE(B290,-12),Database!$A:$AS,MATCH($I$1,Database!$A$1:$AS$1,),)))))</f>
        <v/>
      </c>
      <c r="J290" s="13">
        <f>IF(VLOOKUP(B290,Database!$A:$AV,MATCH($J$1,Database!$A$1:$AV$1,),)=0,"#N/A",((((VLOOKUP(B290,Database!$A:$AS,MATCH($J$1,Database!$A$1:$AS$1,),))))-(((VLOOKUP(EDATE(B290,-12),Database!$A:$AS,MATCH($J$1,Database!$A$1:$AS$1,),)))))/(((VLOOKUP(EDATE(B290,-12),Database!$A:$AS,MATCH($J$1,Database!$A$1:$AS$1,),)))))</f>
        <v/>
      </c>
      <c r="K290" s="13">
        <f>IF(VLOOKUP(B290,Database!$A:$AV,MATCH($K$1,Database!$A$1:$AV$1,),)=0,"#N/A",((((VLOOKUP(B290,Database!$A:$AS,MATCH($K$1,Database!$A$1:$AS$1,),))))-(((VLOOKUP(EDATE(B290,-12),Database!$A:$AS,MATCH($K$1,Database!$A$1:$AS$1,),)))))/(((VLOOKUP(EDATE(B290,-12),Database!$A:$AS,MATCH($K$1,Database!$A$1:$AS$1,),)))))</f>
        <v/>
      </c>
      <c r="L290" s="13">
        <f>((((VLOOKUP(B290,Database!$A:$AS,MATCH($L$1,Database!$A$1:$AS$1,),))))-(((VLOOKUP(EDATE(B290,-12),Database!$A:$AS,MATCH($L$1,Database!$A$1:$AS$1,),)))))/(((VLOOKUP(EDATE(B290,-12),Database!$A:$AS,MATCH($L$1,Database!$A$1:$AS$1,),))))</f>
        <v/>
      </c>
      <c r="M290" s="13">
        <f>((((VLOOKUP(B290,Database!$A:$AS,MATCH($M$1,Database!$A$1:$AS$1,),))))-(((VLOOKUP(EDATE(B290,-12),Database!$A:$AS,MATCH($M$1,Database!$A$1:$AS$1,),)))))/(((VLOOKUP(EDATE(B290,-12),Database!$A:$AS,MATCH($M$1,Database!$A$1:$AS$1,),))))</f>
        <v/>
      </c>
      <c r="N290" s="13">
        <f>((((VLOOKUP(B290,Database!$A:$AS,MATCH($N$1,Database!$A$1:$AS$1,),))))-(((VLOOKUP(EDATE(B290,-12),Database!$A:$AS,MATCH($N$1,Database!$A$1:$AS$1,),)))))/(((VLOOKUP(EDATE(B290,-12),Database!$A:$AS,MATCH($N$1,Database!$A$1:$AS$1,),))))</f>
        <v/>
      </c>
      <c r="O290" s="13">
        <f>IF(VLOOKUP(B290,Database!$A:$AV,MATCH($O$1,Database!$A$1:$AV$1,),)=0,"#N/A",((((VLOOKUP(B290,Database!$A:$AS,MATCH($O$1,Database!$A$1:$AS$1,),))))-(((VLOOKUP(EDATE(B290,-12),Database!$A:$AS,MATCH($O$1,Database!$A$1:$AS$1,),)))))/(((VLOOKUP(EDATE(B290,-12),Database!$A:$AS,MATCH($O$1,Database!$A$1:$AS$1,),)))))</f>
        <v/>
      </c>
      <c r="P290" s="13">
        <f>IF(VLOOKUP(B290,Database!$A:$AV,MATCH($P$1,Database!$A$1:$AV$1,),)=0,"#N/A",((((VLOOKUP(B290,Database!$A:$AS,MATCH($P$1,Database!$A$1:$AS$1,),))))-(((VLOOKUP(EDATE(B290,-12),Database!$A:$AS,MATCH($P$1,Database!$A$1:$AS$1,),)))))/(((VLOOKUP(EDATE(B290,-12),Database!$A:$AS,MATCH($P$1,Database!$A$1:$AS$1,),)))))</f>
        <v/>
      </c>
      <c r="Q290" s="13">
        <f>IF(VLOOKUP(B290,Database!$A:$AV,MATCH($Q$1,Database!$A$1:$AV$1,),)=0,"#N/A",((((VLOOKUP(B290,Database!$A:$AS,MATCH($Q$1,Database!$A$1:$AS$1,),))))-(((VLOOKUP(EDATE(B290,-12),Database!$A:$AS,MATCH($Q$1,Database!$A$1:$AS$1,),)))))/(((VLOOKUP(EDATE(B290,-12),Database!$A:$AS,MATCH($Q$1,Database!$A$1:$AS$1,),)))))</f>
        <v/>
      </c>
      <c r="R290" s="13">
        <f>IF(VLOOKUP(B290,Database!$A:$AV,MATCH($R$1,Database!$A$1:$AV$1,),)=0,"#N/A",((((VLOOKUP(B290,Database!$A:$AS,MATCH($R$1,Database!$A$1:$AS$1,),))))-(((VLOOKUP(EDATE(B290,-12),Database!$A:$AS,MATCH($R$1,Database!$A$1:$AS$1,),)))))/(((VLOOKUP(EDATE(B290,-12),Database!$A:$AS,MATCH($R$1,Database!$A$1:$AS$1,),)))))</f>
        <v/>
      </c>
      <c r="S290" s="13">
        <f>IF(VLOOKUP(B290,Database!$A:$AV,MATCH($S$1,Database!$A$1:$AV$1,),)=0,"#N/A",((((VLOOKUP(B290,Database!$A:$AS,MATCH($S$1,Database!$A$1:$AS$1,),))))-(((VLOOKUP(EDATE(B290,-12),Database!$A:$AS,MATCH($S$1,Database!$A$1:$AS$1,),)))))/(((VLOOKUP(EDATE(B290,-12),Database!$A:$AS,MATCH($S$1,Database!$A$1:$AS$1,),)))))</f>
        <v/>
      </c>
      <c r="T290" s="13">
        <f>IF(VLOOKUP(B290,Database!$A:$AV,MATCH($T$1,Database!$A$1:$AV$1,),)=0,"#N/A",((((VLOOKUP(B290,Database!$A:$AS,MATCH($T$1,Database!$A$1:$AS$1,),))))-(((VLOOKUP(EDATE(B290,-12),Database!$A:$AS,MATCH($T$1,Database!$A$1:$AS$1,),)))))/(((VLOOKUP(EDATE(B290,-12),Database!$A:$AS,MATCH($T$1,Database!$A$1:$AS$1,),)))))</f>
        <v/>
      </c>
      <c r="U290" s="13">
        <f>IF(VLOOKUP(B290,Database!$A:$AV,MATCH($U$1,Database!$A$1:$AV$1,),)=0,"#N/A",((((VLOOKUP(B290,Database!$A:$AS,MATCH($U$1,Database!$A$1:$AS$1,),))))-(((VLOOKUP(EDATE(B290,-12),Database!$A:$AS,MATCH($U$1,Database!$A$1:$AS$1,),)))))/(((VLOOKUP(EDATE(B290,-12),Database!$A:$AS,MATCH($U$1,Database!$A$1:$AS$1,),)))))</f>
        <v/>
      </c>
      <c r="V290" s="13">
        <f>IF(VLOOKUP(B290,Database!$A:$AV,MATCH($V$1,Database!$A$1:$AV$1,),)=0,"#N/A",((((VLOOKUP(B290,Database!$A:$AS,MATCH($V$1,Database!$A$1:$AS$1,),))))-(((VLOOKUP(EDATE(B290,-12),Database!$A:$AS,MATCH($V$1,Database!$A$1:$AS$1,),)))))/(((VLOOKUP(EDATE(B290,-12),Database!$A:$AS,MATCH($V$1,Database!$A$1:$AS$1,),)))))</f>
        <v/>
      </c>
    </row>
    <row r="291" customFormat="1" s="86">
      <c r="A291" s="43" t="n"/>
      <c r="B291" s="75" t="n">
        <v>41000</v>
      </c>
      <c r="C291" s="13">
        <f>IF(VLOOKUP(B291,Database!$A:$AU,MATCH($C$1,Database!$A$1:$AU$1,),)=0,"#N/A",((((VLOOKUP(B291,Database!$A:$AU,MATCH($C$1,Database!$A$1:$AU$1,),))))-(((VLOOKUP(EDATE(B291,-12),Database!$A:$AU,MATCH($C$1,Database!$A$1:$AU$1,),)))))/(((VLOOKUP(EDATE(B291,-12),Database!$A:$AU,MATCH($C$1,Database!$A$1:$AU$1,),)))))</f>
        <v/>
      </c>
      <c r="D291" s="13">
        <f>IF(VLOOKUP(B291,Database!$A:$AV,MATCH($D$1,Database!$A$1:$AV$1,),)=0,"#N/A",((((VLOOKUP(B291,Database!$A:$AS,MATCH($D$1,Database!$A$1:$AS$1,),))))-(((VLOOKUP(EDATE(B291,-12),Database!$A:$AS,MATCH($D$1,Database!$A$1:$AS$1,),)))))/(((VLOOKUP(EDATE(B291,-12),Database!$A:$AS,MATCH($D$1,Database!$A$1:$AS$1,),)))))</f>
        <v/>
      </c>
      <c r="E291" s="13">
        <f>IF(VLOOKUP(B291,Database!$A:$AV,MATCH($E$1,Database!$A$1:$AV$1,),)=0,"#N/A",((((VLOOKUP(B291,Database!$A:$AS,MATCH($E$1,Database!$A$1:$AS$1,),))))-(((VLOOKUP(EDATE(B291,-12),Database!$A:$AS,MATCH($E$1,Database!$A$1:$AS$1,),)))))/(((VLOOKUP(EDATE(B291,-12),Database!$A:$AS,MATCH($E$1,Database!$A$1:$AS$1,),)))))</f>
        <v/>
      </c>
      <c r="F291" s="13">
        <f>IF(VLOOKUP(B291,Database!$A:$AV,MATCH($F$1,Database!$A$1:$AV$1,),)=0,"#N/A",((((VLOOKUP(B291,Database!$A:$AS,MATCH($F$1,Database!$A$1:$AS$1,),))))-(((VLOOKUP(EDATE(B291,-12),Database!$A:$AS,MATCH($F$1,Database!$A$1:$AS$1,),)))))/(((VLOOKUP(EDATE(B291,-12),Database!$A:$AS,MATCH($F$1,Database!$A$1:$AS$1,),)))))</f>
        <v/>
      </c>
      <c r="G291" s="13">
        <f>IF(VLOOKUP(B291,Database!$A:$AV,MATCH($G$1,Database!$A$1:$AV$1,),)=0,"#N/A",((((VLOOKUP(B291,Database!$A:$AS,MATCH($G$1,Database!$A$1:$AS$1,),))))-(((VLOOKUP(EDATE(B291,-12),Database!$A:$AS,MATCH($G$1,Database!$A$1:$AS$1,),)))))/(((VLOOKUP(EDATE(B291,-12),Database!$A:$AS,MATCH($G$1,Database!$A$1:$AS$1,),)))))</f>
        <v/>
      </c>
      <c r="H291" s="13">
        <f>IF(VLOOKUP(B291,Database!$A:$AV,MATCH($H$1,Database!$A$1:$AV$1,),)=0,"#N/A",((((VLOOKUP(B291,Database!$A:$AS,MATCH($H$1,Database!$A$1:$AS$1,),))))-(((VLOOKUP(EDATE(B291,-12),Database!$A:$AS,MATCH($H$1,Database!$A$1:$AS$1,),)))))/(((VLOOKUP(EDATE(B291,-12),Database!$A:$AS,MATCH($H$1,Database!$A$1:$AS$1,),)))))</f>
        <v/>
      </c>
      <c r="I291" s="13">
        <f>IF(VLOOKUP(B291,Database!$A:$AV,MATCH($I$1,Database!$A$1:$AV$1,),)=0,"#N/A",((((VLOOKUP(B291,Database!$A:$AS,MATCH($I$1,Database!$A$1:$AS$1,),))))-(((VLOOKUP(EDATE(B291,-12),Database!$A:$AS,MATCH($I$1,Database!$A$1:$AS$1,),)))))/(((VLOOKUP(EDATE(B291,-12),Database!$A:$AS,MATCH($I$1,Database!$A$1:$AS$1,),)))))</f>
        <v/>
      </c>
      <c r="J291" s="13">
        <f>IF(VLOOKUP(B291,Database!$A:$AV,MATCH($J$1,Database!$A$1:$AV$1,),)=0,"#N/A",((((VLOOKUP(B291,Database!$A:$AS,MATCH($J$1,Database!$A$1:$AS$1,),))))-(((VLOOKUP(EDATE(B291,-12),Database!$A:$AS,MATCH($J$1,Database!$A$1:$AS$1,),)))))/(((VLOOKUP(EDATE(B291,-12),Database!$A:$AS,MATCH($J$1,Database!$A$1:$AS$1,),)))))</f>
        <v/>
      </c>
      <c r="K291" s="13">
        <f>IF(VLOOKUP(B291,Database!$A:$AV,MATCH($K$1,Database!$A$1:$AV$1,),)=0,"#N/A",((((VLOOKUP(B291,Database!$A:$AS,MATCH($K$1,Database!$A$1:$AS$1,),))))-(((VLOOKUP(EDATE(B291,-12),Database!$A:$AS,MATCH($K$1,Database!$A$1:$AS$1,),)))))/(((VLOOKUP(EDATE(B291,-12),Database!$A:$AS,MATCH($K$1,Database!$A$1:$AS$1,),)))))</f>
        <v/>
      </c>
      <c r="L291" s="13">
        <f>((((VLOOKUP(B291,Database!$A:$AS,MATCH($L$1,Database!$A$1:$AS$1,),))))-(((VLOOKUP(EDATE(B291,-12),Database!$A:$AS,MATCH($L$1,Database!$A$1:$AS$1,),)))))/(((VLOOKUP(EDATE(B291,-12),Database!$A:$AS,MATCH($L$1,Database!$A$1:$AS$1,),))))</f>
        <v/>
      </c>
      <c r="M291" s="13">
        <f>((((VLOOKUP(B291,Database!$A:$AS,MATCH($M$1,Database!$A$1:$AS$1,),))))-(((VLOOKUP(EDATE(B291,-12),Database!$A:$AS,MATCH($M$1,Database!$A$1:$AS$1,),)))))/(((VLOOKUP(EDATE(B291,-12),Database!$A:$AS,MATCH($M$1,Database!$A$1:$AS$1,),))))</f>
        <v/>
      </c>
      <c r="N291" s="13">
        <f>((((VLOOKUP(B291,Database!$A:$AS,MATCH($N$1,Database!$A$1:$AS$1,),))))-(((VLOOKUP(EDATE(B291,-12),Database!$A:$AS,MATCH($N$1,Database!$A$1:$AS$1,),)))))/(((VLOOKUP(EDATE(B291,-12),Database!$A:$AS,MATCH($N$1,Database!$A$1:$AS$1,),))))</f>
        <v/>
      </c>
      <c r="O291" s="13">
        <f>IF(VLOOKUP(B291,Database!$A:$AV,MATCH($O$1,Database!$A$1:$AV$1,),)=0,"#N/A",((((VLOOKUP(B291,Database!$A:$AS,MATCH($O$1,Database!$A$1:$AS$1,),))))-(((VLOOKUP(EDATE(B291,-12),Database!$A:$AS,MATCH($O$1,Database!$A$1:$AS$1,),)))))/(((VLOOKUP(EDATE(B291,-12),Database!$A:$AS,MATCH($O$1,Database!$A$1:$AS$1,),)))))</f>
        <v/>
      </c>
      <c r="P291" s="13">
        <f>IF(VLOOKUP(B291,Database!$A:$AV,MATCH($P$1,Database!$A$1:$AV$1,),)=0,"#N/A",((((VLOOKUP(B291,Database!$A:$AS,MATCH($P$1,Database!$A$1:$AS$1,),))))-(((VLOOKUP(EDATE(B291,-12),Database!$A:$AS,MATCH($P$1,Database!$A$1:$AS$1,),)))))/(((VLOOKUP(EDATE(B291,-12),Database!$A:$AS,MATCH($P$1,Database!$A$1:$AS$1,),)))))</f>
        <v/>
      </c>
      <c r="Q291" s="13">
        <f>IF(VLOOKUP(B291,Database!$A:$AV,MATCH($Q$1,Database!$A$1:$AV$1,),)=0,"#N/A",((((VLOOKUP(B291,Database!$A:$AS,MATCH($Q$1,Database!$A$1:$AS$1,),))))-(((VLOOKUP(EDATE(B291,-12),Database!$A:$AS,MATCH($Q$1,Database!$A$1:$AS$1,),)))))/(((VLOOKUP(EDATE(B291,-12),Database!$A:$AS,MATCH($Q$1,Database!$A$1:$AS$1,),)))))</f>
        <v/>
      </c>
      <c r="R291" s="13">
        <f>IF(VLOOKUP(B291,Database!$A:$AV,MATCH($R$1,Database!$A$1:$AV$1,),)=0,"#N/A",((((VLOOKUP(B291,Database!$A:$AS,MATCH($R$1,Database!$A$1:$AS$1,),))))-(((VLOOKUP(EDATE(B291,-12),Database!$A:$AS,MATCH($R$1,Database!$A$1:$AS$1,),)))))/(((VLOOKUP(EDATE(B291,-12),Database!$A:$AS,MATCH($R$1,Database!$A$1:$AS$1,),)))))</f>
        <v/>
      </c>
      <c r="S291" s="13">
        <f>IF(VLOOKUP(B291,Database!$A:$AV,MATCH($S$1,Database!$A$1:$AV$1,),)=0,"#N/A",((((VLOOKUP(B291,Database!$A:$AS,MATCH($S$1,Database!$A$1:$AS$1,),))))-(((VLOOKUP(EDATE(B291,-12),Database!$A:$AS,MATCH($S$1,Database!$A$1:$AS$1,),)))))/(((VLOOKUP(EDATE(B291,-12),Database!$A:$AS,MATCH($S$1,Database!$A$1:$AS$1,),)))))</f>
        <v/>
      </c>
      <c r="T291" s="13">
        <f>IF(VLOOKUP(B291,Database!$A:$AV,MATCH($T$1,Database!$A$1:$AV$1,),)=0,"#N/A",((((VLOOKUP(B291,Database!$A:$AS,MATCH($T$1,Database!$A$1:$AS$1,),))))-(((VLOOKUP(EDATE(B291,-12),Database!$A:$AS,MATCH($T$1,Database!$A$1:$AS$1,),)))))/(((VLOOKUP(EDATE(B291,-12),Database!$A:$AS,MATCH($T$1,Database!$A$1:$AS$1,),)))))</f>
        <v/>
      </c>
      <c r="U291" s="13">
        <f>IF(VLOOKUP(B291,Database!$A:$AV,MATCH($U$1,Database!$A$1:$AV$1,),)=0,"#N/A",((((VLOOKUP(B291,Database!$A:$AS,MATCH($U$1,Database!$A$1:$AS$1,),))))-(((VLOOKUP(EDATE(B291,-12),Database!$A:$AS,MATCH($U$1,Database!$A$1:$AS$1,),)))))/(((VLOOKUP(EDATE(B291,-12),Database!$A:$AS,MATCH($U$1,Database!$A$1:$AS$1,),)))))</f>
        <v/>
      </c>
      <c r="V291" s="13">
        <f>IF(VLOOKUP(B291,Database!$A:$AV,MATCH($V$1,Database!$A$1:$AV$1,),)=0,"#N/A",((((VLOOKUP(B291,Database!$A:$AS,MATCH($V$1,Database!$A$1:$AS$1,),))))-(((VLOOKUP(EDATE(B291,-12),Database!$A:$AS,MATCH($V$1,Database!$A$1:$AS$1,),)))))/(((VLOOKUP(EDATE(B291,-12),Database!$A:$AS,MATCH($V$1,Database!$A$1:$AS$1,),)))))</f>
        <v/>
      </c>
    </row>
    <row r="292" customFormat="1" s="86">
      <c r="A292" s="43" t="n"/>
      <c r="B292" s="75" t="n">
        <v>41030</v>
      </c>
      <c r="C292" s="13">
        <f>IF(VLOOKUP(B292,Database!$A:$AU,MATCH($C$1,Database!$A$1:$AU$1,),)=0,"#N/A",((((VLOOKUP(B292,Database!$A:$AU,MATCH($C$1,Database!$A$1:$AU$1,),))))-(((VLOOKUP(EDATE(B292,-12),Database!$A:$AU,MATCH($C$1,Database!$A$1:$AU$1,),)))))/(((VLOOKUP(EDATE(B292,-12),Database!$A:$AU,MATCH($C$1,Database!$A$1:$AU$1,),)))))</f>
        <v/>
      </c>
      <c r="D292" s="13">
        <f>IF(VLOOKUP(B292,Database!$A:$AV,MATCH($D$1,Database!$A$1:$AV$1,),)=0,"#N/A",((((VLOOKUP(B292,Database!$A:$AS,MATCH($D$1,Database!$A$1:$AS$1,),))))-(((VLOOKUP(EDATE(B292,-12),Database!$A:$AS,MATCH($D$1,Database!$A$1:$AS$1,),)))))/(((VLOOKUP(EDATE(B292,-12),Database!$A:$AS,MATCH($D$1,Database!$A$1:$AS$1,),)))))</f>
        <v/>
      </c>
      <c r="E292" s="13">
        <f>IF(VLOOKUP(B292,Database!$A:$AV,MATCH($E$1,Database!$A$1:$AV$1,),)=0,"#N/A",((((VLOOKUP(B292,Database!$A:$AS,MATCH($E$1,Database!$A$1:$AS$1,),))))-(((VLOOKUP(EDATE(B292,-12),Database!$A:$AS,MATCH($E$1,Database!$A$1:$AS$1,),)))))/(((VLOOKUP(EDATE(B292,-12),Database!$A:$AS,MATCH($E$1,Database!$A$1:$AS$1,),)))))</f>
        <v/>
      </c>
      <c r="F292" s="13">
        <f>IF(VLOOKUP(B292,Database!$A:$AV,MATCH($F$1,Database!$A$1:$AV$1,),)=0,"#N/A",((((VLOOKUP(B292,Database!$A:$AS,MATCH($F$1,Database!$A$1:$AS$1,),))))-(((VLOOKUP(EDATE(B292,-12),Database!$A:$AS,MATCH($F$1,Database!$A$1:$AS$1,),)))))/(((VLOOKUP(EDATE(B292,-12),Database!$A:$AS,MATCH($F$1,Database!$A$1:$AS$1,),)))))</f>
        <v/>
      </c>
      <c r="G292" s="13">
        <f>IF(VLOOKUP(B292,Database!$A:$AV,MATCH($G$1,Database!$A$1:$AV$1,),)=0,"#N/A",((((VLOOKUP(B292,Database!$A:$AS,MATCH($G$1,Database!$A$1:$AS$1,),))))-(((VLOOKUP(EDATE(B292,-12),Database!$A:$AS,MATCH($G$1,Database!$A$1:$AS$1,),)))))/(((VLOOKUP(EDATE(B292,-12),Database!$A:$AS,MATCH($G$1,Database!$A$1:$AS$1,),)))))</f>
        <v/>
      </c>
      <c r="H292" s="13">
        <f>IF(VLOOKUP(B292,Database!$A:$AV,MATCH($H$1,Database!$A$1:$AV$1,),)=0,"#N/A",((((VLOOKUP(B292,Database!$A:$AS,MATCH($H$1,Database!$A$1:$AS$1,),))))-(((VLOOKUP(EDATE(B292,-12),Database!$A:$AS,MATCH($H$1,Database!$A$1:$AS$1,),)))))/(((VLOOKUP(EDATE(B292,-12),Database!$A:$AS,MATCH($H$1,Database!$A$1:$AS$1,),)))))</f>
        <v/>
      </c>
      <c r="I292" s="13">
        <f>IF(VLOOKUP(B292,Database!$A:$AV,MATCH($I$1,Database!$A$1:$AV$1,),)=0,"#N/A",((((VLOOKUP(B292,Database!$A:$AS,MATCH($I$1,Database!$A$1:$AS$1,),))))-(((VLOOKUP(EDATE(B292,-12),Database!$A:$AS,MATCH($I$1,Database!$A$1:$AS$1,),)))))/(((VLOOKUP(EDATE(B292,-12),Database!$A:$AS,MATCH($I$1,Database!$A$1:$AS$1,),)))))</f>
        <v/>
      </c>
      <c r="J292" s="13">
        <f>IF(VLOOKUP(B292,Database!$A:$AV,MATCH($J$1,Database!$A$1:$AV$1,),)=0,"#N/A",((((VLOOKUP(B292,Database!$A:$AS,MATCH($J$1,Database!$A$1:$AS$1,),))))-(((VLOOKUP(EDATE(B292,-12),Database!$A:$AS,MATCH($J$1,Database!$A$1:$AS$1,),)))))/(((VLOOKUP(EDATE(B292,-12),Database!$A:$AS,MATCH($J$1,Database!$A$1:$AS$1,),)))))</f>
        <v/>
      </c>
      <c r="K292" s="13">
        <f>IF(VLOOKUP(B292,Database!$A:$AV,MATCH($K$1,Database!$A$1:$AV$1,),)=0,"#N/A",((((VLOOKUP(B292,Database!$A:$AS,MATCH($K$1,Database!$A$1:$AS$1,),))))-(((VLOOKUP(EDATE(B292,-12),Database!$A:$AS,MATCH($K$1,Database!$A$1:$AS$1,),)))))/(((VLOOKUP(EDATE(B292,-12),Database!$A:$AS,MATCH($K$1,Database!$A$1:$AS$1,),)))))</f>
        <v/>
      </c>
      <c r="L292" s="13">
        <f>((((VLOOKUP(B292,Database!$A:$AS,MATCH($L$1,Database!$A$1:$AS$1,),))))-(((VLOOKUP(EDATE(B292,-12),Database!$A:$AS,MATCH($L$1,Database!$A$1:$AS$1,),)))))/(((VLOOKUP(EDATE(B292,-12),Database!$A:$AS,MATCH($L$1,Database!$A$1:$AS$1,),))))</f>
        <v/>
      </c>
      <c r="M292" s="13">
        <f>((((VLOOKUP(B292,Database!$A:$AS,MATCH($M$1,Database!$A$1:$AS$1,),))))-(((VLOOKUP(EDATE(B292,-12),Database!$A:$AS,MATCH($M$1,Database!$A$1:$AS$1,),)))))/(((VLOOKUP(EDATE(B292,-12),Database!$A:$AS,MATCH($M$1,Database!$A$1:$AS$1,),))))</f>
        <v/>
      </c>
      <c r="N292" s="13">
        <f>((((VLOOKUP(B292,Database!$A:$AS,MATCH($N$1,Database!$A$1:$AS$1,),))))-(((VLOOKUP(EDATE(B292,-12),Database!$A:$AS,MATCH($N$1,Database!$A$1:$AS$1,),)))))/(((VLOOKUP(EDATE(B292,-12),Database!$A:$AS,MATCH($N$1,Database!$A$1:$AS$1,),))))</f>
        <v/>
      </c>
      <c r="O292" s="13">
        <f>IF(VLOOKUP(B292,Database!$A:$AV,MATCH($O$1,Database!$A$1:$AV$1,),)=0,"#N/A",((((VLOOKUP(B292,Database!$A:$AS,MATCH($O$1,Database!$A$1:$AS$1,),))))-(((VLOOKUP(EDATE(B292,-12),Database!$A:$AS,MATCH($O$1,Database!$A$1:$AS$1,),)))))/(((VLOOKUP(EDATE(B292,-12),Database!$A:$AS,MATCH($O$1,Database!$A$1:$AS$1,),)))))</f>
        <v/>
      </c>
      <c r="P292" s="13">
        <f>IF(VLOOKUP(B292,Database!$A:$AV,MATCH($P$1,Database!$A$1:$AV$1,),)=0,"#N/A",((((VLOOKUP(B292,Database!$A:$AS,MATCH($P$1,Database!$A$1:$AS$1,),))))-(((VLOOKUP(EDATE(B292,-12),Database!$A:$AS,MATCH($P$1,Database!$A$1:$AS$1,),)))))/(((VLOOKUP(EDATE(B292,-12),Database!$A:$AS,MATCH($P$1,Database!$A$1:$AS$1,),)))))</f>
        <v/>
      </c>
      <c r="Q292" s="13">
        <f>IF(VLOOKUP(B292,Database!$A:$AV,MATCH($Q$1,Database!$A$1:$AV$1,),)=0,"#N/A",((((VLOOKUP(B292,Database!$A:$AS,MATCH($Q$1,Database!$A$1:$AS$1,),))))-(((VLOOKUP(EDATE(B292,-12),Database!$A:$AS,MATCH($Q$1,Database!$A$1:$AS$1,),)))))/(((VLOOKUP(EDATE(B292,-12),Database!$A:$AS,MATCH($Q$1,Database!$A$1:$AS$1,),)))))</f>
        <v/>
      </c>
      <c r="R292" s="13">
        <f>IF(VLOOKUP(B292,Database!$A:$AV,MATCH($R$1,Database!$A$1:$AV$1,),)=0,"#N/A",((((VLOOKUP(B292,Database!$A:$AS,MATCH($R$1,Database!$A$1:$AS$1,),))))-(((VLOOKUP(EDATE(B292,-12),Database!$A:$AS,MATCH($R$1,Database!$A$1:$AS$1,),)))))/(((VLOOKUP(EDATE(B292,-12),Database!$A:$AS,MATCH($R$1,Database!$A$1:$AS$1,),)))))</f>
        <v/>
      </c>
      <c r="S292" s="13">
        <f>IF(VLOOKUP(B292,Database!$A:$AV,MATCH($S$1,Database!$A$1:$AV$1,),)=0,"#N/A",((((VLOOKUP(B292,Database!$A:$AS,MATCH($S$1,Database!$A$1:$AS$1,),))))-(((VLOOKUP(EDATE(B292,-12),Database!$A:$AS,MATCH($S$1,Database!$A$1:$AS$1,),)))))/(((VLOOKUP(EDATE(B292,-12),Database!$A:$AS,MATCH($S$1,Database!$A$1:$AS$1,),)))))</f>
        <v/>
      </c>
      <c r="T292" s="13">
        <f>IF(VLOOKUP(B292,Database!$A:$AV,MATCH($T$1,Database!$A$1:$AV$1,),)=0,"#N/A",((((VLOOKUP(B292,Database!$A:$AS,MATCH($T$1,Database!$A$1:$AS$1,),))))-(((VLOOKUP(EDATE(B292,-12),Database!$A:$AS,MATCH($T$1,Database!$A$1:$AS$1,),)))))/(((VLOOKUP(EDATE(B292,-12),Database!$A:$AS,MATCH($T$1,Database!$A$1:$AS$1,),)))))</f>
        <v/>
      </c>
      <c r="U292" s="13">
        <f>IF(VLOOKUP(B292,Database!$A:$AV,MATCH($U$1,Database!$A$1:$AV$1,),)=0,"#N/A",((((VLOOKUP(B292,Database!$A:$AS,MATCH($U$1,Database!$A$1:$AS$1,),))))-(((VLOOKUP(EDATE(B292,-12),Database!$A:$AS,MATCH($U$1,Database!$A$1:$AS$1,),)))))/(((VLOOKUP(EDATE(B292,-12),Database!$A:$AS,MATCH($U$1,Database!$A$1:$AS$1,),)))))</f>
        <v/>
      </c>
      <c r="V292" s="13">
        <f>IF(VLOOKUP(B292,Database!$A:$AV,MATCH($V$1,Database!$A$1:$AV$1,),)=0,"#N/A",((((VLOOKUP(B292,Database!$A:$AS,MATCH($V$1,Database!$A$1:$AS$1,),))))-(((VLOOKUP(EDATE(B292,-12),Database!$A:$AS,MATCH($V$1,Database!$A$1:$AS$1,),)))))/(((VLOOKUP(EDATE(B292,-12),Database!$A:$AS,MATCH($V$1,Database!$A$1:$AS$1,),)))))</f>
        <v/>
      </c>
    </row>
    <row r="293" customFormat="1" s="86">
      <c r="A293" s="43" t="n"/>
      <c r="B293" s="75" t="n">
        <v>41061</v>
      </c>
      <c r="C293" s="13">
        <f>IF(VLOOKUP(B293,Database!$A:$AU,MATCH($C$1,Database!$A$1:$AU$1,),)=0,"#N/A",((((VLOOKUP(B293,Database!$A:$AU,MATCH($C$1,Database!$A$1:$AU$1,),))))-(((VLOOKUP(EDATE(B293,-12),Database!$A:$AU,MATCH($C$1,Database!$A$1:$AU$1,),)))))/(((VLOOKUP(EDATE(B293,-12),Database!$A:$AU,MATCH($C$1,Database!$A$1:$AU$1,),)))))</f>
        <v/>
      </c>
      <c r="D293" s="13">
        <f>IF(VLOOKUP(B293,Database!$A:$AV,MATCH($D$1,Database!$A$1:$AV$1,),)=0,"#N/A",((((VLOOKUP(B293,Database!$A:$AS,MATCH($D$1,Database!$A$1:$AS$1,),))))-(((VLOOKUP(EDATE(B293,-12),Database!$A:$AS,MATCH($D$1,Database!$A$1:$AS$1,),)))))/(((VLOOKUP(EDATE(B293,-12),Database!$A:$AS,MATCH($D$1,Database!$A$1:$AS$1,),)))))</f>
        <v/>
      </c>
      <c r="E293" s="13">
        <f>IF(VLOOKUP(B293,Database!$A:$AV,MATCH($E$1,Database!$A$1:$AV$1,),)=0,"#N/A",((((VLOOKUP(B293,Database!$A:$AS,MATCH($E$1,Database!$A$1:$AS$1,),))))-(((VLOOKUP(EDATE(B293,-12),Database!$A:$AS,MATCH($E$1,Database!$A$1:$AS$1,),)))))/(((VLOOKUP(EDATE(B293,-12),Database!$A:$AS,MATCH($E$1,Database!$A$1:$AS$1,),)))))</f>
        <v/>
      </c>
      <c r="F293" s="13">
        <f>IF(VLOOKUP(B293,Database!$A:$AV,MATCH($F$1,Database!$A$1:$AV$1,),)=0,"#N/A",((((VLOOKUP(B293,Database!$A:$AS,MATCH($F$1,Database!$A$1:$AS$1,),))))-(((VLOOKUP(EDATE(B293,-12),Database!$A:$AS,MATCH($F$1,Database!$A$1:$AS$1,),)))))/(((VLOOKUP(EDATE(B293,-12),Database!$A:$AS,MATCH($F$1,Database!$A$1:$AS$1,),)))))</f>
        <v/>
      </c>
      <c r="G293" s="13">
        <f>IF(VLOOKUP(B293,Database!$A:$AV,MATCH($G$1,Database!$A$1:$AV$1,),)=0,"#N/A",((((VLOOKUP(B293,Database!$A:$AS,MATCH($G$1,Database!$A$1:$AS$1,),))))-(((VLOOKUP(EDATE(B293,-12),Database!$A:$AS,MATCH($G$1,Database!$A$1:$AS$1,),)))))/(((VLOOKUP(EDATE(B293,-12),Database!$A:$AS,MATCH($G$1,Database!$A$1:$AS$1,),)))))</f>
        <v/>
      </c>
      <c r="H293" s="13">
        <f>IF(VLOOKUP(B293,Database!$A:$AV,MATCH($H$1,Database!$A$1:$AV$1,),)=0,"#N/A",((((VLOOKUP(B293,Database!$A:$AS,MATCH($H$1,Database!$A$1:$AS$1,),))))-(((VLOOKUP(EDATE(B293,-12),Database!$A:$AS,MATCH($H$1,Database!$A$1:$AS$1,),)))))/(((VLOOKUP(EDATE(B293,-12),Database!$A:$AS,MATCH($H$1,Database!$A$1:$AS$1,),)))))</f>
        <v/>
      </c>
      <c r="I293" s="13">
        <f>IF(VLOOKUP(B293,Database!$A:$AV,MATCH($I$1,Database!$A$1:$AV$1,),)=0,"#N/A",((((VLOOKUP(B293,Database!$A:$AS,MATCH($I$1,Database!$A$1:$AS$1,),))))-(((VLOOKUP(EDATE(B293,-12),Database!$A:$AS,MATCH($I$1,Database!$A$1:$AS$1,),)))))/(((VLOOKUP(EDATE(B293,-12),Database!$A:$AS,MATCH($I$1,Database!$A$1:$AS$1,),)))))</f>
        <v/>
      </c>
      <c r="J293" s="13">
        <f>IF(VLOOKUP(B293,Database!$A:$AV,MATCH($J$1,Database!$A$1:$AV$1,),)=0,"#N/A",((((VLOOKUP(B293,Database!$A:$AS,MATCH($J$1,Database!$A$1:$AS$1,),))))-(((VLOOKUP(EDATE(B293,-12),Database!$A:$AS,MATCH($J$1,Database!$A$1:$AS$1,),)))))/(((VLOOKUP(EDATE(B293,-12),Database!$A:$AS,MATCH($J$1,Database!$A$1:$AS$1,),)))))</f>
        <v/>
      </c>
      <c r="K293" s="13">
        <f>IF(VLOOKUP(B293,Database!$A:$AV,MATCH($K$1,Database!$A$1:$AV$1,),)=0,"#N/A",((((VLOOKUP(B293,Database!$A:$AS,MATCH($K$1,Database!$A$1:$AS$1,),))))-(((VLOOKUP(EDATE(B293,-12),Database!$A:$AS,MATCH($K$1,Database!$A$1:$AS$1,),)))))/(((VLOOKUP(EDATE(B293,-12),Database!$A:$AS,MATCH($K$1,Database!$A$1:$AS$1,),)))))</f>
        <v/>
      </c>
      <c r="L293" s="13">
        <f>((((VLOOKUP(B293,Database!$A:$AS,MATCH($L$1,Database!$A$1:$AS$1,),))))-(((VLOOKUP(EDATE(B293,-12),Database!$A:$AS,MATCH($L$1,Database!$A$1:$AS$1,),)))))/(((VLOOKUP(EDATE(B293,-12),Database!$A:$AS,MATCH($L$1,Database!$A$1:$AS$1,),))))</f>
        <v/>
      </c>
      <c r="M293" s="13">
        <f>((((VLOOKUP(B293,Database!$A:$AS,MATCH($M$1,Database!$A$1:$AS$1,),))))-(((VLOOKUP(EDATE(B293,-12),Database!$A:$AS,MATCH($M$1,Database!$A$1:$AS$1,),)))))/(((VLOOKUP(EDATE(B293,-12),Database!$A:$AS,MATCH($M$1,Database!$A$1:$AS$1,),))))</f>
        <v/>
      </c>
      <c r="N293" s="13">
        <f>((((VLOOKUP(B293,Database!$A:$AS,MATCH($N$1,Database!$A$1:$AS$1,),))))-(((VLOOKUP(EDATE(B293,-12),Database!$A:$AS,MATCH($N$1,Database!$A$1:$AS$1,),)))))/(((VLOOKUP(EDATE(B293,-12),Database!$A:$AS,MATCH($N$1,Database!$A$1:$AS$1,),))))</f>
        <v/>
      </c>
      <c r="O293" s="13">
        <f>IF(VLOOKUP(B293,Database!$A:$AV,MATCH($O$1,Database!$A$1:$AV$1,),)=0,"#N/A",((((VLOOKUP(B293,Database!$A:$AS,MATCH($O$1,Database!$A$1:$AS$1,),))))-(((VLOOKUP(EDATE(B293,-12),Database!$A:$AS,MATCH($O$1,Database!$A$1:$AS$1,),)))))/(((VLOOKUP(EDATE(B293,-12),Database!$A:$AS,MATCH($O$1,Database!$A$1:$AS$1,),)))))</f>
        <v/>
      </c>
      <c r="P293" s="13">
        <f>IF(VLOOKUP(B293,Database!$A:$AV,MATCH($P$1,Database!$A$1:$AV$1,),)=0,"#N/A",((((VLOOKUP(B293,Database!$A:$AS,MATCH($P$1,Database!$A$1:$AS$1,),))))-(((VLOOKUP(EDATE(B293,-12),Database!$A:$AS,MATCH($P$1,Database!$A$1:$AS$1,),)))))/(((VLOOKUP(EDATE(B293,-12),Database!$A:$AS,MATCH($P$1,Database!$A$1:$AS$1,),)))))</f>
        <v/>
      </c>
      <c r="Q293" s="13">
        <f>IF(VLOOKUP(B293,Database!$A:$AV,MATCH($Q$1,Database!$A$1:$AV$1,),)=0,"#N/A",((((VLOOKUP(B293,Database!$A:$AS,MATCH($Q$1,Database!$A$1:$AS$1,),))))-(((VLOOKUP(EDATE(B293,-12),Database!$A:$AS,MATCH($Q$1,Database!$A$1:$AS$1,),)))))/(((VLOOKUP(EDATE(B293,-12),Database!$A:$AS,MATCH($Q$1,Database!$A$1:$AS$1,),)))))</f>
        <v/>
      </c>
      <c r="R293" s="13">
        <f>IF(VLOOKUP(B293,Database!$A:$AV,MATCH($R$1,Database!$A$1:$AV$1,),)=0,"#N/A",((((VLOOKUP(B293,Database!$A:$AS,MATCH($R$1,Database!$A$1:$AS$1,),))))-(((VLOOKUP(EDATE(B293,-12),Database!$A:$AS,MATCH($R$1,Database!$A$1:$AS$1,),)))))/(((VLOOKUP(EDATE(B293,-12),Database!$A:$AS,MATCH($R$1,Database!$A$1:$AS$1,),)))))</f>
        <v/>
      </c>
      <c r="S293" s="13">
        <f>IF(VLOOKUP(B293,Database!$A:$AV,MATCH($S$1,Database!$A$1:$AV$1,),)=0,"#N/A",((((VLOOKUP(B293,Database!$A:$AS,MATCH($S$1,Database!$A$1:$AS$1,),))))-(((VLOOKUP(EDATE(B293,-12),Database!$A:$AS,MATCH($S$1,Database!$A$1:$AS$1,),)))))/(((VLOOKUP(EDATE(B293,-12),Database!$A:$AS,MATCH($S$1,Database!$A$1:$AS$1,),)))))</f>
        <v/>
      </c>
      <c r="T293" s="13">
        <f>IF(VLOOKUP(B293,Database!$A:$AV,MATCH($T$1,Database!$A$1:$AV$1,),)=0,"#N/A",((((VLOOKUP(B293,Database!$A:$AS,MATCH($T$1,Database!$A$1:$AS$1,),))))-(((VLOOKUP(EDATE(B293,-12),Database!$A:$AS,MATCH($T$1,Database!$A$1:$AS$1,),)))))/(((VLOOKUP(EDATE(B293,-12),Database!$A:$AS,MATCH($T$1,Database!$A$1:$AS$1,),)))))</f>
        <v/>
      </c>
      <c r="U293" s="13">
        <f>IF(VLOOKUP(B293,Database!$A:$AV,MATCH($U$1,Database!$A$1:$AV$1,),)=0,"#N/A",((((VLOOKUP(B293,Database!$A:$AS,MATCH($U$1,Database!$A$1:$AS$1,),))))-(((VLOOKUP(EDATE(B293,-12),Database!$A:$AS,MATCH($U$1,Database!$A$1:$AS$1,),)))))/(((VLOOKUP(EDATE(B293,-12),Database!$A:$AS,MATCH($U$1,Database!$A$1:$AS$1,),)))))</f>
        <v/>
      </c>
      <c r="V293" s="13">
        <f>IF(VLOOKUP(B293,Database!$A:$AV,MATCH($V$1,Database!$A$1:$AV$1,),)=0,"#N/A",((((VLOOKUP(B293,Database!$A:$AS,MATCH($V$1,Database!$A$1:$AS$1,),))))-(((VLOOKUP(EDATE(B293,-12),Database!$A:$AS,MATCH($V$1,Database!$A$1:$AS$1,),)))))/(((VLOOKUP(EDATE(B293,-12),Database!$A:$AS,MATCH($V$1,Database!$A$1:$AS$1,),)))))</f>
        <v/>
      </c>
    </row>
    <row r="294" customFormat="1" s="86">
      <c r="A294" s="43" t="n"/>
      <c r="B294" s="75" t="n">
        <v>41091</v>
      </c>
      <c r="C294" s="13">
        <f>IF(VLOOKUP(B294,Database!$A:$AU,MATCH($C$1,Database!$A$1:$AU$1,),)=0,"#N/A",((((VLOOKUP(B294,Database!$A:$AU,MATCH($C$1,Database!$A$1:$AU$1,),))))-(((VLOOKUP(EDATE(B294,-12),Database!$A:$AU,MATCH($C$1,Database!$A$1:$AU$1,),)))))/(((VLOOKUP(EDATE(B294,-12),Database!$A:$AU,MATCH($C$1,Database!$A$1:$AU$1,),)))))</f>
        <v/>
      </c>
      <c r="D294" s="13">
        <f>IF(VLOOKUP(B294,Database!$A:$AV,MATCH($D$1,Database!$A$1:$AV$1,),)=0,"#N/A",((((VLOOKUP(B294,Database!$A:$AS,MATCH($D$1,Database!$A$1:$AS$1,),))))-(((VLOOKUP(EDATE(B294,-12),Database!$A:$AS,MATCH($D$1,Database!$A$1:$AS$1,),)))))/(((VLOOKUP(EDATE(B294,-12),Database!$A:$AS,MATCH($D$1,Database!$A$1:$AS$1,),)))))</f>
        <v/>
      </c>
      <c r="E294" s="13">
        <f>IF(VLOOKUP(B294,Database!$A:$AV,MATCH($E$1,Database!$A$1:$AV$1,),)=0,"#N/A",((((VLOOKUP(B294,Database!$A:$AS,MATCH($E$1,Database!$A$1:$AS$1,),))))-(((VLOOKUP(EDATE(B294,-12),Database!$A:$AS,MATCH($E$1,Database!$A$1:$AS$1,),)))))/(((VLOOKUP(EDATE(B294,-12),Database!$A:$AS,MATCH($E$1,Database!$A$1:$AS$1,),)))))</f>
        <v/>
      </c>
      <c r="F294" s="13">
        <f>IF(VLOOKUP(B294,Database!$A:$AV,MATCH($F$1,Database!$A$1:$AV$1,),)=0,"#N/A",((((VLOOKUP(B294,Database!$A:$AS,MATCH($F$1,Database!$A$1:$AS$1,),))))-(((VLOOKUP(EDATE(B294,-12),Database!$A:$AS,MATCH($F$1,Database!$A$1:$AS$1,),)))))/(((VLOOKUP(EDATE(B294,-12),Database!$A:$AS,MATCH($F$1,Database!$A$1:$AS$1,),)))))</f>
        <v/>
      </c>
      <c r="G294" s="13">
        <f>IF(VLOOKUP(B294,Database!$A:$AV,MATCH($G$1,Database!$A$1:$AV$1,),)=0,"#N/A",((((VLOOKUP(B294,Database!$A:$AS,MATCH($G$1,Database!$A$1:$AS$1,),))))-(((VLOOKUP(EDATE(B294,-12),Database!$A:$AS,MATCH($G$1,Database!$A$1:$AS$1,),)))))/(((VLOOKUP(EDATE(B294,-12),Database!$A:$AS,MATCH($G$1,Database!$A$1:$AS$1,),)))))</f>
        <v/>
      </c>
      <c r="H294" s="13">
        <f>IF(VLOOKUP(B294,Database!$A:$AV,MATCH($H$1,Database!$A$1:$AV$1,),)=0,"#N/A",((((VLOOKUP(B294,Database!$A:$AS,MATCH($H$1,Database!$A$1:$AS$1,),))))-(((VLOOKUP(EDATE(B294,-12),Database!$A:$AS,MATCH($H$1,Database!$A$1:$AS$1,),)))))/(((VLOOKUP(EDATE(B294,-12),Database!$A:$AS,MATCH($H$1,Database!$A$1:$AS$1,),)))))</f>
        <v/>
      </c>
      <c r="I294" s="13">
        <f>IF(VLOOKUP(B294,Database!$A:$AV,MATCH($I$1,Database!$A$1:$AV$1,),)=0,"#N/A",((((VLOOKUP(B294,Database!$A:$AS,MATCH($I$1,Database!$A$1:$AS$1,),))))-(((VLOOKUP(EDATE(B294,-12),Database!$A:$AS,MATCH($I$1,Database!$A$1:$AS$1,),)))))/(((VLOOKUP(EDATE(B294,-12),Database!$A:$AS,MATCH($I$1,Database!$A$1:$AS$1,),)))))</f>
        <v/>
      </c>
      <c r="J294" s="13">
        <f>IF(VLOOKUP(B294,Database!$A:$AV,MATCH($J$1,Database!$A$1:$AV$1,),)=0,"#N/A",((((VLOOKUP(B294,Database!$A:$AS,MATCH($J$1,Database!$A$1:$AS$1,),))))-(((VLOOKUP(EDATE(B294,-12),Database!$A:$AS,MATCH($J$1,Database!$A$1:$AS$1,),)))))/(((VLOOKUP(EDATE(B294,-12),Database!$A:$AS,MATCH($J$1,Database!$A$1:$AS$1,),)))))</f>
        <v/>
      </c>
      <c r="K294" s="13">
        <f>IF(VLOOKUP(B294,Database!$A:$AV,MATCH($K$1,Database!$A$1:$AV$1,),)=0,"#N/A",((((VLOOKUP(B294,Database!$A:$AS,MATCH($K$1,Database!$A$1:$AS$1,),))))-(((VLOOKUP(EDATE(B294,-12),Database!$A:$AS,MATCH($K$1,Database!$A$1:$AS$1,),)))))/(((VLOOKUP(EDATE(B294,-12),Database!$A:$AS,MATCH($K$1,Database!$A$1:$AS$1,),)))))</f>
        <v/>
      </c>
      <c r="L294" s="13">
        <f>((((VLOOKUP(B294,Database!$A:$AS,MATCH($L$1,Database!$A$1:$AS$1,),))))-(((VLOOKUP(EDATE(B294,-12),Database!$A:$AS,MATCH($L$1,Database!$A$1:$AS$1,),)))))/(((VLOOKUP(EDATE(B294,-12),Database!$A:$AS,MATCH($L$1,Database!$A$1:$AS$1,),))))</f>
        <v/>
      </c>
      <c r="M294" s="13">
        <f>((((VLOOKUP(B294,Database!$A:$AS,MATCH($M$1,Database!$A$1:$AS$1,),))))-(((VLOOKUP(EDATE(B294,-12),Database!$A:$AS,MATCH($M$1,Database!$A$1:$AS$1,),)))))/(((VLOOKUP(EDATE(B294,-12),Database!$A:$AS,MATCH($M$1,Database!$A$1:$AS$1,),))))</f>
        <v/>
      </c>
      <c r="N294" s="13">
        <f>((((VLOOKUP(B294,Database!$A:$AS,MATCH($N$1,Database!$A$1:$AS$1,),))))-(((VLOOKUP(EDATE(B294,-12),Database!$A:$AS,MATCH($N$1,Database!$A$1:$AS$1,),)))))/(((VLOOKUP(EDATE(B294,-12),Database!$A:$AS,MATCH($N$1,Database!$A$1:$AS$1,),))))</f>
        <v/>
      </c>
      <c r="O294" s="13">
        <f>IF(VLOOKUP(B294,Database!$A:$AV,MATCH($O$1,Database!$A$1:$AV$1,),)=0,"#N/A",((((VLOOKUP(B294,Database!$A:$AS,MATCH($O$1,Database!$A$1:$AS$1,),))))-(((VLOOKUP(EDATE(B294,-12),Database!$A:$AS,MATCH($O$1,Database!$A$1:$AS$1,),)))))/(((VLOOKUP(EDATE(B294,-12),Database!$A:$AS,MATCH($O$1,Database!$A$1:$AS$1,),)))))</f>
        <v/>
      </c>
      <c r="P294" s="13">
        <f>IF(VLOOKUP(B294,Database!$A:$AV,MATCH($P$1,Database!$A$1:$AV$1,),)=0,"#N/A",((((VLOOKUP(B294,Database!$A:$AS,MATCH($P$1,Database!$A$1:$AS$1,),))))-(((VLOOKUP(EDATE(B294,-12),Database!$A:$AS,MATCH($P$1,Database!$A$1:$AS$1,),)))))/(((VLOOKUP(EDATE(B294,-12),Database!$A:$AS,MATCH($P$1,Database!$A$1:$AS$1,),)))))</f>
        <v/>
      </c>
      <c r="Q294" s="13">
        <f>IF(VLOOKUP(B294,Database!$A:$AV,MATCH($Q$1,Database!$A$1:$AV$1,),)=0,"#N/A",((((VLOOKUP(B294,Database!$A:$AS,MATCH($Q$1,Database!$A$1:$AS$1,),))))-(((VLOOKUP(EDATE(B294,-12),Database!$A:$AS,MATCH($Q$1,Database!$A$1:$AS$1,),)))))/(((VLOOKUP(EDATE(B294,-12),Database!$A:$AS,MATCH($Q$1,Database!$A$1:$AS$1,),)))))</f>
        <v/>
      </c>
      <c r="R294" s="13">
        <f>IF(VLOOKUP(B294,Database!$A:$AV,MATCH($R$1,Database!$A$1:$AV$1,),)=0,"#N/A",((((VLOOKUP(B294,Database!$A:$AS,MATCH($R$1,Database!$A$1:$AS$1,),))))-(((VLOOKUP(EDATE(B294,-12),Database!$A:$AS,MATCH($R$1,Database!$A$1:$AS$1,),)))))/(((VLOOKUP(EDATE(B294,-12),Database!$A:$AS,MATCH($R$1,Database!$A$1:$AS$1,),)))))</f>
        <v/>
      </c>
      <c r="S294" s="13">
        <f>IF(VLOOKUP(B294,Database!$A:$AV,MATCH($S$1,Database!$A$1:$AV$1,),)=0,"#N/A",((((VLOOKUP(B294,Database!$A:$AS,MATCH($S$1,Database!$A$1:$AS$1,),))))-(((VLOOKUP(EDATE(B294,-12),Database!$A:$AS,MATCH($S$1,Database!$A$1:$AS$1,),)))))/(((VLOOKUP(EDATE(B294,-12),Database!$A:$AS,MATCH($S$1,Database!$A$1:$AS$1,),)))))</f>
        <v/>
      </c>
      <c r="T294" s="13">
        <f>IF(VLOOKUP(B294,Database!$A:$AV,MATCH($T$1,Database!$A$1:$AV$1,),)=0,"#N/A",((((VLOOKUP(B294,Database!$A:$AS,MATCH($T$1,Database!$A$1:$AS$1,),))))-(((VLOOKUP(EDATE(B294,-12),Database!$A:$AS,MATCH($T$1,Database!$A$1:$AS$1,),)))))/(((VLOOKUP(EDATE(B294,-12),Database!$A:$AS,MATCH($T$1,Database!$A$1:$AS$1,),)))))</f>
        <v/>
      </c>
      <c r="U294" s="13">
        <f>IF(VLOOKUP(B294,Database!$A:$AV,MATCH($U$1,Database!$A$1:$AV$1,),)=0,"#N/A",((((VLOOKUP(B294,Database!$A:$AS,MATCH($U$1,Database!$A$1:$AS$1,),))))-(((VLOOKUP(EDATE(B294,-12),Database!$A:$AS,MATCH($U$1,Database!$A$1:$AS$1,),)))))/(((VLOOKUP(EDATE(B294,-12),Database!$A:$AS,MATCH($U$1,Database!$A$1:$AS$1,),)))))</f>
        <v/>
      </c>
      <c r="V294" s="13">
        <f>IF(VLOOKUP(B294,Database!$A:$AV,MATCH($V$1,Database!$A$1:$AV$1,),)=0,"#N/A",((((VLOOKUP(B294,Database!$A:$AS,MATCH($V$1,Database!$A$1:$AS$1,),))))-(((VLOOKUP(EDATE(B294,-12),Database!$A:$AS,MATCH($V$1,Database!$A$1:$AS$1,),)))))/(((VLOOKUP(EDATE(B294,-12),Database!$A:$AS,MATCH($V$1,Database!$A$1:$AS$1,),)))))</f>
        <v/>
      </c>
    </row>
    <row r="295" customFormat="1" s="86">
      <c r="A295" s="43" t="n"/>
      <c r="B295" s="75" t="n">
        <v>41122</v>
      </c>
      <c r="C295" s="13">
        <f>IF(VLOOKUP(B295,Database!$A:$AU,MATCH($C$1,Database!$A$1:$AU$1,),)=0,"#N/A",((((VLOOKUP(B295,Database!$A:$AU,MATCH($C$1,Database!$A$1:$AU$1,),))))-(((VLOOKUP(EDATE(B295,-12),Database!$A:$AU,MATCH($C$1,Database!$A$1:$AU$1,),)))))/(((VLOOKUP(EDATE(B295,-12),Database!$A:$AU,MATCH($C$1,Database!$A$1:$AU$1,),)))))</f>
        <v/>
      </c>
      <c r="D295" s="13">
        <f>IF(VLOOKUP(B295,Database!$A:$AV,MATCH($D$1,Database!$A$1:$AV$1,),)=0,"#N/A",((((VLOOKUP(B295,Database!$A:$AS,MATCH($D$1,Database!$A$1:$AS$1,),))))-(((VLOOKUP(EDATE(B295,-12),Database!$A:$AS,MATCH($D$1,Database!$A$1:$AS$1,),)))))/(((VLOOKUP(EDATE(B295,-12),Database!$A:$AS,MATCH($D$1,Database!$A$1:$AS$1,),)))))</f>
        <v/>
      </c>
      <c r="E295" s="13">
        <f>IF(VLOOKUP(B295,Database!$A:$AV,MATCH($E$1,Database!$A$1:$AV$1,),)=0,"#N/A",((((VLOOKUP(B295,Database!$A:$AS,MATCH($E$1,Database!$A$1:$AS$1,),))))-(((VLOOKUP(EDATE(B295,-12),Database!$A:$AS,MATCH($E$1,Database!$A$1:$AS$1,),)))))/(((VLOOKUP(EDATE(B295,-12),Database!$A:$AS,MATCH($E$1,Database!$A$1:$AS$1,),)))))</f>
        <v/>
      </c>
      <c r="F295" s="13">
        <f>IF(VLOOKUP(B295,Database!$A:$AV,MATCH($F$1,Database!$A$1:$AV$1,),)=0,"#N/A",((((VLOOKUP(B295,Database!$A:$AS,MATCH($F$1,Database!$A$1:$AS$1,),))))-(((VLOOKUP(EDATE(B295,-12),Database!$A:$AS,MATCH($F$1,Database!$A$1:$AS$1,),)))))/(((VLOOKUP(EDATE(B295,-12),Database!$A:$AS,MATCH($F$1,Database!$A$1:$AS$1,),)))))</f>
        <v/>
      </c>
      <c r="G295" s="13">
        <f>IF(VLOOKUP(B295,Database!$A:$AV,MATCH($G$1,Database!$A$1:$AV$1,),)=0,"#N/A",((((VLOOKUP(B295,Database!$A:$AS,MATCH($G$1,Database!$A$1:$AS$1,),))))-(((VLOOKUP(EDATE(B295,-12),Database!$A:$AS,MATCH($G$1,Database!$A$1:$AS$1,),)))))/(((VLOOKUP(EDATE(B295,-12),Database!$A:$AS,MATCH($G$1,Database!$A$1:$AS$1,),)))))</f>
        <v/>
      </c>
      <c r="H295" s="13">
        <f>IF(VLOOKUP(B295,Database!$A:$AV,MATCH($H$1,Database!$A$1:$AV$1,),)=0,"#N/A",((((VLOOKUP(B295,Database!$A:$AS,MATCH($H$1,Database!$A$1:$AS$1,),))))-(((VLOOKUP(EDATE(B295,-12),Database!$A:$AS,MATCH($H$1,Database!$A$1:$AS$1,),)))))/(((VLOOKUP(EDATE(B295,-12),Database!$A:$AS,MATCH($H$1,Database!$A$1:$AS$1,),)))))</f>
        <v/>
      </c>
      <c r="I295" s="13">
        <f>IF(VLOOKUP(B295,Database!$A:$AV,MATCH($I$1,Database!$A$1:$AV$1,),)=0,"#N/A",((((VLOOKUP(B295,Database!$A:$AS,MATCH($I$1,Database!$A$1:$AS$1,),))))-(((VLOOKUP(EDATE(B295,-12),Database!$A:$AS,MATCH($I$1,Database!$A$1:$AS$1,),)))))/(((VLOOKUP(EDATE(B295,-12),Database!$A:$AS,MATCH($I$1,Database!$A$1:$AS$1,),)))))</f>
        <v/>
      </c>
      <c r="J295" s="13">
        <f>IF(VLOOKUP(B295,Database!$A:$AV,MATCH($J$1,Database!$A$1:$AV$1,),)=0,"#N/A",((((VLOOKUP(B295,Database!$A:$AS,MATCH($J$1,Database!$A$1:$AS$1,),))))-(((VLOOKUP(EDATE(B295,-12),Database!$A:$AS,MATCH($J$1,Database!$A$1:$AS$1,),)))))/(((VLOOKUP(EDATE(B295,-12),Database!$A:$AS,MATCH($J$1,Database!$A$1:$AS$1,),)))))</f>
        <v/>
      </c>
      <c r="K295" s="13">
        <f>IF(VLOOKUP(B295,Database!$A:$AV,MATCH($K$1,Database!$A$1:$AV$1,),)=0,"#N/A",((((VLOOKUP(B295,Database!$A:$AS,MATCH($K$1,Database!$A$1:$AS$1,),))))-(((VLOOKUP(EDATE(B295,-12),Database!$A:$AS,MATCH($K$1,Database!$A$1:$AS$1,),)))))/(((VLOOKUP(EDATE(B295,-12),Database!$A:$AS,MATCH($K$1,Database!$A$1:$AS$1,),)))))</f>
        <v/>
      </c>
      <c r="L295" s="13">
        <f>((((VLOOKUP(B295,Database!$A:$AS,MATCH($L$1,Database!$A$1:$AS$1,),))))-(((VLOOKUP(EDATE(B295,-12),Database!$A:$AS,MATCH($L$1,Database!$A$1:$AS$1,),)))))/(((VLOOKUP(EDATE(B295,-12),Database!$A:$AS,MATCH($L$1,Database!$A$1:$AS$1,),))))</f>
        <v/>
      </c>
      <c r="M295" s="13">
        <f>((((VLOOKUP(B295,Database!$A:$AS,MATCH($M$1,Database!$A$1:$AS$1,),))))-(((VLOOKUP(EDATE(B295,-12),Database!$A:$AS,MATCH($M$1,Database!$A$1:$AS$1,),)))))/(((VLOOKUP(EDATE(B295,-12),Database!$A:$AS,MATCH($M$1,Database!$A$1:$AS$1,),))))</f>
        <v/>
      </c>
      <c r="N295" s="13">
        <f>((((VLOOKUP(B295,Database!$A:$AS,MATCH($N$1,Database!$A$1:$AS$1,),))))-(((VLOOKUP(EDATE(B295,-12),Database!$A:$AS,MATCH($N$1,Database!$A$1:$AS$1,),)))))/(((VLOOKUP(EDATE(B295,-12),Database!$A:$AS,MATCH($N$1,Database!$A$1:$AS$1,),))))</f>
        <v/>
      </c>
      <c r="O295" s="13">
        <f>IF(VLOOKUP(B295,Database!$A:$AV,MATCH($O$1,Database!$A$1:$AV$1,),)=0,"#N/A",((((VLOOKUP(B295,Database!$A:$AS,MATCH($O$1,Database!$A$1:$AS$1,),))))-(((VLOOKUP(EDATE(B295,-12),Database!$A:$AS,MATCH($O$1,Database!$A$1:$AS$1,),)))))/(((VLOOKUP(EDATE(B295,-12),Database!$A:$AS,MATCH($O$1,Database!$A$1:$AS$1,),)))))</f>
        <v/>
      </c>
      <c r="P295" s="13">
        <f>IF(VLOOKUP(B295,Database!$A:$AV,MATCH($P$1,Database!$A$1:$AV$1,),)=0,"#N/A",((((VLOOKUP(B295,Database!$A:$AS,MATCH($P$1,Database!$A$1:$AS$1,),))))-(((VLOOKUP(EDATE(B295,-12),Database!$A:$AS,MATCH($P$1,Database!$A$1:$AS$1,),)))))/(((VLOOKUP(EDATE(B295,-12),Database!$A:$AS,MATCH($P$1,Database!$A$1:$AS$1,),)))))</f>
        <v/>
      </c>
      <c r="Q295" s="13">
        <f>IF(VLOOKUP(B295,Database!$A:$AV,MATCH($Q$1,Database!$A$1:$AV$1,),)=0,"#N/A",((((VLOOKUP(B295,Database!$A:$AS,MATCH($Q$1,Database!$A$1:$AS$1,),))))-(((VLOOKUP(EDATE(B295,-12),Database!$A:$AS,MATCH($Q$1,Database!$A$1:$AS$1,),)))))/(((VLOOKUP(EDATE(B295,-12),Database!$A:$AS,MATCH($Q$1,Database!$A$1:$AS$1,),)))))</f>
        <v/>
      </c>
      <c r="R295" s="13">
        <f>IF(VLOOKUP(B295,Database!$A:$AV,MATCH($R$1,Database!$A$1:$AV$1,),)=0,"#N/A",((((VLOOKUP(B295,Database!$A:$AS,MATCH($R$1,Database!$A$1:$AS$1,),))))-(((VLOOKUP(EDATE(B295,-12),Database!$A:$AS,MATCH($R$1,Database!$A$1:$AS$1,),)))))/(((VLOOKUP(EDATE(B295,-12),Database!$A:$AS,MATCH($R$1,Database!$A$1:$AS$1,),)))))</f>
        <v/>
      </c>
      <c r="S295" s="13">
        <f>IF(VLOOKUP(B295,Database!$A:$AV,MATCH($S$1,Database!$A$1:$AV$1,),)=0,"#N/A",((((VLOOKUP(B295,Database!$A:$AS,MATCH($S$1,Database!$A$1:$AS$1,),))))-(((VLOOKUP(EDATE(B295,-12),Database!$A:$AS,MATCH($S$1,Database!$A$1:$AS$1,),)))))/(((VLOOKUP(EDATE(B295,-12),Database!$A:$AS,MATCH($S$1,Database!$A$1:$AS$1,),)))))</f>
        <v/>
      </c>
      <c r="T295" s="13">
        <f>IF(VLOOKUP(B295,Database!$A:$AV,MATCH($T$1,Database!$A$1:$AV$1,),)=0,"#N/A",((((VLOOKUP(B295,Database!$A:$AS,MATCH($T$1,Database!$A$1:$AS$1,),))))-(((VLOOKUP(EDATE(B295,-12),Database!$A:$AS,MATCH($T$1,Database!$A$1:$AS$1,),)))))/(((VLOOKUP(EDATE(B295,-12),Database!$A:$AS,MATCH($T$1,Database!$A$1:$AS$1,),)))))</f>
        <v/>
      </c>
      <c r="U295" s="13">
        <f>IF(VLOOKUP(B295,Database!$A:$AV,MATCH($U$1,Database!$A$1:$AV$1,),)=0,"#N/A",((((VLOOKUP(B295,Database!$A:$AS,MATCH($U$1,Database!$A$1:$AS$1,),))))-(((VLOOKUP(EDATE(B295,-12),Database!$A:$AS,MATCH($U$1,Database!$A$1:$AS$1,),)))))/(((VLOOKUP(EDATE(B295,-12),Database!$A:$AS,MATCH($U$1,Database!$A$1:$AS$1,),)))))</f>
        <v/>
      </c>
      <c r="V295" s="13">
        <f>IF(VLOOKUP(B295,Database!$A:$AV,MATCH($V$1,Database!$A$1:$AV$1,),)=0,"#N/A",((((VLOOKUP(B295,Database!$A:$AS,MATCH($V$1,Database!$A$1:$AS$1,),))))-(((VLOOKUP(EDATE(B295,-12),Database!$A:$AS,MATCH($V$1,Database!$A$1:$AS$1,),)))))/(((VLOOKUP(EDATE(B295,-12),Database!$A:$AS,MATCH($V$1,Database!$A$1:$AS$1,),)))))</f>
        <v/>
      </c>
    </row>
    <row r="296" customFormat="1" s="86">
      <c r="A296" s="43" t="n"/>
      <c r="B296" s="75" t="n">
        <v>41153</v>
      </c>
      <c r="C296" s="13">
        <f>IF(VLOOKUP(B296,Database!$A:$AU,MATCH($C$1,Database!$A$1:$AU$1,),)=0,"#N/A",((((VLOOKUP(B296,Database!$A:$AU,MATCH($C$1,Database!$A$1:$AU$1,),))))-(((VLOOKUP(EDATE(B296,-12),Database!$A:$AU,MATCH($C$1,Database!$A$1:$AU$1,),)))))/(((VLOOKUP(EDATE(B296,-12),Database!$A:$AU,MATCH($C$1,Database!$A$1:$AU$1,),)))))</f>
        <v/>
      </c>
      <c r="D296" s="13">
        <f>IF(VLOOKUP(B296,Database!$A:$AV,MATCH($D$1,Database!$A$1:$AV$1,),)=0,"#N/A",((((VLOOKUP(B296,Database!$A:$AS,MATCH($D$1,Database!$A$1:$AS$1,),))))-(((VLOOKUP(EDATE(B296,-12),Database!$A:$AS,MATCH($D$1,Database!$A$1:$AS$1,),)))))/(((VLOOKUP(EDATE(B296,-12),Database!$A:$AS,MATCH($D$1,Database!$A$1:$AS$1,),)))))</f>
        <v/>
      </c>
      <c r="E296" s="13">
        <f>IF(VLOOKUP(B296,Database!$A:$AV,MATCH($E$1,Database!$A$1:$AV$1,),)=0,"#N/A",((((VLOOKUP(B296,Database!$A:$AS,MATCH($E$1,Database!$A$1:$AS$1,),))))-(((VLOOKUP(EDATE(B296,-12),Database!$A:$AS,MATCH($E$1,Database!$A$1:$AS$1,),)))))/(((VLOOKUP(EDATE(B296,-12),Database!$A:$AS,MATCH($E$1,Database!$A$1:$AS$1,),)))))</f>
        <v/>
      </c>
      <c r="F296" s="13">
        <f>IF(VLOOKUP(B296,Database!$A:$AV,MATCH($F$1,Database!$A$1:$AV$1,),)=0,"#N/A",((((VLOOKUP(B296,Database!$A:$AS,MATCH($F$1,Database!$A$1:$AS$1,),))))-(((VLOOKUP(EDATE(B296,-12),Database!$A:$AS,MATCH($F$1,Database!$A$1:$AS$1,),)))))/(((VLOOKUP(EDATE(B296,-12),Database!$A:$AS,MATCH($F$1,Database!$A$1:$AS$1,),)))))</f>
        <v/>
      </c>
      <c r="G296" s="13">
        <f>IF(VLOOKUP(B296,Database!$A:$AV,MATCH($G$1,Database!$A$1:$AV$1,),)=0,"#N/A",((((VLOOKUP(B296,Database!$A:$AS,MATCH($G$1,Database!$A$1:$AS$1,),))))-(((VLOOKUP(EDATE(B296,-12),Database!$A:$AS,MATCH($G$1,Database!$A$1:$AS$1,),)))))/(((VLOOKUP(EDATE(B296,-12),Database!$A:$AS,MATCH($G$1,Database!$A$1:$AS$1,),)))))</f>
        <v/>
      </c>
      <c r="H296" s="13">
        <f>IF(VLOOKUP(B296,Database!$A:$AV,MATCH($H$1,Database!$A$1:$AV$1,),)=0,"#N/A",((((VLOOKUP(B296,Database!$A:$AS,MATCH($H$1,Database!$A$1:$AS$1,),))))-(((VLOOKUP(EDATE(B296,-12),Database!$A:$AS,MATCH($H$1,Database!$A$1:$AS$1,),)))))/(((VLOOKUP(EDATE(B296,-12),Database!$A:$AS,MATCH($H$1,Database!$A$1:$AS$1,),)))))</f>
        <v/>
      </c>
      <c r="I296" s="13">
        <f>IF(VLOOKUP(B296,Database!$A:$AV,MATCH($I$1,Database!$A$1:$AV$1,),)=0,"#N/A",((((VLOOKUP(B296,Database!$A:$AS,MATCH($I$1,Database!$A$1:$AS$1,),))))-(((VLOOKUP(EDATE(B296,-12),Database!$A:$AS,MATCH($I$1,Database!$A$1:$AS$1,),)))))/(((VLOOKUP(EDATE(B296,-12),Database!$A:$AS,MATCH($I$1,Database!$A$1:$AS$1,),)))))</f>
        <v/>
      </c>
      <c r="J296" s="13">
        <f>IF(VLOOKUP(B296,Database!$A:$AV,MATCH($J$1,Database!$A$1:$AV$1,),)=0,"#N/A",((((VLOOKUP(B296,Database!$A:$AS,MATCH($J$1,Database!$A$1:$AS$1,),))))-(((VLOOKUP(EDATE(B296,-12),Database!$A:$AS,MATCH($J$1,Database!$A$1:$AS$1,),)))))/(((VLOOKUP(EDATE(B296,-12),Database!$A:$AS,MATCH($J$1,Database!$A$1:$AS$1,),)))))</f>
        <v/>
      </c>
      <c r="K296" s="13">
        <f>IF(VLOOKUP(B296,Database!$A:$AV,MATCH($K$1,Database!$A$1:$AV$1,),)=0,"#N/A",((((VLOOKUP(B296,Database!$A:$AS,MATCH($K$1,Database!$A$1:$AS$1,),))))-(((VLOOKUP(EDATE(B296,-12),Database!$A:$AS,MATCH($K$1,Database!$A$1:$AS$1,),)))))/(((VLOOKUP(EDATE(B296,-12),Database!$A:$AS,MATCH($K$1,Database!$A$1:$AS$1,),)))))</f>
        <v/>
      </c>
      <c r="L296" s="13">
        <f>((((VLOOKUP(B296,Database!$A:$AS,MATCH($L$1,Database!$A$1:$AS$1,),))))-(((VLOOKUP(EDATE(B296,-12),Database!$A:$AS,MATCH($L$1,Database!$A$1:$AS$1,),)))))/(((VLOOKUP(EDATE(B296,-12),Database!$A:$AS,MATCH($L$1,Database!$A$1:$AS$1,),))))</f>
        <v/>
      </c>
      <c r="M296" s="13">
        <f>((((VLOOKUP(B296,Database!$A:$AS,MATCH($M$1,Database!$A$1:$AS$1,),))))-(((VLOOKUP(EDATE(B296,-12),Database!$A:$AS,MATCH($M$1,Database!$A$1:$AS$1,),)))))/(((VLOOKUP(EDATE(B296,-12),Database!$A:$AS,MATCH($M$1,Database!$A$1:$AS$1,),))))</f>
        <v/>
      </c>
      <c r="N296" s="13">
        <f>((((VLOOKUP(B296,Database!$A:$AS,MATCH($N$1,Database!$A$1:$AS$1,),))))-(((VLOOKUP(EDATE(B296,-12),Database!$A:$AS,MATCH($N$1,Database!$A$1:$AS$1,),)))))/(((VLOOKUP(EDATE(B296,-12),Database!$A:$AS,MATCH($N$1,Database!$A$1:$AS$1,),))))</f>
        <v/>
      </c>
      <c r="O296" s="13">
        <f>IF(VLOOKUP(B296,Database!$A:$AV,MATCH($O$1,Database!$A$1:$AV$1,),)=0,"#N/A",((((VLOOKUP(B296,Database!$A:$AS,MATCH($O$1,Database!$A$1:$AS$1,),))))-(((VLOOKUP(EDATE(B296,-12),Database!$A:$AS,MATCH($O$1,Database!$A$1:$AS$1,),)))))/(((VLOOKUP(EDATE(B296,-12),Database!$A:$AS,MATCH($O$1,Database!$A$1:$AS$1,),)))))</f>
        <v/>
      </c>
      <c r="P296" s="13">
        <f>IF(VLOOKUP(B296,Database!$A:$AV,MATCH($P$1,Database!$A$1:$AV$1,),)=0,"#N/A",((((VLOOKUP(B296,Database!$A:$AS,MATCH($P$1,Database!$A$1:$AS$1,),))))-(((VLOOKUP(EDATE(B296,-12),Database!$A:$AS,MATCH($P$1,Database!$A$1:$AS$1,),)))))/(((VLOOKUP(EDATE(B296,-12),Database!$A:$AS,MATCH($P$1,Database!$A$1:$AS$1,),)))))</f>
        <v/>
      </c>
      <c r="Q296" s="13">
        <f>IF(VLOOKUP(B296,Database!$A:$AV,MATCH($Q$1,Database!$A$1:$AV$1,),)=0,"#N/A",((((VLOOKUP(B296,Database!$A:$AS,MATCH($Q$1,Database!$A$1:$AS$1,),))))-(((VLOOKUP(EDATE(B296,-12),Database!$A:$AS,MATCH($Q$1,Database!$A$1:$AS$1,),)))))/(((VLOOKUP(EDATE(B296,-12),Database!$A:$AS,MATCH($Q$1,Database!$A$1:$AS$1,),)))))</f>
        <v/>
      </c>
      <c r="R296" s="13">
        <f>IF(VLOOKUP(B296,Database!$A:$AV,MATCH($R$1,Database!$A$1:$AV$1,),)=0,"#N/A",((((VLOOKUP(B296,Database!$A:$AS,MATCH($R$1,Database!$A$1:$AS$1,),))))-(((VLOOKUP(EDATE(B296,-12),Database!$A:$AS,MATCH($R$1,Database!$A$1:$AS$1,),)))))/(((VLOOKUP(EDATE(B296,-12),Database!$A:$AS,MATCH($R$1,Database!$A$1:$AS$1,),)))))</f>
        <v/>
      </c>
      <c r="S296" s="13">
        <f>IF(VLOOKUP(B296,Database!$A:$AV,MATCH($S$1,Database!$A$1:$AV$1,),)=0,"#N/A",((((VLOOKUP(B296,Database!$A:$AS,MATCH($S$1,Database!$A$1:$AS$1,),))))-(((VLOOKUP(EDATE(B296,-12),Database!$A:$AS,MATCH($S$1,Database!$A$1:$AS$1,),)))))/(((VLOOKUP(EDATE(B296,-12),Database!$A:$AS,MATCH($S$1,Database!$A$1:$AS$1,),)))))</f>
        <v/>
      </c>
      <c r="T296" s="13">
        <f>IF(VLOOKUP(B296,Database!$A:$AV,MATCH($T$1,Database!$A$1:$AV$1,),)=0,"#N/A",((((VLOOKUP(B296,Database!$A:$AS,MATCH($T$1,Database!$A$1:$AS$1,),))))-(((VLOOKUP(EDATE(B296,-12),Database!$A:$AS,MATCH($T$1,Database!$A$1:$AS$1,),)))))/(((VLOOKUP(EDATE(B296,-12),Database!$A:$AS,MATCH($T$1,Database!$A$1:$AS$1,),)))))</f>
        <v/>
      </c>
      <c r="U296" s="13">
        <f>IF(VLOOKUP(B296,Database!$A:$AV,MATCH($U$1,Database!$A$1:$AV$1,),)=0,"#N/A",((((VLOOKUP(B296,Database!$A:$AS,MATCH($U$1,Database!$A$1:$AS$1,),))))-(((VLOOKUP(EDATE(B296,-12),Database!$A:$AS,MATCH($U$1,Database!$A$1:$AS$1,),)))))/(((VLOOKUP(EDATE(B296,-12),Database!$A:$AS,MATCH($U$1,Database!$A$1:$AS$1,),)))))</f>
        <v/>
      </c>
      <c r="V296" s="13">
        <f>IF(VLOOKUP(B296,Database!$A:$AV,MATCH($V$1,Database!$A$1:$AV$1,),)=0,"#N/A",((((VLOOKUP(B296,Database!$A:$AS,MATCH($V$1,Database!$A$1:$AS$1,),))))-(((VLOOKUP(EDATE(B296,-12),Database!$A:$AS,MATCH($V$1,Database!$A$1:$AS$1,),)))))/(((VLOOKUP(EDATE(B296,-12),Database!$A:$AS,MATCH($V$1,Database!$A$1:$AS$1,),)))))</f>
        <v/>
      </c>
    </row>
    <row r="297" customFormat="1" s="86">
      <c r="A297" s="43" t="n"/>
      <c r="B297" s="75" t="n">
        <v>41183</v>
      </c>
      <c r="C297" s="13">
        <f>IF(VLOOKUP(B297,Database!$A:$AU,MATCH($C$1,Database!$A$1:$AU$1,),)=0,"#N/A",((((VLOOKUP(B297,Database!$A:$AU,MATCH($C$1,Database!$A$1:$AU$1,),))))-(((VLOOKUP(EDATE(B297,-12),Database!$A:$AU,MATCH($C$1,Database!$A$1:$AU$1,),)))))/(((VLOOKUP(EDATE(B297,-12),Database!$A:$AU,MATCH($C$1,Database!$A$1:$AU$1,),)))))</f>
        <v/>
      </c>
      <c r="D297" s="13">
        <f>IF(VLOOKUP(B297,Database!$A:$AV,MATCH($D$1,Database!$A$1:$AV$1,),)=0,"#N/A",((((VLOOKUP(B297,Database!$A:$AS,MATCH($D$1,Database!$A$1:$AS$1,),))))-(((VLOOKUP(EDATE(B297,-12),Database!$A:$AS,MATCH($D$1,Database!$A$1:$AS$1,),)))))/(((VLOOKUP(EDATE(B297,-12),Database!$A:$AS,MATCH($D$1,Database!$A$1:$AS$1,),)))))</f>
        <v/>
      </c>
      <c r="E297" s="13">
        <f>IF(VLOOKUP(B297,Database!$A:$AV,MATCH($E$1,Database!$A$1:$AV$1,),)=0,"#N/A",((((VLOOKUP(B297,Database!$A:$AS,MATCH($E$1,Database!$A$1:$AS$1,),))))-(((VLOOKUP(EDATE(B297,-12),Database!$A:$AS,MATCH($E$1,Database!$A$1:$AS$1,),)))))/(((VLOOKUP(EDATE(B297,-12),Database!$A:$AS,MATCH($E$1,Database!$A$1:$AS$1,),)))))</f>
        <v/>
      </c>
      <c r="F297" s="13">
        <f>IF(VLOOKUP(B297,Database!$A:$AV,MATCH($F$1,Database!$A$1:$AV$1,),)=0,"#N/A",((((VLOOKUP(B297,Database!$A:$AS,MATCH($F$1,Database!$A$1:$AS$1,),))))-(((VLOOKUP(EDATE(B297,-12),Database!$A:$AS,MATCH($F$1,Database!$A$1:$AS$1,),)))))/(((VLOOKUP(EDATE(B297,-12),Database!$A:$AS,MATCH($F$1,Database!$A$1:$AS$1,),)))))</f>
        <v/>
      </c>
      <c r="G297" s="13">
        <f>IF(VLOOKUP(B297,Database!$A:$AV,MATCH($G$1,Database!$A$1:$AV$1,),)=0,"#N/A",((((VLOOKUP(B297,Database!$A:$AS,MATCH($G$1,Database!$A$1:$AS$1,),))))-(((VLOOKUP(EDATE(B297,-12),Database!$A:$AS,MATCH($G$1,Database!$A$1:$AS$1,),)))))/(((VLOOKUP(EDATE(B297,-12),Database!$A:$AS,MATCH($G$1,Database!$A$1:$AS$1,),)))))</f>
        <v/>
      </c>
      <c r="H297" s="13">
        <f>IF(VLOOKUP(B297,Database!$A:$AV,MATCH($H$1,Database!$A$1:$AV$1,),)=0,"#N/A",((((VLOOKUP(B297,Database!$A:$AS,MATCH($H$1,Database!$A$1:$AS$1,),))))-(((VLOOKUP(EDATE(B297,-12),Database!$A:$AS,MATCH($H$1,Database!$A$1:$AS$1,),)))))/(((VLOOKUP(EDATE(B297,-12),Database!$A:$AS,MATCH($H$1,Database!$A$1:$AS$1,),)))))</f>
        <v/>
      </c>
      <c r="I297" s="13">
        <f>IF(VLOOKUP(B297,Database!$A:$AV,MATCH($I$1,Database!$A$1:$AV$1,),)=0,"#N/A",((((VLOOKUP(B297,Database!$A:$AS,MATCH($I$1,Database!$A$1:$AS$1,),))))-(((VLOOKUP(EDATE(B297,-12),Database!$A:$AS,MATCH($I$1,Database!$A$1:$AS$1,),)))))/(((VLOOKUP(EDATE(B297,-12),Database!$A:$AS,MATCH($I$1,Database!$A$1:$AS$1,),)))))</f>
        <v/>
      </c>
      <c r="J297" s="13">
        <f>IF(VLOOKUP(B297,Database!$A:$AV,MATCH($J$1,Database!$A$1:$AV$1,),)=0,"#N/A",((((VLOOKUP(B297,Database!$A:$AS,MATCH($J$1,Database!$A$1:$AS$1,),))))-(((VLOOKUP(EDATE(B297,-12),Database!$A:$AS,MATCH($J$1,Database!$A$1:$AS$1,),)))))/(((VLOOKUP(EDATE(B297,-12),Database!$A:$AS,MATCH($J$1,Database!$A$1:$AS$1,),)))))</f>
        <v/>
      </c>
      <c r="K297" s="13">
        <f>IF(VLOOKUP(B297,Database!$A:$AV,MATCH($K$1,Database!$A$1:$AV$1,),)=0,"#N/A",((((VLOOKUP(B297,Database!$A:$AS,MATCH($K$1,Database!$A$1:$AS$1,),))))-(((VLOOKUP(EDATE(B297,-12),Database!$A:$AS,MATCH($K$1,Database!$A$1:$AS$1,),)))))/(((VLOOKUP(EDATE(B297,-12),Database!$A:$AS,MATCH($K$1,Database!$A$1:$AS$1,),)))))</f>
        <v/>
      </c>
      <c r="L297" s="13">
        <f>((((VLOOKUP(B297,Database!$A:$AS,MATCH($L$1,Database!$A$1:$AS$1,),))))-(((VLOOKUP(EDATE(B297,-12),Database!$A:$AS,MATCH($L$1,Database!$A$1:$AS$1,),)))))/(((VLOOKUP(EDATE(B297,-12),Database!$A:$AS,MATCH($L$1,Database!$A$1:$AS$1,),))))</f>
        <v/>
      </c>
      <c r="M297" s="13">
        <f>((((VLOOKUP(B297,Database!$A:$AS,MATCH($M$1,Database!$A$1:$AS$1,),))))-(((VLOOKUP(EDATE(B297,-12),Database!$A:$AS,MATCH($M$1,Database!$A$1:$AS$1,),)))))/(((VLOOKUP(EDATE(B297,-12),Database!$A:$AS,MATCH($M$1,Database!$A$1:$AS$1,),))))</f>
        <v/>
      </c>
      <c r="N297" s="13">
        <f>((((VLOOKUP(B297,Database!$A:$AS,MATCH($N$1,Database!$A$1:$AS$1,),))))-(((VLOOKUP(EDATE(B297,-12),Database!$A:$AS,MATCH($N$1,Database!$A$1:$AS$1,),)))))/(((VLOOKUP(EDATE(B297,-12),Database!$A:$AS,MATCH($N$1,Database!$A$1:$AS$1,),))))</f>
        <v/>
      </c>
      <c r="O297" s="13">
        <f>IF(VLOOKUP(B297,Database!$A:$AV,MATCH($O$1,Database!$A$1:$AV$1,),)=0,"#N/A",((((VLOOKUP(B297,Database!$A:$AS,MATCH($O$1,Database!$A$1:$AS$1,),))))-(((VLOOKUP(EDATE(B297,-12),Database!$A:$AS,MATCH($O$1,Database!$A$1:$AS$1,),)))))/(((VLOOKUP(EDATE(B297,-12),Database!$A:$AS,MATCH($O$1,Database!$A$1:$AS$1,),)))))</f>
        <v/>
      </c>
      <c r="P297" s="13">
        <f>IF(VLOOKUP(B297,Database!$A:$AV,MATCH($P$1,Database!$A$1:$AV$1,),)=0,"#N/A",((((VLOOKUP(B297,Database!$A:$AS,MATCH($P$1,Database!$A$1:$AS$1,),))))-(((VLOOKUP(EDATE(B297,-12),Database!$A:$AS,MATCH($P$1,Database!$A$1:$AS$1,),)))))/(((VLOOKUP(EDATE(B297,-12),Database!$A:$AS,MATCH($P$1,Database!$A$1:$AS$1,),)))))</f>
        <v/>
      </c>
      <c r="Q297" s="13">
        <f>IF(VLOOKUP(B297,Database!$A:$AV,MATCH($Q$1,Database!$A$1:$AV$1,),)=0,"#N/A",((((VLOOKUP(B297,Database!$A:$AS,MATCH($Q$1,Database!$A$1:$AS$1,),))))-(((VLOOKUP(EDATE(B297,-12),Database!$A:$AS,MATCH($Q$1,Database!$A$1:$AS$1,),)))))/(((VLOOKUP(EDATE(B297,-12),Database!$A:$AS,MATCH($Q$1,Database!$A$1:$AS$1,),)))))</f>
        <v/>
      </c>
      <c r="R297" s="13">
        <f>IF(VLOOKUP(B297,Database!$A:$AV,MATCH($R$1,Database!$A$1:$AV$1,),)=0,"#N/A",((((VLOOKUP(B297,Database!$A:$AS,MATCH($R$1,Database!$A$1:$AS$1,),))))-(((VLOOKUP(EDATE(B297,-12),Database!$A:$AS,MATCH($R$1,Database!$A$1:$AS$1,),)))))/(((VLOOKUP(EDATE(B297,-12),Database!$A:$AS,MATCH($R$1,Database!$A$1:$AS$1,),)))))</f>
        <v/>
      </c>
      <c r="S297" s="13">
        <f>IF(VLOOKUP(B297,Database!$A:$AV,MATCH($S$1,Database!$A$1:$AV$1,),)=0,"#N/A",((((VLOOKUP(B297,Database!$A:$AS,MATCH($S$1,Database!$A$1:$AS$1,),))))-(((VLOOKUP(EDATE(B297,-12),Database!$A:$AS,MATCH($S$1,Database!$A$1:$AS$1,),)))))/(((VLOOKUP(EDATE(B297,-12),Database!$A:$AS,MATCH($S$1,Database!$A$1:$AS$1,),)))))</f>
        <v/>
      </c>
      <c r="T297" s="13">
        <f>IF(VLOOKUP(B297,Database!$A:$AV,MATCH($T$1,Database!$A$1:$AV$1,),)=0,"#N/A",((((VLOOKUP(B297,Database!$A:$AS,MATCH($T$1,Database!$A$1:$AS$1,),))))-(((VLOOKUP(EDATE(B297,-12),Database!$A:$AS,MATCH($T$1,Database!$A$1:$AS$1,),)))))/(((VLOOKUP(EDATE(B297,-12),Database!$A:$AS,MATCH($T$1,Database!$A$1:$AS$1,),)))))</f>
        <v/>
      </c>
      <c r="U297" s="13">
        <f>IF(VLOOKUP(B297,Database!$A:$AV,MATCH($U$1,Database!$A$1:$AV$1,),)=0,"#N/A",((((VLOOKUP(B297,Database!$A:$AS,MATCH($U$1,Database!$A$1:$AS$1,),))))-(((VLOOKUP(EDATE(B297,-12),Database!$A:$AS,MATCH($U$1,Database!$A$1:$AS$1,),)))))/(((VLOOKUP(EDATE(B297,-12),Database!$A:$AS,MATCH($U$1,Database!$A$1:$AS$1,),)))))</f>
        <v/>
      </c>
      <c r="V297" s="13">
        <f>IF(VLOOKUP(B297,Database!$A:$AV,MATCH($V$1,Database!$A$1:$AV$1,),)=0,"#N/A",((((VLOOKUP(B297,Database!$A:$AS,MATCH($V$1,Database!$A$1:$AS$1,),))))-(((VLOOKUP(EDATE(B297,-12),Database!$A:$AS,MATCH($V$1,Database!$A$1:$AS$1,),)))))/(((VLOOKUP(EDATE(B297,-12),Database!$A:$AS,MATCH($V$1,Database!$A$1:$AS$1,),)))))</f>
        <v/>
      </c>
    </row>
    <row r="298" customFormat="1" s="86">
      <c r="A298" s="43" t="n"/>
      <c r="B298" s="75" t="n">
        <v>41214</v>
      </c>
      <c r="C298" s="13">
        <f>IF(VLOOKUP(B298,Database!$A:$AU,MATCH($C$1,Database!$A$1:$AU$1,),)=0,"#N/A",((((VLOOKUP(B298,Database!$A:$AU,MATCH($C$1,Database!$A$1:$AU$1,),))))-(((VLOOKUP(EDATE(B298,-12),Database!$A:$AU,MATCH($C$1,Database!$A$1:$AU$1,),)))))/(((VLOOKUP(EDATE(B298,-12),Database!$A:$AU,MATCH($C$1,Database!$A$1:$AU$1,),)))))</f>
        <v/>
      </c>
      <c r="D298" s="13">
        <f>IF(VLOOKUP(B298,Database!$A:$AV,MATCH($D$1,Database!$A$1:$AV$1,),)=0,"#N/A",((((VLOOKUP(B298,Database!$A:$AS,MATCH($D$1,Database!$A$1:$AS$1,),))))-(((VLOOKUP(EDATE(B298,-12),Database!$A:$AS,MATCH($D$1,Database!$A$1:$AS$1,),)))))/(((VLOOKUP(EDATE(B298,-12),Database!$A:$AS,MATCH($D$1,Database!$A$1:$AS$1,),)))))</f>
        <v/>
      </c>
      <c r="E298" s="13">
        <f>IF(VLOOKUP(B298,Database!$A:$AV,MATCH($E$1,Database!$A$1:$AV$1,),)=0,"#N/A",((((VLOOKUP(B298,Database!$A:$AS,MATCH($E$1,Database!$A$1:$AS$1,),))))-(((VLOOKUP(EDATE(B298,-12),Database!$A:$AS,MATCH($E$1,Database!$A$1:$AS$1,),)))))/(((VLOOKUP(EDATE(B298,-12),Database!$A:$AS,MATCH($E$1,Database!$A$1:$AS$1,),)))))</f>
        <v/>
      </c>
      <c r="F298" s="13">
        <f>IF(VLOOKUP(B298,Database!$A:$AV,MATCH($F$1,Database!$A$1:$AV$1,),)=0,"#N/A",((((VLOOKUP(B298,Database!$A:$AS,MATCH($F$1,Database!$A$1:$AS$1,),))))-(((VLOOKUP(EDATE(B298,-12),Database!$A:$AS,MATCH($F$1,Database!$A$1:$AS$1,),)))))/(((VLOOKUP(EDATE(B298,-12),Database!$A:$AS,MATCH($F$1,Database!$A$1:$AS$1,),)))))</f>
        <v/>
      </c>
      <c r="G298" s="13">
        <f>IF(VLOOKUP(B298,Database!$A:$AV,MATCH($G$1,Database!$A$1:$AV$1,),)=0,"#N/A",((((VLOOKUP(B298,Database!$A:$AS,MATCH($G$1,Database!$A$1:$AS$1,),))))-(((VLOOKUP(EDATE(B298,-12),Database!$A:$AS,MATCH($G$1,Database!$A$1:$AS$1,),)))))/(((VLOOKUP(EDATE(B298,-12),Database!$A:$AS,MATCH($G$1,Database!$A$1:$AS$1,),)))))</f>
        <v/>
      </c>
      <c r="H298" s="13">
        <f>IF(VLOOKUP(B298,Database!$A:$AV,MATCH($H$1,Database!$A$1:$AV$1,),)=0,"#N/A",((((VLOOKUP(B298,Database!$A:$AS,MATCH($H$1,Database!$A$1:$AS$1,),))))-(((VLOOKUP(EDATE(B298,-12),Database!$A:$AS,MATCH($H$1,Database!$A$1:$AS$1,),)))))/(((VLOOKUP(EDATE(B298,-12),Database!$A:$AS,MATCH($H$1,Database!$A$1:$AS$1,),)))))</f>
        <v/>
      </c>
      <c r="I298" s="13">
        <f>IF(VLOOKUP(B298,Database!$A:$AV,MATCH($I$1,Database!$A$1:$AV$1,),)=0,"#N/A",((((VLOOKUP(B298,Database!$A:$AS,MATCH($I$1,Database!$A$1:$AS$1,),))))-(((VLOOKUP(EDATE(B298,-12),Database!$A:$AS,MATCH($I$1,Database!$A$1:$AS$1,),)))))/(((VLOOKUP(EDATE(B298,-12),Database!$A:$AS,MATCH($I$1,Database!$A$1:$AS$1,),)))))</f>
        <v/>
      </c>
      <c r="J298" s="13">
        <f>IF(VLOOKUP(B298,Database!$A:$AV,MATCH($J$1,Database!$A$1:$AV$1,),)=0,"#N/A",((((VLOOKUP(B298,Database!$A:$AS,MATCH($J$1,Database!$A$1:$AS$1,),))))-(((VLOOKUP(EDATE(B298,-12),Database!$A:$AS,MATCH($J$1,Database!$A$1:$AS$1,),)))))/(((VLOOKUP(EDATE(B298,-12),Database!$A:$AS,MATCH($J$1,Database!$A$1:$AS$1,),)))))</f>
        <v/>
      </c>
      <c r="K298" s="13">
        <f>IF(VLOOKUP(B298,Database!$A:$AV,MATCH($K$1,Database!$A$1:$AV$1,),)=0,"#N/A",((((VLOOKUP(B298,Database!$A:$AS,MATCH($K$1,Database!$A$1:$AS$1,),))))-(((VLOOKUP(EDATE(B298,-12),Database!$A:$AS,MATCH($K$1,Database!$A$1:$AS$1,),)))))/(((VLOOKUP(EDATE(B298,-12),Database!$A:$AS,MATCH($K$1,Database!$A$1:$AS$1,),)))))</f>
        <v/>
      </c>
      <c r="L298" s="13">
        <f>((((VLOOKUP(B298,Database!$A:$AS,MATCH($L$1,Database!$A$1:$AS$1,),))))-(((VLOOKUP(EDATE(B298,-12),Database!$A:$AS,MATCH($L$1,Database!$A$1:$AS$1,),)))))/(((VLOOKUP(EDATE(B298,-12),Database!$A:$AS,MATCH($L$1,Database!$A$1:$AS$1,),))))</f>
        <v/>
      </c>
      <c r="M298" s="13">
        <f>((((VLOOKUP(B298,Database!$A:$AS,MATCH($M$1,Database!$A$1:$AS$1,),))))-(((VLOOKUP(EDATE(B298,-12),Database!$A:$AS,MATCH($M$1,Database!$A$1:$AS$1,),)))))/(((VLOOKUP(EDATE(B298,-12),Database!$A:$AS,MATCH($M$1,Database!$A$1:$AS$1,),))))</f>
        <v/>
      </c>
      <c r="N298" s="13">
        <f>((((VLOOKUP(B298,Database!$A:$AS,MATCH($N$1,Database!$A$1:$AS$1,),))))-(((VLOOKUP(EDATE(B298,-12),Database!$A:$AS,MATCH($N$1,Database!$A$1:$AS$1,),)))))/(((VLOOKUP(EDATE(B298,-12),Database!$A:$AS,MATCH($N$1,Database!$A$1:$AS$1,),))))</f>
        <v/>
      </c>
      <c r="O298" s="13">
        <f>IF(VLOOKUP(B298,Database!$A:$AV,MATCH($O$1,Database!$A$1:$AV$1,),)=0,"#N/A",((((VLOOKUP(B298,Database!$A:$AS,MATCH($O$1,Database!$A$1:$AS$1,),))))-(((VLOOKUP(EDATE(B298,-12),Database!$A:$AS,MATCH($O$1,Database!$A$1:$AS$1,),)))))/(((VLOOKUP(EDATE(B298,-12),Database!$A:$AS,MATCH($O$1,Database!$A$1:$AS$1,),)))))</f>
        <v/>
      </c>
      <c r="P298" s="13">
        <f>IF(VLOOKUP(B298,Database!$A:$AV,MATCH($P$1,Database!$A$1:$AV$1,),)=0,"#N/A",((((VLOOKUP(B298,Database!$A:$AS,MATCH($P$1,Database!$A$1:$AS$1,),))))-(((VLOOKUP(EDATE(B298,-12),Database!$A:$AS,MATCH($P$1,Database!$A$1:$AS$1,),)))))/(((VLOOKUP(EDATE(B298,-12),Database!$A:$AS,MATCH($P$1,Database!$A$1:$AS$1,),)))))</f>
        <v/>
      </c>
      <c r="Q298" s="13">
        <f>IF(VLOOKUP(B298,Database!$A:$AV,MATCH($Q$1,Database!$A$1:$AV$1,),)=0,"#N/A",((((VLOOKUP(B298,Database!$A:$AS,MATCH($Q$1,Database!$A$1:$AS$1,),))))-(((VLOOKUP(EDATE(B298,-12),Database!$A:$AS,MATCH($Q$1,Database!$A$1:$AS$1,),)))))/(((VLOOKUP(EDATE(B298,-12),Database!$A:$AS,MATCH($Q$1,Database!$A$1:$AS$1,),)))))</f>
        <v/>
      </c>
      <c r="R298" s="13">
        <f>IF(VLOOKUP(B298,Database!$A:$AV,MATCH($R$1,Database!$A$1:$AV$1,),)=0,"#N/A",((((VLOOKUP(B298,Database!$A:$AS,MATCH($R$1,Database!$A$1:$AS$1,),))))-(((VLOOKUP(EDATE(B298,-12),Database!$A:$AS,MATCH($R$1,Database!$A$1:$AS$1,),)))))/(((VLOOKUP(EDATE(B298,-12),Database!$A:$AS,MATCH($R$1,Database!$A$1:$AS$1,),)))))</f>
        <v/>
      </c>
      <c r="S298" s="13">
        <f>IF(VLOOKUP(B298,Database!$A:$AV,MATCH($S$1,Database!$A$1:$AV$1,),)=0,"#N/A",((((VLOOKUP(B298,Database!$A:$AS,MATCH($S$1,Database!$A$1:$AS$1,),))))-(((VLOOKUP(EDATE(B298,-12),Database!$A:$AS,MATCH($S$1,Database!$A$1:$AS$1,),)))))/(((VLOOKUP(EDATE(B298,-12),Database!$A:$AS,MATCH($S$1,Database!$A$1:$AS$1,),)))))</f>
        <v/>
      </c>
      <c r="T298" s="13">
        <f>IF(VLOOKUP(B298,Database!$A:$AV,MATCH($T$1,Database!$A$1:$AV$1,),)=0,"#N/A",((((VLOOKUP(B298,Database!$A:$AS,MATCH($T$1,Database!$A$1:$AS$1,),))))-(((VLOOKUP(EDATE(B298,-12),Database!$A:$AS,MATCH($T$1,Database!$A$1:$AS$1,),)))))/(((VLOOKUP(EDATE(B298,-12),Database!$A:$AS,MATCH($T$1,Database!$A$1:$AS$1,),)))))</f>
        <v/>
      </c>
      <c r="U298" s="13">
        <f>IF(VLOOKUP(B298,Database!$A:$AV,MATCH($U$1,Database!$A$1:$AV$1,),)=0,"#N/A",((((VLOOKUP(B298,Database!$A:$AS,MATCH($U$1,Database!$A$1:$AS$1,),))))-(((VLOOKUP(EDATE(B298,-12),Database!$A:$AS,MATCH($U$1,Database!$A$1:$AS$1,),)))))/(((VLOOKUP(EDATE(B298,-12),Database!$A:$AS,MATCH($U$1,Database!$A$1:$AS$1,),)))))</f>
        <v/>
      </c>
      <c r="V298" s="13">
        <f>IF(VLOOKUP(B298,Database!$A:$AV,MATCH($V$1,Database!$A$1:$AV$1,),)=0,"#N/A",((((VLOOKUP(B298,Database!$A:$AS,MATCH($V$1,Database!$A$1:$AS$1,),))))-(((VLOOKUP(EDATE(B298,-12),Database!$A:$AS,MATCH($V$1,Database!$A$1:$AS$1,),)))))/(((VLOOKUP(EDATE(B298,-12),Database!$A:$AS,MATCH($V$1,Database!$A$1:$AS$1,),)))))</f>
        <v/>
      </c>
    </row>
    <row r="299" customFormat="1" s="86">
      <c r="A299" s="43" t="n"/>
      <c r="B299" s="75" t="n">
        <v>41244</v>
      </c>
      <c r="C299" s="13">
        <f>IF(VLOOKUP(B299,Database!$A:$AU,MATCH($C$1,Database!$A$1:$AU$1,),)=0,"#N/A",((((VLOOKUP(B299,Database!$A:$AU,MATCH($C$1,Database!$A$1:$AU$1,),))))-(((VLOOKUP(EDATE(B299,-12),Database!$A:$AU,MATCH($C$1,Database!$A$1:$AU$1,),)))))/(((VLOOKUP(EDATE(B299,-12),Database!$A:$AU,MATCH($C$1,Database!$A$1:$AU$1,),)))))</f>
        <v/>
      </c>
      <c r="D299" s="13">
        <f>IF(VLOOKUP(B299,Database!$A:$AV,MATCH($D$1,Database!$A$1:$AV$1,),)=0,"#N/A",((((VLOOKUP(B299,Database!$A:$AS,MATCH($D$1,Database!$A$1:$AS$1,),))))-(((VLOOKUP(EDATE(B299,-12),Database!$A:$AS,MATCH($D$1,Database!$A$1:$AS$1,),)))))/(((VLOOKUP(EDATE(B299,-12),Database!$A:$AS,MATCH($D$1,Database!$A$1:$AS$1,),)))))</f>
        <v/>
      </c>
      <c r="E299" s="13">
        <f>IF(VLOOKUP(B299,Database!$A:$AV,MATCH($E$1,Database!$A$1:$AV$1,),)=0,"#N/A",((((VLOOKUP(B299,Database!$A:$AS,MATCH($E$1,Database!$A$1:$AS$1,),))))-(((VLOOKUP(EDATE(B299,-12),Database!$A:$AS,MATCH($E$1,Database!$A$1:$AS$1,),)))))/(((VLOOKUP(EDATE(B299,-12),Database!$A:$AS,MATCH($E$1,Database!$A$1:$AS$1,),)))))</f>
        <v/>
      </c>
      <c r="F299" s="13">
        <f>IF(VLOOKUP(B299,Database!$A:$AV,MATCH($F$1,Database!$A$1:$AV$1,),)=0,"#N/A",((((VLOOKUP(B299,Database!$A:$AS,MATCH($F$1,Database!$A$1:$AS$1,),))))-(((VLOOKUP(EDATE(B299,-12),Database!$A:$AS,MATCH($F$1,Database!$A$1:$AS$1,),)))))/(((VLOOKUP(EDATE(B299,-12),Database!$A:$AS,MATCH($F$1,Database!$A$1:$AS$1,),)))))</f>
        <v/>
      </c>
      <c r="G299" s="13">
        <f>IF(VLOOKUP(B299,Database!$A:$AV,MATCH($G$1,Database!$A$1:$AV$1,),)=0,"#N/A",((((VLOOKUP(B299,Database!$A:$AS,MATCH($G$1,Database!$A$1:$AS$1,),))))-(((VLOOKUP(EDATE(B299,-12),Database!$A:$AS,MATCH($G$1,Database!$A$1:$AS$1,),)))))/(((VLOOKUP(EDATE(B299,-12),Database!$A:$AS,MATCH($G$1,Database!$A$1:$AS$1,),)))))</f>
        <v/>
      </c>
      <c r="H299" s="13">
        <f>IF(VLOOKUP(B299,Database!$A:$AV,MATCH($H$1,Database!$A$1:$AV$1,),)=0,"#N/A",((((VLOOKUP(B299,Database!$A:$AS,MATCH($H$1,Database!$A$1:$AS$1,),))))-(((VLOOKUP(EDATE(B299,-12),Database!$A:$AS,MATCH($H$1,Database!$A$1:$AS$1,),)))))/(((VLOOKUP(EDATE(B299,-12),Database!$A:$AS,MATCH($H$1,Database!$A$1:$AS$1,),)))))</f>
        <v/>
      </c>
      <c r="I299" s="13">
        <f>IF(VLOOKUP(B299,Database!$A:$AV,MATCH($I$1,Database!$A$1:$AV$1,),)=0,"#N/A",((((VLOOKUP(B299,Database!$A:$AS,MATCH($I$1,Database!$A$1:$AS$1,),))))-(((VLOOKUP(EDATE(B299,-12),Database!$A:$AS,MATCH($I$1,Database!$A$1:$AS$1,),)))))/(((VLOOKUP(EDATE(B299,-12),Database!$A:$AS,MATCH($I$1,Database!$A$1:$AS$1,),)))))</f>
        <v/>
      </c>
      <c r="J299" s="13">
        <f>IF(VLOOKUP(B299,Database!$A:$AV,MATCH($J$1,Database!$A$1:$AV$1,),)=0,"#N/A",((((VLOOKUP(B299,Database!$A:$AS,MATCH($J$1,Database!$A$1:$AS$1,),))))-(((VLOOKUP(EDATE(B299,-12),Database!$A:$AS,MATCH($J$1,Database!$A$1:$AS$1,),)))))/(((VLOOKUP(EDATE(B299,-12),Database!$A:$AS,MATCH($J$1,Database!$A$1:$AS$1,),)))))</f>
        <v/>
      </c>
      <c r="K299" s="13">
        <f>IF(VLOOKUP(B299,Database!$A:$AV,MATCH($K$1,Database!$A$1:$AV$1,),)=0,"#N/A",((((VLOOKUP(B299,Database!$A:$AS,MATCH($K$1,Database!$A$1:$AS$1,),))))-(((VLOOKUP(EDATE(B299,-12),Database!$A:$AS,MATCH($K$1,Database!$A$1:$AS$1,),)))))/(((VLOOKUP(EDATE(B299,-12),Database!$A:$AS,MATCH($K$1,Database!$A$1:$AS$1,),)))))</f>
        <v/>
      </c>
      <c r="L299" s="13">
        <f>((((VLOOKUP(B299,Database!$A:$AS,MATCH($L$1,Database!$A$1:$AS$1,),))))-(((VLOOKUP(EDATE(B299,-12),Database!$A:$AS,MATCH($L$1,Database!$A$1:$AS$1,),)))))/(((VLOOKUP(EDATE(B299,-12),Database!$A:$AS,MATCH($L$1,Database!$A$1:$AS$1,),))))</f>
        <v/>
      </c>
      <c r="M299" s="13">
        <f>((((VLOOKUP(B299,Database!$A:$AS,MATCH($M$1,Database!$A$1:$AS$1,),))))-(((VLOOKUP(EDATE(B299,-12),Database!$A:$AS,MATCH($M$1,Database!$A$1:$AS$1,),)))))/(((VLOOKUP(EDATE(B299,-12),Database!$A:$AS,MATCH($M$1,Database!$A$1:$AS$1,),))))</f>
        <v/>
      </c>
      <c r="N299" s="13">
        <f>((((VLOOKUP(B299,Database!$A:$AS,MATCH($N$1,Database!$A$1:$AS$1,),))))-(((VLOOKUP(EDATE(B299,-12),Database!$A:$AS,MATCH($N$1,Database!$A$1:$AS$1,),)))))/(((VLOOKUP(EDATE(B299,-12),Database!$A:$AS,MATCH($N$1,Database!$A$1:$AS$1,),))))</f>
        <v/>
      </c>
      <c r="O299" s="13">
        <f>IF(VLOOKUP(B299,Database!$A:$AV,MATCH($O$1,Database!$A$1:$AV$1,),)=0,"#N/A",((((VLOOKUP(B299,Database!$A:$AS,MATCH($O$1,Database!$A$1:$AS$1,),))))-(((VLOOKUP(EDATE(B299,-12),Database!$A:$AS,MATCH($O$1,Database!$A$1:$AS$1,),)))))/(((VLOOKUP(EDATE(B299,-12),Database!$A:$AS,MATCH($O$1,Database!$A$1:$AS$1,),)))))</f>
        <v/>
      </c>
      <c r="P299" s="13">
        <f>IF(VLOOKUP(B299,Database!$A:$AV,MATCH($P$1,Database!$A$1:$AV$1,),)=0,"#N/A",((((VLOOKUP(B299,Database!$A:$AS,MATCH($P$1,Database!$A$1:$AS$1,),))))-(((VLOOKUP(EDATE(B299,-12),Database!$A:$AS,MATCH($P$1,Database!$A$1:$AS$1,),)))))/(((VLOOKUP(EDATE(B299,-12),Database!$A:$AS,MATCH($P$1,Database!$A$1:$AS$1,),)))))</f>
        <v/>
      </c>
      <c r="Q299" s="13">
        <f>IF(VLOOKUP(B299,Database!$A:$AV,MATCH($Q$1,Database!$A$1:$AV$1,),)=0,"#N/A",((((VLOOKUP(B299,Database!$A:$AS,MATCH($Q$1,Database!$A$1:$AS$1,),))))-(((VLOOKUP(EDATE(B299,-12),Database!$A:$AS,MATCH($Q$1,Database!$A$1:$AS$1,),)))))/(((VLOOKUP(EDATE(B299,-12),Database!$A:$AS,MATCH($Q$1,Database!$A$1:$AS$1,),)))))</f>
        <v/>
      </c>
      <c r="R299" s="13">
        <f>IF(VLOOKUP(B299,Database!$A:$AV,MATCH($R$1,Database!$A$1:$AV$1,),)=0,"#N/A",((((VLOOKUP(B299,Database!$A:$AS,MATCH($R$1,Database!$A$1:$AS$1,),))))-(((VLOOKUP(EDATE(B299,-12),Database!$A:$AS,MATCH($R$1,Database!$A$1:$AS$1,),)))))/(((VLOOKUP(EDATE(B299,-12),Database!$A:$AS,MATCH($R$1,Database!$A$1:$AS$1,),)))))</f>
        <v/>
      </c>
      <c r="S299" s="13">
        <f>IF(VLOOKUP(B299,Database!$A:$AV,MATCH($S$1,Database!$A$1:$AV$1,),)=0,"#N/A",((((VLOOKUP(B299,Database!$A:$AS,MATCH($S$1,Database!$A$1:$AS$1,),))))-(((VLOOKUP(EDATE(B299,-12),Database!$A:$AS,MATCH($S$1,Database!$A$1:$AS$1,),)))))/(((VLOOKUP(EDATE(B299,-12),Database!$A:$AS,MATCH($S$1,Database!$A$1:$AS$1,),)))))</f>
        <v/>
      </c>
      <c r="T299" s="13">
        <f>IF(VLOOKUP(B299,Database!$A:$AV,MATCH($T$1,Database!$A$1:$AV$1,),)=0,"#N/A",((((VLOOKUP(B299,Database!$A:$AS,MATCH($T$1,Database!$A$1:$AS$1,),))))-(((VLOOKUP(EDATE(B299,-12),Database!$A:$AS,MATCH($T$1,Database!$A$1:$AS$1,),)))))/(((VLOOKUP(EDATE(B299,-12),Database!$A:$AS,MATCH($T$1,Database!$A$1:$AS$1,),)))))</f>
        <v/>
      </c>
      <c r="U299" s="13">
        <f>IF(VLOOKUP(B299,Database!$A:$AV,MATCH($U$1,Database!$A$1:$AV$1,),)=0,"#N/A",((((VLOOKUP(B299,Database!$A:$AS,MATCH($U$1,Database!$A$1:$AS$1,),))))-(((VLOOKUP(EDATE(B299,-12),Database!$A:$AS,MATCH($U$1,Database!$A$1:$AS$1,),)))))/(((VLOOKUP(EDATE(B299,-12),Database!$A:$AS,MATCH($U$1,Database!$A$1:$AS$1,),)))))</f>
        <v/>
      </c>
      <c r="V299" s="13">
        <f>IF(VLOOKUP(B299,Database!$A:$AV,MATCH($V$1,Database!$A$1:$AV$1,),)=0,"#N/A",((((VLOOKUP(B299,Database!$A:$AS,MATCH($V$1,Database!$A$1:$AS$1,),))))-(((VLOOKUP(EDATE(B299,-12),Database!$A:$AS,MATCH($V$1,Database!$A$1:$AS$1,),)))))/(((VLOOKUP(EDATE(B299,-12),Database!$A:$AS,MATCH($V$1,Database!$A$1:$AS$1,),)))))</f>
        <v/>
      </c>
    </row>
    <row r="300" customFormat="1" s="86">
      <c r="A300" s="43" t="n"/>
      <c r="B300" s="75" t="n">
        <v>41275</v>
      </c>
      <c r="C300" s="13">
        <f>IF(VLOOKUP(B300,Database!$A:$AU,MATCH($C$1,Database!$A$1:$AU$1,),)=0,"#N/A",((((VLOOKUP(B300,Database!$A:$AU,MATCH($C$1,Database!$A$1:$AU$1,),))))-(((VLOOKUP(EDATE(B300,-12),Database!$A:$AU,MATCH($C$1,Database!$A$1:$AU$1,),)))))/(((VLOOKUP(EDATE(B300,-12),Database!$A:$AU,MATCH($C$1,Database!$A$1:$AU$1,),)))))</f>
        <v/>
      </c>
      <c r="D300" s="13">
        <f>IF(VLOOKUP(B300,Database!$A:$AV,MATCH($D$1,Database!$A$1:$AV$1,),)=0,"#N/A",((((VLOOKUP(B300,Database!$A:$AS,MATCH($D$1,Database!$A$1:$AS$1,),))))-(((VLOOKUP(EDATE(B300,-12),Database!$A:$AS,MATCH($D$1,Database!$A$1:$AS$1,),)))))/(((VLOOKUP(EDATE(B300,-12),Database!$A:$AS,MATCH($D$1,Database!$A$1:$AS$1,),)))))</f>
        <v/>
      </c>
      <c r="E300" s="13">
        <f>IF(VLOOKUP(B300,Database!$A:$AV,MATCH($E$1,Database!$A$1:$AV$1,),)=0,"#N/A",((((VLOOKUP(B300,Database!$A:$AS,MATCH($E$1,Database!$A$1:$AS$1,),))))-(((VLOOKUP(EDATE(B300,-12),Database!$A:$AS,MATCH($E$1,Database!$A$1:$AS$1,),)))))/(((VLOOKUP(EDATE(B300,-12),Database!$A:$AS,MATCH($E$1,Database!$A$1:$AS$1,),)))))</f>
        <v/>
      </c>
      <c r="F300" s="13">
        <f>IF(VLOOKUP(B300,Database!$A:$AV,MATCH($F$1,Database!$A$1:$AV$1,),)=0,"#N/A",((((VLOOKUP(B300,Database!$A:$AS,MATCH($F$1,Database!$A$1:$AS$1,),))))-(((VLOOKUP(EDATE(B300,-12),Database!$A:$AS,MATCH($F$1,Database!$A$1:$AS$1,),)))))/(((VLOOKUP(EDATE(B300,-12),Database!$A:$AS,MATCH($F$1,Database!$A$1:$AS$1,),)))))</f>
        <v/>
      </c>
      <c r="G300" s="13">
        <f>IF(VLOOKUP(B300,Database!$A:$AV,MATCH($G$1,Database!$A$1:$AV$1,),)=0,"#N/A",((((VLOOKUP(B300,Database!$A:$AS,MATCH($G$1,Database!$A$1:$AS$1,),))))-(((VLOOKUP(EDATE(B300,-12),Database!$A:$AS,MATCH($G$1,Database!$A$1:$AS$1,),)))))/(((VLOOKUP(EDATE(B300,-12),Database!$A:$AS,MATCH($G$1,Database!$A$1:$AS$1,),)))))</f>
        <v/>
      </c>
      <c r="H300" s="13">
        <f>IF(VLOOKUP(B300,Database!$A:$AV,MATCH($H$1,Database!$A$1:$AV$1,),)=0,"#N/A",((((VLOOKUP(B300,Database!$A:$AS,MATCH($H$1,Database!$A$1:$AS$1,),))))-(((VLOOKUP(EDATE(B300,-12),Database!$A:$AS,MATCH($H$1,Database!$A$1:$AS$1,),)))))/(((VLOOKUP(EDATE(B300,-12),Database!$A:$AS,MATCH($H$1,Database!$A$1:$AS$1,),)))))</f>
        <v/>
      </c>
      <c r="I300" s="13">
        <f>IF(VLOOKUP(B300,Database!$A:$AV,MATCH($I$1,Database!$A$1:$AV$1,),)=0,"#N/A",((((VLOOKUP(B300,Database!$A:$AS,MATCH($I$1,Database!$A$1:$AS$1,),))))-(((VLOOKUP(EDATE(B300,-12),Database!$A:$AS,MATCH($I$1,Database!$A$1:$AS$1,),)))))/(((VLOOKUP(EDATE(B300,-12),Database!$A:$AS,MATCH($I$1,Database!$A$1:$AS$1,),)))))</f>
        <v/>
      </c>
      <c r="J300" s="13">
        <f>IF(VLOOKUP(B300,Database!$A:$AV,MATCH($J$1,Database!$A$1:$AV$1,),)=0,"#N/A",((((VLOOKUP(B300,Database!$A:$AS,MATCH($J$1,Database!$A$1:$AS$1,),))))-(((VLOOKUP(EDATE(B300,-12),Database!$A:$AS,MATCH($J$1,Database!$A$1:$AS$1,),)))))/(((VLOOKUP(EDATE(B300,-12),Database!$A:$AS,MATCH($J$1,Database!$A$1:$AS$1,),)))))</f>
        <v/>
      </c>
      <c r="K300" s="13">
        <f>IF(VLOOKUP(B300,Database!$A:$AV,MATCH($K$1,Database!$A$1:$AV$1,),)=0,"#N/A",((((VLOOKUP(B300,Database!$A:$AS,MATCH($K$1,Database!$A$1:$AS$1,),))))-(((VLOOKUP(EDATE(B300,-12),Database!$A:$AS,MATCH($K$1,Database!$A$1:$AS$1,),)))))/(((VLOOKUP(EDATE(B300,-12),Database!$A:$AS,MATCH($K$1,Database!$A$1:$AS$1,),)))))</f>
        <v/>
      </c>
      <c r="L300" s="13">
        <f>((((VLOOKUP(B300,Database!$A:$AS,MATCH($L$1,Database!$A$1:$AS$1,),))))-(((VLOOKUP(EDATE(B300,-12),Database!$A:$AS,MATCH($L$1,Database!$A$1:$AS$1,),)))))/(((VLOOKUP(EDATE(B300,-12),Database!$A:$AS,MATCH($L$1,Database!$A$1:$AS$1,),))))</f>
        <v/>
      </c>
      <c r="M300" s="13">
        <f>((((VLOOKUP(B300,Database!$A:$AS,MATCH($M$1,Database!$A$1:$AS$1,),))))-(((VLOOKUP(EDATE(B300,-12),Database!$A:$AS,MATCH($M$1,Database!$A$1:$AS$1,),)))))/(((VLOOKUP(EDATE(B300,-12),Database!$A:$AS,MATCH($M$1,Database!$A$1:$AS$1,),))))</f>
        <v/>
      </c>
      <c r="N300" s="13">
        <f>((((VLOOKUP(B300,Database!$A:$AS,MATCH($N$1,Database!$A$1:$AS$1,),))))-(((VLOOKUP(EDATE(B300,-12),Database!$A:$AS,MATCH($N$1,Database!$A$1:$AS$1,),)))))/(((VLOOKUP(EDATE(B300,-12),Database!$A:$AS,MATCH($N$1,Database!$A$1:$AS$1,),))))</f>
        <v/>
      </c>
      <c r="O300" s="13">
        <f>IF(VLOOKUP(B300,Database!$A:$AV,MATCH($O$1,Database!$A$1:$AV$1,),)=0,"#N/A",((((VLOOKUP(B300,Database!$A:$AS,MATCH($O$1,Database!$A$1:$AS$1,),))))-(((VLOOKUP(EDATE(B300,-12),Database!$A:$AS,MATCH($O$1,Database!$A$1:$AS$1,),)))))/(((VLOOKUP(EDATE(B300,-12),Database!$A:$AS,MATCH($O$1,Database!$A$1:$AS$1,),)))))</f>
        <v/>
      </c>
      <c r="P300" s="13">
        <f>IF(VLOOKUP(B300,Database!$A:$AV,MATCH($P$1,Database!$A$1:$AV$1,),)=0,"#N/A",((((VLOOKUP(B300,Database!$A:$AS,MATCH($P$1,Database!$A$1:$AS$1,),))))-(((VLOOKUP(EDATE(B300,-12),Database!$A:$AS,MATCH($P$1,Database!$A$1:$AS$1,),)))))/(((VLOOKUP(EDATE(B300,-12),Database!$A:$AS,MATCH($P$1,Database!$A$1:$AS$1,),)))))</f>
        <v/>
      </c>
      <c r="Q300" s="13">
        <f>IF(VLOOKUP(B300,Database!$A:$AV,MATCH($Q$1,Database!$A$1:$AV$1,),)=0,"#N/A",((((VLOOKUP(B300,Database!$A:$AS,MATCH($Q$1,Database!$A$1:$AS$1,),))))-(((VLOOKUP(EDATE(B300,-12),Database!$A:$AS,MATCH($Q$1,Database!$A$1:$AS$1,),)))))/(((VLOOKUP(EDATE(B300,-12),Database!$A:$AS,MATCH($Q$1,Database!$A$1:$AS$1,),)))))</f>
        <v/>
      </c>
      <c r="R300" s="13">
        <f>IF(VLOOKUP(B300,Database!$A:$AV,MATCH($R$1,Database!$A$1:$AV$1,),)=0,"#N/A",((((VLOOKUP(B300,Database!$A:$AS,MATCH($R$1,Database!$A$1:$AS$1,),))))-(((VLOOKUP(EDATE(B300,-12),Database!$A:$AS,MATCH($R$1,Database!$A$1:$AS$1,),)))))/(((VLOOKUP(EDATE(B300,-12),Database!$A:$AS,MATCH($R$1,Database!$A$1:$AS$1,),)))))</f>
        <v/>
      </c>
      <c r="S300" s="13">
        <f>IF(VLOOKUP(B300,Database!$A:$AV,MATCH($S$1,Database!$A$1:$AV$1,),)=0,"#N/A",((((VLOOKUP(B300,Database!$A:$AS,MATCH($S$1,Database!$A$1:$AS$1,),))))-(((VLOOKUP(EDATE(B300,-12),Database!$A:$AS,MATCH($S$1,Database!$A$1:$AS$1,),)))))/(((VLOOKUP(EDATE(B300,-12),Database!$A:$AS,MATCH($S$1,Database!$A$1:$AS$1,),)))))</f>
        <v/>
      </c>
      <c r="T300" s="13">
        <f>IF(VLOOKUP(B300,Database!$A:$AV,MATCH($T$1,Database!$A$1:$AV$1,),)=0,"#N/A",((((VLOOKUP(B300,Database!$A:$AS,MATCH($T$1,Database!$A$1:$AS$1,),))))-(((VLOOKUP(EDATE(B300,-12),Database!$A:$AS,MATCH($T$1,Database!$A$1:$AS$1,),)))))/(((VLOOKUP(EDATE(B300,-12),Database!$A:$AS,MATCH($T$1,Database!$A$1:$AS$1,),)))))</f>
        <v/>
      </c>
      <c r="U300" s="13">
        <f>IF(VLOOKUP(B300,Database!$A:$AV,MATCH($U$1,Database!$A$1:$AV$1,),)=0,"#N/A",((((VLOOKUP(B300,Database!$A:$AS,MATCH($U$1,Database!$A$1:$AS$1,),))))-(((VLOOKUP(EDATE(B300,-12),Database!$A:$AS,MATCH($U$1,Database!$A$1:$AS$1,),)))))/(((VLOOKUP(EDATE(B300,-12),Database!$A:$AS,MATCH($U$1,Database!$A$1:$AS$1,),)))))</f>
        <v/>
      </c>
      <c r="V300" s="13">
        <f>IF(VLOOKUP(B300,Database!$A:$AV,MATCH($V$1,Database!$A$1:$AV$1,),)=0,"#N/A",((((VLOOKUP(B300,Database!$A:$AS,MATCH($V$1,Database!$A$1:$AS$1,),))))-(((VLOOKUP(EDATE(B300,-12),Database!$A:$AS,MATCH($V$1,Database!$A$1:$AS$1,),)))))/(((VLOOKUP(EDATE(B300,-12),Database!$A:$AS,MATCH($V$1,Database!$A$1:$AS$1,),)))))</f>
        <v/>
      </c>
    </row>
    <row r="301" customFormat="1" s="86">
      <c r="A301" s="43" t="n"/>
      <c r="B301" s="75" t="n">
        <v>41306</v>
      </c>
      <c r="C301" s="13">
        <f>IF(VLOOKUP(B301,Database!$A:$AU,MATCH($C$1,Database!$A$1:$AU$1,),)=0,"#N/A",((((VLOOKUP(B301,Database!$A:$AU,MATCH($C$1,Database!$A$1:$AU$1,),))))-(((VLOOKUP(EDATE(B301,-12),Database!$A:$AU,MATCH($C$1,Database!$A$1:$AU$1,),)))))/(((VLOOKUP(EDATE(B301,-12),Database!$A:$AU,MATCH($C$1,Database!$A$1:$AU$1,),)))))</f>
        <v/>
      </c>
      <c r="D301" s="13">
        <f>IF(VLOOKUP(B301,Database!$A:$AV,MATCH($D$1,Database!$A$1:$AV$1,),)=0,"#N/A",((((VLOOKUP(B301,Database!$A:$AS,MATCH($D$1,Database!$A$1:$AS$1,),))))-(((VLOOKUP(EDATE(B301,-12),Database!$A:$AS,MATCH($D$1,Database!$A$1:$AS$1,),)))))/(((VLOOKUP(EDATE(B301,-12),Database!$A:$AS,MATCH($D$1,Database!$A$1:$AS$1,),)))))</f>
        <v/>
      </c>
      <c r="E301" s="13">
        <f>IF(VLOOKUP(B301,Database!$A:$AV,MATCH($E$1,Database!$A$1:$AV$1,),)=0,"#N/A",((((VLOOKUP(B301,Database!$A:$AS,MATCH($E$1,Database!$A$1:$AS$1,),))))-(((VLOOKUP(EDATE(B301,-12),Database!$A:$AS,MATCH($E$1,Database!$A$1:$AS$1,),)))))/(((VLOOKUP(EDATE(B301,-12),Database!$A:$AS,MATCH($E$1,Database!$A$1:$AS$1,),)))))</f>
        <v/>
      </c>
      <c r="F301" s="13">
        <f>IF(VLOOKUP(B301,Database!$A:$AV,MATCH($F$1,Database!$A$1:$AV$1,),)=0,"#N/A",((((VLOOKUP(B301,Database!$A:$AS,MATCH($F$1,Database!$A$1:$AS$1,),))))-(((VLOOKUP(EDATE(B301,-12),Database!$A:$AS,MATCH($F$1,Database!$A$1:$AS$1,),)))))/(((VLOOKUP(EDATE(B301,-12),Database!$A:$AS,MATCH($F$1,Database!$A$1:$AS$1,),)))))</f>
        <v/>
      </c>
      <c r="G301" s="13">
        <f>IF(VLOOKUP(B301,Database!$A:$AV,MATCH($G$1,Database!$A$1:$AV$1,),)=0,"#N/A",((((VLOOKUP(B301,Database!$A:$AS,MATCH($G$1,Database!$A$1:$AS$1,),))))-(((VLOOKUP(EDATE(B301,-12),Database!$A:$AS,MATCH($G$1,Database!$A$1:$AS$1,),)))))/(((VLOOKUP(EDATE(B301,-12),Database!$A:$AS,MATCH($G$1,Database!$A$1:$AS$1,),)))))</f>
        <v/>
      </c>
      <c r="H301" s="13">
        <f>IF(VLOOKUP(B301,Database!$A:$AV,MATCH($H$1,Database!$A$1:$AV$1,),)=0,"#N/A",((((VLOOKUP(B301,Database!$A:$AS,MATCH($H$1,Database!$A$1:$AS$1,),))))-(((VLOOKUP(EDATE(B301,-12),Database!$A:$AS,MATCH($H$1,Database!$A$1:$AS$1,),)))))/(((VLOOKUP(EDATE(B301,-12),Database!$A:$AS,MATCH($H$1,Database!$A$1:$AS$1,),)))))</f>
        <v/>
      </c>
      <c r="I301" s="13">
        <f>IF(VLOOKUP(B301,Database!$A:$AV,MATCH($I$1,Database!$A$1:$AV$1,),)=0,"#N/A",((((VLOOKUP(B301,Database!$A:$AS,MATCH($I$1,Database!$A$1:$AS$1,),))))-(((VLOOKUP(EDATE(B301,-12),Database!$A:$AS,MATCH($I$1,Database!$A$1:$AS$1,),)))))/(((VLOOKUP(EDATE(B301,-12),Database!$A:$AS,MATCH($I$1,Database!$A$1:$AS$1,),)))))</f>
        <v/>
      </c>
      <c r="J301" s="13">
        <f>IF(VLOOKUP(B301,Database!$A:$AV,MATCH($J$1,Database!$A$1:$AV$1,),)=0,"#N/A",((((VLOOKUP(B301,Database!$A:$AS,MATCH($J$1,Database!$A$1:$AS$1,),))))-(((VLOOKUP(EDATE(B301,-12),Database!$A:$AS,MATCH($J$1,Database!$A$1:$AS$1,),)))))/(((VLOOKUP(EDATE(B301,-12),Database!$A:$AS,MATCH($J$1,Database!$A$1:$AS$1,),)))))</f>
        <v/>
      </c>
      <c r="K301" s="13">
        <f>IF(VLOOKUP(B301,Database!$A:$AV,MATCH($K$1,Database!$A$1:$AV$1,),)=0,"#N/A",((((VLOOKUP(B301,Database!$A:$AS,MATCH($K$1,Database!$A$1:$AS$1,),))))-(((VLOOKUP(EDATE(B301,-12),Database!$A:$AS,MATCH($K$1,Database!$A$1:$AS$1,),)))))/(((VLOOKUP(EDATE(B301,-12),Database!$A:$AS,MATCH($K$1,Database!$A$1:$AS$1,),)))))</f>
        <v/>
      </c>
      <c r="L301" s="13">
        <f>((((VLOOKUP(B301,Database!$A:$AS,MATCH($L$1,Database!$A$1:$AS$1,),))))-(((VLOOKUP(EDATE(B301,-12),Database!$A:$AS,MATCH($L$1,Database!$A$1:$AS$1,),)))))/(((VLOOKUP(EDATE(B301,-12),Database!$A:$AS,MATCH($L$1,Database!$A$1:$AS$1,),))))</f>
        <v/>
      </c>
      <c r="M301" s="13">
        <f>((((VLOOKUP(B301,Database!$A:$AS,MATCH($M$1,Database!$A$1:$AS$1,),))))-(((VLOOKUP(EDATE(B301,-12),Database!$A:$AS,MATCH($M$1,Database!$A$1:$AS$1,),)))))/(((VLOOKUP(EDATE(B301,-12),Database!$A:$AS,MATCH($M$1,Database!$A$1:$AS$1,),))))</f>
        <v/>
      </c>
      <c r="N301" s="13">
        <f>((((VLOOKUP(B301,Database!$A:$AS,MATCH($N$1,Database!$A$1:$AS$1,),))))-(((VLOOKUP(EDATE(B301,-12),Database!$A:$AS,MATCH($N$1,Database!$A$1:$AS$1,),)))))/(((VLOOKUP(EDATE(B301,-12),Database!$A:$AS,MATCH($N$1,Database!$A$1:$AS$1,),))))</f>
        <v/>
      </c>
      <c r="O301" s="13">
        <f>IF(VLOOKUP(B301,Database!$A:$AV,MATCH($O$1,Database!$A$1:$AV$1,),)=0,"#N/A",((((VLOOKUP(B301,Database!$A:$AS,MATCH($O$1,Database!$A$1:$AS$1,),))))-(((VLOOKUP(EDATE(B301,-12),Database!$A:$AS,MATCH($O$1,Database!$A$1:$AS$1,),)))))/(((VLOOKUP(EDATE(B301,-12),Database!$A:$AS,MATCH($O$1,Database!$A$1:$AS$1,),)))))</f>
        <v/>
      </c>
      <c r="P301" s="13">
        <f>IF(VLOOKUP(B301,Database!$A:$AV,MATCH($P$1,Database!$A$1:$AV$1,),)=0,"#N/A",((((VLOOKUP(B301,Database!$A:$AS,MATCH($P$1,Database!$A$1:$AS$1,),))))-(((VLOOKUP(EDATE(B301,-12),Database!$A:$AS,MATCH($P$1,Database!$A$1:$AS$1,),)))))/(((VLOOKUP(EDATE(B301,-12),Database!$A:$AS,MATCH($P$1,Database!$A$1:$AS$1,),)))))</f>
        <v/>
      </c>
      <c r="Q301" s="13">
        <f>IF(VLOOKUP(B301,Database!$A:$AV,MATCH($Q$1,Database!$A$1:$AV$1,),)=0,"#N/A",((((VLOOKUP(B301,Database!$A:$AS,MATCH($Q$1,Database!$A$1:$AS$1,),))))-(((VLOOKUP(EDATE(B301,-12),Database!$A:$AS,MATCH($Q$1,Database!$A$1:$AS$1,),)))))/(((VLOOKUP(EDATE(B301,-12),Database!$A:$AS,MATCH($Q$1,Database!$A$1:$AS$1,),)))))</f>
        <v/>
      </c>
      <c r="R301" s="13">
        <f>IF(VLOOKUP(B301,Database!$A:$AV,MATCH($R$1,Database!$A$1:$AV$1,),)=0,"#N/A",((((VLOOKUP(B301,Database!$A:$AS,MATCH($R$1,Database!$A$1:$AS$1,),))))-(((VLOOKUP(EDATE(B301,-12),Database!$A:$AS,MATCH($R$1,Database!$A$1:$AS$1,),)))))/(((VLOOKUP(EDATE(B301,-12),Database!$A:$AS,MATCH($R$1,Database!$A$1:$AS$1,),)))))</f>
        <v/>
      </c>
      <c r="S301" s="13">
        <f>IF(VLOOKUP(B301,Database!$A:$AV,MATCH($S$1,Database!$A$1:$AV$1,),)=0,"#N/A",((((VLOOKUP(B301,Database!$A:$AS,MATCH($S$1,Database!$A$1:$AS$1,),))))-(((VLOOKUP(EDATE(B301,-12),Database!$A:$AS,MATCH($S$1,Database!$A$1:$AS$1,),)))))/(((VLOOKUP(EDATE(B301,-12),Database!$A:$AS,MATCH($S$1,Database!$A$1:$AS$1,),)))))</f>
        <v/>
      </c>
      <c r="T301" s="13">
        <f>IF(VLOOKUP(B301,Database!$A:$AV,MATCH($T$1,Database!$A$1:$AV$1,),)=0,"#N/A",((((VLOOKUP(B301,Database!$A:$AS,MATCH($T$1,Database!$A$1:$AS$1,),))))-(((VLOOKUP(EDATE(B301,-12),Database!$A:$AS,MATCH($T$1,Database!$A$1:$AS$1,),)))))/(((VLOOKUP(EDATE(B301,-12),Database!$A:$AS,MATCH($T$1,Database!$A$1:$AS$1,),)))))</f>
        <v/>
      </c>
      <c r="U301" s="13">
        <f>IF(VLOOKUP(B301,Database!$A:$AV,MATCH($U$1,Database!$A$1:$AV$1,),)=0,"#N/A",((((VLOOKUP(B301,Database!$A:$AS,MATCH($U$1,Database!$A$1:$AS$1,),))))-(((VLOOKUP(EDATE(B301,-12),Database!$A:$AS,MATCH($U$1,Database!$A$1:$AS$1,),)))))/(((VLOOKUP(EDATE(B301,-12),Database!$A:$AS,MATCH($U$1,Database!$A$1:$AS$1,),)))))</f>
        <v/>
      </c>
      <c r="V301" s="13">
        <f>IF(VLOOKUP(B301,Database!$A:$AV,MATCH($V$1,Database!$A$1:$AV$1,),)=0,"#N/A",((((VLOOKUP(B301,Database!$A:$AS,MATCH($V$1,Database!$A$1:$AS$1,),))))-(((VLOOKUP(EDATE(B301,-12),Database!$A:$AS,MATCH($V$1,Database!$A$1:$AS$1,),)))))/(((VLOOKUP(EDATE(B301,-12),Database!$A:$AS,MATCH($V$1,Database!$A$1:$AS$1,),)))))</f>
        <v/>
      </c>
    </row>
    <row r="302" customFormat="1" s="86">
      <c r="A302" s="43" t="n"/>
      <c r="B302" s="75" t="n">
        <v>41334</v>
      </c>
      <c r="C302" s="13">
        <f>IF(VLOOKUP(B302,Database!$A:$AU,MATCH($C$1,Database!$A$1:$AU$1,),)=0,"#N/A",((((VLOOKUP(B302,Database!$A:$AU,MATCH($C$1,Database!$A$1:$AU$1,),))))-(((VLOOKUP(EDATE(B302,-12),Database!$A:$AU,MATCH($C$1,Database!$A$1:$AU$1,),)))))/(((VLOOKUP(EDATE(B302,-12),Database!$A:$AU,MATCH($C$1,Database!$A$1:$AU$1,),)))))</f>
        <v/>
      </c>
      <c r="D302" s="13">
        <f>IF(VLOOKUP(B302,Database!$A:$AV,MATCH($D$1,Database!$A$1:$AV$1,),)=0,"#N/A",((((VLOOKUP(B302,Database!$A:$AS,MATCH($D$1,Database!$A$1:$AS$1,),))))-(((VLOOKUP(EDATE(B302,-12),Database!$A:$AS,MATCH($D$1,Database!$A$1:$AS$1,),)))))/(((VLOOKUP(EDATE(B302,-12),Database!$A:$AS,MATCH($D$1,Database!$A$1:$AS$1,),)))))</f>
        <v/>
      </c>
      <c r="E302" s="13">
        <f>IF(VLOOKUP(B302,Database!$A:$AV,MATCH($E$1,Database!$A$1:$AV$1,),)=0,"#N/A",((((VLOOKUP(B302,Database!$A:$AS,MATCH($E$1,Database!$A$1:$AS$1,),))))-(((VLOOKUP(EDATE(B302,-12),Database!$A:$AS,MATCH($E$1,Database!$A$1:$AS$1,),)))))/(((VLOOKUP(EDATE(B302,-12),Database!$A:$AS,MATCH($E$1,Database!$A$1:$AS$1,),)))))</f>
        <v/>
      </c>
      <c r="F302" s="13">
        <f>IF(VLOOKUP(B302,Database!$A:$AV,MATCH($F$1,Database!$A$1:$AV$1,),)=0,"#N/A",((((VLOOKUP(B302,Database!$A:$AS,MATCH($F$1,Database!$A$1:$AS$1,),))))-(((VLOOKUP(EDATE(B302,-12),Database!$A:$AS,MATCH($F$1,Database!$A$1:$AS$1,),)))))/(((VLOOKUP(EDATE(B302,-12),Database!$A:$AS,MATCH($F$1,Database!$A$1:$AS$1,),)))))</f>
        <v/>
      </c>
      <c r="G302" s="13">
        <f>IF(VLOOKUP(B302,Database!$A:$AV,MATCH($G$1,Database!$A$1:$AV$1,),)=0,"#N/A",((((VLOOKUP(B302,Database!$A:$AS,MATCH($G$1,Database!$A$1:$AS$1,),))))-(((VLOOKUP(EDATE(B302,-12),Database!$A:$AS,MATCH($G$1,Database!$A$1:$AS$1,),)))))/(((VLOOKUP(EDATE(B302,-12),Database!$A:$AS,MATCH($G$1,Database!$A$1:$AS$1,),)))))</f>
        <v/>
      </c>
      <c r="H302" s="13">
        <f>IF(VLOOKUP(B302,Database!$A:$AV,MATCH($H$1,Database!$A$1:$AV$1,),)=0,"#N/A",((((VLOOKUP(B302,Database!$A:$AS,MATCH($H$1,Database!$A$1:$AS$1,),))))-(((VLOOKUP(EDATE(B302,-12),Database!$A:$AS,MATCH($H$1,Database!$A$1:$AS$1,),)))))/(((VLOOKUP(EDATE(B302,-12),Database!$A:$AS,MATCH($H$1,Database!$A$1:$AS$1,),)))))</f>
        <v/>
      </c>
      <c r="I302" s="13">
        <f>IF(VLOOKUP(B302,Database!$A:$AV,MATCH($I$1,Database!$A$1:$AV$1,),)=0,"#N/A",((((VLOOKUP(B302,Database!$A:$AS,MATCH($I$1,Database!$A$1:$AS$1,),))))-(((VLOOKUP(EDATE(B302,-12),Database!$A:$AS,MATCH($I$1,Database!$A$1:$AS$1,),)))))/(((VLOOKUP(EDATE(B302,-12),Database!$A:$AS,MATCH($I$1,Database!$A$1:$AS$1,),)))))</f>
        <v/>
      </c>
      <c r="J302" s="13">
        <f>IF(VLOOKUP(B302,Database!$A:$AV,MATCH($J$1,Database!$A$1:$AV$1,),)=0,"#N/A",((((VLOOKUP(B302,Database!$A:$AS,MATCH($J$1,Database!$A$1:$AS$1,),))))-(((VLOOKUP(EDATE(B302,-12),Database!$A:$AS,MATCH($J$1,Database!$A$1:$AS$1,),)))))/(((VLOOKUP(EDATE(B302,-12),Database!$A:$AS,MATCH($J$1,Database!$A$1:$AS$1,),)))))</f>
        <v/>
      </c>
      <c r="K302" s="13">
        <f>IF(VLOOKUP(B302,Database!$A:$AV,MATCH($K$1,Database!$A$1:$AV$1,),)=0,"#N/A",((((VLOOKUP(B302,Database!$A:$AS,MATCH($K$1,Database!$A$1:$AS$1,),))))-(((VLOOKUP(EDATE(B302,-12),Database!$A:$AS,MATCH($K$1,Database!$A$1:$AS$1,),)))))/(((VLOOKUP(EDATE(B302,-12),Database!$A:$AS,MATCH($K$1,Database!$A$1:$AS$1,),)))))</f>
        <v/>
      </c>
      <c r="L302" s="13">
        <f>((((VLOOKUP(B302,Database!$A:$AS,MATCH($L$1,Database!$A$1:$AS$1,),))))-(((VLOOKUP(EDATE(B302,-12),Database!$A:$AS,MATCH($L$1,Database!$A$1:$AS$1,),)))))/(((VLOOKUP(EDATE(B302,-12),Database!$A:$AS,MATCH($L$1,Database!$A$1:$AS$1,),))))</f>
        <v/>
      </c>
      <c r="M302" s="13">
        <f>((((VLOOKUP(B302,Database!$A:$AS,MATCH($M$1,Database!$A$1:$AS$1,),))))-(((VLOOKUP(EDATE(B302,-12),Database!$A:$AS,MATCH($M$1,Database!$A$1:$AS$1,),)))))/(((VLOOKUP(EDATE(B302,-12),Database!$A:$AS,MATCH($M$1,Database!$A$1:$AS$1,),))))</f>
        <v/>
      </c>
      <c r="N302" s="13">
        <f>((((VLOOKUP(B302,Database!$A:$AS,MATCH($N$1,Database!$A$1:$AS$1,),))))-(((VLOOKUP(EDATE(B302,-12),Database!$A:$AS,MATCH($N$1,Database!$A$1:$AS$1,),)))))/(((VLOOKUP(EDATE(B302,-12),Database!$A:$AS,MATCH($N$1,Database!$A$1:$AS$1,),))))</f>
        <v/>
      </c>
      <c r="O302" s="13">
        <f>IF(VLOOKUP(B302,Database!$A:$AV,MATCH($O$1,Database!$A$1:$AV$1,),)=0,"#N/A",((((VLOOKUP(B302,Database!$A:$AS,MATCH($O$1,Database!$A$1:$AS$1,),))))-(((VLOOKUP(EDATE(B302,-12),Database!$A:$AS,MATCH($O$1,Database!$A$1:$AS$1,),)))))/(((VLOOKUP(EDATE(B302,-12),Database!$A:$AS,MATCH($O$1,Database!$A$1:$AS$1,),)))))</f>
        <v/>
      </c>
      <c r="P302" s="13">
        <f>IF(VLOOKUP(B302,Database!$A:$AV,MATCH($P$1,Database!$A$1:$AV$1,),)=0,"#N/A",((((VLOOKUP(B302,Database!$A:$AS,MATCH($P$1,Database!$A$1:$AS$1,),))))-(((VLOOKUP(EDATE(B302,-12),Database!$A:$AS,MATCH($P$1,Database!$A$1:$AS$1,),)))))/(((VLOOKUP(EDATE(B302,-12),Database!$A:$AS,MATCH($P$1,Database!$A$1:$AS$1,),)))))</f>
        <v/>
      </c>
      <c r="Q302" s="13">
        <f>IF(VLOOKUP(B302,Database!$A:$AV,MATCH($Q$1,Database!$A$1:$AV$1,),)=0,"#N/A",((((VLOOKUP(B302,Database!$A:$AS,MATCH($Q$1,Database!$A$1:$AS$1,),))))-(((VLOOKUP(EDATE(B302,-12),Database!$A:$AS,MATCH($Q$1,Database!$A$1:$AS$1,),)))))/(((VLOOKUP(EDATE(B302,-12),Database!$A:$AS,MATCH($Q$1,Database!$A$1:$AS$1,),)))))</f>
        <v/>
      </c>
      <c r="R302" s="13">
        <f>IF(VLOOKUP(B302,Database!$A:$AV,MATCH($R$1,Database!$A$1:$AV$1,),)=0,"#N/A",((((VLOOKUP(B302,Database!$A:$AS,MATCH($R$1,Database!$A$1:$AS$1,),))))-(((VLOOKUP(EDATE(B302,-12),Database!$A:$AS,MATCH($R$1,Database!$A$1:$AS$1,),)))))/(((VLOOKUP(EDATE(B302,-12),Database!$A:$AS,MATCH($R$1,Database!$A$1:$AS$1,),)))))</f>
        <v/>
      </c>
      <c r="S302" s="13">
        <f>IF(VLOOKUP(B302,Database!$A:$AV,MATCH($S$1,Database!$A$1:$AV$1,),)=0,"#N/A",((((VLOOKUP(B302,Database!$A:$AS,MATCH($S$1,Database!$A$1:$AS$1,),))))-(((VLOOKUP(EDATE(B302,-12),Database!$A:$AS,MATCH($S$1,Database!$A$1:$AS$1,),)))))/(((VLOOKUP(EDATE(B302,-12),Database!$A:$AS,MATCH($S$1,Database!$A$1:$AS$1,),)))))</f>
        <v/>
      </c>
      <c r="T302" s="13">
        <f>IF(VLOOKUP(B302,Database!$A:$AV,MATCH($T$1,Database!$A$1:$AV$1,),)=0,"#N/A",((((VLOOKUP(B302,Database!$A:$AS,MATCH($T$1,Database!$A$1:$AS$1,),))))-(((VLOOKUP(EDATE(B302,-12),Database!$A:$AS,MATCH($T$1,Database!$A$1:$AS$1,),)))))/(((VLOOKUP(EDATE(B302,-12),Database!$A:$AS,MATCH($T$1,Database!$A$1:$AS$1,),)))))</f>
        <v/>
      </c>
      <c r="U302" s="13">
        <f>IF(VLOOKUP(B302,Database!$A:$AV,MATCH($U$1,Database!$A$1:$AV$1,),)=0,"#N/A",((((VLOOKUP(B302,Database!$A:$AS,MATCH($U$1,Database!$A$1:$AS$1,),))))-(((VLOOKUP(EDATE(B302,-12),Database!$A:$AS,MATCH($U$1,Database!$A$1:$AS$1,),)))))/(((VLOOKUP(EDATE(B302,-12),Database!$A:$AS,MATCH($U$1,Database!$A$1:$AS$1,),)))))</f>
        <v/>
      </c>
      <c r="V302" s="13">
        <f>IF(VLOOKUP(B302,Database!$A:$AV,MATCH($V$1,Database!$A$1:$AV$1,),)=0,"#N/A",((((VLOOKUP(B302,Database!$A:$AS,MATCH($V$1,Database!$A$1:$AS$1,),))))-(((VLOOKUP(EDATE(B302,-12),Database!$A:$AS,MATCH($V$1,Database!$A$1:$AS$1,),)))))/(((VLOOKUP(EDATE(B302,-12),Database!$A:$AS,MATCH($V$1,Database!$A$1:$AS$1,),)))))</f>
        <v/>
      </c>
    </row>
    <row r="303" customFormat="1" s="86">
      <c r="A303" s="43" t="n"/>
      <c r="B303" s="75" t="n">
        <v>41365</v>
      </c>
      <c r="C303" s="13">
        <f>IF(VLOOKUP(B303,Database!$A:$AU,MATCH($C$1,Database!$A$1:$AU$1,),)=0,"#N/A",((((VLOOKUP(B303,Database!$A:$AU,MATCH($C$1,Database!$A$1:$AU$1,),))))-(((VLOOKUP(EDATE(B303,-12),Database!$A:$AU,MATCH($C$1,Database!$A$1:$AU$1,),)))))/(((VLOOKUP(EDATE(B303,-12),Database!$A:$AU,MATCH($C$1,Database!$A$1:$AU$1,),)))))</f>
        <v/>
      </c>
      <c r="D303" s="13">
        <f>IF(VLOOKUP(B303,Database!$A:$AV,MATCH($D$1,Database!$A$1:$AV$1,),)=0,"#N/A",((((VLOOKUP(B303,Database!$A:$AS,MATCH($D$1,Database!$A$1:$AS$1,),))))-(((VLOOKUP(EDATE(B303,-12),Database!$A:$AS,MATCH($D$1,Database!$A$1:$AS$1,),)))))/(((VLOOKUP(EDATE(B303,-12),Database!$A:$AS,MATCH($D$1,Database!$A$1:$AS$1,),)))))</f>
        <v/>
      </c>
      <c r="E303" s="13">
        <f>IF(VLOOKUP(B303,Database!$A:$AV,MATCH($E$1,Database!$A$1:$AV$1,),)=0,"#N/A",((((VLOOKUP(B303,Database!$A:$AS,MATCH($E$1,Database!$A$1:$AS$1,),))))-(((VLOOKUP(EDATE(B303,-12),Database!$A:$AS,MATCH($E$1,Database!$A$1:$AS$1,),)))))/(((VLOOKUP(EDATE(B303,-12),Database!$A:$AS,MATCH($E$1,Database!$A$1:$AS$1,),)))))</f>
        <v/>
      </c>
      <c r="F303" s="13">
        <f>IF(VLOOKUP(B303,Database!$A:$AV,MATCH($F$1,Database!$A$1:$AV$1,),)=0,"#N/A",((((VLOOKUP(B303,Database!$A:$AS,MATCH($F$1,Database!$A$1:$AS$1,),))))-(((VLOOKUP(EDATE(B303,-12),Database!$A:$AS,MATCH($F$1,Database!$A$1:$AS$1,),)))))/(((VLOOKUP(EDATE(B303,-12),Database!$A:$AS,MATCH($F$1,Database!$A$1:$AS$1,),)))))</f>
        <v/>
      </c>
      <c r="G303" s="13">
        <f>IF(VLOOKUP(B303,Database!$A:$AV,MATCH($G$1,Database!$A$1:$AV$1,),)=0,"#N/A",((((VLOOKUP(B303,Database!$A:$AS,MATCH($G$1,Database!$A$1:$AS$1,),))))-(((VLOOKUP(EDATE(B303,-12),Database!$A:$AS,MATCH($G$1,Database!$A$1:$AS$1,),)))))/(((VLOOKUP(EDATE(B303,-12),Database!$A:$AS,MATCH($G$1,Database!$A$1:$AS$1,),)))))</f>
        <v/>
      </c>
      <c r="H303" s="13">
        <f>IF(VLOOKUP(B303,Database!$A:$AV,MATCH($H$1,Database!$A$1:$AV$1,),)=0,"#N/A",((((VLOOKUP(B303,Database!$A:$AS,MATCH($H$1,Database!$A$1:$AS$1,),))))-(((VLOOKUP(EDATE(B303,-12),Database!$A:$AS,MATCH($H$1,Database!$A$1:$AS$1,),)))))/(((VLOOKUP(EDATE(B303,-12),Database!$A:$AS,MATCH($H$1,Database!$A$1:$AS$1,),)))))</f>
        <v/>
      </c>
      <c r="I303" s="13">
        <f>IF(VLOOKUP(B303,Database!$A:$AV,MATCH($I$1,Database!$A$1:$AV$1,),)=0,"#N/A",((((VLOOKUP(B303,Database!$A:$AS,MATCH($I$1,Database!$A$1:$AS$1,),))))-(((VLOOKUP(EDATE(B303,-12),Database!$A:$AS,MATCH($I$1,Database!$A$1:$AS$1,),)))))/(((VLOOKUP(EDATE(B303,-12),Database!$A:$AS,MATCH($I$1,Database!$A$1:$AS$1,),)))))</f>
        <v/>
      </c>
      <c r="J303" s="13">
        <f>IF(VLOOKUP(B303,Database!$A:$AV,MATCH($J$1,Database!$A$1:$AV$1,),)=0,"#N/A",((((VLOOKUP(B303,Database!$A:$AS,MATCH($J$1,Database!$A$1:$AS$1,),))))-(((VLOOKUP(EDATE(B303,-12),Database!$A:$AS,MATCH($J$1,Database!$A$1:$AS$1,),)))))/(((VLOOKUP(EDATE(B303,-12),Database!$A:$AS,MATCH($J$1,Database!$A$1:$AS$1,),)))))</f>
        <v/>
      </c>
      <c r="K303" s="13">
        <f>IF(VLOOKUP(B303,Database!$A:$AV,MATCH($K$1,Database!$A$1:$AV$1,),)=0,"#N/A",((((VLOOKUP(B303,Database!$A:$AS,MATCH($K$1,Database!$A$1:$AS$1,),))))-(((VLOOKUP(EDATE(B303,-12),Database!$A:$AS,MATCH($K$1,Database!$A$1:$AS$1,),)))))/(((VLOOKUP(EDATE(B303,-12),Database!$A:$AS,MATCH($K$1,Database!$A$1:$AS$1,),)))))</f>
        <v/>
      </c>
      <c r="L303" s="13">
        <f>((((VLOOKUP(B303,Database!$A:$AS,MATCH($L$1,Database!$A$1:$AS$1,),))))-(((VLOOKUP(EDATE(B303,-12),Database!$A:$AS,MATCH($L$1,Database!$A$1:$AS$1,),)))))/(((VLOOKUP(EDATE(B303,-12),Database!$A:$AS,MATCH($L$1,Database!$A$1:$AS$1,),))))</f>
        <v/>
      </c>
      <c r="M303" s="13">
        <f>((((VLOOKUP(B303,Database!$A:$AS,MATCH($M$1,Database!$A$1:$AS$1,),))))-(((VLOOKUP(EDATE(B303,-12),Database!$A:$AS,MATCH($M$1,Database!$A$1:$AS$1,),)))))/(((VLOOKUP(EDATE(B303,-12),Database!$A:$AS,MATCH($M$1,Database!$A$1:$AS$1,),))))</f>
        <v/>
      </c>
      <c r="N303" s="13">
        <f>((((VLOOKUP(B303,Database!$A:$AS,MATCH($N$1,Database!$A$1:$AS$1,),))))-(((VLOOKUP(EDATE(B303,-12),Database!$A:$AS,MATCH($N$1,Database!$A$1:$AS$1,),)))))/(((VLOOKUP(EDATE(B303,-12),Database!$A:$AS,MATCH($N$1,Database!$A$1:$AS$1,),))))</f>
        <v/>
      </c>
      <c r="O303" s="13">
        <f>IF(VLOOKUP(B303,Database!$A:$AV,MATCH($O$1,Database!$A$1:$AV$1,),)=0,"#N/A",((((VLOOKUP(B303,Database!$A:$AS,MATCH($O$1,Database!$A$1:$AS$1,),))))-(((VLOOKUP(EDATE(B303,-12),Database!$A:$AS,MATCH($O$1,Database!$A$1:$AS$1,),)))))/(((VLOOKUP(EDATE(B303,-12),Database!$A:$AS,MATCH($O$1,Database!$A$1:$AS$1,),)))))</f>
        <v/>
      </c>
      <c r="P303" s="13">
        <f>IF(VLOOKUP(B303,Database!$A:$AV,MATCH($P$1,Database!$A$1:$AV$1,),)=0,"#N/A",((((VLOOKUP(B303,Database!$A:$AS,MATCH($P$1,Database!$A$1:$AS$1,),))))-(((VLOOKUP(EDATE(B303,-12),Database!$A:$AS,MATCH($P$1,Database!$A$1:$AS$1,),)))))/(((VLOOKUP(EDATE(B303,-12),Database!$A:$AS,MATCH($P$1,Database!$A$1:$AS$1,),)))))</f>
        <v/>
      </c>
      <c r="Q303" s="13">
        <f>IF(VLOOKUP(B303,Database!$A:$AV,MATCH($Q$1,Database!$A$1:$AV$1,),)=0,"#N/A",((((VLOOKUP(B303,Database!$A:$AS,MATCH($Q$1,Database!$A$1:$AS$1,),))))-(((VLOOKUP(EDATE(B303,-12),Database!$A:$AS,MATCH($Q$1,Database!$A$1:$AS$1,),)))))/(((VLOOKUP(EDATE(B303,-12),Database!$A:$AS,MATCH($Q$1,Database!$A$1:$AS$1,),)))))</f>
        <v/>
      </c>
      <c r="R303" s="13">
        <f>IF(VLOOKUP(B303,Database!$A:$AV,MATCH($R$1,Database!$A$1:$AV$1,),)=0,"#N/A",((((VLOOKUP(B303,Database!$A:$AS,MATCH($R$1,Database!$A$1:$AS$1,),))))-(((VLOOKUP(EDATE(B303,-12),Database!$A:$AS,MATCH($R$1,Database!$A$1:$AS$1,),)))))/(((VLOOKUP(EDATE(B303,-12),Database!$A:$AS,MATCH($R$1,Database!$A$1:$AS$1,),)))))</f>
        <v/>
      </c>
      <c r="S303" s="13">
        <f>IF(VLOOKUP(B303,Database!$A:$AV,MATCH($S$1,Database!$A$1:$AV$1,),)=0,"#N/A",((((VLOOKUP(B303,Database!$A:$AS,MATCH($S$1,Database!$A$1:$AS$1,),))))-(((VLOOKUP(EDATE(B303,-12),Database!$A:$AS,MATCH($S$1,Database!$A$1:$AS$1,),)))))/(((VLOOKUP(EDATE(B303,-12),Database!$A:$AS,MATCH($S$1,Database!$A$1:$AS$1,),)))))</f>
        <v/>
      </c>
      <c r="T303" s="13">
        <f>IF(VLOOKUP(B303,Database!$A:$AV,MATCH($T$1,Database!$A$1:$AV$1,),)=0,"#N/A",((((VLOOKUP(B303,Database!$A:$AS,MATCH($T$1,Database!$A$1:$AS$1,),))))-(((VLOOKUP(EDATE(B303,-12),Database!$A:$AS,MATCH($T$1,Database!$A$1:$AS$1,),)))))/(((VLOOKUP(EDATE(B303,-12),Database!$A:$AS,MATCH($T$1,Database!$A$1:$AS$1,),)))))</f>
        <v/>
      </c>
      <c r="U303" s="13">
        <f>IF(VLOOKUP(B303,Database!$A:$AV,MATCH($U$1,Database!$A$1:$AV$1,),)=0,"#N/A",((((VLOOKUP(B303,Database!$A:$AS,MATCH($U$1,Database!$A$1:$AS$1,),))))-(((VLOOKUP(EDATE(B303,-12),Database!$A:$AS,MATCH($U$1,Database!$A$1:$AS$1,),)))))/(((VLOOKUP(EDATE(B303,-12),Database!$A:$AS,MATCH($U$1,Database!$A$1:$AS$1,),)))))</f>
        <v/>
      </c>
      <c r="V303" s="13">
        <f>IF(VLOOKUP(B303,Database!$A:$AV,MATCH($V$1,Database!$A$1:$AV$1,),)=0,"#N/A",((((VLOOKUP(B303,Database!$A:$AS,MATCH($V$1,Database!$A$1:$AS$1,),))))-(((VLOOKUP(EDATE(B303,-12),Database!$A:$AS,MATCH($V$1,Database!$A$1:$AS$1,),)))))/(((VLOOKUP(EDATE(B303,-12),Database!$A:$AS,MATCH($V$1,Database!$A$1:$AS$1,),)))))</f>
        <v/>
      </c>
    </row>
    <row r="304" customFormat="1" s="86">
      <c r="A304" s="43" t="n"/>
      <c r="B304" s="75" t="n">
        <v>41395</v>
      </c>
      <c r="C304" s="13">
        <f>IF(VLOOKUP(B304,Database!$A:$AU,MATCH($C$1,Database!$A$1:$AU$1,),)=0,"#N/A",((((VLOOKUP(B304,Database!$A:$AU,MATCH($C$1,Database!$A$1:$AU$1,),))))-(((VLOOKUP(EDATE(B304,-12),Database!$A:$AU,MATCH($C$1,Database!$A$1:$AU$1,),)))))/(((VLOOKUP(EDATE(B304,-12),Database!$A:$AU,MATCH($C$1,Database!$A$1:$AU$1,),)))))</f>
        <v/>
      </c>
      <c r="D304" s="13">
        <f>IF(VLOOKUP(B304,Database!$A:$AV,MATCH($D$1,Database!$A$1:$AV$1,),)=0,"#N/A",((((VLOOKUP(B304,Database!$A:$AS,MATCH($D$1,Database!$A$1:$AS$1,),))))-(((VLOOKUP(EDATE(B304,-12),Database!$A:$AS,MATCH($D$1,Database!$A$1:$AS$1,),)))))/(((VLOOKUP(EDATE(B304,-12),Database!$A:$AS,MATCH($D$1,Database!$A$1:$AS$1,),)))))</f>
        <v/>
      </c>
      <c r="E304" s="13">
        <f>IF(VLOOKUP(B304,Database!$A:$AV,MATCH($E$1,Database!$A$1:$AV$1,),)=0,"#N/A",((((VLOOKUP(B304,Database!$A:$AS,MATCH($E$1,Database!$A$1:$AS$1,),))))-(((VLOOKUP(EDATE(B304,-12),Database!$A:$AS,MATCH($E$1,Database!$A$1:$AS$1,),)))))/(((VLOOKUP(EDATE(B304,-12),Database!$A:$AS,MATCH($E$1,Database!$A$1:$AS$1,),)))))</f>
        <v/>
      </c>
      <c r="F304" s="13">
        <f>IF(VLOOKUP(B304,Database!$A:$AV,MATCH($F$1,Database!$A$1:$AV$1,),)=0,"#N/A",((((VLOOKUP(B304,Database!$A:$AS,MATCH($F$1,Database!$A$1:$AS$1,),))))-(((VLOOKUP(EDATE(B304,-12),Database!$A:$AS,MATCH($F$1,Database!$A$1:$AS$1,),)))))/(((VLOOKUP(EDATE(B304,-12),Database!$A:$AS,MATCH($F$1,Database!$A$1:$AS$1,),)))))</f>
        <v/>
      </c>
      <c r="G304" s="13">
        <f>IF(VLOOKUP(B304,Database!$A:$AV,MATCH($G$1,Database!$A$1:$AV$1,),)=0,"#N/A",((((VLOOKUP(B304,Database!$A:$AS,MATCH($G$1,Database!$A$1:$AS$1,),))))-(((VLOOKUP(EDATE(B304,-12),Database!$A:$AS,MATCH($G$1,Database!$A$1:$AS$1,),)))))/(((VLOOKUP(EDATE(B304,-12),Database!$A:$AS,MATCH($G$1,Database!$A$1:$AS$1,),)))))</f>
        <v/>
      </c>
      <c r="H304" s="13">
        <f>IF(VLOOKUP(B304,Database!$A:$AV,MATCH($H$1,Database!$A$1:$AV$1,),)=0,"#N/A",((((VLOOKUP(B304,Database!$A:$AS,MATCH($H$1,Database!$A$1:$AS$1,),))))-(((VLOOKUP(EDATE(B304,-12),Database!$A:$AS,MATCH($H$1,Database!$A$1:$AS$1,),)))))/(((VLOOKUP(EDATE(B304,-12),Database!$A:$AS,MATCH($H$1,Database!$A$1:$AS$1,),)))))</f>
        <v/>
      </c>
      <c r="I304" s="13">
        <f>IF(VLOOKUP(B304,Database!$A:$AV,MATCH($I$1,Database!$A$1:$AV$1,),)=0,"#N/A",((((VLOOKUP(B304,Database!$A:$AS,MATCH($I$1,Database!$A$1:$AS$1,),))))-(((VLOOKUP(EDATE(B304,-12),Database!$A:$AS,MATCH($I$1,Database!$A$1:$AS$1,),)))))/(((VLOOKUP(EDATE(B304,-12),Database!$A:$AS,MATCH($I$1,Database!$A$1:$AS$1,),)))))</f>
        <v/>
      </c>
      <c r="J304" s="13">
        <f>IF(VLOOKUP(B304,Database!$A:$AV,MATCH($J$1,Database!$A$1:$AV$1,),)=0,"#N/A",((((VLOOKUP(B304,Database!$A:$AS,MATCH($J$1,Database!$A$1:$AS$1,),))))-(((VLOOKUP(EDATE(B304,-12),Database!$A:$AS,MATCH($J$1,Database!$A$1:$AS$1,),)))))/(((VLOOKUP(EDATE(B304,-12),Database!$A:$AS,MATCH($J$1,Database!$A$1:$AS$1,),)))))</f>
        <v/>
      </c>
      <c r="K304" s="13">
        <f>IF(VLOOKUP(B304,Database!$A:$AV,MATCH($K$1,Database!$A$1:$AV$1,),)=0,"#N/A",((((VLOOKUP(B304,Database!$A:$AS,MATCH($K$1,Database!$A$1:$AS$1,),))))-(((VLOOKUP(EDATE(B304,-12),Database!$A:$AS,MATCH($K$1,Database!$A$1:$AS$1,),)))))/(((VLOOKUP(EDATE(B304,-12),Database!$A:$AS,MATCH($K$1,Database!$A$1:$AS$1,),)))))</f>
        <v/>
      </c>
      <c r="L304" s="13">
        <f>((((VLOOKUP(B304,Database!$A:$AS,MATCH($L$1,Database!$A$1:$AS$1,),))))-(((VLOOKUP(EDATE(B304,-12),Database!$A:$AS,MATCH($L$1,Database!$A$1:$AS$1,),)))))/(((VLOOKUP(EDATE(B304,-12),Database!$A:$AS,MATCH($L$1,Database!$A$1:$AS$1,),))))</f>
        <v/>
      </c>
      <c r="M304" s="13">
        <f>((((VLOOKUP(B304,Database!$A:$AS,MATCH($M$1,Database!$A$1:$AS$1,),))))-(((VLOOKUP(EDATE(B304,-12),Database!$A:$AS,MATCH($M$1,Database!$A$1:$AS$1,),)))))/(((VLOOKUP(EDATE(B304,-12),Database!$A:$AS,MATCH($M$1,Database!$A$1:$AS$1,),))))</f>
        <v/>
      </c>
      <c r="N304" s="13">
        <f>((((VLOOKUP(B304,Database!$A:$AS,MATCH($N$1,Database!$A$1:$AS$1,),))))-(((VLOOKUP(EDATE(B304,-12),Database!$A:$AS,MATCH($N$1,Database!$A$1:$AS$1,),)))))/(((VLOOKUP(EDATE(B304,-12),Database!$A:$AS,MATCH($N$1,Database!$A$1:$AS$1,),))))</f>
        <v/>
      </c>
      <c r="O304" s="13">
        <f>IF(VLOOKUP(B304,Database!$A:$AV,MATCH($O$1,Database!$A$1:$AV$1,),)=0,"#N/A",((((VLOOKUP(B304,Database!$A:$AS,MATCH($O$1,Database!$A$1:$AS$1,),))))-(((VLOOKUP(EDATE(B304,-12),Database!$A:$AS,MATCH($O$1,Database!$A$1:$AS$1,),)))))/(((VLOOKUP(EDATE(B304,-12),Database!$A:$AS,MATCH($O$1,Database!$A$1:$AS$1,),)))))</f>
        <v/>
      </c>
      <c r="P304" s="13">
        <f>IF(VLOOKUP(B304,Database!$A:$AV,MATCH($P$1,Database!$A$1:$AV$1,),)=0,"#N/A",((((VLOOKUP(B304,Database!$A:$AS,MATCH($P$1,Database!$A$1:$AS$1,),))))-(((VLOOKUP(EDATE(B304,-12),Database!$A:$AS,MATCH($P$1,Database!$A$1:$AS$1,),)))))/(((VLOOKUP(EDATE(B304,-12),Database!$A:$AS,MATCH($P$1,Database!$A$1:$AS$1,),)))))</f>
        <v/>
      </c>
      <c r="Q304" s="13">
        <f>IF(VLOOKUP(B304,Database!$A:$AV,MATCH($Q$1,Database!$A$1:$AV$1,),)=0,"#N/A",((((VLOOKUP(B304,Database!$A:$AS,MATCH($Q$1,Database!$A$1:$AS$1,),))))-(((VLOOKUP(EDATE(B304,-12),Database!$A:$AS,MATCH($Q$1,Database!$A$1:$AS$1,),)))))/(((VLOOKUP(EDATE(B304,-12),Database!$A:$AS,MATCH($Q$1,Database!$A$1:$AS$1,),)))))</f>
        <v/>
      </c>
      <c r="R304" s="13">
        <f>IF(VLOOKUP(B304,Database!$A:$AV,MATCH($R$1,Database!$A$1:$AV$1,),)=0,"#N/A",((((VLOOKUP(B304,Database!$A:$AS,MATCH($R$1,Database!$A$1:$AS$1,),))))-(((VLOOKUP(EDATE(B304,-12),Database!$A:$AS,MATCH($R$1,Database!$A$1:$AS$1,),)))))/(((VLOOKUP(EDATE(B304,-12),Database!$A:$AS,MATCH($R$1,Database!$A$1:$AS$1,),)))))</f>
        <v/>
      </c>
      <c r="S304" s="13">
        <f>IF(VLOOKUP(B304,Database!$A:$AV,MATCH($S$1,Database!$A$1:$AV$1,),)=0,"#N/A",((((VLOOKUP(B304,Database!$A:$AS,MATCH($S$1,Database!$A$1:$AS$1,),))))-(((VLOOKUP(EDATE(B304,-12),Database!$A:$AS,MATCH($S$1,Database!$A$1:$AS$1,),)))))/(((VLOOKUP(EDATE(B304,-12),Database!$A:$AS,MATCH($S$1,Database!$A$1:$AS$1,),)))))</f>
        <v/>
      </c>
      <c r="T304" s="13">
        <f>IF(VLOOKUP(B304,Database!$A:$AV,MATCH($T$1,Database!$A$1:$AV$1,),)=0,"#N/A",((((VLOOKUP(B304,Database!$A:$AS,MATCH($T$1,Database!$A$1:$AS$1,),))))-(((VLOOKUP(EDATE(B304,-12),Database!$A:$AS,MATCH($T$1,Database!$A$1:$AS$1,),)))))/(((VLOOKUP(EDATE(B304,-12),Database!$A:$AS,MATCH($T$1,Database!$A$1:$AS$1,),)))))</f>
        <v/>
      </c>
      <c r="U304" s="13">
        <f>IF(VLOOKUP(B304,Database!$A:$AV,MATCH($U$1,Database!$A$1:$AV$1,),)=0,"#N/A",((((VLOOKUP(B304,Database!$A:$AS,MATCH($U$1,Database!$A$1:$AS$1,),))))-(((VLOOKUP(EDATE(B304,-12),Database!$A:$AS,MATCH($U$1,Database!$A$1:$AS$1,),)))))/(((VLOOKUP(EDATE(B304,-12),Database!$A:$AS,MATCH($U$1,Database!$A$1:$AS$1,),)))))</f>
        <v/>
      </c>
      <c r="V304" s="13">
        <f>IF(VLOOKUP(B304,Database!$A:$AV,MATCH($V$1,Database!$A$1:$AV$1,),)=0,"#N/A",((((VLOOKUP(B304,Database!$A:$AS,MATCH($V$1,Database!$A$1:$AS$1,),))))-(((VLOOKUP(EDATE(B304,-12),Database!$A:$AS,MATCH($V$1,Database!$A$1:$AS$1,),)))))/(((VLOOKUP(EDATE(B304,-12),Database!$A:$AS,MATCH($V$1,Database!$A$1:$AS$1,),)))))</f>
        <v/>
      </c>
    </row>
    <row r="305" customFormat="1" s="86">
      <c r="A305" s="43" t="n"/>
      <c r="B305" s="75" t="n">
        <v>41426</v>
      </c>
      <c r="C305" s="13">
        <f>IF(VLOOKUP(B305,Database!$A:$AU,MATCH($C$1,Database!$A$1:$AU$1,),)=0,"#N/A",((((VLOOKUP(B305,Database!$A:$AU,MATCH($C$1,Database!$A$1:$AU$1,),))))-(((VLOOKUP(EDATE(B305,-12),Database!$A:$AU,MATCH($C$1,Database!$A$1:$AU$1,),)))))/(((VLOOKUP(EDATE(B305,-12),Database!$A:$AU,MATCH($C$1,Database!$A$1:$AU$1,),)))))</f>
        <v/>
      </c>
      <c r="D305" s="13">
        <f>IF(VLOOKUP(B305,Database!$A:$AV,MATCH($D$1,Database!$A$1:$AV$1,),)=0,"#N/A",((((VLOOKUP(B305,Database!$A:$AS,MATCH($D$1,Database!$A$1:$AS$1,),))))-(((VLOOKUP(EDATE(B305,-12),Database!$A:$AS,MATCH($D$1,Database!$A$1:$AS$1,),)))))/(((VLOOKUP(EDATE(B305,-12),Database!$A:$AS,MATCH($D$1,Database!$A$1:$AS$1,),)))))</f>
        <v/>
      </c>
      <c r="E305" s="13">
        <f>IF(VLOOKUP(B305,Database!$A:$AV,MATCH($E$1,Database!$A$1:$AV$1,),)=0,"#N/A",((((VLOOKUP(B305,Database!$A:$AS,MATCH($E$1,Database!$A$1:$AS$1,),))))-(((VLOOKUP(EDATE(B305,-12),Database!$A:$AS,MATCH($E$1,Database!$A$1:$AS$1,),)))))/(((VLOOKUP(EDATE(B305,-12),Database!$A:$AS,MATCH($E$1,Database!$A$1:$AS$1,),)))))</f>
        <v/>
      </c>
      <c r="F305" s="13">
        <f>IF(VLOOKUP(B305,Database!$A:$AV,MATCH($F$1,Database!$A$1:$AV$1,),)=0,"#N/A",((((VLOOKUP(B305,Database!$A:$AS,MATCH($F$1,Database!$A$1:$AS$1,),))))-(((VLOOKUP(EDATE(B305,-12),Database!$A:$AS,MATCH($F$1,Database!$A$1:$AS$1,),)))))/(((VLOOKUP(EDATE(B305,-12),Database!$A:$AS,MATCH($F$1,Database!$A$1:$AS$1,),)))))</f>
        <v/>
      </c>
      <c r="G305" s="13">
        <f>IF(VLOOKUP(B305,Database!$A:$AV,MATCH($G$1,Database!$A$1:$AV$1,),)=0,"#N/A",((((VLOOKUP(B305,Database!$A:$AS,MATCH($G$1,Database!$A$1:$AS$1,),))))-(((VLOOKUP(EDATE(B305,-12),Database!$A:$AS,MATCH($G$1,Database!$A$1:$AS$1,),)))))/(((VLOOKUP(EDATE(B305,-12),Database!$A:$AS,MATCH($G$1,Database!$A$1:$AS$1,),)))))</f>
        <v/>
      </c>
      <c r="H305" s="13">
        <f>IF(VLOOKUP(B305,Database!$A:$AV,MATCH($H$1,Database!$A$1:$AV$1,),)=0,"#N/A",((((VLOOKUP(B305,Database!$A:$AS,MATCH($H$1,Database!$A$1:$AS$1,),))))-(((VLOOKUP(EDATE(B305,-12),Database!$A:$AS,MATCH($H$1,Database!$A$1:$AS$1,),)))))/(((VLOOKUP(EDATE(B305,-12),Database!$A:$AS,MATCH($H$1,Database!$A$1:$AS$1,),)))))</f>
        <v/>
      </c>
      <c r="I305" s="13">
        <f>IF(VLOOKUP(B305,Database!$A:$AV,MATCH($I$1,Database!$A$1:$AV$1,),)=0,"#N/A",((((VLOOKUP(B305,Database!$A:$AS,MATCH($I$1,Database!$A$1:$AS$1,),))))-(((VLOOKUP(EDATE(B305,-12),Database!$A:$AS,MATCH($I$1,Database!$A$1:$AS$1,),)))))/(((VLOOKUP(EDATE(B305,-12),Database!$A:$AS,MATCH($I$1,Database!$A$1:$AS$1,),)))))</f>
        <v/>
      </c>
      <c r="J305" s="13">
        <f>IF(VLOOKUP(B305,Database!$A:$AV,MATCH($J$1,Database!$A$1:$AV$1,),)=0,"#N/A",((((VLOOKUP(B305,Database!$A:$AS,MATCH($J$1,Database!$A$1:$AS$1,),))))-(((VLOOKUP(EDATE(B305,-12),Database!$A:$AS,MATCH($J$1,Database!$A$1:$AS$1,),)))))/(((VLOOKUP(EDATE(B305,-12),Database!$A:$AS,MATCH($J$1,Database!$A$1:$AS$1,),)))))</f>
        <v/>
      </c>
      <c r="K305" s="13">
        <f>IF(VLOOKUP(B305,Database!$A:$AV,MATCH($K$1,Database!$A$1:$AV$1,),)=0,"#N/A",((((VLOOKUP(B305,Database!$A:$AS,MATCH($K$1,Database!$A$1:$AS$1,),))))-(((VLOOKUP(EDATE(B305,-12),Database!$A:$AS,MATCH($K$1,Database!$A$1:$AS$1,),)))))/(((VLOOKUP(EDATE(B305,-12),Database!$A:$AS,MATCH($K$1,Database!$A$1:$AS$1,),)))))</f>
        <v/>
      </c>
      <c r="L305" s="13">
        <f>((((VLOOKUP(B305,Database!$A:$AS,MATCH($L$1,Database!$A$1:$AS$1,),))))-(((VLOOKUP(EDATE(B305,-12),Database!$A:$AS,MATCH($L$1,Database!$A$1:$AS$1,),)))))/(((VLOOKUP(EDATE(B305,-12),Database!$A:$AS,MATCH($L$1,Database!$A$1:$AS$1,),))))</f>
        <v/>
      </c>
      <c r="M305" s="13">
        <f>((((VLOOKUP(B305,Database!$A:$AS,MATCH($M$1,Database!$A$1:$AS$1,),))))-(((VLOOKUP(EDATE(B305,-12),Database!$A:$AS,MATCH($M$1,Database!$A$1:$AS$1,),)))))/(((VLOOKUP(EDATE(B305,-12),Database!$A:$AS,MATCH($M$1,Database!$A$1:$AS$1,),))))</f>
        <v/>
      </c>
      <c r="N305" s="13">
        <f>((((VLOOKUP(B305,Database!$A:$AS,MATCH($N$1,Database!$A$1:$AS$1,),))))-(((VLOOKUP(EDATE(B305,-12),Database!$A:$AS,MATCH($N$1,Database!$A$1:$AS$1,),)))))/(((VLOOKUP(EDATE(B305,-12),Database!$A:$AS,MATCH($N$1,Database!$A$1:$AS$1,),))))</f>
        <v/>
      </c>
      <c r="O305" s="13">
        <f>IF(VLOOKUP(B305,Database!$A:$AV,MATCH($O$1,Database!$A$1:$AV$1,),)=0,"#N/A",((((VLOOKUP(B305,Database!$A:$AS,MATCH($O$1,Database!$A$1:$AS$1,),))))-(((VLOOKUP(EDATE(B305,-12),Database!$A:$AS,MATCH($O$1,Database!$A$1:$AS$1,),)))))/(((VLOOKUP(EDATE(B305,-12),Database!$A:$AS,MATCH($O$1,Database!$A$1:$AS$1,),)))))</f>
        <v/>
      </c>
      <c r="P305" s="13">
        <f>IF(VLOOKUP(B305,Database!$A:$AV,MATCH($P$1,Database!$A$1:$AV$1,),)=0,"#N/A",((((VLOOKUP(B305,Database!$A:$AS,MATCH($P$1,Database!$A$1:$AS$1,),))))-(((VLOOKUP(EDATE(B305,-12),Database!$A:$AS,MATCH($P$1,Database!$A$1:$AS$1,),)))))/(((VLOOKUP(EDATE(B305,-12),Database!$A:$AS,MATCH($P$1,Database!$A$1:$AS$1,),)))))</f>
        <v/>
      </c>
      <c r="Q305" s="13">
        <f>IF(VLOOKUP(B305,Database!$A:$AV,MATCH($Q$1,Database!$A$1:$AV$1,),)=0,"#N/A",((((VLOOKUP(B305,Database!$A:$AS,MATCH($Q$1,Database!$A$1:$AS$1,),))))-(((VLOOKUP(EDATE(B305,-12),Database!$A:$AS,MATCH($Q$1,Database!$A$1:$AS$1,),)))))/(((VLOOKUP(EDATE(B305,-12),Database!$A:$AS,MATCH($Q$1,Database!$A$1:$AS$1,),)))))</f>
        <v/>
      </c>
      <c r="R305" s="13">
        <f>IF(VLOOKUP(B305,Database!$A:$AV,MATCH($R$1,Database!$A$1:$AV$1,),)=0,"#N/A",((((VLOOKUP(B305,Database!$A:$AS,MATCH($R$1,Database!$A$1:$AS$1,),))))-(((VLOOKUP(EDATE(B305,-12),Database!$A:$AS,MATCH($R$1,Database!$A$1:$AS$1,),)))))/(((VLOOKUP(EDATE(B305,-12),Database!$A:$AS,MATCH($R$1,Database!$A$1:$AS$1,),)))))</f>
        <v/>
      </c>
      <c r="S305" s="13">
        <f>IF(VLOOKUP(B305,Database!$A:$AV,MATCH($S$1,Database!$A$1:$AV$1,),)=0,"#N/A",((((VLOOKUP(B305,Database!$A:$AS,MATCH($S$1,Database!$A$1:$AS$1,),))))-(((VLOOKUP(EDATE(B305,-12),Database!$A:$AS,MATCH($S$1,Database!$A$1:$AS$1,),)))))/(((VLOOKUP(EDATE(B305,-12),Database!$A:$AS,MATCH($S$1,Database!$A$1:$AS$1,),)))))</f>
        <v/>
      </c>
      <c r="T305" s="13">
        <f>IF(VLOOKUP(B305,Database!$A:$AV,MATCH($T$1,Database!$A$1:$AV$1,),)=0,"#N/A",((((VLOOKUP(B305,Database!$A:$AS,MATCH($T$1,Database!$A$1:$AS$1,),))))-(((VLOOKUP(EDATE(B305,-12),Database!$A:$AS,MATCH($T$1,Database!$A$1:$AS$1,),)))))/(((VLOOKUP(EDATE(B305,-12),Database!$A:$AS,MATCH($T$1,Database!$A$1:$AS$1,),)))))</f>
        <v/>
      </c>
      <c r="U305" s="13">
        <f>IF(VLOOKUP(B305,Database!$A:$AV,MATCH($U$1,Database!$A$1:$AV$1,),)=0,"#N/A",((((VLOOKUP(B305,Database!$A:$AS,MATCH($U$1,Database!$A$1:$AS$1,),))))-(((VLOOKUP(EDATE(B305,-12),Database!$A:$AS,MATCH($U$1,Database!$A$1:$AS$1,),)))))/(((VLOOKUP(EDATE(B305,-12),Database!$A:$AS,MATCH($U$1,Database!$A$1:$AS$1,),)))))</f>
        <v/>
      </c>
      <c r="V305" s="13">
        <f>IF(VLOOKUP(B305,Database!$A:$AV,MATCH($V$1,Database!$A$1:$AV$1,),)=0,"#N/A",((((VLOOKUP(B305,Database!$A:$AS,MATCH($V$1,Database!$A$1:$AS$1,),))))-(((VLOOKUP(EDATE(B305,-12),Database!$A:$AS,MATCH($V$1,Database!$A$1:$AS$1,),)))))/(((VLOOKUP(EDATE(B305,-12),Database!$A:$AS,MATCH($V$1,Database!$A$1:$AS$1,),)))))</f>
        <v/>
      </c>
    </row>
    <row r="306" customFormat="1" s="86">
      <c r="A306" s="43" t="n"/>
      <c r="B306" s="75" t="n">
        <v>41456</v>
      </c>
      <c r="C306" s="13">
        <f>IF(VLOOKUP(B306,Database!$A:$AU,MATCH($C$1,Database!$A$1:$AU$1,),)=0,"#N/A",((((VLOOKUP(B306,Database!$A:$AU,MATCH($C$1,Database!$A$1:$AU$1,),))))-(((VLOOKUP(EDATE(B306,-12),Database!$A:$AU,MATCH($C$1,Database!$A$1:$AU$1,),)))))/(((VLOOKUP(EDATE(B306,-12),Database!$A:$AU,MATCH($C$1,Database!$A$1:$AU$1,),)))))</f>
        <v/>
      </c>
      <c r="D306" s="13">
        <f>IF(VLOOKUP(B306,Database!$A:$AV,MATCH($D$1,Database!$A$1:$AV$1,),)=0,"#N/A",((((VLOOKUP(B306,Database!$A:$AS,MATCH($D$1,Database!$A$1:$AS$1,),))))-(((VLOOKUP(EDATE(B306,-12),Database!$A:$AS,MATCH($D$1,Database!$A$1:$AS$1,),)))))/(((VLOOKUP(EDATE(B306,-12),Database!$A:$AS,MATCH($D$1,Database!$A$1:$AS$1,),)))))</f>
        <v/>
      </c>
      <c r="E306" s="13">
        <f>IF(VLOOKUP(B306,Database!$A:$AV,MATCH($E$1,Database!$A$1:$AV$1,),)=0,"#N/A",((((VLOOKUP(B306,Database!$A:$AS,MATCH($E$1,Database!$A$1:$AS$1,),))))-(((VLOOKUP(EDATE(B306,-12),Database!$A:$AS,MATCH($E$1,Database!$A$1:$AS$1,),)))))/(((VLOOKUP(EDATE(B306,-12),Database!$A:$AS,MATCH($E$1,Database!$A$1:$AS$1,),)))))</f>
        <v/>
      </c>
      <c r="F306" s="13">
        <f>IF(VLOOKUP(B306,Database!$A:$AV,MATCH($F$1,Database!$A$1:$AV$1,),)=0,"#N/A",((((VLOOKUP(B306,Database!$A:$AS,MATCH($F$1,Database!$A$1:$AS$1,),))))-(((VLOOKUP(EDATE(B306,-12),Database!$A:$AS,MATCH($F$1,Database!$A$1:$AS$1,),)))))/(((VLOOKUP(EDATE(B306,-12),Database!$A:$AS,MATCH($F$1,Database!$A$1:$AS$1,),)))))</f>
        <v/>
      </c>
      <c r="G306" s="13">
        <f>IF(VLOOKUP(B306,Database!$A:$AV,MATCH($G$1,Database!$A$1:$AV$1,),)=0,"#N/A",((((VLOOKUP(B306,Database!$A:$AS,MATCH($G$1,Database!$A$1:$AS$1,),))))-(((VLOOKUP(EDATE(B306,-12),Database!$A:$AS,MATCH($G$1,Database!$A$1:$AS$1,),)))))/(((VLOOKUP(EDATE(B306,-12),Database!$A:$AS,MATCH($G$1,Database!$A$1:$AS$1,),)))))</f>
        <v/>
      </c>
      <c r="H306" s="13">
        <f>IF(VLOOKUP(B306,Database!$A:$AV,MATCH($H$1,Database!$A$1:$AV$1,),)=0,"#N/A",((((VLOOKUP(B306,Database!$A:$AS,MATCH($H$1,Database!$A$1:$AS$1,),))))-(((VLOOKUP(EDATE(B306,-12),Database!$A:$AS,MATCH($H$1,Database!$A$1:$AS$1,),)))))/(((VLOOKUP(EDATE(B306,-12),Database!$A:$AS,MATCH($H$1,Database!$A$1:$AS$1,),)))))</f>
        <v/>
      </c>
      <c r="I306" s="13">
        <f>IF(VLOOKUP(B306,Database!$A:$AV,MATCH($I$1,Database!$A$1:$AV$1,),)=0,"#N/A",((((VLOOKUP(B306,Database!$A:$AS,MATCH($I$1,Database!$A$1:$AS$1,),))))-(((VLOOKUP(EDATE(B306,-12),Database!$A:$AS,MATCH($I$1,Database!$A$1:$AS$1,),)))))/(((VLOOKUP(EDATE(B306,-12),Database!$A:$AS,MATCH($I$1,Database!$A$1:$AS$1,),)))))</f>
        <v/>
      </c>
      <c r="J306" s="13">
        <f>IF(VLOOKUP(B306,Database!$A:$AV,MATCH($J$1,Database!$A$1:$AV$1,),)=0,"#N/A",((((VLOOKUP(B306,Database!$A:$AS,MATCH($J$1,Database!$A$1:$AS$1,),))))-(((VLOOKUP(EDATE(B306,-12),Database!$A:$AS,MATCH($J$1,Database!$A$1:$AS$1,),)))))/(((VLOOKUP(EDATE(B306,-12),Database!$A:$AS,MATCH($J$1,Database!$A$1:$AS$1,),)))))</f>
        <v/>
      </c>
      <c r="K306" s="13">
        <f>IF(VLOOKUP(B306,Database!$A:$AV,MATCH($K$1,Database!$A$1:$AV$1,),)=0,"#N/A",((((VLOOKUP(B306,Database!$A:$AS,MATCH($K$1,Database!$A$1:$AS$1,),))))-(((VLOOKUP(EDATE(B306,-12),Database!$A:$AS,MATCH($K$1,Database!$A$1:$AS$1,),)))))/(((VLOOKUP(EDATE(B306,-12),Database!$A:$AS,MATCH($K$1,Database!$A$1:$AS$1,),)))))</f>
        <v/>
      </c>
      <c r="L306" s="13">
        <f>((((VLOOKUP(B306,Database!$A:$AS,MATCH($L$1,Database!$A$1:$AS$1,),))))-(((VLOOKUP(EDATE(B306,-12),Database!$A:$AS,MATCH($L$1,Database!$A$1:$AS$1,),)))))/(((VLOOKUP(EDATE(B306,-12),Database!$A:$AS,MATCH($L$1,Database!$A$1:$AS$1,),))))</f>
        <v/>
      </c>
      <c r="M306" s="13">
        <f>((((VLOOKUP(B306,Database!$A:$AS,MATCH($M$1,Database!$A$1:$AS$1,),))))-(((VLOOKUP(EDATE(B306,-12),Database!$A:$AS,MATCH($M$1,Database!$A$1:$AS$1,),)))))/(((VLOOKUP(EDATE(B306,-12),Database!$A:$AS,MATCH($M$1,Database!$A$1:$AS$1,),))))</f>
        <v/>
      </c>
      <c r="N306" s="13">
        <f>((((VLOOKUP(B306,Database!$A:$AS,MATCH($N$1,Database!$A$1:$AS$1,),))))-(((VLOOKUP(EDATE(B306,-12),Database!$A:$AS,MATCH($N$1,Database!$A$1:$AS$1,),)))))/(((VLOOKUP(EDATE(B306,-12),Database!$A:$AS,MATCH($N$1,Database!$A$1:$AS$1,),))))</f>
        <v/>
      </c>
      <c r="O306" s="13">
        <f>IF(VLOOKUP(B306,Database!$A:$AV,MATCH($O$1,Database!$A$1:$AV$1,),)=0,"#N/A",((((VLOOKUP(B306,Database!$A:$AS,MATCH($O$1,Database!$A$1:$AS$1,),))))-(((VLOOKUP(EDATE(B306,-12),Database!$A:$AS,MATCH($O$1,Database!$A$1:$AS$1,),)))))/(((VLOOKUP(EDATE(B306,-12),Database!$A:$AS,MATCH($O$1,Database!$A$1:$AS$1,),)))))</f>
        <v/>
      </c>
      <c r="P306" s="13">
        <f>IF(VLOOKUP(B306,Database!$A:$AV,MATCH($P$1,Database!$A$1:$AV$1,),)=0,"#N/A",((((VLOOKUP(B306,Database!$A:$AS,MATCH($P$1,Database!$A$1:$AS$1,),))))-(((VLOOKUP(EDATE(B306,-12),Database!$A:$AS,MATCH($P$1,Database!$A$1:$AS$1,),)))))/(((VLOOKUP(EDATE(B306,-12),Database!$A:$AS,MATCH($P$1,Database!$A$1:$AS$1,),)))))</f>
        <v/>
      </c>
      <c r="Q306" s="13">
        <f>IF(VLOOKUP(B306,Database!$A:$AV,MATCH($Q$1,Database!$A$1:$AV$1,),)=0,"#N/A",((((VLOOKUP(B306,Database!$A:$AS,MATCH($Q$1,Database!$A$1:$AS$1,),))))-(((VLOOKUP(EDATE(B306,-12),Database!$A:$AS,MATCH($Q$1,Database!$A$1:$AS$1,),)))))/(((VLOOKUP(EDATE(B306,-12),Database!$A:$AS,MATCH($Q$1,Database!$A$1:$AS$1,),)))))</f>
        <v/>
      </c>
      <c r="R306" s="13">
        <f>IF(VLOOKUP(B306,Database!$A:$AV,MATCH($R$1,Database!$A$1:$AV$1,),)=0,"#N/A",((((VLOOKUP(B306,Database!$A:$AS,MATCH($R$1,Database!$A$1:$AS$1,),))))-(((VLOOKUP(EDATE(B306,-12),Database!$A:$AS,MATCH($R$1,Database!$A$1:$AS$1,),)))))/(((VLOOKUP(EDATE(B306,-12),Database!$A:$AS,MATCH($R$1,Database!$A$1:$AS$1,),)))))</f>
        <v/>
      </c>
      <c r="S306" s="13">
        <f>IF(VLOOKUP(B306,Database!$A:$AV,MATCH($S$1,Database!$A$1:$AV$1,),)=0,"#N/A",((((VLOOKUP(B306,Database!$A:$AS,MATCH($S$1,Database!$A$1:$AS$1,),))))-(((VLOOKUP(EDATE(B306,-12),Database!$A:$AS,MATCH($S$1,Database!$A$1:$AS$1,),)))))/(((VLOOKUP(EDATE(B306,-12),Database!$A:$AS,MATCH($S$1,Database!$A$1:$AS$1,),)))))</f>
        <v/>
      </c>
      <c r="T306" s="13">
        <f>IF(VLOOKUP(B306,Database!$A:$AV,MATCH($T$1,Database!$A$1:$AV$1,),)=0,"#N/A",((((VLOOKUP(B306,Database!$A:$AS,MATCH($T$1,Database!$A$1:$AS$1,),))))-(((VLOOKUP(EDATE(B306,-12),Database!$A:$AS,MATCH($T$1,Database!$A$1:$AS$1,),)))))/(((VLOOKUP(EDATE(B306,-12),Database!$A:$AS,MATCH($T$1,Database!$A$1:$AS$1,),)))))</f>
        <v/>
      </c>
      <c r="U306" s="13">
        <f>IF(VLOOKUP(B306,Database!$A:$AV,MATCH($U$1,Database!$A$1:$AV$1,),)=0,"#N/A",((((VLOOKUP(B306,Database!$A:$AS,MATCH($U$1,Database!$A$1:$AS$1,),))))-(((VLOOKUP(EDATE(B306,-12),Database!$A:$AS,MATCH($U$1,Database!$A$1:$AS$1,),)))))/(((VLOOKUP(EDATE(B306,-12),Database!$A:$AS,MATCH($U$1,Database!$A$1:$AS$1,),)))))</f>
        <v/>
      </c>
      <c r="V306" s="13">
        <f>IF(VLOOKUP(B306,Database!$A:$AV,MATCH($V$1,Database!$A$1:$AV$1,),)=0,"#N/A",((((VLOOKUP(B306,Database!$A:$AS,MATCH($V$1,Database!$A$1:$AS$1,),))))-(((VLOOKUP(EDATE(B306,-12),Database!$A:$AS,MATCH($V$1,Database!$A$1:$AS$1,),)))))/(((VLOOKUP(EDATE(B306,-12),Database!$A:$AS,MATCH($V$1,Database!$A$1:$AS$1,),)))))</f>
        <v/>
      </c>
    </row>
    <row r="307" customFormat="1" s="86">
      <c r="A307" s="43" t="n"/>
      <c r="B307" s="75" t="n">
        <v>41487</v>
      </c>
      <c r="C307" s="13">
        <f>IF(VLOOKUP(B307,Database!$A:$AU,MATCH($C$1,Database!$A$1:$AU$1,),)=0,"#N/A",((((VLOOKUP(B307,Database!$A:$AU,MATCH($C$1,Database!$A$1:$AU$1,),))))-(((VLOOKUP(EDATE(B307,-12),Database!$A:$AU,MATCH($C$1,Database!$A$1:$AU$1,),)))))/(((VLOOKUP(EDATE(B307,-12),Database!$A:$AU,MATCH($C$1,Database!$A$1:$AU$1,),)))))</f>
        <v/>
      </c>
      <c r="D307" s="13">
        <f>IF(VLOOKUP(B307,Database!$A:$AV,MATCH($D$1,Database!$A$1:$AV$1,),)=0,"#N/A",((((VLOOKUP(B307,Database!$A:$AS,MATCH($D$1,Database!$A$1:$AS$1,),))))-(((VLOOKUP(EDATE(B307,-12),Database!$A:$AS,MATCH($D$1,Database!$A$1:$AS$1,),)))))/(((VLOOKUP(EDATE(B307,-12),Database!$A:$AS,MATCH($D$1,Database!$A$1:$AS$1,),)))))</f>
        <v/>
      </c>
      <c r="E307" s="13">
        <f>IF(VLOOKUP(B307,Database!$A:$AV,MATCH($E$1,Database!$A$1:$AV$1,),)=0,"#N/A",((((VLOOKUP(B307,Database!$A:$AS,MATCH($E$1,Database!$A$1:$AS$1,),))))-(((VLOOKUP(EDATE(B307,-12),Database!$A:$AS,MATCH($E$1,Database!$A$1:$AS$1,),)))))/(((VLOOKUP(EDATE(B307,-12),Database!$A:$AS,MATCH($E$1,Database!$A$1:$AS$1,),)))))</f>
        <v/>
      </c>
      <c r="F307" s="13">
        <f>IF(VLOOKUP(B307,Database!$A:$AV,MATCH($F$1,Database!$A$1:$AV$1,),)=0,"#N/A",((((VLOOKUP(B307,Database!$A:$AS,MATCH($F$1,Database!$A$1:$AS$1,),))))-(((VLOOKUP(EDATE(B307,-12),Database!$A:$AS,MATCH($F$1,Database!$A$1:$AS$1,),)))))/(((VLOOKUP(EDATE(B307,-12),Database!$A:$AS,MATCH($F$1,Database!$A$1:$AS$1,),)))))</f>
        <v/>
      </c>
      <c r="G307" s="13">
        <f>IF(VLOOKUP(B307,Database!$A:$AV,MATCH($G$1,Database!$A$1:$AV$1,),)=0,"#N/A",((((VLOOKUP(B307,Database!$A:$AS,MATCH($G$1,Database!$A$1:$AS$1,),))))-(((VLOOKUP(EDATE(B307,-12),Database!$A:$AS,MATCH($G$1,Database!$A$1:$AS$1,),)))))/(((VLOOKUP(EDATE(B307,-12),Database!$A:$AS,MATCH($G$1,Database!$A$1:$AS$1,),)))))</f>
        <v/>
      </c>
      <c r="H307" s="13">
        <f>IF(VLOOKUP(B307,Database!$A:$AV,MATCH($H$1,Database!$A$1:$AV$1,),)=0,"#N/A",((((VLOOKUP(B307,Database!$A:$AS,MATCH($H$1,Database!$A$1:$AS$1,),))))-(((VLOOKUP(EDATE(B307,-12),Database!$A:$AS,MATCH($H$1,Database!$A$1:$AS$1,),)))))/(((VLOOKUP(EDATE(B307,-12),Database!$A:$AS,MATCH($H$1,Database!$A$1:$AS$1,),)))))</f>
        <v/>
      </c>
      <c r="I307" s="13">
        <f>IF(VLOOKUP(B307,Database!$A:$AV,MATCH($I$1,Database!$A$1:$AV$1,),)=0,"#N/A",((((VLOOKUP(B307,Database!$A:$AS,MATCH($I$1,Database!$A$1:$AS$1,),))))-(((VLOOKUP(EDATE(B307,-12),Database!$A:$AS,MATCH($I$1,Database!$A$1:$AS$1,),)))))/(((VLOOKUP(EDATE(B307,-12),Database!$A:$AS,MATCH($I$1,Database!$A$1:$AS$1,),)))))</f>
        <v/>
      </c>
      <c r="J307" s="13">
        <f>IF(VLOOKUP(B307,Database!$A:$AV,MATCH($J$1,Database!$A$1:$AV$1,),)=0,"#N/A",((((VLOOKUP(B307,Database!$A:$AS,MATCH($J$1,Database!$A$1:$AS$1,),))))-(((VLOOKUP(EDATE(B307,-12),Database!$A:$AS,MATCH($J$1,Database!$A$1:$AS$1,),)))))/(((VLOOKUP(EDATE(B307,-12),Database!$A:$AS,MATCH($J$1,Database!$A$1:$AS$1,),)))))</f>
        <v/>
      </c>
      <c r="K307" s="13">
        <f>IF(VLOOKUP(B307,Database!$A:$AV,MATCH($K$1,Database!$A$1:$AV$1,),)=0,"#N/A",((((VLOOKUP(B307,Database!$A:$AS,MATCH($K$1,Database!$A$1:$AS$1,),))))-(((VLOOKUP(EDATE(B307,-12),Database!$A:$AS,MATCH($K$1,Database!$A$1:$AS$1,),)))))/(((VLOOKUP(EDATE(B307,-12),Database!$A:$AS,MATCH($K$1,Database!$A$1:$AS$1,),)))))</f>
        <v/>
      </c>
      <c r="L307" s="13">
        <f>((((VLOOKUP(B307,Database!$A:$AS,MATCH($L$1,Database!$A$1:$AS$1,),))))-(((VLOOKUP(EDATE(B307,-12),Database!$A:$AS,MATCH($L$1,Database!$A$1:$AS$1,),)))))/(((VLOOKUP(EDATE(B307,-12),Database!$A:$AS,MATCH($L$1,Database!$A$1:$AS$1,),))))</f>
        <v/>
      </c>
      <c r="M307" s="13">
        <f>((((VLOOKUP(B307,Database!$A:$AS,MATCH($M$1,Database!$A$1:$AS$1,),))))-(((VLOOKUP(EDATE(B307,-12),Database!$A:$AS,MATCH($M$1,Database!$A$1:$AS$1,),)))))/(((VLOOKUP(EDATE(B307,-12),Database!$A:$AS,MATCH($M$1,Database!$A$1:$AS$1,),))))</f>
        <v/>
      </c>
      <c r="N307" s="13">
        <f>((((VLOOKUP(B307,Database!$A:$AS,MATCH($N$1,Database!$A$1:$AS$1,),))))-(((VLOOKUP(EDATE(B307,-12),Database!$A:$AS,MATCH($N$1,Database!$A$1:$AS$1,),)))))/(((VLOOKUP(EDATE(B307,-12),Database!$A:$AS,MATCH($N$1,Database!$A$1:$AS$1,),))))</f>
        <v/>
      </c>
      <c r="O307" s="13">
        <f>IF(VLOOKUP(B307,Database!$A:$AV,MATCH($O$1,Database!$A$1:$AV$1,),)=0,"#N/A",((((VLOOKUP(B307,Database!$A:$AS,MATCH($O$1,Database!$A$1:$AS$1,),))))-(((VLOOKUP(EDATE(B307,-12),Database!$A:$AS,MATCH($O$1,Database!$A$1:$AS$1,),)))))/(((VLOOKUP(EDATE(B307,-12),Database!$A:$AS,MATCH($O$1,Database!$A$1:$AS$1,),)))))</f>
        <v/>
      </c>
      <c r="P307" s="13">
        <f>IF(VLOOKUP(B307,Database!$A:$AV,MATCH($P$1,Database!$A$1:$AV$1,),)=0,"#N/A",((((VLOOKUP(B307,Database!$A:$AS,MATCH($P$1,Database!$A$1:$AS$1,),))))-(((VLOOKUP(EDATE(B307,-12),Database!$A:$AS,MATCH($P$1,Database!$A$1:$AS$1,),)))))/(((VLOOKUP(EDATE(B307,-12),Database!$A:$AS,MATCH($P$1,Database!$A$1:$AS$1,),)))))</f>
        <v/>
      </c>
      <c r="Q307" s="13">
        <f>IF(VLOOKUP(B307,Database!$A:$AV,MATCH($Q$1,Database!$A$1:$AV$1,),)=0,"#N/A",((((VLOOKUP(B307,Database!$A:$AS,MATCH($Q$1,Database!$A$1:$AS$1,),))))-(((VLOOKUP(EDATE(B307,-12),Database!$A:$AS,MATCH($Q$1,Database!$A$1:$AS$1,),)))))/(((VLOOKUP(EDATE(B307,-12),Database!$A:$AS,MATCH($Q$1,Database!$A$1:$AS$1,),)))))</f>
        <v/>
      </c>
      <c r="R307" s="13">
        <f>IF(VLOOKUP(B307,Database!$A:$AV,MATCH($R$1,Database!$A$1:$AV$1,),)=0,"#N/A",((((VLOOKUP(B307,Database!$A:$AS,MATCH($R$1,Database!$A$1:$AS$1,),))))-(((VLOOKUP(EDATE(B307,-12),Database!$A:$AS,MATCH($R$1,Database!$A$1:$AS$1,),)))))/(((VLOOKUP(EDATE(B307,-12),Database!$A:$AS,MATCH($R$1,Database!$A$1:$AS$1,),)))))</f>
        <v/>
      </c>
      <c r="S307" s="13">
        <f>IF(VLOOKUP(B307,Database!$A:$AV,MATCH($S$1,Database!$A$1:$AV$1,),)=0,"#N/A",((((VLOOKUP(B307,Database!$A:$AS,MATCH($S$1,Database!$A$1:$AS$1,),))))-(((VLOOKUP(EDATE(B307,-12),Database!$A:$AS,MATCH($S$1,Database!$A$1:$AS$1,),)))))/(((VLOOKUP(EDATE(B307,-12),Database!$A:$AS,MATCH($S$1,Database!$A$1:$AS$1,),)))))</f>
        <v/>
      </c>
      <c r="T307" s="13">
        <f>IF(VLOOKUP(B307,Database!$A:$AV,MATCH($T$1,Database!$A$1:$AV$1,),)=0,"#N/A",((((VLOOKUP(B307,Database!$A:$AS,MATCH($T$1,Database!$A$1:$AS$1,),))))-(((VLOOKUP(EDATE(B307,-12),Database!$A:$AS,MATCH($T$1,Database!$A$1:$AS$1,),)))))/(((VLOOKUP(EDATE(B307,-12),Database!$A:$AS,MATCH($T$1,Database!$A$1:$AS$1,),)))))</f>
        <v/>
      </c>
      <c r="U307" s="13">
        <f>IF(VLOOKUP(B307,Database!$A:$AV,MATCH($U$1,Database!$A$1:$AV$1,),)=0,"#N/A",((((VLOOKUP(B307,Database!$A:$AS,MATCH($U$1,Database!$A$1:$AS$1,),))))-(((VLOOKUP(EDATE(B307,-12),Database!$A:$AS,MATCH($U$1,Database!$A$1:$AS$1,),)))))/(((VLOOKUP(EDATE(B307,-12),Database!$A:$AS,MATCH($U$1,Database!$A$1:$AS$1,),)))))</f>
        <v/>
      </c>
      <c r="V307" s="13">
        <f>IF(VLOOKUP(B307,Database!$A:$AV,MATCH($V$1,Database!$A$1:$AV$1,),)=0,"#N/A",((((VLOOKUP(B307,Database!$A:$AS,MATCH($V$1,Database!$A$1:$AS$1,),))))-(((VLOOKUP(EDATE(B307,-12),Database!$A:$AS,MATCH($V$1,Database!$A$1:$AS$1,),)))))/(((VLOOKUP(EDATE(B307,-12),Database!$A:$AS,MATCH($V$1,Database!$A$1:$AS$1,),)))))</f>
        <v/>
      </c>
    </row>
    <row r="308" customFormat="1" s="86">
      <c r="A308" s="43" t="n"/>
      <c r="B308" s="75" t="n">
        <v>41518</v>
      </c>
      <c r="C308" s="13">
        <f>IF(VLOOKUP(B308,Database!$A:$AU,MATCH($C$1,Database!$A$1:$AU$1,),)=0,"#N/A",((((VLOOKUP(B308,Database!$A:$AU,MATCH($C$1,Database!$A$1:$AU$1,),))))-(((VLOOKUP(EDATE(B308,-12),Database!$A:$AU,MATCH($C$1,Database!$A$1:$AU$1,),)))))/(((VLOOKUP(EDATE(B308,-12),Database!$A:$AU,MATCH($C$1,Database!$A$1:$AU$1,),)))))</f>
        <v/>
      </c>
      <c r="D308" s="13">
        <f>IF(VLOOKUP(B308,Database!$A:$AV,MATCH($D$1,Database!$A$1:$AV$1,),)=0,"#N/A",((((VLOOKUP(B308,Database!$A:$AS,MATCH($D$1,Database!$A$1:$AS$1,),))))-(((VLOOKUP(EDATE(B308,-12),Database!$A:$AS,MATCH($D$1,Database!$A$1:$AS$1,),)))))/(((VLOOKUP(EDATE(B308,-12),Database!$A:$AS,MATCH($D$1,Database!$A$1:$AS$1,),)))))</f>
        <v/>
      </c>
      <c r="E308" s="13">
        <f>IF(VLOOKUP(B308,Database!$A:$AV,MATCH($E$1,Database!$A$1:$AV$1,),)=0,"#N/A",((((VLOOKUP(B308,Database!$A:$AS,MATCH($E$1,Database!$A$1:$AS$1,),))))-(((VLOOKUP(EDATE(B308,-12),Database!$A:$AS,MATCH($E$1,Database!$A$1:$AS$1,),)))))/(((VLOOKUP(EDATE(B308,-12),Database!$A:$AS,MATCH($E$1,Database!$A$1:$AS$1,),)))))</f>
        <v/>
      </c>
      <c r="F308" s="13">
        <f>IF(VLOOKUP(B308,Database!$A:$AV,MATCH($F$1,Database!$A$1:$AV$1,),)=0,"#N/A",((((VLOOKUP(B308,Database!$A:$AS,MATCH($F$1,Database!$A$1:$AS$1,),))))-(((VLOOKUP(EDATE(B308,-12),Database!$A:$AS,MATCH($F$1,Database!$A$1:$AS$1,),)))))/(((VLOOKUP(EDATE(B308,-12),Database!$A:$AS,MATCH($F$1,Database!$A$1:$AS$1,),)))))</f>
        <v/>
      </c>
      <c r="G308" s="13">
        <f>IF(VLOOKUP(B308,Database!$A:$AV,MATCH($G$1,Database!$A$1:$AV$1,),)=0,"#N/A",((((VLOOKUP(B308,Database!$A:$AS,MATCH($G$1,Database!$A$1:$AS$1,),))))-(((VLOOKUP(EDATE(B308,-12),Database!$A:$AS,MATCH($G$1,Database!$A$1:$AS$1,),)))))/(((VLOOKUP(EDATE(B308,-12),Database!$A:$AS,MATCH($G$1,Database!$A$1:$AS$1,),)))))</f>
        <v/>
      </c>
      <c r="H308" s="13">
        <f>IF(VLOOKUP(B308,Database!$A:$AV,MATCH($H$1,Database!$A$1:$AV$1,),)=0,"#N/A",((((VLOOKUP(B308,Database!$A:$AS,MATCH($H$1,Database!$A$1:$AS$1,),))))-(((VLOOKUP(EDATE(B308,-12),Database!$A:$AS,MATCH($H$1,Database!$A$1:$AS$1,),)))))/(((VLOOKUP(EDATE(B308,-12),Database!$A:$AS,MATCH($H$1,Database!$A$1:$AS$1,),)))))</f>
        <v/>
      </c>
      <c r="I308" s="13">
        <f>IF(VLOOKUP(B308,Database!$A:$AV,MATCH($I$1,Database!$A$1:$AV$1,),)=0,"#N/A",((((VLOOKUP(B308,Database!$A:$AS,MATCH($I$1,Database!$A$1:$AS$1,),))))-(((VLOOKUP(EDATE(B308,-12),Database!$A:$AS,MATCH($I$1,Database!$A$1:$AS$1,),)))))/(((VLOOKUP(EDATE(B308,-12),Database!$A:$AS,MATCH($I$1,Database!$A$1:$AS$1,),)))))</f>
        <v/>
      </c>
      <c r="J308" s="13">
        <f>IF(VLOOKUP(B308,Database!$A:$AV,MATCH($J$1,Database!$A$1:$AV$1,),)=0,"#N/A",((((VLOOKUP(B308,Database!$A:$AS,MATCH($J$1,Database!$A$1:$AS$1,),))))-(((VLOOKUP(EDATE(B308,-12),Database!$A:$AS,MATCH($J$1,Database!$A$1:$AS$1,),)))))/(((VLOOKUP(EDATE(B308,-12),Database!$A:$AS,MATCH($J$1,Database!$A$1:$AS$1,),)))))</f>
        <v/>
      </c>
      <c r="K308" s="13">
        <f>IF(VLOOKUP(B308,Database!$A:$AV,MATCH($K$1,Database!$A$1:$AV$1,),)=0,"#N/A",((((VLOOKUP(B308,Database!$A:$AS,MATCH($K$1,Database!$A$1:$AS$1,),))))-(((VLOOKUP(EDATE(B308,-12),Database!$A:$AS,MATCH($K$1,Database!$A$1:$AS$1,),)))))/(((VLOOKUP(EDATE(B308,-12),Database!$A:$AS,MATCH($K$1,Database!$A$1:$AS$1,),)))))</f>
        <v/>
      </c>
      <c r="L308" s="13">
        <f>((((VLOOKUP(B308,Database!$A:$AS,MATCH($L$1,Database!$A$1:$AS$1,),))))-(((VLOOKUP(EDATE(B308,-12),Database!$A:$AS,MATCH($L$1,Database!$A$1:$AS$1,),)))))/(((VLOOKUP(EDATE(B308,-12),Database!$A:$AS,MATCH($L$1,Database!$A$1:$AS$1,),))))</f>
        <v/>
      </c>
      <c r="M308" s="13">
        <f>((((VLOOKUP(B308,Database!$A:$AS,MATCH($M$1,Database!$A$1:$AS$1,),))))-(((VLOOKUP(EDATE(B308,-12),Database!$A:$AS,MATCH($M$1,Database!$A$1:$AS$1,),)))))/(((VLOOKUP(EDATE(B308,-12),Database!$A:$AS,MATCH($M$1,Database!$A$1:$AS$1,),))))</f>
        <v/>
      </c>
      <c r="N308" s="13">
        <f>((((VLOOKUP(B308,Database!$A:$AS,MATCH($N$1,Database!$A$1:$AS$1,),))))-(((VLOOKUP(EDATE(B308,-12),Database!$A:$AS,MATCH($N$1,Database!$A$1:$AS$1,),)))))/(((VLOOKUP(EDATE(B308,-12),Database!$A:$AS,MATCH($N$1,Database!$A$1:$AS$1,),))))</f>
        <v/>
      </c>
      <c r="O308" s="13">
        <f>IF(VLOOKUP(B308,Database!$A:$AV,MATCH($O$1,Database!$A$1:$AV$1,),)=0,"#N/A",((((VLOOKUP(B308,Database!$A:$AS,MATCH($O$1,Database!$A$1:$AS$1,),))))-(((VLOOKUP(EDATE(B308,-12),Database!$A:$AS,MATCH($O$1,Database!$A$1:$AS$1,),)))))/(((VLOOKUP(EDATE(B308,-12),Database!$A:$AS,MATCH($O$1,Database!$A$1:$AS$1,),)))))</f>
        <v/>
      </c>
      <c r="P308" s="13">
        <f>IF(VLOOKUP(B308,Database!$A:$AV,MATCH($P$1,Database!$A$1:$AV$1,),)=0,"#N/A",((((VLOOKUP(B308,Database!$A:$AS,MATCH($P$1,Database!$A$1:$AS$1,),))))-(((VLOOKUP(EDATE(B308,-12),Database!$A:$AS,MATCH($P$1,Database!$A$1:$AS$1,),)))))/(((VLOOKUP(EDATE(B308,-12),Database!$A:$AS,MATCH($P$1,Database!$A$1:$AS$1,),)))))</f>
        <v/>
      </c>
      <c r="Q308" s="13">
        <f>IF(VLOOKUP(B308,Database!$A:$AV,MATCH($Q$1,Database!$A$1:$AV$1,),)=0,"#N/A",((((VLOOKUP(B308,Database!$A:$AS,MATCH($Q$1,Database!$A$1:$AS$1,),))))-(((VLOOKUP(EDATE(B308,-12),Database!$A:$AS,MATCH($Q$1,Database!$A$1:$AS$1,),)))))/(((VLOOKUP(EDATE(B308,-12),Database!$A:$AS,MATCH($Q$1,Database!$A$1:$AS$1,),)))))</f>
        <v/>
      </c>
      <c r="R308" s="13">
        <f>IF(VLOOKUP(B308,Database!$A:$AV,MATCH($R$1,Database!$A$1:$AV$1,),)=0,"#N/A",((((VLOOKUP(B308,Database!$A:$AS,MATCH($R$1,Database!$A$1:$AS$1,),))))-(((VLOOKUP(EDATE(B308,-12),Database!$A:$AS,MATCH($R$1,Database!$A$1:$AS$1,),)))))/(((VLOOKUP(EDATE(B308,-12),Database!$A:$AS,MATCH($R$1,Database!$A$1:$AS$1,),)))))</f>
        <v/>
      </c>
      <c r="S308" s="13">
        <f>IF(VLOOKUP(B308,Database!$A:$AV,MATCH($S$1,Database!$A$1:$AV$1,),)=0,"#N/A",((((VLOOKUP(B308,Database!$A:$AS,MATCH($S$1,Database!$A$1:$AS$1,),))))-(((VLOOKUP(EDATE(B308,-12),Database!$A:$AS,MATCH($S$1,Database!$A$1:$AS$1,),)))))/(((VLOOKUP(EDATE(B308,-12),Database!$A:$AS,MATCH($S$1,Database!$A$1:$AS$1,),)))))</f>
        <v/>
      </c>
      <c r="T308" s="13">
        <f>IF(VLOOKUP(B308,Database!$A:$AV,MATCH($T$1,Database!$A$1:$AV$1,),)=0,"#N/A",((((VLOOKUP(B308,Database!$A:$AS,MATCH($T$1,Database!$A$1:$AS$1,),))))-(((VLOOKUP(EDATE(B308,-12),Database!$A:$AS,MATCH($T$1,Database!$A$1:$AS$1,),)))))/(((VLOOKUP(EDATE(B308,-12),Database!$A:$AS,MATCH($T$1,Database!$A$1:$AS$1,),)))))</f>
        <v/>
      </c>
      <c r="U308" s="13">
        <f>IF(VLOOKUP(B308,Database!$A:$AV,MATCH($U$1,Database!$A$1:$AV$1,),)=0,"#N/A",((((VLOOKUP(B308,Database!$A:$AS,MATCH($U$1,Database!$A$1:$AS$1,),))))-(((VLOOKUP(EDATE(B308,-12),Database!$A:$AS,MATCH($U$1,Database!$A$1:$AS$1,),)))))/(((VLOOKUP(EDATE(B308,-12),Database!$A:$AS,MATCH($U$1,Database!$A$1:$AS$1,),)))))</f>
        <v/>
      </c>
      <c r="V308" s="13">
        <f>IF(VLOOKUP(B308,Database!$A:$AV,MATCH($V$1,Database!$A$1:$AV$1,),)=0,"#N/A",((((VLOOKUP(B308,Database!$A:$AS,MATCH($V$1,Database!$A$1:$AS$1,),))))-(((VLOOKUP(EDATE(B308,-12),Database!$A:$AS,MATCH($V$1,Database!$A$1:$AS$1,),)))))/(((VLOOKUP(EDATE(B308,-12),Database!$A:$AS,MATCH($V$1,Database!$A$1:$AS$1,),)))))</f>
        <v/>
      </c>
    </row>
    <row r="309" customFormat="1" s="86">
      <c r="A309" s="43" t="n"/>
      <c r="B309" s="75" t="n">
        <v>41548</v>
      </c>
      <c r="C309" s="13">
        <f>IF(VLOOKUP(B309,Database!$A:$AU,MATCH($C$1,Database!$A$1:$AU$1,),)=0,"#N/A",((((VLOOKUP(B309,Database!$A:$AU,MATCH($C$1,Database!$A$1:$AU$1,),))))-(((VLOOKUP(EDATE(B309,-12),Database!$A:$AU,MATCH($C$1,Database!$A$1:$AU$1,),)))))/(((VLOOKUP(EDATE(B309,-12),Database!$A:$AU,MATCH($C$1,Database!$A$1:$AU$1,),)))))</f>
        <v/>
      </c>
      <c r="D309" s="13">
        <f>IF(VLOOKUP(B309,Database!$A:$AV,MATCH($D$1,Database!$A$1:$AV$1,),)=0,"#N/A",((((VLOOKUP(B309,Database!$A:$AS,MATCH($D$1,Database!$A$1:$AS$1,),))))-(((VLOOKUP(EDATE(B309,-12),Database!$A:$AS,MATCH($D$1,Database!$A$1:$AS$1,),)))))/(((VLOOKUP(EDATE(B309,-12),Database!$A:$AS,MATCH($D$1,Database!$A$1:$AS$1,),)))))</f>
        <v/>
      </c>
      <c r="E309" s="13">
        <f>IF(VLOOKUP(B309,Database!$A:$AV,MATCH($E$1,Database!$A$1:$AV$1,),)=0,"#N/A",((((VLOOKUP(B309,Database!$A:$AS,MATCH($E$1,Database!$A$1:$AS$1,),))))-(((VLOOKUP(EDATE(B309,-12),Database!$A:$AS,MATCH($E$1,Database!$A$1:$AS$1,),)))))/(((VLOOKUP(EDATE(B309,-12),Database!$A:$AS,MATCH($E$1,Database!$A$1:$AS$1,),)))))</f>
        <v/>
      </c>
      <c r="F309" s="13">
        <f>IF(VLOOKUP(B309,Database!$A:$AV,MATCH($F$1,Database!$A$1:$AV$1,),)=0,"#N/A",((((VLOOKUP(B309,Database!$A:$AS,MATCH($F$1,Database!$A$1:$AS$1,),))))-(((VLOOKUP(EDATE(B309,-12),Database!$A:$AS,MATCH($F$1,Database!$A$1:$AS$1,),)))))/(((VLOOKUP(EDATE(B309,-12),Database!$A:$AS,MATCH($F$1,Database!$A$1:$AS$1,),)))))</f>
        <v/>
      </c>
      <c r="G309" s="13">
        <f>IF(VLOOKUP(B309,Database!$A:$AV,MATCH($G$1,Database!$A$1:$AV$1,),)=0,"#N/A",((((VLOOKUP(B309,Database!$A:$AS,MATCH($G$1,Database!$A$1:$AS$1,),))))-(((VLOOKUP(EDATE(B309,-12),Database!$A:$AS,MATCH($G$1,Database!$A$1:$AS$1,),)))))/(((VLOOKUP(EDATE(B309,-12),Database!$A:$AS,MATCH($G$1,Database!$A$1:$AS$1,),)))))</f>
        <v/>
      </c>
      <c r="H309" s="13">
        <f>IF(VLOOKUP(B309,Database!$A:$AV,MATCH($H$1,Database!$A$1:$AV$1,),)=0,"#N/A",((((VLOOKUP(B309,Database!$A:$AS,MATCH($H$1,Database!$A$1:$AS$1,),))))-(((VLOOKUP(EDATE(B309,-12),Database!$A:$AS,MATCH($H$1,Database!$A$1:$AS$1,),)))))/(((VLOOKUP(EDATE(B309,-12),Database!$A:$AS,MATCH($H$1,Database!$A$1:$AS$1,),)))))</f>
        <v/>
      </c>
      <c r="I309" s="13">
        <f>IF(VLOOKUP(B309,Database!$A:$AV,MATCH($I$1,Database!$A$1:$AV$1,),)=0,"#N/A",((((VLOOKUP(B309,Database!$A:$AS,MATCH($I$1,Database!$A$1:$AS$1,),))))-(((VLOOKUP(EDATE(B309,-12),Database!$A:$AS,MATCH($I$1,Database!$A$1:$AS$1,),)))))/(((VLOOKUP(EDATE(B309,-12),Database!$A:$AS,MATCH($I$1,Database!$A$1:$AS$1,),)))))</f>
        <v/>
      </c>
      <c r="J309" s="13">
        <f>IF(VLOOKUP(B309,Database!$A:$AV,MATCH($J$1,Database!$A$1:$AV$1,),)=0,"#N/A",((((VLOOKUP(B309,Database!$A:$AS,MATCH($J$1,Database!$A$1:$AS$1,),))))-(((VLOOKUP(EDATE(B309,-12),Database!$A:$AS,MATCH($J$1,Database!$A$1:$AS$1,),)))))/(((VLOOKUP(EDATE(B309,-12),Database!$A:$AS,MATCH($J$1,Database!$A$1:$AS$1,),)))))</f>
        <v/>
      </c>
      <c r="K309" s="13">
        <f>IF(VLOOKUP(B309,Database!$A:$AV,MATCH($K$1,Database!$A$1:$AV$1,),)=0,"#N/A",((((VLOOKUP(B309,Database!$A:$AS,MATCH($K$1,Database!$A$1:$AS$1,),))))-(((VLOOKUP(EDATE(B309,-12),Database!$A:$AS,MATCH($K$1,Database!$A$1:$AS$1,),)))))/(((VLOOKUP(EDATE(B309,-12),Database!$A:$AS,MATCH($K$1,Database!$A$1:$AS$1,),)))))</f>
        <v/>
      </c>
      <c r="L309" s="13">
        <f>((((VLOOKUP(B309,Database!$A:$AS,MATCH($L$1,Database!$A$1:$AS$1,),))))-(((VLOOKUP(EDATE(B309,-12),Database!$A:$AS,MATCH($L$1,Database!$A$1:$AS$1,),)))))/(((VLOOKUP(EDATE(B309,-12),Database!$A:$AS,MATCH($L$1,Database!$A$1:$AS$1,),))))</f>
        <v/>
      </c>
      <c r="M309" s="13">
        <f>((((VLOOKUP(B309,Database!$A:$AS,MATCH($M$1,Database!$A$1:$AS$1,),))))-(((VLOOKUP(EDATE(B309,-12),Database!$A:$AS,MATCH($M$1,Database!$A$1:$AS$1,),)))))/(((VLOOKUP(EDATE(B309,-12),Database!$A:$AS,MATCH($M$1,Database!$A$1:$AS$1,),))))</f>
        <v/>
      </c>
      <c r="N309" s="13">
        <f>((((VLOOKUP(B309,Database!$A:$AS,MATCH($N$1,Database!$A$1:$AS$1,),))))-(((VLOOKUP(EDATE(B309,-12),Database!$A:$AS,MATCH($N$1,Database!$A$1:$AS$1,),)))))/(((VLOOKUP(EDATE(B309,-12),Database!$A:$AS,MATCH($N$1,Database!$A$1:$AS$1,),))))</f>
        <v/>
      </c>
      <c r="O309" s="13">
        <f>IF(VLOOKUP(B309,Database!$A:$AV,MATCH($O$1,Database!$A$1:$AV$1,),)=0,"#N/A",((((VLOOKUP(B309,Database!$A:$AS,MATCH($O$1,Database!$A$1:$AS$1,),))))-(((VLOOKUP(EDATE(B309,-12),Database!$A:$AS,MATCH($O$1,Database!$A$1:$AS$1,),)))))/(((VLOOKUP(EDATE(B309,-12),Database!$A:$AS,MATCH($O$1,Database!$A$1:$AS$1,),)))))</f>
        <v/>
      </c>
      <c r="P309" s="13">
        <f>IF(VLOOKUP(B309,Database!$A:$AV,MATCH($P$1,Database!$A$1:$AV$1,),)=0,"#N/A",((((VLOOKUP(B309,Database!$A:$AS,MATCH($P$1,Database!$A$1:$AS$1,),))))-(((VLOOKUP(EDATE(B309,-12),Database!$A:$AS,MATCH($P$1,Database!$A$1:$AS$1,),)))))/(((VLOOKUP(EDATE(B309,-12),Database!$A:$AS,MATCH($P$1,Database!$A$1:$AS$1,),)))))</f>
        <v/>
      </c>
      <c r="Q309" s="13">
        <f>IF(VLOOKUP(B309,Database!$A:$AV,MATCH($Q$1,Database!$A$1:$AV$1,),)=0,"#N/A",((((VLOOKUP(B309,Database!$A:$AS,MATCH($Q$1,Database!$A$1:$AS$1,),))))-(((VLOOKUP(EDATE(B309,-12),Database!$A:$AS,MATCH($Q$1,Database!$A$1:$AS$1,),)))))/(((VLOOKUP(EDATE(B309,-12),Database!$A:$AS,MATCH($Q$1,Database!$A$1:$AS$1,),)))))</f>
        <v/>
      </c>
      <c r="R309" s="13">
        <f>IF(VLOOKUP(B309,Database!$A:$AV,MATCH($R$1,Database!$A$1:$AV$1,),)=0,"#N/A",((((VLOOKUP(B309,Database!$A:$AS,MATCH($R$1,Database!$A$1:$AS$1,),))))-(((VLOOKUP(EDATE(B309,-12),Database!$A:$AS,MATCH($R$1,Database!$A$1:$AS$1,),)))))/(((VLOOKUP(EDATE(B309,-12),Database!$A:$AS,MATCH($R$1,Database!$A$1:$AS$1,),)))))</f>
        <v/>
      </c>
      <c r="S309" s="13">
        <f>IF(VLOOKUP(B309,Database!$A:$AV,MATCH($S$1,Database!$A$1:$AV$1,),)=0,"#N/A",((((VLOOKUP(B309,Database!$A:$AS,MATCH($S$1,Database!$A$1:$AS$1,),))))-(((VLOOKUP(EDATE(B309,-12),Database!$A:$AS,MATCH($S$1,Database!$A$1:$AS$1,),)))))/(((VLOOKUP(EDATE(B309,-12),Database!$A:$AS,MATCH($S$1,Database!$A$1:$AS$1,),)))))</f>
        <v/>
      </c>
      <c r="T309" s="13">
        <f>IF(VLOOKUP(B309,Database!$A:$AV,MATCH($T$1,Database!$A$1:$AV$1,),)=0,"#N/A",((((VLOOKUP(B309,Database!$A:$AS,MATCH($T$1,Database!$A$1:$AS$1,),))))-(((VLOOKUP(EDATE(B309,-12),Database!$A:$AS,MATCH($T$1,Database!$A$1:$AS$1,),)))))/(((VLOOKUP(EDATE(B309,-12),Database!$A:$AS,MATCH($T$1,Database!$A$1:$AS$1,),)))))</f>
        <v/>
      </c>
      <c r="U309" s="13">
        <f>IF(VLOOKUP(B309,Database!$A:$AV,MATCH($U$1,Database!$A$1:$AV$1,),)=0,"#N/A",((((VLOOKUP(B309,Database!$A:$AS,MATCH($U$1,Database!$A$1:$AS$1,),))))-(((VLOOKUP(EDATE(B309,-12),Database!$A:$AS,MATCH($U$1,Database!$A$1:$AS$1,),)))))/(((VLOOKUP(EDATE(B309,-12),Database!$A:$AS,MATCH($U$1,Database!$A$1:$AS$1,),)))))</f>
        <v/>
      </c>
      <c r="V309" s="13">
        <f>IF(VLOOKUP(B309,Database!$A:$AV,MATCH($V$1,Database!$A$1:$AV$1,),)=0,"#N/A",((((VLOOKUP(B309,Database!$A:$AS,MATCH($V$1,Database!$A$1:$AS$1,),))))-(((VLOOKUP(EDATE(B309,-12),Database!$A:$AS,MATCH($V$1,Database!$A$1:$AS$1,),)))))/(((VLOOKUP(EDATE(B309,-12),Database!$A:$AS,MATCH($V$1,Database!$A$1:$AS$1,),)))))</f>
        <v/>
      </c>
    </row>
    <row r="310" customFormat="1" s="86">
      <c r="A310" s="43" t="n"/>
      <c r="B310" s="75" t="n">
        <v>41579</v>
      </c>
      <c r="C310" s="13">
        <f>IF(VLOOKUP(B310,Database!$A:$AU,MATCH($C$1,Database!$A$1:$AU$1,),)=0,"#N/A",((((VLOOKUP(B310,Database!$A:$AU,MATCH($C$1,Database!$A$1:$AU$1,),))))-(((VLOOKUP(EDATE(B310,-12),Database!$A:$AU,MATCH($C$1,Database!$A$1:$AU$1,),)))))/(((VLOOKUP(EDATE(B310,-12),Database!$A:$AU,MATCH($C$1,Database!$A$1:$AU$1,),)))))</f>
        <v/>
      </c>
      <c r="D310" s="13">
        <f>IF(VLOOKUP(B310,Database!$A:$AV,MATCH($D$1,Database!$A$1:$AV$1,),)=0,"#N/A",((((VLOOKUP(B310,Database!$A:$AS,MATCH($D$1,Database!$A$1:$AS$1,),))))-(((VLOOKUP(EDATE(B310,-12),Database!$A:$AS,MATCH($D$1,Database!$A$1:$AS$1,),)))))/(((VLOOKUP(EDATE(B310,-12),Database!$A:$AS,MATCH($D$1,Database!$A$1:$AS$1,),)))))</f>
        <v/>
      </c>
      <c r="E310" s="13">
        <f>IF(VLOOKUP(B310,Database!$A:$AV,MATCH($E$1,Database!$A$1:$AV$1,),)=0,"#N/A",((((VLOOKUP(B310,Database!$A:$AS,MATCH($E$1,Database!$A$1:$AS$1,),))))-(((VLOOKUP(EDATE(B310,-12),Database!$A:$AS,MATCH($E$1,Database!$A$1:$AS$1,),)))))/(((VLOOKUP(EDATE(B310,-12),Database!$A:$AS,MATCH($E$1,Database!$A$1:$AS$1,),)))))</f>
        <v/>
      </c>
      <c r="F310" s="13">
        <f>IF(VLOOKUP(B310,Database!$A:$AV,MATCH($F$1,Database!$A$1:$AV$1,),)=0,"#N/A",((((VLOOKUP(B310,Database!$A:$AS,MATCH($F$1,Database!$A$1:$AS$1,),))))-(((VLOOKUP(EDATE(B310,-12),Database!$A:$AS,MATCH($F$1,Database!$A$1:$AS$1,),)))))/(((VLOOKUP(EDATE(B310,-12),Database!$A:$AS,MATCH($F$1,Database!$A$1:$AS$1,),)))))</f>
        <v/>
      </c>
      <c r="G310" s="13">
        <f>IF(VLOOKUP(B310,Database!$A:$AV,MATCH($G$1,Database!$A$1:$AV$1,),)=0,"#N/A",((((VLOOKUP(B310,Database!$A:$AS,MATCH($G$1,Database!$A$1:$AS$1,),))))-(((VLOOKUP(EDATE(B310,-12),Database!$A:$AS,MATCH($G$1,Database!$A$1:$AS$1,),)))))/(((VLOOKUP(EDATE(B310,-12),Database!$A:$AS,MATCH($G$1,Database!$A$1:$AS$1,),)))))</f>
        <v/>
      </c>
      <c r="H310" s="13">
        <f>IF(VLOOKUP(B310,Database!$A:$AV,MATCH($H$1,Database!$A$1:$AV$1,),)=0,"#N/A",((((VLOOKUP(B310,Database!$A:$AS,MATCH($H$1,Database!$A$1:$AS$1,),))))-(((VLOOKUP(EDATE(B310,-12),Database!$A:$AS,MATCH($H$1,Database!$A$1:$AS$1,),)))))/(((VLOOKUP(EDATE(B310,-12),Database!$A:$AS,MATCH($H$1,Database!$A$1:$AS$1,),)))))</f>
        <v/>
      </c>
      <c r="I310" s="13">
        <f>IF(VLOOKUP(B310,Database!$A:$AV,MATCH($I$1,Database!$A$1:$AV$1,),)=0,"#N/A",((((VLOOKUP(B310,Database!$A:$AS,MATCH($I$1,Database!$A$1:$AS$1,),))))-(((VLOOKUP(EDATE(B310,-12),Database!$A:$AS,MATCH($I$1,Database!$A$1:$AS$1,),)))))/(((VLOOKUP(EDATE(B310,-12),Database!$A:$AS,MATCH($I$1,Database!$A$1:$AS$1,),)))))</f>
        <v/>
      </c>
      <c r="J310" s="13">
        <f>IF(VLOOKUP(B310,Database!$A:$AV,MATCH($J$1,Database!$A$1:$AV$1,),)=0,"#N/A",((((VLOOKUP(B310,Database!$A:$AS,MATCH($J$1,Database!$A$1:$AS$1,),))))-(((VLOOKUP(EDATE(B310,-12),Database!$A:$AS,MATCH($J$1,Database!$A$1:$AS$1,),)))))/(((VLOOKUP(EDATE(B310,-12),Database!$A:$AS,MATCH($J$1,Database!$A$1:$AS$1,),)))))</f>
        <v/>
      </c>
      <c r="K310" s="13">
        <f>IF(VLOOKUP(B310,Database!$A:$AV,MATCH($K$1,Database!$A$1:$AV$1,),)=0,"#N/A",((((VLOOKUP(B310,Database!$A:$AS,MATCH($K$1,Database!$A$1:$AS$1,),))))-(((VLOOKUP(EDATE(B310,-12),Database!$A:$AS,MATCH($K$1,Database!$A$1:$AS$1,),)))))/(((VLOOKUP(EDATE(B310,-12),Database!$A:$AS,MATCH($K$1,Database!$A$1:$AS$1,),)))))</f>
        <v/>
      </c>
      <c r="L310" s="13">
        <f>((((VLOOKUP(B310,Database!$A:$AS,MATCH($L$1,Database!$A$1:$AS$1,),))))-(((VLOOKUP(EDATE(B310,-12),Database!$A:$AS,MATCH($L$1,Database!$A$1:$AS$1,),)))))/(((VLOOKUP(EDATE(B310,-12),Database!$A:$AS,MATCH($L$1,Database!$A$1:$AS$1,),))))</f>
        <v/>
      </c>
      <c r="M310" s="13">
        <f>((((VLOOKUP(B310,Database!$A:$AS,MATCH($M$1,Database!$A$1:$AS$1,),))))-(((VLOOKUP(EDATE(B310,-12),Database!$A:$AS,MATCH($M$1,Database!$A$1:$AS$1,),)))))/(((VLOOKUP(EDATE(B310,-12),Database!$A:$AS,MATCH($M$1,Database!$A$1:$AS$1,),))))</f>
        <v/>
      </c>
      <c r="N310" s="13">
        <f>((((VLOOKUP(B310,Database!$A:$AS,MATCH($N$1,Database!$A$1:$AS$1,),))))-(((VLOOKUP(EDATE(B310,-12),Database!$A:$AS,MATCH($N$1,Database!$A$1:$AS$1,),)))))/(((VLOOKUP(EDATE(B310,-12),Database!$A:$AS,MATCH($N$1,Database!$A$1:$AS$1,),))))</f>
        <v/>
      </c>
      <c r="O310" s="13">
        <f>IF(VLOOKUP(B310,Database!$A:$AV,MATCH($O$1,Database!$A$1:$AV$1,),)=0,"#N/A",((((VLOOKUP(B310,Database!$A:$AS,MATCH($O$1,Database!$A$1:$AS$1,),))))-(((VLOOKUP(EDATE(B310,-12),Database!$A:$AS,MATCH($O$1,Database!$A$1:$AS$1,),)))))/(((VLOOKUP(EDATE(B310,-12),Database!$A:$AS,MATCH($O$1,Database!$A$1:$AS$1,),)))))</f>
        <v/>
      </c>
      <c r="P310" s="13">
        <f>IF(VLOOKUP(B310,Database!$A:$AV,MATCH($P$1,Database!$A$1:$AV$1,),)=0,"#N/A",((((VLOOKUP(B310,Database!$A:$AS,MATCH($P$1,Database!$A$1:$AS$1,),))))-(((VLOOKUP(EDATE(B310,-12),Database!$A:$AS,MATCH($P$1,Database!$A$1:$AS$1,),)))))/(((VLOOKUP(EDATE(B310,-12),Database!$A:$AS,MATCH($P$1,Database!$A$1:$AS$1,),)))))</f>
        <v/>
      </c>
      <c r="Q310" s="13">
        <f>IF(VLOOKUP(B310,Database!$A:$AV,MATCH($Q$1,Database!$A$1:$AV$1,),)=0,"#N/A",((((VLOOKUP(B310,Database!$A:$AS,MATCH($Q$1,Database!$A$1:$AS$1,),))))-(((VLOOKUP(EDATE(B310,-12),Database!$A:$AS,MATCH($Q$1,Database!$A$1:$AS$1,),)))))/(((VLOOKUP(EDATE(B310,-12),Database!$A:$AS,MATCH($Q$1,Database!$A$1:$AS$1,),)))))</f>
        <v/>
      </c>
      <c r="R310" s="13">
        <f>IF(VLOOKUP(B310,Database!$A:$AV,MATCH($R$1,Database!$A$1:$AV$1,),)=0,"#N/A",((((VLOOKUP(B310,Database!$A:$AS,MATCH($R$1,Database!$A$1:$AS$1,),))))-(((VLOOKUP(EDATE(B310,-12),Database!$A:$AS,MATCH($R$1,Database!$A$1:$AS$1,),)))))/(((VLOOKUP(EDATE(B310,-12),Database!$A:$AS,MATCH($R$1,Database!$A$1:$AS$1,),)))))</f>
        <v/>
      </c>
      <c r="S310" s="13">
        <f>IF(VLOOKUP(B310,Database!$A:$AV,MATCH($S$1,Database!$A$1:$AV$1,),)=0,"#N/A",((((VLOOKUP(B310,Database!$A:$AS,MATCH($S$1,Database!$A$1:$AS$1,),))))-(((VLOOKUP(EDATE(B310,-12),Database!$A:$AS,MATCH($S$1,Database!$A$1:$AS$1,),)))))/(((VLOOKUP(EDATE(B310,-12),Database!$A:$AS,MATCH($S$1,Database!$A$1:$AS$1,),)))))</f>
        <v/>
      </c>
      <c r="T310" s="13">
        <f>IF(VLOOKUP(B310,Database!$A:$AV,MATCH($T$1,Database!$A$1:$AV$1,),)=0,"#N/A",((((VLOOKUP(B310,Database!$A:$AS,MATCH($T$1,Database!$A$1:$AS$1,),))))-(((VLOOKUP(EDATE(B310,-12),Database!$A:$AS,MATCH($T$1,Database!$A$1:$AS$1,),)))))/(((VLOOKUP(EDATE(B310,-12),Database!$A:$AS,MATCH($T$1,Database!$A$1:$AS$1,),)))))</f>
        <v/>
      </c>
      <c r="U310" s="13">
        <f>IF(VLOOKUP(B310,Database!$A:$AV,MATCH($U$1,Database!$A$1:$AV$1,),)=0,"#N/A",((((VLOOKUP(B310,Database!$A:$AS,MATCH($U$1,Database!$A$1:$AS$1,),))))-(((VLOOKUP(EDATE(B310,-12),Database!$A:$AS,MATCH($U$1,Database!$A$1:$AS$1,),)))))/(((VLOOKUP(EDATE(B310,-12),Database!$A:$AS,MATCH($U$1,Database!$A$1:$AS$1,),)))))</f>
        <v/>
      </c>
      <c r="V310" s="13">
        <f>IF(VLOOKUP(B310,Database!$A:$AV,MATCH($V$1,Database!$A$1:$AV$1,),)=0,"#N/A",((((VLOOKUP(B310,Database!$A:$AS,MATCH($V$1,Database!$A$1:$AS$1,),))))-(((VLOOKUP(EDATE(B310,-12),Database!$A:$AS,MATCH($V$1,Database!$A$1:$AS$1,),)))))/(((VLOOKUP(EDATE(B310,-12),Database!$A:$AS,MATCH($V$1,Database!$A$1:$AS$1,),)))))</f>
        <v/>
      </c>
    </row>
    <row r="311" customFormat="1" s="86">
      <c r="A311" s="43" t="n"/>
      <c r="B311" s="75" t="n">
        <v>41609</v>
      </c>
      <c r="C311" s="13">
        <f>IF(VLOOKUP(B311,Database!$A:$AU,MATCH($C$1,Database!$A$1:$AU$1,),)=0,"#N/A",((((VLOOKUP(B311,Database!$A:$AU,MATCH($C$1,Database!$A$1:$AU$1,),))))-(((VLOOKUP(EDATE(B311,-12),Database!$A:$AU,MATCH($C$1,Database!$A$1:$AU$1,),)))))/(((VLOOKUP(EDATE(B311,-12),Database!$A:$AU,MATCH($C$1,Database!$A$1:$AU$1,),)))))</f>
        <v/>
      </c>
      <c r="D311" s="13">
        <f>IF(VLOOKUP(B311,Database!$A:$AV,MATCH($D$1,Database!$A$1:$AV$1,),)=0,"#N/A",((((VLOOKUP(B311,Database!$A:$AS,MATCH($D$1,Database!$A$1:$AS$1,),))))-(((VLOOKUP(EDATE(B311,-12),Database!$A:$AS,MATCH($D$1,Database!$A$1:$AS$1,),)))))/(((VLOOKUP(EDATE(B311,-12),Database!$A:$AS,MATCH($D$1,Database!$A$1:$AS$1,),)))))</f>
        <v/>
      </c>
      <c r="E311" s="13">
        <f>IF(VLOOKUP(B311,Database!$A:$AV,MATCH($E$1,Database!$A$1:$AV$1,),)=0,"#N/A",((((VLOOKUP(B311,Database!$A:$AS,MATCH($E$1,Database!$A$1:$AS$1,),))))-(((VLOOKUP(EDATE(B311,-12),Database!$A:$AS,MATCH($E$1,Database!$A$1:$AS$1,),)))))/(((VLOOKUP(EDATE(B311,-12),Database!$A:$AS,MATCH($E$1,Database!$A$1:$AS$1,),)))))</f>
        <v/>
      </c>
      <c r="F311" s="13">
        <f>IF(VLOOKUP(B311,Database!$A:$AV,MATCH($F$1,Database!$A$1:$AV$1,),)=0,"#N/A",((((VLOOKUP(B311,Database!$A:$AS,MATCH($F$1,Database!$A$1:$AS$1,),))))-(((VLOOKUP(EDATE(B311,-12),Database!$A:$AS,MATCH($F$1,Database!$A$1:$AS$1,),)))))/(((VLOOKUP(EDATE(B311,-12),Database!$A:$AS,MATCH($F$1,Database!$A$1:$AS$1,),)))))</f>
        <v/>
      </c>
      <c r="G311" s="13">
        <f>IF(VLOOKUP(B311,Database!$A:$AV,MATCH($G$1,Database!$A$1:$AV$1,),)=0,"#N/A",((((VLOOKUP(B311,Database!$A:$AS,MATCH($G$1,Database!$A$1:$AS$1,),))))-(((VLOOKUP(EDATE(B311,-12),Database!$A:$AS,MATCH($G$1,Database!$A$1:$AS$1,),)))))/(((VLOOKUP(EDATE(B311,-12),Database!$A:$AS,MATCH($G$1,Database!$A$1:$AS$1,),)))))</f>
        <v/>
      </c>
      <c r="H311" s="13">
        <f>IF(VLOOKUP(B311,Database!$A:$AV,MATCH($H$1,Database!$A$1:$AV$1,),)=0,"#N/A",((((VLOOKUP(B311,Database!$A:$AS,MATCH($H$1,Database!$A$1:$AS$1,),))))-(((VLOOKUP(EDATE(B311,-12),Database!$A:$AS,MATCH($H$1,Database!$A$1:$AS$1,),)))))/(((VLOOKUP(EDATE(B311,-12),Database!$A:$AS,MATCH($H$1,Database!$A$1:$AS$1,),)))))</f>
        <v/>
      </c>
      <c r="I311" s="13">
        <f>IF(VLOOKUP(B311,Database!$A:$AV,MATCH($I$1,Database!$A$1:$AV$1,),)=0,"#N/A",((((VLOOKUP(B311,Database!$A:$AS,MATCH($I$1,Database!$A$1:$AS$1,),))))-(((VLOOKUP(EDATE(B311,-12),Database!$A:$AS,MATCH($I$1,Database!$A$1:$AS$1,),)))))/(((VLOOKUP(EDATE(B311,-12),Database!$A:$AS,MATCH($I$1,Database!$A$1:$AS$1,),)))))</f>
        <v/>
      </c>
      <c r="J311" s="13">
        <f>IF(VLOOKUP(B311,Database!$A:$AV,MATCH($J$1,Database!$A$1:$AV$1,),)=0,"#N/A",((((VLOOKUP(B311,Database!$A:$AS,MATCH($J$1,Database!$A$1:$AS$1,),))))-(((VLOOKUP(EDATE(B311,-12),Database!$A:$AS,MATCH($J$1,Database!$A$1:$AS$1,),)))))/(((VLOOKUP(EDATE(B311,-12),Database!$A:$AS,MATCH($J$1,Database!$A$1:$AS$1,),)))))</f>
        <v/>
      </c>
      <c r="K311" s="13">
        <f>IF(VLOOKUP(B311,Database!$A:$AV,MATCH($K$1,Database!$A$1:$AV$1,),)=0,"#N/A",((((VLOOKUP(B311,Database!$A:$AS,MATCH($K$1,Database!$A$1:$AS$1,),))))-(((VLOOKUP(EDATE(B311,-12),Database!$A:$AS,MATCH($K$1,Database!$A$1:$AS$1,),)))))/(((VLOOKUP(EDATE(B311,-12),Database!$A:$AS,MATCH($K$1,Database!$A$1:$AS$1,),)))))</f>
        <v/>
      </c>
      <c r="L311" s="13">
        <f>((((VLOOKUP(B311,Database!$A:$AS,MATCH($L$1,Database!$A$1:$AS$1,),))))-(((VLOOKUP(EDATE(B311,-12),Database!$A:$AS,MATCH($L$1,Database!$A$1:$AS$1,),)))))/(((VLOOKUP(EDATE(B311,-12),Database!$A:$AS,MATCH($L$1,Database!$A$1:$AS$1,),))))</f>
        <v/>
      </c>
      <c r="M311" s="13">
        <f>((((VLOOKUP(B311,Database!$A:$AS,MATCH($M$1,Database!$A$1:$AS$1,),))))-(((VLOOKUP(EDATE(B311,-12),Database!$A:$AS,MATCH($M$1,Database!$A$1:$AS$1,),)))))/(((VLOOKUP(EDATE(B311,-12),Database!$A:$AS,MATCH($M$1,Database!$A$1:$AS$1,),))))</f>
        <v/>
      </c>
      <c r="N311" s="13">
        <f>((((VLOOKUP(B311,Database!$A:$AS,MATCH($N$1,Database!$A$1:$AS$1,),))))-(((VLOOKUP(EDATE(B311,-12),Database!$A:$AS,MATCH($N$1,Database!$A$1:$AS$1,),)))))/(((VLOOKUP(EDATE(B311,-12),Database!$A:$AS,MATCH($N$1,Database!$A$1:$AS$1,),))))</f>
        <v/>
      </c>
      <c r="O311" s="13">
        <f>IF(VLOOKUP(B311,Database!$A:$AV,MATCH($O$1,Database!$A$1:$AV$1,),)=0,"#N/A",((((VLOOKUP(B311,Database!$A:$AS,MATCH($O$1,Database!$A$1:$AS$1,),))))-(((VLOOKUP(EDATE(B311,-12),Database!$A:$AS,MATCH($O$1,Database!$A$1:$AS$1,),)))))/(((VLOOKUP(EDATE(B311,-12),Database!$A:$AS,MATCH($O$1,Database!$A$1:$AS$1,),)))))</f>
        <v/>
      </c>
      <c r="P311" s="13">
        <f>IF(VLOOKUP(B311,Database!$A:$AV,MATCH($P$1,Database!$A$1:$AV$1,),)=0,"#N/A",((((VLOOKUP(B311,Database!$A:$AS,MATCH($P$1,Database!$A$1:$AS$1,),))))-(((VLOOKUP(EDATE(B311,-12),Database!$A:$AS,MATCH($P$1,Database!$A$1:$AS$1,),)))))/(((VLOOKUP(EDATE(B311,-12),Database!$A:$AS,MATCH($P$1,Database!$A$1:$AS$1,),)))))</f>
        <v/>
      </c>
      <c r="Q311" s="13">
        <f>IF(VLOOKUP(B311,Database!$A:$AV,MATCH($Q$1,Database!$A$1:$AV$1,),)=0,"#N/A",((((VLOOKUP(B311,Database!$A:$AS,MATCH($Q$1,Database!$A$1:$AS$1,),))))-(((VLOOKUP(EDATE(B311,-12),Database!$A:$AS,MATCH($Q$1,Database!$A$1:$AS$1,),)))))/(((VLOOKUP(EDATE(B311,-12),Database!$A:$AS,MATCH($Q$1,Database!$A$1:$AS$1,),)))))</f>
        <v/>
      </c>
      <c r="R311" s="13">
        <f>IF(VLOOKUP(B311,Database!$A:$AV,MATCH($R$1,Database!$A$1:$AV$1,),)=0,"#N/A",((((VLOOKUP(B311,Database!$A:$AS,MATCH($R$1,Database!$A$1:$AS$1,),))))-(((VLOOKUP(EDATE(B311,-12),Database!$A:$AS,MATCH($R$1,Database!$A$1:$AS$1,),)))))/(((VLOOKUP(EDATE(B311,-12),Database!$A:$AS,MATCH($R$1,Database!$A$1:$AS$1,),)))))</f>
        <v/>
      </c>
      <c r="S311" s="13">
        <f>IF(VLOOKUP(B311,Database!$A:$AV,MATCH($S$1,Database!$A$1:$AV$1,),)=0,"#N/A",((((VLOOKUP(B311,Database!$A:$AS,MATCH($S$1,Database!$A$1:$AS$1,),))))-(((VLOOKUP(EDATE(B311,-12),Database!$A:$AS,MATCH($S$1,Database!$A$1:$AS$1,),)))))/(((VLOOKUP(EDATE(B311,-12),Database!$A:$AS,MATCH($S$1,Database!$A$1:$AS$1,),)))))</f>
        <v/>
      </c>
      <c r="T311" s="13">
        <f>IF(VLOOKUP(B311,Database!$A:$AV,MATCH($T$1,Database!$A$1:$AV$1,),)=0,"#N/A",((((VLOOKUP(B311,Database!$A:$AS,MATCH($T$1,Database!$A$1:$AS$1,),))))-(((VLOOKUP(EDATE(B311,-12),Database!$A:$AS,MATCH($T$1,Database!$A$1:$AS$1,),)))))/(((VLOOKUP(EDATE(B311,-12),Database!$A:$AS,MATCH($T$1,Database!$A$1:$AS$1,),)))))</f>
        <v/>
      </c>
      <c r="U311" s="13">
        <f>IF(VLOOKUP(B311,Database!$A:$AV,MATCH($U$1,Database!$A$1:$AV$1,),)=0,"#N/A",((((VLOOKUP(B311,Database!$A:$AS,MATCH($U$1,Database!$A$1:$AS$1,),))))-(((VLOOKUP(EDATE(B311,-12),Database!$A:$AS,MATCH($U$1,Database!$A$1:$AS$1,),)))))/(((VLOOKUP(EDATE(B311,-12),Database!$A:$AS,MATCH($U$1,Database!$A$1:$AS$1,),)))))</f>
        <v/>
      </c>
      <c r="V311" s="13">
        <f>IF(VLOOKUP(B311,Database!$A:$AV,MATCH($V$1,Database!$A$1:$AV$1,),)=0,"#N/A",((((VLOOKUP(B311,Database!$A:$AS,MATCH($V$1,Database!$A$1:$AS$1,),))))-(((VLOOKUP(EDATE(B311,-12),Database!$A:$AS,MATCH($V$1,Database!$A$1:$AS$1,),)))))/(((VLOOKUP(EDATE(B311,-12),Database!$A:$AS,MATCH($V$1,Database!$A$1:$AS$1,),)))))</f>
        <v/>
      </c>
    </row>
    <row r="312" customFormat="1" s="86">
      <c r="A312" s="43" t="n"/>
      <c r="B312" s="75" t="n">
        <v>41640</v>
      </c>
      <c r="C312" s="13">
        <f>IF(VLOOKUP(B312,Database!$A:$AU,MATCH($C$1,Database!$A$1:$AU$1,),)=0,"#N/A",((((VLOOKUP(B312,Database!$A:$AU,MATCH($C$1,Database!$A$1:$AU$1,),))))-(((VLOOKUP(EDATE(B312,-12),Database!$A:$AU,MATCH($C$1,Database!$A$1:$AU$1,),)))))/(((VLOOKUP(EDATE(B312,-12),Database!$A:$AU,MATCH($C$1,Database!$A$1:$AU$1,),)))))</f>
        <v/>
      </c>
      <c r="D312" s="13">
        <f>IF(VLOOKUP(B312,Database!$A:$AV,MATCH($D$1,Database!$A$1:$AV$1,),)=0,"#N/A",((((VLOOKUP(B312,Database!$A:$AS,MATCH($D$1,Database!$A$1:$AS$1,),))))-(((VLOOKUP(EDATE(B312,-12),Database!$A:$AS,MATCH($D$1,Database!$A$1:$AS$1,),)))))/(((VLOOKUP(EDATE(B312,-12),Database!$A:$AS,MATCH($D$1,Database!$A$1:$AS$1,),)))))</f>
        <v/>
      </c>
      <c r="E312" s="13">
        <f>IF(VLOOKUP(B312,Database!$A:$AV,MATCH($E$1,Database!$A$1:$AV$1,),)=0,"#N/A",((((VLOOKUP(B312,Database!$A:$AS,MATCH($E$1,Database!$A$1:$AS$1,),))))-(((VLOOKUP(EDATE(B312,-12),Database!$A:$AS,MATCH($E$1,Database!$A$1:$AS$1,),)))))/(((VLOOKUP(EDATE(B312,-12),Database!$A:$AS,MATCH($E$1,Database!$A$1:$AS$1,),)))))</f>
        <v/>
      </c>
      <c r="F312" s="13">
        <f>IF(VLOOKUP(B312,Database!$A:$AV,MATCH($F$1,Database!$A$1:$AV$1,),)=0,"#N/A",((((VLOOKUP(B312,Database!$A:$AS,MATCH($F$1,Database!$A$1:$AS$1,),))))-(((VLOOKUP(EDATE(B312,-12),Database!$A:$AS,MATCH($F$1,Database!$A$1:$AS$1,),)))))/(((VLOOKUP(EDATE(B312,-12),Database!$A:$AS,MATCH($F$1,Database!$A$1:$AS$1,),)))))</f>
        <v/>
      </c>
      <c r="G312" s="13">
        <f>IF(VLOOKUP(B312,Database!$A:$AV,MATCH($G$1,Database!$A$1:$AV$1,),)=0,"#N/A",((((VLOOKUP(B312,Database!$A:$AS,MATCH($G$1,Database!$A$1:$AS$1,),))))-(((VLOOKUP(EDATE(B312,-12),Database!$A:$AS,MATCH($G$1,Database!$A$1:$AS$1,),)))))/(((VLOOKUP(EDATE(B312,-12),Database!$A:$AS,MATCH($G$1,Database!$A$1:$AS$1,),)))))</f>
        <v/>
      </c>
      <c r="H312" s="13">
        <f>IF(VLOOKUP(B312,Database!$A:$AV,MATCH($H$1,Database!$A$1:$AV$1,),)=0,"#N/A",((((VLOOKUP(B312,Database!$A:$AS,MATCH($H$1,Database!$A$1:$AS$1,),))))-(((VLOOKUP(EDATE(B312,-12),Database!$A:$AS,MATCH($H$1,Database!$A$1:$AS$1,),)))))/(((VLOOKUP(EDATE(B312,-12),Database!$A:$AS,MATCH($H$1,Database!$A$1:$AS$1,),)))))</f>
        <v/>
      </c>
      <c r="I312" s="13">
        <f>IF(VLOOKUP(B312,Database!$A:$AV,MATCH($I$1,Database!$A$1:$AV$1,),)=0,"#N/A",((((VLOOKUP(B312,Database!$A:$AS,MATCH($I$1,Database!$A$1:$AS$1,),))))-(((VLOOKUP(EDATE(B312,-12),Database!$A:$AS,MATCH($I$1,Database!$A$1:$AS$1,),)))))/(((VLOOKUP(EDATE(B312,-12),Database!$A:$AS,MATCH($I$1,Database!$A$1:$AS$1,),)))))</f>
        <v/>
      </c>
      <c r="J312" s="13">
        <f>IF(VLOOKUP(B312,Database!$A:$AV,MATCH($J$1,Database!$A$1:$AV$1,),)=0,"#N/A",((((VLOOKUP(B312,Database!$A:$AS,MATCH($J$1,Database!$A$1:$AS$1,),))))-(((VLOOKUP(EDATE(B312,-12),Database!$A:$AS,MATCH($J$1,Database!$A$1:$AS$1,),)))))/(((VLOOKUP(EDATE(B312,-12),Database!$A:$AS,MATCH($J$1,Database!$A$1:$AS$1,),)))))</f>
        <v/>
      </c>
      <c r="K312" s="13">
        <f>IF(VLOOKUP(B312,Database!$A:$AV,MATCH($K$1,Database!$A$1:$AV$1,),)=0,"#N/A",((((VLOOKUP(B312,Database!$A:$AS,MATCH($K$1,Database!$A$1:$AS$1,),))))-(((VLOOKUP(EDATE(B312,-12),Database!$A:$AS,MATCH($K$1,Database!$A$1:$AS$1,),)))))/(((VLOOKUP(EDATE(B312,-12),Database!$A:$AS,MATCH($K$1,Database!$A$1:$AS$1,),)))))</f>
        <v/>
      </c>
      <c r="L312" s="13">
        <f>((((VLOOKUP(B312,Database!$A:$AS,MATCH($L$1,Database!$A$1:$AS$1,),))))-(((VLOOKUP(EDATE(B312,-12),Database!$A:$AS,MATCH($L$1,Database!$A$1:$AS$1,),)))))/(((VLOOKUP(EDATE(B312,-12),Database!$A:$AS,MATCH($L$1,Database!$A$1:$AS$1,),))))</f>
        <v/>
      </c>
      <c r="M312" s="13">
        <f>((((VLOOKUP(B312,Database!$A:$AS,MATCH($M$1,Database!$A$1:$AS$1,),))))-(((VLOOKUP(EDATE(B312,-12),Database!$A:$AS,MATCH($M$1,Database!$A$1:$AS$1,),)))))/(((VLOOKUP(EDATE(B312,-12),Database!$A:$AS,MATCH($M$1,Database!$A$1:$AS$1,),))))</f>
        <v/>
      </c>
      <c r="N312" s="13">
        <f>((((VLOOKUP(B312,Database!$A:$AS,MATCH($N$1,Database!$A$1:$AS$1,),))))-(((VLOOKUP(EDATE(B312,-12),Database!$A:$AS,MATCH($N$1,Database!$A$1:$AS$1,),)))))/(((VLOOKUP(EDATE(B312,-12),Database!$A:$AS,MATCH($N$1,Database!$A$1:$AS$1,),))))</f>
        <v/>
      </c>
      <c r="O312" s="13">
        <f>IF(VLOOKUP(B312,Database!$A:$AV,MATCH($O$1,Database!$A$1:$AV$1,),)=0,"#N/A",((((VLOOKUP(B312,Database!$A:$AS,MATCH($O$1,Database!$A$1:$AS$1,),))))-(((VLOOKUP(EDATE(B312,-12),Database!$A:$AS,MATCH($O$1,Database!$A$1:$AS$1,),)))))/(((VLOOKUP(EDATE(B312,-12),Database!$A:$AS,MATCH($O$1,Database!$A$1:$AS$1,),)))))</f>
        <v/>
      </c>
      <c r="P312" s="13">
        <f>IF(VLOOKUP(B312,Database!$A:$AV,MATCH($P$1,Database!$A$1:$AV$1,),)=0,"#N/A",((((VLOOKUP(B312,Database!$A:$AS,MATCH($P$1,Database!$A$1:$AS$1,),))))-(((VLOOKUP(EDATE(B312,-12),Database!$A:$AS,MATCH($P$1,Database!$A$1:$AS$1,),)))))/(((VLOOKUP(EDATE(B312,-12),Database!$A:$AS,MATCH($P$1,Database!$A$1:$AS$1,),)))))</f>
        <v/>
      </c>
      <c r="Q312" s="13">
        <f>IF(VLOOKUP(B312,Database!$A:$AV,MATCH($Q$1,Database!$A$1:$AV$1,),)=0,"#N/A",((((VLOOKUP(B312,Database!$A:$AS,MATCH($Q$1,Database!$A$1:$AS$1,),))))-(((VLOOKUP(EDATE(B312,-12),Database!$A:$AS,MATCH($Q$1,Database!$A$1:$AS$1,),)))))/(((VLOOKUP(EDATE(B312,-12),Database!$A:$AS,MATCH($Q$1,Database!$A$1:$AS$1,),)))))</f>
        <v/>
      </c>
      <c r="R312" s="13">
        <f>IF(VLOOKUP(B312,Database!$A:$AV,MATCH($R$1,Database!$A$1:$AV$1,),)=0,"#N/A",((((VLOOKUP(B312,Database!$A:$AS,MATCH($R$1,Database!$A$1:$AS$1,),))))-(((VLOOKUP(EDATE(B312,-12),Database!$A:$AS,MATCH($R$1,Database!$A$1:$AS$1,),)))))/(((VLOOKUP(EDATE(B312,-12),Database!$A:$AS,MATCH($R$1,Database!$A$1:$AS$1,),)))))</f>
        <v/>
      </c>
      <c r="S312" s="13">
        <f>IF(VLOOKUP(B312,Database!$A:$AV,MATCH($S$1,Database!$A$1:$AV$1,),)=0,"#N/A",((((VLOOKUP(B312,Database!$A:$AS,MATCH($S$1,Database!$A$1:$AS$1,),))))-(((VLOOKUP(EDATE(B312,-12),Database!$A:$AS,MATCH($S$1,Database!$A$1:$AS$1,),)))))/(((VLOOKUP(EDATE(B312,-12),Database!$A:$AS,MATCH($S$1,Database!$A$1:$AS$1,),)))))</f>
        <v/>
      </c>
      <c r="T312" s="13">
        <f>IF(VLOOKUP(B312,Database!$A:$AV,MATCH($T$1,Database!$A$1:$AV$1,),)=0,"#N/A",((((VLOOKUP(B312,Database!$A:$AS,MATCH($T$1,Database!$A$1:$AS$1,),))))-(((VLOOKUP(EDATE(B312,-12),Database!$A:$AS,MATCH($T$1,Database!$A$1:$AS$1,),)))))/(((VLOOKUP(EDATE(B312,-12),Database!$A:$AS,MATCH($T$1,Database!$A$1:$AS$1,),)))))</f>
        <v/>
      </c>
      <c r="U312" s="13">
        <f>IF(VLOOKUP(B312,Database!$A:$AV,MATCH($U$1,Database!$A$1:$AV$1,),)=0,"#N/A",((((VLOOKUP(B312,Database!$A:$AS,MATCH($U$1,Database!$A$1:$AS$1,),))))-(((VLOOKUP(EDATE(B312,-12),Database!$A:$AS,MATCH($U$1,Database!$A$1:$AS$1,),)))))/(((VLOOKUP(EDATE(B312,-12),Database!$A:$AS,MATCH($U$1,Database!$A$1:$AS$1,),)))))</f>
        <v/>
      </c>
      <c r="V312" s="13">
        <f>IF(VLOOKUP(B312,Database!$A:$AV,MATCH($V$1,Database!$A$1:$AV$1,),)=0,"#N/A",((((VLOOKUP(B312,Database!$A:$AS,MATCH($V$1,Database!$A$1:$AS$1,),))))-(((VLOOKUP(EDATE(B312,-12),Database!$A:$AS,MATCH($V$1,Database!$A$1:$AS$1,),)))))/(((VLOOKUP(EDATE(B312,-12),Database!$A:$AS,MATCH($V$1,Database!$A$1:$AS$1,),)))))</f>
        <v/>
      </c>
    </row>
    <row r="313" customFormat="1" s="86">
      <c r="A313" s="43" t="n"/>
      <c r="B313" s="75" t="n">
        <v>41671</v>
      </c>
      <c r="C313" s="13">
        <f>IF(VLOOKUP(B313,Database!$A:$AU,MATCH($C$1,Database!$A$1:$AU$1,),)=0,"#N/A",((((VLOOKUP(B313,Database!$A:$AU,MATCH($C$1,Database!$A$1:$AU$1,),))))-(((VLOOKUP(EDATE(B313,-12),Database!$A:$AU,MATCH($C$1,Database!$A$1:$AU$1,),)))))/(((VLOOKUP(EDATE(B313,-12),Database!$A:$AU,MATCH($C$1,Database!$A$1:$AU$1,),)))))</f>
        <v/>
      </c>
      <c r="D313" s="13">
        <f>IF(VLOOKUP(B313,Database!$A:$AV,MATCH($D$1,Database!$A$1:$AV$1,),)=0,"#N/A",((((VLOOKUP(B313,Database!$A:$AS,MATCH($D$1,Database!$A$1:$AS$1,),))))-(((VLOOKUP(EDATE(B313,-12),Database!$A:$AS,MATCH($D$1,Database!$A$1:$AS$1,),)))))/(((VLOOKUP(EDATE(B313,-12),Database!$A:$AS,MATCH($D$1,Database!$A$1:$AS$1,),)))))</f>
        <v/>
      </c>
      <c r="E313" s="13">
        <f>IF(VLOOKUP(B313,Database!$A:$AV,MATCH($E$1,Database!$A$1:$AV$1,),)=0,"#N/A",((((VLOOKUP(B313,Database!$A:$AS,MATCH($E$1,Database!$A$1:$AS$1,),))))-(((VLOOKUP(EDATE(B313,-12),Database!$A:$AS,MATCH($E$1,Database!$A$1:$AS$1,),)))))/(((VLOOKUP(EDATE(B313,-12),Database!$A:$AS,MATCH($E$1,Database!$A$1:$AS$1,),)))))</f>
        <v/>
      </c>
      <c r="F313" s="13">
        <f>IF(VLOOKUP(B313,Database!$A:$AV,MATCH($F$1,Database!$A$1:$AV$1,),)=0,"#N/A",((((VLOOKUP(B313,Database!$A:$AS,MATCH($F$1,Database!$A$1:$AS$1,),))))-(((VLOOKUP(EDATE(B313,-12),Database!$A:$AS,MATCH($F$1,Database!$A$1:$AS$1,),)))))/(((VLOOKUP(EDATE(B313,-12),Database!$A:$AS,MATCH($F$1,Database!$A$1:$AS$1,),)))))</f>
        <v/>
      </c>
      <c r="G313" s="13">
        <f>IF(VLOOKUP(B313,Database!$A:$AV,MATCH($G$1,Database!$A$1:$AV$1,),)=0,"#N/A",((((VLOOKUP(B313,Database!$A:$AS,MATCH($G$1,Database!$A$1:$AS$1,),))))-(((VLOOKUP(EDATE(B313,-12),Database!$A:$AS,MATCH($G$1,Database!$A$1:$AS$1,),)))))/(((VLOOKUP(EDATE(B313,-12),Database!$A:$AS,MATCH($G$1,Database!$A$1:$AS$1,),)))))</f>
        <v/>
      </c>
      <c r="H313" s="13">
        <f>IF(VLOOKUP(B313,Database!$A:$AV,MATCH($H$1,Database!$A$1:$AV$1,),)=0,"#N/A",((((VLOOKUP(B313,Database!$A:$AS,MATCH($H$1,Database!$A$1:$AS$1,),))))-(((VLOOKUP(EDATE(B313,-12),Database!$A:$AS,MATCH($H$1,Database!$A$1:$AS$1,),)))))/(((VLOOKUP(EDATE(B313,-12),Database!$A:$AS,MATCH($H$1,Database!$A$1:$AS$1,),)))))</f>
        <v/>
      </c>
      <c r="I313" s="13">
        <f>IF(VLOOKUP(B313,Database!$A:$AV,MATCH($I$1,Database!$A$1:$AV$1,),)=0,"#N/A",((((VLOOKUP(B313,Database!$A:$AS,MATCH($I$1,Database!$A$1:$AS$1,),))))-(((VLOOKUP(EDATE(B313,-12),Database!$A:$AS,MATCH($I$1,Database!$A$1:$AS$1,),)))))/(((VLOOKUP(EDATE(B313,-12),Database!$A:$AS,MATCH($I$1,Database!$A$1:$AS$1,),)))))</f>
        <v/>
      </c>
      <c r="J313" s="13">
        <f>IF(VLOOKUP(B313,Database!$A:$AV,MATCH($J$1,Database!$A$1:$AV$1,),)=0,"#N/A",((((VLOOKUP(B313,Database!$A:$AS,MATCH($J$1,Database!$A$1:$AS$1,),))))-(((VLOOKUP(EDATE(B313,-12),Database!$A:$AS,MATCH($J$1,Database!$A$1:$AS$1,),)))))/(((VLOOKUP(EDATE(B313,-12),Database!$A:$AS,MATCH($J$1,Database!$A$1:$AS$1,),)))))</f>
        <v/>
      </c>
      <c r="K313" s="13">
        <f>IF(VLOOKUP(B313,Database!$A:$AV,MATCH($K$1,Database!$A$1:$AV$1,),)=0,"#N/A",((((VLOOKUP(B313,Database!$A:$AS,MATCH($K$1,Database!$A$1:$AS$1,),))))-(((VLOOKUP(EDATE(B313,-12),Database!$A:$AS,MATCH($K$1,Database!$A$1:$AS$1,),)))))/(((VLOOKUP(EDATE(B313,-12),Database!$A:$AS,MATCH($K$1,Database!$A$1:$AS$1,),)))))</f>
        <v/>
      </c>
      <c r="L313" s="13">
        <f>((((VLOOKUP(B313,Database!$A:$AS,MATCH($L$1,Database!$A$1:$AS$1,),))))-(((VLOOKUP(EDATE(B313,-12),Database!$A:$AS,MATCH($L$1,Database!$A$1:$AS$1,),)))))/(((VLOOKUP(EDATE(B313,-12),Database!$A:$AS,MATCH($L$1,Database!$A$1:$AS$1,),))))</f>
        <v/>
      </c>
      <c r="M313" s="13">
        <f>((((VLOOKUP(B313,Database!$A:$AS,MATCH($M$1,Database!$A$1:$AS$1,),))))-(((VLOOKUP(EDATE(B313,-12),Database!$A:$AS,MATCH($M$1,Database!$A$1:$AS$1,),)))))/(((VLOOKUP(EDATE(B313,-12),Database!$A:$AS,MATCH($M$1,Database!$A$1:$AS$1,),))))</f>
        <v/>
      </c>
      <c r="N313" s="13">
        <f>((((VLOOKUP(B313,Database!$A:$AS,MATCH($N$1,Database!$A$1:$AS$1,),))))-(((VLOOKUP(EDATE(B313,-12),Database!$A:$AS,MATCH($N$1,Database!$A$1:$AS$1,),)))))/(((VLOOKUP(EDATE(B313,-12),Database!$A:$AS,MATCH($N$1,Database!$A$1:$AS$1,),))))</f>
        <v/>
      </c>
      <c r="O313" s="13">
        <f>IF(VLOOKUP(B313,Database!$A:$AV,MATCH($O$1,Database!$A$1:$AV$1,),)=0,"#N/A",((((VLOOKUP(B313,Database!$A:$AS,MATCH($O$1,Database!$A$1:$AS$1,),))))-(((VLOOKUP(EDATE(B313,-12),Database!$A:$AS,MATCH($O$1,Database!$A$1:$AS$1,),)))))/(((VLOOKUP(EDATE(B313,-12),Database!$A:$AS,MATCH($O$1,Database!$A$1:$AS$1,),)))))</f>
        <v/>
      </c>
      <c r="P313" s="13">
        <f>IF(VLOOKUP(B313,Database!$A:$AV,MATCH($P$1,Database!$A$1:$AV$1,),)=0,"#N/A",((((VLOOKUP(B313,Database!$A:$AS,MATCH($P$1,Database!$A$1:$AS$1,),))))-(((VLOOKUP(EDATE(B313,-12),Database!$A:$AS,MATCH($P$1,Database!$A$1:$AS$1,),)))))/(((VLOOKUP(EDATE(B313,-12),Database!$A:$AS,MATCH($P$1,Database!$A$1:$AS$1,),)))))</f>
        <v/>
      </c>
      <c r="Q313" s="13">
        <f>IF(VLOOKUP(B313,Database!$A:$AV,MATCH($Q$1,Database!$A$1:$AV$1,),)=0,"#N/A",((((VLOOKUP(B313,Database!$A:$AS,MATCH($Q$1,Database!$A$1:$AS$1,),))))-(((VLOOKUP(EDATE(B313,-12),Database!$A:$AS,MATCH($Q$1,Database!$A$1:$AS$1,),)))))/(((VLOOKUP(EDATE(B313,-12),Database!$A:$AS,MATCH($Q$1,Database!$A$1:$AS$1,),)))))</f>
        <v/>
      </c>
      <c r="R313" s="13">
        <f>IF(VLOOKUP(B313,Database!$A:$AV,MATCH($R$1,Database!$A$1:$AV$1,),)=0,"#N/A",((((VLOOKUP(B313,Database!$A:$AS,MATCH($R$1,Database!$A$1:$AS$1,),))))-(((VLOOKUP(EDATE(B313,-12),Database!$A:$AS,MATCH($R$1,Database!$A$1:$AS$1,),)))))/(((VLOOKUP(EDATE(B313,-12),Database!$A:$AS,MATCH($R$1,Database!$A$1:$AS$1,),)))))</f>
        <v/>
      </c>
      <c r="S313" s="13">
        <f>IF(VLOOKUP(B313,Database!$A:$AV,MATCH($S$1,Database!$A$1:$AV$1,),)=0,"#N/A",((((VLOOKUP(B313,Database!$A:$AS,MATCH($S$1,Database!$A$1:$AS$1,),))))-(((VLOOKUP(EDATE(B313,-12),Database!$A:$AS,MATCH($S$1,Database!$A$1:$AS$1,),)))))/(((VLOOKUP(EDATE(B313,-12),Database!$A:$AS,MATCH($S$1,Database!$A$1:$AS$1,),)))))</f>
        <v/>
      </c>
      <c r="T313" s="13">
        <f>IF(VLOOKUP(B313,Database!$A:$AV,MATCH($T$1,Database!$A$1:$AV$1,),)=0,"#N/A",((((VLOOKUP(B313,Database!$A:$AS,MATCH($T$1,Database!$A$1:$AS$1,),))))-(((VLOOKUP(EDATE(B313,-12),Database!$A:$AS,MATCH($T$1,Database!$A$1:$AS$1,),)))))/(((VLOOKUP(EDATE(B313,-12),Database!$A:$AS,MATCH($T$1,Database!$A$1:$AS$1,),)))))</f>
        <v/>
      </c>
      <c r="U313" s="13">
        <f>IF(VLOOKUP(B313,Database!$A:$AV,MATCH($U$1,Database!$A$1:$AV$1,),)=0,"#N/A",((((VLOOKUP(B313,Database!$A:$AS,MATCH($U$1,Database!$A$1:$AS$1,),))))-(((VLOOKUP(EDATE(B313,-12),Database!$A:$AS,MATCH($U$1,Database!$A$1:$AS$1,),)))))/(((VLOOKUP(EDATE(B313,-12),Database!$A:$AS,MATCH($U$1,Database!$A$1:$AS$1,),)))))</f>
        <v/>
      </c>
      <c r="V313" s="13">
        <f>IF(VLOOKUP(B313,Database!$A:$AV,MATCH($V$1,Database!$A$1:$AV$1,),)=0,"#N/A",((((VLOOKUP(B313,Database!$A:$AS,MATCH($V$1,Database!$A$1:$AS$1,),))))-(((VLOOKUP(EDATE(B313,-12),Database!$A:$AS,MATCH($V$1,Database!$A$1:$AS$1,),)))))/(((VLOOKUP(EDATE(B313,-12),Database!$A:$AS,MATCH($V$1,Database!$A$1:$AS$1,),)))))</f>
        <v/>
      </c>
    </row>
    <row r="314" customFormat="1" s="86">
      <c r="A314" s="43" t="n"/>
      <c r="B314" s="75" t="n">
        <v>41699</v>
      </c>
      <c r="C314" s="13">
        <f>IF(VLOOKUP(B314,Database!$A:$AU,MATCH($C$1,Database!$A$1:$AU$1,),)=0,"#N/A",((((VLOOKUP(B314,Database!$A:$AU,MATCH($C$1,Database!$A$1:$AU$1,),))))-(((VLOOKUP(EDATE(B314,-12),Database!$A:$AU,MATCH($C$1,Database!$A$1:$AU$1,),)))))/(((VLOOKUP(EDATE(B314,-12),Database!$A:$AU,MATCH($C$1,Database!$A$1:$AU$1,),)))))</f>
        <v/>
      </c>
      <c r="D314" s="13">
        <f>IF(VLOOKUP(B314,Database!$A:$AV,MATCH($D$1,Database!$A$1:$AV$1,),)=0,"#N/A",((((VLOOKUP(B314,Database!$A:$AS,MATCH($D$1,Database!$A$1:$AS$1,),))))-(((VLOOKUP(EDATE(B314,-12),Database!$A:$AS,MATCH($D$1,Database!$A$1:$AS$1,),)))))/(((VLOOKUP(EDATE(B314,-12),Database!$A:$AS,MATCH($D$1,Database!$A$1:$AS$1,),)))))</f>
        <v/>
      </c>
      <c r="E314" s="13">
        <f>IF(VLOOKUP(B314,Database!$A:$AV,MATCH($E$1,Database!$A$1:$AV$1,),)=0,"#N/A",((((VLOOKUP(B314,Database!$A:$AS,MATCH($E$1,Database!$A$1:$AS$1,),))))-(((VLOOKUP(EDATE(B314,-12),Database!$A:$AS,MATCH($E$1,Database!$A$1:$AS$1,),)))))/(((VLOOKUP(EDATE(B314,-12),Database!$A:$AS,MATCH($E$1,Database!$A$1:$AS$1,),)))))</f>
        <v/>
      </c>
      <c r="F314" s="13">
        <f>IF(VLOOKUP(B314,Database!$A:$AV,MATCH($F$1,Database!$A$1:$AV$1,),)=0,"#N/A",((((VLOOKUP(B314,Database!$A:$AS,MATCH($F$1,Database!$A$1:$AS$1,),))))-(((VLOOKUP(EDATE(B314,-12),Database!$A:$AS,MATCH($F$1,Database!$A$1:$AS$1,),)))))/(((VLOOKUP(EDATE(B314,-12),Database!$A:$AS,MATCH($F$1,Database!$A$1:$AS$1,),)))))</f>
        <v/>
      </c>
      <c r="G314" s="13">
        <f>IF(VLOOKUP(B314,Database!$A:$AV,MATCH($G$1,Database!$A$1:$AV$1,),)=0,"#N/A",((((VLOOKUP(B314,Database!$A:$AS,MATCH($G$1,Database!$A$1:$AS$1,),))))-(((VLOOKUP(EDATE(B314,-12),Database!$A:$AS,MATCH($G$1,Database!$A$1:$AS$1,),)))))/(((VLOOKUP(EDATE(B314,-12),Database!$A:$AS,MATCH($G$1,Database!$A$1:$AS$1,),)))))</f>
        <v/>
      </c>
      <c r="H314" s="13">
        <f>IF(VLOOKUP(B314,Database!$A:$AV,MATCH($H$1,Database!$A$1:$AV$1,),)=0,"#N/A",((((VLOOKUP(B314,Database!$A:$AS,MATCH($H$1,Database!$A$1:$AS$1,),))))-(((VLOOKUP(EDATE(B314,-12),Database!$A:$AS,MATCH($H$1,Database!$A$1:$AS$1,),)))))/(((VLOOKUP(EDATE(B314,-12),Database!$A:$AS,MATCH($H$1,Database!$A$1:$AS$1,),)))))</f>
        <v/>
      </c>
      <c r="I314" s="13">
        <f>IF(VLOOKUP(B314,Database!$A:$AV,MATCH($I$1,Database!$A$1:$AV$1,),)=0,"#N/A",((((VLOOKUP(B314,Database!$A:$AS,MATCH($I$1,Database!$A$1:$AS$1,),))))-(((VLOOKUP(EDATE(B314,-12),Database!$A:$AS,MATCH($I$1,Database!$A$1:$AS$1,),)))))/(((VLOOKUP(EDATE(B314,-12),Database!$A:$AS,MATCH($I$1,Database!$A$1:$AS$1,),)))))</f>
        <v/>
      </c>
      <c r="J314" s="13">
        <f>IF(VLOOKUP(B314,Database!$A:$AV,MATCH($J$1,Database!$A$1:$AV$1,),)=0,"#N/A",((((VLOOKUP(B314,Database!$A:$AS,MATCH($J$1,Database!$A$1:$AS$1,),))))-(((VLOOKUP(EDATE(B314,-12),Database!$A:$AS,MATCH($J$1,Database!$A$1:$AS$1,),)))))/(((VLOOKUP(EDATE(B314,-12),Database!$A:$AS,MATCH($J$1,Database!$A$1:$AS$1,),)))))</f>
        <v/>
      </c>
      <c r="K314" s="13">
        <f>IF(VLOOKUP(B314,Database!$A:$AV,MATCH($K$1,Database!$A$1:$AV$1,),)=0,"#N/A",((((VLOOKUP(B314,Database!$A:$AS,MATCH($K$1,Database!$A$1:$AS$1,),))))-(((VLOOKUP(EDATE(B314,-12),Database!$A:$AS,MATCH($K$1,Database!$A$1:$AS$1,),)))))/(((VLOOKUP(EDATE(B314,-12),Database!$A:$AS,MATCH($K$1,Database!$A$1:$AS$1,),)))))</f>
        <v/>
      </c>
      <c r="L314" s="13">
        <f>((((VLOOKUP(B314,Database!$A:$AS,MATCH($L$1,Database!$A$1:$AS$1,),))))-(((VLOOKUP(EDATE(B314,-12),Database!$A:$AS,MATCH($L$1,Database!$A$1:$AS$1,),)))))/(((VLOOKUP(EDATE(B314,-12),Database!$A:$AS,MATCH($L$1,Database!$A$1:$AS$1,),))))</f>
        <v/>
      </c>
      <c r="M314" s="13">
        <f>((((VLOOKUP(B314,Database!$A:$AS,MATCH($M$1,Database!$A$1:$AS$1,),))))-(((VLOOKUP(EDATE(B314,-12),Database!$A:$AS,MATCH($M$1,Database!$A$1:$AS$1,),)))))/(((VLOOKUP(EDATE(B314,-12),Database!$A:$AS,MATCH($M$1,Database!$A$1:$AS$1,),))))</f>
        <v/>
      </c>
      <c r="N314" s="13">
        <f>((((VLOOKUP(B314,Database!$A:$AS,MATCH($N$1,Database!$A$1:$AS$1,),))))-(((VLOOKUP(EDATE(B314,-12),Database!$A:$AS,MATCH($N$1,Database!$A$1:$AS$1,),)))))/(((VLOOKUP(EDATE(B314,-12),Database!$A:$AS,MATCH($N$1,Database!$A$1:$AS$1,),))))</f>
        <v/>
      </c>
      <c r="O314" s="13">
        <f>IF(VLOOKUP(B314,Database!$A:$AV,MATCH($O$1,Database!$A$1:$AV$1,),)=0,"#N/A",((((VLOOKUP(B314,Database!$A:$AS,MATCH($O$1,Database!$A$1:$AS$1,),))))-(((VLOOKUP(EDATE(B314,-12),Database!$A:$AS,MATCH($O$1,Database!$A$1:$AS$1,),)))))/(((VLOOKUP(EDATE(B314,-12),Database!$A:$AS,MATCH($O$1,Database!$A$1:$AS$1,),)))))</f>
        <v/>
      </c>
      <c r="P314" s="13">
        <f>IF(VLOOKUP(B314,Database!$A:$AV,MATCH($P$1,Database!$A$1:$AV$1,),)=0,"#N/A",((((VLOOKUP(B314,Database!$A:$AS,MATCH($P$1,Database!$A$1:$AS$1,),))))-(((VLOOKUP(EDATE(B314,-12),Database!$A:$AS,MATCH($P$1,Database!$A$1:$AS$1,),)))))/(((VLOOKUP(EDATE(B314,-12),Database!$A:$AS,MATCH($P$1,Database!$A$1:$AS$1,),)))))</f>
        <v/>
      </c>
      <c r="Q314" s="13">
        <f>IF(VLOOKUP(B314,Database!$A:$AV,MATCH($Q$1,Database!$A$1:$AV$1,),)=0,"#N/A",((((VLOOKUP(B314,Database!$A:$AS,MATCH($Q$1,Database!$A$1:$AS$1,),))))-(((VLOOKUP(EDATE(B314,-12),Database!$A:$AS,MATCH($Q$1,Database!$A$1:$AS$1,),)))))/(((VLOOKUP(EDATE(B314,-12),Database!$A:$AS,MATCH($Q$1,Database!$A$1:$AS$1,),)))))</f>
        <v/>
      </c>
      <c r="R314" s="13">
        <f>IF(VLOOKUP(B314,Database!$A:$AV,MATCH($R$1,Database!$A$1:$AV$1,),)=0,"#N/A",((((VLOOKUP(B314,Database!$A:$AS,MATCH($R$1,Database!$A$1:$AS$1,),))))-(((VLOOKUP(EDATE(B314,-12),Database!$A:$AS,MATCH($R$1,Database!$A$1:$AS$1,),)))))/(((VLOOKUP(EDATE(B314,-12),Database!$A:$AS,MATCH($R$1,Database!$A$1:$AS$1,),)))))</f>
        <v/>
      </c>
      <c r="S314" s="13">
        <f>IF(VLOOKUP(B314,Database!$A:$AV,MATCH($S$1,Database!$A$1:$AV$1,),)=0,"#N/A",((((VLOOKUP(B314,Database!$A:$AS,MATCH($S$1,Database!$A$1:$AS$1,),))))-(((VLOOKUP(EDATE(B314,-12),Database!$A:$AS,MATCH($S$1,Database!$A$1:$AS$1,),)))))/(((VLOOKUP(EDATE(B314,-12),Database!$A:$AS,MATCH($S$1,Database!$A$1:$AS$1,),)))))</f>
        <v/>
      </c>
      <c r="T314" s="13">
        <f>IF(VLOOKUP(B314,Database!$A:$AV,MATCH($T$1,Database!$A$1:$AV$1,),)=0,"#N/A",((((VLOOKUP(B314,Database!$A:$AS,MATCH($T$1,Database!$A$1:$AS$1,),))))-(((VLOOKUP(EDATE(B314,-12),Database!$A:$AS,MATCH($T$1,Database!$A$1:$AS$1,),)))))/(((VLOOKUP(EDATE(B314,-12),Database!$A:$AS,MATCH($T$1,Database!$A$1:$AS$1,),)))))</f>
        <v/>
      </c>
      <c r="U314" s="13">
        <f>IF(VLOOKUP(B314,Database!$A:$AV,MATCH($U$1,Database!$A$1:$AV$1,),)=0,"#N/A",((((VLOOKUP(B314,Database!$A:$AS,MATCH($U$1,Database!$A$1:$AS$1,),))))-(((VLOOKUP(EDATE(B314,-12),Database!$A:$AS,MATCH($U$1,Database!$A$1:$AS$1,),)))))/(((VLOOKUP(EDATE(B314,-12),Database!$A:$AS,MATCH($U$1,Database!$A$1:$AS$1,),)))))</f>
        <v/>
      </c>
      <c r="V314" s="13">
        <f>IF(VLOOKUP(B314,Database!$A:$AV,MATCH($V$1,Database!$A$1:$AV$1,),)=0,"#N/A",((((VLOOKUP(B314,Database!$A:$AS,MATCH($V$1,Database!$A$1:$AS$1,),))))-(((VLOOKUP(EDATE(B314,-12),Database!$A:$AS,MATCH($V$1,Database!$A$1:$AS$1,),)))))/(((VLOOKUP(EDATE(B314,-12),Database!$A:$AS,MATCH($V$1,Database!$A$1:$AS$1,),)))))</f>
        <v/>
      </c>
    </row>
    <row r="315" customFormat="1" s="86">
      <c r="A315" s="43" t="n"/>
      <c r="B315" s="75" t="n">
        <v>41730</v>
      </c>
      <c r="C315" s="13">
        <f>IF(VLOOKUP(B315,Database!$A:$AU,MATCH($C$1,Database!$A$1:$AU$1,),)=0,"#N/A",((((VLOOKUP(B315,Database!$A:$AU,MATCH($C$1,Database!$A$1:$AU$1,),))))-(((VLOOKUP(EDATE(B315,-12),Database!$A:$AU,MATCH($C$1,Database!$A$1:$AU$1,),)))))/(((VLOOKUP(EDATE(B315,-12),Database!$A:$AU,MATCH($C$1,Database!$A$1:$AU$1,),)))))</f>
        <v/>
      </c>
      <c r="D315" s="13">
        <f>IF(VLOOKUP(B315,Database!$A:$AV,MATCH($D$1,Database!$A$1:$AV$1,),)=0,"#N/A",((((VLOOKUP(B315,Database!$A:$AS,MATCH($D$1,Database!$A$1:$AS$1,),))))-(((VLOOKUP(EDATE(B315,-12),Database!$A:$AS,MATCH($D$1,Database!$A$1:$AS$1,),)))))/(((VLOOKUP(EDATE(B315,-12),Database!$A:$AS,MATCH($D$1,Database!$A$1:$AS$1,),)))))</f>
        <v/>
      </c>
      <c r="E315" s="13">
        <f>IF(VLOOKUP(B315,Database!$A:$AV,MATCH($E$1,Database!$A$1:$AV$1,),)=0,"#N/A",((((VLOOKUP(B315,Database!$A:$AS,MATCH($E$1,Database!$A$1:$AS$1,),))))-(((VLOOKUP(EDATE(B315,-12),Database!$A:$AS,MATCH($E$1,Database!$A$1:$AS$1,),)))))/(((VLOOKUP(EDATE(B315,-12),Database!$A:$AS,MATCH($E$1,Database!$A$1:$AS$1,),)))))</f>
        <v/>
      </c>
      <c r="F315" s="13">
        <f>IF(VLOOKUP(B315,Database!$A:$AV,MATCH($F$1,Database!$A$1:$AV$1,),)=0,"#N/A",((((VLOOKUP(B315,Database!$A:$AS,MATCH($F$1,Database!$A$1:$AS$1,),))))-(((VLOOKUP(EDATE(B315,-12),Database!$A:$AS,MATCH($F$1,Database!$A$1:$AS$1,),)))))/(((VLOOKUP(EDATE(B315,-12),Database!$A:$AS,MATCH($F$1,Database!$A$1:$AS$1,),)))))</f>
        <v/>
      </c>
      <c r="G315" s="13">
        <f>IF(VLOOKUP(B315,Database!$A:$AV,MATCH($G$1,Database!$A$1:$AV$1,),)=0,"#N/A",((((VLOOKUP(B315,Database!$A:$AS,MATCH($G$1,Database!$A$1:$AS$1,),))))-(((VLOOKUP(EDATE(B315,-12),Database!$A:$AS,MATCH($G$1,Database!$A$1:$AS$1,),)))))/(((VLOOKUP(EDATE(B315,-12),Database!$A:$AS,MATCH($G$1,Database!$A$1:$AS$1,),)))))</f>
        <v/>
      </c>
      <c r="H315" s="13">
        <f>IF(VLOOKUP(B315,Database!$A:$AV,MATCH($H$1,Database!$A$1:$AV$1,),)=0,"#N/A",((((VLOOKUP(B315,Database!$A:$AS,MATCH($H$1,Database!$A$1:$AS$1,),))))-(((VLOOKUP(EDATE(B315,-12),Database!$A:$AS,MATCH($H$1,Database!$A$1:$AS$1,),)))))/(((VLOOKUP(EDATE(B315,-12),Database!$A:$AS,MATCH($H$1,Database!$A$1:$AS$1,),)))))</f>
        <v/>
      </c>
      <c r="I315" s="13">
        <f>IF(VLOOKUP(B315,Database!$A:$AV,MATCH($I$1,Database!$A$1:$AV$1,),)=0,"#N/A",((((VLOOKUP(B315,Database!$A:$AS,MATCH($I$1,Database!$A$1:$AS$1,),))))-(((VLOOKUP(EDATE(B315,-12),Database!$A:$AS,MATCH($I$1,Database!$A$1:$AS$1,),)))))/(((VLOOKUP(EDATE(B315,-12),Database!$A:$AS,MATCH($I$1,Database!$A$1:$AS$1,),)))))</f>
        <v/>
      </c>
      <c r="J315" s="13">
        <f>IF(VLOOKUP(B315,Database!$A:$AV,MATCH($J$1,Database!$A$1:$AV$1,),)=0,"#N/A",((((VLOOKUP(B315,Database!$A:$AS,MATCH($J$1,Database!$A$1:$AS$1,),))))-(((VLOOKUP(EDATE(B315,-12),Database!$A:$AS,MATCH($J$1,Database!$A$1:$AS$1,),)))))/(((VLOOKUP(EDATE(B315,-12),Database!$A:$AS,MATCH($J$1,Database!$A$1:$AS$1,),)))))</f>
        <v/>
      </c>
      <c r="K315" s="13">
        <f>IF(VLOOKUP(B315,Database!$A:$AV,MATCH($K$1,Database!$A$1:$AV$1,),)=0,"#N/A",((((VLOOKUP(B315,Database!$A:$AS,MATCH($K$1,Database!$A$1:$AS$1,),))))-(((VLOOKUP(EDATE(B315,-12),Database!$A:$AS,MATCH($K$1,Database!$A$1:$AS$1,),)))))/(((VLOOKUP(EDATE(B315,-12),Database!$A:$AS,MATCH($K$1,Database!$A$1:$AS$1,),)))))</f>
        <v/>
      </c>
      <c r="L315" s="13">
        <f>((((VLOOKUP(B315,Database!$A:$AS,MATCH($L$1,Database!$A$1:$AS$1,),))))-(((VLOOKUP(EDATE(B315,-12),Database!$A:$AS,MATCH($L$1,Database!$A$1:$AS$1,),)))))/(((VLOOKUP(EDATE(B315,-12),Database!$A:$AS,MATCH($L$1,Database!$A$1:$AS$1,),))))</f>
        <v/>
      </c>
      <c r="M315" s="13">
        <f>((((VLOOKUP(B315,Database!$A:$AS,MATCH($M$1,Database!$A$1:$AS$1,),))))-(((VLOOKUP(EDATE(B315,-12),Database!$A:$AS,MATCH($M$1,Database!$A$1:$AS$1,),)))))/(((VLOOKUP(EDATE(B315,-12),Database!$A:$AS,MATCH($M$1,Database!$A$1:$AS$1,),))))</f>
        <v/>
      </c>
      <c r="N315" s="13">
        <f>((((VLOOKUP(B315,Database!$A:$AS,MATCH($N$1,Database!$A$1:$AS$1,),))))-(((VLOOKUP(EDATE(B315,-12),Database!$A:$AS,MATCH($N$1,Database!$A$1:$AS$1,),)))))/(((VLOOKUP(EDATE(B315,-12),Database!$A:$AS,MATCH($N$1,Database!$A$1:$AS$1,),))))</f>
        <v/>
      </c>
      <c r="O315" s="13">
        <f>IF(VLOOKUP(B315,Database!$A:$AV,MATCH($O$1,Database!$A$1:$AV$1,),)=0,"#N/A",((((VLOOKUP(B315,Database!$A:$AS,MATCH($O$1,Database!$A$1:$AS$1,),))))-(((VLOOKUP(EDATE(B315,-12),Database!$A:$AS,MATCH($O$1,Database!$A$1:$AS$1,),)))))/(((VLOOKUP(EDATE(B315,-12),Database!$A:$AS,MATCH($O$1,Database!$A$1:$AS$1,),)))))</f>
        <v/>
      </c>
      <c r="P315" s="13">
        <f>IF(VLOOKUP(B315,Database!$A:$AV,MATCH($P$1,Database!$A$1:$AV$1,),)=0,"#N/A",((((VLOOKUP(B315,Database!$A:$AS,MATCH($P$1,Database!$A$1:$AS$1,),))))-(((VLOOKUP(EDATE(B315,-12),Database!$A:$AS,MATCH($P$1,Database!$A$1:$AS$1,),)))))/(((VLOOKUP(EDATE(B315,-12),Database!$A:$AS,MATCH($P$1,Database!$A$1:$AS$1,),)))))</f>
        <v/>
      </c>
      <c r="Q315" s="13">
        <f>IF(VLOOKUP(B315,Database!$A:$AV,MATCH($Q$1,Database!$A$1:$AV$1,),)=0,"#N/A",((((VLOOKUP(B315,Database!$A:$AS,MATCH($Q$1,Database!$A$1:$AS$1,),))))-(((VLOOKUP(EDATE(B315,-12),Database!$A:$AS,MATCH($Q$1,Database!$A$1:$AS$1,),)))))/(((VLOOKUP(EDATE(B315,-12),Database!$A:$AS,MATCH($Q$1,Database!$A$1:$AS$1,),)))))</f>
        <v/>
      </c>
      <c r="R315" s="13">
        <f>IF(VLOOKUP(B315,Database!$A:$AV,MATCH($R$1,Database!$A$1:$AV$1,),)=0,"#N/A",((((VLOOKUP(B315,Database!$A:$AS,MATCH($R$1,Database!$A$1:$AS$1,),))))-(((VLOOKUP(EDATE(B315,-12),Database!$A:$AS,MATCH($R$1,Database!$A$1:$AS$1,),)))))/(((VLOOKUP(EDATE(B315,-12),Database!$A:$AS,MATCH($R$1,Database!$A$1:$AS$1,),)))))</f>
        <v/>
      </c>
      <c r="S315" s="13">
        <f>IF(VLOOKUP(B315,Database!$A:$AV,MATCH($S$1,Database!$A$1:$AV$1,),)=0,"#N/A",((((VLOOKUP(B315,Database!$A:$AS,MATCH($S$1,Database!$A$1:$AS$1,),))))-(((VLOOKUP(EDATE(B315,-12),Database!$A:$AS,MATCH($S$1,Database!$A$1:$AS$1,),)))))/(((VLOOKUP(EDATE(B315,-12),Database!$A:$AS,MATCH($S$1,Database!$A$1:$AS$1,),)))))</f>
        <v/>
      </c>
      <c r="T315" s="13">
        <f>IF(VLOOKUP(B315,Database!$A:$AV,MATCH($T$1,Database!$A$1:$AV$1,),)=0,"#N/A",((((VLOOKUP(B315,Database!$A:$AS,MATCH($T$1,Database!$A$1:$AS$1,),))))-(((VLOOKUP(EDATE(B315,-12),Database!$A:$AS,MATCH($T$1,Database!$A$1:$AS$1,),)))))/(((VLOOKUP(EDATE(B315,-12),Database!$A:$AS,MATCH($T$1,Database!$A$1:$AS$1,),)))))</f>
        <v/>
      </c>
      <c r="U315" s="13">
        <f>IF(VLOOKUP(B315,Database!$A:$AV,MATCH($U$1,Database!$A$1:$AV$1,),)=0,"#N/A",((((VLOOKUP(B315,Database!$A:$AS,MATCH($U$1,Database!$A$1:$AS$1,),))))-(((VLOOKUP(EDATE(B315,-12),Database!$A:$AS,MATCH($U$1,Database!$A$1:$AS$1,),)))))/(((VLOOKUP(EDATE(B315,-12),Database!$A:$AS,MATCH($U$1,Database!$A$1:$AS$1,),)))))</f>
        <v/>
      </c>
      <c r="V315" s="13">
        <f>IF(VLOOKUP(B315,Database!$A:$AV,MATCH($V$1,Database!$A$1:$AV$1,),)=0,"#N/A",((((VLOOKUP(B315,Database!$A:$AS,MATCH($V$1,Database!$A$1:$AS$1,),))))-(((VLOOKUP(EDATE(B315,-12),Database!$A:$AS,MATCH($V$1,Database!$A$1:$AS$1,),)))))/(((VLOOKUP(EDATE(B315,-12),Database!$A:$AS,MATCH($V$1,Database!$A$1:$AS$1,),)))))</f>
        <v/>
      </c>
    </row>
    <row r="316" customFormat="1" s="86">
      <c r="A316" s="43" t="n"/>
      <c r="B316" s="75" t="n">
        <v>41760</v>
      </c>
      <c r="C316" s="13">
        <f>IF(VLOOKUP(B316,Database!$A:$AU,MATCH($C$1,Database!$A$1:$AU$1,),)=0,"#N/A",((((VLOOKUP(B316,Database!$A:$AU,MATCH($C$1,Database!$A$1:$AU$1,),))))-(((VLOOKUP(EDATE(B316,-12),Database!$A:$AU,MATCH($C$1,Database!$A$1:$AU$1,),)))))/(((VLOOKUP(EDATE(B316,-12),Database!$A:$AU,MATCH($C$1,Database!$A$1:$AU$1,),)))))</f>
        <v/>
      </c>
      <c r="D316" s="13">
        <f>IF(VLOOKUP(B316,Database!$A:$AV,MATCH($D$1,Database!$A$1:$AV$1,),)=0,"#N/A",((((VLOOKUP(B316,Database!$A:$AS,MATCH($D$1,Database!$A$1:$AS$1,),))))-(((VLOOKUP(EDATE(B316,-12),Database!$A:$AS,MATCH($D$1,Database!$A$1:$AS$1,),)))))/(((VLOOKUP(EDATE(B316,-12),Database!$A:$AS,MATCH($D$1,Database!$A$1:$AS$1,),)))))</f>
        <v/>
      </c>
      <c r="E316" s="13">
        <f>IF(VLOOKUP(B316,Database!$A:$AV,MATCH($E$1,Database!$A$1:$AV$1,),)=0,"#N/A",((((VLOOKUP(B316,Database!$A:$AS,MATCH($E$1,Database!$A$1:$AS$1,),))))-(((VLOOKUP(EDATE(B316,-12),Database!$A:$AS,MATCH($E$1,Database!$A$1:$AS$1,),)))))/(((VLOOKUP(EDATE(B316,-12),Database!$A:$AS,MATCH($E$1,Database!$A$1:$AS$1,),)))))</f>
        <v/>
      </c>
      <c r="F316" s="13">
        <f>IF(VLOOKUP(B316,Database!$A:$AV,MATCH($F$1,Database!$A$1:$AV$1,),)=0,"#N/A",((((VLOOKUP(B316,Database!$A:$AS,MATCH($F$1,Database!$A$1:$AS$1,),))))-(((VLOOKUP(EDATE(B316,-12),Database!$A:$AS,MATCH($F$1,Database!$A$1:$AS$1,),)))))/(((VLOOKUP(EDATE(B316,-12),Database!$A:$AS,MATCH($F$1,Database!$A$1:$AS$1,),)))))</f>
        <v/>
      </c>
      <c r="G316" s="13">
        <f>IF(VLOOKUP(B316,Database!$A:$AV,MATCH($G$1,Database!$A$1:$AV$1,),)=0,"#N/A",((((VLOOKUP(B316,Database!$A:$AS,MATCH($G$1,Database!$A$1:$AS$1,),))))-(((VLOOKUP(EDATE(B316,-12),Database!$A:$AS,MATCH($G$1,Database!$A$1:$AS$1,),)))))/(((VLOOKUP(EDATE(B316,-12),Database!$A:$AS,MATCH($G$1,Database!$A$1:$AS$1,),)))))</f>
        <v/>
      </c>
      <c r="H316" s="13">
        <f>IF(VLOOKUP(B316,Database!$A:$AV,MATCH($H$1,Database!$A$1:$AV$1,),)=0,"#N/A",((((VLOOKUP(B316,Database!$A:$AS,MATCH($H$1,Database!$A$1:$AS$1,),))))-(((VLOOKUP(EDATE(B316,-12),Database!$A:$AS,MATCH($H$1,Database!$A$1:$AS$1,),)))))/(((VLOOKUP(EDATE(B316,-12),Database!$A:$AS,MATCH($H$1,Database!$A$1:$AS$1,),)))))</f>
        <v/>
      </c>
      <c r="I316" s="13">
        <f>IF(VLOOKUP(B316,Database!$A:$AV,MATCH($I$1,Database!$A$1:$AV$1,),)=0,"#N/A",((((VLOOKUP(B316,Database!$A:$AS,MATCH($I$1,Database!$A$1:$AS$1,),))))-(((VLOOKUP(EDATE(B316,-12),Database!$A:$AS,MATCH($I$1,Database!$A$1:$AS$1,),)))))/(((VLOOKUP(EDATE(B316,-12),Database!$A:$AS,MATCH($I$1,Database!$A$1:$AS$1,),)))))</f>
        <v/>
      </c>
      <c r="J316" s="13">
        <f>IF(VLOOKUP(B316,Database!$A:$AV,MATCH($J$1,Database!$A$1:$AV$1,),)=0,"#N/A",((((VLOOKUP(B316,Database!$A:$AS,MATCH($J$1,Database!$A$1:$AS$1,),))))-(((VLOOKUP(EDATE(B316,-12),Database!$A:$AS,MATCH($J$1,Database!$A$1:$AS$1,),)))))/(((VLOOKUP(EDATE(B316,-12),Database!$A:$AS,MATCH($J$1,Database!$A$1:$AS$1,),)))))</f>
        <v/>
      </c>
      <c r="K316" s="13">
        <f>IF(VLOOKUP(B316,Database!$A:$AV,MATCH($K$1,Database!$A$1:$AV$1,),)=0,"#N/A",((((VLOOKUP(B316,Database!$A:$AS,MATCH($K$1,Database!$A$1:$AS$1,),))))-(((VLOOKUP(EDATE(B316,-12),Database!$A:$AS,MATCH($K$1,Database!$A$1:$AS$1,),)))))/(((VLOOKUP(EDATE(B316,-12),Database!$A:$AS,MATCH($K$1,Database!$A$1:$AS$1,),)))))</f>
        <v/>
      </c>
      <c r="L316" s="13">
        <f>((((VLOOKUP(B316,Database!$A:$AS,MATCH($L$1,Database!$A$1:$AS$1,),))))-(((VLOOKUP(EDATE(B316,-12),Database!$A:$AS,MATCH($L$1,Database!$A$1:$AS$1,),)))))/(((VLOOKUP(EDATE(B316,-12),Database!$A:$AS,MATCH($L$1,Database!$A$1:$AS$1,),))))</f>
        <v/>
      </c>
      <c r="M316" s="13">
        <f>((((VLOOKUP(B316,Database!$A:$AS,MATCH($M$1,Database!$A$1:$AS$1,),))))-(((VLOOKUP(EDATE(B316,-12),Database!$A:$AS,MATCH($M$1,Database!$A$1:$AS$1,),)))))/(((VLOOKUP(EDATE(B316,-12),Database!$A:$AS,MATCH($M$1,Database!$A$1:$AS$1,),))))</f>
        <v/>
      </c>
      <c r="N316" s="13">
        <f>((((VLOOKUP(B316,Database!$A:$AS,MATCH($N$1,Database!$A$1:$AS$1,),))))-(((VLOOKUP(EDATE(B316,-12),Database!$A:$AS,MATCH($N$1,Database!$A$1:$AS$1,),)))))/(((VLOOKUP(EDATE(B316,-12),Database!$A:$AS,MATCH($N$1,Database!$A$1:$AS$1,),))))</f>
        <v/>
      </c>
      <c r="O316" s="13">
        <f>IF(VLOOKUP(B316,Database!$A:$AV,MATCH($O$1,Database!$A$1:$AV$1,),)=0,"#N/A",((((VLOOKUP(B316,Database!$A:$AS,MATCH($O$1,Database!$A$1:$AS$1,),))))-(((VLOOKUP(EDATE(B316,-12),Database!$A:$AS,MATCH($O$1,Database!$A$1:$AS$1,),)))))/(((VLOOKUP(EDATE(B316,-12),Database!$A:$AS,MATCH($O$1,Database!$A$1:$AS$1,),)))))</f>
        <v/>
      </c>
      <c r="P316" s="13">
        <f>IF(VLOOKUP(B316,Database!$A:$AV,MATCH($P$1,Database!$A$1:$AV$1,),)=0,"#N/A",((((VLOOKUP(B316,Database!$A:$AS,MATCH($P$1,Database!$A$1:$AS$1,),))))-(((VLOOKUP(EDATE(B316,-12),Database!$A:$AS,MATCH($P$1,Database!$A$1:$AS$1,),)))))/(((VLOOKUP(EDATE(B316,-12),Database!$A:$AS,MATCH($P$1,Database!$A$1:$AS$1,),)))))</f>
        <v/>
      </c>
      <c r="Q316" s="13">
        <f>IF(VLOOKUP(B316,Database!$A:$AV,MATCH($Q$1,Database!$A$1:$AV$1,),)=0,"#N/A",((((VLOOKUP(B316,Database!$A:$AS,MATCH($Q$1,Database!$A$1:$AS$1,),))))-(((VLOOKUP(EDATE(B316,-12),Database!$A:$AS,MATCH($Q$1,Database!$A$1:$AS$1,),)))))/(((VLOOKUP(EDATE(B316,-12),Database!$A:$AS,MATCH($Q$1,Database!$A$1:$AS$1,),)))))</f>
        <v/>
      </c>
      <c r="R316" s="13">
        <f>IF(VLOOKUP(B316,Database!$A:$AV,MATCH($R$1,Database!$A$1:$AV$1,),)=0,"#N/A",((((VLOOKUP(B316,Database!$A:$AS,MATCH($R$1,Database!$A$1:$AS$1,),))))-(((VLOOKUP(EDATE(B316,-12),Database!$A:$AS,MATCH($R$1,Database!$A$1:$AS$1,),)))))/(((VLOOKUP(EDATE(B316,-12),Database!$A:$AS,MATCH($R$1,Database!$A$1:$AS$1,),)))))</f>
        <v/>
      </c>
      <c r="S316" s="13">
        <f>IF(VLOOKUP(B316,Database!$A:$AV,MATCH($S$1,Database!$A$1:$AV$1,),)=0,"#N/A",((((VLOOKUP(B316,Database!$A:$AS,MATCH($S$1,Database!$A$1:$AS$1,),))))-(((VLOOKUP(EDATE(B316,-12),Database!$A:$AS,MATCH($S$1,Database!$A$1:$AS$1,),)))))/(((VLOOKUP(EDATE(B316,-12),Database!$A:$AS,MATCH($S$1,Database!$A$1:$AS$1,),)))))</f>
        <v/>
      </c>
      <c r="T316" s="13">
        <f>IF(VLOOKUP(B316,Database!$A:$AV,MATCH($T$1,Database!$A$1:$AV$1,),)=0,"#N/A",((((VLOOKUP(B316,Database!$A:$AS,MATCH($T$1,Database!$A$1:$AS$1,),))))-(((VLOOKUP(EDATE(B316,-12),Database!$A:$AS,MATCH($T$1,Database!$A$1:$AS$1,),)))))/(((VLOOKUP(EDATE(B316,-12),Database!$A:$AS,MATCH($T$1,Database!$A$1:$AS$1,),)))))</f>
        <v/>
      </c>
      <c r="U316" s="13">
        <f>IF(VLOOKUP(B316,Database!$A:$AV,MATCH($U$1,Database!$A$1:$AV$1,),)=0,"#N/A",((((VLOOKUP(B316,Database!$A:$AS,MATCH($U$1,Database!$A$1:$AS$1,),))))-(((VLOOKUP(EDATE(B316,-12),Database!$A:$AS,MATCH($U$1,Database!$A$1:$AS$1,),)))))/(((VLOOKUP(EDATE(B316,-12),Database!$A:$AS,MATCH($U$1,Database!$A$1:$AS$1,),)))))</f>
        <v/>
      </c>
      <c r="V316" s="13">
        <f>IF(VLOOKUP(B316,Database!$A:$AV,MATCH($V$1,Database!$A$1:$AV$1,),)=0,"#N/A",((((VLOOKUP(B316,Database!$A:$AS,MATCH($V$1,Database!$A$1:$AS$1,),))))-(((VLOOKUP(EDATE(B316,-12),Database!$A:$AS,MATCH($V$1,Database!$A$1:$AS$1,),)))))/(((VLOOKUP(EDATE(B316,-12),Database!$A:$AS,MATCH($V$1,Database!$A$1:$AS$1,),)))))</f>
        <v/>
      </c>
    </row>
    <row r="317" customFormat="1" s="86">
      <c r="A317" s="43" t="n"/>
      <c r="B317" s="75" t="n">
        <v>41791</v>
      </c>
      <c r="C317" s="13">
        <f>IF(VLOOKUP(B317,Database!$A:$AU,MATCH($C$1,Database!$A$1:$AU$1,),)=0,"#N/A",((((VLOOKUP(B317,Database!$A:$AU,MATCH($C$1,Database!$A$1:$AU$1,),))))-(((VLOOKUP(EDATE(B317,-12),Database!$A:$AU,MATCH($C$1,Database!$A$1:$AU$1,),)))))/(((VLOOKUP(EDATE(B317,-12),Database!$A:$AU,MATCH($C$1,Database!$A$1:$AU$1,),)))))</f>
        <v/>
      </c>
      <c r="D317" s="13">
        <f>IF(VLOOKUP(B317,Database!$A:$AV,MATCH($D$1,Database!$A$1:$AV$1,),)=0,"#N/A",((((VLOOKUP(B317,Database!$A:$AS,MATCH($D$1,Database!$A$1:$AS$1,),))))-(((VLOOKUP(EDATE(B317,-12),Database!$A:$AS,MATCH($D$1,Database!$A$1:$AS$1,),)))))/(((VLOOKUP(EDATE(B317,-12),Database!$A:$AS,MATCH($D$1,Database!$A$1:$AS$1,),)))))</f>
        <v/>
      </c>
      <c r="E317" s="13">
        <f>IF(VLOOKUP(B317,Database!$A:$AV,MATCH($E$1,Database!$A$1:$AV$1,),)=0,"#N/A",((((VLOOKUP(B317,Database!$A:$AS,MATCH($E$1,Database!$A$1:$AS$1,),))))-(((VLOOKUP(EDATE(B317,-12),Database!$A:$AS,MATCH($E$1,Database!$A$1:$AS$1,),)))))/(((VLOOKUP(EDATE(B317,-12),Database!$A:$AS,MATCH($E$1,Database!$A$1:$AS$1,),)))))</f>
        <v/>
      </c>
      <c r="F317" s="13">
        <f>IF(VLOOKUP(B317,Database!$A:$AV,MATCH($F$1,Database!$A$1:$AV$1,),)=0,"#N/A",((((VLOOKUP(B317,Database!$A:$AS,MATCH($F$1,Database!$A$1:$AS$1,),))))-(((VLOOKUP(EDATE(B317,-12),Database!$A:$AS,MATCH($F$1,Database!$A$1:$AS$1,),)))))/(((VLOOKUP(EDATE(B317,-12),Database!$A:$AS,MATCH($F$1,Database!$A$1:$AS$1,),)))))</f>
        <v/>
      </c>
      <c r="G317" s="13">
        <f>IF(VLOOKUP(B317,Database!$A:$AV,MATCH($G$1,Database!$A$1:$AV$1,),)=0,"#N/A",((((VLOOKUP(B317,Database!$A:$AS,MATCH($G$1,Database!$A$1:$AS$1,),))))-(((VLOOKUP(EDATE(B317,-12),Database!$A:$AS,MATCH($G$1,Database!$A$1:$AS$1,),)))))/(((VLOOKUP(EDATE(B317,-12),Database!$A:$AS,MATCH($G$1,Database!$A$1:$AS$1,),)))))</f>
        <v/>
      </c>
      <c r="H317" s="13">
        <f>IF(VLOOKUP(B317,Database!$A:$AV,MATCH($H$1,Database!$A$1:$AV$1,),)=0,"#N/A",((((VLOOKUP(B317,Database!$A:$AS,MATCH($H$1,Database!$A$1:$AS$1,),))))-(((VLOOKUP(EDATE(B317,-12),Database!$A:$AS,MATCH($H$1,Database!$A$1:$AS$1,),)))))/(((VLOOKUP(EDATE(B317,-12),Database!$A:$AS,MATCH($H$1,Database!$A$1:$AS$1,),)))))</f>
        <v/>
      </c>
      <c r="I317" s="13">
        <f>IF(VLOOKUP(B317,Database!$A:$AV,MATCH($I$1,Database!$A$1:$AV$1,),)=0,"#N/A",((((VLOOKUP(B317,Database!$A:$AS,MATCH($I$1,Database!$A$1:$AS$1,),))))-(((VLOOKUP(EDATE(B317,-12),Database!$A:$AS,MATCH($I$1,Database!$A$1:$AS$1,),)))))/(((VLOOKUP(EDATE(B317,-12),Database!$A:$AS,MATCH($I$1,Database!$A$1:$AS$1,),)))))</f>
        <v/>
      </c>
      <c r="J317" s="13">
        <f>IF(VLOOKUP(B317,Database!$A:$AV,MATCH($J$1,Database!$A$1:$AV$1,),)=0,"#N/A",((((VLOOKUP(B317,Database!$A:$AS,MATCH($J$1,Database!$A$1:$AS$1,),))))-(((VLOOKUP(EDATE(B317,-12),Database!$A:$AS,MATCH($J$1,Database!$A$1:$AS$1,),)))))/(((VLOOKUP(EDATE(B317,-12),Database!$A:$AS,MATCH($J$1,Database!$A$1:$AS$1,),)))))</f>
        <v/>
      </c>
      <c r="K317" s="13">
        <f>IF(VLOOKUP(B317,Database!$A:$AV,MATCH($K$1,Database!$A$1:$AV$1,),)=0,"#N/A",((((VLOOKUP(B317,Database!$A:$AS,MATCH($K$1,Database!$A$1:$AS$1,),))))-(((VLOOKUP(EDATE(B317,-12),Database!$A:$AS,MATCH($K$1,Database!$A$1:$AS$1,),)))))/(((VLOOKUP(EDATE(B317,-12),Database!$A:$AS,MATCH($K$1,Database!$A$1:$AS$1,),)))))</f>
        <v/>
      </c>
      <c r="L317" s="13">
        <f>((((VLOOKUP(B317,Database!$A:$AS,MATCH($L$1,Database!$A$1:$AS$1,),))))-(((VLOOKUP(EDATE(B317,-12),Database!$A:$AS,MATCH($L$1,Database!$A$1:$AS$1,),)))))/(((VLOOKUP(EDATE(B317,-12),Database!$A:$AS,MATCH($L$1,Database!$A$1:$AS$1,),))))</f>
        <v/>
      </c>
      <c r="M317" s="13">
        <f>((((VLOOKUP(B317,Database!$A:$AS,MATCH($M$1,Database!$A$1:$AS$1,),))))-(((VLOOKUP(EDATE(B317,-12),Database!$A:$AS,MATCH($M$1,Database!$A$1:$AS$1,),)))))/(((VLOOKUP(EDATE(B317,-12),Database!$A:$AS,MATCH($M$1,Database!$A$1:$AS$1,),))))</f>
        <v/>
      </c>
      <c r="N317" s="13">
        <f>((((VLOOKUP(B317,Database!$A:$AS,MATCH($N$1,Database!$A$1:$AS$1,),))))-(((VLOOKUP(EDATE(B317,-12),Database!$A:$AS,MATCH($N$1,Database!$A$1:$AS$1,),)))))/(((VLOOKUP(EDATE(B317,-12),Database!$A:$AS,MATCH($N$1,Database!$A$1:$AS$1,),))))</f>
        <v/>
      </c>
      <c r="O317" s="13">
        <f>IF(VLOOKUP(B317,Database!$A:$AV,MATCH($O$1,Database!$A$1:$AV$1,),)=0,"#N/A",((((VLOOKUP(B317,Database!$A:$AS,MATCH($O$1,Database!$A$1:$AS$1,),))))-(((VLOOKUP(EDATE(B317,-12),Database!$A:$AS,MATCH($O$1,Database!$A$1:$AS$1,),)))))/(((VLOOKUP(EDATE(B317,-12),Database!$A:$AS,MATCH($O$1,Database!$A$1:$AS$1,),)))))</f>
        <v/>
      </c>
      <c r="P317" s="13">
        <f>IF(VLOOKUP(B317,Database!$A:$AV,MATCH($P$1,Database!$A$1:$AV$1,),)=0,"#N/A",((((VLOOKUP(B317,Database!$A:$AS,MATCH($P$1,Database!$A$1:$AS$1,),))))-(((VLOOKUP(EDATE(B317,-12),Database!$A:$AS,MATCH($P$1,Database!$A$1:$AS$1,),)))))/(((VLOOKUP(EDATE(B317,-12),Database!$A:$AS,MATCH($P$1,Database!$A$1:$AS$1,),)))))</f>
        <v/>
      </c>
      <c r="Q317" s="13">
        <f>IF(VLOOKUP(B317,Database!$A:$AV,MATCH($Q$1,Database!$A$1:$AV$1,),)=0,"#N/A",((((VLOOKUP(B317,Database!$A:$AS,MATCH($Q$1,Database!$A$1:$AS$1,),))))-(((VLOOKUP(EDATE(B317,-12),Database!$A:$AS,MATCH($Q$1,Database!$A$1:$AS$1,),)))))/(((VLOOKUP(EDATE(B317,-12),Database!$A:$AS,MATCH($Q$1,Database!$A$1:$AS$1,),)))))</f>
        <v/>
      </c>
      <c r="R317" s="13">
        <f>IF(VLOOKUP(B317,Database!$A:$AV,MATCH($R$1,Database!$A$1:$AV$1,),)=0,"#N/A",((((VLOOKUP(B317,Database!$A:$AS,MATCH($R$1,Database!$A$1:$AS$1,),))))-(((VLOOKUP(EDATE(B317,-12),Database!$A:$AS,MATCH($R$1,Database!$A$1:$AS$1,),)))))/(((VLOOKUP(EDATE(B317,-12),Database!$A:$AS,MATCH($R$1,Database!$A$1:$AS$1,),)))))</f>
        <v/>
      </c>
      <c r="S317" s="13">
        <f>IF(VLOOKUP(B317,Database!$A:$AV,MATCH($S$1,Database!$A$1:$AV$1,),)=0,"#N/A",((((VLOOKUP(B317,Database!$A:$AS,MATCH($S$1,Database!$A$1:$AS$1,),))))-(((VLOOKUP(EDATE(B317,-12),Database!$A:$AS,MATCH($S$1,Database!$A$1:$AS$1,),)))))/(((VLOOKUP(EDATE(B317,-12),Database!$A:$AS,MATCH($S$1,Database!$A$1:$AS$1,),)))))</f>
        <v/>
      </c>
      <c r="T317" s="13">
        <f>IF(VLOOKUP(B317,Database!$A:$AV,MATCH($T$1,Database!$A$1:$AV$1,),)=0,"#N/A",((((VLOOKUP(B317,Database!$A:$AS,MATCH($T$1,Database!$A$1:$AS$1,),))))-(((VLOOKUP(EDATE(B317,-12),Database!$A:$AS,MATCH($T$1,Database!$A$1:$AS$1,),)))))/(((VLOOKUP(EDATE(B317,-12),Database!$A:$AS,MATCH($T$1,Database!$A$1:$AS$1,),)))))</f>
        <v/>
      </c>
      <c r="U317" s="13">
        <f>IF(VLOOKUP(B317,Database!$A:$AV,MATCH($U$1,Database!$A$1:$AV$1,),)=0,"#N/A",((((VLOOKUP(B317,Database!$A:$AS,MATCH($U$1,Database!$A$1:$AS$1,),))))-(((VLOOKUP(EDATE(B317,-12),Database!$A:$AS,MATCH($U$1,Database!$A$1:$AS$1,),)))))/(((VLOOKUP(EDATE(B317,-12),Database!$A:$AS,MATCH($U$1,Database!$A$1:$AS$1,),)))))</f>
        <v/>
      </c>
      <c r="V317" s="13">
        <f>IF(VLOOKUP(B317,Database!$A:$AV,MATCH($V$1,Database!$A$1:$AV$1,),)=0,"#N/A",((((VLOOKUP(B317,Database!$A:$AS,MATCH($V$1,Database!$A$1:$AS$1,),))))-(((VLOOKUP(EDATE(B317,-12),Database!$A:$AS,MATCH($V$1,Database!$A$1:$AS$1,),)))))/(((VLOOKUP(EDATE(B317,-12),Database!$A:$AS,MATCH($V$1,Database!$A$1:$AS$1,),)))))</f>
        <v/>
      </c>
    </row>
    <row r="318" customFormat="1" s="86">
      <c r="A318" s="43" t="n"/>
      <c r="B318" s="75" t="n">
        <v>41821</v>
      </c>
      <c r="C318" s="13">
        <f>IF(VLOOKUP(B318,Database!$A:$AU,MATCH($C$1,Database!$A$1:$AU$1,),)=0,"#N/A",((((VLOOKUP(B318,Database!$A:$AU,MATCH($C$1,Database!$A$1:$AU$1,),))))-(((VLOOKUP(EDATE(B318,-12),Database!$A:$AU,MATCH($C$1,Database!$A$1:$AU$1,),)))))/(((VLOOKUP(EDATE(B318,-12),Database!$A:$AU,MATCH($C$1,Database!$A$1:$AU$1,),)))))</f>
        <v/>
      </c>
      <c r="D318" s="13">
        <f>IF(VLOOKUP(B318,Database!$A:$AV,MATCH($D$1,Database!$A$1:$AV$1,),)=0,"#N/A",((((VLOOKUP(B318,Database!$A:$AS,MATCH($D$1,Database!$A$1:$AS$1,),))))-(((VLOOKUP(EDATE(B318,-12),Database!$A:$AS,MATCH($D$1,Database!$A$1:$AS$1,),)))))/(((VLOOKUP(EDATE(B318,-12),Database!$A:$AS,MATCH($D$1,Database!$A$1:$AS$1,),)))))</f>
        <v/>
      </c>
      <c r="E318" s="13">
        <f>IF(VLOOKUP(B318,Database!$A:$AV,MATCH($E$1,Database!$A$1:$AV$1,),)=0,"#N/A",((((VLOOKUP(B318,Database!$A:$AS,MATCH($E$1,Database!$A$1:$AS$1,),))))-(((VLOOKUP(EDATE(B318,-12),Database!$A:$AS,MATCH($E$1,Database!$A$1:$AS$1,),)))))/(((VLOOKUP(EDATE(B318,-12),Database!$A:$AS,MATCH($E$1,Database!$A$1:$AS$1,),)))))</f>
        <v/>
      </c>
      <c r="F318" s="13">
        <f>IF(VLOOKUP(B318,Database!$A:$AV,MATCH($F$1,Database!$A$1:$AV$1,),)=0,"#N/A",((((VLOOKUP(B318,Database!$A:$AS,MATCH($F$1,Database!$A$1:$AS$1,),))))-(((VLOOKUP(EDATE(B318,-12),Database!$A:$AS,MATCH($F$1,Database!$A$1:$AS$1,),)))))/(((VLOOKUP(EDATE(B318,-12),Database!$A:$AS,MATCH($F$1,Database!$A$1:$AS$1,),)))))</f>
        <v/>
      </c>
      <c r="G318" s="13">
        <f>IF(VLOOKUP(B318,Database!$A:$AV,MATCH($G$1,Database!$A$1:$AV$1,),)=0,"#N/A",((((VLOOKUP(B318,Database!$A:$AS,MATCH($G$1,Database!$A$1:$AS$1,),))))-(((VLOOKUP(EDATE(B318,-12),Database!$A:$AS,MATCH($G$1,Database!$A$1:$AS$1,),)))))/(((VLOOKUP(EDATE(B318,-12),Database!$A:$AS,MATCH($G$1,Database!$A$1:$AS$1,),)))))</f>
        <v/>
      </c>
      <c r="H318" s="13">
        <f>IF(VLOOKUP(B318,Database!$A:$AV,MATCH($H$1,Database!$A$1:$AV$1,),)=0,"#N/A",((((VLOOKUP(B318,Database!$A:$AS,MATCH($H$1,Database!$A$1:$AS$1,),))))-(((VLOOKUP(EDATE(B318,-12),Database!$A:$AS,MATCH($H$1,Database!$A$1:$AS$1,),)))))/(((VLOOKUP(EDATE(B318,-12),Database!$A:$AS,MATCH($H$1,Database!$A$1:$AS$1,),)))))</f>
        <v/>
      </c>
      <c r="I318" s="13">
        <f>IF(VLOOKUP(B318,Database!$A:$AV,MATCH($I$1,Database!$A$1:$AV$1,),)=0,"#N/A",((((VLOOKUP(B318,Database!$A:$AS,MATCH($I$1,Database!$A$1:$AS$1,),))))-(((VLOOKUP(EDATE(B318,-12),Database!$A:$AS,MATCH($I$1,Database!$A$1:$AS$1,),)))))/(((VLOOKUP(EDATE(B318,-12),Database!$A:$AS,MATCH($I$1,Database!$A$1:$AS$1,),)))))</f>
        <v/>
      </c>
      <c r="J318" s="13">
        <f>IF(VLOOKUP(B318,Database!$A:$AV,MATCH($J$1,Database!$A$1:$AV$1,),)=0,"#N/A",((((VLOOKUP(B318,Database!$A:$AS,MATCH($J$1,Database!$A$1:$AS$1,),))))-(((VLOOKUP(EDATE(B318,-12),Database!$A:$AS,MATCH($J$1,Database!$A$1:$AS$1,),)))))/(((VLOOKUP(EDATE(B318,-12),Database!$A:$AS,MATCH($J$1,Database!$A$1:$AS$1,),)))))</f>
        <v/>
      </c>
      <c r="K318" s="13">
        <f>IF(VLOOKUP(B318,Database!$A:$AV,MATCH($K$1,Database!$A$1:$AV$1,),)=0,"#N/A",((((VLOOKUP(B318,Database!$A:$AS,MATCH($K$1,Database!$A$1:$AS$1,),))))-(((VLOOKUP(EDATE(B318,-12),Database!$A:$AS,MATCH($K$1,Database!$A$1:$AS$1,),)))))/(((VLOOKUP(EDATE(B318,-12),Database!$A:$AS,MATCH($K$1,Database!$A$1:$AS$1,),)))))</f>
        <v/>
      </c>
      <c r="L318" s="13">
        <f>((((VLOOKUP(B318,Database!$A:$AS,MATCH($L$1,Database!$A$1:$AS$1,),))))-(((VLOOKUP(EDATE(B318,-12),Database!$A:$AS,MATCH($L$1,Database!$A$1:$AS$1,),)))))/(((VLOOKUP(EDATE(B318,-12),Database!$A:$AS,MATCH($L$1,Database!$A$1:$AS$1,),))))</f>
        <v/>
      </c>
      <c r="M318" s="13">
        <f>((((VLOOKUP(B318,Database!$A:$AS,MATCH($M$1,Database!$A$1:$AS$1,),))))-(((VLOOKUP(EDATE(B318,-12),Database!$A:$AS,MATCH($M$1,Database!$A$1:$AS$1,),)))))/(((VLOOKUP(EDATE(B318,-12),Database!$A:$AS,MATCH($M$1,Database!$A$1:$AS$1,),))))</f>
        <v/>
      </c>
      <c r="N318" s="13">
        <f>((((VLOOKUP(B318,Database!$A:$AS,MATCH($N$1,Database!$A$1:$AS$1,),))))-(((VLOOKUP(EDATE(B318,-12),Database!$A:$AS,MATCH($N$1,Database!$A$1:$AS$1,),)))))/(((VLOOKUP(EDATE(B318,-12),Database!$A:$AS,MATCH($N$1,Database!$A$1:$AS$1,),))))</f>
        <v/>
      </c>
      <c r="O318" s="13">
        <f>IF(VLOOKUP(B318,Database!$A:$AV,MATCH($O$1,Database!$A$1:$AV$1,),)=0,"#N/A",((((VLOOKUP(B318,Database!$A:$AS,MATCH($O$1,Database!$A$1:$AS$1,),))))-(((VLOOKUP(EDATE(B318,-12),Database!$A:$AS,MATCH($O$1,Database!$A$1:$AS$1,),)))))/(((VLOOKUP(EDATE(B318,-12),Database!$A:$AS,MATCH($O$1,Database!$A$1:$AS$1,),)))))</f>
        <v/>
      </c>
      <c r="P318" s="13">
        <f>IF(VLOOKUP(B318,Database!$A:$AV,MATCH($P$1,Database!$A$1:$AV$1,),)=0,"#N/A",((((VLOOKUP(B318,Database!$A:$AS,MATCH($P$1,Database!$A$1:$AS$1,),))))-(((VLOOKUP(EDATE(B318,-12),Database!$A:$AS,MATCH($P$1,Database!$A$1:$AS$1,),)))))/(((VLOOKUP(EDATE(B318,-12),Database!$A:$AS,MATCH($P$1,Database!$A$1:$AS$1,),)))))</f>
        <v/>
      </c>
      <c r="Q318" s="13">
        <f>IF(VLOOKUP(B318,Database!$A:$AV,MATCH($Q$1,Database!$A$1:$AV$1,),)=0,"#N/A",((((VLOOKUP(B318,Database!$A:$AS,MATCH($Q$1,Database!$A$1:$AS$1,),))))-(((VLOOKUP(EDATE(B318,-12),Database!$A:$AS,MATCH($Q$1,Database!$A$1:$AS$1,),)))))/(((VLOOKUP(EDATE(B318,-12),Database!$A:$AS,MATCH($Q$1,Database!$A$1:$AS$1,),)))))</f>
        <v/>
      </c>
      <c r="R318" s="13">
        <f>IF(VLOOKUP(B318,Database!$A:$AV,MATCH($R$1,Database!$A$1:$AV$1,),)=0,"#N/A",((((VLOOKUP(B318,Database!$A:$AS,MATCH($R$1,Database!$A$1:$AS$1,),))))-(((VLOOKUP(EDATE(B318,-12),Database!$A:$AS,MATCH($R$1,Database!$A$1:$AS$1,),)))))/(((VLOOKUP(EDATE(B318,-12),Database!$A:$AS,MATCH($R$1,Database!$A$1:$AS$1,),)))))</f>
        <v/>
      </c>
      <c r="S318" s="13">
        <f>IF(VLOOKUP(B318,Database!$A:$AV,MATCH($S$1,Database!$A$1:$AV$1,),)=0,"#N/A",((((VLOOKUP(B318,Database!$A:$AS,MATCH($S$1,Database!$A$1:$AS$1,),))))-(((VLOOKUP(EDATE(B318,-12),Database!$A:$AS,MATCH($S$1,Database!$A$1:$AS$1,),)))))/(((VLOOKUP(EDATE(B318,-12),Database!$A:$AS,MATCH($S$1,Database!$A$1:$AS$1,),)))))</f>
        <v/>
      </c>
      <c r="T318" s="13">
        <f>IF(VLOOKUP(B318,Database!$A:$AV,MATCH($T$1,Database!$A$1:$AV$1,),)=0,"#N/A",((((VLOOKUP(B318,Database!$A:$AS,MATCH($T$1,Database!$A$1:$AS$1,),))))-(((VLOOKUP(EDATE(B318,-12),Database!$A:$AS,MATCH($T$1,Database!$A$1:$AS$1,),)))))/(((VLOOKUP(EDATE(B318,-12),Database!$A:$AS,MATCH($T$1,Database!$A$1:$AS$1,),)))))</f>
        <v/>
      </c>
      <c r="U318" s="13">
        <f>IF(VLOOKUP(B318,Database!$A:$AV,MATCH($U$1,Database!$A$1:$AV$1,),)=0,"#N/A",((((VLOOKUP(B318,Database!$A:$AS,MATCH($U$1,Database!$A$1:$AS$1,),))))-(((VLOOKUP(EDATE(B318,-12),Database!$A:$AS,MATCH($U$1,Database!$A$1:$AS$1,),)))))/(((VLOOKUP(EDATE(B318,-12),Database!$A:$AS,MATCH($U$1,Database!$A$1:$AS$1,),)))))</f>
        <v/>
      </c>
      <c r="V318" s="13">
        <f>IF(VLOOKUP(B318,Database!$A:$AV,MATCH($V$1,Database!$A$1:$AV$1,),)=0,"#N/A",((((VLOOKUP(B318,Database!$A:$AS,MATCH($V$1,Database!$A$1:$AS$1,),))))-(((VLOOKUP(EDATE(B318,-12),Database!$A:$AS,MATCH($V$1,Database!$A$1:$AS$1,),)))))/(((VLOOKUP(EDATE(B318,-12),Database!$A:$AS,MATCH($V$1,Database!$A$1:$AS$1,),)))))</f>
        <v/>
      </c>
    </row>
    <row r="319" customFormat="1" s="86">
      <c r="A319" s="43" t="n"/>
      <c r="B319" s="75" t="n">
        <v>41852</v>
      </c>
      <c r="C319" s="13">
        <f>IF(VLOOKUP(B319,Database!$A:$AU,MATCH($C$1,Database!$A$1:$AU$1,),)=0,"#N/A",((((VLOOKUP(B319,Database!$A:$AU,MATCH($C$1,Database!$A$1:$AU$1,),))))-(((VLOOKUP(EDATE(B319,-12),Database!$A:$AU,MATCH($C$1,Database!$A$1:$AU$1,),)))))/(((VLOOKUP(EDATE(B319,-12),Database!$A:$AU,MATCH($C$1,Database!$A$1:$AU$1,),)))))</f>
        <v/>
      </c>
      <c r="D319" s="13">
        <f>IF(VLOOKUP(B319,Database!$A:$AV,MATCH($D$1,Database!$A$1:$AV$1,),)=0,"#N/A",((((VLOOKUP(B319,Database!$A:$AS,MATCH($D$1,Database!$A$1:$AS$1,),))))-(((VLOOKUP(EDATE(B319,-12),Database!$A:$AS,MATCH($D$1,Database!$A$1:$AS$1,),)))))/(((VLOOKUP(EDATE(B319,-12),Database!$A:$AS,MATCH($D$1,Database!$A$1:$AS$1,),)))))</f>
        <v/>
      </c>
      <c r="E319" s="13">
        <f>IF(VLOOKUP(B319,Database!$A:$AV,MATCH($E$1,Database!$A$1:$AV$1,),)=0,"#N/A",((((VLOOKUP(B319,Database!$A:$AS,MATCH($E$1,Database!$A$1:$AS$1,),))))-(((VLOOKUP(EDATE(B319,-12),Database!$A:$AS,MATCH($E$1,Database!$A$1:$AS$1,),)))))/(((VLOOKUP(EDATE(B319,-12),Database!$A:$AS,MATCH($E$1,Database!$A$1:$AS$1,),)))))</f>
        <v/>
      </c>
      <c r="F319" s="13">
        <f>IF(VLOOKUP(B319,Database!$A:$AV,MATCH($F$1,Database!$A$1:$AV$1,),)=0,"#N/A",((((VLOOKUP(B319,Database!$A:$AS,MATCH($F$1,Database!$A$1:$AS$1,),))))-(((VLOOKUP(EDATE(B319,-12),Database!$A:$AS,MATCH($F$1,Database!$A$1:$AS$1,),)))))/(((VLOOKUP(EDATE(B319,-12),Database!$A:$AS,MATCH($F$1,Database!$A$1:$AS$1,),)))))</f>
        <v/>
      </c>
      <c r="G319" s="13">
        <f>IF(VLOOKUP(B319,Database!$A:$AV,MATCH($G$1,Database!$A$1:$AV$1,),)=0,"#N/A",((((VLOOKUP(B319,Database!$A:$AS,MATCH($G$1,Database!$A$1:$AS$1,),))))-(((VLOOKUP(EDATE(B319,-12),Database!$A:$AS,MATCH($G$1,Database!$A$1:$AS$1,),)))))/(((VLOOKUP(EDATE(B319,-12),Database!$A:$AS,MATCH($G$1,Database!$A$1:$AS$1,),)))))</f>
        <v/>
      </c>
      <c r="H319" s="13">
        <f>IF(VLOOKUP(B319,Database!$A:$AV,MATCH($H$1,Database!$A$1:$AV$1,),)=0,"#N/A",((((VLOOKUP(B319,Database!$A:$AS,MATCH($H$1,Database!$A$1:$AS$1,),))))-(((VLOOKUP(EDATE(B319,-12),Database!$A:$AS,MATCH($H$1,Database!$A$1:$AS$1,),)))))/(((VLOOKUP(EDATE(B319,-12),Database!$A:$AS,MATCH($H$1,Database!$A$1:$AS$1,),)))))</f>
        <v/>
      </c>
      <c r="I319" s="13">
        <f>IF(VLOOKUP(B319,Database!$A:$AV,MATCH($I$1,Database!$A$1:$AV$1,),)=0,"#N/A",((((VLOOKUP(B319,Database!$A:$AS,MATCH($I$1,Database!$A$1:$AS$1,),))))-(((VLOOKUP(EDATE(B319,-12),Database!$A:$AS,MATCH($I$1,Database!$A$1:$AS$1,),)))))/(((VLOOKUP(EDATE(B319,-12),Database!$A:$AS,MATCH($I$1,Database!$A$1:$AS$1,),)))))</f>
        <v/>
      </c>
      <c r="J319" s="13">
        <f>IF(VLOOKUP(B319,Database!$A:$AV,MATCH($J$1,Database!$A$1:$AV$1,),)=0,"#N/A",((((VLOOKUP(B319,Database!$A:$AS,MATCH($J$1,Database!$A$1:$AS$1,),))))-(((VLOOKUP(EDATE(B319,-12),Database!$A:$AS,MATCH($J$1,Database!$A$1:$AS$1,),)))))/(((VLOOKUP(EDATE(B319,-12),Database!$A:$AS,MATCH($J$1,Database!$A$1:$AS$1,),)))))</f>
        <v/>
      </c>
      <c r="K319" s="13">
        <f>IF(VLOOKUP(B319,Database!$A:$AV,MATCH($K$1,Database!$A$1:$AV$1,),)=0,"#N/A",((((VLOOKUP(B319,Database!$A:$AS,MATCH($K$1,Database!$A$1:$AS$1,),))))-(((VLOOKUP(EDATE(B319,-12),Database!$A:$AS,MATCH($K$1,Database!$A$1:$AS$1,),)))))/(((VLOOKUP(EDATE(B319,-12),Database!$A:$AS,MATCH($K$1,Database!$A$1:$AS$1,),)))))</f>
        <v/>
      </c>
      <c r="L319" s="13">
        <f>((((VLOOKUP(B319,Database!$A:$AS,MATCH($L$1,Database!$A$1:$AS$1,),))))-(((VLOOKUP(EDATE(B319,-12),Database!$A:$AS,MATCH($L$1,Database!$A$1:$AS$1,),)))))/(((VLOOKUP(EDATE(B319,-12),Database!$A:$AS,MATCH($L$1,Database!$A$1:$AS$1,),))))</f>
        <v/>
      </c>
      <c r="M319" s="13">
        <f>((((VLOOKUP(B319,Database!$A:$AS,MATCH($M$1,Database!$A$1:$AS$1,),))))-(((VLOOKUP(EDATE(B319,-12),Database!$A:$AS,MATCH($M$1,Database!$A$1:$AS$1,),)))))/(((VLOOKUP(EDATE(B319,-12),Database!$A:$AS,MATCH($M$1,Database!$A$1:$AS$1,),))))</f>
        <v/>
      </c>
      <c r="N319" s="13">
        <f>((((VLOOKUP(B319,Database!$A:$AS,MATCH($N$1,Database!$A$1:$AS$1,),))))-(((VLOOKUP(EDATE(B319,-12),Database!$A:$AS,MATCH($N$1,Database!$A$1:$AS$1,),)))))/(((VLOOKUP(EDATE(B319,-12),Database!$A:$AS,MATCH($N$1,Database!$A$1:$AS$1,),))))</f>
        <v/>
      </c>
      <c r="O319" s="13">
        <f>IF(VLOOKUP(B319,Database!$A:$AV,MATCH($O$1,Database!$A$1:$AV$1,),)=0,"#N/A",((((VLOOKUP(B319,Database!$A:$AS,MATCH($O$1,Database!$A$1:$AS$1,),))))-(((VLOOKUP(EDATE(B319,-12),Database!$A:$AS,MATCH($O$1,Database!$A$1:$AS$1,),)))))/(((VLOOKUP(EDATE(B319,-12),Database!$A:$AS,MATCH($O$1,Database!$A$1:$AS$1,),)))))</f>
        <v/>
      </c>
      <c r="P319" s="13">
        <f>IF(VLOOKUP(B319,Database!$A:$AV,MATCH($P$1,Database!$A$1:$AV$1,),)=0,"#N/A",((((VLOOKUP(B319,Database!$A:$AS,MATCH($P$1,Database!$A$1:$AS$1,),))))-(((VLOOKUP(EDATE(B319,-12),Database!$A:$AS,MATCH($P$1,Database!$A$1:$AS$1,),)))))/(((VLOOKUP(EDATE(B319,-12),Database!$A:$AS,MATCH($P$1,Database!$A$1:$AS$1,),)))))</f>
        <v/>
      </c>
      <c r="Q319" s="13">
        <f>IF(VLOOKUP(B319,Database!$A:$AV,MATCH($Q$1,Database!$A$1:$AV$1,),)=0,"#N/A",((((VLOOKUP(B319,Database!$A:$AS,MATCH($Q$1,Database!$A$1:$AS$1,),))))-(((VLOOKUP(EDATE(B319,-12),Database!$A:$AS,MATCH($Q$1,Database!$A$1:$AS$1,),)))))/(((VLOOKUP(EDATE(B319,-12),Database!$A:$AS,MATCH($Q$1,Database!$A$1:$AS$1,),)))))</f>
        <v/>
      </c>
      <c r="R319" s="13">
        <f>IF(VLOOKUP(B319,Database!$A:$AV,MATCH($R$1,Database!$A$1:$AV$1,),)=0,"#N/A",((((VLOOKUP(B319,Database!$A:$AS,MATCH($R$1,Database!$A$1:$AS$1,),))))-(((VLOOKUP(EDATE(B319,-12),Database!$A:$AS,MATCH($R$1,Database!$A$1:$AS$1,),)))))/(((VLOOKUP(EDATE(B319,-12),Database!$A:$AS,MATCH($R$1,Database!$A$1:$AS$1,),)))))</f>
        <v/>
      </c>
      <c r="S319" s="13">
        <f>IF(VLOOKUP(B319,Database!$A:$AV,MATCH($S$1,Database!$A$1:$AV$1,),)=0,"#N/A",((((VLOOKUP(B319,Database!$A:$AS,MATCH($S$1,Database!$A$1:$AS$1,),))))-(((VLOOKUP(EDATE(B319,-12),Database!$A:$AS,MATCH($S$1,Database!$A$1:$AS$1,),)))))/(((VLOOKUP(EDATE(B319,-12),Database!$A:$AS,MATCH($S$1,Database!$A$1:$AS$1,),)))))</f>
        <v/>
      </c>
      <c r="T319" s="13">
        <f>IF(VLOOKUP(B319,Database!$A:$AV,MATCH($T$1,Database!$A$1:$AV$1,),)=0,"#N/A",((((VLOOKUP(B319,Database!$A:$AS,MATCH($T$1,Database!$A$1:$AS$1,),))))-(((VLOOKUP(EDATE(B319,-12),Database!$A:$AS,MATCH($T$1,Database!$A$1:$AS$1,),)))))/(((VLOOKUP(EDATE(B319,-12),Database!$A:$AS,MATCH($T$1,Database!$A$1:$AS$1,),)))))</f>
        <v/>
      </c>
      <c r="U319" s="13">
        <f>IF(VLOOKUP(B319,Database!$A:$AV,MATCH($U$1,Database!$A$1:$AV$1,),)=0,"#N/A",((((VLOOKUP(B319,Database!$A:$AS,MATCH($U$1,Database!$A$1:$AS$1,),))))-(((VLOOKUP(EDATE(B319,-12),Database!$A:$AS,MATCH($U$1,Database!$A$1:$AS$1,),)))))/(((VLOOKUP(EDATE(B319,-12),Database!$A:$AS,MATCH($U$1,Database!$A$1:$AS$1,),)))))</f>
        <v/>
      </c>
      <c r="V319" s="13">
        <f>IF(VLOOKUP(B319,Database!$A:$AV,MATCH($V$1,Database!$A$1:$AV$1,),)=0,"#N/A",((((VLOOKUP(B319,Database!$A:$AS,MATCH($V$1,Database!$A$1:$AS$1,),))))-(((VLOOKUP(EDATE(B319,-12),Database!$A:$AS,MATCH($V$1,Database!$A$1:$AS$1,),)))))/(((VLOOKUP(EDATE(B319,-12),Database!$A:$AS,MATCH($V$1,Database!$A$1:$AS$1,),)))))</f>
        <v/>
      </c>
    </row>
    <row r="320" customFormat="1" s="86">
      <c r="A320" s="43" t="n"/>
      <c r="B320" s="75" t="n">
        <v>41883</v>
      </c>
      <c r="C320" s="13">
        <f>IF(VLOOKUP(B320,Database!$A:$AU,MATCH($C$1,Database!$A$1:$AU$1,),)=0,"#N/A",((((VLOOKUP(B320,Database!$A:$AU,MATCH($C$1,Database!$A$1:$AU$1,),))))-(((VLOOKUP(EDATE(B320,-12),Database!$A:$AU,MATCH($C$1,Database!$A$1:$AU$1,),)))))/(((VLOOKUP(EDATE(B320,-12),Database!$A:$AU,MATCH($C$1,Database!$A$1:$AU$1,),)))))</f>
        <v/>
      </c>
      <c r="D320" s="13">
        <f>IF(VLOOKUP(B320,Database!$A:$AV,MATCH($D$1,Database!$A$1:$AV$1,),)=0,"#N/A",((((VLOOKUP(B320,Database!$A:$AS,MATCH($D$1,Database!$A$1:$AS$1,),))))-(((VLOOKUP(EDATE(B320,-12),Database!$A:$AS,MATCH($D$1,Database!$A$1:$AS$1,),)))))/(((VLOOKUP(EDATE(B320,-12),Database!$A:$AS,MATCH($D$1,Database!$A$1:$AS$1,),)))))</f>
        <v/>
      </c>
      <c r="E320" s="13">
        <f>IF(VLOOKUP(B320,Database!$A:$AV,MATCH($E$1,Database!$A$1:$AV$1,),)=0,"#N/A",((((VLOOKUP(B320,Database!$A:$AS,MATCH($E$1,Database!$A$1:$AS$1,),))))-(((VLOOKUP(EDATE(B320,-12),Database!$A:$AS,MATCH($E$1,Database!$A$1:$AS$1,),)))))/(((VLOOKUP(EDATE(B320,-12),Database!$A:$AS,MATCH($E$1,Database!$A$1:$AS$1,),)))))</f>
        <v/>
      </c>
      <c r="F320" s="13">
        <f>IF(VLOOKUP(B320,Database!$A:$AV,MATCH($F$1,Database!$A$1:$AV$1,),)=0,"#N/A",((((VLOOKUP(B320,Database!$A:$AS,MATCH($F$1,Database!$A$1:$AS$1,),))))-(((VLOOKUP(EDATE(B320,-12),Database!$A:$AS,MATCH($F$1,Database!$A$1:$AS$1,),)))))/(((VLOOKUP(EDATE(B320,-12),Database!$A:$AS,MATCH($F$1,Database!$A$1:$AS$1,),)))))</f>
        <v/>
      </c>
      <c r="G320" s="13">
        <f>IF(VLOOKUP(B320,Database!$A:$AV,MATCH($G$1,Database!$A$1:$AV$1,),)=0,"#N/A",((((VLOOKUP(B320,Database!$A:$AS,MATCH($G$1,Database!$A$1:$AS$1,),))))-(((VLOOKUP(EDATE(B320,-12),Database!$A:$AS,MATCH($G$1,Database!$A$1:$AS$1,),)))))/(((VLOOKUP(EDATE(B320,-12),Database!$A:$AS,MATCH($G$1,Database!$A$1:$AS$1,),)))))</f>
        <v/>
      </c>
      <c r="H320" s="13">
        <f>IF(VLOOKUP(B320,Database!$A:$AV,MATCH($H$1,Database!$A$1:$AV$1,),)=0,"#N/A",((((VLOOKUP(B320,Database!$A:$AS,MATCH($H$1,Database!$A$1:$AS$1,),))))-(((VLOOKUP(EDATE(B320,-12),Database!$A:$AS,MATCH($H$1,Database!$A$1:$AS$1,),)))))/(((VLOOKUP(EDATE(B320,-12),Database!$A:$AS,MATCH($H$1,Database!$A$1:$AS$1,),)))))</f>
        <v/>
      </c>
      <c r="I320" s="13">
        <f>IF(VLOOKUP(B320,Database!$A:$AV,MATCH($I$1,Database!$A$1:$AV$1,),)=0,"#N/A",((((VLOOKUP(B320,Database!$A:$AS,MATCH($I$1,Database!$A$1:$AS$1,),))))-(((VLOOKUP(EDATE(B320,-12),Database!$A:$AS,MATCH($I$1,Database!$A$1:$AS$1,),)))))/(((VLOOKUP(EDATE(B320,-12),Database!$A:$AS,MATCH($I$1,Database!$A$1:$AS$1,),)))))</f>
        <v/>
      </c>
      <c r="J320" s="13">
        <f>IF(VLOOKUP(B320,Database!$A:$AV,MATCH($J$1,Database!$A$1:$AV$1,),)=0,"#N/A",((((VLOOKUP(B320,Database!$A:$AS,MATCH($J$1,Database!$A$1:$AS$1,),))))-(((VLOOKUP(EDATE(B320,-12),Database!$A:$AS,MATCH($J$1,Database!$A$1:$AS$1,),)))))/(((VLOOKUP(EDATE(B320,-12),Database!$A:$AS,MATCH($J$1,Database!$A$1:$AS$1,),)))))</f>
        <v/>
      </c>
      <c r="K320" s="13">
        <f>IF(VLOOKUP(B320,Database!$A:$AV,MATCH($K$1,Database!$A$1:$AV$1,),)=0,"#N/A",((((VLOOKUP(B320,Database!$A:$AS,MATCH($K$1,Database!$A$1:$AS$1,),))))-(((VLOOKUP(EDATE(B320,-12),Database!$A:$AS,MATCH($K$1,Database!$A$1:$AS$1,),)))))/(((VLOOKUP(EDATE(B320,-12),Database!$A:$AS,MATCH($K$1,Database!$A$1:$AS$1,),)))))</f>
        <v/>
      </c>
      <c r="L320" s="13">
        <f>((((VLOOKUP(B320,Database!$A:$AS,MATCH($L$1,Database!$A$1:$AS$1,),))))-(((VLOOKUP(EDATE(B320,-12),Database!$A:$AS,MATCH($L$1,Database!$A$1:$AS$1,),)))))/(((VLOOKUP(EDATE(B320,-12),Database!$A:$AS,MATCH($L$1,Database!$A$1:$AS$1,),))))</f>
        <v/>
      </c>
      <c r="M320" s="13">
        <f>((((VLOOKUP(B320,Database!$A:$AS,MATCH($M$1,Database!$A$1:$AS$1,),))))-(((VLOOKUP(EDATE(B320,-12),Database!$A:$AS,MATCH($M$1,Database!$A$1:$AS$1,),)))))/(((VLOOKUP(EDATE(B320,-12),Database!$A:$AS,MATCH($M$1,Database!$A$1:$AS$1,),))))</f>
        <v/>
      </c>
      <c r="N320" s="13">
        <f>((((VLOOKUP(B320,Database!$A:$AS,MATCH($N$1,Database!$A$1:$AS$1,),))))-(((VLOOKUP(EDATE(B320,-12),Database!$A:$AS,MATCH($N$1,Database!$A$1:$AS$1,),)))))/(((VLOOKUP(EDATE(B320,-12),Database!$A:$AS,MATCH($N$1,Database!$A$1:$AS$1,),))))</f>
        <v/>
      </c>
      <c r="O320" s="13">
        <f>IF(VLOOKUP(B320,Database!$A:$AV,MATCH($O$1,Database!$A$1:$AV$1,),)=0,"#N/A",((((VLOOKUP(B320,Database!$A:$AS,MATCH($O$1,Database!$A$1:$AS$1,),))))-(((VLOOKUP(EDATE(B320,-12),Database!$A:$AS,MATCH($O$1,Database!$A$1:$AS$1,),)))))/(((VLOOKUP(EDATE(B320,-12),Database!$A:$AS,MATCH($O$1,Database!$A$1:$AS$1,),)))))</f>
        <v/>
      </c>
      <c r="P320" s="13">
        <f>IF(VLOOKUP(B320,Database!$A:$AV,MATCH($P$1,Database!$A$1:$AV$1,),)=0,"#N/A",((((VLOOKUP(B320,Database!$A:$AS,MATCH($P$1,Database!$A$1:$AS$1,),))))-(((VLOOKUP(EDATE(B320,-12),Database!$A:$AS,MATCH($P$1,Database!$A$1:$AS$1,),)))))/(((VLOOKUP(EDATE(B320,-12),Database!$A:$AS,MATCH($P$1,Database!$A$1:$AS$1,),)))))</f>
        <v/>
      </c>
      <c r="Q320" s="13">
        <f>IF(VLOOKUP(B320,Database!$A:$AV,MATCH($Q$1,Database!$A$1:$AV$1,),)=0,"#N/A",((((VLOOKUP(B320,Database!$A:$AS,MATCH($Q$1,Database!$A$1:$AS$1,),))))-(((VLOOKUP(EDATE(B320,-12),Database!$A:$AS,MATCH($Q$1,Database!$A$1:$AS$1,),)))))/(((VLOOKUP(EDATE(B320,-12),Database!$A:$AS,MATCH($Q$1,Database!$A$1:$AS$1,),)))))</f>
        <v/>
      </c>
      <c r="R320" s="13">
        <f>IF(VLOOKUP(B320,Database!$A:$AV,MATCH($R$1,Database!$A$1:$AV$1,),)=0,"#N/A",((((VLOOKUP(B320,Database!$A:$AS,MATCH($R$1,Database!$A$1:$AS$1,),))))-(((VLOOKUP(EDATE(B320,-12),Database!$A:$AS,MATCH($R$1,Database!$A$1:$AS$1,),)))))/(((VLOOKUP(EDATE(B320,-12),Database!$A:$AS,MATCH($R$1,Database!$A$1:$AS$1,),)))))</f>
        <v/>
      </c>
      <c r="S320" s="13">
        <f>IF(VLOOKUP(B320,Database!$A:$AV,MATCH($S$1,Database!$A$1:$AV$1,),)=0,"#N/A",((((VLOOKUP(B320,Database!$A:$AS,MATCH($S$1,Database!$A$1:$AS$1,),))))-(((VLOOKUP(EDATE(B320,-12),Database!$A:$AS,MATCH($S$1,Database!$A$1:$AS$1,),)))))/(((VLOOKUP(EDATE(B320,-12),Database!$A:$AS,MATCH($S$1,Database!$A$1:$AS$1,),)))))</f>
        <v/>
      </c>
      <c r="T320" s="13">
        <f>IF(VLOOKUP(B320,Database!$A:$AV,MATCH($T$1,Database!$A$1:$AV$1,),)=0,"#N/A",((((VLOOKUP(B320,Database!$A:$AS,MATCH($T$1,Database!$A$1:$AS$1,),))))-(((VLOOKUP(EDATE(B320,-12),Database!$A:$AS,MATCH($T$1,Database!$A$1:$AS$1,),)))))/(((VLOOKUP(EDATE(B320,-12),Database!$A:$AS,MATCH($T$1,Database!$A$1:$AS$1,),)))))</f>
        <v/>
      </c>
      <c r="U320" s="13">
        <f>IF(VLOOKUP(B320,Database!$A:$AV,MATCH($U$1,Database!$A$1:$AV$1,),)=0,"#N/A",((((VLOOKUP(B320,Database!$A:$AS,MATCH($U$1,Database!$A$1:$AS$1,),))))-(((VLOOKUP(EDATE(B320,-12),Database!$A:$AS,MATCH($U$1,Database!$A$1:$AS$1,),)))))/(((VLOOKUP(EDATE(B320,-12),Database!$A:$AS,MATCH($U$1,Database!$A$1:$AS$1,),)))))</f>
        <v/>
      </c>
      <c r="V320" s="13">
        <f>IF(VLOOKUP(B320,Database!$A:$AV,MATCH($V$1,Database!$A$1:$AV$1,),)=0,"#N/A",((((VLOOKUP(B320,Database!$A:$AS,MATCH($V$1,Database!$A$1:$AS$1,),))))-(((VLOOKUP(EDATE(B320,-12),Database!$A:$AS,MATCH($V$1,Database!$A$1:$AS$1,),)))))/(((VLOOKUP(EDATE(B320,-12),Database!$A:$AS,MATCH($V$1,Database!$A$1:$AS$1,),)))))</f>
        <v/>
      </c>
    </row>
    <row r="321" customFormat="1" s="86">
      <c r="A321" s="43" t="n"/>
      <c r="B321" s="75" t="n">
        <v>41913</v>
      </c>
      <c r="C321" s="13">
        <f>IF(VLOOKUP(B321,Database!$A:$AU,MATCH($C$1,Database!$A$1:$AU$1,),)=0,"#N/A",((((VLOOKUP(B321,Database!$A:$AU,MATCH($C$1,Database!$A$1:$AU$1,),))))-(((VLOOKUP(EDATE(B321,-12),Database!$A:$AU,MATCH($C$1,Database!$A$1:$AU$1,),)))))/(((VLOOKUP(EDATE(B321,-12),Database!$A:$AU,MATCH($C$1,Database!$A$1:$AU$1,),)))))</f>
        <v/>
      </c>
      <c r="D321" s="13">
        <f>IF(VLOOKUP(B321,Database!$A:$AV,MATCH($D$1,Database!$A$1:$AV$1,),)=0,"#N/A",((((VLOOKUP(B321,Database!$A:$AS,MATCH($D$1,Database!$A$1:$AS$1,),))))-(((VLOOKUP(EDATE(B321,-12),Database!$A:$AS,MATCH($D$1,Database!$A$1:$AS$1,),)))))/(((VLOOKUP(EDATE(B321,-12),Database!$A:$AS,MATCH($D$1,Database!$A$1:$AS$1,),)))))</f>
        <v/>
      </c>
      <c r="E321" s="13">
        <f>IF(VLOOKUP(B321,Database!$A:$AV,MATCH($E$1,Database!$A$1:$AV$1,),)=0,"#N/A",((((VLOOKUP(B321,Database!$A:$AS,MATCH($E$1,Database!$A$1:$AS$1,),))))-(((VLOOKUP(EDATE(B321,-12),Database!$A:$AS,MATCH($E$1,Database!$A$1:$AS$1,),)))))/(((VLOOKUP(EDATE(B321,-12),Database!$A:$AS,MATCH($E$1,Database!$A$1:$AS$1,),)))))</f>
        <v/>
      </c>
      <c r="F321" s="13">
        <f>IF(VLOOKUP(B321,Database!$A:$AV,MATCH($F$1,Database!$A$1:$AV$1,),)=0,"#N/A",((((VLOOKUP(B321,Database!$A:$AS,MATCH($F$1,Database!$A$1:$AS$1,),))))-(((VLOOKUP(EDATE(B321,-12),Database!$A:$AS,MATCH($F$1,Database!$A$1:$AS$1,),)))))/(((VLOOKUP(EDATE(B321,-12),Database!$A:$AS,MATCH($F$1,Database!$A$1:$AS$1,),)))))</f>
        <v/>
      </c>
      <c r="G321" s="13">
        <f>IF(VLOOKUP(B321,Database!$A:$AV,MATCH($G$1,Database!$A$1:$AV$1,),)=0,"#N/A",((((VLOOKUP(B321,Database!$A:$AS,MATCH($G$1,Database!$A$1:$AS$1,),))))-(((VLOOKUP(EDATE(B321,-12),Database!$A:$AS,MATCH($G$1,Database!$A$1:$AS$1,),)))))/(((VLOOKUP(EDATE(B321,-12),Database!$A:$AS,MATCH($G$1,Database!$A$1:$AS$1,),)))))</f>
        <v/>
      </c>
      <c r="H321" s="13">
        <f>IF(VLOOKUP(B321,Database!$A:$AV,MATCH($H$1,Database!$A$1:$AV$1,),)=0,"#N/A",((((VLOOKUP(B321,Database!$A:$AS,MATCH($H$1,Database!$A$1:$AS$1,),))))-(((VLOOKUP(EDATE(B321,-12),Database!$A:$AS,MATCH($H$1,Database!$A$1:$AS$1,),)))))/(((VLOOKUP(EDATE(B321,-12),Database!$A:$AS,MATCH($H$1,Database!$A$1:$AS$1,),)))))</f>
        <v/>
      </c>
      <c r="I321" s="13">
        <f>IF(VLOOKUP(B321,Database!$A:$AV,MATCH($I$1,Database!$A$1:$AV$1,),)=0,"#N/A",((((VLOOKUP(B321,Database!$A:$AS,MATCH($I$1,Database!$A$1:$AS$1,),))))-(((VLOOKUP(EDATE(B321,-12),Database!$A:$AS,MATCH($I$1,Database!$A$1:$AS$1,),)))))/(((VLOOKUP(EDATE(B321,-12),Database!$A:$AS,MATCH($I$1,Database!$A$1:$AS$1,),)))))</f>
        <v/>
      </c>
      <c r="J321" s="13">
        <f>IF(VLOOKUP(B321,Database!$A:$AV,MATCH($J$1,Database!$A$1:$AV$1,),)=0,"#N/A",((((VLOOKUP(B321,Database!$A:$AS,MATCH($J$1,Database!$A$1:$AS$1,),))))-(((VLOOKUP(EDATE(B321,-12),Database!$A:$AS,MATCH($J$1,Database!$A$1:$AS$1,),)))))/(((VLOOKUP(EDATE(B321,-12),Database!$A:$AS,MATCH($J$1,Database!$A$1:$AS$1,),)))))</f>
        <v/>
      </c>
      <c r="K321" s="13">
        <f>IF(VLOOKUP(B321,Database!$A:$AV,MATCH($K$1,Database!$A$1:$AV$1,),)=0,"#N/A",((((VLOOKUP(B321,Database!$A:$AS,MATCH($K$1,Database!$A$1:$AS$1,),))))-(((VLOOKUP(EDATE(B321,-12),Database!$A:$AS,MATCH($K$1,Database!$A$1:$AS$1,),)))))/(((VLOOKUP(EDATE(B321,-12),Database!$A:$AS,MATCH($K$1,Database!$A$1:$AS$1,),)))))</f>
        <v/>
      </c>
      <c r="L321" s="13">
        <f>((((VLOOKUP(B321,Database!$A:$AS,MATCH($L$1,Database!$A$1:$AS$1,),))))-(((VLOOKUP(EDATE(B321,-12),Database!$A:$AS,MATCH($L$1,Database!$A$1:$AS$1,),)))))/(((VLOOKUP(EDATE(B321,-12),Database!$A:$AS,MATCH($L$1,Database!$A$1:$AS$1,),))))</f>
        <v/>
      </c>
      <c r="M321" s="13">
        <f>((((VLOOKUP(B321,Database!$A:$AS,MATCH($M$1,Database!$A$1:$AS$1,),))))-(((VLOOKUP(EDATE(B321,-12),Database!$A:$AS,MATCH($M$1,Database!$A$1:$AS$1,),)))))/(((VLOOKUP(EDATE(B321,-12),Database!$A:$AS,MATCH($M$1,Database!$A$1:$AS$1,),))))</f>
        <v/>
      </c>
      <c r="N321" s="13">
        <f>((((VLOOKUP(B321,Database!$A:$AS,MATCH($N$1,Database!$A$1:$AS$1,),))))-(((VLOOKUP(EDATE(B321,-12),Database!$A:$AS,MATCH($N$1,Database!$A$1:$AS$1,),)))))/(((VLOOKUP(EDATE(B321,-12),Database!$A:$AS,MATCH($N$1,Database!$A$1:$AS$1,),))))</f>
        <v/>
      </c>
      <c r="O321" s="13">
        <f>IF(VLOOKUP(B321,Database!$A:$AV,MATCH($O$1,Database!$A$1:$AV$1,),)=0,"#N/A",((((VLOOKUP(B321,Database!$A:$AS,MATCH($O$1,Database!$A$1:$AS$1,),))))-(((VLOOKUP(EDATE(B321,-12),Database!$A:$AS,MATCH($O$1,Database!$A$1:$AS$1,),)))))/(((VLOOKUP(EDATE(B321,-12),Database!$A:$AS,MATCH($O$1,Database!$A$1:$AS$1,),)))))</f>
        <v/>
      </c>
      <c r="P321" s="13">
        <f>IF(VLOOKUP(B321,Database!$A:$AV,MATCH($P$1,Database!$A$1:$AV$1,),)=0,"#N/A",((((VLOOKUP(B321,Database!$A:$AS,MATCH($P$1,Database!$A$1:$AS$1,),))))-(((VLOOKUP(EDATE(B321,-12),Database!$A:$AS,MATCH($P$1,Database!$A$1:$AS$1,),)))))/(((VLOOKUP(EDATE(B321,-12),Database!$A:$AS,MATCH($P$1,Database!$A$1:$AS$1,),)))))</f>
        <v/>
      </c>
      <c r="Q321" s="13">
        <f>IF(VLOOKUP(B321,Database!$A:$AV,MATCH($Q$1,Database!$A$1:$AV$1,),)=0,"#N/A",((((VLOOKUP(B321,Database!$A:$AS,MATCH($Q$1,Database!$A$1:$AS$1,),))))-(((VLOOKUP(EDATE(B321,-12),Database!$A:$AS,MATCH($Q$1,Database!$A$1:$AS$1,),)))))/(((VLOOKUP(EDATE(B321,-12),Database!$A:$AS,MATCH($Q$1,Database!$A$1:$AS$1,),)))))</f>
        <v/>
      </c>
      <c r="R321" s="13">
        <f>IF(VLOOKUP(B321,Database!$A:$AV,MATCH($R$1,Database!$A$1:$AV$1,),)=0,"#N/A",((((VLOOKUP(B321,Database!$A:$AS,MATCH($R$1,Database!$A$1:$AS$1,),))))-(((VLOOKUP(EDATE(B321,-12),Database!$A:$AS,MATCH($R$1,Database!$A$1:$AS$1,),)))))/(((VLOOKUP(EDATE(B321,-12),Database!$A:$AS,MATCH($R$1,Database!$A$1:$AS$1,),)))))</f>
        <v/>
      </c>
      <c r="S321" s="13">
        <f>IF(VLOOKUP(B321,Database!$A:$AV,MATCH($S$1,Database!$A$1:$AV$1,),)=0,"#N/A",((((VLOOKUP(B321,Database!$A:$AS,MATCH($S$1,Database!$A$1:$AS$1,),))))-(((VLOOKUP(EDATE(B321,-12),Database!$A:$AS,MATCH($S$1,Database!$A$1:$AS$1,),)))))/(((VLOOKUP(EDATE(B321,-12),Database!$A:$AS,MATCH($S$1,Database!$A$1:$AS$1,),)))))</f>
        <v/>
      </c>
      <c r="T321" s="13">
        <f>IF(VLOOKUP(B321,Database!$A:$AV,MATCH($T$1,Database!$A$1:$AV$1,),)=0,"#N/A",((((VLOOKUP(B321,Database!$A:$AS,MATCH($T$1,Database!$A$1:$AS$1,),))))-(((VLOOKUP(EDATE(B321,-12),Database!$A:$AS,MATCH($T$1,Database!$A$1:$AS$1,),)))))/(((VLOOKUP(EDATE(B321,-12),Database!$A:$AS,MATCH($T$1,Database!$A$1:$AS$1,),)))))</f>
        <v/>
      </c>
      <c r="U321" s="13">
        <f>IF(VLOOKUP(B321,Database!$A:$AV,MATCH($U$1,Database!$A$1:$AV$1,),)=0,"#N/A",((((VLOOKUP(B321,Database!$A:$AS,MATCH($U$1,Database!$A$1:$AS$1,),))))-(((VLOOKUP(EDATE(B321,-12),Database!$A:$AS,MATCH($U$1,Database!$A$1:$AS$1,),)))))/(((VLOOKUP(EDATE(B321,-12),Database!$A:$AS,MATCH($U$1,Database!$A$1:$AS$1,),)))))</f>
        <v/>
      </c>
      <c r="V321" s="13">
        <f>IF(VLOOKUP(B321,Database!$A:$AV,MATCH($V$1,Database!$A$1:$AV$1,),)=0,"#N/A",((((VLOOKUP(B321,Database!$A:$AS,MATCH($V$1,Database!$A$1:$AS$1,),))))-(((VLOOKUP(EDATE(B321,-12),Database!$A:$AS,MATCH($V$1,Database!$A$1:$AS$1,),)))))/(((VLOOKUP(EDATE(B321,-12),Database!$A:$AS,MATCH($V$1,Database!$A$1:$AS$1,),)))))</f>
        <v/>
      </c>
    </row>
    <row r="322" customFormat="1" s="86">
      <c r="A322" s="43" t="n"/>
      <c r="B322" s="75" t="n">
        <v>41944</v>
      </c>
      <c r="C322" s="13">
        <f>IF(VLOOKUP(B322,Database!$A:$AU,MATCH($C$1,Database!$A$1:$AU$1,),)=0,"#N/A",((((VLOOKUP(B322,Database!$A:$AU,MATCH($C$1,Database!$A$1:$AU$1,),))))-(((VLOOKUP(EDATE(B322,-12),Database!$A:$AU,MATCH($C$1,Database!$A$1:$AU$1,),)))))/(((VLOOKUP(EDATE(B322,-12),Database!$A:$AU,MATCH($C$1,Database!$A$1:$AU$1,),)))))</f>
        <v/>
      </c>
      <c r="D322" s="13">
        <f>IF(VLOOKUP(B322,Database!$A:$AV,MATCH($D$1,Database!$A$1:$AV$1,),)=0,"#N/A",((((VLOOKUP(B322,Database!$A:$AS,MATCH($D$1,Database!$A$1:$AS$1,),))))-(((VLOOKUP(EDATE(B322,-12),Database!$A:$AS,MATCH($D$1,Database!$A$1:$AS$1,),)))))/(((VLOOKUP(EDATE(B322,-12),Database!$A:$AS,MATCH($D$1,Database!$A$1:$AS$1,),)))))</f>
        <v/>
      </c>
      <c r="E322" s="13">
        <f>IF(VLOOKUP(B322,Database!$A:$AV,MATCH($E$1,Database!$A$1:$AV$1,),)=0,"#N/A",((((VLOOKUP(B322,Database!$A:$AS,MATCH($E$1,Database!$A$1:$AS$1,),))))-(((VLOOKUP(EDATE(B322,-12),Database!$A:$AS,MATCH($E$1,Database!$A$1:$AS$1,),)))))/(((VLOOKUP(EDATE(B322,-12),Database!$A:$AS,MATCH($E$1,Database!$A$1:$AS$1,),)))))</f>
        <v/>
      </c>
      <c r="F322" s="13">
        <f>IF(VLOOKUP(B322,Database!$A:$AV,MATCH($F$1,Database!$A$1:$AV$1,),)=0,"#N/A",((((VLOOKUP(B322,Database!$A:$AS,MATCH($F$1,Database!$A$1:$AS$1,),))))-(((VLOOKUP(EDATE(B322,-12),Database!$A:$AS,MATCH($F$1,Database!$A$1:$AS$1,),)))))/(((VLOOKUP(EDATE(B322,-12),Database!$A:$AS,MATCH($F$1,Database!$A$1:$AS$1,),)))))</f>
        <v/>
      </c>
      <c r="G322" s="13">
        <f>IF(VLOOKUP(B322,Database!$A:$AV,MATCH($G$1,Database!$A$1:$AV$1,),)=0,"#N/A",((((VLOOKUP(B322,Database!$A:$AS,MATCH($G$1,Database!$A$1:$AS$1,),))))-(((VLOOKUP(EDATE(B322,-12),Database!$A:$AS,MATCH($G$1,Database!$A$1:$AS$1,),)))))/(((VLOOKUP(EDATE(B322,-12),Database!$A:$AS,MATCH($G$1,Database!$A$1:$AS$1,),)))))</f>
        <v/>
      </c>
      <c r="H322" s="13">
        <f>IF(VLOOKUP(B322,Database!$A:$AV,MATCH($H$1,Database!$A$1:$AV$1,),)=0,"#N/A",((((VLOOKUP(B322,Database!$A:$AS,MATCH($H$1,Database!$A$1:$AS$1,),))))-(((VLOOKUP(EDATE(B322,-12),Database!$A:$AS,MATCH($H$1,Database!$A$1:$AS$1,),)))))/(((VLOOKUP(EDATE(B322,-12),Database!$A:$AS,MATCH($H$1,Database!$A$1:$AS$1,),)))))</f>
        <v/>
      </c>
      <c r="I322" s="13">
        <f>IF(VLOOKUP(B322,Database!$A:$AV,MATCH($I$1,Database!$A$1:$AV$1,),)=0,"#N/A",((((VLOOKUP(B322,Database!$A:$AS,MATCH($I$1,Database!$A$1:$AS$1,),))))-(((VLOOKUP(EDATE(B322,-12),Database!$A:$AS,MATCH($I$1,Database!$A$1:$AS$1,),)))))/(((VLOOKUP(EDATE(B322,-12),Database!$A:$AS,MATCH($I$1,Database!$A$1:$AS$1,),)))))</f>
        <v/>
      </c>
      <c r="J322" s="13">
        <f>IF(VLOOKUP(B322,Database!$A:$AV,MATCH($J$1,Database!$A$1:$AV$1,),)=0,"#N/A",((((VLOOKUP(B322,Database!$A:$AS,MATCH($J$1,Database!$A$1:$AS$1,),))))-(((VLOOKUP(EDATE(B322,-12),Database!$A:$AS,MATCH($J$1,Database!$A$1:$AS$1,),)))))/(((VLOOKUP(EDATE(B322,-12),Database!$A:$AS,MATCH($J$1,Database!$A$1:$AS$1,),)))))</f>
        <v/>
      </c>
      <c r="K322" s="13">
        <f>IF(VLOOKUP(B322,Database!$A:$AV,MATCH($K$1,Database!$A$1:$AV$1,),)=0,"#N/A",((((VLOOKUP(B322,Database!$A:$AS,MATCH($K$1,Database!$A$1:$AS$1,),))))-(((VLOOKUP(EDATE(B322,-12),Database!$A:$AS,MATCH($K$1,Database!$A$1:$AS$1,),)))))/(((VLOOKUP(EDATE(B322,-12),Database!$A:$AS,MATCH($K$1,Database!$A$1:$AS$1,),)))))</f>
        <v/>
      </c>
      <c r="L322" s="13">
        <f>((((VLOOKUP(B322,Database!$A:$AS,MATCH($L$1,Database!$A$1:$AS$1,),))))-(((VLOOKUP(EDATE(B322,-12),Database!$A:$AS,MATCH($L$1,Database!$A$1:$AS$1,),)))))/(((VLOOKUP(EDATE(B322,-12),Database!$A:$AS,MATCH($L$1,Database!$A$1:$AS$1,),))))</f>
        <v/>
      </c>
      <c r="M322" s="13">
        <f>((((VLOOKUP(B322,Database!$A:$AS,MATCH($M$1,Database!$A$1:$AS$1,),))))-(((VLOOKUP(EDATE(B322,-12),Database!$A:$AS,MATCH($M$1,Database!$A$1:$AS$1,),)))))/(((VLOOKUP(EDATE(B322,-12),Database!$A:$AS,MATCH($M$1,Database!$A$1:$AS$1,),))))</f>
        <v/>
      </c>
      <c r="N322" s="13">
        <f>((((VLOOKUP(B322,Database!$A:$AS,MATCH($N$1,Database!$A$1:$AS$1,),))))-(((VLOOKUP(EDATE(B322,-12),Database!$A:$AS,MATCH($N$1,Database!$A$1:$AS$1,),)))))/(((VLOOKUP(EDATE(B322,-12),Database!$A:$AS,MATCH($N$1,Database!$A$1:$AS$1,),))))</f>
        <v/>
      </c>
      <c r="O322" s="13">
        <f>IF(VLOOKUP(B322,Database!$A:$AV,MATCH($O$1,Database!$A$1:$AV$1,),)=0,"#N/A",((((VLOOKUP(B322,Database!$A:$AS,MATCH($O$1,Database!$A$1:$AS$1,),))))-(((VLOOKUP(EDATE(B322,-12),Database!$A:$AS,MATCH($O$1,Database!$A$1:$AS$1,),)))))/(((VLOOKUP(EDATE(B322,-12),Database!$A:$AS,MATCH($O$1,Database!$A$1:$AS$1,),)))))</f>
        <v/>
      </c>
      <c r="P322" s="13">
        <f>IF(VLOOKUP(B322,Database!$A:$AV,MATCH($P$1,Database!$A$1:$AV$1,),)=0,"#N/A",((((VLOOKUP(B322,Database!$A:$AS,MATCH($P$1,Database!$A$1:$AS$1,),))))-(((VLOOKUP(EDATE(B322,-12),Database!$A:$AS,MATCH($P$1,Database!$A$1:$AS$1,),)))))/(((VLOOKUP(EDATE(B322,-12),Database!$A:$AS,MATCH($P$1,Database!$A$1:$AS$1,),)))))</f>
        <v/>
      </c>
      <c r="Q322" s="13">
        <f>IF(VLOOKUP(B322,Database!$A:$AV,MATCH($Q$1,Database!$A$1:$AV$1,),)=0,"#N/A",((((VLOOKUP(B322,Database!$A:$AS,MATCH($Q$1,Database!$A$1:$AS$1,),))))-(((VLOOKUP(EDATE(B322,-12),Database!$A:$AS,MATCH($Q$1,Database!$A$1:$AS$1,),)))))/(((VLOOKUP(EDATE(B322,-12),Database!$A:$AS,MATCH($Q$1,Database!$A$1:$AS$1,),)))))</f>
        <v/>
      </c>
      <c r="R322" s="13">
        <f>IF(VLOOKUP(B322,Database!$A:$AV,MATCH($R$1,Database!$A$1:$AV$1,),)=0,"#N/A",((((VLOOKUP(B322,Database!$A:$AS,MATCH($R$1,Database!$A$1:$AS$1,),))))-(((VLOOKUP(EDATE(B322,-12),Database!$A:$AS,MATCH($R$1,Database!$A$1:$AS$1,),)))))/(((VLOOKUP(EDATE(B322,-12),Database!$A:$AS,MATCH($R$1,Database!$A$1:$AS$1,),)))))</f>
        <v/>
      </c>
      <c r="S322" s="13">
        <f>IF(VLOOKUP(B322,Database!$A:$AV,MATCH($S$1,Database!$A$1:$AV$1,),)=0,"#N/A",((((VLOOKUP(B322,Database!$A:$AS,MATCH($S$1,Database!$A$1:$AS$1,),))))-(((VLOOKUP(EDATE(B322,-12),Database!$A:$AS,MATCH($S$1,Database!$A$1:$AS$1,),)))))/(((VLOOKUP(EDATE(B322,-12),Database!$A:$AS,MATCH($S$1,Database!$A$1:$AS$1,),)))))</f>
        <v/>
      </c>
      <c r="T322" s="13">
        <f>IF(VLOOKUP(B322,Database!$A:$AV,MATCH($T$1,Database!$A$1:$AV$1,),)=0,"#N/A",((((VLOOKUP(B322,Database!$A:$AS,MATCH($T$1,Database!$A$1:$AS$1,),))))-(((VLOOKUP(EDATE(B322,-12),Database!$A:$AS,MATCH($T$1,Database!$A$1:$AS$1,),)))))/(((VLOOKUP(EDATE(B322,-12),Database!$A:$AS,MATCH($T$1,Database!$A$1:$AS$1,),)))))</f>
        <v/>
      </c>
      <c r="U322" s="13">
        <f>IF(VLOOKUP(B322,Database!$A:$AV,MATCH($U$1,Database!$A$1:$AV$1,),)=0,"#N/A",((((VLOOKUP(B322,Database!$A:$AS,MATCH($U$1,Database!$A$1:$AS$1,),))))-(((VLOOKUP(EDATE(B322,-12),Database!$A:$AS,MATCH($U$1,Database!$A$1:$AS$1,),)))))/(((VLOOKUP(EDATE(B322,-12),Database!$A:$AS,MATCH($U$1,Database!$A$1:$AS$1,),)))))</f>
        <v/>
      </c>
      <c r="V322" s="13">
        <f>IF(VLOOKUP(B322,Database!$A:$AV,MATCH($V$1,Database!$A$1:$AV$1,),)=0,"#N/A",((((VLOOKUP(B322,Database!$A:$AS,MATCH($V$1,Database!$A$1:$AS$1,),))))-(((VLOOKUP(EDATE(B322,-12),Database!$A:$AS,MATCH($V$1,Database!$A$1:$AS$1,),)))))/(((VLOOKUP(EDATE(B322,-12),Database!$A:$AS,MATCH($V$1,Database!$A$1:$AS$1,),)))))</f>
        <v/>
      </c>
    </row>
    <row r="323" customFormat="1" s="86">
      <c r="A323" s="43" t="n"/>
      <c r="B323" s="75" t="n">
        <v>41974</v>
      </c>
      <c r="C323" s="13">
        <f>IF(VLOOKUP(B323,Database!$A:$AU,MATCH($C$1,Database!$A$1:$AU$1,),)=0,"#N/A",((((VLOOKUP(B323,Database!$A:$AU,MATCH($C$1,Database!$A$1:$AU$1,),))))-(((VLOOKUP(EDATE(B323,-12),Database!$A:$AU,MATCH($C$1,Database!$A$1:$AU$1,),)))))/(((VLOOKUP(EDATE(B323,-12),Database!$A:$AU,MATCH($C$1,Database!$A$1:$AU$1,),)))))</f>
        <v/>
      </c>
      <c r="D323" s="13">
        <f>IF(VLOOKUP(B323,Database!$A:$AV,MATCH($D$1,Database!$A$1:$AV$1,),)=0,"#N/A",((((VLOOKUP(B323,Database!$A:$AS,MATCH($D$1,Database!$A$1:$AS$1,),))))-(((VLOOKUP(EDATE(B323,-12),Database!$A:$AS,MATCH($D$1,Database!$A$1:$AS$1,),)))))/(((VLOOKUP(EDATE(B323,-12),Database!$A:$AS,MATCH($D$1,Database!$A$1:$AS$1,),)))))</f>
        <v/>
      </c>
      <c r="E323" s="13">
        <f>IF(VLOOKUP(B323,Database!$A:$AV,MATCH($E$1,Database!$A$1:$AV$1,),)=0,"#N/A",((((VLOOKUP(B323,Database!$A:$AS,MATCH($E$1,Database!$A$1:$AS$1,),))))-(((VLOOKUP(EDATE(B323,-12),Database!$A:$AS,MATCH($E$1,Database!$A$1:$AS$1,),)))))/(((VLOOKUP(EDATE(B323,-12),Database!$A:$AS,MATCH($E$1,Database!$A$1:$AS$1,),)))))</f>
        <v/>
      </c>
      <c r="F323" s="13">
        <f>IF(VLOOKUP(B323,Database!$A:$AV,MATCH($F$1,Database!$A$1:$AV$1,),)=0,"#N/A",((((VLOOKUP(B323,Database!$A:$AS,MATCH($F$1,Database!$A$1:$AS$1,),))))-(((VLOOKUP(EDATE(B323,-12),Database!$A:$AS,MATCH($F$1,Database!$A$1:$AS$1,),)))))/(((VLOOKUP(EDATE(B323,-12),Database!$A:$AS,MATCH($F$1,Database!$A$1:$AS$1,),)))))</f>
        <v/>
      </c>
      <c r="G323" s="13">
        <f>IF(VLOOKUP(B323,Database!$A:$AV,MATCH($G$1,Database!$A$1:$AV$1,),)=0,"#N/A",((((VLOOKUP(B323,Database!$A:$AS,MATCH($G$1,Database!$A$1:$AS$1,),))))-(((VLOOKUP(EDATE(B323,-12),Database!$A:$AS,MATCH($G$1,Database!$A$1:$AS$1,),)))))/(((VLOOKUP(EDATE(B323,-12),Database!$A:$AS,MATCH($G$1,Database!$A$1:$AS$1,),)))))</f>
        <v/>
      </c>
      <c r="H323" s="13">
        <f>IF(VLOOKUP(B323,Database!$A:$AV,MATCH($H$1,Database!$A$1:$AV$1,),)=0,"#N/A",((((VLOOKUP(B323,Database!$A:$AS,MATCH($H$1,Database!$A$1:$AS$1,),))))-(((VLOOKUP(EDATE(B323,-12),Database!$A:$AS,MATCH($H$1,Database!$A$1:$AS$1,),)))))/(((VLOOKUP(EDATE(B323,-12),Database!$A:$AS,MATCH($H$1,Database!$A$1:$AS$1,),)))))</f>
        <v/>
      </c>
      <c r="I323" s="13">
        <f>IF(VLOOKUP(B323,Database!$A:$AV,MATCH($I$1,Database!$A$1:$AV$1,),)=0,"#N/A",((((VLOOKUP(B323,Database!$A:$AS,MATCH($I$1,Database!$A$1:$AS$1,),))))-(((VLOOKUP(EDATE(B323,-12),Database!$A:$AS,MATCH($I$1,Database!$A$1:$AS$1,),)))))/(((VLOOKUP(EDATE(B323,-12),Database!$A:$AS,MATCH($I$1,Database!$A$1:$AS$1,),)))))</f>
        <v/>
      </c>
      <c r="J323" s="13">
        <f>IF(VLOOKUP(B323,Database!$A:$AV,MATCH($J$1,Database!$A$1:$AV$1,),)=0,"#N/A",((((VLOOKUP(B323,Database!$A:$AS,MATCH($J$1,Database!$A$1:$AS$1,),))))-(((VLOOKUP(EDATE(B323,-12),Database!$A:$AS,MATCH($J$1,Database!$A$1:$AS$1,),)))))/(((VLOOKUP(EDATE(B323,-12),Database!$A:$AS,MATCH($J$1,Database!$A$1:$AS$1,),)))))</f>
        <v/>
      </c>
      <c r="K323" s="13">
        <f>IF(VLOOKUP(B323,Database!$A:$AV,MATCH($K$1,Database!$A$1:$AV$1,),)=0,"#N/A",((((VLOOKUP(B323,Database!$A:$AS,MATCH($K$1,Database!$A$1:$AS$1,),))))-(((VLOOKUP(EDATE(B323,-12),Database!$A:$AS,MATCH($K$1,Database!$A$1:$AS$1,),)))))/(((VLOOKUP(EDATE(B323,-12),Database!$A:$AS,MATCH($K$1,Database!$A$1:$AS$1,),)))))</f>
        <v/>
      </c>
      <c r="L323" s="13">
        <f>((((VLOOKUP(B323,Database!$A:$AS,MATCH($L$1,Database!$A$1:$AS$1,),))))-(((VLOOKUP(EDATE(B323,-12),Database!$A:$AS,MATCH($L$1,Database!$A$1:$AS$1,),)))))/(((VLOOKUP(EDATE(B323,-12),Database!$A:$AS,MATCH($L$1,Database!$A$1:$AS$1,),))))</f>
        <v/>
      </c>
      <c r="M323" s="13">
        <f>((((VLOOKUP(B323,Database!$A:$AS,MATCH($M$1,Database!$A$1:$AS$1,),))))-(((VLOOKUP(EDATE(B323,-12),Database!$A:$AS,MATCH($M$1,Database!$A$1:$AS$1,),)))))/(((VLOOKUP(EDATE(B323,-12),Database!$A:$AS,MATCH($M$1,Database!$A$1:$AS$1,),))))</f>
        <v/>
      </c>
      <c r="N323" s="13">
        <f>((((VLOOKUP(B323,Database!$A:$AS,MATCH($N$1,Database!$A$1:$AS$1,),))))-(((VLOOKUP(EDATE(B323,-12),Database!$A:$AS,MATCH($N$1,Database!$A$1:$AS$1,),)))))/(((VLOOKUP(EDATE(B323,-12),Database!$A:$AS,MATCH($N$1,Database!$A$1:$AS$1,),))))</f>
        <v/>
      </c>
      <c r="O323" s="13">
        <f>IF(VLOOKUP(B323,Database!$A:$AV,MATCH($O$1,Database!$A$1:$AV$1,),)=0,"#N/A",((((VLOOKUP(B323,Database!$A:$AS,MATCH($O$1,Database!$A$1:$AS$1,),))))-(((VLOOKUP(EDATE(B323,-12),Database!$A:$AS,MATCH($O$1,Database!$A$1:$AS$1,),)))))/(((VLOOKUP(EDATE(B323,-12),Database!$A:$AS,MATCH($O$1,Database!$A$1:$AS$1,),)))))</f>
        <v/>
      </c>
      <c r="P323" s="13">
        <f>IF(VLOOKUP(B323,Database!$A:$AV,MATCH($P$1,Database!$A$1:$AV$1,),)=0,"#N/A",((((VLOOKUP(B323,Database!$A:$AS,MATCH($P$1,Database!$A$1:$AS$1,),))))-(((VLOOKUP(EDATE(B323,-12),Database!$A:$AS,MATCH($P$1,Database!$A$1:$AS$1,),)))))/(((VLOOKUP(EDATE(B323,-12),Database!$A:$AS,MATCH($P$1,Database!$A$1:$AS$1,),)))))</f>
        <v/>
      </c>
      <c r="Q323" s="13">
        <f>IF(VLOOKUP(B323,Database!$A:$AV,MATCH($Q$1,Database!$A$1:$AV$1,),)=0,"#N/A",((((VLOOKUP(B323,Database!$A:$AS,MATCH($Q$1,Database!$A$1:$AS$1,),))))-(((VLOOKUP(EDATE(B323,-12),Database!$A:$AS,MATCH($Q$1,Database!$A$1:$AS$1,),)))))/(((VLOOKUP(EDATE(B323,-12),Database!$A:$AS,MATCH($Q$1,Database!$A$1:$AS$1,),)))))</f>
        <v/>
      </c>
      <c r="R323" s="13">
        <f>IF(VLOOKUP(B323,Database!$A:$AV,MATCH($R$1,Database!$A$1:$AV$1,),)=0,"#N/A",((((VLOOKUP(B323,Database!$A:$AS,MATCH($R$1,Database!$A$1:$AS$1,),))))-(((VLOOKUP(EDATE(B323,-12),Database!$A:$AS,MATCH($R$1,Database!$A$1:$AS$1,),)))))/(((VLOOKUP(EDATE(B323,-12),Database!$A:$AS,MATCH($R$1,Database!$A$1:$AS$1,),)))))</f>
        <v/>
      </c>
      <c r="S323" s="13">
        <f>IF(VLOOKUP(B323,Database!$A:$AV,MATCH($S$1,Database!$A$1:$AV$1,),)=0,"#N/A",((((VLOOKUP(B323,Database!$A:$AS,MATCH($S$1,Database!$A$1:$AS$1,),))))-(((VLOOKUP(EDATE(B323,-12),Database!$A:$AS,MATCH($S$1,Database!$A$1:$AS$1,),)))))/(((VLOOKUP(EDATE(B323,-12),Database!$A:$AS,MATCH($S$1,Database!$A$1:$AS$1,),)))))</f>
        <v/>
      </c>
      <c r="T323" s="13">
        <f>IF(VLOOKUP(B323,Database!$A:$AV,MATCH($T$1,Database!$A$1:$AV$1,),)=0,"#N/A",((((VLOOKUP(B323,Database!$A:$AS,MATCH($T$1,Database!$A$1:$AS$1,),))))-(((VLOOKUP(EDATE(B323,-12),Database!$A:$AS,MATCH($T$1,Database!$A$1:$AS$1,),)))))/(((VLOOKUP(EDATE(B323,-12),Database!$A:$AS,MATCH($T$1,Database!$A$1:$AS$1,),)))))</f>
        <v/>
      </c>
      <c r="U323" s="13">
        <f>IF(VLOOKUP(B323,Database!$A:$AV,MATCH($U$1,Database!$A$1:$AV$1,),)=0,"#N/A",((((VLOOKUP(B323,Database!$A:$AS,MATCH($U$1,Database!$A$1:$AS$1,),))))-(((VLOOKUP(EDATE(B323,-12),Database!$A:$AS,MATCH($U$1,Database!$A$1:$AS$1,),)))))/(((VLOOKUP(EDATE(B323,-12),Database!$A:$AS,MATCH($U$1,Database!$A$1:$AS$1,),)))))</f>
        <v/>
      </c>
      <c r="V323" s="13">
        <f>IF(VLOOKUP(B323,Database!$A:$AV,MATCH($V$1,Database!$A$1:$AV$1,),)=0,"#N/A",((((VLOOKUP(B323,Database!$A:$AS,MATCH($V$1,Database!$A$1:$AS$1,),))))-(((VLOOKUP(EDATE(B323,-12),Database!$A:$AS,MATCH($V$1,Database!$A$1:$AS$1,),)))))/(((VLOOKUP(EDATE(B323,-12),Database!$A:$AS,MATCH($V$1,Database!$A$1:$AS$1,),)))))</f>
        <v/>
      </c>
    </row>
    <row r="324" customFormat="1" s="86">
      <c r="A324" s="43" t="n"/>
      <c r="B324" s="75" t="n">
        <v>42005</v>
      </c>
      <c r="C324" s="13">
        <f>IF(VLOOKUP(B324,Database!$A:$AU,MATCH($C$1,Database!$A$1:$AU$1,),)=0,"#N/A",((((VLOOKUP(B324,Database!$A:$AU,MATCH($C$1,Database!$A$1:$AU$1,),))))-(((VLOOKUP(EDATE(B324,-12),Database!$A:$AU,MATCH($C$1,Database!$A$1:$AU$1,),)))))/(((VLOOKUP(EDATE(B324,-12),Database!$A:$AU,MATCH($C$1,Database!$A$1:$AU$1,),)))))</f>
        <v/>
      </c>
      <c r="D324" s="13">
        <f>IF(VLOOKUP(B324,Database!$A:$AV,MATCH($D$1,Database!$A$1:$AV$1,),)=0,"#N/A",((((VLOOKUP(B324,Database!$A:$AS,MATCH($D$1,Database!$A$1:$AS$1,),))))-(((VLOOKUP(EDATE(B324,-12),Database!$A:$AS,MATCH($D$1,Database!$A$1:$AS$1,),)))))/(((VLOOKUP(EDATE(B324,-12),Database!$A:$AS,MATCH($D$1,Database!$A$1:$AS$1,),)))))</f>
        <v/>
      </c>
      <c r="E324" s="13">
        <f>IF(VLOOKUP(B324,Database!$A:$AV,MATCH($E$1,Database!$A$1:$AV$1,),)=0,"#N/A",((((VLOOKUP(B324,Database!$A:$AS,MATCH($E$1,Database!$A$1:$AS$1,),))))-(((VLOOKUP(EDATE(B324,-12),Database!$A:$AS,MATCH($E$1,Database!$A$1:$AS$1,),)))))/(((VLOOKUP(EDATE(B324,-12),Database!$A:$AS,MATCH($E$1,Database!$A$1:$AS$1,),)))))</f>
        <v/>
      </c>
      <c r="F324" s="13">
        <f>IF(VLOOKUP(B324,Database!$A:$AV,MATCH($F$1,Database!$A$1:$AV$1,),)=0,"#N/A",((((VLOOKUP(B324,Database!$A:$AS,MATCH($F$1,Database!$A$1:$AS$1,),))))-(((VLOOKUP(EDATE(B324,-12),Database!$A:$AS,MATCH($F$1,Database!$A$1:$AS$1,),)))))/(((VLOOKUP(EDATE(B324,-12),Database!$A:$AS,MATCH($F$1,Database!$A$1:$AS$1,),)))))</f>
        <v/>
      </c>
      <c r="G324" s="13">
        <f>IF(VLOOKUP(B324,Database!$A:$AV,MATCH($G$1,Database!$A$1:$AV$1,),)=0,"#N/A",((((VLOOKUP(B324,Database!$A:$AS,MATCH($G$1,Database!$A$1:$AS$1,),))))-(((VLOOKUP(EDATE(B324,-12),Database!$A:$AS,MATCH($G$1,Database!$A$1:$AS$1,),)))))/(((VLOOKUP(EDATE(B324,-12),Database!$A:$AS,MATCH($G$1,Database!$A$1:$AS$1,),)))))</f>
        <v/>
      </c>
      <c r="H324" s="13">
        <f>IF(VLOOKUP(B324,Database!$A:$AV,MATCH($H$1,Database!$A$1:$AV$1,),)=0,"#N/A",((((VLOOKUP(B324,Database!$A:$AS,MATCH($H$1,Database!$A$1:$AS$1,),))))-(((VLOOKUP(EDATE(B324,-12),Database!$A:$AS,MATCH($H$1,Database!$A$1:$AS$1,),)))))/(((VLOOKUP(EDATE(B324,-12),Database!$A:$AS,MATCH($H$1,Database!$A$1:$AS$1,),)))))</f>
        <v/>
      </c>
      <c r="I324" s="13">
        <f>IF(VLOOKUP(B324,Database!$A:$AV,MATCH($I$1,Database!$A$1:$AV$1,),)=0,"#N/A",((((VLOOKUP(B324,Database!$A:$AS,MATCH($I$1,Database!$A$1:$AS$1,),))))-(((VLOOKUP(EDATE(B324,-12),Database!$A:$AS,MATCH($I$1,Database!$A$1:$AS$1,),)))))/(((VLOOKUP(EDATE(B324,-12),Database!$A:$AS,MATCH($I$1,Database!$A$1:$AS$1,),)))))</f>
        <v/>
      </c>
      <c r="J324" s="13">
        <f>IF(VLOOKUP(B324,Database!$A:$AV,MATCH($J$1,Database!$A$1:$AV$1,),)=0,"#N/A",((((VLOOKUP(B324,Database!$A:$AS,MATCH($J$1,Database!$A$1:$AS$1,),))))-(((VLOOKUP(EDATE(B324,-12),Database!$A:$AS,MATCH($J$1,Database!$A$1:$AS$1,),)))))/(((VLOOKUP(EDATE(B324,-12),Database!$A:$AS,MATCH($J$1,Database!$A$1:$AS$1,),)))))</f>
        <v/>
      </c>
      <c r="K324" s="13">
        <f>IF(VLOOKUP(B324,Database!$A:$AV,MATCH($K$1,Database!$A$1:$AV$1,),)=0,"#N/A",((((VLOOKUP(B324,Database!$A:$AS,MATCH($K$1,Database!$A$1:$AS$1,),))))-(((VLOOKUP(EDATE(B324,-12),Database!$A:$AS,MATCH($K$1,Database!$A$1:$AS$1,),)))))/(((VLOOKUP(EDATE(B324,-12),Database!$A:$AS,MATCH($K$1,Database!$A$1:$AS$1,),)))))</f>
        <v/>
      </c>
      <c r="L324" s="13">
        <f>((((VLOOKUP(B324,Database!$A:$AS,MATCH($L$1,Database!$A$1:$AS$1,),))))-(((VLOOKUP(EDATE(B324,-12),Database!$A:$AS,MATCH($L$1,Database!$A$1:$AS$1,),)))))/(((VLOOKUP(EDATE(B324,-12),Database!$A:$AS,MATCH($L$1,Database!$A$1:$AS$1,),))))</f>
        <v/>
      </c>
      <c r="M324" s="13">
        <f>((((VLOOKUP(B324,Database!$A:$AS,MATCH($M$1,Database!$A$1:$AS$1,),))))-(((VLOOKUP(EDATE(B324,-12),Database!$A:$AS,MATCH($M$1,Database!$A$1:$AS$1,),)))))/(((VLOOKUP(EDATE(B324,-12),Database!$A:$AS,MATCH($M$1,Database!$A$1:$AS$1,),))))</f>
        <v/>
      </c>
      <c r="N324" s="13">
        <f>((((VLOOKUP(B324,Database!$A:$AS,MATCH($N$1,Database!$A$1:$AS$1,),))))-(((VLOOKUP(EDATE(B324,-12),Database!$A:$AS,MATCH($N$1,Database!$A$1:$AS$1,),)))))/(((VLOOKUP(EDATE(B324,-12),Database!$A:$AS,MATCH($N$1,Database!$A$1:$AS$1,),))))</f>
        <v/>
      </c>
      <c r="O324" s="13">
        <f>IF(VLOOKUP(B324,Database!$A:$AV,MATCH($O$1,Database!$A$1:$AV$1,),)=0,"#N/A",((((VLOOKUP(B324,Database!$A:$AS,MATCH($O$1,Database!$A$1:$AS$1,),))))-(((VLOOKUP(EDATE(B324,-12),Database!$A:$AS,MATCH($O$1,Database!$A$1:$AS$1,),)))))/(((VLOOKUP(EDATE(B324,-12),Database!$A:$AS,MATCH($O$1,Database!$A$1:$AS$1,),)))))</f>
        <v/>
      </c>
      <c r="P324" s="13">
        <f>IF(VLOOKUP(B324,Database!$A:$AV,MATCH($P$1,Database!$A$1:$AV$1,),)=0,"#N/A",((((VLOOKUP(B324,Database!$A:$AS,MATCH($P$1,Database!$A$1:$AS$1,),))))-(((VLOOKUP(EDATE(B324,-12),Database!$A:$AS,MATCH($P$1,Database!$A$1:$AS$1,),)))))/(((VLOOKUP(EDATE(B324,-12),Database!$A:$AS,MATCH($P$1,Database!$A$1:$AS$1,),)))))</f>
        <v/>
      </c>
      <c r="Q324" s="13">
        <f>IF(VLOOKUP(B324,Database!$A:$AV,MATCH($Q$1,Database!$A$1:$AV$1,),)=0,"#N/A",((((VLOOKUP(B324,Database!$A:$AS,MATCH($Q$1,Database!$A$1:$AS$1,),))))-(((VLOOKUP(EDATE(B324,-12),Database!$A:$AS,MATCH($Q$1,Database!$A$1:$AS$1,),)))))/(((VLOOKUP(EDATE(B324,-12),Database!$A:$AS,MATCH($Q$1,Database!$A$1:$AS$1,),)))))</f>
        <v/>
      </c>
      <c r="R324" s="13">
        <f>IF(VLOOKUP(B324,Database!$A:$AV,MATCH($R$1,Database!$A$1:$AV$1,),)=0,"#N/A",((((VLOOKUP(B324,Database!$A:$AS,MATCH($R$1,Database!$A$1:$AS$1,),))))-(((VLOOKUP(EDATE(B324,-12),Database!$A:$AS,MATCH($R$1,Database!$A$1:$AS$1,),)))))/(((VLOOKUP(EDATE(B324,-12),Database!$A:$AS,MATCH($R$1,Database!$A$1:$AS$1,),)))))</f>
        <v/>
      </c>
      <c r="S324" s="13">
        <f>IF(VLOOKUP(B324,Database!$A:$AV,MATCH($S$1,Database!$A$1:$AV$1,),)=0,"#N/A",((((VLOOKUP(B324,Database!$A:$AS,MATCH($S$1,Database!$A$1:$AS$1,),))))-(((VLOOKUP(EDATE(B324,-12),Database!$A:$AS,MATCH($S$1,Database!$A$1:$AS$1,),)))))/(((VLOOKUP(EDATE(B324,-12),Database!$A:$AS,MATCH($S$1,Database!$A$1:$AS$1,),)))))</f>
        <v/>
      </c>
      <c r="T324" s="13">
        <f>IF(VLOOKUP(B324,Database!$A:$AV,MATCH($T$1,Database!$A$1:$AV$1,),)=0,"#N/A",((((VLOOKUP(B324,Database!$A:$AS,MATCH($T$1,Database!$A$1:$AS$1,),))))-(((VLOOKUP(EDATE(B324,-12),Database!$A:$AS,MATCH($T$1,Database!$A$1:$AS$1,),)))))/(((VLOOKUP(EDATE(B324,-12),Database!$A:$AS,MATCH($T$1,Database!$A$1:$AS$1,),)))))</f>
        <v/>
      </c>
      <c r="U324" s="13">
        <f>IF(VLOOKUP(B324,Database!$A:$AV,MATCH($U$1,Database!$A$1:$AV$1,),)=0,"#N/A",((((VLOOKUP(B324,Database!$A:$AS,MATCH($U$1,Database!$A$1:$AS$1,),))))-(((VLOOKUP(EDATE(B324,-12),Database!$A:$AS,MATCH($U$1,Database!$A$1:$AS$1,),)))))/(((VLOOKUP(EDATE(B324,-12),Database!$A:$AS,MATCH($U$1,Database!$A$1:$AS$1,),)))))</f>
        <v/>
      </c>
      <c r="V324" s="13">
        <f>IF(VLOOKUP(B324,Database!$A:$AV,MATCH($V$1,Database!$A$1:$AV$1,),)=0,"#N/A",((((VLOOKUP(B324,Database!$A:$AS,MATCH($V$1,Database!$A$1:$AS$1,),))))-(((VLOOKUP(EDATE(B324,-12),Database!$A:$AS,MATCH($V$1,Database!$A$1:$AS$1,),)))))/(((VLOOKUP(EDATE(B324,-12),Database!$A:$AS,MATCH($V$1,Database!$A$1:$AS$1,),)))))</f>
        <v/>
      </c>
    </row>
    <row r="325" customFormat="1" s="86">
      <c r="A325" s="43" t="n"/>
      <c r="B325" s="75" t="n">
        <v>42036</v>
      </c>
      <c r="C325" s="13">
        <f>IF(VLOOKUP(B325,Database!$A:$AU,MATCH($C$1,Database!$A$1:$AU$1,),)=0,"#N/A",((((VLOOKUP(B325,Database!$A:$AU,MATCH($C$1,Database!$A$1:$AU$1,),))))-(((VLOOKUP(EDATE(B325,-12),Database!$A:$AU,MATCH($C$1,Database!$A$1:$AU$1,),)))))/(((VLOOKUP(EDATE(B325,-12),Database!$A:$AU,MATCH($C$1,Database!$A$1:$AU$1,),)))))</f>
        <v/>
      </c>
      <c r="D325" s="13">
        <f>IF(VLOOKUP(B325,Database!$A:$AV,MATCH($D$1,Database!$A$1:$AV$1,),)=0,"#N/A",((((VLOOKUP(B325,Database!$A:$AS,MATCH($D$1,Database!$A$1:$AS$1,),))))-(((VLOOKUP(EDATE(B325,-12),Database!$A:$AS,MATCH($D$1,Database!$A$1:$AS$1,),)))))/(((VLOOKUP(EDATE(B325,-12),Database!$A:$AS,MATCH($D$1,Database!$A$1:$AS$1,),)))))</f>
        <v/>
      </c>
      <c r="E325" s="13">
        <f>IF(VLOOKUP(B325,Database!$A:$AV,MATCH($E$1,Database!$A$1:$AV$1,),)=0,"#N/A",((((VLOOKUP(B325,Database!$A:$AS,MATCH($E$1,Database!$A$1:$AS$1,),))))-(((VLOOKUP(EDATE(B325,-12),Database!$A:$AS,MATCH($E$1,Database!$A$1:$AS$1,),)))))/(((VLOOKUP(EDATE(B325,-12),Database!$A:$AS,MATCH($E$1,Database!$A$1:$AS$1,),)))))</f>
        <v/>
      </c>
      <c r="F325" s="13">
        <f>IF(VLOOKUP(B325,Database!$A:$AV,MATCH($F$1,Database!$A$1:$AV$1,),)=0,"#N/A",((((VLOOKUP(B325,Database!$A:$AS,MATCH($F$1,Database!$A$1:$AS$1,),))))-(((VLOOKUP(EDATE(B325,-12),Database!$A:$AS,MATCH($F$1,Database!$A$1:$AS$1,),)))))/(((VLOOKUP(EDATE(B325,-12),Database!$A:$AS,MATCH($F$1,Database!$A$1:$AS$1,),)))))</f>
        <v/>
      </c>
      <c r="G325" s="13">
        <f>IF(VLOOKUP(B325,Database!$A:$AV,MATCH($G$1,Database!$A$1:$AV$1,),)=0,"#N/A",((((VLOOKUP(B325,Database!$A:$AS,MATCH($G$1,Database!$A$1:$AS$1,),))))-(((VLOOKUP(EDATE(B325,-12),Database!$A:$AS,MATCH($G$1,Database!$A$1:$AS$1,),)))))/(((VLOOKUP(EDATE(B325,-12),Database!$A:$AS,MATCH($G$1,Database!$A$1:$AS$1,),)))))</f>
        <v/>
      </c>
      <c r="H325" s="13">
        <f>IF(VLOOKUP(B325,Database!$A:$AV,MATCH($H$1,Database!$A$1:$AV$1,),)=0,"#N/A",((((VLOOKUP(B325,Database!$A:$AS,MATCH($H$1,Database!$A$1:$AS$1,),))))-(((VLOOKUP(EDATE(B325,-12),Database!$A:$AS,MATCH($H$1,Database!$A$1:$AS$1,),)))))/(((VLOOKUP(EDATE(B325,-12),Database!$A:$AS,MATCH($H$1,Database!$A$1:$AS$1,),)))))</f>
        <v/>
      </c>
      <c r="I325" s="13">
        <f>IF(VLOOKUP(B325,Database!$A:$AV,MATCH($I$1,Database!$A$1:$AV$1,),)=0,"#N/A",((((VLOOKUP(B325,Database!$A:$AS,MATCH($I$1,Database!$A$1:$AS$1,),))))-(((VLOOKUP(EDATE(B325,-12),Database!$A:$AS,MATCH($I$1,Database!$A$1:$AS$1,),)))))/(((VLOOKUP(EDATE(B325,-12),Database!$A:$AS,MATCH($I$1,Database!$A$1:$AS$1,),)))))</f>
        <v/>
      </c>
      <c r="J325" s="13">
        <f>IF(VLOOKUP(B325,Database!$A:$AV,MATCH($J$1,Database!$A$1:$AV$1,),)=0,"#N/A",((((VLOOKUP(B325,Database!$A:$AS,MATCH($J$1,Database!$A$1:$AS$1,),))))-(((VLOOKUP(EDATE(B325,-12),Database!$A:$AS,MATCH($J$1,Database!$A$1:$AS$1,),)))))/(((VLOOKUP(EDATE(B325,-12),Database!$A:$AS,MATCH($J$1,Database!$A$1:$AS$1,),)))))</f>
        <v/>
      </c>
      <c r="K325" s="13">
        <f>IF(VLOOKUP(B325,Database!$A:$AV,MATCH($K$1,Database!$A$1:$AV$1,),)=0,"#N/A",((((VLOOKUP(B325,Database!$A:$AS,MATCH($K$1,Database!$A$1:$AS$1,),))))-(((VLOOKUP(EDATE(B325,-12),Database!$A:$AS,MATCH($K$1,Database!$A$1:$AS$1,),)))))/(((VLOOKUP(EDATE(B325,-12),Database!$A:$AS,MATCH($K$1,Database!$A$1:$AS$1,),)))))</f>
        <v/>
      </c>
      <c r="L325" s="13">
        <f>((((VLOOKUP(B325,Database!$A:$AS,MATCH($L$1,Database!$A$1:$AS$1,),))))-(((VLOOKUP(EDATE(B325,-12),Database!$A:$AS,MATCH($L$1,Database!$A$1:$AS$1,),)))))/(((VLOOKUP(EDATE(B325,-12),Database!$A:$AS,MATCH($L$1,Database!$A$1:$AS$1,),))))</f>
        <v/>
      </c>
      <c r="M325" s="13">
        <f>((((VLOOKUP(B325,Database!$A:$AS,MATCH($M$1,Database!$A$1:$AS$1,),))))-(((VLOOKUP(EDATE(B325,-12),Database!$A:$AS,MATCH($M$1,Database!$A$1:$AS$1,),)))))/(((VLOOKUP(EDATE(B325,-12),Database!$A:$AS,MATCH($M$1,Database!$A$1:$AS$1,),))))</f>
        <v/>
      </c>
      <c r="N325" s="13">
        <f>((((VLOOKUP(B325,Database!$A:$AS,MATCH($N$1,Database!$A$1:$AS$1,),))))-(((VLOOKUP(EDATE(B325,-12),Database!$A:$AS,MATCH($N$1,Database!$A$1:$AS$1,),)))))/(((VLOOKUP(EDATE(B325,-12),Database!$A:$AS,MATCH($N$1,Database!$A$1:$AS$1,),))))</f>
        <v/>
      </c>
      <c r="O325" s="13">
        <f>IF(VLOOKUP(B325,Database!$A:$AV,MATCH($O$1,Database!$A$1:$AV$1,),)=0,"#N/A",((((VLOOKUP(B325,Database!$A:$AS,MATCH($O$1,Database!$A$1:$AS$1,),))))-(((VLOOKUP(EDATE(B325,-12),Database!$A:$AS,MATCH($O$1,Database!$A$1:$AS$1,),)))))/(((VLOOKUP(EDATE(B325,-12),Database!$A:$AS,MATCH($O$1,Database!$A$1:$AS$1,),)))))</f>
        <v/>
      </c>
      <c r="P325" s="13">
        <f>IF(VLOOKUP(B325,Database!$A:$AV,MATCH($P$1,Database!$A$1:$AV$1,),)=0,"#N/A",((((VLOOKUP(B325,Database!$A:$AS,MATCH($P$1,Database!$A$1:$AS$1,),))))-(((VLOOKUP(EDATE(B325,-12),Database!$A:$AS,MATCH($P$1,Database!$A$1:$AS$1,),)))))/(((VLOOKUP(EDATE(B325,-12),Database!$A:$AS,MATCH($P$1,Database!$A$1:$AS$1,),)))))</f>
        <v/>
      </c>
      <c r="Q325" s="13">
        <f>IF(VLOOKUP(B325,Database!$A:$AV,MATCH($Q$1,Database!$A$1:$AV$1,),)=0,"#N/A",((((VLOOKUP(B325,Database!$A:$AS,MATCH($Q$1,Database!$A$1:$AS$1,),))))-(((VLOOKUP(EDATE(B325,-12),Database!$A:$AS,MATCH($Q$1,Database!$A$1:$AS$1,),)))))/(((VLOOKUP(EDATE(B325,-12),Database!$A:$AS,MATCH($Q$1,Database!$A$1:$AS$1,),)))))</f>
        <v/>
      </c>
      <c r="R325" s="13">
        <f>IF(VLOOKUP(B325,Database!$A:$AV,MATCH($R$1,Database!$A$1:$AV$1,),)=0,"#N/A",((((VLOOKUP(B325,Database!$A:$AS,MATCH($R$1,Database!$A$1:$AS$1,),))))-(((VLOOKUP(EDATE(B325,-12),Database!$A:$AS,MATCH($R$1,Database!$A$1:$AS$1,),)))))/(((VLOOKUP(EDATE(B325,-12),Database!$A:$AS,MATCH($R$1,Database!$A$1:$AS$1,),)))))</f>
        <v/>
      </c>
      <c r="S325" s="13">
        <f>IF(VLOOKUP(B325,Database!$A:$AV,MATCH($S$1,Database!$A$1:$AV$1,),)=0,"#N/A",((((VLOOKUP(B325,Database!$A:$AS,MATCH($S$1,Database!$A$1:$AS$1,),))))-(((VLOOKUP(EDATE(B325,-12),Database!$A:$AS,MATCH($S$1,Database!$A$1:$AS$1,),)))))/(((VLOOKUP(EDATE(B325,-12),Database!$A:$AS,MATCH($S$1,Database!$A$1:$AS$1,),)))))</f>
        <v/>
      </c>
      <c r="T325" s="13">
        <f>IF(VLOOKUP(B325,Database!$A:$AV,MATCH($T$1,Database!$A$1:$AV$1,),)=0,"#N/A",((((VLOOKUP(B325,Database!$A:$AS,MATCH($T$1,Database!$A$1:$AS$1,),))))-(((VLOOKUP(EDATE(B325,-12),Database!$A:$AS,MATCH($T$1,Database!$A$1:$AS$1,),)))))/(((VLOOKUP(EDATE(B325,-12),Database!$A:$AS,MATCH($T$1,Database!$A$1:$AS$1,),)))))</f>
        <v/>
      </c>
      <c r="U325" s="13">
        <f>IF(VLOOKUP(B325,Database!$A:$AV,MATCH($U$1,Database!$A$1:$AV$1,),)=0,"#N/A",((((VLOOKUP(B325,Database!$A:$AS,MATCH($U$1,Database!$A$1:$AS$1,),))))-(((VLOOKUP(EDATE(B325,-12),Database!$A:$AS,MATCH($U$1,Database!$A$1:$AS$1,),)))))/(((VLOOKUP(EDATE(B325,-12),Database!$A:$AS,MATCH($U$1,Database!$A$1:$AS$1,),)))))</f>
        <v/>
      </c>
      <c r="V325" s="13">
        <f>IF(VLOOKUP(B325,Database!$A:$AV,MATCH($V$1,Database!$A$1:$AV$1,),)=0,"#N/A",((((VLOOKUP(B325,Database!$A:$AS,MATCH($V$1,Database!$A$1:$AS$1,),))))-(((VLOOKUP(EDATE(B325,-12),Database!$A:$AS,MATCH($V$1,Database!$A$1:$AS$1,),)))))/(((VLOOKUP(EDATE(B325,-12),Database!$A:$AS,MATCH($V$1,Database!$A$1:$AS$1,),)))))</f>
        <v/>
      </c>
    </row>
    <row r="326" customFormat="1" s="86">
      <c r="A326" s="43" t="n"/>
      <c r="B326" s="75" t="n">
        <v>42064</v>
      </c>
      <c r="C326" s="13">
        <f>IF(VLOOKUP(B326,Database!$A:$AU,MATCH($C$1,Database!$A$1:$AU$1,),)=0,"#N/A",((((VLOOKUP(B326,Database!$A:$AU,MATCH($C$1,Database!$A$1:$AU$1,),))))-(((VLOOKUP(EDATE(B326,-12),Database!$A:$AU,MATCH($C$1,Database!$A$1:$AU$1,),)))))/(((VLOOKUP(EDATE(B326,-12),Database!$A:$AU,MATCH($C$1,Database!$A$1:$AU$1,),)))))</f>
        <v/>
      </c>
      <c r="D326" s="13">
        <f>IF(VLOOKUP(B326,Database!$A:$AV,MATCH($D$1,Database!$A$1:$AV$1,),)=0,"#N/A",((((VLOOKUP(B326,Database!$A:$AS,MATCH($D$1,Database!$A$1:$AS$1,),))))-(((VLOOKUP(EDATE(B326,-12),Database!$A:$AS,MATCH($D$1,Database!$A$1:$AS$1,),)))))/(((VLOOKUP(EDATE(B326,-12),Database!$A:$AS,MATCH($D$1,Database!$A$1:$AS$1,),)))))</f>
        <v/>
      </c>
      <c r="E326" s="13">
        <f>IF(VLOOKUP(B326,Database!$A:$AV,MATCH($E$1,Database!$A$1:$AV$1,),)=0,"#N/A",((((VLOOKUP(B326,Database!$A:$AS,MATCH($E$1,Database!$A$1:$AS$1,),))))-(((VLOOKUP(EDATE(B326,-12),Database!$A:$AS,MATCH($E$1,Database!$A$1:$AS$1,),)))))/(((VLOOKUP(EDATE(B326,-12),Database!$A:$AS,MATCH($E$1,Database!$A$1:$AS$1,),)))))</f>
        <v/>
      </c>
      <c r="F326" s="13">
        <f>IF(VLOOKUP(B326,Database!$A:$AV,MATCH($F$1,Database!$A$1:$AV$1,),)=0,"#N/A",((((VLOOKUP(B326,Database!$A:$AS,MATCH($F$1,Database!$A$1:$AS$1,),))))-(((VLOOKUP(EDATE(B326,-12),Database!$A:$AS,MATCH($F$1,Database!$A$1:$AS$1,),)))))/(((VLOOKUP(EDATE(B326,-12),Database!$A:$AS,MATCH($F$1,Database!$A$1:$AS$1,),)))))</f>
        <v/>
      </c>
      <c r="G326" s="13">
        <f>IF(VLOOKUP(B326,Database!$A:$AV,MATCH($G$1,Database!$A$1:$AV$1,),)=0,"#N/A",((((VLOOKUP(B326,Database!$A:$AS,MATCH($G$1,Database!$A$1:$AS$1,),))))-(((VLOOKUP(EDATE(B326,-12),Database!$A:$AS,MATCH($G$1,Database!$A$1:$AS$1,),)))))/(((VLOOKUP(EDATE(B326,-12),Database!$A:$AS,MATCH($G$1,Database!$A$1:$AS$1,),)))))</f>
        <v/>
      </c>
      <c r="H326" s="13">
        <f>IF(VLOOKUP(B326,Database!$A:$AV,MATCH($H$1,Database!$A$1:$AV$1,),)=0,"#N/A",((((VLOOKUP(B326,Database!$A:$AS,MATCH($H$1,Database!$A$1:$AS$1,),))))-(((VLOOKUP(EDATE(B326,-12),Database!$A:$AS,MATCH($H$1,Database!$A$1:$AS$1,),)))))/(((VLOOKUP(EDATE(B326,-12),Database!$A:$AS,MATCH($H$1,Database!$A$1:$AS$1,),)))))</f>
        <v/>
      </c>
      <c r="I326" s="13">
        <f>IF(VLOOKUP(B326,Database!$A:$AV,MATCH($I$1,Database!$A$1:$AV$1,),)=0,"#N/A",((((VLOOKUP(B326,Database!$A:$AS,MATCH($I$1,Database!$A$1:$AS$1,),))))-(((VLOOKUP(EDATE(B326,-12),Database!$A:$AS,MATCH($I$1,Database!$A$1:$AS$1,),)))))/(((VLOOKUP(EDATE(B326,-12),Database!$A:$AS,MATCH($I$1,Database!$A$1:$AS$1,),)))))</f>
        <v/>
      </c>
      <c r="J326" s="13">
        <f>IF(VLOOKUP(B326,Database!$A:$AV,MATCH($J$1,Database!$A$1:$AV$1,),)=0,"#N/A",((((VLOOKUP(B326,Database!$A:$AS,MATCH($J$1,Database!$A$1:$AS$1,),))))-(((VLOOKUP(EDATE(B326,-12),Database!$A:$AS,MATCH($J$1,Database!$A$1:$AS$1,),)))))/(((VLOOKUP(EDATE(B326,-12),Database!$A:$AS,MATCH($J$1,Database!$A$1:$AS$1,),)))))</f>
        <v/>
      </c>
      <c r="K326" s="13">
        <f>IF(VLOOKUP(B326,Database!$A:$AV,MATCH($K$1,Database!$A$1:$AV$1,),)=0,"#N/A",((((VLOOKUP(B326,Database!$A:$AS,MATCH($K$1,Database!$A$1:$AS$1,),))))-(((VLOOKUP(EDATE(B326,-12),Database!$A:$AS,MATCH($K$1,Database!$A$1:$AS$1,),)))))/(((VLOOKUP(EDATE(B326,-12),Database!$A:$AS,MATCH($K$1,Database!$A$1:$AS$1,),)))))</f>
        <v/>
      </c>
      <c r="L326" s="13">
        <f>((((VLOOKUP(B326,Database!$A:$AS,MATCH($L$1,Database!$A$1:$AS$1,),))))-(((VLOOKUP(EDATE(B326,-12),Database!$A:$AS,MATCH($L$1,Database!$A$1:$AS$1,),)))))/(((VLOOKUP(EDATE(B326,-12),Database!$A:$AS,MATCH($L$1,Database!$A$1:$AS$1,),))))</f>
        <v/>
      </c>
      <c r="M326" s="13">
        <f>((((VLOOKUP(B326,Database!$A:$AS,MATCH($M$1,Database!$A$1:$AS$1,),))))-(((VLOOKUP(EDATE(B326,-12),Database!$A:$AS,MATCH($M$1,Database!$A$1:$AS$1,),)))))/(((VLOOKUP(EDATE(B326,-12),Database!$A:$AS,MATCH($M$1,Database!$A$1:$AS$1,),))))</f>
        <v/>
      </c>
      <c r="N326" s="13">
        <f>((((VLOOKUP(B326,Database!$A:$AS,MATCH($N$1,Database!$A$1:$AS$1,),))))-(((VLOOKUP(EDATE(B326,-12),Database!$A:$AS,MATCH($N$1,Database!$A$1:$AS$1,),)))))/(((VLOOKUP(EDATE(B326,-12),Database!$A:$AS,MATCH($N$1,Database!$A$1:$AS$1,),))))</f>
        <v/>
      </c>
      <c r="O326" s="13">
        <f>IF(VLOOKUP(B326,Database!$A:$AV,MATCH($O$1,Database!$A$1:$AV$1,),)=0,"#N/A",((((VLOOKUP(B326,Database!$A:$AS,MATCH($O$1,Database!$A$1:$AS$1,),))))-(((VLOOKUP(EDATE(B326,-12),Database!$A:$AS,MATCH($O$1,Database!$A$1:$AS$1,),)))))/(((VLOOKUP(EDATE(B326,-12),Database!$A:$AS,MATCH($O$1,Database!$A$1:$AS$1,),)))))</f>
        <v/>
      </c>
      <c r="P326" s="13">
        <f>IF(VLOOKUP(B326,Database!$A:$AV,MATCH($P$1,Database!$A$1:$AV$1,),)=0,"#N/A",((((VLOOKUP(B326,Database!$A:$AS,MATCH($P$1,Database!$A$1:$AS$1,),))))-(((VLOOKUP(EDATE(B326,-12),Database!$A:$AS,MATCH($P$1,Database!$A$1:$AS$1,),)))))/(((VLOOKUP(EDATE(B326,-12),Database!$A:$AS,MATCH($P$1,Database!$A$1:$AS$1,),)))))</f>
        <v/>
      </c>
      <c r="Q326" s="13">
        <f>IF(VLOOKUP(B326,Database!$A:$AV,MATCH($Q$1,Database!$A$1:$AV$1,),)=0,"#N/A",((((VLOOKUP(B326,Database!$A:$AS,MATCH($Q$1,Database!$A$1:$AS$1,),))))-(((VLOOKUP(EDATE(B326,-12),Database!$A:$AS,MATCH($Q$1,Database!$A$1:$AS$1,),)))))/(((VLOOKUP(EDATE(B326,-12),Database!$A:$AS,MATCH($Q$1,Database!$A$1:$AS$1,),)))))</f>
        <v/>
      </c>
      <c r="R326" s="13">
        <f>IF(VLOOKUP(B326,Database!$A:$AV,MATCH($R$1,Database!$A$1:$AV$1,),)=0,"#N/A",((((VLOOKUP(B326,Database!$A:$AS,MATCH($R$1,Database!$A$1:$AS$1,),))))-(((VLOOKUP(EDATE(B326,-12),Database!$A:$AS,MATCH($R$1,Database!$A$1:$AS$1,),)))))/(((VLOOKUP(EDATE(B326,-12),Database!$A:$AS,MATCH($R$1,Database!$A$1:$AS$1,),)))))</f>
        <v/>
      </c>
      <c r="S326" s="13">
        <f>IF(VLOOKUP(B326,Database!$A:$AV,MATCH($S$1,Database!$A$1:$AV$1,),)=0,"#N/A",((((VLOOKUP(B326,Database!$A:$AS,MATCH($S$1,Database!$A$1:$AS$1,),))))-(((VLOOKUP(EDATE(B326,-12),Database!$A:$AS,MATCH($S$1,Database!$A$1:$AS$1,),)))))/(((VLOOKUP(EDATE(B326,-12),Database!$A:$AS,MATCH($S$1,Database!$A$1:$AS$1,),)))))</f>
        <v/>
      </c>
      <c r="T326" s="13">
        <f>IF(VLOOKUP(B326,Database!$A:$AV,MATCH($T$1,Database!$A$1:$AV$1,),)=0,"#N/A",((((VLOOKUP(B326,Database!$A:$AS,MATCH($T$1,Database!$A$1:$AS$1,),))))-(((VLOOKUP(EDATE(B326,-12),Database!$A:$AS,MATCH($T$1,Database!$A$1:$AS$1,),)))))/(((VLOOKUP(EDATE(B326,-12),Database!$A:$AS,MATCH($T$1,Database!$A$1:$AS$1,),)))))</f>
        <v/>
      </c>
      <c r="U326" s="13">
        <f>IF(VLOOKUP(B326,Database!$A:$AV,MATCH($U$1,Database!$A$1:$AV$1,),)=0,"#N/A",((((VLOOKUP(B326,Database!$A:$AS,MATCH($U$1,Database!$A$1:$AS$1,),))))-(((VLOOKUP(EDATE(B326,-12),Database!$A:$AS,MATCH($U$1,Database!$A$1:$AS$1,),)))))/(((VLOOKUP(EDATE(B326,-12),Database!$A:$AS,MATCH($U$1,Database!$A$1:$AS$1,),)))))</f>
        <v/>
      </c>
      <c r="V326" s="13">
        <f>IF(VLOOKUP(B326,Database!$A:$AV,MATCH($V$1,Database!$A$1:$AV$1,),)=0,"#N/A",((((VLOOKUP(B326,Database!$A:$AS,MATCH($V$1,Database!$A$1:$AS$1,),))))-(((VLOOKUP(EDATE(B326,-12),Database!$A:$AS,MATCH($V$1,Database!$A$1:$AS$1,),)))))/(((VLOOKUP(EDATE(B326,-12),Database!$A:$AS,MATCH($V$1,Database!$A$1:$AS$1,),)))))</f>
        <v/>
      </c>
    </row>
    <row r="327" customFormat="1" s="86">
      <c r="A327" s="43" t="n"/>
      <c r="B327" s="75" t="n">
        <v>42095</v>
      </c>
      <c r="C327" s="13">
        <f>IF(VLOOKUP(B327,Database!$A:$AU,MATCH($C$1,Database!$A$1:$AU$1,),)=0,"#N/A",((((VLOOKUP(B327,Database!$A:$AU,MATCH($C$1,Database!$A$1:$AU$1,),))))-(((VLOOKUP(EDATE(B327,-12),Database!$A:$AU,MATCH($C$1,Database!$A$1:$AU$1,),)))))/(((VLOOKUP(EDATE(B327,-12),Database!$A:$AU,MATCH($C$1,Database!$A$1:$AU$1,),)))))</f>
        <v/>
      </c>
      <c r="D327" s="13">
        <f>IF(VLOOKUP(B327,Database!$A:$AV,MATCH($D$1,Database!$A$1:$AV$1,),)=0,"#N/A",((((VLOOKUP(B327,Database!$A:$AS,MATCH($D$1,Database!$A$1:$AS$1,),))))-(((VLOOKUP(EDATE(B327,-12),Database!$A:$AS,MATCH($D$1,Database!$A$1:$AS$1,),)))))/(((VLOOKUP(EDATE(B327,-12),Database!$A:$AS,MATCH($D$1,Database!$A$1:$AS$1,),)))))</f>
        <v/>
      </c>
      <c r="E327" s="13">
        <f>IF(VLOOKUP(B327,Database!$A:$AV,MATCH($E$1,Database!$A$1:$AV$1,),)=0,"#N/A",((((VLOOKUP(B327,Database!$A:$AS,MATCH($E$1,Database!$A$1:$AS$1,),))))-(((VLOOKUP(EDATE(B327,-12),Database!$A:$AS,MATCH($E$1,Database!$A$1:$AS$1,),)))))/(((VLOOKUP(EDATE(B327,-12),Database!$A:$AS,MATCH($E$1,Database!$A$1:$AS$1,),)))))</f>
        <v/>
      </c>
      <c r="F327" s="13">
        <f>IF(VLOOKUP(B327,Database!$A:$AV,MATCH($F$1,Database!$A$1:$AV$1,),)=0,"#N/A",((((VLOOKUP(B327,Database!$A:$AS,MATCH($F$1,Database!$A$1:$AS$1,),))))-(((VLOOKUP(EDATE(B327,-12),Database!$A:$AS,MATCH($F$1,Database!$A$1:$AS$1,),)))))/(((VLOOKUP(EDATE(B327,-12),Database!$A:$AS,MATCH($F$1,Database!$A$1:$AS$1,),)))))</f>
        <v/>
      </c>
      <c r="G327" s="13">
        <f>IF(VLOOKUP(B327,Database!$A:$AV,MATCH($G$1,Database!$A$1:$AV$1,),)=0,"#N/A",((((VLOOKUP(B327,Database!$A:$AS,MATCH($G$1,Database!$A$1:$AS$1,),))))-(((VLOOKUP(EDATE(B327,-12),Database!$A:$AS,MATCH($G$1,Database!$A$1:$AS$1,),)))))/(((VLOOKUP(EDATE(B327,-12),Database!$A:$AS,MATCH($G$1,Database!$A$1:$AS$1,),)))))</f>
        <v/>
      </c>
      <c r="H327" s="13">
        <f>IF(VLOOKUP(B327,Database!$A:$AV,MATCH($H$1,Database!$A$1:$AV$1,),)=0,"#N/A",((((VLOOKUP(B327,Database!$A:$AS,MATCH($H$1,Database!$A$1:$AS$1,),))))-(((VLOOKUP(EDATE(B327,-12),Database!$A:$AS,MATCH($H$1,Database!$A$1:$AS$1,),)))))/(((VLOOKUP(EDATE(B327,-12),Database!$A:$AS,MATCH($H$1,Database!$A$1:$AS$1,),)))))</f>
        <v/>
      </c>
      <c r="I327" s="13">
        <f>IF(VLOOKUP(B327,Database!$A:$AV,MATCH($I$1,Database!$A$1:$AV$1,),)=0,"#N/A",((((VLOOKUP(B327,Database!$A:$AS,MATCH($I$1,Database!$A$1:$AS$1,),))))-(((VLOOKUP(EDATE(B327,-12),Database!$A:$AS,MATCH($I$1,Database!$A$1:$AS$1,),)))))/(((VLOOKUP(EDATE(B327,-12),Database!$A:$AS,MATCH($I$1,Database!$A$1:$AS$1,),)))))</f>
        <v/>
      </c>
      <c r="J327" s="13">
        <f>IF(VLOOKUP(B327,Database!$A:$AV,MATCH($J$1,Database!$A$1:$AV$1,),)=0,"#N/A",((((VLOOKUP(B327,Database!$A:$AS,MATCH($J$1,Database!$A$1:$AS$1,),))))-(((VLOOKUP(EDATE(B327,-12),Database!$A:$AS,MATCH($J$1,Database!$A$1:$AS$1,),)))))/(((VLOOKUP(EDATE(B327,-12),Database!$A:$AS,MATCH($J$1,Database!$A$1:$AS$1,),)))))</f>
        <v/>
      </c>
      <c r="K327" s="13">
        <f>IF(VLOOKUP(B327,Database!$A:$AV,MATCH($K$1,Database!$A$1:$AV$1,),)=0,"#N/A",((((VLOOKUP(B327,Database!$A:$AS,MATCH($K$1,Database!$A$1:$AS$1,),))))-(((VLOOKUP(EDATE(B327,-12),Database!$A:$AS,MATCH($K$1,Database!$A$1:$AS$1,),)))))/(((VLOOKUP(EDATE(B327,-12),Database!$A:$AS,MATCH($K$1,Database!$A$1:$AS$1,),)))))</f>
        <v/>
      </c>
      <c r="L327" s="13">
        <f>((((VLOOKUP(B327,Database!$A:$AS,MATCH($L$1,Database!$A$1:$AS$1,),))))-(((VLOOKUP(EDATE(B327,-12),Database!$A:$AS,MATCH($L$1,Database!$A$1:$AS$1,),)))))/(((VLOOKUP(EDATE(B327,-12),Database!$A:$AS,MATCH($L$1,Database!$A$1:$AS$1,),))))</f>
        <v/>
      </c>
      <c r="M327" s="13">
        <f>((((VLOOKUP(B327,Database!$A:$AS,MATCH($M$1,Database!$A$1:$AS$1,),))))-(((VLOOKUP(EDATE(B327,-12),Database!$A:$AS,MATCH($M$1,Database!$A$1:$AS$1,),)))))/(((VLOOKUP(EDATE(B327,-12),Database!$A:$AS,MATCH($M$1,Database!$A$1:$AS$1,),))))</f>
        <v/>
      </c>
      <c r="N327" s="13">
        <f>((((VLOOKUP(B327,Database!$A:$AS,MATCH($N$1,Database!$A$1:$AS$1,),))))-(((VLOOKUP(EDATE(B327,-12),Database!$A:$AS,MATCH($N$1,Database!$A$1:$AS$1,),)))))/(((VLOOKUP(EDATE(B327,-12),Database!$A:$AS,MATCH($N$1,Database!$A$1:$AS$1,),))))</f>
        <v/>
      </c>
      <c r="O327" s="13">
        <f>IF(VLOOKUP(B327,Database!$A:$AV,MATCH($O$1,Database!$A$1:$AV$1,),)=0,"#N/A",((((VLOOKUP(B327,Database!$A:$AS,MATCH($O$1,Database!$A$1:$AS$1,),))))-(((VLOOKUP(EDATE(B327,-12),Database!$A:$AS,MATCH($O$1,Database!$A$1:$AS$1,),)))))/(((VLOOKUP(EDATE(B327,-12),Database!$A:$AS,MATCH($O$1,Database!$A$1:$AS$1,),)))))</f>
        <v/>
      </c>
      <c r="P327" s="13">
        <f>IF(VLOOKUP(B327,Database!$A:$AV,MATCH($P$1,Database!$A$1:$AV$1,),)=0,"#N/A",((((VLOOKUP(B327,Database!$A:$AS,MATCH($P$1,Database!$A$1:$AS$1,),))))-(((VLOOKUP(EDATE(B327,-12),Database!$A:$AS,MATCH($P$1,Database!$A$1:$AS$1,),)))))/(((VLOOKUP(EDATE(B327,-12),Database!$A:$AS,MATCH($P$1,Database!$A$1:$AS$1,),)))))</f>
        <v/>
      </c>
      <c r="Q327" s="13">
        <f>IF(VLOOKUP(B327,Database!$A:$AV,MATCH($Q$1,Database!$A$1:$AV$1,),)=0,"#N/A",((((VLOOKUP(B327,Database!$A:$AS,MATCH($Q$1,Database!$A$1:$AS$1,),))))-(((VLOOKUP(EDATE(B327,-12),Database!$A:$AS,MATCH($Q$1,Database!$A$1:$AS$1,),)))))/(((VLOOKUP(EDATE(B327,-12),Database!$A:$AS,MATCH($Q$1,Database!$A$1:$AS$1,),)))))</f>
        <v/>
      </c>
      <c r="R327" s="13">
        <f>IF(VLOOKUP(B327,Database!$A:$AV,MATCH($R$1,Database!$A$1:$AV$1,),)=0,"#N/A",((((VLOOKUP(B327,Database!$A:$AS,MATCH($R$1,Database!$A$1:$AS$1,),))))-(((VLOOKUP(EDATE(B327,-12),Database!$A:$AS,MATCH($R$1,Database!$A$1:$AS$1,),)))))/(((VLOOKUP(EDATE(B327,-12),Database!$A:$AS,MATCH($R$1,Database!$A$1:$AS$1,),)))))</f>
        <v/>
      </c>
      <c r="S327" s="13">
        <f>IF(VLOOKUP(B327,Database!$A:$AV,MATCH($S$1,Database!$A$1:$AV$1,),)=0,"#N/A",((((VLOOKUP(B327,Database!$A:$AS,MATCH($S$1,Database!$A$1:$AS$1,),))))-(((VLOOKUP(EDATE(B327,-12),Database!$A:$AS,MATCH($S$1,Database!$A$1:$AS$1,),)))))/(((VLOOKUP(EDATE(B327,-12),Database!$A:$AS,MATCH($S$1,Database!$A$1:$AS$1,),)))))</f>
        <v/>
      </c>
      <c r="T327" s="13">
        <f>IF(VLOOKUP(B327,Database!$A:$AV,MATCH($T$1,Database!$A$1:$AV$1,),)=0,"#N/A",((((VLOOKUP(B327,Database!$A:$AS,MATCH($T$1,Database!$A$1:$AS$1,),))))-(((VLOOKUP(EDATE(B327,-12),Database!$A:$AS,MATCH($T$1,Database!$A$1:$AS$1,),)))))/(((VLOOKUP(EDATE(B327,-12),Database!$A:$AS,MATCH($T$1,Database!$A$1:$AS$1,),)))))</f>
        <v/>
      </c>
      <c r="U327" s="13">
        <f>IF(VLOOKUP(B327,Database!$A:$AV,MATCH($U$1,Database!$A$1:$AV$1,),)=0,"#N/A",((((VLOOKUP(B327,Database!$A:$AS,MATCH($U$1,Database!$A$1:$AS$1,),))))-(((VLOOKUP(EDATE(B327,-12),Database!$A:$AS,MATCH($U$1,Database!$A$1:$AS$1,),)))))/(((VLOOKUP(EDATE(B327,-12),Database!$A:$AS,MATCH($U$1,Database!$A$1:$AS$1,),)))))</f>
        <v/>
      </c>
      <c r="V327" s="13">
        <f>IF(VLOOKUP(B327,Database!$A:$AV,MATCH($V$1,Database!$A$1:$AV$1,),)=0,"#N/A",((((VLOOKUP(B327,Database!$A:$AS,MATCH($V$1,Database!$A$1:$AS$1,),))))-(((VLOOKUP(EDATE(B327,-12),Database!$A:$AS,MATCH($V$1,Database!$A$1:$AS$1,),)))))/(((VLOOKUP(EDATE(B327,-12),Database!$A:$AS,MATCH($V$1,Database!$A$1:$AS$1,),)))))</f>
        <v/>
      </c>
    </row>
    <row r="328" customFormat="1" s="86">
      <c r="A328" s="43" t="n"/>
      <c r="B328" s="75" t="n">
        <v>42125</v>
      </c>
      <c r="C328" s="13">
        <f>IF(VLOOKUP(B328,Database!$A:$AU,MATCH($C$1,Database!$A$1:$AU$1,),)=0,"#N/A",((((VLOOKUP(B328,Database!$A:$AU,MATCH($C$1,Database!$A$1:$AU$1,),))))-(((VLOOKUP(EDATE(B328,-12),Database!$A:$AU,MATCH($C$1,Database!$A$1:$AU$1,),)))))/(((VLOOKUP(EDATE(B328,-12),Database!$A:$AU,MATCH($C$1,Database!$A$1:$AU$1,),)))))</f>
        <v/>
      </c>
      <c r="D328" s="13">
        <f>IF(VLOOKUP(B328,Database!$A:$AV,MATCH($D$1,Database!$A$1:$AV$1,),)=0,"#N/A",((((VLOOKUP(B328,Database!$A:$AS,MATCH($D$1,Database!$A$1:$AS$1,),))))-(((VLOOKUP(EDATE(B328,-12),Database!$A:$AS,MATCH($D$1,Database!$A$1:$AS$1,),)))))/(((VLOOKUP(EDATE(B328,-12),Database!$A:$AS,MATCH($D$1,Database!$A$1:$AS$1,),)))))</f>
        <v/>
      </c>
      <c r="E328" s="13">
        <f>IF(VLOOKUP(B328,Database!$A:$AV,MATCH($E$1,Database!$A$1:$AV$1,),)=0,"#N/A",((((VLOOKUP(B328,Database!$A:$AS,MATCH($E$1,Database!$A$1:$AS$1,),))))-(((VLOOKUP(EDATE(B328,-12),Database!$A:$AS,MATCH($E$1,Database!$A$1:$AS$1,),)))))/(((VLOOKUP(EDATE(B328,-12),Database!$A:$AS,MATCH($E$1,Database!$A$1:$AS$1,),)))))</f>
        <v/>
      </c>
      <c r="F328" s="13">
        <f>IF(VLOOKUP(B328,Database!$A:$AV,MATCH($F$1,Database!$A$1:$AV$1,),)=0,"#N/A",((((VLOOKUP(B328,Database!$A:$AS,MATCH($F$1,Database!$A$1:$AS$1,),))))-(((VLOOKUP(EDATE(B328,-12),Database!$A:$AS,MATCH($F$1,Database!$A$1:$AS$1,),)))))/(((VLOOKUP(EDATE(B328,-12),Database!$A:$AS,MATCH($F$1,Database!$A$1:$AS$1,),)))))</f>
        <v/>
      </c>
      <c r="G328" s="13">
        <f>IF(VLOOKUP(B328,Database!$A:$AV,MATCH($G$1,Database!$A$1:$AV$1,),)=0,"#N/A",((((VLOOKUP(B328,Database!$A:$AS,MATCH($G$1,Database!$A$1:$AS$1,),))))-(((VLOOKUP(EDATE(B328,-12),Database!$A:$AS,MATCH($G$1,Database!$A$1:$AS$1,),)))))/(((VLOOKUP(EDATE(B328,-12),Database!$A:$AS,MATCH($G$1,Database!$A$1:$AS$1,),)))))</f>
        <v/>
      </c>
      <c r="H328" s="13">
        <f>IF(VLOOKUP(B328,Database!$A:$AV,MATCH($H$1,Database!$A$1:$AV$1,),)=0,"#N/A",((((VLOOKUP(B328,Database!$A:$AS,MATCH($H$1,Database!$A$1:$AS$1,),))))-(((VLOOKUP(EDATE(B328,-12),Database!$A:$AS,MATCH($H$1,Database!$A$1:$AS$1,),)))))/(((VLOOKUP(EDATE(B328,-12),Database!$A:$AS,MATCH($H$1,Database!$A$1:$AS$1,),)))))</f>
        <v/>
      </c>
      <c r="I328" s="13">
        <f>IF(VLOOKUP(B328,Database!$A:$AV,MATCH($I$1,Database!$A$1:$AV$1,),)=0,"#N/A",((((VLOOKUP(B328,Database!$A:$AS,MATCH($I$1,Database!$A$1:$AS$1,),))))-(((VLOOKUP(EDATE(B328,-12),Database!$A:$AS,MATCH($I$1,Database!$A$1:$AS$1,),)))))/(((VLOOKUP(EDATE(B328,-12),Database!$A:$AS,MATCH($I$1,Database!$A$1:$AS$1,),)))))</f>
        <v/>
      </c>
      <c r="J328" s="13">
        <f>IF(VLOOKUP(B328,Database!$A:$AV,MATCH($J$1,Database!$A$1:$AV$1,),)=0,"#N/A",((((VLOOKUP(B328,Database!$A:$AS,MATCH($J$1,Database!$A$1:$AS$1,),))))-(((VLOOKUP(EDATE(B328,-12),Database!$A:$AS,MATCH($J$1,Database!$A$1:$AS$1,),)))))/(((VLOOKUP(EDATE(B328,-12),Database!$A:$AS,MATCH($J$1,Database!$A$1:$AS$1,),)))))</f>
        <v/>
      </c>
      <c r="K328" s="13">
        <f>IF(VLOOKUP(B328,Database!$A:$AV,MATCH($K$1,Database!$A$1:$AV$1,),)=0,"#N/A",((((VLOOKUP(B328,Database!$A:$AS,MATCH($K$1,Database!$A$1:$AS$1,),))))-(((VLOOKUP(EDATE(B328,-12),Database!$A:$AS,MATCH($K$1,Database!$A$1:$AS$1,),)))))/(((VLOOKUP(EDATE(B328,-12),Database!$A:$AS,MATCH($K$1,Database!$A$1:$AS$1,),)))))</f>
        <v/>
      </c>
      <c r="L328" s="13">
        <f>((((VLOOKUP(B328,Database!$A:$AS,MATCH($L$1,Database!$A$1:$AS$1,),))))-(((VLOOKUP(EDATE(B328,-12),Database!$A:$AS,MATCH($L$1,Database!$A$1:$AS$1,),)))))/(((VLOOKUP(EDATE(B328,-12),Database!$A:$AS,MATCH($L$1,Database!$A$1:$AS$1,),))))</f>
        <v/>
      </c>
      <c r="M328" s="13">
        <f>((((VLOOKUP(B328,Database!$A:$AS,MATCH($M$1,Database!$A$1:$AS$1,),))))-(((VLOOKUP(EDATE(B328,-12),Database!$A:$AS,MATCH($M$1,Database!$A$1:$AS$1,),)))))/(((VLOOKUP(EDATE(B328,-12),Database!$A:$AS,MATCH($M$1,Database!$A$1:$AS$1,),))))</f>
        <v/>
      </c>
      <c r="N328" s="13">
        <f>((((VLOOKUP(B328,Database!$A:$AS,MATCH($N$1,Database!$A$1:$AS$1,),))))-(((VLOOKUP(EDATE(B328,-12),Database!$A:$AS,MATCH($N$1,Database!$A$1:$AS$1,),)))))/(((VLOOKUP(EDATE(B328,-12),Database!$A:$AS,MATCH($N$1,Database!$A$1:$AS$1,),))))</f>
        <v/>
      </c>
      <c r="O328" s="13">
        <f>IF(VLOOKUP(B328,Database!$A:$AV,MATCH($O$1,Database!$A$1:$AV$1,),)=0,"#N/A",((((VLOOKUP(B328,Database!$A:$AS,MATCH($O$1,Database!$A$1:$AS$1,),))))-(((VLOOKUP(EDATE(B328,-12),Database!$A:$AS,MATCH($O$1,Database!$A$1:$AS$1,),)))))/(((VLOOKUP(EDATE(B328,-12),Database!$A:$AS,MATCH($O$1,Database!$A$1:$AS$1,),)))))</f>
        <v/>
      </c>
      <c r="P328" s="13">
        <f>IF(VLOOKUP(B328,Database!$A:$AV,MATCH($P$1,Database!$A$1:$AV$1,),)=0,"#N/A",((((VLOOKUP(B328,Database!$A:$AS,MATCH($P$1,Database!$A$1:$AS$1,),))))-(((VLOOKUP(EDATE(B328,-12),Database!$A:$AS,MATCH($P$1,Database!$A$1:$AS$1,),)))))/(((VLOOKUP(EDATE(B328,-12),Database!$A:$AS,MATCH($P$1,Database!$A$1:$AS$1,),)))))</f>
        <v/>
      </c>
      <c r="Q328" s="13">
        <f>IF(VLOOKUP(B328,Database!$A:$AV,MATCH($Q$1,Database!$A$1:$AV$1,),)=0,"#N/A",((((VLOOKUP(B328,Database!$A:$AS,MATCH($Q$1,Database!$A$1:$AS$1,),))))-(((VLOOKUP(EDATE(B328,-12),Database!$A:$AS,MATCH($Q$1,Database!$A$1:$AS$1,),)))))/(((VLOOKUP(EDATE(B328,-12),Database!$A:$AS,MATCH($Q$1,Database!$A$1:$AS$1,),)))))</f>
        <v/>
      </c>
      <c r="R328" s="13">
        <f>IF(VLOOKUP(B328,Database!$A:$AV,MATCH($R$1,Database!$A$1:$AV$1,),)=0,"#N/A",((((VLOOKUP(B328,Database!$A:$AS,MATCH($R$1,Database!$A$1:$AS$1,),))))-(((VLOOKUP(EDATE(B328,-12),Database!$A:$AS,MATCH($R$1,Database!$A$1:$AS$1,),)))))/(((VLOOKUP(EDATE(B328,-12),Database!$A:$AS,MATCH($R$1,Database!$A$1:$AS$1,),)))))</f>
        <v/>
      </c>
      <c r="S328" s="13">
        <f>IF(VLOOKUP(B328,Database!$A:$AV,MATCH($S$1,Database!$A$1:$AV$1,),)=0,"#N/A",((((VLOOKUP(B328,Database!$A:$AS,MATCH($S$1,Database!$A$1:$AS$1,),))))-(((VLOOKUP(EDATE(B328,-12),Database!$A:$AS,MATCH($S$1,Database!$A$1:$AS$1,),)))))/(((VLOOKUP(EDATE(B328,-12),Database!$A:$AS,MATCH($S$1,Database!$A$1:$AS$1,),)))))</f>
        <v/>
      </c>
      <c r="T328" s="13">
        <f>IF(VLOOKUP(B328,Database!$A:$AV,MATCH($T$1,Database!$A$1:$AV$1,),)=0,"#N/A",((((VLOOKUP(B328,Database!$A:$AS,MATCH($T$1,Database!$A$1:$AS$1,),))))-(((VLOOKUP(EDATE(B328,-12),Database!$A:$AS,MATCH($T$1,Database!$A$1:$AS$1,),)))))/(((VLOOKUP(EDATE(B328,-12),Database!$A:$AS,MATCH($T$1,Database!$A$1:$AS$1,),)))))</f>
        <v/>
      </c>
      <c r="U328" s="13">
        <f>IF(VLOOKUP(B328,Database!$A:$AV,MATCH($U$1,Database!$A$1:$AV$1,),)=0,"#N/A",((((VLOOKUP(B328,Database!$A:$AS,MATCH($U$1,Database!$A$1:$AS$1,),))))-(((VLOOKUP(EDATE(B328,-12),Database!$A:$AS,MATCH($U$1,Database!$A$1:$AS$1,),)))))/(((VLOOKUP(EDATE(B328,-12),Database!$A:$AS,MATCH($U$1,Database!$A$1:$AS$1,),)))))</f>
        <v/>
      </c>
      <c r="V328" s="13">
        <f>IF(VLOOKUP(B328,Database!$A:$AV,MATCH($V$1,Database!$A$1:$AV$1,),)=0,"#N/A",((((VLOOKUP(B328,Database!$A:$AS,MATCH($V$1,Database!$A$1:$AS$1,),))))-(((VLOOKUP(EDATE(B328,-12),Database!$A:$AS,MATCH($V$1,Database!$A$1:$AS$1,),)))))/(((VLOOKUP(EDATE(B328,-12),Database!$A:$AS,MATCH($V$1,Database!$A$1:$AS$1,),)))))</f>
        <v/>
      </c>
    </row>
    <row r="329" customFormat="1" s="86">
      <c r="A329" s="43" t="n"/>
      <c r="B329" s="75" t="n">
        <v>42156</v>
      </c>
      <c r="C329" s="13">
        <f>IF(VLOOKUP(B329,Database!$A:$AU,MATCH($C$1,Database!$A$1:$AU$1,),)=0,"#N/A",((((VLOOKUP(B329,Database!$A:$AU,MATCH($C$1,Database!$A$1:$AU$1,),))))-(((VLOOKUP(EDATE(B329,-12),Database!$A:$AU,MATCH($C$1,Database!$A$1:$AU$1,),)))))/(((VLOOKUP(EDATE(B329,-12),Database!$A:$AU,MATCH($C$1,Database!$A$1:$AU$1,),)))))</f>
        <v/>
      </c>
      <c r="D329" s="13">
        <f>IF(VLOOKUP(B329,Database!$A:$AV,MATCH($D$1,Database!$A$1:$AV$1,),)=0,"#N/A",((((VLOOKUP(B329,Database!$A:$AS,MATCH($D$1,Database!$A$1:$AS$1,),))))-(((VLOOKUP(EDATE(B329,-12),Database!$A:$AS,MATCH($D$1,Database!$A$1:$AS$1,),)))))/(((VLOOKUP(EDATE(B329,-12),Database!$A:$AS,MATCH($D$1,Database!$A$1:$AS$1,),)))))</f>
        <v/>
      </c>
      <c r="E329" s="13">
        <f>IF(VLOOKUP(B329,Database!$A:$AV,MATCH($E$1,Database!$A$1:$AV$1,),)=0,"#N/A",((((VLOOKUP(B329,Database!$A:$AS,MATCH($E$1,Database!$A$1:$AS$1,),))))-(((VLOOKUP(EDATE(B329,-12),Database!$A:$AS,MATCH($E$1,Database!$A$1:$AS$1,),)))))/(((VLOOKUP(EDATE(B329,-12),Database!$A:$AS,MATCH($E$1,Database!$A$1:$AS$1,),)))))</f>
        <v/>
      </c>
      <c r="F329" s="13">
        <f>IF(VLOOKUP(B329,Database!$A:$AV,MATCH($F$1,Database!$A$1:$AV$1,),)=0,"#N/A",((((VLOOKUP(B329,Database!$A:$AS,MATCH($F$1,Database!$A$1:$AS$1,),))))-(((VLOOKUP(EDATE(B329,-12),Database!$A:$AS,MATCH($F$1,Database!$A$1:$AS$1,),)))))/(((VLOOKUP(EDATE(B329,-12),Database!$A:$AS,MATCH($F$1,Database!$A$1:$AS$1,),)))))</f>
        <v/>
      </c>
      <c r="G329" s="13">
        <f>IF(VLOOKUP(B329,Database!$A:$AV,MATCH($G$1,Database!$A$1:$AV$1,),)=0,"#N/A",((((VLOOKUP(B329,Database!$A:$AS,MATCH($G$1,Database!$A$1:$AS$1,),))))-(((VLOOKUP(EDATE(B329,-12),Database!$A:$AS,MATCH($G$1,Database!$A$1:$AS$1,),)))))/(((VLOOKUP(EDATE(B329,-12),Database!$A:$AS,MATCH($G$1,Database!$A$1:$AS$1,),)))))</f>
        <v/>
      </c>
      <c r="H329" s="13">
        <f>IF(VLOOKUP(B329,Database!$A:$AV,MATCH($H$1,Database!$A$1:$AV$1,),)=0,"#N/A",((((VLOOKUP(B329,Database!$A:$AS,MATCH($H$1,Database!$A$1:$AS$1,),))))-(((VLOOKUP(EDATE(B329,-12),Database!$A:$AS,MATCH($H$1,Database!$A$1:$AS$1,),)))))/(((VLOOKUP(EDATE(B329,-12),Database!$A:$AS,MATCH($H$1,Database!$A$1:$AS$1,),)))))</f>
        <v/>
      </c>
      <c r="I329" s="13">
        <f>IF(VLOOKUP(B329,Database!$A:$AV,MATCH($I$1,Database!$A$1:$AV$1,),)=0,"#N/A",((((VLOOKUP(B329,Database!$A:$AS,MATCH($I$1,Database!$A$1:$AS$1,),))))-(((VLOOKUP(EDATE(B329,-12),Database!$A:$AS,MATCH($I$1,Database!$A$1:$AS$1,),)))))/(((VLOOKUP(EDATE(B329,-12),Database!$A:$AS,MATCH($I$1,Database!$A$1:$AS$1,),)))))</f>
        <v/>
      </c>
      <c r="J329" s="13">
        <f>IF(VLOOKUP(B329,Database!$A:$AV,MATCH($J$1,Database!$A$1:$AV$1,),)=0,"#N/A",((((VLOOKUP(B329,Database!$A:$AS,MATCH($J$1,Database!$A$1:$AS$1,),))))-(((VLOOKUP(EDATE(B329,-12),Database!$A:$AS,MATCH($J$1,Database!$A$1:$AS$1,),)))))/(((VLOOKUP(EDATE(B329,-12),Database!$A:$AS,MATCH($J$1,Database!$A$1:$AS$1,),)))))</f>
        <v/>
      </c>
      <c r="K329" s="13">
        <f>IF(VLOOKUP(B329,Database!$A:$AV,MATCH($K$1,Database!$A$1:$AV$1,),)=0,"#N/A",((((VLOOKUP(B329,Database!$A:$AS,MATCH($K$1,Database!$A$1:$AS$1,),))))-(((VLOOKUP(EDATE(B329,-12),Database!$A:$AS,MATCH($K$1,Database!$A$1:$AS$1,),)))))/(((VLOOKUP(EDATE(B329,-12),Database!$A:$AS,MATCH($K$1,Database!$A$1:$AS$1,),)))))</f>
        <v/>
      </c>
      <c r="L329" s="13">
        <f>((((VLOOKUP(B329,Database!$A:$AS,MATCH($L$1,Database!$A$1:$AS$1,),))))-(((VLOOKUP(EDATE(B329,-12),Database!$A:$AS,MATCH($L$1,Database!$A$1:$AS$1,),)))))/(((VLOOKUP(EDATE(B329,-12),Database!$A:$AS,MATCH($L$1,Database!$A$1:$AS$1,),))))</f>
        <v/>
      </c>
      <c r="M329" s="13">
        <f>((((VLOOKUP(B329,Database!$A:$AS,MATCH($M$1,Database!$A$1:$AS$1,),))))-(((VLOOKUP(EDATE(B329,-12),Database!$A:$AS,MATCH($M$1,Database!$A$1:$AS$1,),)))))/(((VLOOKUP(EDATE(B329,-12),Database!$A:$AS,MATCH($M$1,Database!$A$1:$AS$1,),))))</f>
        <v/>
      </c>
      <c r="N329" s="13">
        <f>((((VLOOKUP(B329,Database!$A:$AS,MATCH($N$1,Database!$A$1:$AS$1,),))))-(((VLOOKUP(EDATE(B329,-12),Database!$A:$AS,MATCH($N$1,Database!$A$1:$AS$1,),)))))/(((VLOOKUP(EDATE(B329,-12),Database!$A:$AS,MATCH($N$1,Database!$A$1:$AS$1,),))))</f>
        <v/>
      </c>
      <c r="O329" s="13">
        <f>IF(VLOOKUP(B329,Database!$A:$AV,MATCH($O$1,Database!$A$1:$AV$1,),)=0,"#N/A",((((VLOOKUP(B329,Database!$A:$AS,MATCH($O$1,Database!$A$1:$AS$1,),))))-(((VLOOKUP(EDATE(B329,-12),Database!$A:$AS,MATCH($O$1,Database!$A$1:$AS$1,),)))))/(((VLOOKUP(EDATE(B329,-12),Database!$A:$AS,MATCH($O$1,Database!$A$1:$AS$1,),)))))</f>
        <v/>
      </c>
      <c r="P329" s="13">
        <f>IF(VLOOKUP(B329,Database!$A:$AV,MATCH($P$1,Database!$A$1:$AV$1,),)=0,"#N/A",((((VLOOKUP(B329,Database!$A:$AS,MATCH($P$1,Database!$A$1:$AS$1,),))))-(((VLOOKUP(EDATE(B329,-12),Database!$A:$AS,MATCH($P$1,Database!$A$1:$AS$1,),)))))/(((VLOOKUP(EDATE(B329,-12),Database!$A:$AS,MATCH($P$1,Database!$A$1:$AS$1,),)))))</f>
        <v/>
      </c>
      <c r="Q329" s="13">
        <f>IF(VLOOKUP(B329,Database!$A:$AV,MATCH($Q$1,Database!$A$1:$AV$1,),)=0,"#N/A",((((VLOOKUP(B329,Database!$A:$AS,MATCH($Q$1,Database!$A$1:$AS$1,),))))-(((VLOOKUP(EDATE(B329,-12),Database!$A:$AS,MATCH($Q$1,Database!$A$1:$AS$1,),)))))/(((VLOOKUP(EDATE(B329,-12),Database!$A:$AS,MATCH($Q$1,Database!$A$1:$AS$1,),)))))</f>
        <v/>
      </c>
      <c r="R329" s="13">
        <f>IF(VLOOKUP(B329,Database!$A:$AV,MATCH($R$1,Database!$A$1:$AV$1,),)=0,"#N/A",((((VLOOKUP(B329,Database!$A:$AS,MATCH($R$1,Database!$A$1:$AS$1,),))))-(((VLOOKUP(EDATE(B329,-12),Database!$A:$AS,MATCH($R$1,Database!$A$1:$AS$1,),)))))/(((VLOOKUP(EDATE(B329,-12),Database!$A:$AS,MATCH($R$1,Database!$A$1:$AS$1,),)))))</f>
        <v/>
      </c>
      <c r="S329" s="13">
        <f>IF(VLOOKUP(B329,Database!$A:$AV,MATCH($S$1,Database!$A$1:$AV$1,),)=0,"#N/A",((((VLOOKUP(B329,Database!$A:$AS,MATCH($S$1,Database!$A$1:$AS$1,),))))-(((VLOOKUP(EDATE(B329,-12),Database!$A:$AS,MATCH($S$1,Database!$A$1:$AS$1,),)))))/(((VLOOKUP(EDATE(B329,-12),Database!$A:$AS,MATCH($S$1,Database!$A$1:$AS$1,),)))))</f>
        <v/>
      </c>
      <c r="T329" s="13">
        <f>IF(VLOOKUP(B329,Database!$A:$AV,MATCH($T$1,Database!$A$1:$AV$1,),)=0,"#N/A",((((VLOOKUP(B329,Database!$A:$AS,MATCH($T$1,Database!$A$1:$AS$1,),))))-(((VLOOKUP(EDATE(B329,-12),Database!$A:$AS,MATCH($T$1,Database!$A$1:$AS$1,),)))))/(((VLOOKUP(EDATE(B329,-12),Database!$A:$AS,MATCH($T$1,Database!$A$1:$AS$1,),)))))</f>
        <v/>
      </c>
      <c r="U329" s="13">
        <f>IF(VLOOKUP(B329,Database!$A:$AV,MATCH($U$1,Database!$A$1:$AV$1,),)=0,"#N/A",((((VLOOKUP(B329,Database!$A:$AS,MATCH($U$1,Database!$A$1:$AS$1,),))))-(((VLOOKUP(EDATE(B329,-12),Database!$A:$AS,MATCH($U$1,Database!$A$1:$AS$1,),)))))/(((VLOOKUP(EDATE(B329,-12),Database!$A:$AS,MATCH($U$1,Database!$A$1:$AS$1,),)))))</f>
        <v/>
      </c>
      <c r="V329" s="13">
        <f>IF(VLOOKUP(B329,Database!$A:$AV,MATCH($V$1,Database!$A$1:$AV$1,),)=0,"#N/A",((((VLOOKUP(B329,Database!$A:$AS,MATCH($V$1,Database!$A$1:$AS$1,),))))-(((VLOOKUP(EDATE(B329,-12),Database!$A:$AS,MATCH($V$1,Database!$A$1:$AS$1,),)))))/(((VLOOKUP(EDATE(B329,-12),Database!$A:$AS,MATCH($V$1,Database!$A$1:$AS$1,),)))))</f>
        <v/>
      </c>
    </row>
    <row r="330" customFormat="1" s="86">
      <c r="A330" s="43" t="n"/>
      <c r="B330" s="75" t="n">
        <v>42186</v>
      </c>
      <c r="C330" s="13">
        <f>IF(VLOOKUP(B330,Database!$A:$AU,MATCH($C$1,Database!$A$1:$AU$1,),)=0,"#N/A",((((VLOOKUP(B330,Database!$A:$AU,MATCH($C$1,Database!$A$1:$AU$1,),))))-(((VLOOKUP(EDATE(B330,-12),Database!$A:$AU,MATCH($C$1,Database!$A$1:$AU$1,),)))))/(((VLOOKUP(EDATE(B330,-12),Database!$A:$AU,MATCH($C$1,Database!$A$1:$AU$1,),)))))</f>
        <v/>
      </c>
      <c r="D330" s="13">
        <f>IF(VLOOKUP(B330,Database!$A:$AV,MATCH($D$1,Database!$A$1:$AV$1,),)=0,"#N/A",((((VLOOKUP(B330,Database!$A:$AS,MATCH($D$1,Database!$A$1:$AS$1,),))))-(((VLOOKUP(EDATE(B330,-12),Database!$A:$AS,MATCH($D$1,Database!$A$1:$AS$1,),)))))/(((VLOOKUP(EDATE(B330,-12),Database!$A:$AS,MATCH($D$1,Database!$A$1:$AS$1,),)))))</f>
        <v/>
      </c>
      <c r="E330" s="13">
        <f>IF(VLOOKUP(B330,Database!$A:$AV,MATCH($E$1,Database!$A$1:$AV$1,),)=0,"#N/A",((((VLOOKUP(B330,Database!$A:$AS,MATCH($E$1,Database!$A$1:$AS$1,),))))-(((VLOOKUP(EDATE(B330,-12),Database!$A:$AS,MATCH($E$1,Database!$A$1:$AS$1,),)))))/(((VLOOKUP(EDATE(B330,-12),Database!$A:$AS,MATCH($E$1,Database!$A$1:$AS$1,),)))))</f>
        <v/>
      </c>
      <c r="F330" s="13">
        <f>IF(VLOOKUP(B330,Database!$A:$AV,MATCH($F$1,Database!$A$1:$AV$1,),)=0,"#N/A",((((VLOOKUP(B330,Database!$A:$AS,MATCH($F$1,Database!$A$1:$AS$1,),))))-(((VLOOKUP(EDATE(B330,-12),Database!$A:$AS,MATCH($F$1,Database!$A$1:$AS$1,),)))))/(((VLOOKUP(EDATE(B330,-12),Database!$A:$AS,MATCH($F$1,Database!$A$1:$AS$1,),)))))</f>
        <v/>
      </c>
      <c r="G330" s="13">
        <f>IF(VLOOKUP(B330,Database!$A:$AV,MATCH($G$1,Database!$A$1:$AV$1,),)=0,"#N/A",((((VLOOKUP(B330,Database!$A:$AS,MATCH($G$1,Database!$A$1:$AS$1,),))))-(((VLOOKUP(EDATE(B330,-12),Database!$A:$AS,MATCH($G$1,Database!$A$1:$AS$1,),)))))/(((VLOOKUP(EDATE(B330,-12),Database!$A:$AS,MATCH($G$1,Database!$A$1:$AS$1,),)))))</f>
        <v/>
      </c>
      <c r="H330" s="13">
        <f>IF(VLOOKUP(B330,Database!$A:$AV,MATCH($H$1,Database!$A$1:$AV$1,),)=0,"#N/A",((((VLOOKUP(B330,Database!$A:$AS,MATCH($H$1,Database!$A$1:$AS$1,),))))-(((VLOOKUP(EDATE(B330,-12),Database!$A:$AS,MATCH($H$1,Database!$A$1:$AS$1,),)))))/(((VLOOKUP(EDATE(B330,-12),Database!$A:$AS,MATCH($H$1,Database!$A$1:$AS$1,),)))))</f>
        <v/>
      </c>
      <c r="I330" s="13">
        <f>IF(VLOOKUP(B330,Database!$A:$AV,MATCH($I$1,Database!$A$1:$AV$1,),)=0,"#N/A",((((VLOOKUP(B330,Database!$A:$AS,MATCH($I$1,Database!$A$1:$AS$1,),))))-(((VLOOKUP(EDATE(B330,-12),Database!$A:$AS,MATCH($I$1,Database!$A$1:$AS$1,),)))))/(((VLOOKUP(EDATE(B330,-12),Database!$A:$AS,MATCH($I$1,Database!$A$1:$AS$1,),)))))</f>
        <v/>
      </c>
      <c r="J330" s="13">
        <f>IF(VLOOKUP(B330,Database!$A:$AV,MATCH($J$1,Database!$A$1:$AV$1,),)=0,"#N/A",((((VLOOKUP(B330,Database!$A:$AS,MATCH($J$1,Database!$A$1:$AS$1,),))))-(((VLOOKUP(EDATE(B330,-12),Database!$A:$AS,MATCH($J$1,Database!$A$1:$AS$1,),)))))/(((VLOOKUP(EDATE(B330,-12),Database!$A:$AS,MATCH($J$1,Database!$A$1:$AS$1,),)))))</f>
        <v/>
      </c>
      <c r="K330" s="13">
        <f>IF(VLOOKUP(B330,Database!$A:$AV,MATCH($K$1,Database!$A$1:$AV$1,),)=0,"#N/A",((((VLOOKUP(B330,Database!$A:$AS,MATCH($K$1,Database!$A$1:$AS$1,),))))-(((VLOOKUP(EDATE(B330,-12),Database!$A:$AS,MATCH($K$1,Database!$A$1:$AS$1,),)))))/(((VLOOKUP(EDATE(B330,-12),Database!$A:$AS,MATCH($K$1,Database!$A$1:$AS$1,),)))))</f>
        <v/>
      </c>
      <c r="L330" s="13">
        <f>((((VLOOKUP(B330,Database!$A:$AS,MATCH($L$1,Database!$A$1:$AS$1,),))))-(((VLOOKUP(EDATE(B330,-12),Database!$A:$AS,MATCH($L$1,Database!$A$1:$AS$1,),)))))/(((VLOOKUP(EDATE(B330,-12),Database!$A:$AS,MATCH($L$1,Database!$A$1:$AS$1,),))))</f>
        <v/>
      </c>
      <c r="M330" s="13">
        <f>((((VLOOKUP(B330,Database!$A:$AS,MATCH($M$1,Database!$A$1:$AS$1,),))))-(((VLOOKUP(EDATE(B330,-12),Database!$A:$AS,MATCH($M$1,Database!$A$1:$AS$1,),)))))/(((VLOOKUP(EDATE(B330,-12),Database!$A:$AS,MATCH($M$1,Database!$A$1:$AS$1,),))))</f>
        <v/>
      </c>
      <c r="N330" s="13">
        <f>((((VLOOKUP(B330,Database!$A:$AS,MATCH($N$1,Database!$A$1:$AS$1,),))))-(((VLOOKUP(EDATE(B330,-12),Database!$A:$AS,MATCH($N$1,Database!$A$1:$AS$1,),)))))/(((VLOOKUP(EDATE(B330,-12),Database!$A:$AS,MATCH($N$1,Database!$A$1:$AS$1,),))))</f>
        <v/>
      </c>
      <c r="O330" s="13">
        <f>IF(VLOOKUP(B330,Database!$A:$AV,MATCH($O$1,Database!$A$1:$AV$1,),)=0,"#N/A",((((VLOOKUP(B330,Database!$A:$AS,MATCH($O$1,Database!$A$1:$AS$1,),))))-(((VLOOKUP(EDATE(B330,-12),Database!$A:$AS,MATCH($O$1,Database!$A$1:$AS$1,),)))))/(((VLOOKUP(EDATE(B330,-12),Database!$A:$AS,MATCH($O$1,Database!$A$1:$AS$1,),)))))</f>
        <v/>
      </c>
      <c r="P330" s="13">
        <f>IF(VLOOKUP(B330,Database!$A:$AV,MATCH($P$1,Database!$A$1:$AV$1,),)=0,"#N/A",((((VLOOKUP(B330,Database!$A:$AS,MATCH($P$1,Database!$A$1:$AS$1,),))))-(((VLOOKUP(EDATE(B330,-12),Database!$A:$AS,MATCH($P$1,Database!$A$1:$AS$1,),)))))/(((VLOOKUP(EDATE(B330,-12),Database!$A:$AS,MATCH($P$1,Database!$A$1:$AS$1,),)))))</f>
        <v/>
      </c>
      <c r="Q330" s="13">
        <f>IF(VLOOKUP(B330,Database!$A:$AV,MATCH($Q$1,Database!$A$1:$AV$1,),)=0,"#N/A",((((VLOOKUP(B330,Database!$A:$AS,MATCH($Q$1,Database!$A$1:$AS$1,),))))-(((VLOOKUP(EDATE(B330,-12),Database!$A:$AS,MATCH($Q$1,Database!$A$1:$AS$1,),)))))/(((VLOOKUP(EDATE(B330,-12),Database!$A:$AS,MATCH($Q$1,Database!$A$1:$AS$1,),)))))</f>
        <v/>
      </c>
      <c r="R330" s="13">
        <f>IF(VLOOKUP(B330,Database!$A:$AV,MATCH($R$1,Database!$A$1:$AV$1,),)=0,"#N/A",((((VLOOKUP(B330,Database!$A:$AS,MATCH($R$1,Database!$A$1:$AS$1,),))))-(((VLOOKUP(EDATE(B330,-12),Database!$A:$AS,MATCH($R$1,Database!$A$1:$AS$1,),)))))/(((VLOOKUP(EDATE(B330,-12),Database!$A:$AS,MATCH($R$1,Database!$A$1:$AS$1,),)))))</f>
        <v/>
      </c>
      <c r="S330" s="13">
        <f>IF(VLOOKUP(B330,Database!$A:$AV,MATCH($S$1,Database!$A$1:$AV$1,),)=0,"#N/A",((((VLOOKUP(B330,Database!$A:$AS,MATCH($S$1,Database!$A$1:$AS$1,),))))-(((VLOOKUP(EDATE(B330,-12),Database!$A:$AS,MATCH($S$1,Database!$A$1:$AS$1,),)))))/(((VLOOKUP(EDATE(B330,-12),Database!$A:$AS,MATCH($S$1,Database!$A$1:$AS$1,),)))))</f>
        <v/>
      </c>
      <c r="T330" s="13">
        <f>IF(VLOOKUP(B330,Database!$A:$AV,MATCH($T$1,Database!$A$1:$AV$1,),)=0,"#N/A",((((VLOOKUP(B330,Database!$A:$AS,MATCH($T$1,Database!$A$1:$AS$1,),))))-(((VLOOKUP(EDATE(B330,-12),Database!$A:$AS,MATCH($T$1,Database!$A$1:$AS$1,),)))))/(((VLOOKUP(EDATE(B330,-12),Database!$A:$AS,MATCH($T$1,Database!$A$1:$AS$1,),)))))</f>
        <v/>
      </c>
      <c r="U330" s="13">
        <f>IF(VLOOKUP(B330,Database!$A:$AV,MATCH($U$1,Database!$A$1:$AV$1,),)=0,"#N/A",((((VLOOKUP(B330,Database!$A:$AS,MATCH($U$1,Database!$A$1:$AS$1,),))))-(((VLOOKUP(EDATE(B330,-12),Database!$A:$AS,MATCH($U$1,Database!$A$1:$AS$1,),)))))/(((VLOOKUP(EDATE(B330,-12),Database!$A:$AS,MATCH($U$1,Database!$A$1:$AS$1,),)))))</f>
        <v/>
      </c>
      <c r="V330" s="13">
        <f>IF(VLOOKUP(B330,Database!$A:$AV,MATCH($V$1,Database!$A$1:$AV$1,),)=0,"#N/A",((((VLOOKUP(B330,Database!$A:$AS,MATCH($V$1,Database!$A$1:$AS$1,),))))-(((VLOOKUP(EDATE(B330,-12),Database!$A:$AS,MATCH($V$1,Database!$A$1:$AS$1,),)))))/(((VLOOKUP(EDATE(B330,-12),Database!$A:$AS,MATCH($V$1,Database!$A$1:$AS$1,),)))))</f>
        <v/>
      </c>
    </row>
    <row r="331" customFormat="1" s="86">
      <c r="A331" s="43" t="n"/>
      <c r="B331" s="75" t="n">
        <v>42217</v>
      </c>
      <c r="C331" s="13">
        <f>IF(VLOOKUP(B331,Database!$A:$AU,MATCH($C$1,Database!$A$1:$AU$1,),)=0,"#N/A",((((VLOOKUP(B331,Database!$A:$AU,MATCH($C$1,Database!$A$1:$AU$1,),))))-(((VLOOKUP(EDATE(B331,-12),Database!$A:$AU,MATCH($C$1,Database!$A$1:$AU$1,),)))))/(((VLOOKUP(EDATE(B331,-12),Database!$A:$AU,MATCH($C$1,Database!$A$1:$AU$1,),)))))</f>
        <v/>
      </c>
      <c r="D331" s="13">
        <f>IF(VLOOKUP(B331,Database!$A:$AV,MATCH($D$1,Database!$A$1:$AV$1,),)=0,"#N/A",((((VLOOKUP(B331,Database!$A:$AS,MATCH($D$1,Database!$A$1:$AS$1,),))))-(((VLOOKUP(EDATE(B331,-12),Database!$A:$AS,MATCH($D$1,Database!$A$1:$AS$1,),)))))/(((VLOOKUP(EDATE(B331,-12),Database!$A:$AS,MATCH($D$1,Database!$A$1:$AS$1,),)))))</f>
        <v/>
      </c>
      <c r="E331" s="13">
        <f>IF(VLOOKUP(B331,Database!$A:$AV,MATCH($E$1,Database!$A$1:$AV$1,),)=0,"#N/A",((((VLOOKUP(B331,Database!$A:$AS,MATCH($E$1,Database!$A$1:$AS$1,),))))-(((VLOOKUP(EDATE(B331,-12),Database!$A:$AS,MATCH($E$1,Database!$A$1:$AS$1,),)))))/(((VLOOKUP(EDATE(B331,-12),Database!$A:$AS,MATCH($E$1,Database!$A$1:$AS$1,),)))))</f>
        <v/>
      </c>
      <c r="F331" s="13">
        <f>IF(VLOOKUP(B331,Database!$A:$AV,MATCH($F$1,Database!$A$1:$AV$1,),)=0,"#N/A",((((VLOOKUP(B331,Database!$A:$AS,MATCH($F$1,Database!$A$1:$AS$1,),))))-(((VLOOKUP(EDATE(B331,-12),Database!$A:$AS,MATCH($F$1,Database!$A$1:$AS$1,),)))))/(((VLOOKUP(EDATE(B331,-12),Database!$A:$AS,MATCH($F$1,Database!$A$1:$AS$1,),)))))</f>
        <v/>
      </c>
      <c r="G331" s="13">
        <f>IF(VLOOKUP(B331,Database!$A:$AV,MATCH($G$1,Database!$A$1:$AV$1,),)=0,"#N/A",((((VLOOKUP(B331,Database!$A:$AS,MATCH($G$1,Database!$A$1:$AS$1,),))))-(((VLOOKUP(EDATE(B331,-12),Database!$A:$AS,MATCH($G$1,Database!$A$1:$AS$1,),)))))/(((VLOOKUP(EDATE(B331,-12),Database!$A:$AS,MATCH($G$1,Database!$A$1:$AS$1,),)))))</f>
        <v/>
      </c>
      <c r="H331" s="13">
        <f>IF(VLOOKUP(B331,Database!$A:$AV,MATCH($H$1,Database!$A$1:$AV$1,),)=0,"#N/A",((((VLOOKUP(B331,Database!$A:$AS,MATCH($H$1,Database!$A$1:$AS$1,),))))-(((VLOOKUP(EDATE(B331,-12),Database!$A:$AS,MATCH($H$1,Database!$A$1:$AS$1,),)))))/(((VLOOKUP(EDATE(B331,-12),Database!$A:$AS,MATCH($H$1,Database!$A$1:$AS$1,),)))))</f>
        <v/>
      </c>
      <c r="I331" s="13">
        <f>IF(VLOOKUP(B331,Database!$A:$AV,MATCH($I$1,Database!$A$1:$AV$1,),)=0,"#N/A",((((VLOOKUP(B331,Database!$A:$AS,MATCH($I$1,Database!$A$1:$AS$1,),))))-(((VLOOKUP(EDATE(B331,-12),Database!$A:$AS,MATCH($I$1,Database!$A$1:$AS$1,),)))))/(((VLOOKUP(EDATE(B331,-12),Database!$A:$AS,MATCH($I$1,Database!$A$1:$AS$1,),)))))</f>
        <v/>
      </c>
      <c r="J331" s="13">
        <f>IF(VLOOKUP(B331,Database!$A:$AV,MATCH($J$1,Database!$A$1:$AV$1,),)=0,"#N/A",((((VLOOKUP(B331,Database!$A:$AS,MATCH($J$1,Database!$A$1:$AS$1,),))))-(((VLOOKUP(EDATE(B331,-12),Database!$A:$AS,MATCH($J$1,Database!$A$1:$AS$1,),)))))/(((VLOOKUP(EDATE(B331,-12),Database!$A:$AS,MATCH($J$1,Database!$A$1:$AS$1,),)))))</f>
        <v/>
      </c>
      <c r="K331" s="13">
        <f>IF(VLOOKUP(B331,Database!$A:$AV,MATCH($K$1,Database!$A$1:$AV$1,),)=0,"#N/A",((((VLOOKUP(B331,Database!$A:$AS,MATCH($K$1,Database!$A$1:$AS$1,),))))-(((VLOOKUP(EDATE(B331,-12),Database!$A:$AS,MATCH($K$1,Database!$A$1:$AS$1,),)))))/(((VLOOKUP(EDATE(B331,-12),Database!$A:$AS,MATCH($K$1,Database!$A$1:$AS$1,),)))))</f>
        <v/>
      </c>
      <c r="L331" s="13">
        <f>((((VLOOKUP(B331,Database!$A:$AS,MATCH($L$1,Database!$A$1:$AS$1,),))))-(((VLOOKUP(EDATE(B331,-12),Database!$A:$AS,MATCH($L$1,Database!$A$1:$AS$1,),)))))/(((VLOOKUP(EDATE(B331,-12),Database!$A:$AS,MATCH($L$1,Database!$A$1:$AS$1,),))))</f>
        <v/>
      </c>
      <c r="M331" s="13">
        <f>((((VLOOKUP(B331,Database!$A:$AS,MATCH($M$1,Database!$A$1:$AS$1,),))))-(((VLOOKUP(EDATE(B331,-12),Database!$A:$AS,MATCH($M$1,Database!$A$1:$AS$1,),)))))/(((VLOOKUP(EDATE(B331,-12),Database!$A:$AS,MATCH($M$1,Database!$A$1:$AS$1,),))))</f>
        <v/>
      </c>
      <c r="N331" s="13">
        <f>((((VLOOKUP(B331,Database!$A:$AS,MATCH($N$1,Database!$A$1:$AS$1,),))))-(((VLOOKUP(EDATE(B331,-12),Database!$A:$AS,MATCH($N$1,Database!$A$1:$AS$1,),)))))/(((VLOOKUP(EDATE(B331,-12),Database!$A:$AS,MATCH($N$1,Database!$A$1:$AS$1,),))))</f>
        <v/>
      </c>
      <c r="O331" s="13">
        <f>IF(VLOOKUP(B331,Database!$A:$AV,MATCH($O$1,Database!$A$1:$AV$1,),)=0,"#N/A",((((VLOOKUP(B331,Database!$A:$AS,MATCH($O$1,Database!$A$1:$AS$1,),))))-(((VLOOKUP(EDATE(B331,-12),Database!$A:$AS,MATCH($O$1,Database!$A$1:$AS$1,),)))))/(((VLOOKUP(EDATE(B331,-12),Database!$A:$AS,MATCH($O$1,Database!$A$1:$AS$1,),)))))</f>
        <v/>
      </c>
      <c r="P331" s="13">
        <f>IF(VLOOKUP(B331,Database!$A:$AV,MATCH($P$1,Database!$A$1:$AV$1,),)=0,"#N/A",((((VLOOKUP(B331,Database!$A:$AS,MATCH($P$1,Database!$A$1:$AS$1,),))))-(((VLOOKUP(EDATE(B331,-12),Database!$A:$AS,MATCH($P$1,Database!$A$1:$AS$1,),)))))/(((VLOOKUP(EDATE(B331,-12),Database!$A:$AS,MATCH($P$1,Database!$A$1:$AS$1,),)))))</f>
        <v/>
      </c>
      <c r="Q331" s="13">
        <f>IF(VLOOKUP(B331,Database!$A:$AV,MATCH($Q$1,Database!$A$1:$AV$1,),)=0,"#N/A",((((VLOOKUP(B331,Database!$A:$AS,MATCH($Q$1,Database!$A$1:$AS$1,),))))-(((VLOOKUP(EDATE(B331,-12),Database!$A:$AS,MATCH($Q$1,Database!$A$1:$AS$1,),)))))/(((VLOOKUP(EDATE(B331,-12),Database!$A:$AS,MATCH($Q$1,Database!$A$1:$AS$1,),)))))</f>
        <v/>
      </c>
      <c r="R331" s="13">
        <f>IF(VLOOKUP(B331,Database!$A:$AV,MATCH($R$1,Database!$A$1:$AV$1,),)=0,"#N/A",((((VLOOKUP(B331,Database!$A:$AS,MATCH($R$1,Database!$A$1:$AS$1,),))))-(((VLOOKUP(EDATE(B331,-12),Database!$A:$AS,MATCH($R$1,Database!$A$1:$AS$1,),)))))/(((VLOOKUP(EDATE(B331,-12),Database!$A:$AS,MATCH($R$1,Database!$A$1:$AS$1,),)))))</f>
        <v/>
      </c>
      <c r="S331" s="13">
        <f>IF(VLOOKUP(B331,Database!$A:$AV,MATCH($S$1,Database!$A$1:$AV$1,),)=0,"#N/A",((((VLOOKUP(B331,Database!$A:$AS,MATCH($S$1,Database!$A$1:$AS$1,),))))-(((VLOOKUP(EDATE(B331,-12),Database!$A:$AS,MATCH($S$1,Database!$A$1:$AS$1,),)))))/(((VLOOKUP(EDATE(B331,-12),Database!$A:$AS,MATCH($S$1,Database!$A$1:$AS$1,),)))))</f>
        <v/>
      </c>
      <c r="T331" s="13">
        <f>IF(VLOOKUP(B331,Database!$A:$AV,MATCH($T$1,Database!$A$1:$AV$1,),)=0,"#N/A",((((VLOOKUP(B331,Database!$A:$AS,MATCH($T$1,Database!$A$1:$AS$1,),))))-(((VLOOKUP(EDATE(B331,-12),Database!$A:$AS,MATCH($T$1,Database!$A$1:$AS$1,),)))))/(((VLOOKUP(EDATE(B331,-12),Database!$A:$AS,MATCH($T$1,Database!$A$1:$AS$1,),)))))</f>
        <v/>
      </c>
      <c r="U331" s="13">
        <f>IF(VLOOKUP(B331,Database!$A:$AV,MATCH($U$1,Database!$A$1:$AV$1,),)=0,"#N/A",((((VLOOKUP(B331,Database!$A:$AS,MATCH($U$1,Database!$A$1:$AS$1,),))))-(((VLOOKUP(EDATE(B331,-12),Database!$A:$AS,MATCH($U$1,Database!$A$1:$AS$1,),)))))/(((VLOOKUP(EDATE(B331,-12),Database!$A:$AS,MATCH($U$1,Database!$A$1:$AS$1,),)))))</f>
        <v/>
      </c>
      <c r="V331" s="13">
        <f>IF(VLOOKUP(B331,Database!$A:$AV,MATCH($V$1,Database!$A$1:$AV$1,),)=0,"#N/A",((((VLOOKUP(B331,Database!$A:$AS,MATCH($V$1,Database!$A$1:$AS$1,),))))-(((VLOOKUP(EDATE(B331,-12),Database!$A:$AS,MATCH($V$1,Database!$A$1:$AS$1,),)))))/(((VLOOKUP(EDATE(B331,-12),Database!$A:$AS,MATCH($V$1,Database!$A$1:$AS$1,),)))))</f>
        <v/>
      </c>
    </row>
    <row r="332" customFormat="1" s="86">
      <c r="A332" s="43" t="n"/>
      <c r="B332" s="75" t="n">
        <v>42248</v>
      </c>
      <c r="C332" s="13">
        <f>IF(VLOOKUP(B332,Database!$A:$AU,MATCH($C$1,Database!$A$1:$AU$1,),)=0,"#N/A",((((VLOOKUP(B332,Database!$A:$AU,MATCH($C$1,Database!$A$1:$AU$1,),))))-(((VLOOKUP(EDATE(B332,-12),Database!$A:$AU,MATCH($C$1,Database!$A$1:$AU$1,),)))))/(((VLOOKUP(EDATE(B332,-12),Database!$A:$AU,MATCH($C$1,Database!$A$1:$AU$1,),)))))</f>
        <v/>
      </c>
      <c r="D332" s="13">
        <f>IF(VLOOKUP(B332,Database!$A:$AV,MATCH($D$1,Database!$A$1:$AV$1,),)=0,"#N/A",((((VLOOKUP(B332,Database!$A:$AS,MATCH($D$1,Database!$A$1:$AS$1,),))))-(((VLOOKUP(EDATE(B332,-12),Database!$A:$AS,MATCH($D$1,Database!$A$1:$AS$1,),)))))/(((VLOOKUP(EDATE(B332,-12),Database!$A:$AS,MATCH($D$1,Database!$A$1:$AS$1,),)))))</f>
        <v/>
      </c>
      <c r="E332" s="13">
        <f>IF(VLOOKUP(B332,Database!$A:$AV,MATCH($E$1,Database!$A$1:$AV$1,),)=0,"#N/A",((((VLOOKUP(B332,Database!$A:$AS,MATCH($E$1,Database!$A$1:$AS$1,),))))-(((VLOOKUP(EDATE(B332,-12),Database!$A:$AS,MATCH($E$1,Database!$A$1:$AS$1,),)))))/(((VLOOKUP(EDATE(B332,-12),Database!$A:$AS,MATCH($E$1,Database!$A$1:$AS$1,),)))))</f>
        <v/>
      </c>
      <c r="F332" s="13">
        <f>IF(VLOOKUP(B332,Database!$A:$AV,MATCH($F$1,Database!$A$1:$AV$1,),)=0,"#N/A",((((VLOOKUP(B332,Database!$A:$AS,MATCH($F$1,Database!$A$1:$AS$1,),))))-(((VLOOKUP(EDATE(B332,-12),Database!$A:$AS,MATCH($F$1,Database!$A$1:$AS$1,),)))))/(((VLOOKUP(EDATE(B332,-12),Database!$A:$AS,MATCH($F$1,Database!$A$1:$AS$1,),)))))</f>
        <v/>
      </c>
      <c r="G332" s="13">
        <f>IF(VLOOKUP(B332,Database!$A:$AV,MATCH($G$1,Database!$A$1:$AV$1,),)=0,"#N/A",((((VLOOKUP(B332,Database!$A:$AS,MATCH($G$1,Database!$A$1:$AS$1,),))))-(((VLOOKUP(EDATE(B332,-12),Database!$A:$AS,MATCH($G$1,Database!$A$1:$AS$1,),)))))/(((VLOOKUP(EDATE(B332,-12),Database!$A:$AS,MATCH($G$1,Database!$A$1:$AS$1,),)))))</f>
        <v/>
      </c>
      <c r="H332" s="13">
        <f>IF(VLOOKUP(B332,Database!$A:$AV,MATCH($H$1,Database!$A$1:$AV$1,),)=0,"#N/A",((((VLOOKUP(B332,Database!$A:$AS,MATCH($H$1,Database!$A$1:$AS$1,),))))-(((VLOOKUP(EDATE(B332,-12),Database!$A:$AS,MATCH($H$1,Database!$A$1:$AS$1,),)))))/(((VLOOKUP(EDATE(B332,-12),Database!$A:$AS,MATCH($H$1,Database!$A$1:$AS$1,),)))))</f>
        <v/>
      </c>
      <c r="I332" s="13">
        <f>IF(VLOOKUP(B332,Database!$A:$AV,MATCH($I$1,Database!$A$1:$AV$1,),)=0,"#N/A",((((VLOOKUP(B332,Database!$A:$AS,MATCH($I$1,Database!$A$1:$AS$1,),))))-(((VLOOKUP(EDATE(B332,-12),Database!$A:$AS,MATCH($I$1,Database!$A$1:$AS$1,),)))))/(((VLOOKUP(EDATE(B332,-12),Database!$A:$AS,MATCH($I$1,Database!$A$1:$AS$1,),)))))</f>
        <v/>
      </c>
      <c r="J332" s="13">
        <f>IF(VLOOKUP(B332,Database!$A:$AV,MATCH($J$1,Database!$A$1:$AV$1,),)=0,"#N/A",((((VLOOKUP(B332,Database!$A:$AS,MATCH($J$1,Database!$A$1:$AS$1,),))))-(((VLOOKUP(EDATE(B332,-12),Database!$A:$AS,MATCH($J$1,Database!$A$1:$AS$1,),)))))/(((VLOOKUP(EDATE(B332,-12),Database!$A:$AS,MATCH($J$1,Database!$A$1:$AS$1,),)))))</f>
        <v/>
      </c>
      <c r="K332" s="13">
        <f>IF(VLOOKUP(B332,Database!$A:$AV,MATCH($K$1,Database!$A$1:$AV$1,),)=0,"#N/A",((((VLOOKUP(B332,Database!$A:$AS,MATCH($K$1,Database!$A$1:$AS$1,),))))-(((VLOOKUP(EDATE(B332,-12),Database!$A:$AS,MATCH($K$1,Database!$A$1:$AS$1,),)))))/(((VLOOKUP(EDATE(B332,-12),Database!$A:$AS,MATCH($K$1,Database!$A$1:$AS$1,),)))))</f>
        <v/>
      </c>
      <c r="L332" s="13">
        <f>((((VLOOKUP(B332,Database!$A:$AS,MATCH($L$1,Database!$A$1:$AS$1,),))))-(((VLOOKUP(EDATE(B332,-12),Database!$A:$AS,MATCH($L$1,Database!$A$1:$AS$1,),)))))/(((VLOOKUP(EDATE(B332,-12),Database!$A:$AS,MATCH($L$1,Database!$A$1:$AS$1,),))))</f>
        <v/>
      </c>
      <c r="M332" s="13">
        <f>((((VLOOKUP(B332,Database!$A:$AS,MATCH($M$1,Database!$A$1:$AS$1,),))))-(((VLOOKUP(EDATE(B332,-12),Database!$A:$AS,MATCH($M$1,Database!$A$1:$AS$1,),)))))/(((VLOOKUP(EDATE(B332,-12),Database!$A:$AS,MATCH($M$1,Database!$A$1:$AS$1,),))))</f>
        <v/>
      </c>
      <c r="N332" s="13">
        <f>((((VLOOKUP(B332,Database!$A:$AS,MATCH($N$1,Database!$A$1:$AS$1,),))))-(((VLOOKUP(EDATE(B332,-12),Database!$A:$AS,MATCH($N$1,Database!$A$1:$AS$1,),)))))/(((VLOOKUP(EDATE(B332,-12),Database!$A:$AS,MATCH($N$1,Database!$A$1:$AS$1,),))))</f>
        <v/>
      </c>
      <c r="O332" s="13">
        <f>IF(VLOOKUP(B332,Database!$A:$AV,MATCH($O$1,Database!$A$1:$AV$1,),)=0,"#N/A",((((VLOOKUP(B332,Database!$A:$AS,MATCH($O$1,Database!$A$1:$AS$1,),))))-(((VLOOKUP(EDATE(B332,-12),Database!$A:$AS,MATCH($O$1,Database!$A$1:$AS$1,),)))))/(((VLOOKUP(EDATE(B332,-12),Database!$A:$AS,MATCH($O$1,Database!$A$1:$AS$1,),)))))</f>
        <v/>
      </c>
      <c r="P332" s="13">
        <f>IF(VLOOKUP(B332,Database!$A:$AV,MATCH($P$1,Database!$A$1:$AV$1,),)=0,"#N/A",((((VLOOKUP(B332,Database!$A:$AS,MATCH($P$1,Database!$A$1:$AS$1,),))))-(((VLOOKUP(EDATE(B332,-12),Database!$A:$AS,MATCH($P$1,Database!$A$1:$AS$1,),)))))/(((VLOOKUP(EDATE(B332,-12),Database!$A:$AS,MATCH($P$1,Database!$A$1:$AS$1,),)))))</f>
        <v/>
      </c>
      <c r="Q332" s="13">
        <f>IF(VLOOKUP(B332,Database!$A:$AV,MATCH($Q$1,Database!$A$1:$AV$1,),)=0,"#N/A",((((VLOOKUP(B332,Database!$A:$AS,MATCH($Q$1,Database!$A$1:$AS$1,),))))-(((VLOOKUP(EDATE(B332,-12),Database!$A:$AS,MATCH($Q$1,Database!$A$1:$AS$1,),)))))/(((VLOOKUP(EDATE(B332,-12),Database!$A:$AS,MATCH($Q$1,Database!$A$1:$AS$1,),)))))</f>
        <v/>
      </c>
      <c r="R332" s="13">
        <f>IF(VLOOKUP(B332,Database!$A:$AV,MATCH($R$1,Database!$A$1:$AV$1,),)=0,"#N/A",((((VLOOKUP(B332,Database!$A:$AS,MATCH($R$1,Database!$A$1:$AS$1,),))))-(((VLOOKUP(EDATE(B332,-12),Database!$A:$AS,MATCH($R$1,Database!$A$1:$AS$1,),)))))/(((VLOOKUP(EDATE(B332,-12),Database!$A:$AS,MATCH($R$1,Database!$A$1:$AS$1,),)))))</f>
        <v/>
      </c>
      <c r="S332" s="13">
        <f>IF(VLOOKUP(B332,Database!$A:$AV,MATCH($S$1,Database!$A$1:$AV$1,),)=0,"#N/A",((((VLOOKUP(B332,Database!$A:$AS,MATCH($S$1,Database!$A$1:$AS$1,),))))-(((VLOOKUP(EDATE(B332,-12),Database!$A:$AS,MATCH($S$1,Database!$A$1:$AS$1,),)))))/(((VLOOKUP(EDATE(B332,-12),Database!$A:$AS,MATCH($S$1,Database!$A$1:$AS$1,),)))))</f>
        <v/>
      </c>
      <c r="T332" s="13">
        <f>IF(VLOOKUP(B332,Database!$A:$AV,MATCH($T$1,Database!$A$1:$AV$1,),)=0,"#N/A",((((VLOOKUP(B332,Database!$A:$AS,MATCH($T$1,Database!$A$1:$AS$1,),))))-(((VLOOKUP(EDATE(B332,-12),Database!$A:$AS,MATCH($T$1,Database!$A$1:$AS$1,),)))))/(((VLOOKUP(EDATE(B332,-12),Database!$A:$AS,MATCH($T$1,Database!$A$1:$AS$1,),)))))</f>
        <v/>
      </c>
      <c r="U332" s="13">
        <f>IF(VLOOKUP(B332,Database!$A:$AV,MATCH($U$1,Database!$A$1:$AV$1,),)=0,"#N/A",((((VLOOKUP(B332,Database!$A:$AS,MATCH($U$1,Database!$A$1:$AS$1,),))))-(((VLOOKUP(EDATE(B332,-12),Database!$A:$AS,MATCH($U$1,Database!$A$1:$AS$1,),)))))/(((VLOOKUP(EDATE(B332,-12),Database!$A:$AS,MATCH($U$1,Database!$A$1:$AS$1,),)))))</f>
        <v/>
      </c>
      <c r="V332" s="13">
        <f>IF(VLOOKUP(B332,Database!$A:$AV,MATCH($V$1,Database!$A$1:$AV$1,),)=0,"#N/A",((((VLOOKUP(B332,Database!$A:$AS,MATCH($V$1,Database!$A$1:$AS$1,),))))-(((VLOOKUP(EDATE(B332,-12),Database!$A:$AS,MATCH($V$1,Database!$A$1:$AS$1,),)))))/(((VLOOKUP(EDATE(B332,-12),Database!$A:$AS,MATCH($V$1,Database!$A$1:$AS$1,),)))))</f>
        <v/>
      </c>
    </row>
    <row r="333" customFormat="1" s="86">
      <c r="A333" s="43" t="n"/>
      <c r="B333" s="75" t="n">
        <v>42278</v>
      </c>
      <c r="C333" s="13">
        <f>IF(VLOOKUP(B333,Database!$A:$AU,MATCH($C$1,Database!$A$1:$AU$1,),)=0,"#N/A",((((VLOOKUP(B333,Database!$A:$AU,MATCH($C$1,Database!$A$1:$AU$1,),))))-(((VLOOKUP(EDATE(B333,-12),Database!$A:$AU,MATCH($C$1,Database!$A$1:$AU$1,),)))))/(((VLOOKUP(EDATE(B333,-12),Database!$A:$AU,MATCH($C$1,Database!$A$1:$AU$1,),)))))</f>
        <v/>
      </c>
      <c r="D333" s="13">
        <f>IF(VLOOKUP(B333,Database!$A:$AV,MATCH($D$1,Database!$A$1:$AV$1,),)=0,"#N/A",((((VLOOKUP(B333,Database!$A:$AS,MATCH($D$1,Database!$A$1:$AS$1,),))))-(((VLOOKUP(EDATE(B333,-12),Database!$A:$AS,MATCH($D$1,Database!$A$1:$AS$1,),)))))/(((VLOOKUP(EDATE(B333,-12),Database!$A:$AS,MATCH($D$1,Database!$A$1:$AS$1,),)))))</f>
        <v/>
      </c>
      <c r="E333" s="13">
        <f>IF(VLOOKUP(B333,Database!$A:$AV,MATCH($E$1,Database!$A$1:$AV$1,),)=0,"#N/A",((((VLOOKUP(B333,Database!$A:$AS,MATCH($E$1,Database!$A$1:$AS$1,),))))-(((VLOOKUP(EDATE(B333,-12),Database!$A:$AS,MATCH($E$1,Database!$A$1:$AS$1,),)))))/(((VLOOKUP(EDATE(B333,-12),Database!$A:$AS,MATCH($E$1,Database!$A$1:$AS$1,),)))))</f>
        <v/>
      </c>
      <c r="F333" s="13">
        <f>IF(VLOOKUP(B333,Database!$A:$AV,MATCH($F$1,Database!$A$1:$AV$1,),)=0,"#N/A",((((VLOOKUP(B333,Database!$A:$AS,MATCH($F$1,Database!$A$1:$AS$1,),))))-(((VLOOKUP(EDATE(B333,-12),Database!$A:$AS,MATCH($F$1,Database!$A$1:$AS$1,),)))))/(((VLOOKUP(EDATE(B333,-12),Database!$A:$AS,MATCH($F$1,Database!$A$1:$AS$1,),)))))</f>
        <v/>
      </c>
      <c r="G333" s="13">
        <f>IF(VLOOKUP(B333,Database!$A:$AV,MATCH($G$1,Database!$A$1:$AV$1,),)=0,"#N/A",((((VLOOKUP(B333,Database!$A:$AS,MATCH($G$1,Database!$A$1:$AS$1,),))))-(((VLOOKUP(EDATE(B333,-12),Database!$A:$AS,MATCH($G$1,Database!$A$1:$AS$1,),)))))/(((VLOOKUP(EDATE(B333,-12),Database!$A:$AS,MATCH($G$1,Database!$A$1:$AS$1,),)))))</f>
        <v/>
      </c>
      <c r="H333" s="13">
        <f>IF(VLOOKUP(B333,Database!$A:$AV,MATCH($H$1,Database!$A$1:$AV$1,),)=0,"#N/A",((((VLOOKUP(B333,Database!$A:$AS,MATCH($H$1,Database!$A$1:$AS$1,),))))-(((VLOOKUP(EDATE(B333,-12),Database!$A:$AS,MATCH($H$1,Database!$A$1:$AS$1,),)))))/(((VLOOKUP(EDATE(B333,-12),Database!$A:$AS,MATCH($H$1,Database!$A$1:$AS$1,),)))))</f>
        <v/>
      </c>
      <c r="I333" s="13">
        <f>IF(VLOOKUP(B333,Database!$A:$AV,MATCH($I$1,Database!$A$1:$AV$1,),)=0,"#N/A",((((VLOOKUP(B333,Database!$A:$AS,MATCH($I$1,Database!$A$1:$AS$1,),))))-(((VLOOKUP(EDATE(B333,-12),Database!$A:$AS,MATCH($I$1,Database!$A$1:$AS$1,),)))))/(((VLOOKUP(EDATE(B333,-12),Database!$A:$AS,MATCH($I$1,Database!$A$1:$AS$1,),)))))</f>
        <v/>
      </c>
      <c r="J333" s="13">
        <f>IF(VLOOKUP(B333,Database!$A:$AV,MATCH($J$1,Database!$A$1:$AV$1,),)=0,"#N/A",((((VLOOKUP(B333,Database!$A:$AS,MATCH($J$1,Database!$A$1:$AS$1,),))))-(((VLOOKUP(EDATE(B333,-12),Database!$A:$AS,MATCH($J$1,Database!$A$1:$AS$1,),)))))/(((VLOOKUP(EDATE(B333,-12),Database!$A:$AS,MATCH($J$1,Database!$A$1:$AS$1,),)))))</f>
        <v/>
      </c>
      <c r="K333" s="13">
        <f>IF(VLOOKUP(B333,Database!$A:$AV,MATCH($K$1,Database!$A$1:$AV$1,),)=0,"#N/A",((((VLOOKUP(B333,Database!$A:$AS,MATCH($K$1,Database!$A$1:$AS$1,),))))-(((VLOOKUP(EDATE(B333,-12),Database!$A:$AS,MATCH($K$1,Database!$A$1:$AS$1,),)))))/(((VLOOKUP(EDATE(B333,-12),Database!$A:$AS,MATCH($K$1,Database!$A$1:$AS$1,),)))))</f>
        <v/>
      </c>
      <c r="L333" s="13">
        <f>((((VLOOKUP(B333,Database!$A:$AS,MATCH($L$1,Database!$A$1:$AS$1,),))))-(((VLOOKUP(EDATE(B333,-12),Database!$A:$AS,MATCH($L$1,Database!$A$1:$AS$1,),)))))/(((VLOOKUP(EDATE(B333,-12),Database!$A:$AS,MATCH($L$1,Database!$A$1:$AS$1,),))))</f>
        <v/>
      </c>
      <c r="M333" s="13">
        <f>((((VLOOKUP(B333,Database!$A:$AS,MATCH($M$1,Database!$A$1:$AS$1,),))))-(((VLOOKUP(EDATE(B333,-12),Database!$A:$AS,MATCH($M$1,Database!$A$1:$AS$1,),)))))/(((VLOOKUP(EDATE(B333,-12),Database!$A:$AS,MATCH($M$1,Database!$A$1:$AS$1,),))))</f>
        <v/>
      </c>
      <c r="N333" s="13">
        <f>((((VLOOKUP(B333,Database!$A:$AS,MATCH($N$1,Database!$A$1:$AS$1,),))))-(((VLOOKUP(EDATE(B333,-12),Database!$A:$AS,MATCH($N$1,Database!$A$1:$AS$1,),)))))/(((VLOOKUP(EDATE(B333,-12),Database!$A:$AS,MATCH($N$1,Database!$A$1:$AS$1,),))))</f>
        <v/>
      </c>
      <c r="O333" s="13">
        <f>IF(VLOOKUP(B333,Database!$A:$AV,MATCH($O$1,Database!$A$1:$AV$1,),)=0,"#N/A",((((VLOOKUP(B333,Database!$A:$AS,MATCH($O$1,Database!$A$1:$AS$1,),))))-(((VLOOKUP(EDATE(B333,-12),Database!$A:$AS,MATCH($O$1,Database!$A$1:$AS$1,),)))))/(((VLOOKUP(EDATE(B333,-12),Database!$A:$AS,MATCH($O$1,Database!$A$1:$AS$1,),)))))</f>
        <v/>
      </c>
      <c r="P333" s="13">
        <f>IF(VLOOKUP(B333,Database!$A:$AV,MATCH($P$1,Database!$A$1:$AV$1,),)=0,"#N/A",((((VLOOKUP(B333,Database!$A:$AS,MATCH($P$1,Database!$A$1:$AS$1,),))))-(((VLOOKUP(EDATE(B333,-12),Database!$A:$AS,MATCH($P$1,Database!$A$1:$AS$1,),)))))/(((VLOOKUP(EDATE(B333,-12),Database!$A:$AS,MATCH($P$1,Database!$A$1:$AS$1,),)))))</f>
        <v/>
      </c>
      <c r="Q333" s="13">
        <f>IF(VLOOKUP(B333,Database!$A:$AV,MATCH($Q$1,Database!$A$1:$AV$1,),)=0,"#N/A",((((VLOOKUP(B333,Database!$A:$AS,MATCH($Q$1,Database!$A$1:$AS$1,),))))-(((VLOOKUP(EDATE(B333,-12),Database!$A:$AS,MATCH($Q$1,Database!$A$1:$AS$1,),)))))/(((VLOOKUP(EDATE(B333,-12),Database!$A:$AS,MATCH($Q$1,Database!$A$1:$AS$1,),)))))</f>
        <v/>
      </c>
      <c r="R333" s="13">
        <f>IF(VLOOKUP(B333,Database!$A:$AV,MATCH($R$1,Database!$A$1:$AV$1,),)=0,"#N/A",((((VLOOKUP(B333,Database!$A:$AS,MATCH($R$1,Database!$A$1:$AS$1,),))))-(((VLOOKUP(EDATE(B333,-12),Database!$A:$AS,MATCH($R$1,Database!$A$1:$AS$1,),)))))/(((VLOOKUP(EDATE(B333,-12),Database!$A:$AS,MATCH($R$1,Database!$A$1:$AS$1,),)))))</f>
        <v/>
      </c>
      <c r="S333" s="13">
        <f>IF(VLOOKUP(B333,Database!$A:$AV,MATCH($S$1,Database!$A$1:$AV$1,),)=0,"#N/A",((((VLOOKUP(B333,Database!$A:$AS,MATCH($S$1,Database!$A$1:$AS$1,),))))-(((VLOOKUP(EDATE(B333,-12),Database!$A:$AS,MATCH($S$1,Database!$A$1:$AS$1,),)))))/(((VLOOKUP(EDATE(B333,-12),Database!$A:$AS,MATCH($S$1,Database!$A$1:$AS$1,),)))))</f>
        <v/>
      </c>
      <c r="T333" s="13">
        <f>IF(VLOOKUP(B333,Database!$A:$AV,MATCH($T$1,Database!$A$1:$AV$1,),)=0,"#N/A",((((VLOOKUP(B333,Database!$A:$AS,MATCH($T$1,Database!$A$1:$AS$1,),))))-(((VLOOKUP(EDATE(B333,-12),Database!$A:$AS,MATCH($T$1,Database!$A$1:$AS$1,),)))))/(((VLOOKUP(EDATE(B333,-12),Database!$A:$AS,MATCH($T$1,Database!$A$1:$AS$1,),)))))</f>
        <v/>
      </c>
      <c r="U333" s="13">
        <f>IF(VLOOKUP(B333,Database!$A:$AV,MATCH($U$1,Database!$A$1:$AV$1,),)=0,"#N/A",((((VLOOKUP(B333,Database!$A:$AS,MATCH($U$1,Database!$A$1:$AS$1,),))))-(((VLOOKUP(EDATE(B333,-12),Database!$A:$AS,MATCH($U$1,Database!$A$1:$AS$1,),)))))/(((VLOOKUP(EDATE(B333,-12),Database!$A:$AS,MATCH($U$1,Database!$A$1:$AS$1,),)))))</f>
        <v/>
      </c>
      <c r="V333" s="13">
        <f>IF(VLOOKUP(B333,Database!$A:$AV,MATCH($V$1,Database!$A$1:$AV$1,),)=0,"#N/A",((((VLOOKUP(B333,Database!$A:$AS,MATCH($V$1,Database!$A$1:$AS$1,),))))-(((VLOOKUP(EDATE(B333,-12),Database!$A:$AS,MATCH($V$1,Database!$A$1:$AS$1,),)))))/(((VLOOKUP(EDATE(B333,-12),Database!$A:$AS,MATCH($V$1,Database!$A$1:$AS$1,),)))))</f>
        <v/>
      </c>
    </row>
    <row r="334" customFormat="1" s="86">
      <c r="A334" s="43" t="n"/>
      <c r="B334" s="75" t="n">
        <v>42309</v>
      </c>
      <c r="C334" s="13">
        <f>IF(VLOOKUP(B334,Database!$A:$AU,MATCH($C$1,Database!$A$1:$AU$1,),)=0,"#N/A",((((VLOOKUP(B334,Database!$A:$AU,MATCH($C$1,Database!$A$1:$AU$1,),))))-(((VLOOKUP(EDATE(B334,-12),Database!$A:$AU,MATCH($C$1,Database!$A$1:$AU$1,),)))))/(((VLOOKUP(EDATE(B334,-12),Database!$A:$AU,MATCH($C$1,Database!$A$1:$AU$1,),)))))</f>
        <v/>
      </c>
      <c r="D334" s="13">
        <f>IF(VLOOKUP(B334,Database!$A:$AV,MATCH($D$1,Database!$A$1:$AV$1,),)=0,"#N/A",((((VLOOKUP(B334,Database!$A:$AS,MATCH($D$1,Database!$A$1:$AS$1,),))))-(((VLOOKUP(EDATE(B334,-12),Database!$A:$AS,MATCH($D$1,Database!$A$1:$AS$1,),)))))/(((VLOOKUP(EDATE(B334,-12),Database!$A:$AS,MATCH($D$1,Database!$A$1:$AS$1,),)))))</f>
        <v/>
      </c>
      <c r="E334" s="13">
        <f>IF(VLOOKUP(B334,Database!$A:$AV,MATCH($E$1,Database!$A$1:$AV$1,),)=0,"#N/A",((((VLOOKUP(B334,Database!$A:$AS,MATCH($E$1,Database!$A$1:$AS$1,),))))-(((VLOOKUP(EDATE(B334,-12),Database!$A:$AS,MATCH($E$1,Database!$A$1:$AS$1,),)))))/(((VLOOKUP(EDATE(B334,-12),Database!$A:$AS,MATCH($E$1,Database!$A$1:$AS$1,),)))))</f>
        <v/>
      </c>
      <c r="F334" s="13">
        <f>IF(VLOOKUP(B334,Database!$A:$AV,MATCH($F$1,Database!$A$1:$AV$1,),)=0,"#N/A",((((VLOOKUP(B334,Database!$A:$AS,MATCH($F$1,Database!$A$1:$AS$1,),))))-(((VLOOKUP(EDATE(B334,-12),Database!$A:$AS,MATCH($F$1,Database!$A$1:$AS$1,),)))))/(((VLOOKUP(EDATE(B334,-12),Database!$A:$AS,MATCH($F$1,Database!$A$1:$AS$1,),)))))</f>
        <v/>
      </c>
      <c r="G334" s="13">
        <f>IF(VLOOKUP(B334,Database!$A:$AV,MATCH($G$1,Database!$A$1:$AV$1,),)=0,"#N/A",((((VLOOKUP(B334,Database!$A:$AS,MATCH($G$1,Database!$A$1:$AS$1,),))))-(((VLOOKUP(EDATE(B334,-12),Database!$A:$AS,MATCH($G$1,Database!$A$1:$AS$1,),)))))/(((VLOOKUP(EDATE(B334,-12),Database!$A:$AS,MATCH($G$1,Database!$A$1:$AS$1,),)))))</f>
        <v/>
      </c>
      <c r="H334" s="13">
        <f>IF(VLOOKUP(B334,Database!$A:$AV,MATCH($H$1,Database!$A$1:$AV$1,),)=0,"#N/A",((((VLOOKUP(B334,Database!$A:$AS,MATCH($H$1,Database!$A$1:$AS$1,),))))-(((VLOOKUP(EDATE(B334,-12),Database!$A:$AS,MATCH($H$1,Database!$A$1:$AS$1,),)))))/(((VLOOKUP(EDATE(B334,-12),Database!$A:$AS,MATCH($H$1,Database!$A$1:$AS$1,),)))))</f>
        <v/>
      </c>
      <c r="I334" s="13">
        <f>IF(VLOOKUP(B334,Database!$A:$AV,MATCH($I$1,Database!$A$1:$AV$1,),)=0,"#N/A",((((VLOOKUP(B334,Database!$A:$AS,MATCH($I$1,Database!$A$1:$AS$1,),))))-(((VLOOKUP(EDATE(B334,-12),Database!$A:$AS,MATCH($I$1,Database!$A$1:$AS$1,),)))))/(((VLOOKUP(EDATE(B334,-12),Database!$A:$AS,MATCH($I$1,Database!$A$1:$AS$1,),)))))</f>
        <v/>
      </c>
      <c r="J334" s="13">
        <f>IF(VLOOKUP(B334,Database!$A:$AV,MATCH($J$1,Database!$A$1:$AV$1,),)=0,"#N/A",((((VLOOKUP(B334,Database!$A:$AS,MATCH($J$1,Database!$A$1:$AS$1,),))))-(((VLOOKUP(EDATE(B334,-12),Database!$A:$AS,MATCH($J$1,Database!$A$1:$AS$1,),)))))/(((VLOOKUP(EDATE(B334,-12),Database!$A:$AS,MATCH($J$1,Database!$A$1:$AS$1,),)))))</f>
        <v/>
      </c>
      <c r="K334" s="13">
        <f>IF(VLOOKUP(B334,Database!$A:$AV,MATCH($K$1,Database!$A$1:$AV$1,),)=0,"#N/A",((((VLOOKUP(B334,Database!$A:$AS,MATCH($K$1,Database!$A$1:$AS$1,),))))-(((VLOOKUP(EDATE(B334,-12),Database!$A:$AS,MATCH($K$1,Database!$A$1:$AS$1,),)))))/(((VLOOKUP(EDATE(B334,-12),Database!$A:$AS,MATCH($K$1,Database!$A$1:$AS$1,),)))))</f>
        <v/>
      </c>
      <c r="L334" s="13">
        <f>((((VLOOKUP(B334,Database!$A:$AS,MATCH($L$1,Database!$A$1:$AS$1,),))))-(((VLOOKUP(EDATE(B334,-12),Database!$A:$AS,MATCH($L$1,Database!$A$1:$AS$1,),)))))/(((VLOOKUP(EDATE(B334,-12),Database!$A:$AS,MATCH($L$1,Database!$A$1:$AS$1,),))))</f>
        <v/>
      </c>
      <c r="M334" s="13">
        <f>((((VLOOKUP(B334,Database!$A:$AS,MATCH($M$1,Database!$A$1:$AS$1,),))))-(((VLOOKUP(EDATE(B334,-12),Database!$A:$AS,MATCH($M$1,Database!$A$1:$AS$1,),)))))/(((VLOOKUP(EDATE(B334,-12),Database!$A:$AS,MATCH($M$1,Database!$A$1:$AS$1,),))))</f>
        <v/>
      </c>
      <c r="N334" s="13">
        <f>((((VLOOKUP(B334,Database!$A:$AS,MATCH($N$1,Database!$A$1:$AS$1,),))))-(((VLOOKUP(EDATE(B334,-12),Database!$A:$AS,MATCH($N$1,Database!$A$1:$AS$1,),)))))/(((VLOOKUP(EDATE(B334,-12),Database!$A:$AS,MATCH($N$1,Database!$A$1:$AS$1,),))))</f>
        <v/>
      </c>
      <c r="O334" s="13">
        <f>IF(VLOOKUP(B334,Database!$A:$AV,MATCH($O$1,Database!$A$1:$AV$1,),)=0,"#N/A",((((VLOOKUP(B334,Database!$A:$AS,MATCH($O$1,Database!$A$1:$AS$1,),))))-(((VLOOKUP(EDATE(B334,-12),Database!$A:$AS,MATCH($O$1,Database!$A$1:$AS$1,),)))))/(((VLOOKUP(EDATE(B334,-12),Database!$A:$AS,MATCH($O$1,Database!$A$1:$AS$1,),)))))</f>
        <v/>
      </c>
      <c r="P334" s="13">
        <f>IF(VLOOKUP(B334,Database!$A:$AV,MATCH($P$1,Database!$A$1:$AV$1,),)=0,"#N/A",((((VLOOKUP(B334,Database!$A:$AS,MATCH($P$1,Database!$A$1:$AS$1,),))))-(((VLOOKUP(EDATE(B334,-12),Database!$A:$AS,MATCH($P$1,Database!$A$1:$AS$1,),)))))/(((VLOOKUP(EDATE(B334,-12),Database!$A:$AS,MATCH($P$1,Database!$A$1:$AS$1,),)))))</f>
        <v/>
      </c>
      <c r="Q334" s="13">
        <f>IF(VLOOKUP(B334,Database!$A:$AV,MATCH($Q$1,Database!$A$1:$AV$1,),)=0,"#N/A",((((VLOOKUP(B334,Database!$A:$AS,MATCH($Q$1,Database!$A$1:$AS$1,),))))-(((VLOOKUP(EDATE(B334,-12),Database!$A:$AS,MATCH($Q$1,Database!$A$1:$AS$1,),)))))/(((VLOOKUP(EDATE(B334,-12),Database!$A:$AS,MATCH($Q$1,Database!$A$1:$AS$1,),)))))</f>
        <v/>
      </c>
      <c r="R334" s="13">
        <f>IF(VLOOKUP(B334,Database!$A:$AV,MATCH($R$1,Database!$A$1:$AV$1,),)=0,"#N/A",((((VLOOKUP(B334,Database!$A:$AS,MATCH($R$1,Database!$A$1:$AS$1,),))))-(((VLOOKUP(EDATE(B334,-12),Database!$A:$AS,MATCH($R$1,Database!$A$1:$AS$1,),)))))/(((VLOOKUP(EDATE(B334,-12),Database!$A:$AS,MATCH($R$1,Database!$A$1:$AS$1,),)))))</f>
        <v/>
      </c>
      <c r="S334" s="13">
        <f>IF(VLOOKUP(B334,Database!$A:$AV,MATCH($S$1,Database!$A$1:$AV$1,),)=0,"#N/A",((((VLOOKUP(B334,Database!$A:$AS,MATCH($S$1,Database!$A$1:$AS$1,),))))-(((VLOOKUP(EDATE(B334,-12),Database!$A:$AS,MATCH($S$1,Database!$A$1:$AS$1,),)))))/(((VLOOKUP(EDATE(B334,-12),Database!$A:$AS,MATCH($S$1,Database!$A$1:$AS$1,),)))))</f>
        <v/>
      </c>
      <c r="T334" s="13">
        <f>IF(VLOOKUP(B334,Database!$A:$AV,MATCH($T$1,Database!$A$1:$AV$1,),)=0,"#N/A",((((VLOOKUP(B334,Database!$A:$AS,MATCH($T$1,Database!$A$1:$AS$1,),))))-(((VLOOKUP(EDATE(B334,-12),Database!$A:$AS,MATCH($T$1,Database!$A$1:$AS$1,),)))))/(((VLOOKUP(EDATE(B334,-12),Database!$A:$AS,MATCH($T$1,Database!$A$1:$AS$1,),)))))</f>
        <v/>
      </c>
      <c r="U334" s="13">
        <f>IF(VLOOKUP(B334,Database!$A:$AV,MATCH($U$1,Database!$A$1:$AV$1,),)=0,"#N/A",((((VLOOKUP(B334,Database!$A:$AS,MATCH($U$1,Database!$A$1:$AS$1,),))))-(((VLOOKUP(EDATE(B334,-12),Database!$A:$AS,MATCH($U$1,Database!$A$1:$AS$1,),)))))/(((VLOOKUP(EDATE(B334,-12),Database!$A:$AS,MATCH($U$1,Database!$A$1:$AS$1,),)))))</f>
        <v/>
      </c>
      <c r="V334" s="13">
        <f>IF(VLOOKUP(B334,Database!$A:$AV,MATCH($V$1,Database!$A$1:$AV$1,),)=0,"#N/A",((((VLOOKUP(B334,Database!$A:$AS,MATCH($V$1,Database!$A$1:$AS$1,),))))-(((VLOOKUP(EDATE(B334,-12),Database!$A:$AS,MATCH($V$1,Database!$A$1:$AS$1,),)))))/(((VLOOKUP(EDATE(B334,-12),Database!$A:$AS,MATCH($V$1,Database!$A$1:$AS$1,),)))))</f>
        <v/>
      </c>
    </row>
    <row r="335" customFormat="1" s="86">
      <c r="A335" s="43" t="n"/>
      <c r="B335" s="75" t="n">
        <v>42339</v>
      </c>
      <c r="C335" s="13">
        <f>IF(VLOOKUP(B335,Database!$A:$AU,MATCH($C$1,Database!$A$1:$AU$1,),)=0,"#N/A",((((VLOOKUP(B335,Database!$A:$AU,MATCH($C$1,Database!$A$1:$AU$1,),))))-(((VLOOKUP(EDATE(B335,-12),Database!$A:$AU,MATCH($C$1,Database!$A$1:$AU$1,),)))))/(((VLOOKUP(EDATE(B335,-12),Database!$A:$AU,MATCH($C$1,Database!$A$1:$AU$1,),)))))</f>
        <v/>
      </c>
      <c r="D335" s="13">
        <f>IF(VLOOKUP(B335,Database!$A:$AV,MATCH($D$1,Database!$A$1:$AV$1,),)=0,"#N/A",((((VLOOKUP(B335,Database!$A:$AS,MATCH($D$1,Database!$A$1:$AS$1,),))))-(((VLOOKUP(EDATE(B335,-12),Database!$A:$AS,MATCH($D$1,Database!$A$1:$AS$1,),)))))/(((VLOOKUP(EDATE(B335,-12),Database!$A:$AS,MATCH($D$1,Database!$A$1:$AS$1,),)))))</f>
        <v/>
      </c>
      <c r="E335" s="13">
        <f>IF(VLOOKUP(B335,Database!$A:$AV,MATCH($E$1,Database!$A$1:$AV$1,),)=0,"#N/A",((((VLOOKUP(B335,Database!$A:$AS,MATCH($E$1,Database!$A$1:$AS$1,),))))-(((VLOOKUP(EDATE(B335,-12),Database!$A:$AS,MATCH($E$1,Database!$A$1:$AS$1,),)))))/(((VLOOKUP(EDATE(B335,-12),Database!$A:$AS,MATCH($E$1,Database!$A$1:$AS$1,),)))))</f>
        <v/>
      </c>
      <c r="F335" s="13">
        <f>IF(VLOOKUP(B335,Database!$A:$AV,MATCH($F$1,Database!$A$1:$AV$1,),)=0,"#N/A",((((VLOOKUP(B335,Database!$A:$AS,MATCH($F$1,Database!$A$1:$AS$1,),))))-(((VLOOKUP(EDATE(B335,-12),Database!$A:$AS,MATCH($F$1,Database!$A$1:$AS$1,),)))))/(((VLOOKUP(EDATE(B335,-12),Database!$A:$AS,MATCH($F$1,Database!$A$1:$AS$1,),)))))</f>
        <v/>
      </c>
      <c r="G335" s="13">
        <f>IF(VLOOKUP(B335,Database!$A:$AV,MATCH($G$1,Database!$A$1:$AV$1,),)=0,"#N/A",((((VLOOKUP(B335,Database!$A:$AS,MATCH($G$1,Database!$A$1:$AS$1,),))))-(((VLOOKUP(EDATE(B335,-12),Database!$A:$AS,MATCH($G$1,Database!$A$1:$AS$1,),)))))/(((VLOOKUP(EDATE(B335,-12),Database!$A:$AS,MATCH($G$1,Database!$A$1:$AS$1,),)))))</f>
        <v/>
      </c>
      <c r="H335" s="13">
        <f>IF(VLOOKUP(B335,Database!$A:$AV,MATCH($H$1,Database!$A$1:$AV$1,),)=0,"#N/A",((((VLOOKUP(B335,Database!$A:$AS,MATCH($H$1,Database!$A$1:$AS$1,),))))-(((VLOOKUP(EDATE(B335,-12),Database!$A:$AS,MATCH($H$1,Database!$A$1:$AS$1,),)))))/(((VLOOKUP(EDATE(B335,-12),Database!$A:$AS,MATCH($H$1,Database!$A$1:$AS$1,),)))))</f>
        <v/>
      </c>
      <c r="I335" s="13">
        <f>IF(VLOOKUP(B335,Database!$A:$AV,MATCH($I$1,Database!$A$1:$AV$1,),)=0,"#N/A",((((VLOOKUP(B335,Database!$A:$AS,MATCH($I$1,Database!$A$1:$AS$1,),))))-(((VLOOKUP(EDATE(B335,-12),Database!$A:$AS,MATCH($I$1,Database!$A$1:$AS$1,),)))))/(((VLOOKUP(EDATE(B335,-12),Database!$A:$AS,MATCH($I$1,Database!$A$1:$AS$1,),)))))</f>
        <v/>
      </c>
      <c r="J335" s="13">
        <f>IF(VLOOKUP(B335,Database!$A:$AV,MATCH($J$1,Database!$A$1:$AV$1,),)=0,"#N/A",((((VLOOKUP(B335,Database!$A:$AS,MATCH($J$1,Database!$A$1:$AS$1,),))))-(((VLOOKUP(EDATE(B335,-12),Database!$A:$AS,MATCH($J$1,Database!$A$1:$AS$1,),)))))/(((VLOOKUP(EDATE(B335,-12),Database!$A:$AS,MATCH($J$1,Database!$A$1:$AS$1,),)))))</f>
        <v/>
      </c>
      <c r="K335" s="13">
        <f>IF(VLOOKUP(B335,Database!$A:$AV,MATCH($K$1,Database!$A$1:$AV$1,),)=0,"#N/A",((((VLOOKUP(B335,Database!$A:$AS,MATCH($K$1,Database!$A$1:$AS$1,),))))-(((VLOOKUP(EDATE(B335,-12),Database!$A:$AS,MATCH($K$1,Database!$A$1:$AS$1,),)))))/(((VLOOKUP(EDATE(B335,-12),Database!$A:$AS,MATCH($K$1,Database!$A$1:$AS$1,),)))))</f>
        <v/>
      </c>
      <c r="L335" s="13">
        <f>((((VLOOKUP(B335,Database!$A:$AS,MATCH($L$1,Database!$A$1:$AS$1,),))))-(((VLOOKUP(EDATE(B335,-12),Database!$A:$AS,MATCH($L$1,Database!$A$1:$AS$1,),)))))/(((VLOOKUP(EDATE(B335,-12),Database!$A:$AS,MATCH($L$1,Database!$A$1:$AS$1,),))))</f>
        <v/>
      </c>
      <c r="M335" s="13">
        <f>((((VLOOKUP(B335,Database!$A:$AS,MATCH($M$1,Database!$A$1:$AS$1,),))))-(((VLOOKUP(EDATE(B335,-12),Database!$A:$AS,MATCH($M$1,Database!$A$1:$AS$1,),)))))/(((VLOOKUP(EDATE(B335,-12),Database!$A:$AS,MATCH($M$1,Database!$A$1:$AS$1,),))))</f>
        <v/>
      </c>
      <c r="N335" s="13">
        <f>((((VLOOKUP(B335,Database!$A:$AS,MATCH($N$1,Database!$A$1:$AS$1,),))))-(((VLOOKUP(EDATE(B335,-12),Database!$A:$AS,MATCH($N$1,Database!$A$1:$AS$1,),)))))/(((VLOOKUP(EDATE(B335,-12),Database!$A:$AS,MATCH($N$1,Database!$A$1:$AS$1,),))))</f>
        <v/>
      </c>
      <c r="O335" s="13">
        <f>IF(VLOOKUP(B335,Database!$A:$AV,MATCH($O$1,Database!$A$1:$AV$1,),)=0,"#N/A",((((VLOOKUP(B335,Database!$A:$AS,MATCH($O$1,Database!$A$1:$AS$1,),))))-(((VLOOKUP(EDATE(B335,-12),Database!$A:$AS,MATCH($O$1,Database!$A$1:$AS$1,),)))))/(((VLOOKUP(EDATE(B335,-12),Database!$A:$AS,MATCH($O$1,Database!$A$1:$AS$1,),)))))</f>
        <v/>
      </c>
      <c r="P335" s="13">
        <f>IF(VLOOKUP(B335,Database!$A:$AV,MATCH($P$1,Database!$A$1:$AV$1,),)=0,"#N/A",((((VLOOKUP(B335,Database!$A:$AS,MATCH($P$1,Database!$A$1:$AS$1,),))))-(((VLOOKUP(EDATE(B335,-12),Database!$A:$AS,MATCH($P$1,Database!$A$1:$AS$1,),)))))/(((VLOOKUP(EDATE(B335,-12),Database!$A:$AS,MATCH($P$1,Database!$A$1:$AS$1,),)))))</f>
        <v/>
      </c>
      <c r="Q335" s="13">
        <f>IF(VLOOKUP(B335,Database!$A:$AV,MATCH($Q$1,Database!$A$1:$AV$1,),)=0,"#N/A",((((VLOOKUP(B335,Database!$A:$AS,MATCH($Q$1,Database!$A$1:$AS$1,),))))-(((VLOOKUP(EDATE(B335,-12),Database!$A:$AS,MATCH($Q$1,Database!$A$1:$AS$1,),)))))/(((VLOOKUP(EDATE(B335,-12),Database!$A:$AS,MATCH($Q$1,Database!$A$1:$AS$1,),)))))</f>
        <v/>
      </c>
      <c r="R335" s="13">
        <f>IF(VLOOKUP(B335,Database!$A:$AV,MATCH($R$1,Database!$A$1:$AV$1,),)=0,"#N/A",((((VLOOKUP(B335,Database!$A:$AS,MATCH($R$1,Database!$A$1:$AS$1,),))))-(((VLOOKUP(EDATE(B335,-12),Database!$A:$AS,MATCH($R$1,Database!$A$1:$AS$1,),)))))/(((VLOOKUP(EDATE(B335,-12),Database!$A:$AS,MATCH($R$1,Database!$A$1:$AS$1,),)))))</f>
        <v/>
      </c>
      <c r="S335" s="13">
        <f>IF(VLOOKUP(B335,Database!$A:$AV,MATCH($S$1,Database!$A$1:$AV$1,),)=0,"#N/A",((((VLOOKUP(B335,Database!$A:$AS,MATCH($S$1,Database!$A$1:$AS$1,),))))-(((VLOOKUP(EDATE(B335,-12),Database!$A:$AS,MATCH($S$1,Database!$A$1:$AS$1,),)))))/(((VLOOKUP(EDATE(B335,-12),Database!$A:$AS,MATCH($S$1,Database!$A$1:$AS$1,),)))))</f>
        <v/>
      </c>
      <c r="T335" s="13">
        <f>IF(VLOOKUP(B335,Database!$A:$AV,MATCH($T$1,Database!$A$1:$AV$1,),)=0,"#N/A",((((VLOOKUP(B335,Database!$A:$AS,MATCH($T$1,Database!$A$1:$AS$1,),))))-(((VLOOKUP(EDATE(B335,-12),Database!$A:$AS,MATCH($T$1,Database!$A$1:$AS$1,),)))))/(((VLOOKUP(EDATE(B335,-12),Database!$A:$AS,MATCH($T$1,Database!$A$1:$AS$1,),)))))</f>
        <v/>
      </c>
      <c r="U335" s="13">
        <f>IF(VLOOKUP(B335,Database!$A:$AV,MATCH($U$1,Database!$A$1:$AV$1,),)=0,"#N/A",((((VLOOKUP(B335,Database!$A:$AS,MATCH($U$1,Database!$A$1:$AS$1,),))))-(((VLOOKUP(EDATE(B335,-12),Database!$A:$AS,MATCH($U$1,Database!$A$1:$AS$1,),)))))/(((VLOOKUP(EDATE(B335,-12),Database!$A:$AS,MATCH($U$1,Database!$A$1:$AS$1,),)))))</f>
        <v/>
      </c>
      <c r="V335" s="13">
        <f>IF(VLOOKUP(B335,Database!$A:$AV,MATCH($V$1,Database!$A$1:$AV$1,),)=0,"#N/A",((((VLOOKUP(B335,Database!$A:$AS,MATCH($V$1,Database!$A$1:$AS$1,),))))-(((VLOOKUP(EDATE(B335,-12),Database!$A:$AS,MATCH($V$1,Database!$A$1:$AS$1,),)))))/(((VLOOKUP(EDATE(B335,-12),Database!$A:$AS,MATCH($V$1,Database!$A$1:$AS$1,),)))))</f>
        <v/>
      </c>
    </row>
    <row r="336" customFormat="1" s="86">
      <c r="A336" s="43" t="n"/>
      <c r="B336" s="75" t="n">
        <v>42370</v>
      </c>
      <c r="C336" s="13">
        <f>IF(VLOOKUP(B336,Database!$A:$AU,MATCH($C$1,Database!$A$1:$AU$1,),)=0,"#N/A",((((VLOOKUP(B336,Database!$A:$AU,MATCH($C$1,Database!$A$1:$AU$1,),))))-(((VLOOKUP(EDATE(B336,-12),Database!$A:$AU,MATCH($C$1,Database!$A$1:$AU$1,),)))))/(((VLOOKUP(EDATE(B336,-12),Database!$A:$AU,MATCH($C$1,Database!$A$1:$AU$1,),)))))</f>
        <v/>
      </c>
      <c r="D336" s="13">
        <f>IF(VLOOKUP(B336,Database!$A:$AV,MATCH($D$1,Database!$A$1:$AV$1,),)=0,"#N/A",((((VLOOKUP(B336,Database!$A:$AS,MATCH($D$1,Database!$A$1:$AS$1,),))))-(((VLOOKUP(EDATE(B336,-12),Database!$A:$AS,MATCH($D$1,Database!$A$1:$AS$1,),)))))/(((VLOOKUP(EDATE(B336,-12),Database!$A:$AS,MATCH($D$1,Database!$A$1:$AS$1,),)))))</f>
        <v/>
      </c>
      <c r="E336" s="13">
        <f>IF(VLOOKUP(B336,Database!$A:$AV,MATCH($E$1,Database!$A$1:$AV$1,),)=0,"#N/A",((((VLOOKUP(B336,Database!$A:$AS,MATCH($E$1,Database!$A$1:$AS$1,),))))-(((VLOOKUP(EDATE(B336,-12),Database!$A:$AS,MATCH($E$1,Database!$A$1:$AS$1,),)))))/(((VLOOKUP(EDATE(B336,-12),Database!$A:$AS,MATCH($E$1,Database!$A$1:$AS$1,),)))))</f>
        <v/>
      </c>
      <c r="F336" s="13">
        <f>IF(VLOOKUP(B336,Database!$A:$AV,MATCH($F$1,Database!$A$1:$AV$1,),)=0,"#N/A",((((VLOOKUP(B336,Database!$A:$AS,MATCH($F$1,Database!$A$1:$AS$1,),))))-(((VLOOKUP(EDATE(B336,-12),Database!$A:$AS,MATCH($F$1,Database!$A$1:$AS$1,),)))))/(((VLOOKUP(EDATE(B336,-12),Database!$A:$AS,MATCH($F$1,Database!$A$1:$AS$1,),)))))</f>
        <v/>
      </c>
      <c r="G336" s="13">
        <f>IF(VLOOKUP(B336,Database!$A:$AV,MATCH($G$1,Database!$A$1:$AV$1,),)=0,"#N/A",((((VLOOKUP(B336,Database!$A:$AS,MATCH($G$1,Database!$A$1:$AS$1,),))))-(((VLOOKUP(EDATE(B336,-12),Database!$A:$AS,MATCH($G$1,Database!$A$1:$AS$1,),)))))/(((VLOOKUP(EDATE(B336,-12),Database!$A:$AS,MATCH($G$1,Database!$A$1:$AS$1,),)))))</f>
        <v/>
      </c>
      <c r="H336" s="13">
        <f>IF(VLOOKUP(B336,Database!$A:$AV,MATCH($H$1,Database!$A$1:$AV$1,),)=0,"#N/A",((((VLOOKUP(B336,Database!$A:$AS,MATCH($H$1,Database!$A$1:$AS$1,),))))-(((VLOOKUP(EDATE(B336,-12),Database!$A:$AS,MATCH($H$1,Database!$A$1:$AS$1,),)))))/(((VLOOKUP(EDATE(B336,-12),Database!$A:$AS,MATCH($H$1,Database!$A$1:$AS$1,),)))))</f>
        <v/>
      </c>
      <c r="I336" s="13">
        <f>IF(VLOOKUP(B336,Database!$A:$AV,MATCH($I$1,Database!$A$1:$AV$1,),)=0,"#N/A",((((VLOOKUP(B336,Database!$A:$AS,MATCH($I$1,Database!$A$1:$AS$1,),))))-(((VLOOKUP(EDATE(B336,-12),Database!$A:$AS,MATCH($I$1,Database!$A$1:$AS$1,),)))))/(((VLOOKUP(EDATE(B336,-12),Database!$A:$AS,MATCH($I$1,Database!$A$1:$AS$1,),)))))</f>
        <v/>
      </c>
      <c r="J336" s="13">
        <f>IF(VLOOKUP(B336,Database!$A:$AV,MATCH($J$1,Database!$A$1:$AV$1,),)=0,"#N/A",((((VLOOKUP(B336,Database!$A:$AS,MATCH($J$1,Database!$A$1:$AS$1,),))))-(((VLOOKUP(EDATE(B336,-12),Database!$A:$AS,MATCH($J$1,Database!$A$1:$AS$1,),)))))/(((VLOOKUP(EDATE(B336,-12),Database!$A:$AS,MATCH($J$1,Database!$A$1:$AS$1,),)))))</f>
        <v/>
      </c>
      <c r="K336" s="13">
        <f>IF(VLOOKUP(B336,Database!$A:$AV,MATCH($K$1,Database!$A$1:$AV$1,),)=0,"#N/A",((((VLOOKUP(B336,Database!$A:$AS,MATCH($K$1,Database!$A$1:$AS$1,),))))-(((VLOOKUP(EDATE(B336,-12),Database!$A:$AS,MATCH($K$1,Database!$A$1:$AS$1,),)))))/(((VLOOKUP(EDATE(B336,-12),Database!$A:$AS,MATCH($K$1,Database!$A$1:$AS$1,),)))))</f>
        <v/>
      </c>
      <c r="L336" s="13">
        <f>((((VLOOKUP(B336,Database!$A:$AS,MATCH($L$1,Database!$A$1:$AS$1,),))))-(((VLOOKUP(EDATE(B336,-12),Database!$A:$AS,MATCH($L$1,Database!$A$1:$AS$1,),)))))/(((VLOOKUP(EDATE(B336,-12),Database!$A:$AS,MATCH($L$1,Database!$A$1:$AS$1,),))))</f>
        <v/>
      </c>
      <c r="M336" s="13">
        <f>((((VLOOKUP(B336,Database!$A:$AS,MATCH($M$1,Database!$A$1:$AS$1,),))))-(((VLOOKUP(EDATE(B336,-12),Database!$A:$AS,MATCH($M$1,Database!$A$1:$AS$1,),)))))/(((VLOOKUP(EDATE(B336,-12),Database!$A:$AS,MATCH($M$1,Database!$A$1:$AS$1,),))))</f>
        <v/>
      </c>
      <c r="N336" s="13">
        <f>((((VLOOKUP(B336,Database!$A:$AS,MATCH($N$1,Database!$A$1:$AS$1,),))))-(((VLOOKUP(EDATE(B336,-12),Database!$A:$AS,MATCH($N$1,Database!$A$1:$AS$1,),)))))/(((VLOOKUP(EDATE(B336,-12),Database!$A:$AS,MATCH($N$1,Database!$A$1:$AS$1,),))))</f>
        <v/>
      </c>
      <c r="O336" s="13">
        <f>IF(VLOOKUP(B336,Database!$A:$AV,MATCH($O$1,Database!$A$1:$AV$1,),)=0,"#N/A",((((VLOOKUP(B336,Database!$A:$AS,MATCH($O$1,Database!$A$1:$AS$1,),))))-(((VLOOKUP(EDATE(B336,-12),Database!$A:$AS,MATCH($O$1,Database!$A$1:$AS$1,),)))))/(((VLOOKUP(EDATE(B336,-12),Database!$A:$AS,MATCH($O$1,Database!$A$1:$AS$1,),)))))</f>
        <v/>
      </c>
      <c r="P336" s="13">
        <f>IF(VLOOKUP(B336,Database!$A:$AV,MATCH($P$1,Database!$A$1:$AV$1,),)=0,"#N/A",((((VLOOKUP(B336,Database!$A:$AS,MATCH($P$1,Database!$A$1:$AS$1,),))))-(((VLOOKUP(EDATE(B336,-12),Database!$A:$AS,MATCH($P$1,Database!$A$1:$AS$1,),)))))/(((VLOOKUP(EDATE(B336,-12),Database!$A:$AS,MATCH($P$1,Database!$A$1:$AS$1,),)))))</f>
        <v/>
      </c>
      <c r="Q336" s="13">
        <f>IF(VLOOKUP(B336,Database!$A:$AV,MATCH($Q$1,Database!$A$1:$AV$1,),)=0,"#N/A",((((VLOOKUP(B336,Database!$A:$AS,MATCH($Q$1,Database!$A$1:$AS$1,),))))-(((VLOOKUP(EDATE(B336,-12),Database!$A:$AS,MATCH($Q$1,Database!$A$1:$AS$1,),)))))/(((VLOOKUP(EDATE(B336,-12),Database!$A:$AS,MATCH($Q$1,Database!$A$1:$AS$1,),)))))</f>
        <v/>
      </c>
      <c r="R336" s="13">
        <f>IF(VLOOKUP(B336,Database!$A:$AV,MATCH($R$1,Database!$A$1:$AV$1,),)=0,"#N/A",((((VLOOKUP(B336,Database!$A:$AS,MATCH($R$1,Database!$A$1:$AS$1,),))))-(((VLOOKUP(EDATE(B336,-12),Database!$A:$AS,MATCH($R$1,Database!$A$1:$AS$1,),)))))/(((VLOOKUP(EDATE(B336,-12),Database!$A:$AS,MATCH($R$1,Database!$A$1:$AS$1,),)))))</f>
        <v/>
      </c>
      <c r="S336" s="13">
        <f>IF(VLOOKUP(B336,Database!$A:$AV,MATCH($S$1,Database!$A$1:$AV$1,),)=0,"#N/A",((((VLOOKUP(B336,Database!$A:$AS,MATCH($S$1,Database!$A$1:$AS$1,),))))-(((VLOOKUP(EDATE(B336,-12),Database!$A:$AS,MATCH($S$1,Database!$A$1:$AS$1,),)))))/(((VLOOKUP(EDATE(B336,-12),Database!$A:$AS,MATCH($S$1,Database!$A$1:$AS$1,),)))))</f>
        <v/>
      </c>
      <c r="T336" s="13">
        <f>IF(VLOOKUP(B336,Database!$A:$AV,MATCH($T$1,Database!$A$1:$AV$1,),)=0,"#N/A",((((VLOOKUP(B336,Database!$A:$AS,MATCH($T$1,Database!$A$1:$AS$1,),))))-(((VLOOKUP(EDATE(B336,-12),Database!$A:$AS,MATCH($T$1,Database!$A$1:$AS$1,),)))))/(((VLOOKUP(EDATE(B336,-12),Database!$A:$AS,MATCH($T$1,Database!$A$1:$AS$1,),)))))</f>
        <v/>
      </c>
      <c r="U336" s="13">
        <f>IF(VLOOKUP(B336,Database!$A:$AV,MATCH($U$1,Database!$A$1:$AV$1,),)=0,"#N/A",((((VLOOKUP(B336,Database!$A:$AS,MATCH($U$1,Database!$A$1:$AS$1,),))))-(((VLOOKUP(EDATE(B336,-12),Database!$A:$AS,MATCH($U$1,Database!$A$1:$AS$1,),)))))/(((VLOOKUP(EDATE(B336,-12),Database!$A:$AS,MATCH($U$1,Database!$A$1:$AS$1,),)))))</f>
        <v/>
      </c>
      <c r="V336" s="13">
        <f>IF(VLOOKUP(B336,Database!$A:$AV,MATCH($V$1,Database!$A$1:$AV$1,),)=0,"#N/A",((((VLOOKUP(B336,Database!$A:$AS,MATCH($V$1,Database!$A$1:$AS$1,),))))-(((VLOOKUP(EDATE(B336,-12),Database!$A:$AS,MATCH($V$1,Database!$A$1:$AS$1,),)))))/(((VLOOKUP(EDATE(B336,-12),Database!$A:$AS,MATCH($V$1,Database!$A$1:$AS$1,),)))))</f>
        <v/>
      </c>
    </row>
    <row r="337" customFormat="1" s="86">
      <c r="A337" s="43" t="n"/>
      <c r="B337" s="75" t="n">
        <v>42401</v>
      </c>
      <c r="C337" s="13">
        <f>IF(VLOOKUP(B337,Database!$A:$AU,MATCH($C$1,Database!$A$1:$AU$1,),)=0,"#N/A",((((VLOOKUP(B337,Database!$A:$AU,MATCH($C$1,Database!$A$1:$AU$1,),))))-(((VLOOKUP(EDATE(B337,-12),Database!$A:$AU,MATCH($C$1,Database!$A$1:$AU$1,),)))))/(((VLOOKUP(EDATE(B337,-12),Database!$A:$AU,MATCH($C$1,Database!$A$1:$AU$1,),)))))</f>
        <v/>
      </c>
      <c r="D337" s="13">
        <f>IF(VLOOKUP(B337,Database!$A:$AV,MATCH($D$1,Database!$A$1:$AV$1,),)=0,"#N/A",((((VLOOKUP(B337,Database!$A:$AS,MATCH($D$1,Database!$A$1:$AS$1,),))))-(((VLOOKUP(EDATE(B337,-12),Database!$A:$AS,MATCH($D$1,Database!$A$1:$AS$1,),)))))/(((VLOOKUP(EDATE(B337,-12),Database!$A:$AS,MATCH($D$1,Database!$A$1:$AS$1,),)))))</f>
        <v/>
      </c>
      <c r="E337" s="13">
        <f>IF(VLOOKUP(B337,Database!$A:$AV,MATCH($E$1,Database!$A$1:$AV$1,),)=0,"#N/A",((((VLOOKUP(B337,Database!$A:$AS,MATCH($E$1,Database!$A$1:$AS$1,),))))-(((VLOOKUP(EDATE(B337,-12),Database!$A:$AS,MATCH($E$1,Database!$A$1:$AS$1,),)))))/(((VLOOKUP(EDATE(B337,-12),Database!$A:$AS,MATCH($E$1,Database!$A$1:$AS$1,),)))))</f>
        <v/>
      </c>
      <c r="F337" s="13">
        <f>IF(VLOOKUP(B337,Database!$A:$AV,MATCH($F$1,Database!$A$1:$AV$1,),)=0,"#N/A",((((VLOOKUP(B337,Database!$A:$AS,MATCH($F$1,Database!$A$1:$AS$1,),))))-(((VLOOKUP(EDATE(B337,-12),Database!$A:$AS,MATCH($F$1,Database!$A$1:$AS$1,),)))))/(((VLOOKUP(EDATE(B337,-12),Database!$A:$AS,MATCH($F$1,Database!$A$1:$AS$1,),)))))</f>
        <v/>
      </c>
      <c r="G337" s="13">
        <f>IF(VLOOKUP(B337,Database!$A:$AV,MATCH($G$1,Database!$A$1:$AV$1,),)=0,"#N/A",((((VLOOKUP(B337,Database!$A:$AS,MATCH($G$1,Database!$A$1:$AS$1,),))))-(((VLOOKUP(EDATE(B337,-12),Database!$A:$AS,MATCH($G$1,Database!$A$1:$AS$1,),)))))/(((VLOOKUP(EDATE(B337,-12),Database!$A:$AS,MATCH($G$1,Database!$A$1:$AS$1,),)))))</f>
        <v/>
      </c>
      <c r="H337" s="13">
        <f>IF(VLOOKUP(B337,Database!$A:$AV,MATCH($H$1,Database!$A$1:$AV$1,),)=0,"#N/A",((((VLOOKUP(B337,Database!$A:$AS,MATCH($H$1,Database!$A$1:$AS$1,),))))-(((VLOOKUP(EDATE(B337,-12),Database!$A:$AS,MATCH($H$1,Database!$A$1:$AS$1,),)))))/(((VLOOKUP(EDATE(B337,-12),Database!$A:$AS,MATCH($H$1,Database!$A$1:$AS$1,),)))))</f>
        <v/>
      </c>
      <c r="I337" s="13">
        <f>IF(VLOOKUP(B337,Database!$A:$AV,MATCH($I$1,Database!$A$1:$AV$1,),)=0,"#N/A",((((VLOOKUP(B337,Database!$A:$AS,MATCH($I$1,Database!$A$1:$AS$1,),))))-(((VLOOKUP(EDATE(B337,-12),Database!$A:$AS,MATCH($I$1,Database!$A$1:$AS$1,),)))))/(((VLOOKUP(EDATE(B337,-12),Database!$A:$AS,MATCH($I$1,Database!$A$1:$AS$1,),)))))</f>
        <v/>
      </c>
      <c r="J337" s="13">
        <f>IF(VLOOKUP(B337,Database!$A:$AV,MATCH($J$1,Database!$A$1:$AV$1,),)=0,"#N/A",((((VLOOKUP(B337,Database!$A:$AS,MATCH($J$1,Database!$A$1:$AS$1,),))))-(((VLOOKUP(EDATE(B337,-12),Database!$A:$AS,MATCH($J$1,Database!$A$1:$AS$1,),)))))/(((VLOOKUP(EDATE(B337,-12),Database!$A:$AS,MATCH($J$1,Database!$A$1:$AS$1,),)))))</f>
        <v/>
      </c>
      <c r="K337" s="13">
        <f>IF(VLOOKUP(B337,Database!$A:$AV,MATCH($K$1,Database!$A$1:$AV$1,),)=0,"#N/A",((((VLOOKUP(B337,Database!$A:$AS,MATCH($K$1,Database!$A$1:$AS$1,),))))-(((VLOOKUP(EDATE(B337,-12),Database!$A:$AS,MATCH($K$1,Database!$A$1:$AS$1,),)))))/(((VLOOKUP(EDATE(B337,-12),Database!$A:$AS,MATCH($K$1,Database!$A$1:$AS$1,),)))))</f>
        <v/>
      </c>
      <c r="L337" s="13">
        <f>((((VLOOKUP(B337,Database!$A:$AS,MATCH($L$1,Database!$A$1:$AS$1,),))))-(((VLOOKUP(EDATE(B337,-12),Database!$A:$AS,MATCH($L$1,Database!$A$1:$AS$1,),)))))/(((VLOOKUP(EDATE(B337,-12),Database!$A:$AS,MATCH($L$1,Database!$A$1:$AS$1,),))))</f>
        <v/>
      </c>
      <c r="M337" s="13">
        <f>((((VLOOKUP(B337,Database!$A:$AS,MATCH($M$1,Database!$A$1:$AS$1,),))))-(((VLOOKUP(EDATE(B337,-12),Database!$A:$AS,MATCH($M$1,Database!$A$1:$AS$1,),)))))/(((VLOOKUP(EDATE(B337,-12),Database!$A:$AS,MATCH($M$1,Database!$A$1:$AS$1,),))))</f>
        <v/>
      </c>
      <c r="N337" s="13">
        <f>((((VLOOKUP(B337,Database!$A:$AS,MATCH($N$1,Database!$A$1:$AS$1,),))))-(((VLOOKUP(EDATE(B337,-12),Database!$A:$AS,MATCH($N$1,Database!$A$1:$AS$1,),)))))/(((VLOOKUP(EDATE(B337,-12),Database!$A:$AS,MATCH($N$1,Database!$A$1:$AS$1,),))))</f>
        <v/>
      </c>
      <c r="O337" s="13">
        <f>IF(VLOOKUP(B337,Database!$A:$AV,MATCH($O$1,Database!$A$1:$AV$1,),)=0,"#N/A",((((VLOOKUP(B337,Database!$A:$AS,MATCH($O$1,Database!$A$1:$AS$1,),))))-(((VLOOKUP(EDATE(B337,-12),Database!$A:$AS,MATCH($O$1,Database!$A$1:$AS$1,),)))))/(((VLOOKUP(EDATE(B337,-12),Database!$A:$AS,MATCH($O$1,Database!$A$1:$AS$1,),)))))</f>
        <v/>
      </c>
      <c r="P337" s="13">
        <f>IF(VLOOKUP(B337,Database!$A:$AV,MATCH($P$1,Database!$A$1:$AV$1,),)=0,"#N/A",((((VLOOKUP(B337,Database!$A:$AS,MATCH($P$1,Database!$A$1:$AS$1,),))))-(((VLOOKUP(EDATE(B337,-12),Database!$A:$AS,MATCH($P$1,Database!$A$1:$AS$1,),)))))/(((VLOOKUP(EDATE(B337,-12),Database!$A:$AS,MATCH($P$1,Database!$A$1:$AS$1,),)))))</f>
        <v/>
      </c>
      <c r="Q337" s="13">
        <f>IF(VLOOKUP(B337,Database!$A:$AV,MATCH($Q$1,Database!$A$1:$AV$1,),)=0,"#N/A",((((VLOOKUP(B337,Database!$A:$AS,MATCH($Q$1,Database!$A$1:$AS$1,),))))-(((VLOOKUP(EDATE(B337,-12),Database!$A:$AS,MATCH($Q$1,Database!$A$1:$AS$1,),)))))/(((VLOOKUP(EDATE(B337,-12),Database!$A:$AS,MATCH($Q$1,Database!$A$1:$AS$1,),)))))</f>
        <v/>
      </c>
      <c r="R337" s="13">
        <f>IF(VLOOKUP(B337,Database!$A:$AV,MATCH($R$1,Database!$A$1:$AV$1,),)=0,"#N/A",((((VLOOKUP(B337,Database!$A:$AS,MATCH($R$1,Database!$A$1:$AS$1,),))))-(((VLOOKUP(EDATE(B337,-12),Database!$A:$AS,MATCH($R$1,Database!$A$1:$AS$1,),)))))/(((VLOOKUP(EDATE(B337,-12),Database!$A:$AS,MATCH($R$1,Database!$A$1:$AS$1,),)))))</f>
        <v/>
      </c>
      <c r="S337" s="13">
        <f>IF(VLOOKUP(B337,Database!$A:$AV,MATCH($S$1,Database!$A$1:$AV$1,),)=0,"#N/A",((((VLOOKUP(B337,Database!$A:$AS,MATCH($S$1,Database!$A$1:$AS$1,),))))-(((VLOOKUP(EDATE(B337,-12),Database!$A:$AS,MATCH($S$1,Database!$A$1:$AS$1,),)))))/(((VLOOKUP(EDATE(B337,-12),Database!$A:$AS,MATCH($S$1,Database!$A$1:$AS$1,),)))))</f>
        <v/>
      </c>
      <c r="T337" s="13">
        <f>IF(VLOOKUP(B337,Database!$A:$AV,MATCH($T$1,Database!$A$1:$AV$1,),)=0,"#N/A",((((VLOOKUP(B337,Database!$A:$AS,MATCH($T$1,Database!$A$1:$AS$1,),))))-(((VLOOKUP(EDATE(B337,-12),Database!$A:$AS,MATCH($T$1,Database!$A$1:$AS$1,),)))))/(((VLOOKUP(EDATE(B337,-12),Database!$A:$AS,MATCH($T$1,Database!$A$1:$AS$1,),)))))</f>
        <v/>
      </c>
      <c r="U337" s="13">
        <f>IF(VLOOKUP(B337,Database!$A:$AV,MATCH($U$1,Database!$A$1:$AV$1,),)=0,"#N/A",((((VLOOKUP(B337,Database!$A:$AS,MATCH($U$1,Database!$A$1:$AS$1,),))))-(((VLOOKUP(EDATE(B337,-12),Database!$A:$AS,MATCH($U$1,Database!$A$1:$AS$1,),)))))/(((VLOOKUP(EDATE(B337,-12),Database!$A:$AS,MATCH($U$1,Database!$A$1:$AS$1,),)))))</f>
        <v/>
      </c>
      <c r="V337" s="13">
        <f>IF(VLOOKUP(B337,Database!$A:$AV,MATCH($V$1,Database!$A$1:$AV$1,),)=0,"#N/A",((((VLOOKUP(B337,Database!$A:$AS,MATCH($V$1,Database!$A$1:$AS$1,),))))-(((VLOOKUP(EDATE(B337,-12),Database!$A:$AS,MATCH($V$1,Database!$A$1:$AS$1,),)))))/(((VLOOKUP(EDATE(B337,-12),Database!$A:$AS,MATCH($V$1,Database!$A$1:$AS$1,),)))))</f>
        <v/>
      </c>
    </row>
    <row r="338" customFormat="1" s="86">
      <c r="A338" s="43" t="n"/>
      <c r="B338" s="75" t="n">
        <v>42430</v>
      </c>
      <c r="C338" s="13">
        <f>IF(VLOOKUP(B338,Database!$A:$AU,MATCH($C$1,Database!$A$1:$AU$1,),)=0,"#N/A",((((VLOOKUP(B338,Database!$A:$AU,MATCH($C$1,Database!$A$1:$AU$1,),))))-(((VLOOKUP(EDATE(B338,-12),Database!$A:$AU,MATCH($C$1,Database!$A$1:$AU$1,),)))))/(((VLOOKUP(EDATE(B338,-12),Database!$A:$AU,MATCH($C$1,Database!$A$1:$AU$1,),)))))</f>
        <v/>
      </c>
      <c r="D338" s="13">
        <f>IF(VLOOKUP(B338,Database!$A:$AV,MATCH($D$1,Database!$A$1:$AV$1,),)=0,"#N/A",((((VLOOKUP(B338,Database!$A:$AS,MATCH($D$1,Database!$A$1:$AS$1,),))))-(((VLOOKUP(EDATE(B338,-12),Database!$A:$AS,MATCH($D$1,Database!$A$1:$AS$1,),)))))/(((VLOOKUP(EDATE(B338,-12),Database!$A:$AS,MATCH($D$1,Database!$A$1:$AS$1,),)))))</f>
        <v/>
      </c>
      <c r="E338" s="13">
        <f>IF(VLOOKUP(B338,Database!$A:$AV,MATCH($E$1,Database!$A$1:$AV$1,),)=0,"#N/A",((((VLOOKUP(B338,Database!$A:$AS,MATCH($E$1,Database!$A$1:$AS$1,),))))-(((VLOOKUP(EDATE(B338,-12),Database!$A:$AS,MATCH($E$1,Database!$A$1:$AS$1,),)))))/(((VLOOKUP(EDATE(B338,-12),Database!$A:$AS,MATCH($E$1,Database!$A$1:$AS$1,),)))))</f>
        <v/>
      </c>
      <c r="F338" s="13">
        <f>IF(VLOOKUP(B338,Database!$A:$AV,MATCH($F$1,Database!$A$1:$AV$1,),)=0,"#N/A",((((VLOOKUP(B338,Database!$A:$AS,MATCH($F$1,Database!$A$1:$AS$1,),))))-(((VLOOKUP(EDATE(B338,-12),Database!$A:$AS,MATCH($F$1,Database!$A$1:$AS$1,),)))))/(((VLOOKUP(EDATE(B338,-12),Database!$A:$AS,MATCH($F$1,Database!$A$1:$AS$1,),)))))</f>
        <v/>
      </c>
      <c r="G338" s="13">
        <f>IF(VLOOKUP(B338,Database!$A:$AV,MATCH($G$1,Database!$A$1:$AV$1,),)=0,"#N/A",((((VLOOKUP(B338,Database!$A:$AS,MATCH($G$1,Database!$A$1:$AS$1,),))))-(((VLOOKUP(EDATE(B338,-12),Database!$A:$AS,MATCH($G$1,Database!$A$1:$AS$1,),)))))/(((VLOOKUP(EDATE(B338,-12),Database!$A:$AS,MATCH($G$1,Database!$A$1:$AS$1,),)))))</f>
        <v/>
      </c>
      <c r="H338" s="13">
        <f>IF(VLOOKUP(B338,Database!$A:$AV,MATCH($H$1,Database!$A$1:$AV$1,),)=0,"#N/A",((((VLOOKUP(B338,Database!$A:$AS,MATCH($H$1,Database!$A$1:$AS$1,),))))-(((VLOOKUP(EDATE(B338,-12),Database!$A:$AS,MATCH($H$1,Database!$A$1:$AS$1,),)))))/(((VLOOKUP(EDATE(B338,-12),Database!$A:$AS,MATCH($H$1,Database!$A$1:$AS$1,),)))))</f>
        <v/>
      </c>
      <c r="I338" s="13">
        <f>IF(VLOOKUP(B338,Database!$A:$AV,MATCH($I$1,Database!$A$1:$AV$1,),)=0,"#N/A",((((VLOOKUP(B338,Database!$A:$AS,MATCH($I$1,Database!$A$1:$AS$1,),))))-(((VLOOKUP(EDATE(B338,-12),Database!$A:$AS,MATCH($I$1,Database!$A$1:$AS$1,),)))))/(((VLOOKUP(EDATE(B338,-12),Database!$A:$AS,MATCH($I$1,Database!$A$1:$AS$1,),)))))</f>
        <v/>
      </c>
      <c r="J338" s="13">
        <f>IF(VLOOKUP(B338,Database!$A:$AV,MATCH($J$1,Database!$A$1:$AV$1,),)=0,"#N/A",((((VLOOKUP(B338,Database!$A:$AS,MATCH($J$1,Database!$A$1:$AS$1,),))))-(((VLOOKUP(EDATE(B338,-12),Database!$A:$AS,MATCH($J$1,Database!$A$1:$AS$1,),)))))/(((VLOOKUP(EDATE(B338,-12),Database!$A:$AS,MATCH($J$1,Database!$A$1:$AS$1,),)))))</f>
        <v/>
      </c>
      <c r="K338" s="13">
        <f>IF(VLOOKUP(B338,Database!$A:$AV,MATCH($K$1,Database!$A$1:$AV$1,),)=0,"#N/A",((((VLOOKUP(B338,Database!$A:$AS,MATCH($K$1,Database!$A$1:$AS$1,),))))-(((VLOOKUP(EDATE(B338,-12),Database!$A:$AS,MATCH($K$1,Database!$A$1:$AS$1,),)))))/(((VLOOKUP(EDATE(B338,-12),Database!$A:$AS,MATCH($K$1,Database!$A$1:$AS$1,),)))))</f>
        <v/>
      </c>
      <c r="L338" s="13">
        <f>((((VLOOKUP(B338,Database!$A:$AS,MATCH($L$1,Database!$A$1:$AS$1,),))))-(((VLOOKUP(EDATE(B338,-12),Database!$A:$AS,MATCH($L$1,Database!$A$1:$AS$1,),)))))/(((VLOOKUP(EDATE(B338,-12),Database!$A:$AS,MATCH($L$1,Database!$A$1:$AS$1,),))))</f>
        <v/>
      </c>
      <c r="M338" s="13">
        <f>((((VLOOKUP(B338,Database!$A:$AS,MATCH($M$1,Database!$A$1:$AS$1,),))))-(((VLOOKUP(EDATE(B338,-12),Database!$A:$AS,MATCH($M$1,Database!$A$1:$AS$1,),)))))/(((VLOOKUP(EDATE(B338,-12),Database!$A:$AS,MATCH($M$1,Database!$A$1:$AS$1,),))))</f>
        <v/>
      </c>
      <c r="N338" s="13">
        <f>((((VLOOKUP(B338,Database!$A:$AS,MATCH($N$1,Database!$A$1:$AS$1,),))))-(((VLOOKUP(EDATE(B338,-12),Database!$A:$AS,MATCH($N$1,Database!$A$1:$AS$1,),)))))/(((VLOOKUP(EDATE(B338,-12),Database!$A:$AS,MATCH($N$1,Database!$A$1:$AS$1,),))))</f>
        <v/>
      </c>
      <c r="O338" s="13">
        <f>IF(VLOOKUP(B338,Database!$A:$AV,MATCH($O$1,Database!$A$1:$AV$1,),)=0,"#N/A",((((VLOOKUP(B338,Database!$A:$AS,MATCH($O$1,Database!$A$1:$AS$1,),))))-(((VLOOKUP(EDATE(B338,-12),Database!$A:$AS,MATCH($O$1,Database!$A$1:$AS$1,),)))))/(((VLOOKUP(EDATE(B338,-12),Database!$A:$AS,MATCH($O$1,Database!$A$1:$AS$1,),)))))</f>
        <v/>
      </c>
      <c r="P338" s="13">
        <f>IF(VLOOKUP(B338,Database!$A:$AV,MATCH($P$1,Database!$A$1:$AV$1,),)=0,"#N/A",((((VLOOKUP(B338,Database!$A:$AS,MATCH($P$1,Database!$A$1:$AS$1,),))))-(((VLOOKUP(EDATE(B338,-12),Database!$A:$AS,MATCH($P$1,Database!$A$1:$AS$1,),)))))/(((VLOOKUP(EDATE(B338,-12),Database!$A:$AS,MATCH($P$1,Database!$A$1:$AS$1,),)))))</f>
        <v/>
      </c>
      <c r="Q338" s="13">
        <f>IF(VLOOKUP(B338,Database!$A:$AV,MATCH($Q$1,Database!$A$1:$AV$1,),)=0,"#N/A",((((VLOOKUP(B338,Database!$A:$AS,MATCH($Q$1,Database!$A$1:$AS$1,),))))-(((VLOOKUP(EDATE(B338,-12),Database!$A:$AS,MATCH($Q$1,Database!$A$1:$AS$1,),)))))/(((VLOOKUP(EDATE(B338,-12),Database!$A:$AS,MATCH($Q$1,Database!$A$1:$AS$1,),)))))</f>
        <v/>
      </c>
      <c r="R338" s="13">
        <f>IF(VLOOKUP(B338,Database!$A:$AV,MATCH($R$1,Database!$A$1:$AV$1,),)=0,"#N/A",((((VLOOKUP(B338,Database!$A:$AS,MATCH($R$1,Database!$A$1:$AS$1,),))))-(((VLOOKUP(EDATE(B338,-12),Database!$A:$AS,MATCH($R$1,Database!$A$1:$AS$1,),)))))/(((VLOOKUP(EDATE(B338,-12),Database!$A:$AS,MATCH($R$1,Database!$A$1:$AS$1,),)))))</f>
        <v/>
      </c>
      <c r="S338" s="13">
        <f>IF(VLOOKUP(B338,Database!$A:$AV,MATCH($S$1,Database!$A$1:$AV$1,),)=0,"#N/A",((((VLOOKUP(B338,Database!$A:$AS,MATCH($S$1,Database!$A$1:$AS$1,),))))-(((VLOOKUP(EDATE(B338,-12),Database!$A:$AS,MATCH($S$1,Database!$A$1:$AS$1,),)))))/(((VLOOKUP(EDATE(B338,-12),Database!$A:$AS,MATCH($S$1,Database!$A$1:$AS$1,),)))))</f>
        <v/>
      </c>
      <c r="T338" s="13">
        <f>IF(VLOOKUP(B338,Database!$A:$AV,MATCH($T$1,Database!$A$1:$AV$1,),)=0,"#N/A",((((VLOOKUP(B338,Database!$A:$AS,MATCH($T$1,Database!$A$1:$AS$1,),))))-(((VLOOKUP(EDATE(B338,-12),Database!$A:$AS,MATCH($T$1,Database!$A$1:$AS$1,),)))))/(((VLOOKUP(EDATE(B338,-12),Database!$A:$AS,MATCH($T$1,Database!$A$1:$AS$1,),)))))</f>
        <v/>
      </c>
      <c r="U338" s="13">
        <f>IF(VLOOKUP(B338,Database!$A:$AV,MATCH($U$1,Database!$A$1:$AV$1,),)=0,"#N/A",((((VLOOKUP(B338,Database!$A:$AS,MATCH($U$1,Database!$A$1:$AS$1,),))))-(((VLOOKUP(EDATE(B338,-12),Database!$A:$AS,MATCH($U$1,Database!$A$1:$AS$1,),)))))/(((VLOOKUP(EDATE(B338,-12),Database!$A:$AS,MATCH($U$1,Database!$A$1:$AS$1,),)))))</f>
        <v/>
      </c>
      <c r="V338" s="13">
        <f>IF(VLOOKUP(B338,Database!$A:$AV,MATCH($V$1,Database!$A$1:$AV$1,),)=0,"#N/A",((((VLOOKUP(B338,Database!$A:$AS,MATCH($V$1,Database!$A$1:$AS$1,),))))-(((VLOOKUP(EDATE(B338,-12),Database!$A:$AS,MATCH($V$1,Database!$A$1:$AS$1,),)))))/(((VLOOKUP(EDATE(B338,-12),Database!$A:$AS,MATCH($V$1,Database!$A$1:$AS$1,),)))))</f>
        <v/>
      </c>
    </row>
    <row r="339" customFormat="1" s="86">
      <c r="A339" s="43" t="n"/>
      <c r="B339" s="75" t="n">
        <v>42461</v>
      </c>
      <c r="C339" s="13">
        <f>IF(VLOOKUP(B339,Database!$A:$AU,MATCH($C$1,Database!$A$1:$AU$1,),)=0,"#N/A",((((VLOOKUP(B339,Database!$A:$AU,MATCH($C$1,Database!$A$1:$AU$1,),))))-(((VLOOKUP(EDATE(B339,-12),Database!$A:$AU,MATCH($C$1,Database!$A$1:$AU$1,),)))))/(((VLOOKUP(EDATE(B339,-12),Database!$A:$AU,MATCH($C$1,Database!$A$1:$AU$1,),)))))</f>
        <v/>
      </c>
      <c r="D339" s="13">
        <f>IF(VLOOKUP(B339,Database!$A:$AV,MATCH($D$1,Database!$A$1:$AV$1,),)=0,"#N/A",((((VLOOKUP(B339,Database!$A:$AS,MATCH($D$1,Database!$A$1:$AS$1,),))))-(((VLOOKUP(EDATE(B339,-12),Database!$A:$AS,MATCH($D$1,Database!$A$1:$AS$1,),)))))/(((VLOOKUP(EDATE(B339,-12),Database!$A:$AS,MATCH($D$1,Database!$A$1:$AS$1,),)))))</f>
        <v/>
      </c>
      <c r="E339" s="13">
        <f>IF(VLOOKUP(B339,Database!$A:$AV,MATCH($E$1,Database!$A$1:$AV$1,),)=0,"#N/A",((((VLOOKUP(B339,Database!$A:$AS,MATCH($E$1,Database!$A$1:$AS$1,),))))-(((VLOOKUP(EDATE(B339,-12),Database!$A:$AS,MATCH($E$1,Database!$A$1:$AS$1,),)))))/(((VLOOKUP(EDATE(B339,-12),Database!$A:$AS,MATCH($E$1,Database!$A$1:$AS$1,),)))))</f>
        <v/>
      </c>
      <c r="F339" s="13">
        <f>IF(VLOOKUP(B339,Database!$A:$AV,MATCH($F$1,Database!$A$1:$AV$1,),)=0,"#N/A",((((VLOOKUP(B339,Database!$A:$AS,MATCH($F$1,Database!$A$1:$AS$1,),))))-(((VLOOKUP(EDATE(B339,-12),Database!$A:$AS,MATCH($F$1,Database!$A$1:$AS$1,),)))))/(((VLOOKUP(EDATE(B339,-12),Database!$A:$AS,MATCH($F$1,Database!$A$1:$AS$1,),)))))</f>
        <v/>
      </c>
      <c r="G339" s="13">
        <f>IF(VLOOKUP(B339,Database!$A:$AV,MATCH($G$1,Database!$A$1:$AV$1,),)=0,"#N/A",((((VLOOKUP(B339,Database!$A:$AS,MATCH($G$1,Database!$A$1:$AS$1,),))))-(((VLOOKUP(EDATE(B339,-12),Database!$A:$AS,MATCH($G$1,Database!$A$1:$AS$1,),)))))/(((VLOOKUP(EDATE(B339,-12),Database!$A:$AS,MATCH($G$1,Database!$A$1:$AS$1,),)))))</f>
        <v/>
      </c>
      <c r="H339" s="13">
        <f>IF(VLOOKUP(B339,Database!$A:$AV,MATCH($H$1,Database!$A$1:$AV$1,),)=0,"#N/A",((((VLOOKUP(B339,Database!$A:$AS,MATCH($H$1,Database!$A$1:$AS$1,),))))-(((VLOOKUP(EDATE(B339,-12),Database!$A:$AS,MATCH($H$1,Database!$A$1:$AS$1,),)))))/(((VLOOKUP(EDATE(B339,-12),Database!$A:$AS,MATCH($H$1,Database!$A$1:$AS$1,),)))))</f>
        <v/>
      </c>
      <c r="I339" s="13">
        <f>IF(VLOOKUP(B339,Database!$A:$AV,MATCH($I$1,Database!$A$1:$AV$1,),)=0,"#N/A",((((VLOOKUP(B339,Database!$A:$AS,MATCH($I$1,Database!$A$1:$AS$1,),))))-(((VLOOKUP(EDATE(B339,-12),Database!$A:$AS,MATCH($I$1,Database!$A$1:$AS$1,),)))))/(((VLOOKUP(EDATE(B339,-12),Database!$A:$AS,MATCH($I$1,Database!$A$1:$AS$1,),)))))</f>
        <v/>
      </c>
      <c r="J339" s="13">
        <f>IF(VLOOKUP(B339,Database!$A:$AV,MATCH($J$1,Database!$A$1:$AV$1,),)=0,"#N/A",((((VLOOKUP(B339,Database!$A:$AS,MATCH($J$1,Database!$A$1:$AS$1,),))))-(((VLOOKUP(EDATE(B339,-12),Database!$A:$AS,MATCH($J$1,Database!$A$1:$AS$1,),)))))/(((VLOOKUP(EDATE(B339,-12),Database!$A:$AS,MATCH($J$1,Database!$A$1:$AS$1,),)))))</f>
        <v/>
      </c>
      <c r="K339" s="13">
        <f>IF(VLOOKUP(B339,Database!$A:$AV,MATCH($K$1,Database!$A$1:$AV$1,),)=0,"#N/A",((((VLOOKUP(B339,Database!$A:$AS,MATCH($K$1,Database!$A$1:$AS$1,),))))-(((VLOOKUP(EDATE(B339,-12),Database!$A:$AS,MATCH($K$1,Database!$A$1:$AS$1,),)))))/(((VLOOKUP(EDATE(B339,-12),Database!$A:$AS,MATCH($K$1,Database!$A$1:$AS$1,),)))))</f>
        <v/>
      </c>
      <c r="L339" s="13">
        <f>((((VLOOKUP(B339,Database!$A:$AS,MATCH($L$1,Database!$A$1:$AS$1,),))))-(((VLOOKUP(EDATE(B339,-12),Database!$A:$AS,MATCH($L$1,Database!$A$1:$AS$1,),)))))/(((VLOOKUP(EDATE(B339,-12),Database!$A:$AS,MATCH($L$1,Database!$A$1:$AS$1,),))))</f>
        <v/>
      </c>
      <c r="M339" s="13">
        <f>((((VLOOKUP(B339,Database!$A:$AS,MATCH($M$1,Database!$A$1:$AS$1,),))))-(((VLOOKUP(EDATE(B339,-12),Database!$A:$AS,MATCH($M$1,Database!$A$1:$AS$1,),)))))/(((VLOOKUP(EDATE(B339,-12),Database!$A:$AS,MATCH($M$1,Database!$A$1:$AS$1,),))))</f>
        <v/>
      </c>
      <c r="N339" s="13">
        <f>((((VLOOKUP(B339,Database!$A:$AS,MATCH($N$1,Database!$A$1:$AS$1,),))))-(((VLOOKUP(EDATE(B339,-12),Database!$A:$AS,MATCH($N$1,Database!$A$1:$AS$1,),)))))/(((VLOOKUP(EDATE(B339,-12),Database!$A:$AS,MATCH($N$1,Database!$A$1:$AS$1,),))))</f>
        <v/>
      </c>
      <c r="O339" s="13">
        <f>IF(VLOOKUP(B339,Database!$A:$AV,MATCH($O$1,Database!$A$1:$AV$1,),)=0,"#N/A",((((VLOOKUP(B339,Database!$A:$AS,MATCH($O$1,Database!$A$1:$AS$1,),))))-(((VLOOKUP(EDATE(B339,-12),Database!$A:$AS,MATCH($O$1,Database!$A$1:$AS$1,),)))))/(((VLOOKUP(EDATE(B339,-12),Database!$A:$AS,MATCH($O$1,Database!$A$1:$AS$1,),)))))</f>
        <v/>
      </c>
      <c r="P339" s="13">
        <f>IF(VLOOKUP(B339,Database!$A:$AV,MATCH($P$1,Database!$A$1:$AV$1,),)=0,"#N/A",((((VLOOKUP(B339,Database!$A:$AS,MATCH($P$1,Database!$A$1:$AS$1,),))))-(((VLOOKUP(EDATE(B339,-12),Database!$A:$AS,MATCH($P$1,Database!$A$1:$AS$1,),)))))/(((VLOOKUP(EDATE(B339,-12),Database!$A:$AS,MATCH($P$1,Database!$A$1:$AS$1,),)))))</f>
        <v/>
      </c>
      <c r="Q339" s="13">
        <f>IF(VLOOKUP(B339,Database!$A:$AV,MATCH($Q$1,Database!$A$1:$AV$1,),)=0,"#N/A",((((VLOOKUP(B339,Database!$A:$AS,MATCH($Q$1,Database!$A$1:$AS$1,),))))-(((VLOOKUP(EDATE(B339,-12),Database!$A:$AS,MATCH($Q$1,Database!$A$1:$AS$1,),)))))/(((VLOOKUP(EDATE(B339,-12),Database!$A:$AS,MATCH($Q$1,Database!$A$1:$AS$1,),)))))</f>
        <v/>
      </c>
      <c r="R339" s="13">
        <f>IF(VLOOKUP(B339,Database!$A:$AV,MATCH($R$1,Database!$A$1:$AV$1,),)=0,"#N/A",((((VLOOKUP(B339,Database!$A:$AS,MATCH($R$1,Database!$A$1:$AS$1,),))))-(((VLOOKUP(EDATE(B339,-12),Database!$A:$AS,MATCH($R$1,Database!$A$1:$AS$1,),)))))/(((VLOOKUP(EDATE(B339,-12),Database!$A:$AS,MATCH($R$1,Database!$A$1:$AS$1,),)))))</f>
        <v/>
      </c>
      <c r="S339" s="13">
        <f>IF(VLOOKUP(B339,Database!$A:$AV,MATCH($S$1,Database!$A$1:$AV$1,),)=0,"#N/A",((((VLOOKUP(B339,Database!$A:$AS,MATCH($S$1,Database!$A$1:$AS$1,),))))-(((VLOOKUP(EDATE(B339,-12),Database!$A:$AS,MATCH($S$1,Database!$A$1:$AS$1,),)))))/(((VLOOKUP(EDATE(B339,-12),Database!$A:$AS,MATCH($S$1,Database!$A$1:$AS$1,),)))))</f>
        <v/>
      </c>
      <c r="T339" s="13">
        <f>IF(VLOOKUP(B339,Database!$A:$AV,MATCH($T$1,Database!$A$1:$AV$1,),)=0,"#N/A",((((VLOOKUP(B339,Database!$A:$AS,MATCH($T$1,Database!$A$1:$AS$1,),))))-(((VLOOKUP(EDATE(B339,-12),Database!$A:$AS,MATCH($T$1,Database!$A$1:$AS$1,),)))))/(((VLOOKUP(EDATE(B339,-12),Database!$A:$AS,MATCH($T$1,Database!$A$1:$AS$1,),)))))</f>
        <v/>
      </c>
      <c r="U339" s="13">
        <f>IF(VLOOKUP(B339,Database!$A:$AV,MATCH($U$1,Database!$A$1:$AV$1,),)=0,"#N/A",((((VLOOKUP(B339,Database!$A:$AS,MATCH($U$1,Database!$A$1:$AS$1,),))))-(((VLOOKUP(EDATE(B339,-12),Database!$A:$AS,MATCH($U$1,Database!$A$1:$AS$1,),)))))/(((VLOOKUP(EDATE(B339,-12),Database!$A:$AS,MATCH($U$1,Database!$A$1:$AS$1,),)))))</f>
        <v/>
      </c>
      <c r="V339" s="13">
        <f>IF(VLOOKUP(B339,Database!$A:$AV,MATCH($V$1,Database!$A$1:$AV$1,),)=0,"#N/A",((((VLOOKUP(B339,Database!$A:$AS,MATCH($V$1,Database!$A$1:$AS$1,),))))-(((VLOOKUP(EDATE(B339,-12),Database!$A:$AS,MATCH($V$1,Database!$A$1:$AS$1,),)))))/(((VLOOKUP(EDATE(B339,-12),Database!$A:$AS,MATCH($V$1,Database!$A$1:$AS$1,),)))))</f>
        <v/>
      </c>
    </row>
    <row r="340" customFormat="1" s="86">
      <c r="A340" s="43" t="n"/>
      <c r="B340" s="75" t="n">
        <v>42491</v>
      </c>
      <c r="C340" s="13">
        <f>IF(VLOOKUP(B340,Database!$A:$AU,MATCH($C$1,Database!$A$1:$AU$1,),)=0,"#N/A",((((VLOOKUP(B340,Database!$A:$AU,MATCH($C$1,Database!$A$1:$AU$1,),))))-(((VLOOKUP(EDATE(B340,-12),Database!$A:$AU,MATCH($C$1,Database!$A$1:$AU$1,),)))))/(((VLOOKUP(EDATE(B340,-12),Database!$A:$AU,MATCH($C$1,Database!$A$1:$AU$1,),)))))</f>
        <v/>
      </c>
      <c r="D340" s="13">
        <f>IF(VLOOKUP(B340,Database!$A:$AV,MATCH($D$1,Database!$A$1:$AV$1,),)=0,"#N/A",((((VLOOKUP(B340,Database!$A:$AS,MATCH($D$1,Database!$A$1:$AS$1,),))))-(((VLOOKUP(EDATE(B340,-12),Database!$A:$AS,MATCH($D$1,Database!$A$1:$AS$1,),)))))/(((VLOOKUP(EDATE(B340,-12),Database!$A:$AS,MATCH($D$1,Database!$A$1:$AS$1,),)))))</f>
        <v/>
      </c>
      <c r="E340" s="13">
        <f>IF(VLOOKUP(B340,Database!$A:$AV,MATCH($E$1,Database!$A$1:$AV$1,),)=0,"#N/A",((((VLOOKUP(B340,Database!$A:$AS,MATCH($E$1,Database!$A$1:$AS$1,),))))-(((VLOOKUP(EDATE(B340,-12),Database!$A:$AS,MATCH($E$1,Database!$A$1:$AS$1,),)))))/(((VLOOKUP(EDATE(B340,-12),Database!$A:$AS,MATCH($E$1,Database!$A$1:$AS$1,),)))))</f>
        <v/>
      </c>
      <c r="F340" s="13">
        <f>IF(VLOOKUP(B340,Database!$A:$AV,MATCH($F$1,Database!$A$1:$AV$1,),)=0,"#N/A",((((VLOOKUP(B340,Database!$A:$AS,MATCH($F$1,Database!$A$1:$AS$1,),))))-(((VLOOKUP(EDATE(B340,-12),Database!$A:$AS,MATCH($F$1,Database!$A$1:$AS$1,),)))))/(((VLOOKUP(EDATE(B340,-12),Database!$A:$AS,MATCH($F$1,Database!$A$1:$AS$1,),)))))</f>
        <v/>
      </c>
      <c r="G340" s="13">
        <f>IF(VLOOKUP(B340,Database!$A:$AV,MATCH($G$1,Database!$A$1:$AV$1,),)=0,"#N/A",((((VLOOKUP(B340,Database!$A:$AS,MATCH($G$1,Database!$A$1:$AS$1,),))))-(((VLOOKUP(EDATE(B340,-12),Database!$A:$AS,MATCH($G$1,Database!$A$1:$AS$1,),)))))/(((VLOOKUP(EDATE(B340,-12),Database!$A:$AS,MATCH($G$1,Database!$A$1:$AS$1,),)))))</f>
        <v/>
      </c>
      <c r="H340" s="13">
        <f>IF(VLOOKUP(B340,Database!$A:$AV,MATCH($H$1,Database!$A$1:$AV$1,),)=0,"#N/A",((((VLOOKUP(B340,Database!$A:$AS,MATCH($H$1,Database!$A$1:$AS$1,),))))-(((VLOOKUP(EDATE(B340,-12),Database!$A:$AS,MATCH($H$1,Database!$A$1:$AS$1,),)))))/(((VLOOKUP(EDATE(B340,-12),Database!$A:$AS,MATCH($H$1,Database!$A$1:$AS$1,),)))))</f>
        <v/>
      </c>
      <c r="I340" s="13">
        <f>IF(VLOOKUP(B340,Database!$A:$AV,MATCH($I$1,Database!$A$1:$AV$1,),)=0,"#N/A",((((VLOOKUP(B340,Database!$A:$AS,MATCH($I$1,Database!$A$1:$AS$1,),))))-(((VLOOKUP(EDATE(B340,-12),Database!$A:$AS,MATCH($I$1,Database!$A$1:$AS$1,),)))))/(((VLOOKUP(EDATE(B340,-12),Database!$A:$AS,MATCH($I$1,Database!$A$1:$AS$1,),)))))</f>
        <v/>
      </c>
      <c r="J340" s="13">
        <f>IF(VLOOKUP(B340,Database!$A:$AV,MATCH($J$1,Database!$A$1:$AV$1,),)=0,"#N/A",((((VLOOKUP(B340,Database!$A:$AS,MATCH($J$1,Database!$A$1:$AS$1,),))))-(((VLOOKUP(EDATE(B340,-12),Database!$A:$AS,MATCH($J$1,Database!$A$1:$AS$1,),)))))/(((VLOOKUP(EDATE(B340,-12),Database!$A:$AS,MATCH($J$1,Database!$A$1:$AS$1,),)))))</f>
        <v/>
      </c>
      <c r="K340" s="13">
        <f>IF(VLOOKUP(B340,Database!$A:$AV,MATCH($K$1,Database!$A$1:$AV$1,),)=0,"#N/A",((((VLOOKUP(B340,Database!$A:$AS,MATCH($K$1,Database!$A$1:$AS$1,),))))-(((VLOOKUP(EDATE(B340,-12),Database!$A:$AS,MATCH($K$1,Database!$A$1:$AS$1,),)))))/(((VLOOKUP(EDATE(B340,-12),Database!$A:$AS,MATCH($K$1,Database!$A$1:$AS$1,),)))))</f>
        <v/>
      </c>
      <c r="L340" s="13">
        <f>((((VLOOKUP(B340,Database!$A:$AS,MATCH($L$1,Database!$A$1:$AS$1,),))))-(((VLOOKUP(EDATE(B340,-12),Database!$A:$AS,MATCH($L$1,Database!$A$1:$AS$1,),)))))/(((VLOOKUP(EDATE(B340,-12),Database!$A:$AS,MATCH($L$1,Database!$A$1:$AS$1,),))))</f>
        <v/>
      </c>
      <c r="M340" s="13">
        <f>((((VLOOKUP(B340,Database!$A:$AS,MATCH($M$1,Database!$A$1:$AS$1,),))))-(((VLOOKUP(EDATE(B340,-12),Database!$A:$AS,MATCH($M$1,Database!$A$1:$AS$1,),)))))/(((VLOOKUP(EDATE(B340,-12),Database!$A:$AS,MATCH($M$1,Database!$A$1:$AS$1,),))))</f>
        <v/>
      </c>
      <c r="N340" s="13">
        <f>((((VLOOKUP(B340,Database!$A:$AS,MATCH($N$1,Database!$A$1:$AS$1,),))))-(((VLOOKUP(EDATE(B340,-12),Database!$A:$AS,MATCH($N$1,Database!$A$1:$AS$1,),)))))/(((VLOOKUP(EDATE(B340,-12),Database!$A:$AS,MATCH($N$1,Database!$A$1:$AS$1,),))))</f>
        <v/>
      </c>
      <c r="O340" s="13">
        <f>IF(VLOOKUP(B340,Database!$A:$AV,MATCH($O$1,Database!$A$1:$AV$1,),)=0,"#N/A",((((VLOOKUP(B340,Database!$A:$AS,MATCH($O$1,Database!$A$1:$AS$1,),))))-(((VLOOKUP(EDATE(B340,-12),Database!$A:$AS,MATCH($O$1,Database!$A$1:$AS$1,),)))))/(((VLOOKUP(EDATE(B340,-12),Database!$A:$AS,MATCH($O$1,Database!$A$1:$AS$1,),)))))</f>
        <v/>
      </c>
      <c r="P340" s="13">
        <f>IF(VLOOKUP(B340,Database!$A:$AV,MATCH($P$1,Database!$A$1:$AV$1,),)=0,"#N/A",((((VLOOKUP(B340,Database!$A:$AS,MATCH($P$1,Database!$A$1:$AS$1,),))))-(((VLOOKUP(EDATE(B340,-12),Database!$A:$AS,MATCH($P$1,Database!$A$1:$AS$1,),)))))/(((VLOOKUP(EDATE(B340,-12),Database!$A:$AS,MATCH($P$1,Database!$A$1:$AS$1,),)))))</f>
        <v/>
      </c>
      <c r="Q340" s="13">
        <f>IF(VLOOKUP(B340,Database!$A:$AV,MATCH($Q$1,Database!$A$1:$AV$1,),)=0,"#N/A",((((VLOOKUP(B340,Database!$A:$AS,MATCH($Q$1,Database!$A$1:$AS$1,),))))-(((VLOOKUP(EDATE(B340,-12),Database!$A:$AS,MATCH($Q$1,Database!$A$1:$AS$1,),)))))/(((VLOOKUP(EDATE(B340,-12),Database!$A:$AS,MATCH($Q$1,Database!$A$1:$AS$1,),)))))</f>
        <v/>
      </c>
      <c r="R340" s="13">
        <f>IF(VLOOKUP(B340,Database!$A:$AV,MATCH($R$1,Database!$A$1:$AV$1,),)=0,"#N/A",((((VLOOKUP(B340,Database!$A:$AS,MATCH($R$1,Database!$A$1:$AS$1,),))))-(((VLOOKUP(EDATE(B340,-12),Database!$A:$AS,MATCH($R$1,Database!$A$1:$AS$1,),)))))/(((VLOOKUP(EDATE(B340,-12),Database!$A:$AS,MATCH($R$1,Database!$A$1:$AS$1,),)))))</f>
        <v/>
      </c>
      <c r="S340" s="13">
        <f>IF(VLOOKUP(B340,Database!$A:$AV,MATCH($S$1,Database!$A$1:$AV$1,),)=0,"#N/A",((((VLOOKUP(B340,Database!$A:$AS,MATCH($S$1,Database!$A$1:$AS$1,),))))-(((VLOOKUP(EDATE(B340,-12),Database!$A:$AS,MATCH($S$1,Database!$A$1:$AS$1,),)))))/(((VLOOKUP(EDATE(B340,-12),Database!$A:$AS,MATCH($S$1,Database!$A$1:$AS$1,),)))))</f>
        <v/>
      </c>
      <c r="T340" s="13">
        <f>IF(VLOOKUP(B340,Database!$A:$AV,MATCH($T$1,Database!$A$1:$AV$1,),)=0,"#N/A",((((VLOOKUP(B340,Database!$A:$AS,MATCH($T$1,Database!$A$1:$AS$1,),))))-(((VLOOKUP(EDATE(B340,-12),Database!$A:$AS,MATCH($T$1,Database!$A$1:$AS$1,),)))))/(((VLOOKUP(EDATE(B340,-12),Database!$A:$AS,MATCH($T$1,Database!$A$1:$AS$1,),)))))</f>
        <v/>
      </c>
      <c r="U340" s="13">
        <f>IF(VLOOKUP(B340,Database!$A:$AV,MATCH($U$1,Database!$A$1:$AV$1,),)=0,"#N/A",((((VLOOKUP(B340,Database!$A:$AS,MATCH($U$1,Database!$A$1:$AS$1,),))))-(((VLOOKUP(EDATE(B340,-12),Database!$A:$AS,MATCH($U$1,Database!$A$1:$AS$1,),)))))/(((VLOOKUP(EDATE(B340,-12),Database!$A:$AS,MATCH($U$1,Database!$A$1:$AS$1,),)))))</f>
        <v/>
      </c>
      <c r="V340" s="13">
        <f>IF(VLOOKUP(B340,Database!$A:$AV,MATCH($V$1,Database!$A$1:$AV$1,),)=0,"#N/A",((((VLOOKUP(B340,Database!$A:$AS,MATCH($V$1,Database!$A$1:$AS$1,),))))-(((VLOOKUP(EDATE(B340,-12),Database!$A:$AS,MATCH($V$1,Database!$A$1:$AS$1,),)))))/(((VLOOKUP(EDATE(B340,-12),Database!$A:$AS,MATCH($V$1,Database!$A$1:$AS$1,),)))))</f>
        <v/>
      </c>
    </row>
    <row r="341" customFormat="1" s="86">
      <c r="A341" s="43" t="n"/>
      <c r="B341" s="75" t="n">
        <v>42522</v>
      </c>
      <c r="C341" s="13">
        <f>IF(VLOOKUP(B341,Database!$A:$AU,MATCH($C$1,Database!$A$1:$AU$1,),)=0,"#N/A",((((VLOOKUP(B341,Database!$A:$AU,MATCH($C$1,Database!$A$1:$AU$1,),))))-(((VLOOKUP(EDATE(B341,-12),Database!$A:$AU,MATCH($C$1,Database!$A$1:$AU$1,),)))))/(((VLOOKUP(EDATE(B341,-12),Database!$A:$AU,MATCH($C$1,Database!$A$1:$AU$1,),)))))</f>
        <v/>
      </c>
      <c r="D341" s="13">
        <f>IF(VLOOKUP(B341,Database!$A:$AV,MATCH($D$1,Database!$A$1:$AV$1,),)=0,"#N/A",((((VLOOKUP(B341,Database!$A:$AS,MATCH($D$1,Database!$A$1:$AS$1,),))))-(((VLOOKUP(EDATE(B341,-12),Database!$A:$AS,MATCH($D$1,Database!$A$1:$AS$1,),)))))/(((VLOOKUP(EDATE(B341,-12),Database!$A:$AS,MATCH($D$1,Database!$A$1:$AS$1,),)))))</f>
        <v/>
      </c>
      <c r="E341" s="13">
        <f>IF(VLOOKUP(B341,Database!$A:$AV,MATCH($E$1,Database!$A$1:$AV$1,),)=0,"#N/A",((((VLOOKUP(B341,Database!$A:$AS,MATCH($E$1,Database!$A$1:$AS$1,),))))-(((VLOOKUP(EDATE(B341,-12),Database!$A:$AS,MATCH($E$1,Database!$A$1:$AS$1,),)))))/(((VLOOKUP(EDATE(B341,-12),Database!$A:$AS,MATCH($E$1,Database!$A$1:$AS$1,),)))))</f>
        <v/>
      </c>
      <c r="F341" s="13">
        <f>IF(VLOOKUP(B341,Database!$A:$AV,MATCH($F$1,Database!$A$1:$AV$1,),)=0,"#N/A",((((VLOOKUP(B341,Database!$A:$AS,MATCH($F$1,Database!$A$1:$AS$1,),))))-(((VLOOKUP(EDATE(B341,-12),Database!$A:$AS,MATCH($F$1,Database!$A$1:$AS$1,),)))))/(((VLOOKUP(EDATE(B341,-12),Database!$A:$AS,MATCH($F$1,Database!$A$1:$AS$1,),)))))</f>
        <v/>
      </c>
      <c r="G341" s="13">
        <f>IF(VLOOKUP(B341,Database!$A:$AV,MATCH($G$1,Database!$A$1:$AV$1,),)=0,"#N/A",((((VLOOKUP(B341,Database!$A:$AS,MATCH($G$1,Database!$A$1:$AS$1,),))))-(((VLOOKUP(EDATE(B341,-12),Database!$A:$AS,MATCH($G$1,Database!$A$1:$AS$1,),)))))/(((VLOOKUP(EDATE(B341,-12),Database!$A:$AS,MATCH($G$1,Database!$A$1:$AS$1,),)))))</f>
        <v/>
      </c>
      <c r="H341" s="13">
        <f>IF(VLOOKUP(B341,Database!$A:$AV,MATCH($H$1,Database!$A$1:$AV$1,),)=0,"#N/A",((((VLOOKUP(B341,Database!$A:$AS,MATCH($H$1,Database!$A$1:$AS$1,),))))-(((VLOOKUP(EDATE(B341,-12),Database!$A:$AS,MATCH($H$1,Database!$A$1:$AS$1,),)))))/(((VLOOKUP(EDATE(B341,-12),Database!$A:$AS,MATCH($H$1,Database!$A$1:$AS$1,),)))))</f>
        <v/>
      </c>
      <c r="I341" s="13">
        <f>IF(VLOOKUP(B341,Database!$A:$AV,MATCH($I$1,Database!$A$1:$AV$1,),)=0,"#N/A",((((VLOOKUP(B341,Database!$A:$AS,MATCH($I$1,Database!$A$1:$AS$1,),))))-(((VLOOKUP(EDATE(B341,-12),Database!$A:$AS,MATCH($I$1,Database!$A$1:$AS$1,),)))))/(((VLOOKUP(EDATE(B341,-12),Database!$A:$AS,MATCH($I$1,Database!$A$1:$AS$1,),)))))</f>
        <v/>
      </c>
      <c r="J341" s="13">
        <f>IF(VLOOKUP(B341,Database!$A:$AV,MATCH($J$1,Database!$A$1:$AV$1,),)=0,"#N/A",((((VLOOKUP(B341,Database!$A:$AS,MATCH($J$1,Database!$A$1:$AS$1,),))))-(((VLOOKUP(EDATE(B341,-12),Database!$A:$AS,MATCH($J$1,Database!$A$1:$AS$1,),)))))/(((VLOOKUP(EDATE(B341,-12),Database!$A:$AS,MATCH($J$1,Database!$A$1:$AS$1,),)))))</f>
        <v/>
      </c>
      <c r="K341" s="13">
        <f>IF(VLOOKUP(B341,Database!$A:$AV,MATCH($K$1,Database!$A$1:$AV$1,),)=0,"#N/A",((((VLOOKUP(B341,Database!$A:$AS,MATCH($K$1,Database!$A$1:$AS$1,),))))-(((VLOOKUP(EDATE(B341,-12),Database!$A:$AS,MATCH($K$1,Database!$A$1:$AS$1,),)))))/(((VLOOKUP(EDATE(B341,-12),Database!$A:$AS,MATCH($K$1,Database!$A$1:$AS$1,),)))))</f>
        <v/>
      </c>
      <c r="L341" s="13">
        <f>((((VLOOKUP(B341,Database!$A:$AS,MATCH($L$1,Database!$A$1:$AS$1,),))))-(((VLOOKUP(EDATE(B341,-12),Database!$A:$AS,MATCH($L$1,Database!$A$1:$AS$1,),)))))/(((VLOOKUP(EDATE(B341,-12),Database!$A:$AS,MATCH($L$1,Database!$A$1:$AS$1,),))))</f>
        <v/>
      </c>
      <c r="M341" s="13">
        <f>((((VLOOKUP(B341,Database!$A:$AS,MATCH($M$1,Database!$A$1:$AS$1,),))))-(((VLOOKUP(EDATE(B341,-12),Database!$A:$AS,MATCH($M$1,Database!$A$1:$AS$1,),)))))/(((VLOOKUP(EDATE(B341,-12),Database!$A:$AS,MATCH($M$1,Database!$A$1:$AS$1,),))))</f>
        <v/>
      </c>
      <c r="N341" s="13">
        <f>((((VLOOKUP(B341,Database!$A:$AS,MATCH($N$1,Database!$A$1:$AS$1,),))))-(((VLOOKUP(EDATE(B341,-12),Database!$A:$AS,MATCH($N$1,Database!$A$1:$AS$1,),)))))/(((VLOOKUP(EDATE(B341,-12),Database!$A:$AS,MATCH($N$1,Database!$A$1:$AS$1,),))))</f>
        <v/>
      </c>
      <c r="O341" s="13">
        <f>IF(VLOOKUP(B341,Database!$A:$AV,MATCH($O$1,Database!$A$1:$AV$1,),)=0,"#N/A",((((VLOOKUP(B341,Database!$A:$AS,MATCH($O$1,Database!$A$1:$AS$1,),))))-(((VLOOKUP(EDATE(B341,-12),Database!$A:$AS,MATCH($O$1,Database!$A$1:$AS$1,),)))))/(((VLOOKUP(EDATE(B341,-12),Database!$A:$AS,MATCH($O$1,Database!$A$1:$AS$1,),)))))</f>
        <v/>
      </c>
      <c r="P341" s="13">
        <f>IF(VLOOKUP(B341,Database!$A:$AV,MATCH($P$1,Database!$A$1:$AV$1,),)=0,"#N/A",((((VLOOKUP(B341,Database!$A:$AS,MATCH($P$1,Database!$A$1:$AS$1,),))))-(((VLOOKUP(EDATE(B341,-12),Database!$A:$AS,MATCH($P$1,Database!$A$1:$AS$1,),)))))/(((VLOOKUP(EDATE(B341,-12),Database!$A:$AS,MATCH($P$1,Database!$A$1:$AS$1,),)))))</f>
        <v/>
      </c>
      <c r="Q341" s="13">
        <f>IF(VLOOKUP(B341,Database!$A:$AV,MATCH($Q$1,Database!$A$1:$AV$1,),)=0,"#N/A",((((VLOOKUP(B341,Database!$A:$AS,MATCH($Q$1,Database!$A$1:$AS$1,),))))-(((VLOOKUP(EDATE(B341,-12),Database!$A:$AS,MATCH($Q$1,Database!$A$1:$AS$1,),)))))/(((VLOOKUP(EDATE(B341,-12),Database!$A:$AS,MATCH($Q$1,Database!$A$1:$AS$1,),)))))</f>
        <v/>
      </c>
      <c r="R341" s="13">
        <f>IF(VLOOKUP(B341,Database!$A:$AV,MATCH($R$1,Database!$A$1:$AV$1,),)=0,"#N/A",((((VLOOKUP(B341,Database!$A:$AS,MATCH($R$1,Database!$A$1:$AS$1,),))))-(((VLOOKUP(EDATE(B341,-12),Database!$A:$AS,MATCH($R$1,Database!$A$1:$AS$1,),)))))/(((VLOOKUP(EDATE(B341,-12),Database!$A:$AS,MATCH($R$1,Database!$A$1:$AS$1,),)))))</f>
        <v/>
      </c>
      <c r="S341" s="13">
        <f>IF(VLOOKUP(B341,Database!$A:$AV,MATCH($S$1,Database!$A$1:$AV$1,),)=0,"#N/A",((((VLOOKUP(B341,Database!$A:$AS,MATCH($S$1,Database!$A$1:$AS$1,),))))-(((VLOOKUP(EDATE(B341,-12),Database!$A:$AS,MATCH($S$1,Database!$A$1:$AS$1,),)))))/(((VLOOKUP(EDATE(B341,-12),Database!$A:$AS,MATCH($S$1,Database!$A$1:$AS$1,),)))))</f>
        <v/>
      </c>
      <c r="T341" s="13">
        <f>IF(VLOOKUP(B341,Database!$A:$AV,MATCH($T$1,Database!$A$1:$AV$1,),)=0,"#N/A",((((VLOOKUP(B341,Database!$A:$AS,MATCH($T$1,Database!$A$1:$AS$1,),))))-(((VLOOKUP(EDATE(B341,-12),Database!$A:$AS,MATCH($T$1,Database!$A$1:$AS$1,),)))))/(((VLOOKUP(EDATE(B341,-12),Database!$A:$AS,MATCH($T$1,Database!$A$1:$AS$1,),)))))</f>
        <v/>
      </c>
      <c r="U341" s="13">
        <f>IF(VLOOKUP(B341,Database!$A:$AV,MATCH($U$1,Database!$A$1:$AV$1,),)=0,"#N/A",((((VLOOKUP(B341,Database!$A:$AS,MATCH($U$1,Database!$A$1:$AS$1,),))))-(((VLOOKUP(EDATE(B341,-12),Database!$A:$AS,MATCH($U$1,Database!$A$1:$AS$1,),)))))/(((VLOOKUP(EDATE(B341,-12),Database!$A:$AS,MATCH($U$1,Database!$A$1:$AS$1,),)))))</f>
        <v/>
      </c>
      <c r="V341" s="13">
        <f>IF(VLOOKUP(B341,Database!$A:$AV,MATCH($V$1,Database!$A$1:$AV$1,),)=0,"#N/A",((((VLOOKUP(B341,Database!$A:$AS,MATCH($V$1,Database!$A$1:$AS$1,),))))-(((VLOOKUP(EDATE(B341,-12),Database!$A:$AS,MATCH($V$1,Database!$A$1:$AS$1,),)))))/(((VLOOKUP(EDATE(B341,-12),Database!$A:$AS,MATCH($V$1,Database!$A$1:$AS$1,),)))))</f>
        <v/>
      </c>
    </row>
    <row r="342" customFormat="1" s="86">
      <c r="A342" s="43" t="n"/>
      <c r="B342" s="75" t="n">
        <v>42552</v>
      </c>
      <c r="C342" s="13">
        <f>IF(VLOOKUP(B342,Database!$A:$AU,MATCH($C$1,Database!$A$1:$AU$1,),)=0,"#N/A",((((VLOOKUP(B342,Database!$A:$AU,MATCH($C$1,Database!$A$1:$AU$1,),))))-(((VLOOKUP(EDATE(B342,-12),Database!$A:$AU,MATCH($C$1,Database!$A$1:$AU$1,),)))))/(((VLOOKUP(EDATE(B342,-12),Database!$A:$AU,MATCH($C$1,Database!$A$1:$AU$1,),)))))</f>
        <v/>
      </c>
      <c r="D342" s="13">
        <f>IF(VLOOKUP(B342,Database!$A:$AV,MATCH($D$1,Database!$A$1:$AV$1,),)=0,"#N/A",((((VLOOKUP(B342,Database!$A:$AS,MATCH($D$1,Database!$A$1:$AS$1,),))))-(((VLOOKUP(EDATE(B342,-12),Database!$A:$AS,MATCH($D$1,Database!$A$1:$AS$1,),)))))/(((VLOOKUP(EDATE(B342,-12),Database!$A:$AS,MATCH($D$1,Database!$A$1:$AS$1,),)))))</f>
        <v/>
      </c>
      <c r="E342" s="13">
        <f>IF(VLOOKUP(B342,Database!$A:$AV,MATCH($E$1,Database!$A$1:$AV$1,),)=0,"#N/A",((((VLOOKUP(B342,Database!$A:$AS,MATCH($E$1,Database!$A$1:$AS$1,),))))-(((VLOOKUP(EDATE(B342,-12),Database!$A:$AS,MATCH($E$1,Database!$A$1:$AS$1,),)))))/(((VLOOKUP(EDATE(B342,-12),Database!$A:$AS,MATCH($E$1,Database!$A$1:$AS$1,),)))))</f>
        <v/>
      </c>
      <c r="F342" s="13">
        <f>IF(VLOOKUP(B342,Database!$A:$AV,MATCH($F$1,Database!$A$1:$AV$1,),)=0,"#N/A",((((VLOOKUP(B342,Database!$A:$AS,MATCH($F$1,Database!$A$1:$AS$1,),))))-(((VLOOKUP(EDATE(B342,-12),Database!$A:$AS,MATCH($F$1,Database!$A$1:$AS$1,),)))))/(((VLOOKUP(EDATE(B342,-12),Database!$A:$AS,MATCH($F$1,Database!$A$1:$AS$1,),)))))</f>
        <v/>
      </c>
      <c r="G342" s="13">
        <f>IF(VLOOKUP(B342,Database!$A:$AV,MATCH($G$1,Database!$A$1:$AV$1,),)=0,"#N/A",((((VLOOKUP(B342,Database!$A:$AS,MATCH($G$1,Database!$A$1:$AS$1,),))))-(((VLOOKUP(EDATE(B342,-12),Database!$A:$AS,MATCH($G$1,Database!$A$1:$AS$1,),)))))/(((VLOOKUP(EDATE(B342,-12),Database!$A:$AS,MATCH($G$1,Database!$A$1:$AS$1,),)))))</f>
        <v/>
      </c>
      <c r="H342" s="13">
        <f>IF(VLOOKUP(B342,Database!$A:$AV,MATCH($H$1,Database!$A$1:$AV$1,),)=0,"#N/A",((((VLOOKUP(B342,Database!$A:$AS,MATCH($H$1,Database!$A$1:$AS$1,),))))-(((VLOOKUP(EDATE(B342,-12),Database!$A:$AS,MATCH($H$1,Database!$A$1:$AS$1,),)))))/(((VLOOKUP(EDATE(B342,-12),Database!$A:$AS,MATCH($H$1,Database!$A$1:$AS$1,),)))))</f>
        <v/>
      </c>
      <c r="I342" s="13">
        <f>IF(VLOOKUP(B342,Database!$A:$AV,MATCH($I$1,Database!$A$1:$AV$1,),)=0,"#N/A",((((VLOOKUP(B342,Database!$A:$AS,MATCH($I$1,Database!$A$1:$AS$1,),))))-(((VLOOKUP(EDATE(B342,-12),Database!$A:$AS,MATCH($I$1,Database!$A$1:$AS$1,),)))))/(((VLOOKUP(EDATE(B342,-12),Database!$A:$AS,MATCH($I$1,Database!$A$1:$AS$1,),)))))</f>
        <v/>
      </c>
      <c r="J342" s="13">
        <f>IF(VLOOKUP(B342,Database!$A:$AV,MATCH($J$1,Database!$A$1:$AV$1,),)=0,"#N/A",((((VLOOKUP(B342,Database!$A:$AS,MATCH($J$1,Database!$A$1:$AS$1,),))))-(((VLOOKUP(EDATE(B342,-12),Database!$A:$AS,MATCH($J$1,Database!$A$1:$AS$1,),)))))/(((VLOOKUP(EDATE(B342,-12),Database!$A:$AS,MATCH($J$1,Database!$A$1:$AS$1,),)))))</f>
        <v/>
      </c>
      <c r="K342" s="13">
        <f>IF(VLOOKUP(B342,Database!$A:$AV,MATCH($K$1,Database!$A$1:$AV$1,),)=0,"#N/A",((((VLOOKUP(B342,Database!$A:$AS,MATCH($K$1,Database!$A$1:$AS$1,),))))-(((VLOOKUP(EDATE(B342,-12),Database!$A:$AS,MATCH($K$1,Database!$A$1:$AS$1,),)))))/(((VLOOKUP(EDATE(B342,-12),Database!$A:$AS,MATCH($K$1,Database!$A$1:$AS$1,),)))))</f>
        <v/>
      </c>
      <c r="L342" s="13">
        <f>((((VLOOKUP(B342,Database!$A:$AS,MATCH($L$1,Database!$A$1:$AS$1,),))))-(((VLOOKUP(EDATE(B342,-12),Database!$A:$AS,MATCH($L$1,Database!$A$1:$AS$1,),)))))/(((VLOOKUP(EDATE(B342,-12),Database!$A:$AS,MATCH($L$1,Database!$A$1:$AS$1,),))))</f>
        <v/>
      </c>
      <c r="M342" s="13">
        <f>((((VLOOKUP(B342,Database!$A:$AS,MATCH($M$1,Database!$A$1:$AS$1,),))))-(((VLOOKUP(EDATE(B342,-12),Database!$A:$AS,MATCH($M$1,Database!$A$1:$AS$1,),)))))/(((VLOOKUP(EDATE(B342,-12),Database!$A:$AS,MATCH($M$1,Database!$A$1:$AS$1,),))))</f>
        <v/>
      </c>
      <c r="N342" s="13">
        <f>((((VLOOKUP(B342,Database!$A:$AS,MATCH($N$1,Database!$A$1:$AS$1,),))))-(((VLOOKUP(EDATE(B342,-12),Database!$A:$AS,MATCH($N$1,Database!$A$1:$AS$1,),)))))/(((VLOOKUP(EDATE(B342,-12),Database!$A:$AS,MATCH($N$1,Database!$A$1:$AS$1,),))))</f>
        <v/>
      </c>
      <c r="O342" s="13">
        <f>IF(VLOOKUP(B342,Database!$A:$AV,MATCH($O$1,Database!$A$1:$AV$1,),)=0,"#N/A",((((VLOOKUP(B342,Database!$A:$AS,MATCH($O$1,Database!$A$1:$AS$1,),))))-(((VLOOKUP(EDATE(B342,-12),Database!$A:$AS,MATCH($O$1,Database!$A$1:$AS$1,),)))))/(((VLOOKUP(EDATE(B342,-12),Database!$A:$AS,MATCH($O$1,Database!$A$1:$AS$1,),)))))</f>
        <v/>
      </c>
      <c r="P342" s="13">
        <f>IF(VLOOKUP(B342,Database!$A:$AV,MATCH($P$1,Database!$A$1:$AV$1,),)=0,"#N/A",((((VLOOKUP(B342,Database!$A:$AS,MATCH($P$1,Database!$A$1:$AS$1,),))))-(((VLOOKUP(EDATE(B342,-12),Database!$A:$AS,MATCH($P$1,Database!$A$1:$AS$1,),)))))/(((VLOOKUP(EDATE(B342,-12),Database!$A:$AS,MATCH($P$1,Database!$A$1:$AS$1,),)))))</f>
        <v/>
      </c>
      <c r="Q342" s="13">
        <f>IF(VLOOKUP(B342,Database!$A:$AV,MATCH($Q$1,Database!$A$1:$AV$1,),)=0,"#N/A",((((VLOOKUP(B342,Database!$A:$AS,MATCH($Q$1,Database!$A$1:$AS$1,),))))-(((VLOOKUP(EDATE(B342,-12),Database!$A:$AS,MATCH($Q$1,Database!$A$1:$AS$1,),)))))/(((VLOOKUP(EDATE(B342,-12),Database!$A:$AS,MATCH($Q$1,Database!$A$1:$AS$1,),)))))</f>
        <v/>
      </c>
      <c r="R342" s="13">
        <f>IF(VLOOKUP(B342,Database!$A:$AV,MATCH($R$1,Database!$A$1:$AV$1,),)=0,"#N/A",((((VLOOKUP(B342,Database!$A:$AS,MATCH($R$1,Database!$A$1:$AS$1,),))))-(((VLOOKUP(EDATE(B342,-12),Database!$A:$AS,MATCH($R$1,Database!$A$1:$AS$1,),)))))/(((VLOOKUP(EDATE(B342,-12),Database!$A:$AS,MATCH($R$1,Database!$A$1:$AS$1,),)))))</f>
        <v/>
      </c>
      <c r="S342" s="13">
        <f>IF(VLOOKUP(B342,Database!$A:$AV,MATCH($S$1,Database!$A$1:$AV$1,),)=0,"#N/A",((((VLOOKUP(B342,Database!$A:$AS,MATCH($S$1,Database!$A$1:$AS$1,),))))-(((VLOOKUP(EDATE(B342,-12),Database!$A:$AS,MATCH($S$1,Database!$A$1:$AS$1,),)))))/(((VLOOKUP(EDATE(B342,-12),Database!$A:$AS,MATCH($S$1,Database!$A$1:$AS$1,),)))))</f>
        <v/>
      </c>
      <c r="T342" s="13">
        <f>IF(VLOOKUP(B342,Database!$A:$AV,MATCH($T$1,Database!$A$1:$AV$1,),)=0,"#N/A",((((VLOOKUP(B342,Database!$A:$AS,MATCH($T$1,Database!$A$1:$AS$1,),))))-(((VLOOKUP(EDATE(B342,-12),Database!$A:$AS,MATCH($T$1,Database!$A$1:$AS$1,),)))))/(((VLOOKUP(EDATE(B342,-12),Database!$A:$AS,MATCH($T$1,Database!$A$1:$AS$1,),)))))</f>
        <v/>
      </c>
      <c r="U342" s="13">
        <f>IF(VLOOKUP(B342,Database!$A:$AV,MATCH($U$1,Database!$A$1:$AV$1,),)=0,"#N/A",((((VLOOKUP(B342,Database!$A:$AS,MATCH($U$1,Database!$A$1:$AS$1,),))))-(((VLOOKUP(EDATE(B342,-12),Database!$A:$AS,MATCH($U$1,Database!$A$1:$AS$1,),)))))/(((VLOOKUP(EDATE(B342,-12),Database!$A:$AS,MATCH($U$1,Database!$A$1:$AS$1,),)))))</f>
        <v/>
      </c>
      <c r="V342" s="13">
        <f>IF(VLOOKUP(B342,Database!$A:$AV,MATCH($V$1,Database!$A$1:$AV$1,),)=0,"#N/A",((((VLOOKUP(B342,Database!$A:$AS,MATCH($V$1,Database!$A$1:$AS$1,),))))-(((VLOOKUP(EDATE(B342,-12),Database!$A:$AS,MATCH($V$1,Database!$A$1:$AS$1,),)))))/(((VLOOKUP(EDATE(B342,-12),Database!$A:$AS,MATCH($V$1,Database!$A$1:$AS$1,),)))))</f>
        <v/>
      </c>
    </row>
    <row r="343" customFormat="1" s="86">
      <c r="A343" s="43" t="n"/>
      <c r="B343" s="75" t="n">
        <v>42583</v>
      </c>
      <c r="C343" s="13">
        <f>IF(VLOOKUP(B343,Database!$A:$AU,MATCH($C$1,Database!$A$1:$AU$1,),)=0,"#N/A",((((VLOOKUP(B343,Database!$A:$AU,MATCH($C$1,Database!$A$1:$AU$1,),))))-(((VLOOKUP(EDATE(B343,-12),Database!$A:$AU,MATCH($C$1,Database!$A$1:$AU$1,),)))))/(((VLOOKUP(EDATE(B343,-12),Database!$A:$AU,MATCH($C$1,Database!$A$1:$AU$1,),)))))</f>
        <v/>
      </c>
      <c r="D343" s="13">
        <f>IF(VLOOKUP(B343,Database!$A:$AV,MATCH($D$1,Database!$A$1:$AV$1,),)=0,"#N/A",((((VLOOKUP(B343,Database!$A:$AS,MATCH($D$1,Database!$A$1:$AS$1,),))))-(((VLOOKUP(EDATE(B343,-12),Database!$A:$AS,MATCH($D$1,Database!$A$1:$AS$1,),)))))/(((VLOOKUP(EDATE(B343,-12),Database!$A:$AS,MATCH($D$1,Database!$A$1:$AS$1,),)))))</f>
        <v/>
      </c>
      <c r="E343" s="13">
        <f>IF(VLOOKUP(B343,Database!$A:$AV,MATCH($E$1,Database!$A$1:$AV$1,),)=0,"#N/A",((((VLOOKUP(B343,Database!$A:$AS,MATCH($E$1,Database!$A$1:$AS$1,),))))-(((VLOOKUP(EDATE(B343,-12),Database!$A:$AS,MATCH($E$1,Database!$A$1:$AS$1,),)))))/(((VLOOKUP(EDATE(B343,-12),Database!$A:$AS,MATCH($E$1,Database!$A$1:$AS$1,),)))))</f>
        <v/>
      </c>
      <c r="F343" s="13">
        <f>IF(VLOOKUP(B343,Database!$A:$AV,MATCH($F$1,Database!$A$1:$AV$1,),)=0,"#N/A",((((VLOOKUP(B343,Database!$A:$AS,MATCH($F$1,Database!$A$1:$AS$1,),))))-(((VLOOKUP(EDATE(B343,-12),Database!$A:$AS,MATCH($F$1,Database!$A$1:$AS$1,),)))))/(((VLOOKUP(EDATE(B343,-12),Database!$A:$AS,MATCH($F$1,Database!$A$1:$AS$1,),)))))</f>
        <v/>
      </c>
      <c r="G343" s="13">
        <f>IF(VLOOKUP(B343,Database!$A:$AV,MATCH($G$1,Database!$A$1:$AV$1,),)=0,"#N/A",((((VLOOKUP(B343,Database!$A:$AS,MATCH($G$1,Database!$A$1:$AS$1,),))))-(((VLOOKUP(EDATE(B343,-12),Database!$A:$AS,MATCH($G$1,Database!$A$1:$AS$1,),)))))/(((VLOOKUP(EDATE(B343,-12),Database!$A:$AS,MATCH($G$1,Database!$A$1:$AS$1,),)))))</f>
        <v/>
      </c>
      <c r="H343" s="13">
        <f>IF(VLOOKUP(B343,Database!$A:$AV,MATCH($H$1,Database!$A$1:$AV$1,),)=0,"#N/A",((((VLOOKUP(B343,Database!$A:$AS,MATCH($H$1,Database!$A$1:$AS$1,),))))-(((VLOOKUP(EDATE(B343,-12),Database!$A:$AS,MATCH($H$1,Database!$A$1:$AS$1,),)))))/(((VLOOKUP(EDATE(B343,-12),Database!$A:$AS,MATCH($H$1,Database!$A$1:$AS$1,),)))))</f>
        <v/>
      </c>
      <c r="I343" s="13">
        <f>IF(VLOOKUP(B343,Database!$A:$AV,MATCH($I$1,Database!$A$1:$AV$1,),)=0,"#N/A",((((VLOOKUP(B343,Database!$A:$AS,MATCH($I$1,Database!$A$1:$AS$1,),))))-(((VLOOKUP(EDATE(B343,-12),Database!$A:$AS,MATCH($I$1,Database!$A$1:$AS$1,),)))))/(((VLOOKUP(EDATE(B343,-12),Database!$A:$AS,MATCH($I$1,Database!$A$1:$AS$1,),)))))</f>
        <v/>
      </c>
      <c r="J343" s="13">
        <f>IF(VLOOKUP(B343,Database!$A:$AV,MATCH($J$1,Database!$A$1:$AV$1,),)=0,"#N/A",((((VLOOKUP(B343,Database!$A:$AS,MATCH($J$1,Database!$A$1:$AS$1,),))))-(((VLOOKUP(EDATE(B343,-12),Database!$A:$AS,MATCH($J$1,Database!$A$1:$AS$1,),)))))/(((VLOOKUP(EDATE(B343,-12),Database!$A:$AS,MATCH($J$1,Database!$A$1:$AS$1,),)))))</f>
        <v/>
      </c>
      <c r="K343" s="13">
        <f>IF(VLOOKUP(B343,Database!$A:$AV,MATCH($K$1,Database!$A$1:$AV$1,),)=0,"#N/A",((((VLOOKUP(B343,Database!$A:$AS,MATCH($K$1,Database!$A$1:$AS$1,),))))-(((VLOOKUP(EDATE(B343,-12),Database!$A:$AS,MATCH($K$1,Database!$A$1:$AS$1,),)))))/(((VLOOKUP(EDATE(B343,-12),Database!$A:$AS,MATCH($K$1,Database!$A$1:$AS$1,),)))))</f>
        <v/>
      </c>
      <c r="L343" s="13">
        <f>((((VLOOKUP(B343,Database!$A:$AS,MATCH($L$1,Database!$A$1:$AS$1,),))))-(((VLOOKUP(EDATE(B343,-12),Database!$A:$AS,MATCH($L$1,Database!$A$1:$AS$1,),)))))/(((VLOOKUP(EDATE(B343,-12),Database!$A:$AS,MATCH($L$1,Database!$A$1:$AS$1,),))))</f>
        <v/>
      </c>
      <c r="M343" s="13">
        <f>((((VLOOKUP(B343,Database!$A:$AS,MATCH($M$1,Database!$A$1:$AS$1,),))))-(((VLOOKUP(EDATE(B343,-12),Database!$A:$AS,MATCH($M$1,Database!$A$1:$AS$1,),)))))/(((VLOOKUP(EDATE(B343,-12),Database!$A:$AS,MATCH($M$1,Database!$A$1:$AS$1,),))))</f>
        <v/>
      </c>
      <c r="N343" s="13">
        <f>((((VLOOKUP(B343,Database!$A:$AS,MATCH($N$1,Database!$A$1:$AS$1,),))))-(((VLOOKUP(EDATE(B343,-12),Database!$A:$AS,MATCH($N$1,Database!$A$1:$AS$1,),)))))/(((VLOOKUP(EDATE(B343,-12),Database!$A:$AS,MATCH($N$1,Database!$A$1:$AS$1,),))))</f>
        <v/>
      </c>
      <c r="O343" s="13">
        <f>IF(VLOOKUP(B343,Database!$A:$AV,MATCH($O$1,Database!$A$1:$AV$1,),)=0,"#N/A",((((VLOOKUP(B343,Database!$A:$AS,MATCH($O$1,Database!$A$1:$AS$1,),))))-(((VLOOKUP(EDATE(B343,-12),Database!$A:$AS,MATCH($O$1,Database!$A$1:$AS$1,),)))))/(((VLOOKUP(EDATE(B343,-12),Database!$A:$AS,MATCH($O$1,Database!$A$1:$AS$1,),)))))</f>
        <v/>
      </c>
      <c r="P343" s="13">
        <f>IF(VLOOKUP(B343,Database!$A:$AV,MATCH($P$1,Database!$A$1:$AV$1,),)=0,"#N/A",((((VLOOKUP(B343,Database!$A:$AS,MATCH($P$1,Database!$A$1:$AS$1,),))))-(((VLOOKUP(EDATE(B343,-12),Database!$A:$AS,MATCH($P$1,Database!$A$1:$AS$1,),)))))/(((VLOOKUP(EDATE(B343,-12),Database!$A:$AS,MATCH($P$1,Database!$A$1:$AS$1,),)))))</f>
        <v/>
      </c>
      <c r="Q343" s="13">
        <f>IF(VLOOKUP(B343,Database!$A:$AV,MATCH($Q$1,Database!$A$1:$AV$1,),)=0,"#N/A",((((VLOOKUP(B343,Database!$A:$AS,MATCH($Q$1,Database!$A$1:$AS$1,),))))-(((VLOOKUP(EDATE(B343,-12),Database!$A:$AS,MATCH($Q$1,Database!$A$1:$AS$1,),)))))/(((VLOOKUP(EDATE(B343,-12),Database!$A:$AS,MATCH($Q$1,Database!$A$1:$AS$1,),)))))</f>
        <v/>
      </c>
      <c r="R343" s="13">
        <f>IF(VLOOKUP(B343,Database!$A:$AV,MATCH($R$1,Database!$A$1:$AV$1,),)=0,"#N/A",((((VLOOKUP(B343,Database!$A:$AS,MATCH($R$1,Database!$A$1:$AS$1,),))))-(((VLOOKUP(EDATE(B343,-12),Database!$A:$AS,MATCH($R$1,Database!$A$1:$AS$1,),)))))/(((VLOOKUP(EDATE(B343,-12),Database!$A:$AS,MATCH($R$1,Database!$A$1:$AS$1,),)))))</f>
        <v/>
      </c>
      <c r="S343" s="13">
        <f>IF(VLOOKUP(B343,Database!$A:$AV,MATCH($S$1,Database!$A$1:$AV$1,),)=0,"#N/A",((((VLOOKUP(B343,Database!$A:$AS,MATCH($S$1,Database!$A$1:$AS$1,),))))-(((VLOOKUP(EDATE(B343,-12),Database!$A:$AS,MATCH($S$1,Database!$A$1:$AS$1,),)))))/(((VLOOKUP(EDATE(B343,-12),Database!$A:$AS,MATCH($S$1,Database!$A$1:$AS$1,),)))))</f>
        <v/>
      </c>
      <c r="T343" s="13">
        <f>IF(VLOOKUP(B343,Database!$A:$AV,MATCH($T$1,Database!$A$1:$AV$1,),)=0,"#N/A",((((VLOOKUP(B343,Database!$A:$AS,MATCH($T$1,Database!$A$1:$AS$1,),))))-(((VLOOKUP(EDATE(B343,-12),Database!$A:$AS,MATCH($T$1,Database!$A$1:$AS$1,),)))))/(((VLOOKUP(EDATE(B343,-12),Database!$A:$AS,MATCH($T$1,Database!$A$1:$AS$1,),)))))</f>
        <v/>
      </c>
      <c r="U343" s="13">
        <f>IF(VLOOKUP(B343,Database!$A:$AV,MATCH($U$1,Database!$A$1:$AV$1,),)=0,"#N/A",((((VLOOKUP(B343,Database!$A:$AS,MATCH($U$1,Database!$A$1:$AS$1,),))))-(((VLOOKUP(EDATE(B343,-12),Database!$A:$AS,MATCH($U$1,Database!$A$1:$AS$1,),)))))/(((VLOOKUP(EDATE(B343,-12),Database!$A:$AS,MATCH($U$1,Database!$A$1:$AS$1,),)))))</f>
        <v/>
      </c>
      <c r="V343" s="13">
        <f>IF(VLOOKUP(B343,Database!$A:$AV,MATCH($V$1,Database!$A$1:$AV$1,),)=0,"#N/A",((((VLOOKUP(B343,Database!$A:$AS,MATCH($V$1,Database!$A$1:$AS$1,),))))-(((VLOOKUP(EDATE(B343,-12),Database!$A:$AS,MATCH($V$1,Database!$A$1:$AS$1,),)))))/(((VLOOKUP(EDATE(B343,-12),Database!$A:$AS,MATCH($V$1,Database!$A$1:$AS$1,),)))))</f>
        <v/>
      </c>
    </row>
    <row r="344" customFormat="1" s="86">
      <c r="A344" s="43" t="n"/>
      <c r="B344" s="75" t="n">
        <v>42614</v>
      </c>
      <c r="C344" s="13">
        <f>IF(VLOOKUP(B344,Database!$A:$AU,MATCH($C$1,Database!$A$1:$AU$1,),)=0,"#N/A",((((VLOOKUP(B344,Database!$A:$AU,MATCH($C$1,Database!$A$1:$AU$1,),))))-(((VLOOKUP(EDATE(B344,-12),Database!$A:$AU,MATCH($C$1,Database!$A$1:$AU$1,),)))))/(((VLOOKUP(EDATE(B344,-12),Database!$A:$AU,MATCH($C$1,Database!$A$1:$AU$1,),)))))</f>
        <v/>
      </c>
      <c r="D344" s="13">
        <f>IF(VLOOKUP(B344,Database!$A:$AV,MATCH($D$1,Database!$A$1:$AV$1,),)=0,"#N/A",((((VLOOKUP(B344,Database!$A:$AS,MATCH($D$1,Database!$A$1:$AS$1,),))))-(((VLOOKUP(EDATE(B344,-12),Database!$A:$AS,MATCH($D$1,Database!$A$1:$AS$1,),)))))/(((VLOOKUP(EDATE(B344,-12),Database!$A:$AS,MATCH($D$1,Database!$A$1:$AS$1,),)))))</f>
        <v/>
      </c>
      <c r="E344" s="13">
        <f>IF(VLOOKUP(B344,Database!$A:$AV,MATCH($E$1,Database!$A$1:$AV$1,),)=0,"#N/A",((((VLOOKUP(B344,Database!$A:$AS,MATCH($E$1,Database!$A$1:$AS$1,),))))-(((VLOOKUP(EDATE(B344,-12),Database!$A:$AS,MATCH($E$1,Database!$A$1:$AS$1,),)))))/(((VLOOKUP(EDATE(B344,-12),Database!$A:$AS,MATCH($E$1,Database!$A$1:$AS$1,),)))))</f>
        <v/>
      </c>
      <c r="F344" s="13">
        <f>IF(VLOOKUP(B344,Database!$A:$AV,MATCH($F$1,Database!$A$1:$AV$1,),)=0,"#N/A",((((VLOOKUP(B344,Database!$A:$AS,MATCH($F$1,Database!$A$1:$AS$1,),))))-(((VLOOKUP(EDATE(B344,-12),Database!$A:$AS,MATCH($F$1,Database!$A$1:$AS$1,),)))))/(((VLOOKUP(EDATE(B344,-12),Database!$A:$AS,MATCH($F$1,Database!$A$1:$AS$1,),)))))</f>
        <v/>
      </c>
      <c r="G344" s="13">
        <f>IF(VLOOKUP(B344,Database!$A:$AV,MATCH($G$1,Database!$A$1:$AV$1,),)=0,"#N/A",((((VLOOKUP(B344,Database!$A:$AS,MATCH($G$1,Database!$A$1:$AS$1,),))))-(((VLOOKUP(EDATE(B344,-12),Database!$A:$AS,MATCH($G$1,Database!$A$1:$AS$1,),)))))/(((VLOOKUP(EDATE(B344,-12),Database!$A:$AS,MATCH($G$1,Database!$A$1:$AS$1,),)))))</f>
        <v/>
      </c>
      <c r="H344" s="13">
        <f>IF(VLOOKUP(B344,Database!$A:$AV,MATCH($H$1,Database!$A$1:$AV$1,),)=0,"#N/A",((((VLOOKUP(B344,Database!$A:$AS,MATCH($H$1,Database!$A$1:$AS$1,),))))-(((VLOOKUP(EDATE(B344,-12),Database!$A:$AS,MATCH($H$1,Database!$A$1:$AS$1,),)))))/(((VLOOKUP(EDATE(B344,-12),Database!$A:$AS,MATCH($H$1,Database!$A$1:$AS$1,),)))))</f>
        <v/>
      </c>
      <c r="I344" s="13">
        <f>IF(VLOOKUP(B344,Database!$A:$AV,MATCH($I$1,Database!$A$1:$AV$1,),)=0,"#N/A",((((VLOOKUP(B344,Database!$A:$AS,MATCH($I$1,Database!$A$1:$AS$1,),))))-(((VLOOKUP(EDATE(B344,-12),Database!$A:$AS,MATCH($I$1,Database!$A$1:$AS$1,),)))))/(((VLOOKUP(EDATE(B344,-12),Database!$A:$AS,MATCH($I$1,Database!$A$1:$AS$1,),)))))</f>
        <v/>
      </c>
      <c r="J344" s="13">
        <f>IF(VLOOKUP(B344,Database!$A:$AV,MATCH($J$1,Database!$A$1:$AV$1,),)=0,"#N/A",((((VLOOKUP(B344,Database!$A:$AS,MATCH($J$1,Database!$A$1:$AS$1,),))))-(((VLOOKUP(EDATE(B344,-12),Database!$A:$AS,MATCH($J$1,Database!$A$1:$AS$1,),)))))/(((VLOOKUP(EDATE(B344,-12),Database!$A:$AS,MATCH($J$1,Database!$A$1:$AS$1,),)))))</f>
        <v/>
      </c>
      <c r="K344" s="13">
        <f>IF(VLOOKUP(B344,Database!$A:$AV,MATCH($K$1,Database!$A$1:$AV$1,),)=0,"#N/A",((((VLOOKUP(B344,Database!$A:$AS,MATCH($K$1,Database!$A$1:$AS$1,),))))-(((VLOOKUP(EDATE(B344,-12),Database!$A:$AS,MATCH($K$1,Database!$A$1:$AS$1,),)))))/(((VLOOKUP(EDATE(B344,-12),Database!$A:$AS,MATCH($K$1,Database!$A$1:$AS$1,),)))))</f>
        <v/>
      </c>
      <c r="L344" s="13">
        <f>((((VLOOKUP(B344,Database!$A:$AS,MATCH($L$1,Database!$A$1:$AS$1,),))))-(((VLOOKUP(EDATE(B344,-12),Database!$A:$AS,MATCH($L$1,Database!$A$1:$AS$1,),)))))/(((VLOOKUP(EDATE(B344,-12),Database!$A:$AS,MATCH($L$1,Database!$A$1:$AS$1,),))))</f>
        <v/>
      </c>
      <c r="M344" s="13">
        <f>((((VLOOKUP(B344,Database!$A:$AS,MATCH($M$1,Database!$A$1:$AS$1,),))))-(((VLOOKUP(EDATE(B344,-12),Database!$A:$AS,MATCH($M$1,Database!$A$1:$AS$1,),)))))/(((VLOOKUP(EDATE(B344,-12),Database!$A:$AS,MATCH($M$1,Database!$A$1:$AS$1,),))))</f>
        <v/>
      </c>
      <c r="N344" s="13">
        <f>((((VLOOKUP(B344,Database!$A:$AS,MATCH($N$1,Database!$A$1:$AS$1,),))))-(((VLOOKUP(EDATE(B344,-12),Database!$A:$AS,MATCH($N$1,Database!$A$1:$AS$1,),)))))/(((VLOOKUP(EDATE(B344,-12),Database!$A:$AS,MATCH($N$1,Database!$A$1:$AS$1,),))))</f>
        <v/>
      </c>
      <c r="O344" s="13">
        <f>IF(VLOOKUP(B344,Database!$A:$AV,MATCH($O$1,Database!$A$1:$AV$1,),)=0,"#N/A",((((VLOOKUP(B344,Database!$A:$AS,MATCH($O$1,Database!$A$1:$AS$1,),))))-(((VLOOKUP(EDATE(B344,-12),Database!$A:$AS,MATCH($O$1,Database!$A$1:$AS$1,),)))))/(((VLOOKUP(EDATE(B344,-12),Database!$A:$AS,MATCH($O$1,Database!$A$1:$AS$1,),)))))</f>
        <v/>
      </c>
      <c r="P344" s="13">
        <f>IF(VLOOKUP(B344,Database!$A:$AV,MATCH($P$1,Database!$A$1:$AV$1,),)=0,"#N/A",((((VLOOKUP(B344,Database!$A:$AS,MATCH($P$1,Database!$A$1:$AS$1,),))))-(((VLOOKUP(EDATE(B344,-12),Database!$A:$AS,MATCH($P$1,Database!$A$1:$AS$1,),)))))/(((VLOOKUP(EDATE(B344,-12),Database!$A:$AS,MATCH($P$1,Database!$A$1:$AS$1,),)))))</f>
        <v/>
      </c>
      <c r="Q344" s="13">
        <f>IF(VLOOKUP(B344,Database!$A:$AV,MATCH($Q$1,Database!$A$1:$AV$1,),)=0,"#N/A",((((VLOOKUP(B344,Database!$A:$AS,MATCH($Q$1,Database!$A$1:$AS$1,),))))-(((VLOOKUP(EDATE(B344,-12),Database!$A:$AS,MATCH($Q$1,Database!$A$1:$AS$1,),)))))/(((VLOOKUP(EDATE(B344,-12),Database!$A:$AS,MATCH($Q$1,Database!$A$1:$AS$1,),)))))</f>
        <v/>
      </c>
      <c r="R344" s="13">
        <f>IF(VLOOKUP(B344,Database!$A:$AV,MATCH($R$1,Database!$A$1:$AV$1,),)=0,"#N/A",((((VLOOKUP(B344,Database!$A:$AS,MATCH($R$1,Database!$A$1:$AS$1,),))))-(((VLOOKUP(EDATE(B344,-12),Database!$A:$AS,MATCH($R$1,Database!$A$1:$AS$1,),)))))/(((VLOOKUP(EDATE(B344,-12),Database!$A:$AS,MATCH($R$1,Database!$A$1:$AS$1,),)))))</f>
        <v/>
      </c>
      <c r="S344" s="13">
        <f>IF(VLOOKUP(B344,Database!$A:$AV,MATCH($S$1,Database!$A$1:$AV$1,),)=0,"#N/A",((((VLOOKUP(B344,Database!$A:$AS,MATCH($S$1,Database!$A$1:$AS$1,),))))-(((VLOOKUP(EDATE(B344,-12),Database!$A:$AS,MATCH($S$1,Database!$A$1:$AS$1,),)))))/(((VLOOKUP(EDATE(B344,-12),Database!$A:$AS,MATCH($S$1,Database!$A$1:$AS$1,),)))))</f>
        <v/>
      </c>
      <c r="T344" s="13">
        <f>IF(VLOOKUP(B344,Database!$A:$AV,MATCH($T$1,Database!$A$1:$AV$1,),)=0,"#N/A",((((VLOOKUP(B344,Database!$A:$AS,MATCH($T$1,Database!$A$1:$AS$1,),))))-(((VLOOKUP(EDATE(B344,-12),Database!$A:$AS,MATCH($T$1,Database!$A$1:$AS$1,),)))))/(((VLOOKUP(EDATE(B344,-12),Database!$A:$AS,MATCH($T$1,Database!$A$1:$AS$1,),)))))</f>
        <v/>
      </c>
      <c r="U344" s="13">
        <f>IF(VLOOKUP(B344,Database!$A:$AV,MATCH($U$1,Database!$A$1:$AV$1,),)=0,"#N/A",((((VLOOKUP(B344,Database!$A:$AS,MATCH($U$1,Database!$A$1:$AS$1,),))))-(((VLOOKUP(EDATE(B344,-12),Database!$A:$AS,MATCH($U$1,Database!$A$1:$AS$1,),)))))/(((VLOOKUP(EDATE(B344,-12),Database!$A:$AS,MATCH($U$1,Database!$A$1:$AS$1,),)))))</f>
        <v/>
      </c>
      <c r="V344" s="13">
        <f>IF(VLOOKUP(B344,Database!$A:$AV,MATCH($V$1,Database!$A$1:$AV$1,),)=0,"#N/A",((((VLOOKUP(B344,Database!$A:$AS,MATCH($V$1,Database!$A$1:$AS$1,),))))-(((VLOOKUP(EDATE(B344,-12),Database!$A:$AS,MATCH($V$1,Database!$A$1:$AS$1,),)))))/(((VLOOKUP(EDATE(B344,-12),Database!$A:$AS,MATCH($V$1,Database!$A$1:$AS$1,),)))))</f>
        <v/>
      </c>
    </row>
    <row r="345" customFormat="1" s="86">
      <c r="A345" s="43" t="n"/>
      <c r="B345" s="75" t="n">
        <v>42644</v>
      </c>
      <c r="C345" s="13">
        <f>IF(VLOOKUP(B345,Database!$A:$AU,MATCH($C$1,Database!$A$1:$AU$1,),)=0,"#N/A",((((VLOOKUP(B345,Database!$A:$AU,MATCH($C$1,Database!$A$1:$AU$1,),))))-(((VLOOKUP(EDATE(B345,-12),Database!$A:$AU,MATCH($C$1,Database!$A$1:$AU$1,),)))))/(((VLOOKUP(EDATE(B345,-12),Database!$A:$AU,MATCH($C$1,Database!$A$1:$AU$1,),)))))</f>
        <v/>
      </c>
      <c r="D345" s="13">
        <f>IF(VLOOKUP(B345,Database!$A:$AV,MATCH($D$1,Database!$A$1:$AV$1,),)=0,"#N/A",((((VLOOKUP(B345,Database!$A:$AS,MATCH($D$1,Database!$A$1:$AS$1,),))))-(((VLOOKUP(EDATE(B345,-12),Database!$A:$AS,MATCH($D$1,Database!$A$1:$AS$1,),)))))/(((VLOOKUP(EDATE(B345,-12),Database!$A:$AS,MATCH($D$1,Database!$A$1:$AS$1,),)))))</f>
        <v/>
      </c>
      <c r="E345" s="13">
        <f>IF(VLOOKUP(B345,Database!$A:$AV,MATCH($E$1,Database!$A$1:$AV$1,),)=0,"#N/A",((((VLOOKUP(B345,Database!$A:$AS,MATCH($E$1,Database!$A$1:$AS$1,),))))-(((VLOOKUP(EDATE(B345,-12),Database!$A:$AS,MATCH($E$1,Database!$A$1:$AS$1,),)))))/(((VLOOKUP(EDATE(B345,-12),Database!$A:$AS,MATCH($E$1,Database!$A$1:$AS$1,),)))))</f>
        <v/>
      </c>
      <c r="F345" s="13">
        <f>IF(VLOOKUP(B345,Database!$A:$AV,MATCH($F$1,Database!$A$1:$AV$1,),)=0,"#N/A",((((VLOOKUP(B345,Database!$A:$AS,MATCH($F$1,Database!$A$1:$AS$1,),))))-(((VLOOKUP(EDATE(B345,-12),Database!$A:$AS,MATCH($F$1,Database!$A$1:$AS$1,),)))))/(((VLOOKUP(EDATE(B345,-12),Database!$A:$AS,MATCH($F$1,Database!$A$1:$AS$1,),)))))</f>
        <v/>
      </c>
      <c r="G345" s="13">
        <f>IF(VLOOKUP(B345,Database!$A:$AV,MATCH($G$1,Database!$A$1:$AV$1,),)=0,"#N/A",((((VLOOKUP(B345,Database!$A:$AS,MATCH($G$1,Database!$A$1:$AS$1,),))))-(((VLOOKUP(EDATE(B345,-12),Database!$A:$AS,MATCH($G$1,Database!$A$1:$AS$1,),)))))/(((VLOOKUP(EDATE(B345,-12),Database!$A:$AS,MATCH($G$1,Database!$A$1:$AS$1,),)))))</f>
        <v/>
      </c>
      <c r="H345" s="13">
        <f>IF(VLOOKUP(B345,Database!$A:$AV,MATCH($H$1,Database!$A$1:$AV$1,),)=0,"#N/A",((((VLOOKUP(B345,Database!$A:$AS,MATCH($H$1,Database!$A$1:$AS$1,),))))-(((VLOOKUP(EDATE(B345,-12),Database!$A:$AS,MATCH($H$1,Database!$A$1:$AS$1,),)))))/(((VLOOKUP(EDATE(B345,-12),Database!$A:$AS,MATCH($H$1,Database!$A$1:$AS$1,),)))))</f>
        <v/>
      </c>
      <c r="I345" s="13">
        <f>IF(VLOOKUP(B345,Database!$A:$AV,MATCH($I$1,Database!$A$1:$AV$1,),)=0,"#N/A",((((VLOOKUP(B345,Database!$A:$AS,MATCH($I$1,Database!$A$1:$AS$1,),))))-(((VLOOKUP(EDATE(B345,-12),Database!$A:$AS,MATCH($I$1,Database!$A$1:$AS$1,),)))))/(((VLOOKUP(EDATE(B345,-12),Database!$A:$AS,MATCH($I$1,Database!$A$1:$AS$1,),)))))</f>
        <v/>
      </c>
      <c r="J345" s="13">
        <f>IF(VLOOKUP(B345,Database!$A:$AV,MATCH($J$1,Database!$A$1:$AV$1,),)=0,"#N/A",((((VLOOKUP(B345,Database!$A:$AS,MATCH($J$1,Database!$A$1:$AS$1,),))))-(((VLOOKUP(EDATE(B345,-12),Database!$A:$AS,MATCH($J$1,Database!$A$1:$AS$1,),)))))/(((VLOOKUP(EDATE(B345,-12),Database!$A:$AS,MATCH($J$1,Database!$A$1:$AS$1,),)))))</f>
        <v/>
      </c>
      <c r="K345" s="13">
        <f>IF(VLOOKUP(B345,Database!$A:$AV,MATCH($K$1,Database!$A$1:$AV$1,),)=0,"#N/A",((((VLOOKUP(B345,Database!$A:$AS,MATCH($K$1,Database!$A$1:$AS$1,),))))-(((VLOOKUP(EDATE(B345,-12),Database!$A:$AS,MATCH($K$1,Database!$A$1:$AS$1,),)))))/(((VLOOKUP(EDATE(B345,-12),Database!$A:$AS,MATCH($K$1,Database!$A$1:$AS$1,),)))))</f>
        <v/>
      </c>
      <c r="L345" s="13">
        <f>((((VLOOKUP(B345,Database!$A:$AS,MATCH($L$1,Database!$A$1:$AS$1,),))))-(((VLOOKUP(EDATE(B345,-12),Database!$A:$AS,MATCH($L$1,Database!$A$1:$AS$1,),)))))/(((VLOOKUP(EDATE(B345,-12),Database!$A:$AS,MATCH($L$1,Database!$A$1:$AS$1,),))))</f>
        <v/>
      </c>
      <c r="M345" s="13">
        <f>((((VLOOKUP(B345,Database!$A:$AS,MATCH($M$1,Database!$A$1:$AS$1,),))))-(((VLOOKUP(EDATE(B345,-12),Database!$A:$AS,MATCH($M$1,Database!$A$1:$AS$1,),)))))/(((VLOOKUP(EDATE(B345,-12),Database!$A:$AS,MATCH($M$1,Database!$A$1:$AS$1,),))))</f>
        <v/>
      </c>
      <c r="N345" s="13">
        <f>((((VLOOKUP(B345,Database!$A:$AS,MATCH($N$1,Database!$A$1:$AS$1,),))))-(((VLOOKUP(EDATE(B345,-12),Database!$A:$AS,MATCH($N$1,Database!$A$1:$AS$1,),)))))/(((VLOOKUP(EDATE(B345,-12),Database!$A:$AS,MATCH($N$1,Database!$A$1:$AS$1,),))))</f>
        <v/>
      </c>
      <c r="O345" s="13">
        <f>IF(VLOOKUP(B345,Database!$A:$AV,MATCH($O$1,Database!$A$1:$AV$1,),)=0,"#N/A",((((VLOOKUP(B345,Database!$A:$AS,MATCH($O$1,Database!$A$1:$AS$1,),))))-(((VLOOKUP(EDATE(B345,-12),Database!$A:$AS,MATCH($O$1,Database!$A$1:$AS$1,),)))))/(((VLOOKUP(EDATE(B345,-12),Database!$A:$AS,MATCH($O$1,Database!$A$1:$AS$1,),)))))</f>
        <v/>
      </c>
      <c r="P345" s="13">
        <f>IF(VLOOKUP(B345,Database!$A:$AV,MATCH($P$1,Database!$A$1:$AV$1,),)=0,"#N/A",((((VLOOKUP(B345,Database!$A:$AS,MATCH($P$1,Database!$A$1:$AS$1,),))))-(((VLOOKUP(EDATE(B345,-12),Database!$A:$AS,MATCH($P$1,Database!$A$1:$AS$1,),)))))/(((VLOOKUP(EDATE(B345,-12),Database!$A:$AS,MATCH($P$1,Database!$A$1:$AS$1,),)))))</f>
        <v/>
      </c>
      <c r="Q345" s="13">
        <f>IF(VLOOKUP(B345,Database!$A:$AV,MATCH($Q$1,Database!$A$1:$AV$1,),)=0,"#N/A",((((VLOOKUP(B345,Database!$A:$AS,MATCH($Q$1,Database!$A$1:$AS$1,),))))-(((VLOOKUP(EDATE(B345,-12),Database!$A:$AS,MATCH($Q$1,Database!$A$1:$AS$1,),)))))/(((VLOOKUP(EDATE(B345,-12),Database!$A:$AS,MATCH($Q$1,Database!$A$1:$AS$1,),)))))</f>
        <v/>
      </c>
      <c r="R345" s="13">
        <f>IF(VLOOKUP(B345,Database!$A:$AV,MATCH($R$1,Database!$A$1:$AV$1,),)=0,"#N/A",((((VLOOKUP(B345,Database!$A:$AS,MATCH($R$1,Database!$A$1:$AS$1,),))))-(((VLOOKUP(EDATE(B345,-12),Database!$A:$AS,MATCH($R$1,Database!$A$1:$AS$1,),)))))/(((VLOOKUP(EDATE(B345,-12),Database!$A:$AS,MATCH($R$1,Database!$A$1:$AS$1,),)))))</f>
        <v/>
      </c>
      <c r="S345" s="13">
        <f>IF(VLOOKUP(B345,Database!$A:$AV,MATCH($S$1,Database!$A$1:$AV$1,),)=0,"#N/A",((((VLOOKUP(B345,Database!$A:$AS,MATCH($S$1,Database!$A$1:$AS$1,),))))-(((VLOOKUP(EDATE(B345,-12),Database!$A:$AS,MATCH($S$1,Database!$A$1:$AS$1,),)))))/(((VLOOKUP(EDATE(B345,-12),Database!$A:$AS,MATCH($S$1,Database!$A$1:$AS$1,),)))))</f>
        <v/>
      </c>
      <c r="T345" s="13">
        <f>IF(VLOOKUP(B345,Database!$A:$AV,MATCH($T$1,Database!$A$1:$AV$1,),)=0,"#N/A",((((VLOOKUP(B345,Database!$A:$AS,MATCH($T$1,Database!$A$1:$AS$1,),))))-(((VLOOKUP(EDATE(B345,-12),Database!$A:$AS,MATCH($T$1,Database!$A$1:$AS$1,),)))))/(((VLOOKUP(EDATE(B345,-12),Database!$A:$AS,MATCH($T$1,Database!$A$1:$AS$1,),)))))</f>
        <v/>
      </c>
      <c r="U345" s="13">
        <f>IF(VLOOKUP(B345,Database!$A:$AV,MATCH($U$1,Database!$A$1:$AV$1,),)=0,"#N/A",((((VLOOKUP(B345,Database!$A:$AS,MATCH($U$1,Database!$A$1:$AS$1,),))))-(((VLOOKUP(EDATE(B345,-12),Database!$A:$AS,MATCH($U$1,Database!$A$1:$AS$1,),)))))/(((VLOOKUP(EDATE(B345,-12),Database!$A:$AS,MATCH($U$1,Database!$A$1:$AS$1,),)))))</f>
        <v/>
      </c>
      <c r="V345" s="13">
        <f>IF(VLOOKUP(B345,Database!$A:$AV,MATCH($V$1,Database!$A$1:$AV$1,),)=0,"#N/A",((((VLOOKUP(B345,Database!$A:$AS,MATCH($V$1,Database!$A$1:$AS$1,),))))-(((VLOOKUP(EDATE(B345,-12),Database!$A:$AS,MATCH($V$1,Database!$A$1:$AS$1,),)))))/(((VLOOKUP(EDATE(B345,-12),Database!$A:$AS,MATCH($V$1,Database!$A$1:$AS$1,),)))))</f>
        <v/>
      </c>
    </row>
    <row r="346" customFormat="1" s="86">
      <c r="A346" s="43" t="n"/>
      <c r="B346" s="75" t="n">
        <v>42675</v>
      </c>
      <c r="C346" s="13">
        <f>IF(VLOOKUP(B346,Database!$A:$AU,MATCH($C$1,Database!$A$1:$AU$1,),)=0,"#N/A",((((VLOOKUP(B346,Database!$A:$AU,MATCH($C$1,Database!$A$1:$AU$1,),))))-(((VLOOKUP(EDATE(B346,-12),Database!$A:$AU,MATCH($C$1,Database!$A$1:$AU$1,),)))))/(((VLOOKUP(EDATE(B346,-12),Database!$A:$AU,MATCH($C$1,Database!$A$1:$AU$1,),)))))</f>
        <v/>
      </c>
      <c r="D346" s="13">
        <f>IF(VLOOKUP(B346,Database!$A:$AV,MATCH($D$1,Database!$A$1:$AV$1,),)=0,"#N/A",((((VLOOKUP(B346,Database!$A:$AS,MATCH($D$1,Database!$A$1:$AS$1,),))))-(((VLOOKUP(EDATE(B346,-12),Database!$A:$AS,MATCH($D$1,Database!$A$1:$AS$1,),)))))/(((VLOOKUP(EDATE(B346,-12),Database!$A:$AS,MATCH($D$1,Database!$A$1:$AS$1,),)))))</f>
        <v/>
      </c>
      <c r="E346" s="13">
        <f>IF(VLOOKUP(B346,Database!$A:$AV,MATCH($E$1,Database!$A$1:$AV$1,),)=0,"#N/A",((((VLOOKUP(B346,Database!$A:$AS,MATCH($E$1,Database!$A$1:$AS$1,),))))-(((VLOOKUP(EDATE(B346,-12),Database!$A:$AS,MATCH($E$1,Database!$A$1:$AS$1,),)))))/(((VLOOKUP(EDATE(B346,-12),Database!$A:$AS,MATCH($E$1,Database!$A$1:$AS$1,),)))))</f>
        <v/>
      </c>
      <c r="F346" s="13">
        <f>IF(VLOOKUP(B346,Database!$A:$AV,MATCH($F$1,Database!$A$1:$AV$1,),)=0,"#N/A",((((VLOOKUP(B346,Database!$A:$AS,MATCH($F$1,Database!$A$1:$AS$1,),))))-(((VLOOKUP(EDATE(B346,-12),Database!$A:$AS,MATCH($F$1,Database!$A$1:$AS$1,),)))))/(((VLOOKUP(EDATE(B346,-12),Database!$A:$AS,MATCH($F$1,Database!$A$1:$AS$1,),)))))</f>
        <v/>
      </c>
      <c r="G346" s="13">
        <f>IF(VLOOKUP(B346,Database!$A:$AV,MATCH($G$1,Database!$A$1:$AV$1,),)=0,"#N/A",((((VLOOKUP(B346,Database!$A:$AS,MATCH($G$1,Database!$A$1:$AS$1,),))))-(((VLOOKUP(EDATE(B346,-12),Database!$A:$AS,MATCH($G$1,Database!$A$1:$AS$1,),)))))/(((VLOOKUP(EDATE(B346,-12),Database!$A:$AS,MATCH($G$1,Database!$A$1:$AS$1,),)))))</f>
        <v/>
      </c>
      <c r="H346" s="13">
        <f>IF(VLOOKUP(B346,Database!$A:$AV,MATCH($H$1,Database!$A$1:$AV$1,),)=0,"#N/A",((((VLOOKUP(B346,Database!$A:$AS,MATCH($H$1,Database!$A$1:$AS$1,),))))-(((VLOOKUP(EDATE(B346,-12),Database!$A:$AS,MATCH($H$1,Database!$A$1:$AS$1,),)))))/(((VLOOKUP(EDATE(B346,-12),Database!$A:$AS,MATCH($H$1,Database!$A$1:$AS$1,),)))))</f>
        <v/>
      </c>
      <c r="I346" s="13">
        <f>IF(VLOOKUP(B346,Database!$A:$AV,MATCH($I$1,Database!$A$1:$AV$1,),)=0,"#N/A",((((VLOOKUP(B346,Database!$A:$AS,MATCH($I$1,Database!$A$1:$AS$1,),))))-(((VLOOKUP(EDATE(B346,-12),Database!$A:$AS,MATCH($I$1,Database!$A$1:$AS$1,),)))))/(((VLOOKUP(EDATE(B346,-12),Database!$A:$AS,MATCH($I$1,Database!$A$1:$AS$1,),)))))</f>
        <v/>
      </c>
      <c r="J346" s="13">
        <f>IF(VLOOKUP(B346,Database!$A:$AV,MATCH($J$1,Database!$A$1:$AV$1,),)=0,"#N/A",((((VLOOKUP(B346,Database!$A:$AS,MATCH($J$1,Database!$A$1:$AS$1,),))))-(((VLOOKUP(EDATE(B346,-12),Database!$A:$AS,MATCH($J$1,Database!$A$1:$AS$1,),)))))/(((VLOOKUP(EDATE(B346,-12),Database!$A:$AS,MATCH($J$1,Database!$A$1:$AS$1,),)))))</f>
        <v/>
      </c>
      <c r="K346" s="13">
        <f>IF(VLOOKUP(B346,Database!$A:$AV,MATCH($K$1,Database!$A$1:$AV$1,),)=0,"#N/A",((((VLOOKUP(B346,Database!$A:$AS,MATCH($K$1,Database!$A$1:$AS$1,),))))-(((VLOOKUP(EDATE(B346,-12),Database!$A:$AS,MATCH($K$1,Database!$A$1:$AS$1,),)))))/(((VLOOKUP(EDATE(B346,-12),Database!$A:$AS,MATCH($K$1,Database!$A$1:$AS$1,),)))))</f>
        <v/>
      </c>
      <c r="L346" s="13">
        <f>((((VLOOKUP(B346,Database!$A:$AS,MATCH($L$1,Database!$A$1:$AS$1,),))))-(((VLOOKUP(EDATE(B346,-12),Database!$A:$AS,MATCH($L$1,Database!$A$1:$AS$1,),)))))/(((VLOOKUP(EDATE(B346,-12),Database!$A:$AS,MATCH($L$1,Database!$A$1:$AS$1,),))))</f>
        <v/>
      </c>
      <c r="M346" s="13">
        <f>((((VLOOKUP(B346,Database!$A:$AS,MATCH($M$1,Database!$A$1:$AS$1,),))))-(((VLOOKUP(EDATE(B346,-12),Database!$A:$AS,MATCH($M$1,Database!$A$1:$AS$1,),)))))/(((VLOOKUP(EDATE(B346,-12),Database!$A:$AS,MATCH($M$1,Database!$A$1:$AS$1,),))))</f>
        <v/>
      </c>
      <c r="N346" s="13">
        <f>((((VLOOKUP(B346,Database!$A:$AS,MATCH($N$1,Database!$A$1:$AS$1,),))))-(((VLOOKUP(EDATE(B346,-12),Database!$A:$AS,MATCH($N$1,Database!$A$1:$AS$1,),)))))/(((VLOOKUP(EDATE(B346,-12),Database!$A:$AS,MATCH($N$1,Database!$A$1:$AS$1,),))))</f>
        <v/>
      </c>
      <c r="O346" s="13">
        <f>IF(VLOOKUP(B346,Database!$A:$AV,MATCH($O$1,Database!$A$1:$AV$1,),)=0,"#N/A",((((VLOOKUP(B346,Database!$A:$AS,MATCH($O$1,Database!$A$1:$AS$1,),))))-(((VLOOKUP(EDATE(B346,-12),Database!$A:$AS,MATCH($O$1,Database!$A$1:$AS$1,),)))))/(((VLOOKUP(EDATE(B346,-12),Database!$A:$AS,MATCH($O$1,Database!$A$1:$AS$1,),)))))</f>
        <v/>
      </c>
      <c r="P346" s="13">
        <f>IF(VLOOKUP(B346,Database!$A:$AV,MATCH($P$1,Database!$A$1:$AV$1,),)=0,"#N/A",((((VLOOKUP(B346,Database!$A:$AS,MATCH($P$1,Database!$A$1:$AS$1,),))))-(((VLOOKUP(EDATE(B346,-12),Database!$A:$AS,MATCH($P$1,Database!$A$1:$AS$1,),)))))/(((VLOOKUP(EDATE(B346,-12),Database!$A:$AS,MATCH($P$1,Database!$A$1:$AS$1,),)))))</f>
        <v/>
      </c>
      <c r="Q346" s="13">
        <f>IF(VLOOKUP(B346,Database!$A:$AV,MATCH($Q$1,Database!$A$1:$AV$1,),)=0,"#N/A",((((VLOOKUP(B346,Database!$A:$AS,MATCH($Q$1,Database!$A$1:$AS$1,),))))-(((VLOOKUP(EDATE(B346,-12),Database!$A:$AS,MATCH($Q$1,Database!$A$1:$AS$1,),)))))/(((VLOOKUP(EDATE(B346,-12),Database!$A:$AS,MATCH($Q$1,Database!$A$1:$AS$1,),)))))</f>
        <v/>
      </c>
      <c r="R346" s="13">
        <f>IF(VLOOKUP(B346,Database!$A:$AV,MATCH($R$1,Database!$A$1:$AV$1,),)=0,"#N/A",((((VLOOKUP(B346,Database!$A:$AS,MATCH($R$1,Database!$A$1:$AS$1,),))))-(((VLOOKUP(EDATE(B346,-12),Database!$A:$AS,MATCH($R$1,Database!$A$1:$AS$1,),)))))/(((VLOOKUP(EDATE(B346,-12),Database!$A:$AS,MATCH($R$1,Database!$A$1:$AS$1,),)))))</f>
        <v/>
      </c>
      <c r="S346" s="13">
        <f>IF(VLOOKUP(B346,Database!$A:$AV,MATCH($S$1,Database!$A$1:$AV$1,),)=0,"#N/A",((((VLOOKUP(B346,Database!$A:$AS,MATCH($S$1,Database!$A$1:$AS$1,),))))-(((VLOOKUP(EDATE(B346,-12),Database!$A:$AS,MATCH($S$1,Database!$A$1:$AS$1,),)))))/(((VLOOKUP(EDATE(B346,-12),Database!$A:$AS,MATCH($S$1,Database!$A$1:$AS$1,),)))))</f>
        <v/>
      </c>
      <c r="T346" s="13">
        <f>IF(VLOOKUP(B346,Database!$A:$AV,MATCH($T$1,Database!$A$1:$AV$1,),)=0,"#N/A",((((VLOOKUP(B346,Database!$A:$AS,MATCH($T$1,Database!$A$1:$AS$1,),))))-(((VLOOKUP(EDATE(B346,-12),Database!$A:$AS,MATCH($T$1,Database!$A$1:$AS$1,),)))))/(((VLOOKUP(EDATE(B346,-12),Database!$A:$AS,MATCH($T$1,Database!$A$1:$AS$1,),)))))</f>
        <v/>
      </c>
      <c r="U346" s="13">
        <f>IF(VLOOKUP(B346,Database!$A:$AV,MATCH($U$1,Database!$A$1:$AV$1,),)=0,"#N/A",((((VLOOKUP(B346,Database!$A:$AS,MATCH($U$1,Database!$A$1:$AS$1,),))))-(((VLOOKUP(EDATE(B346,-12),Database!$A:$AS,MATCH($U$1,Database!$A$1:$AS$1,),)))))/(((VLOOKUP(EDATE(B346,-12),Database!$A:$AS,MATCH($U$1,Database!$A$1:$AS$1,),)))))</f>
        <v/>
      </c>
      <c r="V346" s="13">
        <f>IF(VLOOKUP(B346,Database!$A:$AV,MATCH($V$1,Database!$A$1:$AV$1,),)=0,"#N/A",((((VLOOKUP(B346,Database!$A:$AS,MATCH($V$1,Database!$A$1:$AS$1,),))))-(((VLOOKUP(EDATE(B346,-12),Database!$A:$AS,MATCH($V$1,Database!$A$1:$AS$1,),)))))/(((VLOOKUP(EDATE(B346,-12),Database!$A:$AS,MATCH($V$1,Database!$A$1:$AS$1,),)))))</f>
        <v/>
      </c>
    </row>
    <row r="347" customFormat="1" s="86">
      <c r="A347" s="43" t="n"/>
      <c r="B347" s="75" t="n">
        <v>42705</v>
      </c>
      <c r="C347" s="13">
        <f>IF(VLOOKUP(B347,Database!$A:$AU,MATCH($C$1,Database!$A$1:$AU$1,),)=0,"#N/A",((((VLOOKUP(B347,Database!$A:$AU,MATCH($C$1,Database!$A$1:$AU$1,),))))-(((VLOOKUP(EDATE(B347,-12),Database!$A:$AU,MATCH($C$1,Database!$A$1:$AU$1,),)))))/(((VLOOKUP(EDATE(B347,-12),Database!$A:$AU,MATCH($C$1,Database!$A$1:$AU$1,),)))))</f>
        <v/>
      </c>
      <c r="D347" s="13">
        <f>IF(VLOOKUP(B347,Database!$A:$AV,MATCH($D$1,Database!$A$1:$AV$1,),)=0,"#N/A",((((VLOOKUP(B347,Database!$A:$AS,MATCH($D$1,Database!$A$1:$AS$1,),))))-(((VLOOKUP(EDATE(B347,-12),Database!$A:$AS,MATCH($D$1,Database!$A$1:$AS$1,),)))))/(((VLOOKUP(EDATE(B347,-12),Database!$A:$AS,MATCH($D$1,Database!$A$1:$AS$1,),)))))</f>
        <v/>
      </c>
      <c r="E347" s="13">
        <f>IF(VLOOKUP(B347,Database!$A:$AV,MATCH($E$1,Database!$A$1:$AV$1,),)=0,"#N/A",((((VLOOKUP(B347,Database!$A:$AS,MATCH($E$1,Database!$A$1:$AS$1,),))))-(((VLOOKUP(EDATE(B347,-12),Database!$A:$AS,MATCH($E$1,Database!$A$1:$AS$1,),)))))/(((VLOOKUP(EDATE(B347,-12),Database!$A:$AS,MATCH($E$1,Database!$A$1:$AS$1,),)))))</f>
        <v/>
      </c>
      <c r="F347" s="13">
        <f>IF(VLOOKUP(B347,Database!$A:$AV,MATCH($F$1,Database!$A$1:$AV$1,),)=0,"#N/A",((((VLOOKUP(B347,Database!$A:$AS,MATCH($F$1,Database!$A$1:$AS$1,),))))-(((VLOOKUP(EDATE(B347,-12),Database!$A:$AS,MATCH($F$1,Database!$A$1:$AS$1,),)))))/(((VLOOKUP(EDATE(B347,-12),Database!$A:$AS,MATCH($F$1,Database!$A$1:$AS$1,),)))))</f>
        <v/>
      </c>
      <c r="G347" s="13">
        <f>IF(VLOOKUP(B347,Database!$A:$AV,MATCH($G$1,Database!$A$1:$AV$1,),)=0,"#N/A",((((VLOOKUP(B347,Database!$A:$AS,MATCH($G$1,Database!$A$1:$AS$1,),))))-(((VLOOKUP(EDATE(B347,-12),Database!$A:$AS,MATCH($G$1,Database!$A$1:$AS$1,),)))))/(((VLOOKUP(EDATE(B347,-12),Database!$A:$AS,MATCH($G$1,Database!$A$1:$AS$1,),)))))</f>
        <v/>
      </c>
      <c r="H347" s="13">
        <f>IF(VLOOKUP(B347,Database!$A:$AV,MATCH($H$1,Database!$A$1:$AV$1,),)=0,"#N/A",((((VLOOKUP(B347,Database!$A:$AS,MATCH($H$1,Database!$A$1:$AS$1,),))))-(((VLOOKUP(EDATE(B347,-12),Database!$A:$AS,MATCH($H$1,Database!$A$1:$AS$1,),)))))/(((VLOOKUP(EDATE(B347,-12),Database!$A:$AS,MATCH($H$1,Database!$A$1:$AS$1,),)))))</f>
        <v/>
      </c>
      <c r="I347" s="13">
        <f>IF(VLOOKUP(B347,Database!$A:$AV,MATCH($I$1,Database!$A$1:$AV$1,),)=0,"#N/A",((((VLOOKUP(B347,Database!$A:$AS,MATCH($I$1,Database!$A$1:$AS$1,),))))-(((VLOOKUP(EDATE(B347,-12),Database!$A:$AS,MATCH($I$1,Database!$A$1:$AS$1,),)))))/(((VLOOKUP(EDATE(B347,-12),Database!$A:$AS,MATCH($I$1,Database!$A$1:$AS$1,),)))))</f>
        <v/>
      </c>
      <c r="J347" s="13">
        <f>IF(VLOOKUP(B347,Database!$A:$AV,MATCH($J$1,Database!$A$1:$AV$1,),)=0,"#N/A",((((VLOOKUP(B347,Database!$A:$AS,MATCH($J$1,Database!$A$1:$AS$1,),))))-(((VLOOKUP(EDATE(B347,-12),Database!$A:$AS,MATCH($J$1,Database!$A$1:$AS$1,),)))))/(((VLOOKUP(EDATE(B347,-12),Database!$A:$AS,MATCH($J$1,Database!$A$1:$AS$1,),)))))</f>
        <v/>
      </c>
      <c r="K347" s="13">
        <f>IF(VLOOKUP(B347,Database!$A:$AV,MATCH($K$1,Database!$A$1:$AV$1,),)=0,"#N/A",((((VLOOKUP(B347,Database!$A:$AS,MATCH($K$1,Database!$A$1:$AS$1,),))))-(((VLOOKUP(EDATE(B347,-12),Database!$A:$AS,MATCH($K$1,Database!$A$1:$AS$1,),)))))/(((VLOOKUP(EDATE(B347,-12),Database!$A:$AS,MATCH($K$1,Database!$A$1:$AS$1,),)))))</f>
        <v/>
      </c>
      <c r="L347" s="13">
        <f>((((VLOOKUP(B347,Database!$A:$AS,MATCH($L$1,Database!$A$1:$AS$1,),))))-(((VLOOKUP(EDATE(B347,-12),Database!$A:$AS,MATCH($L$1,Database!$A$1:$AS$1,),)))))/(((VLOOKUP(EDATE(B347,-12),Database!$A:$AS,MATCH($L$1,Database!$A$1:$AS$1,),))))</f>
        <v/>
      </c>
      <c r="M347" s="13">
        <f>((((VLOOKUP(B347,Database!$A:$AS,MATCH($M$1,Database!$A$1:$AS$1,),))))-(((VLOOKUP(EDATE(B347,-12),Database!$A:$AS,MATCH($M$1,Database!$A$1:$AS$1,),)))))/(((VLOOKUP(EDATE(B347,-12),Database!$A:$AS,MATCH($M$1,Database!$A$1:$AS$1,),))))</f>
        <v/>
      </c>
      <c r="N347" s="13">
        <f>((((VLOOKUP(B347,Database!$A:$AS,MATCH($N$1,Database!$A$1:$AS$1,),))))-(((VLOOKUP(EDATE(B347,-12),Database!$A:$AS,MATCH($N$1,Database!$A$1:$AS$1,),)))))/(((VLOOKUP(EDATE(B347,-12),Database!$A:$AS,MATCH($N$1,Database!$A$1:$AS$1,),))))</f>
        <v/>
      </c>
      <c r="O347" s="13">
        <f>IF(VLOOKUP(B347,Database!$A:$AV,MATCH($O$1,Database!$A$1:$AV$1,),)=0,"#N/A",((((VLOOKUP(B347,Database!$A:$AS,MATCH($O$1,Database!$A$1:$AS$1,),))))-(((VLOOKUP(EDATE(B347,-12),Database!$A:$AS,MATCH($O$1,Database!$A$1:$AS$1,),)))))/(((VLOOKUP(EDATE(B347,-12),Database!$A:$AS,MATCH($O$1,Database!$A$1:$AS$1,),)))))</f>
        <v/>
      </c>
      <c r="P347" s="13">
        <f>IF(VLOOKUP(B347,Database!$A:$AV,MATCH($P$1,Database!$A$1:$AV$1,),)=0,"#N/A",((((VLOOKUP(B347,Database!$A:$AS,MATCH($P$1,Database!$A$1:$AS$1,),))))-(((VLOOKUP(EDATE(B347,-12),Database!$A:$AS,MATCH($P$1,Database!$A$1:$AS$1,),)))))/(((VLOOKUP(EDATE(B347,-12),Database!$A:$AS,MATCH($P$1,Database!$A$1:$AS$1,),)))))</f>
        <v/>
      </c>
      <c r="Q347" s="13">
        <f>IF(VLOOKUP(B347,Database!$A:$AV,MATCH($Q$1,Database!$A$1:$AV$1,),)=0,"#N/A",((((VLOOKUP(B347,Database!$A:$AS,MATCH($Q$1,Database!$A$1:$AS$1,),))))-(((VLOOKUP(EDATE(B347,-12),Database!$A:$AS,MATCH($Q$1,Database!$A$1:$AS$1,),)))))/(((VLOOKUP(EDATE(B347,-12),Database!$A:$AS,MATCH($Q$1,Database!$A$1:$AS$1,),)))))</f>
        <v/>
      </c>
      <c r="R347" s="13">
        <f>IF(VLOOKUP(B347,Database!$A:$AV,MATCH($R$1,Database!$A$1:$AV$1,),)=0,"#N/A",((((VLOOKUP(B347,Database!$A:$AS,MATCH($R$1,Database!$A$1:$AS$1,),))))-(((VLOOKUP(EDATE(B347,-12),Database!$A:$AS,MATCH($R$1,Database!$A$1:$AS$1,),)))))/(((VLOOKUP(EDATE(B347,-12),Database!$A:$AS,MATCH($R$1,Database!$A$1:$AS$1,),)))))</f>
        <v/>
      </c>
      <c r="S347" s="13">
        <f>IF(VLOOKUP(B347,Database!$A:$AV,MATCH($S$1,Database!$A$1:$AV$1,),)=0,"#N/A",((((VLOOKUP(B347,Database!$A:$AS,MATCH($S$1,Database!$A$1:$AS$1,),))))-(((VLOOKUP(EDATE(B347,-12),Database!$A:$AS,MATCH($S$1,Database!$A$1:$AS$1,),)))))/(((VLOOKUP(EDATE(B347,-12),Database!$A:$AS,MATCH($S$1,Database!$A$1:$AS$1,),)))))</f>
        <v/>
      </c>
      <c r="T347" s="13">
        <f>IF(VLOOKUP(B347,Database!$A:$AV,MATCH($T$1,Database!$A$1:$AV$1,),)=0,"#N/A",((((VLOOKUP(B347,Database!$A:$AS,MATCH($T$1,Database!$A$1:$AS$1,),))))-(((VLOOKUP(EDATE(B347,-12),Database!$A:$AS,MATCH($T$1,Database!$A$1:$AS$1,),)))))/(((VLOOKUP(EDATE(B347,-12),Database!$A:$AS,MATCH($T$1,Database!$A$1:$AS$1,),)))))</f>
        <v/>
      </c>
      <c r="U347" s="13">
        <f>IF(VLOOKUP(B347,Database!$A:$AV,MATCH($U$1,Database!$A$1:$AV$1,),)=0,"#N/A",((((VLOOKUP(B347,Database!$A:$AS,MATCH($U$1,Database!$A$1:$AS$1,),))))-(((VLOOKUP(EDATE(B347,-12),Database!$A:$AS,MATCH($U$1,Database!$A$1:$AS$1,),)))))/(((VLOOKUP(EDATE(B347,-12),Database!$A:$AS,MATCH($U$1,Database!$A$1:$AS$1,),)))))</f>
        <v/>
      </c>
      <c r="V347" s="13">
        <f>IF(VLOOKUP(B347,Database!$A:$AV,MATCH($V$1,Database!$A$1:$AV$1,),)=0,"#N/A",((((VLOOKUP(B347,Database!$A:$AS,MATCH($V$1,Database!$A$1:$AS$1,),))))-(((VLOOKUP(EDATE(B347,-12),Database!$A:$AS,MATCH($V$1,Database!$A$1:$AS$1,),)))))/(((VLOOKUP(EDATE(B347,-12),Database!$A:$AS,MATCH($V$1,Database!$A$1:$AS$1,),)))))</f>
        <v/>
      </c>
    </row>
    <row r="348" customFormat="1" s="86">
      <c r="A348" s="43" t="n"/>
      <c r="B348" s="75" t="n">
        <v>42736</v>
      </c>
      <c r="C348" s="13">
        <f>IF(VLOOKUP(B348,Database!$A:$AU,MATCH($C$1,Database!$A$1:$AU$1,),)=0,"#N/A",((((VLOOKUP(B348,Database!$A:$AU,MATCH($C$1,Database!$A$1:$AU$1,),))))-(((VLOOKUP(EDATE(B348,-12),Database!$A:$AU,MATCH($C$1,Database!$A$1:$AU$1,),)))))/(((VLOOKUP(EDATE(B348,-12),Database!$A:$AU,MATCH($C$1,Database!$A$1:$AU$1,),)))))</f>
        <v/>
      </c>
      <c r="D348" s="13">
        <f>IF(VLOOKUP(B348,Database!$A:$AV,MATCH($D$1,Database!$A$1:$AV$1,),)=0,"#N/A",((((VLOOKUP(B348,Database!$A:$AS,MATCH($D$1,Database!$A$1:$AS$1,),))))-(((VLOOKUP(EDATE(B348,-12),Database!$A:$AS,MATCH($D$1,Database!$A$1:$AS$1,),)))))/(((VLOOKUP(EDATE(B348,-12),Database!$A:$AS,MATCH($D$1,Database!$A$1:$AS$1,),)))))</f>
        <v/>
      </c>
      <c r="E348" s="13">
        <f>IF(VLOOKUP(B348,Database!$A:$AV,MATCH($E$1,Database!$A$1:$AV$1,),)=0,"#N/A",((((VLOOKUP(B348,Database!$A:$AS,MATCH($E$1,Database!$A$1:$AS$1,),))))-(((VLOOKUP(EDATE(B348,-12),Database!$A:$AS,MATCH($E$1,Database!$A$1:$AS$1,),)))))/(((VLOOKUP(EDATE(B348,-12),Database!$A:$AS,MATCH($E$1,Database!$A$1:$AS$1,),)))))</f>
        <v/>
      </c>
      <c r="F348" s="13">
        <f>IF(VLOOKUP(B348,Database!$A:$AV,MATCH($F$1,Database!$A$1:$AV$1,),)=0,"#N/A",((((VLOOKUP(B348,Database!$A:$AS,MATCH($F$1,Database!$A$1:$AS$1,),))))-(((VLOOKUP(EDATE(B348,-12),Database!$A:$AS,MATCH($F$1,Database!$A$1:$AS$1,),)))))/(((VLOOKUP(EDATE(B348,-12),Database!$A:$AS,MATCH($F$1,Database!$A$1:$AS$1,),)))))</f>
        <v/>
      </c>
      <c r="G348" s="13">
        <f>IF(VLOOKUP(B348,Database!$A:$AV,MATCH($G$1,Database!$A$1:$AV$1,),)=0,"#N/A",((((VLOOKUP(B348,Database!$A:$AS,MATCH($G$1,Database!$A$1:$AS$1,),))))-(((VLOOKUP(EDATE(B348,-12),Database!$A:$AS,MATCH($G$1,Database!$A$1:$AS$1,),)))))/(((VLOOKUP(EDATE(B348,-12),Database!$A:$AS,MATCH($G$1,Database!$A$1:$AS$1,),)))))</f>
        <v/>
      </c>
      <c r="H348" s="13">
        <f>IF(VLOOKUP(B348,Database!$A:$AV,MATCH($H$1,Database!$A$1:$AV$1,),)=0,"#N/A",((((VLOOKUP(B348,Database!$A:$AS,MATCH($H$1,Database!$A$1:$AS$1,),))))-(((VLOOKUP(EDATE(B348,-12),Database!$A:$AS,MATCH($H$1,Database!$A$1:$AS$1,),)))))/(((VLOOKUP(EDATE(B348,-12),Database!$A:$AS,MATCH($H$1,Database!$A$1:$AS$1,),)))))</f>
        <v/>
      </c>
      <c r="I348" s="13">
        <f>IF(VLOOKUP(B348,Database!$A:$AV,MATCH($I$1,Database!$A$1:$AV$1,),)=0,"#N/A",((((VLOOKUP(B348,Database!$A:$AS,MATCH($I$1,Database!$A$1:$AS$1,),))))-(((VLOOKUP(EDATE(B348,-12),Database!$A:$AS,MATCH($I$1,Database!$A$1:$AS$1,),)))))/(((VLOOKUP(EDATE(B348,-12),Database!$A:$AS,MATCH($I$1,Database!$A$1:$AS$1,),)))))</f>
        <v/>
      </c>
      <c r="J348" s="13">
        <f>IF(VLOOKUP(B348,Database!$A:$AV,MATCH($J$1,Database!$A$1:$AV$1,),)=0,"#N/A",((((VLOOKUP(B348,Database!$A:$AS,MATCH($J$1,Database!$A$1:$AS$1,),))))-(((VLOOKUP(EDATE(B348,-12),Database!$A:$AS,MATCH($J$1,Database!$A$1:$AS$1,),)))))/(((VLOOKUP(EDATE(B348,-12),Database!$A:$AS,MATCH($J$1,Database!$A$1:$AS$1,),)))))</f>
        <v/>
      </c>
      <c r="K348" s="13">
        <f>IF(VLOOKUP(B348,Database!$A:$AV,MATCH($K$1,Database!$A$1:$AV$1,),)=0,"#N/A",((((VLOOKUP(B348,Database!$A:$AS,MATCH($K$1,Database!$A$1:$AS$1,),))))-(((VLOOKUP(EDATE(B348,-12),Database!$A:$AS,MATCH($K$1,Database!$A$1:$AS$1,),)))))/(((VLOOKUP(EDATE(B348,-12),Database!$A:$AS,MATCH($K$1,Database!$A$1:$AS$1,),)))))</f>
        <v/>
      </c>
      <c r="L348" s="13">
        <f>((((VLOOKUP(B348,Database!$A:$AS,MATCH($L$1,Database!$A$1:$AS$1,),))))-(((VLOOKUP(EDATE(B348,-12),Database!$A:$AS,MATCH($L$1,Database!$A$1:$AS$1,),)))))/(((VLOOKUP(EDATE(B348,-12),Database!$A:$AS,MATCH($L$1,Database!$A$1:$AS$1,),))))</f>
        <v/>
      </c>
      <c r="M348" s="13">
        <f>((((VLOOKUP(B348,Database!$A:$AS,MATCH($M$1,Database!$A$1:$AS$1,),))))-(((VLOOKUP(EDATE(B348,-12),Database!$A:$AS,MATCH($M$1,Database!$A$1:$AS$1,),)))))/(((VLOOKUP(EDATE(B348,-12),Database!$A:$AS,MATCH($M$1,Database!$A$1:$AS$1,),))))</f>
        <v/>
      </c>
      <c r="N348" s="13">
        <f>((((VLOOKUP(B348,Database!$A:$AS,MATCH($N$1,Database!$A$1:$AS$1,),))))-(((VLOOKUP(EDATE(B348,-12),Database!$A:$AS,MATCH($N$1,Database!$A$1:$AS$1,),)))))/(((VLOOKUP(EDATE(B348,-12),Database!$A:$AS,MATCH($N$1,Database!$A$1:$AS$1,),))))</f>
        <v/>
      </c>
      <c r="O348" s="13">
        <f>IF(VLOOKUP(B348,Database!$A:$AV,MATCH($O$1,Database!$A$1:$AV$1,),)=0,"#N/A",((((VLOOKUP(B348,Database!$A:$AS,MATCH($O$1,Database!$A$1:$AS$1,),))))-(((VLOOKUP(EDATE(B348,-12),Database!$A:$AS,MATCH($O$1,Database!$A$1:$AS$1,),)))))/(((VLOOKUP(EDATE(B348,-12),Database!$A:$AS,MATCH($O$1,Database!$A$1:$AS$1,),)))))</f>
        <v/>
      </c>
      <c r="P348" s="13">
        <f>IF(VLOOKUP(B348,Database!$A:$AV,MATCH($P$1,Database!$A$1:$AV$1,),)=0,"#N/A",((((VLOOKUP(B348,Database!$A:$AS,MATCH($P$1,Database!$A$1:$AS$1,),))))-(((VLOOKUP(EDATE(B348,-12),Database!$A:$AS,MATCH($P$1,Database!$A$1:$AS$1,),)))))/(((VLOOKUP(EDATE(B348,-12),Database!$A:$AS,MATCH($P$1,Database!$A$1:$AS$1,),)))))</f>
        <v/>
      </c>
      <c r="Q348" s="13">
        <f>IF(VLOOKUP(B348,Database!$A:$AV,MATCH($Q$1,Database!$A$1:$AV$1,),)=0,"#N/A",((((VLOOKUP(B348,Database!$A:$AS,MATCH($Q$1,Database!$A$1:$AS$1,),))))-(((VLOOKUP(EDATE(B348,-12),Database!$A:$AS,MATCH($Q$1,Database!$A$1:$AS$1,),)))))/(((VLOOKUP(EDATE(B348,-12),Database!$A:$AS,MATCH($Q$1,Database!$A$1:$AS$1,),)))))</f>
        <v/>
      </c>
      <c r="R348" s="13">
        <f>IF(VLOOKUP(B348,Database!$A:$AV,MATCH($R$1,Database!$A$1:$AV$1,),)=0,"#N/A",((((VLOOKUP(B348,Database!$A:$AS,MATCH($R$1,Database!$A$1:$AS$1,),))))-(((VLOOKUP(EDATE(B348,-12),Database!$A:$AS,MATCH($R$1,Database!$A$1:$AS$1,),)))))/(((VLOOKUP(EDATE(B348,-12),Database!$A:$AS,MATCH($R$1,Database!$A$1:$AS$1,),)))))</f>
        <v/>
      </c>
      <c r="S348" s="13">
        <f>IF(VLOOKUP(B348,Database!$A:$AV,MATCH($S$1,Database!$A$1:$AV$1,),)=0,"#N/A",((((VLOOKUP(B348,Database!$A:$AS,MATCH($S$1,Database!$A$1:$AS$1,),))))-(((VLOOKUP(EDATE(B348,-12),Database!$A:$AS,MATCH($S$1,Database!$A$1:$AS$1,),)))))/(((VLOOKUP(EDATE(B348,-12),Database!$A:$AS,MATCH($S$1,Database!$A$1:$AS$1,),)))))</f>
        <v/>
      </c>
      <c r="T348" s="13">
        <f>IF(VLOOKUP(B348,Database!$A:$AV,MATCH($T$1,Database!$A$1:$AV$1,),)=0,"#N/A",((((VLOOKUP(B348,Database!$A:$AS,MATCH($T$1,Database!$A$1:$AS$1,),))))-(((VLOOKUP(EDATE(B348,-12),Database!$A:$AS,MATCH($T$1,Database!$A$1:$AS$1,),)))))/(((VLOOKUP(EDATE(B348,-12),Database!$A:$AS,MATCH($T$1,Database!$A$1:$AS$1,),)))))</f>
        <v/>
      </c>
      <c r="U348" s="13">
        <f>IF(VLOOKUP(B348,Database!$A:$AV,MATCH($U$1,Database!$A$1:$AV$1,),)=0,"#N/A",((((VLOOKUP(B348,Database!$A:$AS,MATCH($U$1,Database!$A$1:$AS$1,),))))-(((VLOOKUP(EDATE(B348,-12),Database!$A:$AS,MATCH($U$1,Database!$A$1:$AS$1,),)))))/(((VLOOKUP(EDATE(B348,-12),Database!$A:$AS,MATCH($U$1,Database!$A$1:$AS$1,),)))))</f>
        <v/>
      </c>
      <c r="V348" s="13">
        <f>IF(VLOOKUP(B348,Database!$A:$AV,MATCH($V$1,Database!$A$1:$AV$1,),)=0,"#N/A",((((VLOOKUP(B348,Database!$A:$AS,MATCH($V$1,Database!$A$1:$AS$1,),))))-(((VLOOKUP(EDATE(B348,-12),Database!$A:$AS,MATCH($V$1,Database!$A$1:$AS$1,),)))))/(((VLOOKUP(EDATE(B348,-12),Database!$A:$AS,MATCH($V$1,Database!$A$1:$AS$1,),)))))</f>
        <v/>
      </c>
    </row>
    <row r="349" customFormat="1" s="86">
      <c r="A349" s="43" t="n"/>
      <c r="B349" s="75" t="n">
        <v>42767</v>
      </c>
      <c r="C349" s="13">
        <f>IF(VLOOKUP(B349,Database!$A:$AU,MATCH($C$1,Database!$A$1:$AU$1,),)=0,"#N/A",((((VLOOKUP(B349,Database!$A:$AU,MATCH($C$1,Database!$A$1:$AU$1,),))))-(((VLOOKUP(EDATE(B349,-12),Database!$A:$AU,MATCH($C$1,Database!$A$1:$AU$1,),)))))/(((VLOOKUP(EDATE(B349,-12),Database!$A:$AU,MATCH($C$1,Database!$A$1:$AU$1,),)))))</f>
        <v/>
      </c>
      <c r="D349" s="13">
        <f>IF(VLOOKUP(B349,Database!$A:$AV,MATCH($D$1,Database!$A$1:$AV$1,),)=0,"#N/A",((((VLOOKUP(B349,Database!$A:$AS,MATCH($D$1,Database!$A$1:$AS$1,),))))-(((VLOOKUP(EDATE(B349,-12),Database!$A:$AS,MATCH($D$1,Database!$A$1:$AS$1,),)))))/(((VLOOKUP(EDATE(B349,-12),Database!$A:$AS,MATCH($D$1,Database!$A$1:$AS$1,),)))))</f>
        <v/>
      </c>
      <c r="E349" s="13">
        <f>IF(VLOOKUP(B349,Database!$A:$AV,MATCH($E$1,Database!$A$1:$AV$1,),)=0,"#N/A",((((VLOOKUP(B349,Database!$A:$AS,MATCH($E$1,Database!$A$1:$AS$1,),))))-(((VLOOKUP(EDATE(B349,-12),Database!$A:$AS,MATCH($E$1,Database!$A$1:$AS$1,),)))))/(((VLOOKUP(EDATE(B349,-12),Database!$A:$AS,MATCH($E$1,Database!$A$1:$AS$1,),)))))</f>
        <v/>
      </c>
      <c r="F349" s="13">
        <f>IF(VLOOKUP(B349,Database!$A:$AV,MATCH($F$1,Database!$A$1:$AV$1,),)=0,"#N/A",((((VLOOKUP(B349,Database!$A:$AS,MATCH($F$1,Database!$A$1:$AS$1,),))))-(((VLOOKUP(EDATE(B349,-12),Database!$A:$AS,MATCH($F$1,Database!$A$1:$AS$1,),)))))/(((VLOOKUP(EDATE(B349,-12),Database!$A:$AS,MATCH($F$1,Database!$A$1:$AS$1,),)))))</f>
        <v/>
      </c>
      <c r="G349" s="13">
        <f>IF(VLOOKUP(B349,Database!$A:$AV,MATCH($G$1,Database!$A$1:$AV$1,),)=0,"#N/A",((((VLOOKUP(B349,Database!$A:$AS,MATCH($G$1,Database!$A$1:$AS$1,),))))-(((VLOOKUP(EDATE(B349,-12),Database!$A:$AS,MATCH($G$1,Database!$A$1:$AS$1,),)))))/(((VLOOKUP(EDATE(B349,-12),Database!$A:$AS,MATCH($G$1,Database!$A$1:$AS$1,),)))))</f>
        <v/>
      </c>
      <c r="H349" s="13">
        <f>IF(VLOOKUP(B349,Database!$A:$AV,MATCH($H$1,Database!$A$1:$AV$1,),)=0,"#N/A",((((VLOOKUP(B349,Database!$A:$AS,MATCH($H$1,Database!$A$1:$AS$1,),))))-(((VLOOKUP(EDATE(B349,-12),Database!$A:$AS,MATCH($H$1,Database!$A$1:$AS$1,),)))))/(((VLOOKUP(EDATE(B349,-12),Database!$A:$AS,MATCH($H$1,Database!$A$1:$AS$1,),)))))</f>
        <v/>
      </c>
      <c r="I349" s="13">
        <f>IF(VLOOKUP(B349,Database!$A:$AV,MATCH($I$1,Database!$A$1:$AV$1,),)=0,"#N/A",((((VLOOKUP(B349,Database!$A:$AS,MATCH($I$1,Database!$A$1:$AS$1,),))))-(((VLOOKUP(EDATE(B349,-12),Database!$A:$AS,MATCH($I$1,Database!$A$1:$AS$1,),)))))/(((VLOOKUP(EDATE(B349,-12),Database!$A:$AS,MATCH($I$1,Database!$A$1:$AS$1,),)))))</f>
        <v/>
      </c>
      <c r="J349" s="13">
        <f>IF(VLOOKUP(B349,Database!$A:$AV,MATCH($J$1,Database!$A$1:$AV$1,),)=0,"#N/A",((((VLOOKUP(B349,Database!$A:$AS,MATCH($J$1,Database!$A$1:$AS$1,),))))-(((VLOOKUP(EDATE(B349,-12),Database!$A:$AS,MATCH($J$1,Database!$A$1:$AS$1,),)))))/(((VLOOKUP(EDATE(B349,-12),Database!$A:$AS,MATCH($J$1,Database!$A$1:$AS$1,),)))))</f>
        <v/>
      </c>
      <c r="K349" s="13">
        <f>IF(VLOOKUP(B349,Database!$A:$AV,MATCH($K$1,Database!$A$1:$AV$1,),)=0,"#N/A",((((VLOOKUP(B349,Database!$A:$AS,MATCH($K$1,Database!$A$1:$AS$1,),))))-(((VLOOKUP(EDATE(B349,-12),Database!$A:$AS,MATCH($K$1,Database!$A$1:$AS$1,),)))))/(((VLOOKUP(EDATE(B349,-12),Database!$A:$AS,MATCH($K$1,Database!$A$1:$AS$1,),)))))</f>
        <v/>
      </c>
      <c r="L349" s="13">
        <f>((((VLOOKUP(B349,Database!$A:$AS,MATCH($L$1,Database!$A$1:$AS$1,),))))-(((VLOOKUP(EDATE(B349,-12),Database!$A:$AS,MATCH($L$1,Database!$A$1:$AS$1,),)))))/(((VLOOKUP(EDATE(B349,-12),Database!$A:$AS,MATCH($L$1,Database!$A$1:$AS$1,),))))</f>
        <v/>
      </c>
      <c r="M349" s="13">
        <f>((((VLOOKUP(B349,Database!$A:$AS,MATCH($M$1,Database!$A$1:$AS$1,),))))-(((VLOOKUP(EDATE(B349,-12),Database!$A:$AS,MATCH($M$1,Database!$A$1:$AS$1,),)))))/(((VLOOKUP(EDATE(B349,-12),Database!$A:$AS,MATCH($M$1,Database!$A$1:$AS$1,),))))</f>
        <v/>
      </c>
      <c r="N349" s="13">
        <f>((((VLOOKUP(B349,Database!$A:$AS,MATCH($N$1,Database!$A$1:$AS$1,),))))-(((VLOOKUP(EDATE(B349,-12),Database!$A:$AS,MATCH($N$1,Database!$A$1:$AS$1,),)))))/(((VLOOKUP(EDATE(B349,-12),Database!$A:$AS,MATCH($N$1,Database!$A$1:$AS$1,),))))</f>
        <v/>
      </c>
      <c r="O349" s="13">
        <f>IF(VLOOKUP(B349,Database!$A:$AV,MATCH($O$1,Database!$A$1:$AV$1,),)=0,"#N/A",((((VLOOKUP(B349,Database!$A:$AS,MATCH($O$1,Database!$A$1:$AS$1,),))))-(((VLOOKUP(EDATE(B349,-12),Database!$A:$AS,MATCH($O$1,Database!$A$1:$AS$1,),)))))/(((VLOOKUP(EDATE(B349,-12),Database!$A:$AS,MATCH($O$1,Database!$A$1:$AS$1,),)))))</f>
        <v/>
      </c>
      <c r="P349" s="13">
        <f>IF(VLOOKUP(B349,Database!$A:$AV,MATCH($P$1,Database!$A$1:$AV$1,),)=0,"#N/A",((((VLOOKUP(B349,Database!$A:$AS,MATCH($P$1,Database!$A$1:$AS$1,),))))-(((VLOOKUP(EDATE(B349,-12),Database!$A:$AS,MATCH($P$1,Database!$A$1:$AS$1,),)))))/(((VLOOKUP(EDATE(B349,-12),Database!$A:$AS,MATCH($P$1,Database!$A$1:$AS$1,),)))))</f>
        <v/>
      </c>
      <c r="Q349" s="13">
        <f>IF(VLOOKUP(B349,Database!$A:$AV,MATCH($Q$1,Database!$A$1:$AV$1,),)=0,"#N/A",((((VLOOKUP(B349,Database!$A:$AS,MATCH($Q$1,Database!$A$1:$AS$1,),))))-(((VLOOKUP(EDATE(B349,-12),Database!$A:$AS,MATCH($Q$1,Database!$A$1:$AS$1,),)))))/(((VLOOKUP(EDATE(B349,-12),Database!$A:$AS,MATCH($Q$1,Database!$A$1:$AS$1,),)))))</f>
        <v/>
      </c>
      <c r="R349" s="13">
        <f>IF(VLOOKUP(B349,Database!$A:$AV,MATCH($R$1,Database!$A$1:$AV$1,),)=0,"#N/A",((((VLOOKUP(B349,Database!$A:$AS,MATCH($R$1,Database!$A$1:$AS$1,),))))-(((VLOOKUP(EDATE(B349,-12),Database!$A:$AS,MATCH($R$1,Database!$A$1:$AS$1,),)))))/(((VLOOKUP(EDATE(B349,-12),Database!$A:$AS,MATCH($R$1,Database!$A$1:$AS$1,),)))))</f>
        <v/>
      </c>
      <c r="S349" s="13">
        <f>IF(VLOOKUP(B349,Database!$A:$AV,MATCH($S$1,Database!$A$1:$AV$1,),)=0,"#N/A",((((VLOOKUP(B349,Database!$A:$AS,MATCH($S$1,Database!$A$1:$AS$1,),))))-(((VLOOKUP(EDATE(B349,-12),Database!$A:$AS,MATCH($S$1,Database!$A$1:$AS$1,),)))))/(((VLOOKUP(EDATE(B349,-12),Database!$A:$AS,MATCH($S$1,Database!$A$1:$AS$1,),)))))</f>
        <v/>
      </c>
      <c r="T349" s="13">
        <f>IF(VLOOKUP(B349,Database!$A:$AV,MATCH($T$1,Database!$A$1:$AV$1,),)=0,"#N/A",((((VLOOKUP(B349,Database!$A:$AS,MATCH($T$1,Database!$A$1:$AS$1,),))))-(((VLOOKUP(EDATE(B349,-12),Database!$A:$AS,MATCH($T$1,Database!$A$1:$AS$1,),)))))/(((VLOOKUP(EDATE(B349,-12),Database!$A:$AS,MATCH($T$1,Database!$A$1:$AS$1,),)))))</f>
        <v/>
      </c>
      <c r="U349" s="13">
        <f>IF(VLOOKUP(B349,Database!$A:$AV,MATCH($U$1,Database!$A$1:$AV$1,),)=0,"#N/A",((((VLOOKUP(B349,Database!$A:$AS,MATCH($U$1,Database!$A$1:$AS$1,),))))-(((VLOOKUP(EDATE(B349,-12),Database!$A:$AS,MATCH($U$1,Database!$A$1:$AS$1,),)))))/(((VLOOKUP(EDATE(B349,-12),Database!$A:$AS,MATCH($U$1,Database!$A$1:$AS$1,),)))))</f>
        <v/>
      </c>
      <c r="V349" s="13">
        <f>IF(VLOOKUP(B349,Database!$A:$AV,MATCH($V$1,Database!$A$1:$AV$1,),)=0,"#N/A",((((VLOOKUP(B349,Database!$A:$AS,MATCH($V$1,Database!$A$1:$AS$1,),))))-(((VLOOKUP(EDATE(B349,-12),Database!$A:$AS,MATCH($V$1,Database!$A$1:$AS$1,),)))))/(((VLOOKUP(EDATE(B349,-12),Database!$A:$AS,MATCH($V$1,Database!$A$1:$AS$1,),)))))</f>
        <v/>
      </c>
    </row>
    <row r="350" customFormat="1" s="86">
      <c r="A350" s="43" t="n"/>
      <c r="B350" s="75" t="n">
        <v>42795</v>
      </c>
      <c r="C350" s="13">
        <f>IF(VLOOKUP(B350,Database!$A:$AU,MATCH($C$1,Database!$A$1:$AU$1,),)=0,"#N/A",((((VLOOKUP(B350,Database!$A:$AU,MATCH($C$1,Database!$A$1:$AU$1,),))))-(((VLOOKUP(EDATE(B350,-12),Database!$A:$AU,MATCH($C$1,Database!$A$1:$AU$1,),)))))/(((VLOOKUP(EDATE(B350,-12),Database!$A:$AU,MATCH($C$1,Database!$A$1:$AU$1,),)))))</f>
        <v/>
      </c>
      <c r="D350" s="13">
        <f>IF(VLOOKUP(B350,Database!$A:$AV,MATCH($D$1,Database!$A$1:$AV$1,),)=0,"#N/A",((((VLOOKUP(B350,Database!$A:$AS,MATCH($D$1,Database!$A$1:$AS$1,),))))-(((VLOOKUP(EDATE(B350,-12),Database!$A:$AS,MATCH($D$1,Database!$A$1:$AS$1,),)))))/(((VLOOKUP(EDATE(B350,-12),Database!$A:$AS,MATCH($D$1,Database!$A$1:$AS$1,),)))))</f>
        <v/>
      </c>
      <c r="E350" s="13">
        <f>IF(VLOOKUP(B350,Database!$A:$AV,MATCH($E$1,Database!$A$1:$AV$1,),)=0,"#N/A",((((VLOOKUP(B350,Database!$A:$AS,MATCH($E$1,Database!$A$1:$AS$1,),))))-(((VLOOKUP(EDATE(B350,-12),Database!$A:$AS,MATCH($E$1,Database!$A$1:$AS$1,),)))))/(((VLOOKUP(EDATE(B350,-12),Database!$A:$AS,MATCH($E$1,Database!$A$1:$AS$1,),)))))</f>
        <v/>
      </c>
      <c r="F350" s="13">
        <f>IF(VLOOKUP(B350,Database!$A:$AV,MATCH($F$1,Database!$A$1:$AV$1,),)=0,"#N/A",((((VLOOKUP(B350,Database!$A:$AS,MATCH($F$1,Database!$A$1:$AS$1,),))))-(((VLOOKUP(EDATE(B350,-12),Database!$A:$AS,MATCH($F$1,Database!$A$1:$AS$1,),)))))/(((VLOOKUP(EDATE(B350,-12),Database!$A:$AS,MATCH($F$1,Database!$A$1:$AS$1,),)))))</f>
        <v/>
      </c>
      <c r="G350" s="13">
        <f>IF(VLOOKUP(B350,Database!$A:$AV,MATCH($G$1,Database!$A$1:$AV$1,),)=0,"#N/A",((((VLOOKUP(B350,Database!$A:$AS,MATCH($G$1,Database!$A$1:$AS$1,),))))-(((VLOOKUP(EDATE(B350,-12),Database!$A:$AS,MATCH($G$1,Database!$A$1:$AS$1,),)))))/(((VLOOKUP(EDATE(B350,-12),Database!$A:$AS,MATCH($G$1,Database!$A$1:$AS$1,),)))))</f>
        <v/>
      </c>
      <c r="H350" s="13">
        <f>IF(VLOOKUP(B350,Database!$A:$AV,MATCH($H$1,Database!$A$1:$AV$1,),)=0,"#N/A",((((VLOOKUP(B350,Database!$A:$AS,MATCH($H$1,Database!$A$1:$AS$1,),))))-(((VLOOKUP(EDATE(B350,-12),Database!$A:$AS,MATCH($H$1,Database!$A$1:$AS$1,),)))))/(((VLOOKUP(EDATE(B350,-12),Database!$A:$AS,MATCH($H$1,Database!$A$1:$AS$1,),)))))</f>
        <v/>
      </c>
      <c r="I350" s="13">
        <f>IF(VLOOKUP(B350,Database!$A:$AV,MATCH($I$1,Database!$A$1:$AV$1,),)=0,"#N/A",((((VLOOKUP(B350,Database!$A:$AS,MATCH($I$1,Database!$A$1:$AS$1,),))))-(((VLOOKUP(EDATE(B350,-12),Database!$A:$AS,MATCH($I$1,Database!$A$1:$AS$1,),)))))/(((VLOOKUP(EDATE(B350,-12),Database!$A:$AS,MATCH($I$1,Database!$A$1:$AS$1,),)))))</f>
        <v/>
      </c>
      <c r="J350" s="13">
        <f>IF(VLOOKUP(B350,Database!$A:$AV,MATCH($J$1,Database!$A$1:$AV$1,),)=0,"#N/A",((((VLOOKUP(B350,Database!$A:$AS,MATCH($J$1,Database!$A$1:$AS$1,),))))-(((VLOOKUP(EDATE(B350,-12),Database!$A:$AS,MATCH($J$1,Database!$A$1:$AS$1,),)))))/(((VLOOKUP(EDATE(B350,-12),Database!$A:$AS,MATCH($J$1,Database!$A$1:$AS$1,),)))))</f>
        <v/>
      </c>
      <c r="K350" s="13">
        <f>IF(VLOOKUP(B350,Database!$A:$AV,MATCH($K$1,Database!$A$1:$AV$1,),)=0,"#N/A",((((VLOOKUP(B350,Database!$A:$AS,MATCH($K$1,Database!$A$1:$AS$1,),))))-(((VLOOKUP(EDATE(B350,-12),Database!$A:$AS,MATCH($K$1,Database!$A$1:$AS$1,),)))))/(((VLOOKUP(EDATE(B350,-12),Database!$A:$AS,MATCH($K$1,Database!$A$1:$AS$1,),)))))</f>
        <v/>
      </c>
      <c r="L350" s="13">
        <f>((((VLOOKUP(B350,Database!$A:$AS,MATCH($L$1,Database!$A$1:$AS$1,),))))-(((VLOOKUP(EDATE(B350,-12),Database!$A:$AS,MATCH($L$1,Database!$A$1:$AS$1,),)))))/(((VLOOKUP(EDATE(B350,-12),Database!$A:$AS,MATCH($L$1,Database!$A$1:$AS$1,),))))</f>
        <v/>
      </c>
      <c r="M350" s="13">
        <f>((((VLOOKUP(B350,Database!$A:$AS,MATCH($M$1,Database!$A$1:$AS$1,),))))-(((VLOOKUP(EDATE(B350,-12),Database!$A:$AS,MATCH($M$1,Database!$A$1:$AS$1,),)))))/(((VLOOKUP(EDATE(B350,-12),Database!$A:$AS,MATCH($M$1,Database!$A$1:$AS$1,),))))</f>
        <v/>
      </c>
      <c r="N350" s="13">
        <f>((((VLOOKUP(B350,Database!$A:$AS,MATCH($N$1,Database!$A$1:$AS$1,),))))-(((VLOOKUP(EDATE(B350,-12),Database!$A:$AS,MATCH($N$1,Database!$A$1:$AS$1,),)))))/(((VLOOKUP(EDATE(B350,-12),Database!$A:$AS,MATCH($N$1,Database!$A$1:$AS$1,),))))</f>
        <v/>
      </c>
      <c r="O350" s="13">
        <f>IF(VLOOKUP(B350,Database!$A:$AV,MATCH($O$1,Database!$A$1:$AV$1,),)=0,"#N/A",((((VLOOKUP(B350,Database!$A:$AS,MATCH($O$1,Database!$A$1:$AS$1,),))))-(((VLOOKUP(EDATE(B350,-12),Database!$A:$AS,MATCH($O$1,Database!$A$1:$AS$1,),)))))/(((VLOOKUP(EDATE(B350,-12),Database!$A:$AS,MATCH($O$1,Database!$A$1:$AS$1,),)))))</f>
        <v/>
      </c>
      <c r="P350" s="13">
        <f>IF(VLOOKUP(B350,Database!$A:$AV,MATCH($P$1,Database!$A$1:$AV$1,),)=0,"#N/A",((((VLOOKUP(B350,Database!$A:$AS,MATCH($P$1,Database!$A$1:$AS$1,),))))-(((VLOOKUP(EDATE(B350,-12),Database!$A:$AS,MATCH($P$1,Database!$A$1:$AS$1,),)))))/(((VLOOKUP(EDATE(B350,-12),Database!$A:$AS,MATCH($P$1,Database!$A$1:$AS$1,),)))))</f>
        <v/>
      </c>
      <c r="Q350" s="13">
        <f>IF(VLOOKUP(B350,Database!$A:$AV,MATCH($Q$1,Database!$A$1:$AV$1,),)=0,"#N/A",((((VLOOKUP(B350,Database!$A:$AS,MATCH($Q$1,Database!$A$1:$AS$1,),))))-(((VLOOKUP(EDATE(B350,-12),Database!$A:$AS,MATCH($Q$1,Database!$A$1:$AS$1,),)))))/(((VLOOKUP(EDATE(B350,-12),Database!$A:$AS,MATCH($Q$1,Database!$A$1:$AS$1,),)))))</f>
        <v/>
      </c>
      <c r="R350" s="13">
        <f>IF(VLOOKUP(B350,Database!$A:$AV,MATCH($R$1,Database!$A$1:$AV$1,),)=0,"#N/A",((((VLOOKUP(B350,Database!$A:$AS,MATCH($R$1,Database!$A$1:$AS$1,),))))-(((VLOOKUP(EDATE(B350,-12),Database!$A:$AS,MATCH($R$1,Database!$A$1:$AS$1,),)))))/(((VLOOKUP(EDATE(B350,-12),Database!$A:$AS,MATCH($R$1,Database!$A$1:$AS$1,),)))))</f>
        <v/>
      </c>
      <c r="S350" s="13">
        <f>IF(VLOOKUP(B350,Database!$A:$AV,MATCH($S$1,Database!$A$1:$AV$1,),)=0,"#N/A",((((VLOOKUP(B350,Database!$A:$AS,MATCH($S$1,Database!$A$1:$AS$1,),))))-(((VLOOKUP(EDATE(B350,-12),Database!$A:$AS,MATCH($S$1,Database!$A$1:$AS$1,),)))))/(((VLOOKUP(EDATE(B350,-12),Database!$A:$AS,MATCH($S$1,Database!$A$1:$AS$1,),)))))</f>
        <v/>
      </c>
      <c r="T350" s="13">
        <f>IF(VLOOKUP(B350,Database!$A:$AV,MATCH($T$1,Database!$A$1:$AV$1,),)=0,"#N/A",((((VLOOKUP(B350,Database!$A:$AS,MATCH($T$1,Database!$A$1:$AS$1,),))))-(((VLOOKUP(EDATE(B350,-12),Database!$A:$AS,MATCH($T$1,Database!$A$1:$AS$1,),)))))/(((VLOOKUP(EDATE(B350,-12),Database!$A:$AS,MATCH($T$1,Database!$A$1:$AS$1,),)))))</f>
        <v/>
      </c>
      <c r="U350" s="13">
        <f>IF(VLOOKUP(B350,Database!$A:$AV,MATCH($U$1,Database!$A$1:$AV$1,),)=0,"#N/A",((((VLOOKUP(B350,Database!$A:$AS,MATCH($U$1,Database!$A$1:$AS$1,),))))-(((VLOOKUP(EDATE(B350,-12),Database!$A:$AS,MATCH($U$1,Database!$A$1:$AS$1,),)))))/(((VLOOKUP(EDATE(B350,-12),Database!$A:$AS,MATCH($U$1,Database!$A$1:$AS$1,),)))))</f>
        <v/>
      </c>
      <c r="V350" s="13">
        <f>IF(VLOOKUP(B350,Database!$A:$AV,MATCH($V$1,Database!$A$1:$AV$1,),)=0,"#N/A",((((VLOOKUP(B350,Database!$A:$AS,MATCH($V$1,Database!$A$1:$AS$1,),))))-(((VLOOKUP(EDATE(B350,-12),Database!$A:$AS,MATCH($V$1,Database!$A$1:$AS$1,),)))))/(((VLOOKUP(EDATE(B350,-12),Database!$A:$AS,MATCH($V$1,Database!$A$1:$AS$1,),)))))</f>
        <v/>
      </c>
    </row>
    <row r="351" customFormat="1" s="86">
      <c r="A351" s="43" t="n"/>
      <c r="B351" s="75" t="n">
        <v>42826</v>
      </c>
      <c r="C351" s="13">
        <f>IF(VLOOKUP(B351,Database!$A:$AU,MATCH($C$1,Database!$A$1:$AU$1,),)=0,"#N/A",((((VLOOKUP(B351,Database!$A:$AU,MATCH($C$1,Database!$A$1:$AU$1,),))))-(((VLOOKUP(EDATE(B351,-12),Database!$A:$AU,MATCH($C$1,Database!$A$1:$AU$1,),)))))/(((VLOOKUP(EDATE(B351,-12),Database!$A:$AU,MATCH($C$1,Database!$A$1:$AU$1,),)))))</f>
        <v/>
      </c>
      <c r="D351" s="13">
        <f>IF(VLOOKUP(B351,Database!$A:$AV,MATCH($D$1,Database!$A$1:$AV$1,),)=0,"#N/A",((((VLOOKUP(B351,Database!$A:$AS,MATCH($D$1,Database!$A$1:$AS$1,),))))-(((VLOOKUP(EDATE(B351,-12),Database!$A:$AS,MATCH($D$1,Database!$A$1:$AS$1,),)))))/(((VLOOKUP(EDATE(B351,-12),Database!$A:$AS,MATCH($D$1,Database!$A$1:$AS$1,),)))))</f>
        <v/>
      </c>
      <c r="E351" s="13">
        <f>IF(VLOOKUP(B351,Database!$A:$AV,MATCH($E$1,Database!$A$1:$AV$1,),)=0,"#N/A",((((VLOOKUP(B351,Database!$A:$AS,MATCH($E$1,Database!$A$1:$AS$1,),))))-(((VLOOKUP(EDATE(B351,-12),Database!$A:$AS,MATCH($E$1,Database!$A$1:$AS$1,),)))))/(((VLOOKUP(EDATE(B351,-12),Database!$A:$AS,MATCH($E$1,Database!$A$1:$AS$1,),)))))</f>
        <v/>
      </c>
      <c r="F351" s="13">
        <f>IF(VLOOKUP(B351,Database!$A:$AV,MATCH($F$1,Database!$A$1:$AV$1,),)=0,"#N/A",((((VLOOKUP(B351,Database!$A:$AS,MATCH($F$1,Database!$A$1:$AS$1,),))))-(((VLOOKUP(EDATE(B351,-12),Database!$A:$AS,MATCH($F$1,Database!$A$1:$AS$1,),)))))/(((VLOOKUP(EDATE(B351,-12),Database!$A:$AS,MATCH($F$1,Database!$A$1:$AS$1,),)))))</f>
        <v/>
      </c>
      <c r="G351" s="13">
        <f>IF(VLOOKUP(B351,Database!$A:$AV,MATCH($G$1,Database!$A$1:$AV$1,),)=0,"#N/A",((((VLOOKUP(B351,Database!$A:$AS,MATCH($G$1,Database!$A$1:$AS$1,),))))-(((VLOOKUP(EDATE(B351,-12),Database!$A:$AS,MATCH($G$1,Database!$A$1:$AS$1,),)))))/(((VLOOKUP(EDATE(B351,-12),Database!$A:$AS,MATCH($G$1,Database!$A$1:$AS$1,),)))))</f>
        <v/>
      </c>
      <c r="H351" s="13">
        <f>IF(VLOOKUP(B351,Database!$A:$AV,MATCH($H$1,Database!$A$1:$AV$1,),)=0,"#N/A",((((VLOOKUP(B351,Database!$A:$AS,MATCH($H$1,Database!$A$1:$AS$1,),))))-(((VLOOKUP(EDATE(B351,-12),Database!$A:$AS,MATCH($H$1,Database!$A$1:$AS$1,),)))))/(((VLOOKUP(EDATE(B351,-12),Database!$A:$AS,MATCH($H$1,Database!$A$1:$AS$1,),)))))</f>
        <v/>
      </c>
      <c r="I351" s="13">
        <f>IF(VLOOKUP(B351,Database!$A:$AV,MATCH($I$1,Database!$A$1:$AV$1,),)=0,"#N/A",((((VLOOKUP(B351,Database!$A:$AS,MATCH($I$1,Database!$A$1:$AS$1,),))))-(((VLOOKUP(EDATE(B351,-12),Database!$A:$AS,MATCH($I$1,Database!$A$1:$AS$1,),)))))/(((VLOOKUP(EDATE(B351,-12),Database!$A:$AS,MATCH($I$1,Database!$A$1:$AS$1,),)))))</f>
        <v/>
      </c>
      <c r="J351" s="13">
        <f>IF(VLOOKUP(B351,Database!$A:$AV,MATCH($J$1,Database!$A$1:$AV$1,),)=0,"#N/A",((((VLOOKUP(B351,Database!$A:$AS,MATCH($J$1,Database!$A$1:$AS$1,),))))-(((VLOOKUP(EDATE(B351,-12),Database!$A:$AS,MATCH($J$1,Database!$A$1:$AS$1,),)))))/(((VLOOKUP(EDATE(B351,-12),Database!$A:$AS,MATCH($J$1,Database!$A$1:$AS$1,),)))))</f>
        <v/>
      </c>
      <c r="K351" s="13">
        <f>IF(VLOOKUP(B351,Database!$A:$AV,MATCH($K$1,Database!$A$1:$AV$1,),)=0,"#N/A",((((VLOOKUP(B351,Database!$A:$AS,MATCH($K$1,Database!$A$1:$AS$1,),))))-(((VLOOKUP(EDATE(B351,-12),Database!$A:$AS,MATCH($K$1,Database!$A$1:$AS$1,),)))))/(((VLOOKUP(EDATE(B351,-12),Database!$A:$AS,MATCH($K$1,Database!$A$1:$AS$1,),)))))</f>
        <v/>
      </c>
      <c r="L351" s="13">
        <f>((((VLOOKUP(B351,Database!$A:$AS,MATCH($L$1,Database!$A$1:$AS$1,),))))-(((VLOOKUP(EDATE(B351,-12),Database!$A:$AS,MATCH($L$1,Database!$A$1:$AS$1,),)))))/(((VLOOKUP(EDATE(B351,-12),Database!$A:$AS,MATCH($L$1,Database!$A$1:$AS$1,),))))</f>
        <v/>
      </c>
      <c r="M351" s="13">
        <f>((((VLOOKUP(B351,Database!$A:$AS,MATCH($M$1,Database!$A$1:$AS$1,),))))-(((VLOOKUP(EDATE(B351,-12),Database!$A:$AS,MATCH($M$1,Database!$A$1:$AS$1,),)))))/(((VLOOKUP(EDATE(B351,-12),Database!$A:$AS,MATCH($M$1,Database!$A$1:$AS$1,),))))</f>
        <v/>
      </c>
      <c r="N351" s="13">
        <f>((((VLOOKUP(B351,Database!$A:$AS,MATCH($N$1,Database!$A$1:$AS$1,),))))-(((VLOOKUP(EDATE(B351,-12),Database!$A:$AS,MATCH($N$1,Database!$A$1:$AS$1,),)))))/(((VLOOKUP(EDATE(B351,-12),Database!$A:$AS,MATCH($N$1,Database!$A$1:$AS$1,),))))</f>
        <v/>
      </c>
      <c r="O351" s="13">
        <f>IF(VLOOKUP(B351,Database!$A:$AV,MATCH($O$1,Database!$A$1:$AV$1,),)=0,"#N/A",((((VLOOKUP(B351,Database!$A:$AS,MATCH($O$1,Database!$A$1:$AS$1,),))))-(((VLOOKUP(EDATE(B351,-12),Database!$A:$AS,MATCH($O$1,Database!$A$1:$AS$1,),)))))/(((VLOOKUP(EDATE(B351,-12),Database!$A:$AS,MATCH($O$1,Database!$A$1:$AS$1,),)))))</f>
        <v/>
      </c>
      <c r="P351" s="13">
        <f>IF(VLOOKUP(B351,Database!$A:$AV,MATCH($P$1,Database!$A$1:$AV$1,),)=0,"#N/A",((((VLOOKUP(B351,Database!$A:$AS,MATCH($P$1,Database!$A$1:$AS$1,),))))-(((VLOOKUP(EDATE(B351,-12),Database!$A:$AS,MATCH($P$1,Database!$A$1:$AS$1,),)))))/(((VLOOKUP(EDATE(B351,-12),Database!$A:$AS,MATCH($P$1,Database!$A$1:$AS$1,),)))))</f>
        <v/>
      </c>
      <c r="Q351" s="13">
        <f>IF(VLOOKUP(B351,Database!$A:$AV,MATCH($Q$1,Database!$A$1:$AV$1,),)=0,"#N/A",((((VLOOKUP(B351,Database!$A:$AS,MATCH($Q$1,Database!$A$1:$AS$1,),))))-(((VLOOKUP(EDATE(B351,-12),Database!$A:$AS,MATCH($Q$1,Database!$A$1:$AS$1,),)))))/(((VLOOKUP(EDATE(B351,-12),Database!$A:$AS,MATCH($Q$1,Database!$A$1:$AS$1,),)))))</f>
        <v/>
      </c>
      <c r="R351" s="13">
        <f>IF(VLOOKUP(B351,Database!$A:$AV,MATCH($R$1,Database!$A$1:$AV$1,),)=0,"#N/A",((((VLOOKUP(B351,Database!$A:$AS,MATCH($R$1,Database!$A$1:$AS$1,),))))-(((VLOOKUP(EDATE(B351,-12),Database!$A:$AS,MATCH($R$1,Database!$A$1:$AS$1,),)))))/(((VLOOKUP(EDATE(B351,-12),Database!$A:$AS,MATCH($R$1,Database!$A$1:$AS$1,),)))))</f>
        <v/>
      </c>
      <c r="S351" s="13">
        <f>IF(VLOOKUP(B351,Database!$A:$AV,MATCH($S$1,Database!$A$1:$AV$1,),)=0,"#N/A",((((VLOOKUP(B351,Database!$A:$AS,MATCH($S$1,Database!$A$1:$AS$1,),))))-(((VLOOKUP(EDATE(B351,-12),Database!$A:$AS,MATCH($S$1,Database!$A$1:$AS$1,),)))))/(((VLOOKUP(EDATE(B351,-12),Database!$A:$AS,MATCH($S$1,Database!$A$1:$AS$1,),)))))</f>
        <v/>
      </c>
      <c r="T351" s="13">
        <f>IF(VLOOKUP(B351,Database!$A:$AV,MATCH($T$1,Database!$A$1:$AV$1,),)=0,"#N/A",((((VLOOKUP(B351,Database!$A:$AS,MATCH($T$1,Database!$A$1:$AS$1,),))))-(((VLOOKUP(EDATE(B351,-12),Database!$A:$AS,MATCH($T$1,Database!$A$1:$AS$1,),)))))/(((VLOOKUP(EDATE(B351,-12),Database!$A:$AS,MATCH($T$1,Database!$A$1:$AS$1,),)))))</f>
        <v/>
      </c>
      <c r="U351" s="13">
        <f>IF(VLOOKUP(B351,Database!$A:$AV,MATCH($U$1,Database!$A$1:$AV$1,),)=0,"#N/A",((((VLOOKUP(B351,Database!$A:$AS,MATCH($U$1,Database!$A$1:$AS$1,),))))-(((VLOOKUP(EDATE(B351,-12),Database!$A:$AS,MATCH($U$1,Database!$A$1:$AS$1,),)))))/(((VLOOKUP(EDATE(B351,-12),Database!$A:$AS,MATCH($U$1,Database!$A$1:$AS$1,),)))))</f>
        <v/>
      </c>
      <c r="V351" s="13">
        <f>IF(VLOOKUP(B351,Database!$A:$AV,MATCH($V$1,Database!$A$1:$AV$1,),)=0,"#N/A",((((VLOOKUP(B351,Database!$A:$AS,MATCH($V$1,Database!$A$1:$AS$1,),))))-(((VLOOKUP(EDATE(B351,-12),Database!$A:$AS,MATCH($V$1,Database!$A$1:$AS$1,),)))))/(((VLOOKUP(EDATE(B351,-12),Database!$A:$AS,MATCH($V$1,Database!$A$1:$AS$1,),)))))</f>
        <v/>
      </c>
    </row>
    <row r="352" customFormat="1" s="86">
      <c r="A352" s="43" t="n"/>
      <c r="B352" s="75" t="n">
        <v>42856</v>
      </c>
      <c r="C352" s="13">
        <f>IF(VLOOKUP(B352,Database!$A:$AU,MATCH($C$1,Database!$A$1:$AU$1,),)=0,"#N/A",((((VLOOKUP(B352,Database!$A:$AU,MATCH($C$1,Database!$A$1:$AU$1,),))))-(((VLOOKUP(EDATE(B352,-12),Database!$A:$AU,MATCH($C$1,Database!$A$1:$AU$1,),)))))/(((VLOOKUP(EDATE(B352,-12),Database!$A:$AU,MATCH($C$1,Database!$A$1:$AU$1,),)))))</f>
        <v/>
      </c>
      <c r="D352" s="13">
        <f>IF(VLOOKUP(B352,Database!$A:$AV,MATCH($D$1,Database!$A$1:$AV$1,),)=0,"#N/A",((((VLOOKUP(B352,Database!$A:$AS,MATCH($D$1,Database!$A$1:$AS$1,),))))-(((VLOOKUP(EDATE(B352,-12),Database!$A:$AS,MATCH($D$1,Database!$A$1:$AS$1,),)))))/(((VLOOKUP(EDATE(B352,-12),Database!$A:$AS,MATCH($D$1,Database!$A$1:$AS$1,),)))))</f>
        <v/>
      </c>
      <c r="E352" s="13">
        <f>IF(VLOOKUP(B352,Database!$A:$AV,MATCH($E$1,Database!$A$1:$AV$1,),)=0,"#N/A",((((VLOOKUP(B352,Database!$A:$AS,MATCH($E$1,Database!$A$1:$AS$1,),))))-(((VLOOKUP(EDATE(B352,-12),Database!$A:$AS,MATCH($E$1,Database!$A$1:$AS$1,),)))))/(((VLOOKUP(EDATE(B352,-12),Database!$A:$AS,MATCH($E$1,Database!$A$1:$AS$1,),)))))</f>
        <v/>
      </c>
      <c r="F352" s="13">
        <f>IF(VLOOKUP(B352,Database!$A:$AV,MATCH($F$1,Database!$A$1:$AV$1,),)=0,"#N/A",((((VLOOKUP(B352,Database!$A:$AS,MATCH($F$1,Database!$A$1:$AS$1,),))))-(((VLOOKUP(EDATE(B352,-12),Database!$A:$AS,MATCH($F$1,Database!$A$1:$AS$1,),)))))/(((VLOOKUP(EDATE(B352,-12),Database!$A:$AS,MATCH($F$1,Database!$A$1:$AS$1,),)))))</f>
        <v/>
      </c>
      <c r="G352" s="13">
        <f>IF(VLOOKUP(B352,Database!$A:$AV,MATCH($G$1,Database!$A$1:$AV$1,),)=0,"#N/A",((((VLOOKUP(B352,Database!$A:$AS,MATCH($G$1,Database!$A$1:$AS$1,),))))-(((VLOOKUP(EDATE(B352,-12),Database!$A:$AS,MATCH($G$1,Database!$A$1:$AS$1,),)))))/(((VLOOKUP(EDATE(B352,-12),Database!$A:$AS,MATCH($G$1,Database!$A$1:$AS$1,),)))))</f>
        <v/>
      </c>
      <c r="H352" s="13">
        <f>IF(VLOOKUP(B352,Database!$A:$AV,MATCH($H$1,Database!$A$1:$AV$1,),)=0,"#N/A",((((VLOOKUP(B352,Database!$A:$AS,MATCH($H$1,Database!$A$1:$AS$1,),))))-(((VLOOKUP(EDATE(B352,-12),Database!$A:$AS,MATCH($H$1,Database!$A$1:$AS$1,),)))))/(((VLOOKUP(EDATE(B352,-12),Database!$A:$AS,MATCH($H$1,Database!$A$1:$AS$1,),)))))</f>
        <v/>
      </c>
      <c r="I352" s="13">
        <f>IF(VLOOKUP(B352,Database!$A:$AV,MATCH($I$1,Database!$A$1:$AV$1,),)=0,"#N/A",((((VLOOKUP(B352,Database!$A:$AS,MATCH($I$1,Database!$A$1:$AS$1,),))))-(((VLOOKUP(EDATE(B352,-12),Database!$A:$AS,MATCH($I$1,Database!$A$1:$AS$1,),)))))/(((VLOOKUP(EDATE(B352,-12),Database!$A:$AS,MATCH($I$1,Database!$A$1:$AS$1,),)))))</f>
        <v/>
      </c>
      <c r="J352" s="13">
        <f>IF(VLOOKUP(B352,Database!$A:$AV,MATCH($J$1,Database!$A$1:$AV$1,),)=0,"#N/A",((((VLOOKUP(B352,Database!$A:$AS,MATCH($J$1,Database!$A$1:$AS$1,),))))-(((VLOOKUP(EDATE(B352,-12),Database!$A:$AS,MATCH($J$1,Database!$A$1:$AS$1,),)))))/(((VLOOKUP(EDATE(B352,-12),Database!$A:$AS,MATCH($J$1,Database!$A$1:$AS$1,),)))))</f>
        <v/>
      </c>
      <c r="K352" s="13">
        <f>IF(VLOOKUP(B352,Database!$A:$AV,MATCH($K$1,Database!$A$1:$AV$1,),)=0,"#N/A",((((VLOOKUP(B352,Database!$A:$AS,MATCH($K$1,Database!$A$1:$AS$1,),))))-(((VLOOKUP(EDATE(B352,-12),Database!$A:$AS,MATCH($K$1,Database!$A$1:$AS$1,),)))))/(((VLOOKUP(EDATE(B352,-12),Database!$A:$AS,MATCH($K$1,Database!$A$1:$AS$1,),)))))</f>
        <v/>
      </c>
      <c r="L352" s="13">
        <f>((((VLOOKUP(B352,Database!$A:$AS,MATCH($L$1,Database!$A$1:$AS$1,),))))-(((VLOOKUP(EDATE(B352,-12),Database!$A:$AS,MATCH($L$1,Database!$A$1:$AS$1,),)))))/(((VLOOKUP(EDATE(B352,-12),Database!$A:$AS,MATCH($L$1,Database!$A$1:$AS$1,),))))</f>
        <v/>
      </c>
      <c r="M352" s="13">
        <f>((((VLOOKUP(B352,Database!$A:$AS,MATCH($M$1,Database!$A$1:$AS$1,),))))-(((VLOOKUP(EDATE(B352,-12),Database!$A:$AS,MATCH($M$1,Database!$A$1:$AS$1,),)))))/(((VLOOKUP(EDATE(B352,-12),Database!$A:$AS,MATCH($M$1,Database!$A$1:$AS$1,),))))</f>
        <v/>
      </c>
      <c r="N352" s="13">
        <f>((((VLOOKUP(B352,Database!$A:$AS,MATCH($N$1,Database!$A$1:$AS$1,),))))-(((VLOOKUP(EDATE(B352,-12),Database!$A:$AS,MATCH($N$1,Database!$A$1:$AS$1,),)))))/(((VLOOKUP(EDATE(B352,-12),Database!$A:$AS,MATCH($N$1,Database!$A$1:$AS$1,),))))</f>
        <v/>
      </c>
      <c r="O352" s="13">
        <f>IF(VLOOKUP(B352,Database!$A:$AV,MATCH($O$1,Database!$A$1:$AV$1,),)=0,"#N/A",((((VLOOKUP(B352,Database!$A:$AS,MATCH($O$1,Database!$A$1:$AS$1,),))))-(((VLOOKUP(EDATE(B352,-12),Database!$A:$AS,MATCH($O$1,Database!$A$1:$AS$1,),)))))/(((VLOOKUP(EDATE(B352,-12),Database!$A:$AS,MATCH($O$1,Database!$A$1:$AS$1,),)))))</f>
        <v/>
      </c>
      <c r="P352" s="13">
        <f>IF(VLOOKUP(B352,Database!$A:$AV,MATCH($P$1,Database!$A$1:$AV$1,),)=0,"#N/A",((((VLOOKUP(B352,Database!$A:$AS,MATCH($P$1,Database!$A$1:$AS$1,),))))-(((VLOOKUP(EDATE(B352,-12),Database!$A:$AS,MATCH($P$1,Database!$A$1:$AS$1,),)))))/(((VLOOKUP(EDATE(B352,-12),Database!$A:$AS,MATCH($P$1,Database!$A$1:$AS$1,),)))))</f>
        <v/>
      </c>
      <c r="Q352" s="13">
        <f>IF(VLOOKUP(B352,Database!$A:$AV,MATCH($Q$1,Database!$A$1:$AV$1,),)=0,"#N/A",((((VLOOKUP(B352,Database!$A:$AS,MATCH($Q$1,Database!$A$1:$AS$1,),))))-(((VLOOKUP(EDATE(B352,-12),Database!$A:$AS,MATCH($Q$1,Database!$A$1:$AS$1,),)))))/(((VLOOKUP(EDATE(B352,-12),Database!$A:$AS,MATCH($Q$1,Database!$A$1:$AS$1,),)))))</f>
        <v/>
      </c>
      <c r="R352" s="13">
        <f>IF(VLOOKUP(B352,Database!$A:$AV,MATCH($R$1,Database!$A$1:$AV$1,),)=0,"#N/A",((((VLOOKUP(B352,Database!$A:$AS,MATCH($R$1,Database!$A$1:$AS$1,),))))-(((VLOOKUP(EDATE(B352,-12),Database!$A:$AS,MATCH($R$1,Database!$A$1:$AS$1,),)))))/(((VLOOKUP(EDATE(B352,-12),Database!$A:$AS,MATCH($R$1,Database!$A$1:$AS$1,),)))))</f>
        <v/>
      </c>
      <c r="S352" s="13">
        <f>IF(VLOOKUP(B352,Database!$A:$AV,MATCH($S$1,Database!$A$1:$AV$1,),)=0,"#N/A",((((VLOOKUP(B352,Database!$A:$AS,MATCH($S$1,Database!$A$1:$AS$1,),))))-(((VLOOKUP(EDATE(B352,-12),Database!$A:$AS,MATCH($S$1,Database!$A$1:$AS$1,),)))))/(((VLOOKUP(EDATE(B352,-12),Database!$A:$AS,MATCH($S$1,Database!$A$1:$AS$1,),)))))</f>
        <v/>
      </c>
      <c r="T352" s="13">
        <f>IF(VLOOKUP(B352,Database!$A:$AV,MATCH($T$1,Database!$A$1:$AV$1,),)=0,"#N/A",((((VLOOKUP(B352,Database!$A:$AS,MATCH($T$1,Database!$A$1:$AS$1,),))))-(((VLOOKUP(EDATE(B352,-12),Database!$A:$AS,MATCH($T$1,Database!$A$1:$AS$1,),)))))/(((VLOOKUP(EDATE(B352,-12),Database!$A:$AS,MATCH($T$1,Database!$A$1:$AS$1,),)))))</f>
        <v/>
      </c>
      <c r="U352" s="13">
        <f>IF(VLOOKUP(B352,Database!$A:$AV,MATCH($U$1,Database!$A$1:$AV$1,),)=0,"#N/A",((((VLOOKUP(B352,Database!$A:$AS,MATCH($U$1,Database!$A$1:$AS$1,),))))-(((VLOOKUP(EDATE(B352,-12),Database!$A:$AS,MATCH($U$1,Database!$A$1:$AS$1,),)))))/(((VLOOKUP(EDATE(B352,-12),Database!$A:$AS,MATCH($U$1,Database!$A$1:$AS$1,),)))))</f>
        <v/>
      </c>
      <c r="V352" s="13">
        <f>IF(VLOOKUP(B352,Database!$A:$AV,MATCH($V$1,Database!$A$1:$AV$1,),)=0,"#N/A",((((VLOOKUP(B352,Database!$A:$AS,MATCH($V$1,Database!$A$1:$AS$1,),))))-(((VLOOKUP(EDATE(B352,-12),Database!$A:$AS,MATCH($V$1,Database!$A$1:$AS$1,),)))))/(((VLOOKUP(EDATE(B352,-12),Database!$A:$AS,MATCH($V$1,Database!$A$1:$AS$1,),)))))</f>
        <v/>
      </c>
    </row>
    <row r="353" customFormat="1" s="86">
      <c r="A353" s="43" t="n"/>
      <c r="B353" s="75" t="n">
        <v>42887</v>
      </c>
      <c r="C353" s="13">
        <f>IF(VLOOKUP(B353,Database!$A:$AU,MATCH($C$1,Database!$A$1:$AU$1,),)=0,"#N/A",((((VLOOKUP(B353,Database!$A:$AU,MATCH($C$1,Database!$A$1:$AU$1,),))))-(((VLOOKUP(EDATE(B353,-12),Database!$A:$AU,MATCH($C$1,Database!$A$1:$AU$1,),)))))/(((VLOOKUP(EDATE(B353,-12),Database!$A:$AU,MATCH($C$1,Database!$A$1:$AU$1,),)))))</f>
        <v/>
      </c>
      <c r="D353" s="13">
        <f>IF(VLOOKUP(B353,Database!$A:$AV,MATCH($D$1,Database!$A$1:$AV$1,),)=0,"#N/A",((((VLOOKUP(B353,Database!$A:$AS,MATCH($D$1,Database!$A$1:$AS$1,),))))-(((VLOOKUP(EDATE(B353,-12),Database!$A:$AS,MATCH($D$1,Database!$A$1:$AS$1,),)))))/(((VLOOKUP(EDATE(B353,-12),Database!$A:$AS,MATCH($D$1,Database!$A$1:$AS$1,),)))))</f>
        <v/>
      </c>
      <c r="E353" s="13">
        <f>IF(VLOOKUP(B353,Database!$A:$AV,MATCH($E$1,Database!$A$1:$AV$1,),)=0,"#N/A",((((VLOOKUP(B353,Database!$A:$AS,MATCH($E$1,Database!$A$1:$AS$1,),))))-(((VLOOKUP(EDATE(B353,-12),Database!$A:$AS,MATCH($E$1,Database!$A$1:$AS$1,),)))))/(((VLOOKUP(EDATE(B353,-12),Database!$A:$AS,MATCH($E$1,Database!$A$1:$AS$1,),)))))</f>
        <v/>
      </c>
      <c r="F353" s="13">
        <f>IF(VLOOKUP(B353,Database!$A:$AV,MATCH($F$1,Database!$A$1:$AV$1,),)=0,"#N/A",((((VLOOKUP(B353,Database!$A:$AS,MATCH($F$1,Database!$A$1:$AS$1,),))))-(((VLOOKUP(EDATE(B353,-12),Database!$A:$AS,MATCH($F$1,Database!$A$1:$AS$1,),)))))/(((VLOOKUP(EDATE(B353,-12),Database!$A:$AS,MATCH($F$1,Database!$A$1:$AS$1,),)))))</f>
        <v/>
      </c>
      <c r="G353" s="13">
        <f>IF(VLOOKUP(B353,Database!$A:$AV,MATCH($G$1,Database!$A$1:$AV$1,),)=0,"#N/A",((((VLOOKUP(B353,Database!$A:$AS,MATCH($G$1,Database!$A$1:$AS$1,),))))-(((VLOOKUP(EDATE(B353,-12),Database!$A:$AS,MATCH($G$1,Database!$A$1:$AS$1,),)))))/(((VLOOKUP(EDATE(B353,-12),Database!$A:$AS,MATCH($G$1,Database!$A$1:$AS$1,),)))))</f>
        <v/>
      </c>
      <c r="H353" s="13">
        <f>IF(VLOOKUP(B353,Database!$A:$AV,MATCH($H$1,Database!$A$1:$AV$1,),)=0,"#N/A",((((VLOOKUP(B353,Database!$A:$AS,MATCH($H$1,Database!$A$1:$AS$1,),))))-(((VLOOKUP(EDATE(B353,-12),Database!$A:$AS,MATCH($H$1,Database!$A$1:$AS$1,),)))))/(((VLOOKUP(EDATE(B353,-12),Database!$A:$AS,MATCH($H$1,Database!$A$1:$AS$1,),)))))</f>
        <v/>
      </c>
      <c r="I353" s="13">
        <f>IF(VLOOKUP(B353,Database!$A:$AV,MATCH($I$1,Database!$A$1:$AV$1,),)=0,"#N/A",((((VLOOKUP(B353,Database!$A:$AS,MATCH($I$1,Database!$A$1:$AS$1,),))))-(((VLOOKUP(EDATE(B353,-12),Database!$A:$AS,MATCH($I$1,Database!$A$1:$AS$1,),)))))/(((VLOOKUP(EDATE(B353,-12),Database!$A:$AS,MATCH($I$1,Database!$A$1:$AS$1,),)))))</f>
        <v/>
      </c>
      <c r="J353" s="13">
        <f>IF(VLOOKUP(B353,Database!$A:$AV,MATCH($J$1,Database!$A$1:$AV$1,),)=0,"#N/A",((((VLOOKUP(B353,Database!$A:$AS,MATCH($J$1,Database!$A$1:$AS$1,),))))-(((VLOOKUP(EDATE(B353,-12),Database!$A:$AS,MATCH($J$1,Database!$A$1:$AS$1,),)))))/(((VLOOKUP(EDATE(B353,-12),Database!$A:$AS,MATCH($J$1,Database!$A$1:$AS$1,),)))))</f>
        <v/>
      </c>
      <c r="K353" s="13">
        <f>IF(VLOOKUP(B353,Database!$A:$AV,MATCH($K$1,Database!$A$1:$AV$1,),)=0,"#N/A",((((VLOOKUP(B353,Database!$A:$AS,MATCH($K$1,Database!$A$1:$AS$1,),))))-(((VLOOKUP(EDATE(B353,-12),Database!$A:$AS,MATCH($K$1,Database!$A$1:$AS$1,),)))))/(((VLOOKUP(EDATE(B353,-12),Database!$A:$AS,MATCH($K$1,Database!$A$1:$AS$1,),)))))</f>
        <v/>
      </c>
      <c r="L353" s="13">
        <f>((((VLOOKUP(B353,Database!$A:$AS,MATCH($L$1,Database!$A$1:$AS$1,),))))-(((VLOOKUP(EDATE(B353,-12),Database!$A:$AS,MATCH($L$1,Database!$A$1:$AS$1,),)))))/(((VLOOKUP(EDATE(B353,-12),Database!$A:$AS,MATCH($L$1,Database!$A$1:$AS$1,),))))</f>
        <v/>
      </c>
      <c r="M353" s="13">
        <f>((((VLOOKUP(B353,Database!$A:$AS,MATCH($M$1,Database!$A$1:$AS$1,),))))-(((VLOOKUP(EDATE(B353,-12),Database!$A:$AS,MATCH($M$1,Database!$A$1:$AS$1,),)))))/(((VLOOKUP(EDATE(B353,-12),Database!$A:$AS,MATCH($M$1,Database!$A$1:$AS$1,),))))</f>
        <v/>
      </c>
      <c r="N353" s="13">
        <f>((((VLOOKUP(B353,Database!$A:$AS,MATCH($N$1,Database!$A$1:$AS$1,),))))-(((VLOOKUP(EDATE(B353,-12),Database!$A:$AS,MATCH($N$1,Database!$A$1:$AS$1,),)))))/(((VLOOKUP(EDATE(B353,-12),Database!$A:$AS,MATCH($N$1,Database!$A$1:$AS$1,),))))</f>
        <v/>
      </c>
      <c r="O353" s="13">
        <f>IF(VLOOKUP(B353,Database!$A:$AV,MATCH($O$1,Database!$A$1:$AV$1,),)=0,"#N/A",((((VLOOKUP(B353,Database!$A:$AS,MATCH($O$1,Database!$A$1:$AS$1,),))))-(((VLOOKUP(EDATE(B353,-12),Database!$A:$AS,MATCH($O$1,Database!$A$1:$AS$1,),)))))/(((VLOOKUP(EDATE(B353,-12),Database!$A:$AS,MATCH($O$1,Database!$A$1:$AS$1,),)))))</f>
        <v/>
      </c>
      <c r="P353" s="13">
        <f>IF(VLOOKUP(B353,Database!$A:$AV,MATCH($P$1,Database!$A$1:$AV$1,),)=0,"#N/A",((((VLOOKUP(B353,Database!$A:$AS,MATCH($P$1,Database!$A$1:$AS$1,),))))-(((VLOOKUP(EDATE(B353,-12),Database!$A:$AS,MATCH($P$1,Database!$A$1:$AS$1,),)))))/(((VLOOKUP(EDATE(B353,-12),Database!$A:$AS,MATCH($P$1,Database!$A$1:$AS$1,),)))))</f>
        <v/>
      </c>
      <c r="Q353" s="13">
        <f>IF(VLOOKUP(B353,Database!$A:$AV,MATCH($Q$1,Database!$A$1:$AV$1,),)=0,"#N/A",((((VLOOKUP(B353,Database!$A:$AS,MATCH($Q$1,Database!$A$1:$AS$1,),))))-(((VLOOKUP(EDATE(B353,-12),Database!$A:$AS,MATCH($Q$1,Database!$A$1:$AS$1,),)))))/(((VLOOKUP(EDATE(B353,-12),Database!$A:$AS,MATCH($Q$1,Database!$A$1:$AS$1,),)))))</f>
        <v/>
      </c>
      <c r="R353" s="13">
        <f>IF(VLOOKUP(B353,Database!$A:$AV,MATCH($R$1,Database!$A$1:$AV$1,),)=0,"#N/A",((((VLOOKUP(B353,Database!$A:$AS,MATCH($R$1,Database!$A$1:$AS$1,),))))-(((VLOOKUP(EDATE(B353,-12),Database!$A:$AS,MATCH($R$1,Database!$A$1:$AS$1,),)))))/(((VLOOKUP(EDATE(B353,-12),Database!$A:$AS,MATCH($R$1,Database!$A$1:$AS$1,),)))))</f>
        <v/>
      </c>
      <c r="S353" s="13">
        <f>IF(VLOOKUP(B353,Database!$A:$AV,MATCH($S$1,Database!$A$1:$AV$1,),)=0,"#N/A",((((VLOOKUP(B353,Database!$A:$AS,MATCH($S$1,Database!$A$1:$AS$1,),))))-(((VLOOKUP(EDATE(B353,-12),Database!$A:$AS,MATCH($S$1,Database!$A$1:$AS$1,),)))))/(((VLOOKUP(EDATE(B353,-12),Database!$A:$AS,MATCH($S$1,Database!$A$1:$AS$1,),)))))</f>
        <v/>
      </c>
      <c r="T353" s="13">
        <f>IF(VLOOKUP(B353,Database!$A:$AV,MATCH($T$1,Database!$A$1:$AV$1,),)=0,"#N/A",((((VLOOKUP(B353,Database!$A:$AS,MATCH($T$1,Database!$A$1:$AS$1,),))))-(((VLOOKUP(EDATE(B353,-12),Database!$A:$AS,MATCH($T$1,Database!$A$1:$AS$1,),)))))/(((VLOOKUP(EDATE(B353,-12),Database!$A:$AS,MATCH($T$1,Database!$A$1:$AS$1,),)))))</f>
        <v/>
      </c>
      <c r="U353" s="13">
        <f>IF(VLOOKUP(B353,Database!$A:$AV,MATCH($U$1,Database!$A$1:$AV$1,),)=0,"#N/A",((((VLOOKUP(B353,Database!$A:$AS,MATCH($U$1,Database!$A$1:$AS$1,),))))-(((VLOOKUP(EDATE(B353,-12),Database!$A:$AS,MATCH($U$1,Database!$A$1:$AS$1,),)))))/(((VLOOKUP(EDATE(B353,-12),Database!$A:$AS,MATCH($U$1,Database!$A$1:$AS$1,),)))))</f>
        <v/>
      </c>
      <c r="V353" s="13">
        <f>IF(VLOOKUP(B353,Database!$A:$AV,MATCH($V$1,Database!$A$1:$AV$1,),)=0,"#N/A",((((VLOOKUP(B353,Database!$A:$AS,MATCH($V$1,Database!$A$1:$AS$1,),))))-(((VLOOKUP(EDATE(B353,-12),Database!$A:$AS,MATCH($V$1,Database!$A$1:$AS$1,),)))))/(((VLOOKUP(EDATE(B353,-12),Database!$A:$AS,MATCH($V$1,Database!$A$1:$AS$1,),)))))</f>
        <v/>
      </c>
    </row>
    <row r="354" customFormat="1" s="86">
      <c r="A354" s="43" t="n"/>
      <c r="B354" s="75" t="n">
        <v>42917</v>
      </c>
      <c r="C354" s="13">
        <f>IF(VLOOKUP(B354,Database!$A:$AU,MATCH($C$1,Database!$A$1:$AU$1,),)=0,"#N/A",((((VLOOKUP(B354,Database!$A:$AU,MATCH($C$1,Database!$A$1:$AU$1,),))))-(((VLOOKUP(EDATE(B354,-12),Database!$A:$AU,MATCH($C$1,Database!$A$1:$AU$1,),)))))/(((VLOOKUP(EDATE(B354,-12),Database!$A:$AU,MATCH($C$1,Database!$A$1:$AU$1,),)))))</f>
        <v/>
      </c>
      <c r="D354" s="13">
        <f>IF(VLOOKUP(B354,Database!$A:$AV,MATCH($D$1,Database!$A$1:$AV$1,),)=0,"#N/A",((((VLOOKUP(B354,Database!$A:$AS,MATCH($D$1,Database!$A$1:$AS$1,),))))-(((VLOOKUP(EDATE(B354,-12),Database!$A:$AS,MATCH($D$1,Database!$A$1:$AS$1,),)))))/(((VLOOKUP(EDATE(B354,-12),Database!$A:$AS,MATCH($D$1,Database!$A$1:$AS$1,),)))))</f>
        <v/>
      </c>
      <c r="E354" s="13">
        <f>IF(VLOOKUP(B354,Database!$A:$AV,MATCH($E$1,Database!$A$1:$AV$1,),)=0,"#N/A",((((VLOOKUP(B354,Database!$A:$AS,MATCH($E$1,Database!$A$1:$AS$1,),))))-(((VLOOKUP(EDATE(B354,-12),Database!$A:$AS,MATCH($E$1,Database!$A$1:$AS$1,),)))))/(((VLOOKUP(EDATE(B354,-12),Database!$A:$AS,MATCH($E$1,Database!$A$1:$AS$1,),)))))</f>
        <v/>
      </c>
      <c r="F354" s="13">
        <f>IF(VLOOKUP(B354,Database!$A:$AV,MATCH($F$1,Database!$A$1:$AV$1,),)=0,"#N/A",((((VLOOKUP(B354,Database!$A:$AS,MATCH($F$1,Database!$A$1:$AS$1,),))))-(((VLOOKUP(EDATE(B354,-12),Database!$A:$AS,MATCH($F$1,Database!$A$1:$AS$1,),)))))/(((VLOOKUP(EDATE(B354,-12),Database!$A:$AS,MATCH($F$1,Database!$A$1:$AS$1,),)))))</f>
        <v/>
      </c>
      <c r="G354" s="13">
        <f>IF(VLOOKUP(B354,Database!$A:$AV,MATCH($G$1,Database!$A$1:$AV$1,),)=0,"#N/A",((((VLOOKUP(B354,Database!$A:$AS,MATCH($G$1,Database!$A$1:$AS$1,),))))-(((VLOOKUP(EDATE(B354,-12),Database!$A:$AS,MATCH($G$1,Database!$A$1:$AS$1,),)))))/(((VLOOKUP(EDATE(B354,-12),Database!$A:$AS,MATCH($G$1,Database!$A$1:$AS$1,),)))))</f>
        <v/>
      </c>
      <c r="H354" s="13">
        <f>IF(VLOOKUP(B354,Database!$A:$AV,MATCH($H$1,Database!$A$1:$AV$1,),)=0,"#N/A",((((VLOOKUP(B354,Database!$A:$AS,MATCH($H$1,Database!$A$1:$AS$1,),))))-(((VLOOKUP(EDATE(B354,-12),Database!$A:$AS,MATCH($H$1,Database!$A$1:$AS$1,),)))))/(((VLOOKUP(EDATE(B354,-12),Database!$A:$AS,MATCH($H$1,Database!$A$1:$AS$1,),)))))</f>
        <v/>
      </c>
      <c r="I354" s="13">
        <f>IF(VLOOKUP(B354,Database!$A:$AV,MATCH($I$1,Database!$A$1:$AV$1,),)=0,"#N/A",((((VLOOKUP(B354,Database!$A:$AS,MATCH($I$1,Database!$A$1:$AS$1,),))))-(((VLOOKUP(EDATE(B354,-12),Database!$A:$AS,MATCH($I$1,Database!$A$1:$AS$1,),)))))/(((VLOOKUP(EDATE(B354,-12),Database!$A:$AS,MATCH($I$1,Database!$A$1:$AS$1,),)))))</f>
        <v/>
      </c>
      <c r="J354" s="13">
        <f>IF(VLOOKUP(B354,Database!$A:$AV,MATCH($J$1,Database!$A$1:$AV$1,),)=0,"#N/A",((((VLOOKUP(B354,Database!$A:$AS,MATCH($J$1,Database!$A$1:$AS$1,),))))-(((VLOOKUP(EDATE(B354,-12),Database!$A:$AS,MATCH($J$1,Database!$A$1:$AS$1,),)))))/(((VLOOKUP(EDATE(B354,-12),Database!$A:$AS,MATCH($J$1,Database!$A$1:$AS$1,),)))))</f>
        <v/>
      </c>
      <c r="K354" s="13">
        <f>IF(VLOOKUP(B354,Database!$A:$AV,MATCH($K$1,Database!$A$1:$AV$1,),)=0,"#N/A",((((VLOOKUP(B354,Database!$A:$AS,MATCH($K$1,Database!$A$1:$AS$1,),))))-(((VLOOKUP(EDATE(B354,-12),Database!$A:$AS,MATCH($K$1,Database!$A$1:$AS$1,),)))))/(((VLOOKUP(EDATE(B354,-12),Database!$A:$AS,MATCH($K$1,Database!$A$1:$AS$1,),)))))</f>
        <v/>
      </c>
      <c r="L354" s="13">
        <f>((((VLOOKUP(B354,Database!$A:$AS,MATCH($L$1,Database!$A$1:$AS$1,),))))-(((VLOOKUP(EDATE(B354,-12),Database!$A:$AS,MATCH($L$1,Database!$A$1:$AS$1,),)))))/(((VLOOKUP(EDATE(B354,-12),Database!$A:$AS,MATCH($L$1,Database!$A$1:$AS$1,),))))</f>
        <v/>
      </c>
      <c r="M354" s="13">
        <f>((((VLOOKUP(B354,Database!$A:$AS,MATCH($M$1,Database!$A$1:$AS$1,),))))-(((VLOOKUP(EDATE(B354,-12),Database!$A:$AS,MATCH($M$1,Database!$A$1:$AS$1,),)))))/(((VLOOKUP(EDATE(B354,-12),Database!$A:$AS,MATCH($M$1,Database!$A$1:$AS$1,),))))</f>
        <v/>
      </c>
      <c r="N354" s="13">
        <f>((((VLOOKUP(B354,Database!$A:$AS,MATCH($N$1,Database!$A$1:$AS$1,),))))-(((VLOOKUP(EDATE(B354,-12),Database!$A:$AS,MATCH($N$1,Database!$A$1:$AS$1,),)))))/(((VLOOKUP(EDATE(B354,-12),Database!$A:$AS,MATCH($N$1,Database!$A$1:$AS$1,),))))</f>
        <v/>
      </c>
      <c r="O354" s="13">
        <f>IF(VLOOKUP(B354,Database!$A:$AV,MATCH($O$1,Database!$A$1:$AV$1,),)=0,"#N/A",((((VLOOKUP(B354,Database!$A:$AS,MATCH($O$1,Database!$A$1:$AS$1,),))))-(((VLOOKUP(EDATE(B354,-12),Database!$A:$AS,MATCH($O$1,Database!$A$1:$AS$1,),)))))/(((VLOOKUP(EDATE(B354,-12),Database!$A:$AS,MATCH($O$1,Database!$A$1:$AS$1,),)))))</f>
        <v/>
      </c>
      <c r="P354" s="13">
        <f>IF(VLOOKUP(B354,Database!$A:$AV,MATCH($P$1,Database!$A$1:$AV$1,),)=0,"#N/A",((((VLOOKUP(B354,Database!$A:$AS,MATCH($P$1,Database!$A$1:$AS$1,),))))-(((VLOOKUP(EDATE(B354,-12),Database!$A:$AS,MATCH($P$1,Database!$A$1:$AS$1,),)))))/(((VLOOKUP(EDATE(B354,-12),Database!$A:$AS,MATCH($P$1,Database!$A$1:$AS$1,),)))))</f>
        <v/>
      </c>
      <c r="Q354" s="13">
        <f>IF(VLOOKUP(B354,Database!$A:$AV,MATCH($Q$1,Database!$A$1:$AV$1,),)=0,"#N/A",((((VLOOKUP(B354,Database!$A:$AS,MATCH($Q$1,Database!$A$1:$AS$1,),))))-(((VLOOKUP(EDATE(B354,-12),Database!$A:$AS,MATCH($Q$1,Database!$A$1:$AS$1,),)))))/(((VLOOKUP(EDATE(B354,-12),Database!$A:$AS,MATCH($Q$1,Database!$A$1:$AS$1,),)))))</f>
        <v/>
      </c>
      <c r="R354" s="13">
        <f>IF(VLOOKUP(B354,Database!$A:$AV,MATCH($R$1,Database!$A$1:$AV$1,),)=0,"#N/A",((((VLOOKUP(B354,Database!$A:$AS,MATCH($R$1,Database!$A$1:$AS$1,),))))-(((VLOOKUP(EDATE(B354,-12),Database!$A:$AS,MATCH($R$1,Database!$A$1:$AS$1,),)))))/(((VLOOKUP(EDATE(B354,-12),Database!$A:$AS,MATCH($R$1,Database!$A$1:$AS$1,),)))))</f>
        <v/>
      </c>
      <c r="S354" s="13">
        <f>IF(VLOOKUP(B354,Database!$A:$AV,MATCH($S$1,Database!$A$1:$AV$1,),)=0,"#N/A",((((VLOOKUP(B354,Database!$A:$AS,MATCH($S$1,Database!$A$1:$AS$1,),))))-(((VLOOKUP(EDATE(B354,-12),Database!$A:$AS,MATCH($S$1,Database!$A$1:$AS$1,),)))))/(((VLOOKUP(EDATE(B354,-12),Database!$A:$AS,MATCH($S$1,Database!$A$1:$AS$1,),)))))</f>
        <v/>
      </c>
      <c r="T354" s="13">
        <f>IF(VLOOKUP(B354,Database!$A:$AV,MATCH($T$1,Database!$A$1:$AV$1,),)=0,"#N/A",((((VLOOKUP(B354,Database!$A:$AS,MATCH($T$1,Database!$A$1:$AS$1,),))))-(((VLOOKUP(EDATE(B354,-12),Database!$A:$AS,MATCH($T$1,Database!$A$1:$AS$1,),)))))/(((VLOOKUP(EDATE(B354,-12),Database!$A:$AS,MATCH($T$1,Database!$A$1:$AS$1,),)))))</f>
        <v/>
      </c>
      <c r="U354" s="13">
        <f>IF(VLOOKUP(B354,Database!$A:$AV,MATCH($U$1,Database!$A$1:$AV$1,),)=0,"#N/A",((((VLOOKUP(B354,Database!$A:$AS,MATCH($U$1,Database!$A$1:$AS$1,),))))-(((VLOOKUP(EDATE(B354,-12),Database!$A:$AS,MATCH($U$1,Database!$A$1:$AS$1,),)))))/(((VLOOKUP(EDATE(B354,-12),Database!$A:$AS,MATCH($U$1,Database!$A$1:$AS$1,),)))))</f>
        <v/>
      </c>
      <c r="V354" s="13">
        <f>IF(VLOOKUP(B354,Database!$A:$AV,MATCH($V$1,Database!$A$1:$AV$1,),)=0,"#N/A",((((VLOOKUP(B354,Database!$A:$AS,MATCH($V$1,Database!$A$1:$AS$1,),))))-(((VLOOKUP(EDATE(B354,-12),Database!$A:$AS,MATCH($V$1,Database!$A$1:$AS$1,),)))))/(((VLOOKUP(EDATE(B354,-12),Database!$A:$AS,MATCH($V$1,Database!$A$1:$AS$1,),)))))</f>
        <v/>
      </c>
    </row>
    <row r="355" customFormat="1" s="86">
      <c r="A355" s="43" t="n"/>
      <c r="B355" s="75" t="n">
        <v>42948</v>
      </c>
      <c r="C355" s="13">
        <f>IF(VLOOKUP(B355,Database!$A:$AU,MATCH($C$1,Database!$A$1:$AU$1,),)=0,"#N/A",((((VLOOKUP(B355,Database!$A:$AU,MATCH($C$1,Database!$A$1:$AU$1,),))))-(((VLOOKUP(EDATE(B355,-12),Database!$A:$AU,MATCH($C$1,Database!$A$1:$AU$1,),)))))/(((VLOOKUP(EDATE(B355,-12),Database!$A:$AU,MATCH($C$1,Database!$A$1:$AU$1,),)))))</f>
        <v/>
      </c>
      <c r="D355" s="13">
        <f>IF(VLOOKUP(B355,Database!$A:$AV,MATCH($D$1,Database!$A$1:$AV$1,),)=0,"#N/A",((((VLOOKUP(B355,Database!$A:$AS,MATCH($D$1,Database!$A$1:$AS$1,),))))-(((VLOOKUP(EDATE(B355,-12),Database!$A:$AS,MATCH($D$1,Database!$A$1:$AS$1,),)))))/(((VLOOKUP(EDATE(B355,-12),Database!$A:$AS,MATCH($D$1,Database!$A$1:$AS$1,),)))))</f>
        <v/>
      </c>
      <c r="E355" s="13">
        <f>IF(VLOOKUP(B355,Database!$A:$AV,MATCH($E$1,Database!$A$1:$AV$1,),)=0,"#N/A",((((VLOOKUP(B355,Database!$A:$AS,MATCH($E$1,Database!$A$1:$AS$1,),))))-(((VLOOKUP(EDATE(B355,-12),Database!$A:$AS,MATCH($E$1,Database!$A$1:$AS$1,),)))))/(((VLOOKUP(EDATE(B355,-12),Database!$A:$AS,MATCH($E$1,Database!$A$1:$AS$1,),)))))</f>
        <v/>
      </c>
      <c r="F355" s="13">
        <f>IF(VLOOKUP(B355,Database!$A:$AV,MATCH($F$1,Database!$A$1:$AV$1,),)=0,"#N/A",((((VLOOKUP(B355,Database!$A:$AS,MATCH($F$1,Database!$A$1:$AS$1,),))))-(((VLOOKUP(EDATE(B355,-12),Database!$A:$AS,MATCH($F$1,Database!$A$1:$AS$1,),)))))/(((VLOOKUP(EDATE(B355,-12),Database!$A:$AS,MATCH($F$1,Database!$A$1:$AS$1,),)))))</f>
        <v/>
      </c>
      <c r="G355" s="13">
        <f>IF(VLOOKUP(B355,Database!$A:$AV,MATCH($G$1,Database!$A$1:$AV$1,),)=0,"#N/A",((((VLOOKUP(B355,Database!$A:$AS,MATCH($G$1,Database!$A$1:$AS$1,),))))-(((VLOOKUP(EDATE(B355,-12),Database!$A:$AS,MATCH($G$1,Database!$A$1:$AS$1,),)))))/(((VLOOKUP(EDATE(B355,-12),Database!$A:$AS,MATCH($G$1,Database!$A$1:$AS$1,),)))))</f>
        <v/>
      </c>
      <c r="H355" s="13">
        <f>IF(VLOOKUP(B355,Database!$A:$AV,MATCH($H$1,Database!$A$1:$AV$1,),)=0,"#N/A",((((VLOOKUP(B355,Database!$A:$AS,MATCH($H$1,Database!$A$1:$AS$1,),))))-(((VLOOKUP(EDATE(B355,-12),Database!$A:$AS,MATCH($H$1,Database!$A$1:$AS$1,),)))))/(((VLOOKUP(EDATE(B355,-12),Database!$A:$AS,MATCH($H$1,Database!$A$1:$AS$1,),)))))</f>
        <v/>
      </c>
      <c r="I355" s="13">
        <f>IF(VLOOKUP(B355,Database!$A:$AV,MATCH($I$1,Database!$A$1:$AV$1,),)=0,"#N/A",((((VLOOKUP(B355,Database!$A:$AS,MATCH($I$1,Database!$A$1:$AS$1,),))))-(((VLOOKUP(EDATE(B355,-12),Database!$A:$AS,MATCH($I$1,Database!$A$1:$AS$1,),)))))/(((VLOOKUP(EDATE(B355,-12),Database!$A:$AS,MATCH($I$1,Database!$A$1:$AS$1,),)))))</f>
        <v/>
      </c>
      <c r="J355" s="13">
        <f>IF(VLOOKUP(B355,Database!$A:$AV,MATCH($J$1,Database!$A$1:$AV$1,),)=0,"#N/A",((((VLOOKUP(B355,Database!$A:$AS,MATCH($J$1,Database!$A$1:$AS$1,),))))-(((VLOOKUP(EDATE(B355,-12),Database!$A:$AS,MATCH($J$1,Database!$A$1:$AS$1,),)))))/(((VLOOKUP(EDATE(B355,-12),Database!$A:$AS,MATCH($J$1,Database!$A$1:$AS$1,),)))))</f>
        <v/>
      </c>
      <c r="K355" s="13">
        <f>IF(VLOOKUP(B355,Database!$A:$AV,MATCH($K$1,Database!$A$1:$AV$1,),)=0,"#N/A",((((VLOOKUP(B355,Database!$A:$AS,MATCH($K$1,Database!$A$1:$AS$1,),))))-(((VLOOKUP(EDATE(B355,-12),Database!$A:$AS,MATCH($K$1,Database!$A$1:$AS$1,),)))))/(((VLOOKUP(EDATE(B355,-12),Database!$A:$AS,MATCH($K$1,Database!$A$1:$AS$1,),)))))</f>
        <v/>
      </c>
      <c r="L355" s="13">
        <f>((((VLOOKUP(B355,Database!$A:$AS,MATCH($L$1,Database!$A$1:$AS$1,),))))-(((VLOOKUP(EDATE(B355,-12),Database!$A:$AS,MATCH($L$1,Database!$A$1:$AS$1,),)))))/(((VLOOKUP(EDATE(B355,-12),Database!$A:$AS,MATCH($L$1,Database!$A$1:$AS$1,),))))</f>
        <v/>
      </c>
      <c r="M355" s="13">
        <f>((((VLOOKUP(B355,Database!$A:$AS,MATCH($M$1,Database!$A$1:$AS$1,),))))-(((VLOOKUP(EDATE(B355,-12),Database!$A:$AS,MATCH($M$1,Database!$A$1:$AS$1,),)))))/(((VLOOKUP(EDATE(B355,-12),Database!$A:$AS,MATCH($M$1,Database!$A$1:$AS$1,),))))</f>
        <v/>
      </c>
      <c r="N355" s="13">
        <f>((((VLOOKUP(B355,Database!$A:$AS,MATCH($N$1,Database!$A$1:$AS$1,),))))-(((VLOOKUP(EDATE(B355,-12),Database!$A:$AS,MATCH($N$1,Database!$A$1:$AS$1,),)))))/(((VLOOKUP(EDATE(B355,-12),Database!$A:$AS,MATCH($N$1,Database!$A$1:$AS$1,),))))</f>
        <v/>
      </c>
      <c r="O355" s="13">
        <f>IF(VLOOKUP(B355,Database!$A:$AV,MATCH($O$1,Database!$A$1:$AV$1,),)=0,"#N/A",((((VLOOKUP(B355,Database!$A:$AS,MATCH($O$1,Database!$A$1:$AS$1,),))))-(((VLOOKUP(EDATE(B355,-12),Database!$A:$AS,MATCH($O$1,Database!$A$1:$AS$1,),)))))/(((VLOOKUP(EDATE(B355,-12),Database!$A:$AS,MATCH($O$1,Database!$A$1:$AS$1,),)))))</f>
        <v/>
      </c>
      <c r="P355" s="13">
        <f>IF(VLOOKUP(B355,Database!$A:$AV,MATCH($P$1,Database!$A$1:$AV$1,),)=0,"#N/A",((((VLOOKUP(B355,Database!$A:$AS,MATCH($P$1,Database!$A$1:$AS$1,),))))-(((VLOOKUP(EDATE(B355,-12),Database!$A:$AS,MATCH($P$1,Database!$A$1:$AS$1,),)))))/(((VLOOKUP(EDATE(B355,-12),Database!$A:$AS,MATCH($P$1,Database!$A$1:$AS$1,),)))))</f>
        <v/>
      </c>
      <c r="Q355" s="13">
        <f>IF(VLOOKUP(B355,Database!$A:$AV,MATCH($Q$1,Database!$A$1:$AV$1,),)=0,"#N/A",((((VLOOKUP(B355,Database!$A:$AS,MATCH($Q$1,Database!$A$1:$AS$1,),))))-(((VLOOKUP(EDATE(B355,-12),Database!$A:$AS,MATCH($Q$1,Database!$A$1:$AS$1,),)))))/(((VLOOKUP(EDATE(B355,-12),Database!$A:$AS,MATCH($Q$1,Database!$A$1:$AS$1,),)))))</f>
        <v/>
      </c>
      <c r="R355" s="13">
        <f>IF(VLOOKUP(B355,Database!$A:$AV,MATCH($R$1,Database!$A$1:$AV$1,),)=0,"#N/A",((((VLOOKUP(B355,Database!$A:$AS,MATCH($R$1,Database!$A$1:$AS$1,),))))-(((VLOOKUP(EDATE(B355,-12),Database!$A:$AS,MATCH($R$1,Database!$A$1:$AS$1,),)))))/(((VLOOKUP(EDATE(B355,-12),Database!$A:$AS,MATCH($R$1,Database!$A$1:$AS$1,),)))))</f>
        <v/>
      </c>
      <c r="S355" s="13">
        <f>IF(VLOOKUP(B355,Database!$A:$AV,MATCH($S$1,Database!$A$1:$AV$1,),)=0,"#N/A",((((VLOOKUP(B355,Database!$A:$AS,MATCH($S$1,Database!$A$1:$AS$1,),))))-(((VLOOKUP(EDATE(B355,-12),Database!$A:$AS,MATCH($S$1,Database!$A$1:$AS$1,),)))))/(((VLOOKUP(EDATE(B355,-12),Database!$A:$AS,MATCH($S$1,Database!$A$1:$AS$1,),)))))</f>
        <v/>
      </c>
      <c r="T355" s="13">
        <f>IF(VLOOKUP(B355,Database!$A:$AV,MATCH($T$1,Database!$A$1:$AV$1,),)=0,"#N/A",((((VLOOKUP(B355,Database!$A:$AS,MATCH($T$1,Database!$A$1:$AS$1,),))))-(((VLOOKUP(EDATE(B355,-12),Database!$A:$AS,MATCH($T$1,Database!$A$1:$AS$1,),)))))/(((VLOOKUP(EDATE(B355,-12),Database!$A:$AS,MATCH($T$1,Database!$A$1:$AS$1,),)))))</f>
        <v/>
      </c>
      <c r="U355" s="13">
        <f>IF(VLOOKUP(B355,Database!$A:$AV,MATCH($U$1,Database!$A$1:$AV$1,),)=0,"#N/A",((((VLOOKUP(B355,Database!$A:$AS,MATCH($U$1,Database!$A$1:$AS$1,),))))-(((VLOOKUP(EDATE(B355,-12),Database!$A:$AS,MATCH($U$1,Database!$A$1:$AS$1,),)))))/(((VLOOKUP(EDATE(B355,-12),Database!$A:$AS,MATCH($U$1,Database!$A$1:$AS$1,),)))))</f>
        <v/>
      </c>
      <c r="V355" s="13">
        <f>IF(VLOOKUP(B355,Database!$A:$AV,MATCH($V$1,Database!$A$1:$AV$1,),)=0,"#N/A",((((VLOOKUP(B355,Database!$A:$AS,MATCH($V$1,Database!$A$1:$AS$1,),))))-(((VLOOKUP(EDATE(B355,-12),Database!$A:$AS,MATCH($V$1,Database!$A$1:$AS$1,),)))))/(((VLOOKUP(EDATE(B355,-12),Database!$A:$AS,MATCH($V$1,Database!$A$1:$AS$1,),)))))</f>
        <v/>
      </c>
    </row>
    <row r="356" customFormat="1" s="86">
      <c r="A356" s="43" t="n"/>
      <c r="B356" s="75" t="n">
        <v>42979</v>
      </c>
      <c r="C356" s="13">
        <f>IF(VLOOKUP(B356,Database!$A:$AU,MATCH($C$1,Database!$A$1:$AU$1,),)=0,"#N/A",((((VLOOKUP(B356,Database!$A:$AU,MATCH($C$1,Database!$A$1:$AU$1,),))))-(((VLOOKUP(EDATE(B356,-12),Database!$A:$AU,MATCH($C$1,Database!$A$1:$AU$1,),)))))/(((VLOOKUP(EDATE(B356,-12),Database!$A:$AU,MATCH($C$1,Database!$A$1:$AU$1,),)))))</f>
        <v/>
      </c>
      <c r="D356" s="13">
        <f>IF(VLOOKUP(B356,Database!$A:$AV,MATCH($D$1,Database!$A$1:$AV$1,),)=0,"#N/A",((((VLOOKUP(B356,Database!$A:$AS,MATCH($D$1,Database!$A$1:$AS$1,),))))-(((VLOOKUP(EDATE(B356,-12),Database!$A:$AS,MATCH($D$1,Database!$A$1:$AS$1,),)))))/(((VLOOKUP(EDATE(B356,-12),Database!$A:$AS,MATCH($D$1,Database!$A$1:$AS$1,),)))))</f>
        <v/>
      </c>
      <c r="E356" s="13">
        <f>IF(VLOOKUP(B356,Database!$A:$AV,MATCH($E$1,Database!$A$1:$AV$1,),)=0,"#N/A",((((VLOOKUP(B356,Database!$A:$AS,MATCH($E$1,Database!$A$1:$AS$1,),))))-(((VLOOKUP(EDATE(B356,-12),Database!$A:$AS,MATCH($E$1,Database!$A$1:$AS$1,),)))))/(((VLOOKUP(EDATE(B356,-12),Database!$A:$AS,MATCH($E$1,Database!$A$1:$AS$1,),)))))</f>
        <v/>
      </c>
      <c r="F356" s="13">
        <f>IF(VLOOKUP(B356,Database!$A:$AV,MATCH($F$1,Database!$A$1:$AV$1,),)=0,"#N/A",((((VLOOKUP(B356,Database!$A:$AS,MATCH($F$1,Database!$A$1:$AS$1,),))))-(((VLOOKUP(EDATE(B356,-12),Database!$A:$AS,MATCH($F$1,Database!$A$1:$AS$1,),)))))/(((VLOOKUP(EDATE(B356,-12),Database!$A:$AS,MATCH($F$1,Database!$A$1:$AS$1,),)))))</f>
        <v/>
      </c>
      <c r="G356" s="13">
        <f>IF(VLOOKUP(B356,Database!$A:$AV,MATCH($G$1,Database!$A$1:$AV$1,),)=0,"#N/A",((((VLOOKUP(B356,Database!$A:$AS,MATCH($G$1,Database!$A$1:$AS$1,),))))-(((VLOOKUP(EDATE(B356,-12),Database!$A:$AS,MATCH($G$1,Database!$A$1:$AS$1,),)))))/(((VLOOKUP(EDATE(B356,-12),Database!$A:$AS,MATCH($G$1,Database!$A$1:$AS$1,),)))))</f>
        <v/>
      </c>
      <c r="H356" s="13">
        <f>IF(VLOOKUP(B356,Database!$A:$AV,MATCH($H$1,Database!$A$1:$AV$1,),)=0,"#N/A",((((VLOOKUP(B356,Database!$A:$AS,MATCH($H$1,Database!$A$1:$AS$1,),))))-(((VLOOKUP(EDATE(B356,-12),Database!$A:$AS,MATCH($H$1,Database!$A$1:$AS$1,),)))))/(((VLOOKUP(EDATE(B356,-12),Database!$A:$AS,MATCH($H$1,Database!$A$1:$AS$1,),)))))</f>
        <v/>
      </c>
      <c r="I356" s="13">
        <f>IF(VLOOKUP(B356,Database!$A:$AV,MATCH($I$1,Database!$A$1:$AV$1,),)=0,"#N/A",((((VLOOKUP(B356,Database!$A:$AS,MATCH($I$1,Database!$A$1:$AS$1,),))))-(((VLOOKUP(EDATE(B356,-12),Database!$A:$AS,MATCH($I$1,Database!$A$1:$AS$1,),)))))/(((VLOOKUP(EDATE(B356,-12),Database!$A:$AS,MATCH($I$1,Database!$A$1:$AS$1,),)))))</f>
        <v/>
      </c>
      <c r="J356" s="13">
        <f>IF(VLOOKUP(B356,Database!$A:$AV,MATCH($J$1,Database!$A$1:$AV$1,),)=0,"#N/A",((((VLOOKUP(B356,Database!$A:$AS,MATCH($J$1,Database!$A$1:$AS$1,),))))-(((VLOOKUP(EDATE(B356,-12),Database!$A:$AS,MATCH($J$1,Database!$A$1:$AS$1,),)))))/(((VLOOKUP(EDATE(B356,-12),Database!$A:$AS,MATCH($J$1,Database!$A$1:$AS$1,),)))))</f>
        <v/>
      </c>
      <c r="K356" s="13">
        <f>IF(VLOOKUP(B356,Database!$A:$AV,MATCH($K$1,Database!$A$1:$AV$1,),)=0,"#N/A",((((VLOOKUP(B356,Database!$A:$AS,MATCH($K$1,Database!$A$1:$AS$1,),))))-(((VLOOKUP(EDATE(B356,-12),Database!$A:$AS,MATCH($K$1,Database!$A$1:$AS$1,),)))))/(((VLOOKUP(EDATE(B356,-12),Database!$A:$AS,MATCH($K$1,Database!$A$1:$AS$1,),)))))</f>
        <v/>
      </c>
      <c r="L356" s="13">
        <f>((((VLOOKUP(B356,Database!$A:$AS,MATCH($L$1,Database!$A$1:$AS$1,),))))-(((VLOOKUP(EDATE(B356,-12),Database!$A:$AS,MATCH($L$1,Database!$A$1:$AS$1,),)))))/(((VLOOKUP(EDATE(B356,-12),Database!$A:$AS,MATCH($L$1,Database!$A$1:$AS$1,),))))</f>
        <v/>
      </c>
      <c r="M356" s="13">
        <f>((((VLOOKUP(B356,Database!$A:$AS,MATCH($M$1,Database!$A$1:$AS$1,),))))-(((VLOOKUP(EDATE(B356,-12),Database!$A:$AS,MATCH($M$1,Database!$A$1:$AS$1,),)))))/(((VLOOKUP(EDATE(B356,-12),Database!$A:$AS,MATCH($M$1,Database!$A$1:$AS$1,),))))</f>
        <v/>
      </c>
      <c r="N356" s="13">
        <f>((((VLOOKUP(B356,Database!$A:$AS,MATCH($N$1,Database!$A$1:$AS$1,),))))-(((VLOOKUP(EDATE(B356,-12),Database!$A:$AS,MATCH($N$1,Database!$A$1:$AS$1,),)))))/(((VLOOKUP(EDATE(B356,-12),Database!$A:$AS,MATCH($N$1,Database!$A$1:$AS$1,),))))</f>
        <v/>
      </c>
      <c r="O356" s="13">
        <f>IF(VLOOKUP(B356,Database!$A:$AV,MATCH($O$1,Database!$A$1:$AV$1,),)=0,"#N/A",((((VLOOKUP(B356,Database!$A:$AS,MATCH($O$1,Database!$A$1:$AS$1,),))))-(((VLOOKUP(EDATE(B356,-12),Database!$A:$AS,MATCH($O$1,Database!$A$1:$AS$1,),)))))/(((VLOOKUP(EDATE(B356,-12),Database!$A:$AS,MATCH($O$1,Database!$A$1:$AS$1,),)))))</f>
        <v/>
      </c>
      <c r="P356" s="13">
        <f>IF(VLOOKUP(B356,Database!$A:$AV,MATCH($P$1,Database!$A$1:$AV$1,),)=0,"#N/A",((((VLOOKUP(B356,Database!$A:$AS,MATCH($P$1,Database!$A$1:$AS$1,),))))-(((VLOOKUP(EDATE(B356,-12),Database!$A:$AS,MATCH($P$1,Database!$A$1:$AS$1,),)))))/(((VLOOKUP(EDATE(B356,-12),Database!$A:$AS,MATCH($P$1,Database!$A$1:$AS$1,),)))))</f>
        <v/>
      </c>
      <c r="Q356" s="13">
        <f>IF(VLOOKUP(B356,Database!$A:$AV,MATCH($Q$1,Database!$A$1:$AV$1,),)=0,"#N/A",((((VLOOKUP(B356,Database!$A:$AS,MATCH($Q$1,Database!$A$1:$AS$1,),))))-(((VLOOKUP(EDATE(B356,-12),Database!$A:$AS,MATCH($Q$1,Database!$A$1:$AS$1,),)))))/(((VLOOKUP(EDATE(B356,-12),Database!$A:$AS,MATCH($Q$1,Database!$A$1:$AS$1,),)))))</f>
        <v/>
      </c>
      <c r="R356" s="13">
        <f>IF(VLOOKUP(B356,Database!$A:$AV,MATCH($R$1,Database!$A$1:$AV$1,),)=0,"#N/A",((((VLOOKUP(B356,Database!$A:$AS,MATCH($R$1,Database!$A$1:$AS$1,),))))-(((VLOOKUP(EDATE(B356,-12),Database!$A:$AS,MATCH($R$1,Database!$A$1:$AS$1,),)))))/(((VLOOKUP(EDATE(B356,-12),Database!$A:$AS,MATCH($R$1,Database!$A$1:$AS$1,),)))))</f>
        <v/>
      </c>
      <c r="S356" s="13">
        <f>IF(VLOOKUP(B356,Database!$A:$AV,MATCH($S$1,Database!$A$1:$AV$1,),)=0,"#N/A",((((VLOOKUP(B356,Database!$A:$AS,MATCH($S$1,Database!$A$1:$AS$1,),))))-(((VLOOKUP(EDATE(B356,-12),Database!$A:$AS,MATCH($S$1,Database!$A$1:$AS$1,),)))))/(((VLOOKUP(EDATE(B356,-12),Database!$A:$AS,MATCH($S$1,Database!$A$1:$AS$1,),)))))</f>
        <v/>
      </c>
      <c r="T356" s="13">
        <f>IF(VLOOKUP(B356,Database!$A:$AV,MATCH($T$1,Database!$A$1:$AV$1,),)=0,"#N/A",((((VLOOKUP(B356,Database!$A:$AS,MATCH($T$1,Database!$A$1:$AS$1,),))))-(((VLOOKUP(EDATE(B356,-12),Database!$A:$AS,MATCH($T$1,Database!$A$1:$AS$1,),)))))/(((VLOOKUP(EDATE(B356,-12),Database!$A:$AS,MATCH($T$1,Database!$A$1:$AS$1,),)))))</f>
        <v/>
      </c>
      <c r="U356" s="13">
        <f>IF(VLOOKUP(B356,Database!$A:$AV,MATCH($U$1,Database!$A$1:$AV$1,),)=0,"#N/A",((((VLOOKUP(B356,Database!$A:$AS,MATCH($U$1,Database!$A$1:$AS$1,),))))-(((VLOOKUP(EDATE(B356,-12),Database!$A:$AS,MATCH($U$1,Database!$A$1:$AS$1,),)))))/(((VLOOKUP(EDATE(B356,-12),Database!$A:$AS,MATCH($U$1,Database!$A$1:$AS$1,),)))))</f>
        <v/>
      </c>
      <c r="V356" s="13">
        <f>IF(VLOOKUP(B356,Database!$A:$AV,MATCH($V$1,Database!$A$1:$AV$1,),)=0,"#N/A",((((VLOOKUP(B356,Database!$A:$AS,MATCH($V$1,Database!$A$1:$AS$1,),))))-(((VLOOKUP(EDATE(B356,-12),Database!$A:$AS,MATCH($V$1,Database!$A$1:$AS$1,),)))))/(((VLOOKUP(EDATE(B356,-12),Database!$A:$AS,MATCH($V$1,Database!$A$1:$AS$1,),)))))</f>
        <v/>
      </c>
    </row>
    <row r="357" customFormat="1" s="86">
      <c r="A357" s="43" t="n"/>
      <c r="B357" s="75" t="n">
        <v>43009</v>
      </c>
      <c r="C357" s="13">
        <f>IF(VLOOKUP(B357,Database!$A:$AU,MATCH($C$1,Database!$A$1:$AU$1,),)=0,"#N/A",((((VLOOKUP(B357,Database!$A:$AU,MATCH($C$1,Database!$A$1:$AU$1,),))))-(((VLOOKUP(EDATE(B357,-12),Database!$A:$AU,MATCH($C$1,Database!$A$1:$AU$1,),)))))/(((VLOOKUP(EDATE(B357,-12),Database!$A:$AU,MATCH($C$1,Database!$A$1:$AU$1,),)))))</f>
        <v/>
      </c>
      <c r="D357" s="13">
        <f>IF(VLOOKUP(B357,Database!$A:$AV,MATCH($D$1,Database!$A$1:$AV$1,),)=0,"#N/A",((((VLOOKUP(B357,Database!$A:$AS,MATCH($D$1,Database!$A$1:$AS$1,),))))-(((VLOOKUP(EDATE(B357,-12),Database!$A:$AS,MATCH($D$1,Database!$A$1:$AS$1,),)))))/(((VLOOKUP(EDATE(B357,-12),Database!$A:$AS,MATCH($D$1,Database!$A$1:$AS$1,),)))))</f>
        <v/>
      </c>
      <c r="E357" s="13">
        <f>IF(VLOOKUP(B357,Database!$A:$AV,MATCH($E$1,Database!$A$1:$AV$1,),)=0,"#N/A",((((VLOOKUP(B357,Database!$A:$AS,MATCH($E$1,Database!$A$1:$AS$1,),))))-(((VLOOKUP(EDATE(B357,-12),Database!$A:$AS,MATCH($E$1,Database!$A$1:$AS$1,),)))))/(((VLOOKUP(EDATE(B357,-12),Database!$A:$AS,MATCH($E$1,Database!$A$1:$AS$1,),)))))</f>
        <v/>
      </c>
      <c r="F357" s="13">
        <f>IF(VLOOKUP(B357,Database!$A:$AV,MATCH($F$1,Database!$A$1:$AV$1,),)=0,"#N/A",((((VLOOKUP(B357,Database!$A:$AS,MATCH($F$1,Database!$A$1:$AS$1,),))))-(((VLOOKUP(EDATE(B357,-12),Database!$A:$AS,MATCH($F$1,Database!$A$1:$AS$1,),)))))/(((VLOOKUP(EDATE(B357,-12),Database!$A:$AS,MATCH($F$1,Database!$A$1:$AS$1,),)))))</f>
        <v/>
      </c>
      <c r="G357" s="13">
        <f>IF(VLOOKUP(B357,Database!$A:$AV,MATCH($G$1,Database!$A$1:$AV$1,),)=0,"#N/A",((((VLOOKUP(B357,Database!$A:$AS,MATCH($G$1,Database!$A$1:$AS$1,),))))-(((VLOOKUP(EDATE(B357,-12),Database!$A:$AS,MATCH($G$1,Database!$A$1:$AS$1,),)))))/(((VLOOKUP(EDATE(B357,-12),Database!$A:$AS,MATCH($G$1,Database!$A$1:$AS$1,),)))))</f>
        <v/>
      </c>
      <c r="H357" s="13">
        <f>IF(VLOOKUP(B357,Database!$A:$AV,MATCH($H$1,Database!$A$1:$AV$1,),)=0,"#N/A",((((VLOOKUP(B357,Database!$A:$AS,MATCH($H$1,Database!$A$1:$AS$1,),))))-(((VLOOKUP(EDATE(B357,-12),Database!$A:$AS,MATCH($H$1,Database!$A$1:$AS$1,),)))))/(((VLOOKUP(EDATE(B357,-12),Database!$A:$AS,MATCH($H$1,Database!$A$1:$AS$1,),)))))</f>
        <v/>
      </c>
      <c r="I357" s="13">
        <f>IF(VLOOKUP(B357,Database!$A:$AV,MATCH($I$1,Database!$A$1:$AV$1,),)=0,"#N/A",((((VLOOKUP(B357,Database!$A:$AS,MATCH($I$1,Database!$A$1:$AS$1,),))))-(((VLOOKUP(EDATE(B357,-12),Database!$A:$AS,MATCH($I$1,Database!$A$1:$AS$1,),)))))/(((VLOOKUP(EDATE(B357,-12),Database!$A:$AS,MATCH($I$1,Database!$A$1:$AS$1,),)))))</f>
        <v/>
      </c>
      <c r="J357" s="13">
        <f>IF(VLOOKUP(B357,Database!$A:$AV,MATCH($J$1,Database!$A$1:$AV$1,),)=0,"#N/A",((((VLOOKUP(B357,Database!$A:$AS,MATCH($J$1,Database!$A$1:$AS$1,),))))-(((VLOOKUP(EDATE(B357,-12),Database!$A:$AS,MATCH($J$1,Database!$A$1:$AS$1,),)))))/(((VLOOKUP(EDATE(B357,-12),Database!$A:$AS,MATCH($J$1,Database!$A$1:$AS$1,),)))))</f>
        <v/>
      </c>
      <c r="K357" s="13">
        <f>IF(VLOOKUP(B357,Database!$A:$AV,MATCH($K$1,Database!$A$1:$AV$1,),)=0,"#N/A",((((VLOOKUP(B357,Database!$A:$AS,MATCH($K$1,Database!$A$1:$AS$1,),))))-(((VLOOKUP(EDATE(B357,-12),Database!$A:$AS,MATCH($K$1,Database!$A$1:$AS$1,),)))))/(((VLOOKUP(EDATE(B357,-12),Database!$A:$AS,MATCH($K$1,Database!$A$1:$AS$1,),)))))</f>
        <v/>
      </c>
      <c r="L357" s="13">
        <f>((((VLOOKUP(B357,Database!$A:$AS,MATCH($L$1,Database!$A$1:$AS$1,),))))-(((VLOOKUP(EDATE(B357,-12),Database!$A:$AS,MATCH($L$1,Database!$A$1:$AS$1,),)))))/(((VLOOKUP(EDATE(B357,-12),Database!$A:$AS,MATCH($L$1,Database!$A$1:$AS$1,),))))</f>
        <v/>
      </c>
      <c r="M357" s="13">
        <f>((((VLOOKUP(B357,Database!$A:$AS,MATCH($M$1,Database!$A$1:$AS$1,),))))-(((VLOOKUP(EDATE(B357,-12),Database!$A:$AS,MATCH($M$1,Database!$A$1:$AS$1,),)))))/(((VLOOKUP(EDATE(B357,-12),Database!$A:$AS,MATCH($M$1,Database!$A$1:$AS$1,),))))</f>
        <v/>
      </c>
      <c r="N357" s="13">
        <f>((((VLOOKUP(B357,Database!$A:$AS,MATCH($N$1,Database!$A$1:$AS$1,),))))-(((VLOOKUP(EDATE(B357,-12),Database!$A:$AS,MATCH($N$1,Database!$A$1:$AS$1,),)))))/(((VLOOKUP(EDATE(B357,-12),Database!$A:$AS,MATCH($N$1,Database!$A$1:$AS$1,),))))</f>
        <v/>
      </c>
      <c r="O357" s="13">
        <f>IF(VLOOKUP(B357,Database!$A:$AV,MATCH($O$1,Database!$A$1:$AV$1,),)=0,"#N/A",((((VLOOKUP(B357,Database!$A:$AS,MATCH($O$1,Database!$A$1:$AS$1,),))))-(((VLOOKUP(EDATE(B357,-12),Database!$A:$AS,MATCH($O$1,Database!$A$1:$AS$1,),)))))/(((VLOOKUP(EDATE(B357,-12),Database!$A:$AS,MATCH($O$1,Database!$A$1:$AS$1,),)))))</f>
        <v/>
      </c>
      <c r="P357" s="13">
        <f>IF(VLOOKUP(B357,Database!$A:$AV,MATCH($P$1,Database!$A$1:$AV$1,),)=0,"#N/A",((((VLOOKUP(B357,Database!$A:$AS,MATCH($P$1,Database!$A$1:$AS$1,),))))-(((VLOOKUP(EDATE(B357,-12),Database!$A:$AS,MATCH($P$1,Database!$A$1:$AS$1,),)))))/(((VLOOKUP(EDATE(B357,-12),Database!$A:$AS,MATCH($P$1,Database!$A$1:$AS$1,),)))))</f>
        <v/>
      </c>
      <c r="Q357" s="13">
        <f>IF(VLOOKUP(B357,Database!$A:$AV,MATCH($Q$1,Database!$A$1:$AV$1,),)=0,"#N/A",((((VLOOKUP(B357,Database!$A:$AS,MATCH($Q$1,Database!$A$1:$AS$1,),))))-(((VLOOKUP(EDATE(B357,-12),Database!$A:$AS,MATCH($Q$1,Database!$A$1:$AS$1,),)))))/(((VLOOKUP(EDATE(B357,-12),Database!$A:$AS,MATCH($Q$1,Database!$A$1:$AS$1,),)))))</f>
        <v/>
      </c>
      <c r="R357" s="13">
        <f>IF(VLOOKUP(B357,Database!$A:$AV,MATCH($R$1,Database!$A$1:$AV$1,),)=0,"#N/A",((((VLOOKUP(B357,Database!$A:$AS,MATCH($R$1,Database!$A$1:$AS$1,),))))-(((VLOOKUP(EDATE(B357,-12),Database!$A:$AS,MATCH($R$1,Database!$A$1:$AS$1,),)))))/(((VLOOKUP(EDATE(B357,-12),Database!$A:$AS,MATCH($R$1,Database!$A$1:$AS$1,),)))))</f>
        <v/>
      </c>
      <c r="S357" s="13">
        <f>IF(VLOOKUP(B357,Database!$A:$AV,MATCH($S$1,Database!$A$1:$AV$1,),)=0,"#N/A",((((VLOOKUP(B357,Database!$A:$AS,MATCH($S$1,Database!$A$1:$AS$1,),))))-(((VLOOKUP(EDATE(B357,-12),Database!$A:$AS,MATCH($S$1,Database!$A$1:$AS$1,),)))))/(((VLOOKUP(EDATE(B357,-12),Database!$A:$AS,MATCH($S$1,Database!$A$1:$AS$1,),)))))</f>
        <v/>
      </c>
      <c r="T357" s="13">
        <f>IF(VLOOKUP(B357,Database!$A:$AV,MATCH($T$1,Database!$A$1:$AV$1,),)=0,"#N/A",((((VLOOKUP(B357,Database!$A:$AS,MATCH($T$1,Database!$A$1:$AS$1,),))))-(((VLOOKUP(EDATE(B357,-12),Database!$A:$AS,MATCH($T$1,Database!$A$1:$AS$1,),)))))/(((VLOOKUP(EDATE(B357,-12),Database!$A:$AS,MATCH($T$1,Database!$A$1:$AS$1,),)))))</f>
        <v/>
      </c>
      <c r="U357" s="13">
        <f>IF(VLOOKUP(B357,Database!$A:$AV,MATCH($U$1,Database!$A$1:$AV$1,),)=0,"#N/A",((((VLOOKUP(B357,Database!$A:$AS,MATCH($U$1,Database!$A$1:$AS$1,),))))-(((VLOOKUP(EDATE(B357,-12),Database!$A:$AS,MATCH($U$1,Database!$A$1:$AS$1,),)))))/(((VLOOKUP(EDATE(B357,-12),Database!$A:$AS,MATCH($U$1,Database!$A$1:$AS$1,),)))))</f>
        <v/>
      </c>
      <c r="V357" s="13">
        <f>IF(VLOOKUP(B357,Database!$A:$AV,MATCH($V$1,Database!$A$1:$AV$1,),)=0,"#N/A",((((VLOOKUP(B357,Database!$A:$AS,MATCH($V$1,Database!$A$1:$AS$1,),))))-(((VLOOKUP(EDATE(B357,-12),Database!$A:$AS,MATCH($V$1,Database!$A$1:$AS$1,),)))))/(((VLOOKUP(EDATE(B357,-12),Database!$A:$AS,MATCH($V$1,Database!$A$1:$AS$1,),)))))</f>
        <v/>
      </c>
    </row>
    <row r="358" customFormat="1" s="86">
      <c r="A358" s="43" t="n"/>
      <c r="B358" s="75" t="n">
        <v>43040</v>
      </c>
      <c r="C358" s="13">
        <f>IF(VLOOKUP(B358,Database!$A:$AU,MATCH($C$1,Database!$A$1:$AU$1,),)=0,"#N/A",((((VLOOKUP(B358,Database!$A:$AU,MATCH($C$1,Database!$A$1:$AU$1,),))))-(((VLOOKUP(EDATE(B358,-12),Database!$A:$AU,MATCH($C$1,Database!$A$1:$AU$1,),)))))/(((VLOOKUP(EDATE(B358,-12),Database!$A:$AU,MATCH($C$1,Database!$A$1:$AU$1,),)))))</f>
        <v/>
      </c>
      <c r="D358" s="13">
        <f>IF(VLOOKUP(B358,Database!$A:$AV,MATCH($D$1,Database!$A$1:$AV$1,),)=0,"#N/A",((((VLOOKUP(B358,Database!$A:$AS,MATCH($D$1,Database!$A$1:$AS$1,),))))-(((VLOOKUP(EDATE(B358,-12),Database!$A:$AS,MATCH($D$1,Database!$A$1:$AS$1,),)))))/(((VLOOKUP(EDATE(B358,-12),Database!$A:$AS,MATCH($D$1,Database!$A$1:$AS$1,),)))))</f>
        <v/>
      </c>
      <c r="E358" s="13">
        <f>IF(VLOOKUP(B358,Database!$A:$AV,MATCH($E$1,Database!$A$1:$AV$1,),)=0,"#N/A",((((VLOOKUP(B358,Database!$A:$AS,MATCH($E$1,Database!$A$1:$AS$1,),))))-(((VLOOKUP(EDATE(B358,-12),Database!$A:$AS,MATCH($E$1,Database!$A$1:$AS$1,),)))))/(((VLOOKUP(EDATE(B358,-12),Database!$A:$AS,MATCH($E$1,Database!$A$1:$AS$1,),)))))</f>
        <v/>
      </c>
      <c r="F358" s="13">
        <f>IF(VLOOKUP(B358,Database!$A:$AV,MATCH($F$1,Database!$A$1:$AV$1,),)=0,"#N/A",((((VLOOKUP(B358,Database!$A:$AS,MATCH($F$1,Database!$A$1:$AS$1,),))))-(((VLOOKUP(EDATE(B358,-12),Database!$A:$AS,MATCH($F$1,Database!$A$1:$AS$1,),)))))/(((VLOOKUP(EDATE(B358,-12),Database!$A:$AS,MATCH($F$1,Database!$A$1:$AS$1,),)))))</f>
        <v/>
      </c>
      <c r="G358" s="13">
        <f>IF(VLOOKUP(B358,Database!$A:$AV,MATCH($G$1,Database!$A$1:$AV$1,),)=0,"#N/A",((((VLOOKUP(B358,Database!$A:$AS,MATCH($G$1,Database!$A$1:$AS$1,),))))-(((VLOOKUP(EDATE(B358,-12),Database!$A:$AS,MATCH($G$1,Database!$A$1:$AS$1,),)))))/(((VLOOKUP(EDATE(B358,-12),Database!$A:$AS,MATCH($G$1,Database!$A$1:$AS$1,),)))))</f>
        <v/>
      </c>
      <c r="H358" s="13">
        <f>IF(VLOOKUP(B358,Database!$A:$AV,MATCH($H$1,Database!$A$1:$AV$1,),)=0,"#N/A",((((VLOOKUP(B358,Database!$A:$AS,MATCH($H$1,Database!$A$1:$AS$1,),))))-(((VLOOKUP(EDATE(B358,-12),Database!$A:$AS,MATCH($H$1,Database!$A$1:$AS$1,),)))))/(((VLOOKUP(EDATE(B358,-12),Database!$A:$AS,MATCH($H$1,Database!$A$1:$AS$1,),)))))</f>
        <v/>
      </c>
      <c r="I358" s="13">
        <f>IF(VLOOKUP(B358,Database!$A:$AV,MATCH($I$1,Database!$A$1:$AV$1,),)=0,"#N/A",((((VLOOKUP(B358,Database!$A:$AS,MATCH($I$1,Database!$A$1:$AS$1,),))))-(((VLOOKUP(EDATE(B358,-12),Database!$A:$AS,MATCH($I$1,Database!$A$1:$AS$1,),)))))/(((VLOOKUP(EDATE(B358,-12),Database!$A:$AS,MATCH($I$1,Database!$A$1:$AS$1,),)))))</f>
        <v/>
      </c>
      <c r="J358" s="13">
        <f>IF(VLOOKUP(B358,Database!$A:$AV,MATCH($J$1,Database!$A$1:$AV$1,),)=0,"#N/A",((((VLOOKUP(B358,Database!$A:$AS,MATCH($J$1,Database!$A$1:$AS$1,),))))-(((VLOOKUP(EDATE(B358,-12),Database!$A:$AS,MATCH($J$1,Database!$A$1:$AS$1,),)))))/(((VLOOKUP(EDATE(B358,-12),Database!$A:$AS,MATCH($J$1,Database!$A$1:$AS$1,),)))))</f>
        <v/>
      </c>
      <c r="K358" s="13">
        <f>IF(VLOOKUP(B358,Database!$A:$AV,MATCH($K$1,Database!$A$1:$AV$1,),)=0,"#N/A",((((VLOOKUP(B358,Database!$A:$AS,MATCH($K$1,Database!$A$1:$AS$1,),))))-(((VLOOKUP(EDATE(B358,-12),Database!$A:$AS,MATCH($K$1,Database!$A$1:$AS$1,),)))))/(((VLOOKUP(EDATE(B358,-12),Database!$A:$AS,MATCH($K$1,Database!$A$1:$AS$1,),)))))</f>
        <v/>
      </c>
      <c r="L358" s="13">
        <f>((((VLOOKUP(B358,Database!$A:$AS,MATCH($L$1,Database!$A$1:$AS$1,),))))-(((VLOOKUP(EDATE(B358,-12),Database!$A:$AS,MATCH($L$1,Database!$A$1:$AS$1,),)))))/(((VLOOKUP(EDATE(B358,-12),Database!$A:$AS,MATCH($L$1,Database!$A$1:$AS$1,),))))</f>
        <v/>
      </c>
      <c r="M358" s="13">
        <f>((((VLOOKUP(B358,Database!$A:$AS,MATCH($M$1,Database!$A$1:$AS$1,),))))-(((VLOOKUP(EDATE(B358,-12),Database!$A:$AS,MATCH($M$1,Database!$A$1:$AS$1,),)))))/(((VLOOKUP(EDATE(B358,-12),Database!$A:$AS,MATCH($M$1,Database!$A$1:$AS$1,),))))</f>
        <v/>
      </c>
      <c r="N358" s="13">
        <f>((((VLOOKUP(B358,Database!$A:$AS,MATCH($N$1,Database!$A$1:$AS$1,),))))-(((VLOOKUP(EDATE(B358,-12),Database!$A:$AS,MATCH($N$1,Database!$A$1:$AS$1,),)))))/(((VLOOKUP(EDATE(B358,-12),Database!$A:$AS,MATCH($N$1,Database!$A$1:$AS$1,),))))</f>
        <v/>
      </c>
      <c r="O358" s="13">
        <f>IF(VLOOKUP(B358,Database!$A:$AV,MATCH($O$1,Database!$A$1:$AV$1,),)=0,"#N/A",((((VLOOKUP(B358,Database!$A:$AS,MATCH($O$1,Database!$A$1:$AS$1,),))))-(((VLOOKUP(EDATE(B358,-12),Database!$A:$AS,MATCH($O$1,Database!$A$1:$AS$1,),)))))/(((VLOOKUP(EDATE(B358,-12),Database!$A:$AS,MATCH($O$1,Database!$A$1:$AS$1,),)))))</f>
        <v/>
      </c>
      <c r="P358" s="13">
        <f>IF(VLOOKUP(B358,Database!$A:$AV,MATCH($P$1,Database!$A$1:$AV$1,),)=0,"#N/A",((((VLOOKUP(B358,Database!$A:$AS,MATCH($P$1,Database!$A$1:$AS$1,),))))-(((VLOOKUP(EDATE(B358,-12),Database!$A:$AS,MATCH($P$1,Database!$A$1:$AS$1,),)))))/(((VLOOKUP(EDATE(B358,-12),Database!$A:$AS,MATCH($P$1,Database!$A$1:$AS$1,),)))))</f>
        <v/>
      </c>
      <c r="Q358" s="13">
        <f>IF(VLOOKUP(B358,Database!$A:$AV,MATCH($Q$1,Database!$A$1:$AV$1,),)=0,"#N/A",((((VLOOKUP(B358,Database!$A:$AS,MATCH($Q$1,Database!$A$1:$AS$1,),))))-(((VLOOKUP(EDATE(B358,-12),Database!$A:$AS,MATCH($Q$1,Database!$A$1:$AS$1,),)))))/(((VLOOKUP(EDATE(B358,-12),Database!$A:$AS,MATCH($Q$1,Database!$A$1:$AS$1,),)))))</f>
        <v/>
      </c>
      <c r="R358" s="13">
        <f>IF(VLOOKUP(B358,Database!$A:$AV,MATCH($R$1,Database!$A$1:$AV$1,),)=0,"#N/A",((((VLOOKUP(B358,Database!$A:$AS,MATCH($R$1,Database!$A$1:$AS$1,),))))-(((VLOOKUP(EDATE(B358,-12),Database!$A:$AS,MATCH($R$1,Database!$A$1:$AS$1,),)))))/(((VLOOKUP(EDATE(B358,-12),Database!$A:$AS,MATCH($R$1,Database!$A$1:$AS$1,),)))))</f>
        <v/>
      </c>
      <c r="S358" s="13">
        <f>IF(VLOOKUP(B358,Database!$A:$AV,MATCH($S$1,Database!$A$1:$AV$1,),)=0,"#N/A",((((VLOOKUP(B358,Database!$A:$AS,MATCH($S$1,Database!$A$1:$AS$1,),))))-(((VLOOKUP(EDATE(B358,-12),Database!$A:$AS,MATCH($S$1,Database!$A$1:$AS$1,),)))))/(((VLOOKUP(EDATE(B358,-12),Database!$A:$AS,MATCH($S$1,Database!$A$1:$AS$1,),)))))</f>
        <v/>
      </c>
      <c r="T358" s="13">
        <f>IF(VLOOKUP(B358,Database!$A:$AV,MATCH($T$1,Database!$A$1:$AV$1,),)=0,"#N/A",((((VLOOKUP(B358,Database!$A:$AS,MATCH($T$1,Database!$A$1:$AS$1,),))))-(((VLOOKUP(EDATE(B358,-12),Database!$A:$AS,MATCH($T$1,Database!$A$1:$AS$1,),)))))/(((VLOOKUP(EDATE(B358,-12),Database!$A:$AS,MATCH($T$1,Database!$A$1:$AS$1,),)))))</f>
        <v/>
      </c>
      <c r="U358" s="13">
        <f>IF(VLOOKUP(B358,Database!$A:$AV,MATCH($U$1,Database!$A$1:$AV$1,),)=0,"#N/A",((((VLOOKUP(B358,Database!$A:$AS,MATCH($U$1,Database!$A$1:$AS$1,),))))-(((VLOOKUP(EDATE(B358,-12),Database!$A:$AS,MATCH($U$1,Database!$A$1:$AS$1,),)))))/(((VLOOKUP(EDATE(B358,-12),Database!$A:$AS,MATCH($U$1,Database!$A$1:$AS$1,),)))))</f>
        <v/>
      </c>
      <c r="V358" s="13">
        <f>IF(VLOOKUP(B358,Database!$A:$AV,MATCH($V$1,Database!$A$1:$AV$1,),)=0,"#N/A",((((VLOOKUP(B358,Database!$A:$AS,MATCH($V$1,Database!$A$1:$AS$1,),))))-(((VLOOKUP(EDATE(B358,-12),Database!$A:$AS,MATCH($V$1,Database!$A$1:$AS$1,),)))))/(((VLOOKUP(EDATE(B358,-12),Database!$A:$AS,MATCH($V$1,Database!$A$1:$AS$1,),)))))</f>
        <v/>
      </c>
    </row>
    <row r="359" customFormat="1" s="86">
      <c r="A359" s="43" t="n"/>
      <c r="B359" s="75" t="n">
        <v>43070</v>
      </c>
      <c r="C359" s="13">
        <f>IF(VLOOKUP(B359,Database!$A:$AU,MATCH($C$1,Database!$A$1:$AU$1,),)=0,"#N/A",((((VLOOKUP(B359,Database!$A:$AU,MATCH($C$1,Database!$A$1:$AU$1,),))))-(((VLOOKUP(EDATE(B359,-12),Database!$A:$AU,MATCH($C$1,Database!$A$1:$AU$1,),)))))/(((VLOOKUP(EDATE(B359,-12),Database!$A:$AU,MATCH($C$1,Database!$A$1:$AU$1,),)))))</f>
        <v/>
      </c>
      <c r="D359" s="13">
        <f>IF(VLOOKUP(B359,Database!$A:$AV,MATCH($D$1,Database!$A$1:$AV$1,),)=0,"#N/A",((((VLOOKUP(B359,Database!$A:$AS,MATCH($D$1,Database!$A$1:$AS$1,),))))-(((VLOOKUP(EDATE(B359,-12),Database!$A:$AS,MATCH($D$1,Database!$A$1:$AS$1,),)))))/(((VLOOKUP(EDATE(B359,-12),Database!$A:$AS,MATCH($D$1,Database!$A$1:$AS$1,),)))))</f>
        <v/>
      </c>
      <c r="E359" s="13">
        <f>IF(VLOOKUP(B359,Database!$A:$AV,MATCH($E$1,Database!$A$1:$AV$1,),)=0,"#N/A",((((VLOOKUP(B359,Database!$A:$AS,MATCH($E$1,Database!$A$1:$AS$1,),))))-(((VLOOKUP(EDATE(B359,-12),Database!$A:$AS,MATCH($E$1,Database!$A$1:$AS$1,),)))))/(((VLOOKUP(EDATE(B359,-12),Database!$A:$AS,MATCH($E$1,Database!$A$1:$AS$1,),)))))</f>
        <v/>
      </c>
      <c r="F359" s="13">
        <f>IF(VLOOKUP(B359,Database!$A:$AV,MATCH($F$1,Database!$A$1:$AV$1,),)=0,"#N/A",((((VLOOKUP(B359,Database!$A:$AS,MATCH($F$1,Database!$A$1:$AS$1,),))))-(((VLOOKUP(EDATE(B359,-12),Database!$A:$AS,MATCH($F$1,Database!$A$1:$AS$1,),)))))/(((VLOOKUP(EDATE(B359,-12),Database!$A:$AS,MATCH($F$1,Database!$A$1:$AS$1,),)))))</f>
        <v/>
      </c>
      <c r="G359" s="13">
        <f>IF(VLOOKUP(B359,Database!$A:$AV,MATCH($G$1,Database!$A$1:$AV$1,),)=0,"#N/A",((((VLOOKUP(B359,Database!$A:$AS,MATCH($G$1,Database!$A$1:$AS$1,),))))-(((VLOOKUP(EDATE(B359,-12),Database!$A:$AS,MATCH($G$1,Database!$A$1:$AS$1,),)))))/(((VLOOKUP(EDATE(B359,-12),Database!$A:$AS,MATCH($G$1,Database!$A$1:$AS$1,),)))))</f>
        <v/>
      </c>
      <c r="H359" s="13">
        <f>IF(VLOOKUP(B359,Database!$A:$AV,MATCH($H$1,Database!$A$1:$AV$1,),)=0,"#N/A",((((VLOOKUP(B359,Database!$A:$AS,MATCH($H$1,Database!$A$1:$AS$1,),))))-(((VLOOKUP(EDATE(B359,-12),Database!$A:$AS,MATCH($H$1,Database!$A$1:$AS$1,),)))))/(((VLOOKUP(EDATE(B359,-12),Database!$A:$AS,MATCH($H$1,Database!$A$1:$AS$1,),)))))</f>
        <v/>
      </c>
      <c r="I359" s="13">
        <f>IF(VLOOKUP(B359,Database!$A:$AV,MATCH($I$1,Database!$A$1:$AV$1,),)=0,"#N/A",((((VLOOKUP(B359,Database!$A:$AS,MATCH($I$1,Database!$A$1:$AS$1,),))))-(((VLOOKUP(EDATE(B359,-12),Database!$A:$AS,MATCH($I$1,Database!$A$1:$AS$1,),)))))/(((VLOOKUP(EDATE(B359,-12),Database!$A:$AS,MATCH($I$1,Database!$A$1:$AS$1,),)))))</f>
        <v/>
      </c>
      <c r="J359" s="13">
        <f>IF(VLOOKUP(B359,Database!$A:$AV,MATCH($J$1,Database!$A$1:$AV$1,),)=0,"#N/A",((((VLOOKUP(B359,Database!$A:$AS,MATCH($J$1,Database!$A$1:$AS$1,),))))-(((VLOOKUP(EDATE(B359,-12),Database!$A:$AS,MATCH($J$1,Database!$A$1:$AS$1,),)))))/(((VLOOKUP(EDATE(B359,-12),Database!$A:$AS,MATCH($J$1,Database!$A$1:$AS$1,),)))))</f>
        <v/>
      </c>
      <c r="K359" s="13">
        <f>IF(VLOOKUP(B359,Database!$A:$AV,MATCH($K$1,Database!$A$1:$AV$1,),)=0,"#N/A",((((VLOOKUP(B359,Database!$A:$AS,MATCH($K$1,Database!$A$1:$AS$1,),))))-(((VLOOKUP(EDATE(B359,-12),Database!$A:$AS,MATCH($K$1,Database!$A$1:$AS$1,),)))))/(((VLOOKUP(EDATE(B359,-12),Database!$A:$AS,MATCH($K$1,Database!$A$1:$AS$1,),)))))</f>
        <v/>
      </c>
      <c r="L359" s="13">
        <f>((((VLOOKUP(B359,Database!$A:$AS,MATCH($L$1,Database!$A$1:$AS$1,),))))-(((VLOOKUP(EDATE(B359,-12),Database!$A:$AS,MATCH($L$1,Database!$A$1:$AS$1,),)))))/(((VLOOKUP(EDATE(B359,-12),Database!$A:$AS,MATCH($L$1,Database!$A$1:$AS$1,),))))</f>
        <v/>
      </c>
      <c r="M359" s="13">
        <f>((((VLOOKUP(B359,Database!$A:$AS,MATCH($M$1,Database!$A$1:$AS$1,),))))-(((VLOOKUP(EDATE(B359,-12),Database!$A:$AS,MATCH($M$1,Database!$A$1:$AS$1,),)))))/(((VLOOKUP(EDATE(B359,-12),Database!$A:$AS,MATCH($M$1,Database!$A$1:$AS$1,),))))</f>
        <v/>
      </c>
      <c r="N359" s="13">
        <f>((((VLOOKUP(B359,Database!$A:$AS,MATCH($N$1,Database!$A$1:$AS$1,),))))-(((VLOOKUP(EDATE(B359,-12),Database!$A:$AS,MATCH($N$1,Database!$A$1:$AS$1,),)))))/(((VLOOKUP(EDATE(B359,-12),Database!$A:$AS,MATCH($N$1,Database!$A$1:$AS$1,),))))</f>
        <v/>
      </c>
      <c r="O359" s="13">
        <f>IF(VLOOKUP(B359,Database!$A:$AV,MATCH($O$1,Database!$A$1:$AV$1,),)=0,"#N/A",((((VLOOKUP(B359,Database!$A:$AS,MATCH($O$1,Database!$A$1:$AS$1,),))))-(((VLOOKUP(EDATE(B359,-12),Database!$A:$AS,MATCH($O$1,Database!$A$1:$AS$1,),)))))/(((VLOOKUP(EDATE(B359,-12),Database!$A:$AS,MATCH($O$1,Database!$A$1:$AS$1,),)))))</f>
        <v/>
      </c>
      <c r="P359" s="13">
        <f>IF(VLOOKUP(B359,Database!$A:$AV,MATCH($P$1,Database!$A$1:$AV$1,),)=0,"#N/A",((((VLOOKUP(B359,Database!$A:$AS,MATCH($P$1,Database!$A$1:$AS$1,),))))-(((VLOOKUP(EDATE(B359,-12),Database!$A:$AS,MATCH($P$1,Database!$A$1:$AS$1,),)))))/(((VLOOKUP(EDATE(B359,-12),Database!$A:$AS,MATCH($P$1,Database!$A$1:$AS$1,),)))))</f>
        <v/>
      </c>
      <c r="Q359" s="13">
        <f>IF(VLOOKUP(B359,Database!$A:$AV,MATCH($Q$1,Database!$A$1:$AV$1,),)=0,"#N/A",((((VLOOKUP(B359,Database!$A:$AS,MATCH($Q$1,Database!$A$1:$AS$1,),))))-(((VLOOKUP(EDATE(B359,-12),Database!$A:$AS,MATCH($Q$1,Database!$A$1:$AS$1,),)))))/(((VLOOKUP(EDATE(B359,-12),Database!$A:$AS,MATCH($Q$1,Database!$A$1:$AS$1,),)))))</f>
        <v/>
      </c>
      <c r="R359" s="13">
        <f>IF(VLOOKUP(B359,Database!$A:$AV,MATCH($R$1,Database!$A$1:$AV$1,),)=0,"#N/A",((((VLOOKUP(B359,Database!$A:$AS,MATCH($R$1,Database!$A$1:$AS$1,),))))-(((VLOOKUP(EDATE(B359,-12),Database!$A:$AS,MATCH($R$1,Database!$A$1:$AS$1,),)))))/(((VLOOKUP(EDATE(B359,-12),Database!$A:$AS,MATCH($R$1,Database!$A$1:$AS$1,),)))))</f>
        <v/>
      </c>
      <c r="S359" s="13">
        <f>IF(VLOOKUP(B359,Database!$A:$AV,MATCH($S$1,Database!$A$1:$AV$1,),)=0,"#N/A",((((VLOOKUP(B359,Database!$A:$AS,MATCH($S$1,Database!$A$1:$AS$1,),))))-(((VLOOKUP(EDATE(B359,-12),Database!$A:$AS,MATCH($S$1,Database!$A$1:$AS$1,),)))))/(((VLOOKUP(EDATE(B359,-12),Database!$A:$AS,MATCH($S$1,Database!$A$1:$AS$1,),)))))</f>
        <v/>
      </c>
      <c r="T359" s="13">
        <f>IF(VLOOKUP(B359,Database!$A:$AV,MATCH($T$1,Database!$A$1:$AV$1,),)=0,"#N/A",((((VLOOKUP(B359,Database!$A:$AS,MATCH($T$1,Database!$A$1:$AS$1,),))))-(((VLOOKUP(EDATE(B359,-12),Database!$A:$AS,MATCH($T$1,Database!$A$1:$AS$1,),)))))/(((VLOOKUP(EDATE(B359,-12),Database!$A:$AS,MATCH($T$1,Database!$A$1:$AS$1,),)))))</f>
        <v/>
      </c>
      <c r="U359" s="13">
        <f>IF(VLOOKUP(B359,Database!$A:$AV,MATCH($U$1,Database!$A$1:$AV$1,),)=0,"#N/A",((((VLOOKUP(B359,Database!$A:$AS,MATCH($U$1,Database!$A$1:$AS$1,),))))-(((VLOOKUP(EDATE(B359,-12),Database!$A:$AS,MATCH($U$1,Database!$A$1:$AS$1,),)))))/(((VLOOKUP(EDATE(B359,-12),Database!$A:$AS,MATCH($U$1,Database!$A$1:$AS$1,),)))))</f>
        <v/>
      </c>
      <c r="V359" s="13">
        <f>IF(VLOOKUP(B359,Database!$A:$AV,MATCH($V$1,Database!$A$1:$AV$1,),)=0,"#N/A",((((VLOOKUP(B359,Database!$A:$AS,MATCH($V$1,Database!$A$1:$AS$1,),))))-(((VLOOKUP(EDATE(B359,-12),Database!$A:$AS,MATCH($V$1,Database!$A$1:$AS$1,),)))))/(((VLOOKUP(EDATE(B359,-12),Database!$A:$AS,MATCH($V$1,Database!$A$1:$AS$1,),)))))</f>
        <v/>
      </c>
    </row>
    <row r="360" customFormat="1" s="86">
      <c r="A360" s="43" t="n"/>
      <c r="B360" s="75" t="n">
        <v>43101</v>
      </c>
      <c r="C360" s="13">
        <f>IF(VLOOKUP(B360,Database!$A:$AU,MATCH($C$1,Database!$A$1:$AU$1,),)=0,"#N/A",((((VLOOKUP(B360,Database!$A:$AU,MATCH($C$1,Database!$A$1:$AU$1,),))))-(((VLOOKUP(EDATE(B360,-12),Database!$A:$AU,MATCH($C$1,Database!$A$1:$AU$1,),)))))/(((VLOOKUP(EDATE(B360,-12),Database!$A:$AU,MATCH($C$1,Database!$A$1:$AU$1,),)))))</f>
        <v/>
      </c>
      <c r="D360" s="13">
        <f>IF(VLOOKUP(B360,Database!$A:$AV,MATCH($D$1,Database!$A$1:$AV$1,),)=0,"#N/A",((((VLOOKUP(B360,Database!$A:$AS,MATCH($D$1,Database!$A$1:$AS$1,),))))-(((VLOOKUP(EDATE(B360,-12),Database!$A:$AS,MATCH($D$1,Database!$A$1:$AS$1,),)))))/(((VLOOKUP(EDATE(B360,-12),Database!$A:$AS,MATCH($D$1,Database!$A$1:$AS$1,),)))))</f>
        <v/>
      </c>
      <c r="E360" s="13">
        <f>IF(VLOOKUP(B360,Database!$A:$AV,MATCH($E$1,Database!$A$1:$AV$1,),)=0,"#N/A",((((VLOOKUP(B360,Database!$A:$AS,MATCH($E$1,Database!$A$1:$AS$1,),))))-(((VLOOKUP(EDATE(B360,-12),Database!$A:$AS,MATCH($E$1,Database!$A$1:$AS$1,),)))))/(((VLOOKUP(EDATE(B360,-12),Database!$A:$AS,MATCH($E$1,Database!$A$1:$AS$1,),)))))</f>
        <v/>
      </c>
      <c r="F360" s="13">
        <f>IF(VLOOKUP(B360,Database!$A:$AV,MATCH($F$1,Database!$A$1:$AV$1,),)=0,"#N/A",((((VLOOKUP(B360,Database!$A:$AS,MATCH($F$1,Database!$A$1:$AS$1,),))))-(((VLOOKUP(EDATE(B360,-12),Database!$A:$AS,MATCH($F$1,Database!$A$1:$AS$1,),)))))/(((VLOOKUP(EDATE(B360,-12),Database!$A:$AS,MATCH($F$1,Database!$A$1:$AS$1,),)))))</f>
        <v/>
      </c>
      <c r="G360" s="13">
        <f>IF(VLOOKUP(B360,Database!$A:$AV,MATCH($G$1,Database!$A$1:$AV$1,),)=0,"#N/A",((((VLOOKUP(B360,Database!$A:$AS,MATCH($G$1,Database!$A$1:$AS$1,),))))-(((VLOOKUP(EDATE(B360,-12),Database!$A:$AS,MATCH($G$1,Database!$A$1:$AS$1,),)))))/(((VLOOKUP(EDATE(B360,-12),Database!$A:$AS,MATCH($G$1,Database!$A$1:$AS$1,),)))))</f>
        <v/>
      </c>
      <c r="H360" s="13">
        <f>IF(VLOOKUP(B360,Database!$A:$AV,MATCH($H$1,Database!$A$1:$AV$1,),)=0,"#N/A",((((VLOOKUP(B360,Database!$A:$AS,MATCH($H$1,Database!$A$1:$AS$1,),))))-(((VLOOKUP(EDATE(B360,-12),Database!$A:$AS,MATCH($H$1,Database!$A$1:$AS$1,),)))))/(((VLOOKUP(EDATE(B360,-12),Database!$A:$AS,MATCH($H$1,Database!$A$1:$AS$1,),)))))</f>
        <v/>
      </c>
      <c r="I360" s="13">
        <f>IF(VLOOKUP(B360,Database!$A:$AV,MATCH($I$1,Database!$A$1:$AV$1,),)=0,"#N/A",((((VLOOKUP(B360,Database!$A:$AS,MATCH($I$1,Database!$A$1:$AS$1,),))))-(((VLOOKUP(EDATE(B360,-12),Database!$A:$AS,MATCH($I$1,Database!$A$1:$AS$1,),)))))/(((VLOOKUP(EDATE(B360,-12),Database!$A:$AS,MATCH($I$1,Database!$A$1:$AS$1,),)))))</f>
        <v/>
      </c>
      <c r="J360" s="13">
        <f>IF(VLOOKUP(B360,Database!$A:$AV,MATCH($J$1,Database!$A$1:$AV$1,),)=0,"#N/A",((((VLOOKUP(B360,Database!$A:$AS,MATCH($J$1,Database!$A$1:$AS$1,),))))-(((VLOOKUP(EDATE(B360,-12),Database!$A:$AS,MATCH($J$1,Database!$A$1:$AS$1,),)))))/(((VLOOKUP(EDATE(B360,-12),Database!$A:$AS,MATCH($J$1,Database!$A$1:$AS$1,),)))))</f>
        <v/>
      </c>
      <c r="K360" s="13">
        <f>IF(VLOOKUP(B360,Database!$A:$AV,MATCH($K$1,Database!$A$1:$AV$1,),)=0,"#N/A",((((VLOOKUP(B360,Database!$A:$AS,MATCH($K$1,Database!$A$1:$AS$1,),))))-(((VLOOKUP(EDATE(B360,-12),Database!$A:$AS,MATCH($K$1,Database!$A$1:$AS$1,),)))))/(((VLOOKUP(EDATE(B360,-12),Database!$A:$AS,MATCH($K$1,Database!$A$1:$AS$1,),)))))</f>
        <v/>
      </c>
      <c r="L360" s="13">
        <f>((((VLOOKUP(B360,Database!$A:$AS,MATCH($L$1,Database!$A$1:$AS$1,),))))-(((VLOOKUP(EDATE(B360,-12),Database!$A:$AS,MATCH($L$1,Database!$A$1:$AS$1,),)))))/(((VLOOKUP(EDATE(B360,-12),Database!$A:$AS,MATCH($L$1,Database!$A$1:$AS$1,),))))</f>
        <v/>
      </c>
      <c r="M360" s="13">
        <f>((((VLOOKUP(B360,Database!$A:$AS,MATCH($M$1,Database!$A$1:$AS$1,),))))-(((VLOOKUP(EDATE(B360,-12),Database!$A:$AS,MATCH($M$1,Database!$A$1:$AS$1,),)))))/(((VLOOKUP(EDATE(B360,-12),Database!$A:$AS,MATCH($M$1,Database!$A$1:$AS$1,),))))</f>
        <v/>
      </c>
      <c r="N360" s="13">
        <f>((((VLOOKUP(B360,Database!$A:$AS,MATCH($N$1,Database!$A$1:$AS$1,),))))-(((VLOOKUP(EDATE(B360,-12),Database!$A:$AS,MATCH($N$1,Database!$A$1:$AS$1,),)))))/(((VLOOKUP(EDATE(B360,-12),Database!$A:$AS,MATCH($N$1,Database!$A$1:$AS$1,),))))</f>
        <v/>
      </c>
      <c r="O360" s="13">
        <f>IF(VLOOKUP(B360,Database!$A:$AV,MATCH($O$1,Database!$A$1:$AV$1,),)=0,"#N/A",((((VLOOKUP(B360,Database!$A:$AS,MATCH($O$1,Database!$A$1:$AS$1,),))))-(((VLOOKUP(EDATE(B360,-12),Database!$A:$AS,MATCH($O$1,Database!$A$1:$AS$1,),)))))/(((VLOOKUP(EDATE(B360,-12),Database!$A:$AS,MATCH($O$1,Database!$A$1:$AS$1,),)))))</f>
        <v/>
      </c>
      <c r="P360" s="13">
        <f>IF(VLOOKUP(B360,Database!$A:$AV,MATCH($P$1,Database!$A$1:$AV$1,),)=0,"#N/A",((((VLOOKUP(B360,Database!$A:$AS,MATCH($P$1,Database!$A$1:$AS$1,),))))-(((VLOOKUP(EDATE(B360,-12),Database!$A:$AS,MATCH($P$1,Database!$A$1:$AS$1,),)))))/(((VLOOKUP(EDATE(B360,-12),Database!$A:$AS,MATCH($P$1,Database!$A$1:$AS$1,),)))))</f>
        <v/>
      </c>
      <c r="Q360" s="13">
        <f>IF(VLOOKUP(B360,Database!$A:$AV,MATCH($Q$1,Database!$A$1:$AV$1,),)=0,"#N/A",((((VLOOKUP(B360,Database!$A:$AS,MATCH($Q$1,Database!$A$1:$AS$1,),))))-(((VLOOKUP(EDATE(B360,-12),Database!$A:$AS,MATCH($Q$1,Database!$A$1:$AS$1,),)))))/(((VLOOKUP(EDATE(B360,-12),Database!$A:$AS,MATCH($Q$1,Database!$A$1:$AS$1,),)))))</f>
        <v/>
      </c>
      <c r="R360" s="13">
        <f>IF(VLOOKUP(B360,Database!$A:$AV,MATCH($R$1,Database!$A$1:$AV$1,),)=0,"#N/A",((((VLOOKUP(B360,Database!$A:$AS,MATCH($R$1,Database!$A$1:$AS$1,),))))-(((VLOOKUP(EDATE(B360,-12),Database!$A:$AS,MATCH($R$1,Database!$A$1:$AS$1,),)))))/(((VLOOKUP(EDATE(B360,-12),Database!$A:$AS,MATCH($R$1,Database!$A$1:$AS$1,),)))))</f>
        <v/>
      </c>
      <c r="S360" s="13">
        <f>IF(VLOOKUP(B360,Database!$A:$AV,MATCH($S$1,Database!$A$1:$AV$1,),)=0,"#N/A",((((VLOOKUP(B360,Database!$A:$AS,MATCH($S$1,Database!$A$1:$AS$1,),))))-(((VLOOKUP(EDATE(B360,-12),Database!$A:$AS,MATCH($S$1,Database!$A$1:$AS$1,),)))))/(((VLOOKUP(EDATE(B360,-12),Database!$A:$AS,MATCH($S$1,Database!$A$1:$AS$1,),)))))</f>
        <v/>
      </c>
      <c r="T360" s="13">
        <f>IF(VLOOKUP(B360,Database!$A:$AV,MATCH($T$1,Database!$A$1:$AV$1,),)=0,"#N/A",((((VLOOKUP(B360,Database!$A:$AS,MATCH($T$1,Database!$A$1:$AS$1,),))))-(((VLOOKUP(EDATE(B360,-12),Database!$A:$AS,MATCH($T$1,Database!$A$1:$AS$1,),)))))/(((VLOOKUP(EDATE(B360,-12),Database!$A:$AS,MATCH($T$1,Database!$A$1:$AS$1,),)))))</f>
        <v/>
      </c>
      <c r="U360" s="13">
        <f>IF(VLOOKUP(B360,Database!$A:$AV,MATCH($U$1,Database!$A$1:$AV$1,),)=0,"#N/A",((((VLOOKUP(B360,Database!$A:$AS,MATCH($U$1,Database!$A$1:$AS$1,),))))-(((VLOOKUP(EDATE(B360,-12),Database!$A:$AS,MATCH($U$1,Database!$A$1:$AS$1,),)))))/(((VLOOKUP(EDATE(B360,-12),Database!$A:$AS,MATCH($U$1,Database!$A$1:$AS$1,),)))))</f>
        <v/>
      </c>
      <c r="V360" s="13">
        <f>IF(VLOOKUP(B360,Database!$A:$AV,MATCH($V$1,Database!$A$1:$AV$1,),)=0,"#N/A",((((VLOOKUP(B360,Database!$A:$AS,MATCH($V$1,Database!$A$1:$AS$1,),))))-(((VLOOKUP(EDATE(B360,-12),Database!$A:$AS,MATCH($V$1,Database!$A$1:$AS$1,),)))))/(((VLOOKUP(EDATE(B360,-12),Database!$A:$AS,MATCH($V$1,Database!$A$1:$AS$1,),)))))</f>
        <v/>
      </c>
    </row>
    <row r="361" customFormat="1" s="86">
      <c r="A361" s="43" t="n"/>
      <c r="B361" s="75" t="n">
        <v>43132</v>
      </c>
      <c r="C361" s="13">
        <f>IF(VLOOKUP(B361,Database!$A:$AU,MATCH($C$1,Database!$A$1:$AU$1,),)=0,"#N/A",((((VLOOKUP(B361,Database!$A:$AU,MATCH($C$1,Database!$A$1:$AU$1,),))))-(((VLOOKUP(EDATE(B361,-12),Database!$A:$AU,MATCH($C$1,Database!$A$1:$AU$1,),)))))/(((VLOOKUP(EDATE(B361,-12),Database!$A:$AU,MATCH($C$1,Database!$A$1:$AU$1,),)))))</f>
        <v/>
      </c>
      <c r="D361" s="13">
        <f>IF(VLOOKUP(B361,Database!$A:$AV,MATCH($D$1,Database!$A$1:$AV$1,),)=0,"#N/A",((((VLOOKUP(B361,Database!$A:$AS,MATCH($D$1,Database!$A$1:$AS$1,),))))-(((VLOOKUP(EDATE(B361,-12),Database!$A:$AS,MATCH($D$1,Database!$A$1:$AS$1,),)))))/(((VLOOKUP(EDATE(B361,-12),Database!$A:$AS,MATCH($D$1,Database!$A$1:$AS$1,),)))))</f>
        <v/>
      </c>
      <c r="E361" s="13">
        <f>IF(VLOOKUP(B361,Database!$A:$AV,MATCH($E$1,Database!$A$1:$AV$1,),)=0,"#N/A",((((VLOOKUP(B361,Database!$A:$AS,MATCH($E$1,Database!$A$1:$AS$1,),))))-(((VLOOKUP(EDATE(B361,-12),Database!$A:$AS,MATCH($E$1,Database!$A$1:$AS$1,),)))))/(((VLOOKUP(EDATE(B361,-12),Database!$A:$AS,MATCH($E$1,Database!$A$1:$AS$1,),)))))</f>
        <v/>
      </c>
      <c r="F361" s="13">
        <f>IF(VLOOKUP(B361,Database!$A:$AV,MATCH($F$1,Database!$A$1:$AV$1,),)=0,"#N/A",((((VLOOKUP(B361,Database!$A:$AS,MATCH($F$1,Database!$A$1:$AS$1,),))))-(((VLOOKUP(EDATE(B361,-12),Database!$A:$AS,MATCH($F$1,Database!$A$1:$AS$1,),)))))/(((VLOOKUP(EDATE(B361,-12),Database!$A:$AS,MATCH($F$1,Database!$A$1:$AS$1,),)))))</f>
        <v/>
      </c>
      <c r="G361" s="13">
        <f>IF(VLOOKUP(B361,Database!$A:$AV,MATCH($G$1,Database!$A$1:$AV$1,),)=0,"#N/A",((((VLOOKUP(B361,Database!$A:$AS,MATCH($G$1,Database!$A$1:$AS$1,),))))-(((VLOOKUP(EDATE(B361,-12),Database!$A:$AS,MATCH($G$1,Database!$A$1:$AS$1,),)))))/(((VLOOKUP(EDATE(B361,-12),Database!$A:$AS,MATCH($G$1,Database!$A$1:$AS$1,),)))))</f>
        <v/>
      </c>
      <c r="H361" s="13">
        <f>IF(VLOOKUP(B361,Database!$A:$AV,MATCH($H$1,Database!$A$1:$AV$1,),)=0,"#N/A",((((VLOOKUP(B361,Database!$A:$AS,MATCH($H$1,Database!$A$1:$AS$1,),))))-(((VLOOKUP(EDATE(B361,-12),Database!$A:$AS,MATCH($H$1,Database!$A$1:$AS$1,),)))))/(((VLOOKUP(EDATE(B361,-12),Database!$A:$AS,MATCH($H$1,Database!$A$1:$AS$1,),)))))</f>
        <v/>
      </c>
      <c r="I361" s="13">
        <f>IF(VLOOKUP(B361,Database!$A:$AV,MATCH($I$1,Database!$A$1:$AV$1,),)=0,"#N/A",((((VLOOKUP(B361,Database!$A:$AS,MATCH($I$1,Database!$A$1:$AS$1,),))))-(((VLOOKUP(EDATE(B361,-12),Database!$A:$AS,MATCH($I$1,Database!$A$1:$AS$1,),)))))/(((VLOOKUP(EDATE(B361,-12),Database!$A:$AS,MATCH($I$1,Database!$A$1:$AS$1,),)))))</f>
        <v/>
      </c>
      <c r="J361" s="13">
        <f>IF(VLOOKUP(B361,Database!$A:$AV,MATCH($J$1,Database!$A$1:$AV$1,),)=0,"#N/A",((((VLOOKUP(B361,Database!$A:$AS,MATCH($J$1,Database!$A$1:$AS$1,),))))-(((VLOOKUP(EDATE(B361,-12),Database!$A:$AS,MATCH($J$1,Database!$A$1:$AS$1,),)))))/(((VLOOKUP(EDATE(B361,-12),Database!$A:$AS,MATCH($J$1,Database!$A$1:$AS$1,),)))))</f>
        <v/>
      </c>
      <c r="K361" s="13">
        <f>IF(VLOOKUP(B361,Database!$A:$AV,MATCH($K$1,Database!$A$1:$AV$1,),)=0,"#N/A",((((VLOOKUP(B361,Database!$A:$AS,MATCH($K$1,Database!$A$1:$AS$1,),))))-(((VLOOKUP(EDATE(B361,-12),Database!$A:$AS,MATCH($K$1,Database!$A$1:$AS$1,),)))))/(((VLOOKUP(EDATE(B361,-12),Database!$A:$AS,MATCH($K$1,Database!$A$1:$AS$1,),)))))</f>
        <v/>
      </c>
      <c r="L361" s="13">
        <f>((((VLOOKUP(B361,Database!$A:$AS,MATCH($L$1,Database!$A$1:$AS$1,),))))-(((VLOOKUP(EDATE(B361,-12),Database!$A:$AS,MATCH($L$1,Database!$A$1:$AS$1,),)))))/(((VLOOKUP(EDATE(B361,-12),Database!$A:$AS,MATCH($L$1,Database!$A$1:$AS$1,),))))</f>
        <v/>
      </c>
      <c r="M361" s="13">
        <f>((((VLOOKUP(B361,Database!$A:$AS,MATCH($M$1,Database!$A$1:$AS$1,),))))-(((VLOOKUP(EDATE(B361,-12),Database!$A:$AS,MATCH($M$1,Database!$A$1:$AS$1,),)))))/(((VLOOKUP(EDATE(B361,-12),Database!$A:$AS,MATCH($M$1,Database!$A$1:$AS$1,),))))</f>
        <v/>
      </c>
      <c r="N361" s="13">
        <f>((((VLOOKUP(B361,Database!$A:$AS,MATCH($N$1,Database!$A$1:$AS$1,),))))-(((VLOOKUP(EDATE(B361,-12),Database!$A:$AS,MATCH($N$1,Database!$A$1:$AS$1,),)))))/(((VLOOKUP(EDATE(B361,-12),Database!$A:$AS,MATCH($N$1,Database!$A$1:$AS$1,),))))</f>
        <v/>
      </c>
      <c r="O361" s="13">
        <f>IF(VLOOKUP(B361,Database!$A:$AV,MATCH($O$1,Database!$A$1:$AV$1,),)=0,"#N/A",((((VLOOKUP(B361,Database!$A:$AS,MATCH($O$1,Database!$A$1:$AS$1,),))))-(((VLOOKUP(EDATE(B361,-12),Database!$A:$AS,MATCH($O$1,Database!$A$1:$AS$1,),)))))/(((VLOOKUP(EDATE(B361,-12),Database!$A:$AS,MATCH($O$1,Database!$A$1:$AS$1,),)))))</f>
        <v/>
      </c>
      <c r="P361" s="13">
        <f>IF(VLOOKUP(B361,Database!$A:$AV,MATCH($P$1,Database!$A$1:$AV$1,),)=0,"#N/A",((((VLOOKUP(B361,Database!$A:$AS,MATCH($P$1,Database!$A$1:$AS$1,),))))-(((VLOOKUP(EDATE(B361,-12),Database!$A:$AS,MATCH($P$1,Database!$A$1:$AS$1,),)))))/(((VLOOKUP(EDATE(B361,-12),Database!$A:$AS,MATCH($P$1,Database!$A$1:$AS$1,),)))))</f>
        <v/>
      </c>
      <c r="Q361" s="13">
        <f>IF(VLOOKUP(B361,Database!$A:$AV,MATCH($Q$1,Database!$A$1:$AV$1,),)=0,"#N/A",((((VLOOKUP(B361,Database!$A:$AS,MATCH($Q$1,Database!$A$1:$AS$1,),))))-(((VLOOKUP(EDATE(B361,-12),Database!$A:$AS,MATCH($Q$1,Database!$A$1:$AS$1,),)))))/(((VLOOKUP(EDATE(B361,-12),Database!$A:$AS,MATCH($Q$1,Database!$A$1:$AS$1,),)))))</f>
        <v/>
      </c>
      <c r="R361" s="13">
        <f>IF(VLOOKUP(B361,Database!$A:$AV,MATCH($R$1,Database!$A$1:$AV$1,),)=0,"#N/A",((((VLOOKUP(B361,Database!$A:$AS,MATCH($R$1,Database!$A$1:$AS$1,),))))-(((VLOOKUP(EDATE(B361,-12),Database!$A:$AS,MATCH($R$1,Database!$A$1:$AS$1,),)))))/(((VLOOKUP(EDATE(B361,-12),Database!$A:$AS,MATCH($R$1,Database!$A$1:$AS$1,),)))))</f>
        <v/>
      </c>
      <c r="S361" s="13">
        <f>IF(VLOOKUP(B361,Database!$A:$AV,MATCH($S$1,Database!$A$1:$AV$1,),)=0,"#N/A",((((VLOOKUP(B361,Database!$A:$AS,MATCH($S$1,Database!$A$1:$AS$1,),))))-(((VLOOKUP(EDATE(B361,-12),Database!$A:$AS,MATCH($S$1,Database!$A$1:$AS$1,),)))))/(((VLOOKUP(EDATE(B361,-12),Database!$A:$AS,MATCH($S$1,Database!$A$1:$AS$1,),)))))</f>
        <v/>
      </c>
      <c r="T361" s="13">
        <f>IF(VLOOKUP(B361,Database!$A:$AV,MATCH($T$1,Database!$A$1:$AV$1,),)=0,"#N/A",((((VLOOKUP(B361,Database!$A:$AS,MATCH($T$1,Database!$A$1:$AS$1,),))))-(((VLOOKUP(EDATE(B361,-12),Database!$A:$AS,MATCH($T$1,Database!$A$1:$AS$1,),)))))/(((VLOOKUP(EDATE(B361,-12),Database!$A:$AS,MATCH($T$1,Database!$A$1:$AS$1,),)))))</f>
        <v/>
      </c>
      <c r="U361" s="13">
        <f>IF(VLOOKUP(B361,Database!$A:$AV,MATCH($U$1,Database!$A$1:$AV$1,),)=0,"#N/A",((((VLOOKUP(B361,Database!$A:$AS,MATCH($U$1,Database!$A$1:$AS$1,),))))-(((VLOOKUP(EDATE(B361,-12),Database!$A:$AS,MATCH($U$1,Database!$A$1:$AS$1,),)))))/(((VLOOKUP(EDATE(B361,-12),Database!$A:$AS,MATCH($U$1,Database!$A$1:$AS$1,),)))))</f>
        <v/>
      </c>
      <c r="V361" s="13">
        <f>IF(VLOOKUP(B361,Database!$A:$AV,MATCH($V$1,Database!$A$1:$AV$1,),)=0,"#N/A",((((VLOOKUP(B361,Database!$A:$AS,MATCH($V$1,Database!$A$1:$AS$1,),))))-(((VLOOKUP(EDATE(B361,-12),Database!$A:$AS,MATCH($V$1,Database!$A$1:$AS$1,),)))))/(((VLOOKUP(EDATE(B361,-12),Database!$A:$AS,MATCH($V$1,Database!$A$1:$AS$1,),)))))</f>
        <v/>
      </c>
    </row>
    <row r="362" customFormat="1" s="86">
      <c r="A362" s="43" t="n"/>
      <c r="B362" s="75" t="n">
        <v>43160</v>
      </c>
      <c r="C362" s="13">
        <f>IF(VLOOKUP(B362,Database!$A:$AU,MATCH($C$1,Database!$A$1:$AU$1,),)=0,"#N/A",((((VLOOKUP(B362,Database!$A:$AU,MATCH($C$1,Database!$A$1:$AU$1,),))))-(((VLOOKUP(EDATE(B362,-12),Database!$A:$AU,MATCH($C$1,Database!$A$1:$AU$1,),)))))/(((VLOOKUP(EDATE(B362,-12),Database!$A:$AU,MATCH($C$1,Database!$A$1:$AU$1,),)))))</f>
        <v/>
      </c>
      <c r="D362" s="13">
        <f>IF(VLOOKUP(B362,Database!$A:$AV,MATCH($D$1,Database!$A$1:$AV$1,),)=0,"#N/A",((((VLOOKUP(B362,Database!$A:$AS,MATCH($D$1,Database!$A$1:$AS$1,),))))-(((VLOOKUP(EDATE(B362,-12),Database!$A:$AS,MATCH($D$1,Database!$A$1:$AS$1,),)))))/(((VLOOKUP(EDATE(B362,-12),Database!$A:$AS,MATCH($D$1,Database!$A$1:$AS$1,),)))))</f>
        <v/>
      </c>
      <c r="E362" s="13">
        <f>IF(VLOOKUP(B362,Database!$A:$AV,MATCH($E$1,Database!$A$1:$AV$1,),)=0,"#N/A",((((VLOOKUP(B362,Database!$A:$AS,MATCH($E$1,Database!$A$1:$AS$1,),))))-(((VLOOKUP(EDATE(B362,-12),Database!$A:$AS,MATCH($E$1,Database!$A$1:$AS$1,),)))))/(((VLOOKUP(EDATE(B362,-12),Database!$A:$AS,MATCH($E$1,Database!$A$1:$AS$1,),)))))</f>
        <v/>
      </c>
      <c r="F362" s="13">
        <f>IF(VLOOKUP(B362,Database!$A:$AV,MATCH($F$1,Database!$A$1:$AV$1,),)=0,"#N/A",((((VLOOKUP(B362,Database!$A:$AS,MATCH($F$1,Database!$A$1:$AS$1,),))))-(((VLOOKUP(EDATE(B362,-12),Database!$A:$AS,MATCH($F$1,Database!$A$1:$AS$1,),)))))/(((VLOOKUP(EDATE(B362,-12),Database!$A:$AS,MATCH($F$1,Database!$A$1:$AS$1,),)))))</f>
        <v/>
      </c>
      <c r="G362" s="13">
        <f>IF(VLOOKUP(B362,Database!$A:$AV,MATCH($G$1,Database!$A$1:$AV$1,),)=0,"#N/A",((((VLOOKUP(B362,Database!$A:$AS,MATCH($G$1,Database!$A$1:$AS$1,),))))-(((VLOOKUP(EDATE(B362,-12),Database!$A:$AS,MATCH($G$1,Database!$A$1:$AS$1,),)))))/(((VLOOKUP(EDATE(B362,-12),Database!$A:$AS,MATCH($G$1,Database!$A$1:$AS$1,),)))))</f>
        <v/>
      </c>
      <c r="H362" s="13">
        <f>IF(VLOOKUP(B362,Database!$A:$AV,MATCH($H$1,Database!$A$1:$AV$1,),)=0,"#N/A",((((VLOOKUP(B362,Database!$A:$AS,MATCH($H$1,Database!$A$1:$AS$1,),))))-(((VLOOKUP(EDATE(B362,-12),Database!$A:$AS,MATCH($H$1,Database!$A$1:$AS$1,),)))))/(((VLOOKUP(EDATE(B362,-12),Database!$A:$AS,MATCH($H$1,Database!$A$1:$AS$1,),)))))</f>
        <v/>
      </c>
      <c r="I362" s="13">
        <f>IF(VLOOKUP(B362,Database!$A:$AV,MATCH($I$1,Database!$A$1:$AV$1,),)=0,"#N/A",((((VLOOKUP(B362,Database!$A:$AS,MATCH($I$1,Database!$A$1:$AS$1,),))))-(((VLOOKUP(EDATE(B362,-12),Database!$A:$AS,MATCH($I$1,Database!$A$1:$AS$1,),)))))/(((VLOOKUP(EDATE(B362,-12),Database!$A:$AS,MATCH($I$1,Database!$A$1:$AS$1,),)))))</f>
        <v/>
      </c>
      <c r="J362" s="13">
        <f>IF(VLOOKUP(B362,Database!$A:$AV,MATCH($J$1,Database!$A$1:$AV$1,),)=0,"#N/A",((((VLOOKUP(B362,Database!$A:$AS,MATCH($J$1,Database!$A$1:$AS$1,),))))-(((VLOOKUP(EDATE(B362,-12),Database!$A:$AS,MATCH($J$1,Database!$A$1:$AS$1,),)))))/(((VLOOKUP(EDATE(B362,-12),Database!$A:$AS,MATCH($J$1,Database!$A$1:$AS$1,),)))))</f>
        <v/>
      </c>
      <c r="K362" s="13">
        <f>IF(VLOOKUP(B362,Database!$A:$AV,MATCH($K$1,Database!$A$1:$AV$1,),)=0,"#N/A",((((VLOOKUP(B362,Database!$A:$AS,MATCH($K$1,Database!$A$1:$AS$1,),))))-(((VLOOKUP(EDATE(B362,-12),Database!$A:$AS,MATCH($K$1,Database!$A$1:$AS$1,),)))))/(((VLOOKUP(EDATE(B362,-12),Database!$A:$AS,MATCH($K$1,Database!$A$1:$AS$1,),)))))</f>
        <v/>
      </c>
      <c r="L362" s="13">
        <f>((((VLOOKUP(B362,Database!$A:$AS,MATCH($L$1,Database!$A$1:$AS$1,),))))-(((VLOOKUP(EDATE(B362,-12),Database!$A:$AS,MATCH($L$1,Database!$A$1:$AS$1,),)))))/(((VLOOKUP(EDATE(B362,-12),Database!$A:$AS,MATCH($L$1,Database!$A$1:$AS$1,),))))</f>
        <v/>
      </c>
      <c r="M362" s="13">
        <f>((((VLOOKUP(B362,Database!$A:$AS,MATCH($M$1,Database!$A$1:$AS$1,),))))-(((VLOOKUP(EDATE(B362,-12),Database!$A:$AS,MATCH($M$1,Database!$A$1:$AS$1,),)))))/(((VLOOKUP(EDATE(B362,-12),Database!$A:$AS,MATCH($M$1,Database!$A$1:$AS$1,),))))</f>
        <v/>
      </c>
      <c r="N362" s="13">
        <f>((((VLOOKUP(B362,Database!$A:$AS,MATCH($N$1,Database!$A$1:$AS$1,),))))-(((VLOOKUP(EDATE(B362,-12),Database!$A:$AS,MATCH($N$1,Database!$A$1:$AS$1,),)))))/(((VLOOKUP(EDATE(B362,-12),Database!$A:$AS,MATCH($N$1,Database!$A$1:$AS$1,),))))</f>
        <v/>
      </c>
      <c r="O362" s="13">
        <f>IF(VLOOKUP(B362,Database!$A:$AV,MATCH($O$1,Database!$A$1:$AV$1,),)=0,"#N/A",((((VLOOKUP(B362,Database!$A:$AS,MATCH($O$1,Database!$A$1:$AS$1,),))))-(((VLOOKUP(EDATE(B362,-12),Database!$A:$AS,MATCH($O$1,Database!$A$1:$AS$1,),)))))/(((VLOOKUP(EDATE(B362,-12),Database!$A:$AS,MATCH($O$1,Database!$A$1:$AS$1,),)))))</f>
        <v/>
      </c>
      <c r="P362" s="13">
        <f>IF(VLOOKUP(B362,Database!$A:$AV,MATCH($P$1,Database!$A$1:$AV$1,),)=0,"#N/A",((((VLOOKUP(B362,Database!$A:$AS,MATCH($P$1,Database!$A$1:$AS$1,),))))-(((VLOOKUP(EDATE(B362,-12),Database!$A:$AS,MATCH($P$1,Database!$A$1:$AS$1,),)))))/(((VLOOKUP(EDATE(B362,-12),Database!$A:$AS,MATCH($P$1,Database!$A$1:$AS$1,),)))))</f>
        <v/>
      </c>
      <c r="Q362" s="13">
        <f>IF(VLOOKUP(B362,Database!$A:$AV,MATCH($Q$1,Database!$A$1:$AV$1,),)=0,"#N/A",((((VLOOKUP(B362,Database!$A:$AS,MATCH($Q$1,Database!$A$1:$AS$1,),))))-(((VLOOKUP(EDATE(B362,-12),Database!$A:$AS,MATCH($Q$1,Database!$A$1:$AS$1,),)))))/(((VLOOKUP(EDATE(B362,-12),Database!$A:$AS,MATCH($Q$1,Database!$A$1:$AS$1,),)))))</f>
        <v/>
      </c>
      <c r="R362" s="13">
        <f>IF(VLOOKUP(B362,Database!$A:$AV,MATCH($R$1,Database!$A$1:$AV$1,),)=0,"#N/A",((((VLOOKUP(B362,Database!$A:$AS,MATCH($R$1,Database!$A$1:$AS$1,),))))-(((VLOOKUP(EDATE(B362,-12),Database!$A:$AS,MATCH($R$1,Database!$A$1:$AS$1,),)))))/(((VLOOKUP(EDATE(B362,-12),Database!$A:$AS,MATCH($R$1,Database!$A$1:$AS$1,),)))))</f>
        <v/>
      </c>
      <c r="S362" s="13">
        <f>IF(VLOOKUP(B362,Database!$A:$AV,MATCH($S$1,Database!$A$1:$AV$1,),)=0,"#N/A",((((VLOOKUP(B362,Database!$A:$AS,MATCH($S$1,Database!$A$1:$AS$1,),))))-(((VLOOKUP(EDATE(B362,-12),Database!$A:$AS,MATCH($S$1,Database!$A$1:$AS$1,),)))))/(((VLOOKUP(EDATE(B362,-12),Database!$A:$AS,MATCH($S$1,Database!$A$1:$AS$1,),)))))</f>
        <v/>
      </c>
      <c r="T362" s="13">
        <f>IF(VLOOKUP(B362,Database!$A:$AV,MATCH($T$1,Database!$A$1:$AV$1,),)=0,"#N/A",((((VLOOKUP(B362,Database!$A:$AS,MATCH($T$1,Database!$A$1:$AS$1,),))))-(((VLOOKUP(EDATE(B362,-12),Database!$A:$AS,MATCH($T$1,Database!$A$1:$AS$1,),)))))/(((VLOOKUP(EDATE(B362,-12),Database!$A:$AS,MATCH($T$1,Database!$A$1:$AS$1,),)))))</f>
        <v/>
      </c>
      <c r="U362" s="13">
        <f>IF(VLOOKUP(B362,Database!$A:$AV,MATCH($U$1,Database!$A$1:$AV$1,),)=0,"#N/A",((((VLOOKUP(B362,Database!$A:$AS,MATCH($U$1,Database!$A$1:$AS$1,),))))-(((VLOOKUP(EDATE(B362,-12),Database!$A:$AS,MATCH($U$1,Database!$A$1:$AS$1,),)))))/(((VLOOKUP(EDATE(B362,-12),Database!$A:$AS,MATCH($U$1,Database!$A$1:$AS$1,),)))))</f>
        <v/>
      </c>
      <c r="V362" s="13">
        <f>IF(VLOOKUP(B362,Database!$A:$AV,MATCH($V$1,Database!$A$1:$AV$1,),)=0,"#N/A",((((VLOOKUP(B362,Database!$A:$AS,MATCH($V$1,Database!$A$1:$AS$1,),))))-(((VLOOKUP(EDATE(B362,-12),Database!$A:$AS,MATCH($V$1,Database!$A$1:$AS$1,),)))))/(((VLOOKUP(EDATE(B362,-12),Database!$A:$AS,MATCH($V$1,Database!$A$1:$AS$1,),)))))</f>
        <v/>
      </c>
    </row>
    <row r="363" customFormat="1" s="86">
      <c r="A363" s="43" t="n"/>
      <c r="B363" s="75" t="n">
        <v>43191</v>
      </c>
      <c r="C363" s="13">
        <f>IF(VLOOKUP(B363,Database!$A:$AU,MATCH($C$1,Database!$A$1:$AU$1,),)=0,"#N/A",((((VLOOKUP(B363,Database!$A:$AU,MATCH($C$1,Database!$A$1:$AU$1,),))))-(((VLOOKUP(EDATE(B363,-12),Database!$A:$AU,MATCH($C$1,Database!$A$1:$AU$1,),)))))/(((VLOOKUP(EDATE(B363,-12),Database!$A:$AU,MATCH($C$1,Database!$A$1:$AU$1,),)))))</f>
        <v/>
      </c>
      <c r="D363" s="13">
        <f>IF(VLOOKUP(B363,Database!$A:$AV,MATCH($D$1,Database!$A$1:$AV$1,),)=0,"#N/A",((((VLOOKUP(B363,Database!$A:$AS,MATCH($D$1,Database!$A$1:$AS$1,),))))-(((VLOOKUP(EDATE(B363,-12),Database!$A:$AS,MATCH($D$1,Database!$A$1:$AS$1,),)))))/(((VLOOKUP(EDATE(B363,-12),Database!$A:$AS,MATCH($D$1,Database!$A$1:$AS$1,),)))))</f>
        <v/>
      </c>
      <c r="E363" s="13">
        <f>IF(VLOOKUP(B363,Database!$A:$AV,MATCH($E$1,Database!$A$1:$AV$1,),)=0,"#N/A",((((VLOOKUP(B363,Database!$A:$AS,MATCH($E$1,Database!$A$1:$AS$1,),))))-(((VLOOKUP(EDATE(B363,-12),Database!$A:$AS,MATCH($E$1,Database!$A$1:$AS$1,),)))))/(((VLOOKUP(EDATE(B363,-12),Database!$A:$AS,MATCH($E$1,Database!$A$1:$AS$1,),)))))</f>
        <v/>
      </c>
      <c r="F363" s="13">
        <f>IF(VLOOKUP(B363,Database!$A:$AV,MATCH($F$1,Database!$A$1:$AV$1,),)=0,"#N/A",((((VLOOKUP(B363,Database!$A:$AS,MATCH($F$1,Database!$A$1:$AS$1,),))))-(((VLOOKUP(EDATE(B363,-12),Database!$A:$AS,MATCH($F$1,Database!$A$1:$AS$1,),)))))/(((VLOOKUP(EDATE(B363,-12),Database!$A:$AS,MATCH($F$1,Database!$A$1:$AS$1,),)))))</f>
        <v/>
      </c>
      <c r="G363" s="13">
        <f>IF(VLOOKUP(B363,Database!$A:$AV,MATCH($G$1,Database!$A$1:$AV$1,),)=0,"#N/A",((((VLOOKUP(B363,Database!$A:$AS,MATCH($G$1,Database!$A$1:$AS$1,),))))-(((VLOOKUP(EDATE(B363,-12),Database!$A:$AS,MATCH($G$1,Database!$A$1:$AS$1,),)))))/(((VLOOKUP(EDATE(B363,-12),Database!$A:$AS,MATCH($G$1,Database!$A$1:$AS$1,),)))))</f>
        <v/>
      </c>
      <c r="H363" s="13">
        <f>IF(VLOOKUP(B363,Database!$A:$AV,MATCH($H$1,Database!$A$1:$AV$1,),)=0,"#N/A",((((VLOOKUP(B363,Database!$A:$AS,MATCH($H$1,Database!$A$1:$AS$1,),))))-(((VLOOKUP(EDATE(B363,-12),Database!$A:$AS,MATCH($H$1,Database!$A$1:$AS$1,),)))))/(((VLOOKUP(EDATE(B363,-12),Database!$A:$AS,MATCH($H$1,Database!$A$1:$AS$1,),)))))</f>
        <v/>
      </c>
      <c r="I363" s="13">
        <f>IF(VLOOKUP(B363,Database!$A:$AV,MATCH($I$1,Database!$A$1:$AV$1,),)=0,"#N/A",((((VLOOKUP(B363,Database!$A:$AS,MATCH($I$1,Database!$A$1:$AS$1,),))))-(((VLOOKUP(EDATE(B363,-12),Database!$A:$AS,MATCH($I$1,Database!$A$1:$AS$1,),)))))/(((VLOOKUP(EDATE(B363,-12),Database!$A:$AS,MATCH($I$1,Database!$A$1:$AS$1,),)))))</f>
        <v/>
      </c>
      <c r="J363" s="13">
        <f>IF(VLOOKUP(B363,Database!$A:$AV,MATCH($J$1,Database!$A$1:$AV$1,),)=0,"#N/A",((((VLOOKUP(B363,Database!$A:$AS,MATCH($J$1,Database!$A$1:$AS$1,),))))-(((VLOOKUP(EDATE(B363,-12),Database!$A:$AS,MATCH($J$1,Database!$A$1:$AS$1,),)))))/(((VLOOKUP(EDATE(B363,-12),Database!$A:$AS,MATCH($J$1,Database!$A$1:$AS$1,),)))))</f>
        <v/>
      </c>
      <c r="K363" s="13">
        <f>IF(VLOOKUP(B363,Database!$A:$AV,MATCH($K$1,Database!$A$1:$AV$1,),)=0,"#N/A",((((VLOOKUP(B363,Database!$A:$AS,MATCH($K$1,Database!$A$1:$AS$1,),))))-(((VLOOKUP(EDATE(B363,-12),Database!$A:$AS,MATCH($K$1,Database!$A$1:$AS$1,),)))))/(((VLOOKUP(EDATE(B363,-12),Database!$A:$AS,MATCH($K$1,Database!$A$1:$AS$1,),)))))</f>
        <v/>
      </c>
      <c r="L363" s="13">
        <f>((((VLOOKUP(B363,Database!$A:$AS,MATCH($L$1,Database!$A$1:$AS$1,),))))-(((VLOOKUP(EDATE(B363,-12),Database!$A:$AS,MATCH($L$1,Database!$A$1:$AS$1,),)))))/(((VLOOKUP(EDATE(B363,-12),Database!$A:$AS,MATCH($L$1,Database!$A$1:$AS$1,),))))</f>
        <v/>
      </c>
      <c r="M363" s="13">
        <f>((((VLOOKUP(B363,Database!$A:$AS,MATCH($M$1,Database!$A$1:$AS$1,),))))-(((VLOOKUP(EDATE(B363,-12),Database!$A:$AS,MATCH($M$1,Database!$A$1:$AS$1,),)))))/(((VLOOKUP(EDATE(B363,-12),Database!$A:$AS,MATCH($M$1,Database!$A$1:$AS$1,),))))</f>
        <v/>
      </c>
      <c r="N363" s="13">
        <f>((((VLOOKUP(B363,Database!$A:$AS,MATCH($N$1,Database!$A$1:$AS$1,),))))-(((VLOOKUP(EDATE(B363,-12),Database!$A:$AS,MATCH($N$1,Database!$A$1:$AS$1,),)))))/(((VLOOKUP(EDATE(B363,-12),Database!$A:$AS,MATCH($N$1,Database!$A$1:$AS$1,),))))</f>
        <v/>
      </c>
      <c r="O363" s="13">
        <f>IF(VLOOKUP(B363,Database!$A:$AV,MATCH($O$1,Database!$A$1:$AV$1,),)=0,"#N/A",((((VLOOKUP(B363,Database!$A:$AS,MATCH($O$1,Database!$A$1:$AS$1,),))))-(((VLOOKUP(EDATE(B363,-12),Database!$A:$AS,MATCH($O$1,Database!$A$1:$AS$1,),)))))/(((VLOOKUP(EDATE(B363,-12),Database!$A:$AS,MATCH($O$1,Database!$A$1:$AS$1,),)))))</f>
        <v/>
      </c>
      <c r="P363" s="13">
        <f>IF(VLOOKUP(B363,Database!$A:$AV,MATCH($P$1,Database!$A$1:$AV$1,),)=0,"#N/A",((((VLOOKUP(B363,Database!$A:$AS,MATCH($P$1,Database!$A$1:$AS$1,),))))-(((VLOOKUP(EDATE(B363,-12),Database!$A:$AS,MATCH($P$1,Database!$A$1:$AS$1,),)))))/(((VLOOKUP(EDATE(B363,-12),Database!$A:$AS,MATCH($P$1,Database!$A$1:$AS$1,),)))))</f>
        <v/>
      </c>
      <c r="Q363" s="13">
        <f>IF(VLOOKUP(B363,Database!$A:$AV,MATCH($Q$1,Database!$A$1:$AV$1,),)=0,"#N/A",((((VLOOKUP(B363,Database!$A:$AS,MATCH($Q$1,Database!$A$1:$AS$1,),))))-(((VLOOKUP(EDATE(B363,-12),Database!$A:$AS,MATCH($Q$1,Database!$A$1:$AS$1,),)))))/(((VLOOKUP(EDATE(B363,-12),Database!$A:$AS,MATCH($Q$1,Database!$A$1:$AS$1,),)))))</f>
        <v/>
      </c>
      <c r="R363" s="13">
        <f>IF(VLOOKUP(B363,Database!$A:$AV,MATCH($R$1,Database!$A$1:$AV$1,),)=0,"#N/A",((((VLOOKUP(B363,Database!$A:$AS,MATCH($R$1,Database!$A$1:$AS$1,),))))-(((VLOOKUP(EDATE(B363,-12),Database!$A:$AS,MATCH($R$1,Database!$A$1:$AS$1,),)))))/(((VLOOKUP(EDATE(B363,-12),Database!$A:$AS,MATCH($R$1,Database!$A$1:$AS$1,),)))))</f>
        <v/>
      </c>
      <c r="S363" s="13">
        <f>IF(VLOOKUP(B363,Database!$A:$AV,MATCH($S$1,Database!$A$1:$AV$1,),)=0,"#N/A",((((VLOOKUP(B363,Database!$A:$AS,MATCH($S$1,Database!$A$1:$AS$1,),))))-(((VLOOKUP(EDATE(B363,-12),Database!$A:$AS,MATCH($S$1,Database!$A$1:$AS$1,),)))))/(((VLOOKUP(EDATE(B363,-12),Database!$A:$AS,MATCH($S$1,Database!$A$1:$AS$1,),)))))</f>
        <v/>
      </c>
      <c r="T363" s="13">
        <f>IF(VLOOKUP(B363,Database!$A:$AV,MATCH($T$1,Database!$A$1:$AV$1,),)=0,"#N/A",((((VLOOKUP(B363,Database!$A:$AS,MATCH($T$1,Database!$A$1:$AS$1,),))))-(((VLOOKUP(EDATE(B363,-12),Database!$A:$AS,MATCH($T$1,Database!$A$1:$AS$1,),)))))/(((VLOOKUP(EDATE(B363,-12),Database!$A:$AS,MATCH($T$1,Database!$A$1:$AS$1,),)))))</f>
        <v/>
      </c>
      <c r="U363" s="13">
        <f>IF(VLOOKUP(B363,Database!$A:$AV,MATCH($U$1,Database!$A$1:$AV$1,),)=0,"#N/A",((((VLOOKUP(B363,Database!$A:$AS,MATCH($U$1,Database!$A$1:$AS$1,),))))-(((VLOOKUP(EDATE(B363,-12),Database!$A:$AS,MATCH($U$1,Database!$A$1:$AS$1,),)))))/(((VLOOKUP(EDATE(B363,-12),Database!$A:$AS,MATCH($U$1,Database!$A$1:$AS$1,),)))))</f>
        <v/>
      </c>
      <c r="V363" s="13">
        <f>IF(VLOOKUP(B363,Database!$A:$AV,MATCH($V$1,Database!$A$1:$AV$1,),)=0,"#N/A",((((VLOOKUP(B363,Database!$A:$AS,MATCH($V$1,Database!$A$1:$AS$1,),))))-(((VLOOKUP(EDATE(B363,-12),Database!$A:$AS,MATCH($V$1,Database!$A$1:$AS$1,),)))))/(((VLOOKUP(EDATE(B363,-12),Database!$A:$AS,MATCH($V$1,Database!$A$1:$AS$1,),)))))</f>
        <v/>
      </c>
    </row>
    <row r="364" customFormat="1" s="86">
      <c r="A364" s="43" t="n"/>
      <c r="B364" s="75" t="n">
        <v>43221</v>
      </c>
      <c r="C364" s="13">
        <f>IF(VLOOKUP(B364,Database!$A:$AU,MATCH($C$1,Database!$A$1:$AU$1,),)=0,"#N/A",((((VLOOKUP(B364,Database!$A:$AU,MATCH($C$1,Database!$A$1:$AU$1,),))))-(((VLOOKUP(EDATE(B364,-12),Database!$A:$AU,MATCH($C$1,Database!$A$1:$AU$1,),)))))/(((VLOOKUP(EDATE(B364,-12),Database!$A:$AU,MATCH($C$1,Database!$A$1:$AU$1,),)))))</f>
        <v/>
      </c>
      <c r="D364" s="13">
        <f>IF(VLOOKUP(B364,Database!$A:$AV,MATCH($D$1,Database!$A$1:$AV$1,),)=0,"#N/A",((((VLOOKUP(B364,Database!$A:$AS,MATCH($D$1,Database!$A$1:$AS$1,),))))-(((VLOOKUP(EDATE(B364,-12),Database!$A:$AS,MATCH($D$1,Database!$A$1:$AS$1,),)))))/(((VLOOKUP(EDATE(B364,-12),Database!$A:$AS,MATCH($D$1,Database!$A$1:$AS$1,),)))))</f>
        <v/>
      </c>
      <c r="E364" s="13">
        <f>IF(VLOOKUP(B364,Database!$A:$AV,MATCH($E$1,Database!$A$1:$AV$1,),)=0,"#N/A",((((VLOOKUP(B364,Database!$A:$AS,MATCH($E$1,Database!$A$1:$AS$1,),))))-(((VLOOKUP(EDATE(B364,-12),Database!$A:$AS,MATCH($E$1,Database!$A$1:$AS$1,),)))))/(((VLOOKUP(EDATE(B364,-12),Database!$A:$AS,MATCH($E$1,Database!$A$1:$AS$1,),)))))</f>
        <v/>
      </c>
      <c r="F364" s="13">
        <f>IF(VLOOKUP(B364,Database!$A:$AV,MATCH($F$1,Database!$A$1:$AV$1,),)=0,"#N/A",((((VLOOKUP(B364,Database!$A:$AS,MATCH($F$1,Database!$A$1:$AS$1,),))))-(((VLOOKUP(EDATE(B364,-12),Database!$A:$AS,MATCH($F$1,Database!$A$1:$AS$1,),)))))/(((VLOOKUP(EDATE(B364,-12),Database!$A:$AS,MATCH($F$1,Database!$A$1:$AS$1,),)))))</f>
        <v/>
      </c>
      <c r="G364" s="13">
        <f>IF(VLOOKUP(B364,Database!$A:$AV,MATCH($G$1,Database!$A$1:$AV$1,),)=0,"#N/A",((((VLOOKUP(B364,Database!$A:$AS,MATCH($G$1,Database!$A$1:$AS$1,),))))-(((VLOOKUP(EDATE(B364,-12),Database!$A:$AS,MATCH($G$1,Database!$A$1:$AS$1,),)))))/(((VLOOKUP(EDATE(B364,-12),Database!$A:$AS,MATCH($G$1,Database!$A$1:$AS$1,),)))))</f>
        <v/>
      </c>
      <c r="H364" s="13">
        <f>IF(VLOOKUP(B364,Database!$A:$AV,MATCH($H$1,Database!$A$1:$AV$1,),)=0,"#N/A",((((VLOOKUP(B364,Database!$A:$AS,MATCH($H$1,Database!$A$1:$AS$1,),))))-(((VLOOKUP(EDATE(B364,-12),Database!$A:$AS,MATCH($H$1,Database!$A$1:$AS$1,),)))))/(((VLOOKUP(EDATE(B364,-12),Database!$A:$AS,MATCH($H$1,Database!$A$1:$AS$1,),)))))</f>
        <v/>
      </c>
      <c r="I364" s="13">
        <f>IF(VLOOKUP(B364,Database!$A:$AV,MATCH($I$1,Database!$A$1:$AV$1,),)=0,"#N/A",((((VLOOKUP(B364,Database!$A:$AS,MATCH($I$1,Database!$A$1:$AS$1,),))))-(((VLOOKUP(EDATE(B364,-12),Database!$A:$AS,MATCH($I$1,Database!$A$1:$AS$1,),)))))/(((VLOOKUP(EDATE(B364,-12),Database!$A:$AS,MATCH($I$1,Database!$A$1:$AS$1,),)))))</f>
        <v/>
      </c>
      <c r="J364" s="13">
        <f>IF(VLOOKUP(B364,Database!$A:$AV,MATCH($J$1,Database!$A$1:$AV$1,),)=0,"#N/A",((((VLOOKUP(B364,Database!$A:$AS,MATCH($J$1,Database!$A$1:$AS$1,),))))-(((VLOOKUP(EDATE(B364,-12),Database!$A:$AS,MATCH($J$1,Database!$A$1:$AS$1,),)))))/(((VLOOKUP(EDATE(B364,-12),Database!$A:$AS,MATCH($J$1,Database!$A$1:$AS$1,),)))))</f>
        <v/>
      </c>
      <c r="K364" s="13">
        <f>IF(VLOOKUP(B364,Database!$A:$AV,MATCH($K$1,Database!$A$1:$AV$1,),)=0,"#N/A",((((VLOOKUP(B364,Database!$A:$AS,MATCH($K$1,Database!$A$1:$AS$1,),))))-(((VLOOKUP(EDATE(B364,-12),Database!$A:$AS,MATCH($K$1,Database!$A$1:$AS$1,),)))))/(((VLOOKUP(EDATE(B364,-12),Database!$A:$AS,MATCH($K$1,Database!$A$1:$AS$1,),)))))</f>
        <v/>
      </c>
      <c r="L364" s="13">
        <f>((((VLOOKUP(B364,Database!$A:$AS,MATCH($L$1,Database!$A$1:$AS$1,),))))-(((VLOOKUP(EDATE(B364,-12),Database!$A:$AS,MATCH($L$1,Database!$A$1:$AS$1,),)))))/(((VLOOKUP(EDATE(B364,-12),Database!$A:$AS,MATCH($L$1,Database!$A$1:$AS$1,),))))</f>
        <v/>
      </c>
      <c r="M364" s="13">
        <f>((((VLOOKUP(B364,Database!$A:$AS,MATCH($M$1,Database!$A$1:$AS$1,),))))-(((VLOOKUP(EDATE(B364,-12),Database!$A:$AS,MATCH($M$1,Database!$A$1:$AS$1,),)))))/(((VLOOKUP(EDATE(B364,-12),Database!$A:$AS,MATCH($M$1,Database!$A$1:$AS$1,),))))</f>
        <v/>
      </c>
      <c r="N364" s="13">
        <f>((((VLOOKUP(B364,Database!$A:$AS,MATCH($N$1,Database!$A$1:$AS$1,),))))-(((VLOOKUP(EDATE(B364,-12),Database!$A:$AS,MATCH($N$1,Database!$A$1:$AS$1,),)))))/(((VLOOKUP(EDATE(B364,-12),Database!$A:$AS,MATCH($N$1,Database!$A$1:$AS$1,),))))</f>
        <v/>
      </c>
      <c r="O364" s="13">
        <f>IF(VLOOKUP(B364,Database!$A:$AV,MATCH($O$1,Database!$A$1:$AV$1,),)=0,"#N/A",((((VLOOKUP(B364,Database!$A:$AS,MATCH($O$1,Database!$A$1:$AS$1,),))))-(((VLOOKUP(EDATE(B364,-12),Database!$A:$AS,MATCH($O$1,Database!$A$1:$AS$1,),)))))/(((VLOOKUP(EDATE(B364,-12),Database!$A:$AS,MATCH($O$1,Database!$A$1:$AS$1,),)))))</f>
        <v/>
      </c>
      <c r="P364" s="13">
        <f>IF(VLOOKUP(B364,Database!$A:$AV,MATCH($P$1,Database!$A$1:$AV$1,),)=0,"#N/A",((((VLOOKUP(B364,Database!$A:$AS,MATCH($P$1,Database!$A$1:$AS$1,),))))-(((VLOOKUP(EDATE(B364,-12),Database!$A:$AS,MATCH($P$1,Database!$A$1:$AS$1,),)))))/(((VLOOKUP(EDATE(B364,-12),Database!$A:$AS,MATCH($P$1,Database!$A$1:$AS$1,),)))))</f>
        <v/>
      </c>
      <c r="Q364" s="13">
        <f>IF(VLOOKUP(B364,Database!$A:$AV,MATCH($Q$1,Database!$A$1:$AV$1,),)=0,"#N/A",((((VLOOKUP(B364,Database!$A:$AS,MATCH($Q$1,Database!$A$1:$AS$1,),))))-(((VLOOKUP(EDATE(B364,-12),Database!$A:$AS,MATCH($Q$1,Database!$A$1:$AS$1,),)))))/(((VLOOKUP(EDATE(B364,-12),Database!$A:$AS,MATCH($Q$1,Database!$A$1:$AS$1,),)))))</f>
        <v/>
      </c>
      <c r="R364" s="13">
        <f>IF(VLOOKUP(B364,Database!$A:$AV,MATCH($R$1,Database!$A$1:$AV$1,),)=0,"#N/A",((((VLOOKUP(B364,Database!$A:$AS,MATCH($R$1,Database!$A$1:$AS$1,),))))-(((VLOOKUP(EDATE(B364,-12),Database!$A:$AS,MATCH($R$1,Database!$A$1:$AS$1,),)))))/(((VLOOKUP(EDATE(B364,-12),Database!$A:$AS,MATCH($R$1,Database!$A$1:$AS$1,),)))))</f>
        <v/>
      </c>
      <c r="S364" s="13">
        <f>IF(VLOOKUP(B364,Database!$A:$AV,MATCH($S$1,Database!$A$1:$AV$1,),)=0,"#N/A",((((VLOOKUP(B364,Database!$A:$AS,MATCH($S$1,Database!$A$1:$AS$1,),))))-(((VLOOKUP(EDATE(B364,-12),Database!$A:$AS,MATCH($S$1,Database!$A$1:$AS$1,),)))))/(((VLOOKUP(EDATE(B364,-12),Database!$A:$AS,MATCH($S$1,Database!$A$1:$AS$1,),)))))</f>
        <v/>
      </c>
      <c r="T364" s="13">
        <f>IF(VLOOKUP(B364,Database!$A:$AV,MATCH($T$1,Database!$A$1:$AV$1,),)=0,"#N/A",((((VLOOKUP(B364,Database!$A:$AS,MATCH($T$1,Database!$A$1:$AS$1,),))))-(((VLOOKUP(EDATE(B364,-12),Database!$A:$AS,MATCH($T$1,Database!$A$1:$AS$1,),)))))/(((VLOOKUP(EDATE(B364,-12),Database!$A:$AS,MATCH($T$1,Database!$A$1:$AS$1,),)))))</f>
        <v/>
      </c>
      <c r="U364" s="13">
        <f>IF(VLOOKUP(B364,Database!$A:$AV,MATCH($U$1,Database!$A$1:$AV$1,),)=0,"#N/A",((((VLOOKUP(B364,Database!$A:$AS,MATCH($U$1,Database!$A$1:$AS$1,),))))-(((VLOOKUP(EDATE(B364,-12),Database!$A:$AS,MATCH($U$1,Database!$A$1:$AS$1,),)))))/(((VLOOKUP(EDATE(B364,-12),Database!$A:$AS,MATCH($U$1,Database!$A$1:$AS$1,),)))))</f>
        <v/>
      </c>
      <c r="V364" s="13">
        <f>IF(VLOOKUP(B364,Database!$A:$AV,MATCH($V$1,Database!$A$1:$AV$1,),)=0,"#N/A",((((VLOOKUP(B364,Database!$A:$AS,MATCH($V$1,Database!$A$1:$AS$1,),))))-(((VLOOKUP(EDATE(B364,-12),Database!$A:$AS,MATCH($V$1,Database!$A$1:$AS$1,),)))))/(((VLOOKUP(EDATE(B364,-12),Database!$A:$AS,MATCH($V$1,Database!$A$1:$AS$1,),)))))</f>
        <v/>
      </c>
    </row>
    <row r="365" customFormat="1" s="86">
      <c r="A365" s="43" t="n"/>
      <c r="B365" s="75" t="n">
        <v>43252</v>
      </c>
      <c r="C365" s="13">
        <f>IF(VLOOKUP(B365,Database!$A:$AU,MATCH($C$1,Database!$A$1:$AU$1,),)=0,"#N/A",((((VLOOKUP(B365,Database!$A:$AU,MATCH($C$1,Database!$A$1:$AU$1,),))))-(((VLOOKUP(EDATE(B365,-12),Database!$A:$AU,MATCH($C$1,Database!$A$1:$AU$1,),)))))/(((VLOOKUP(EDATE(B365,-12),Database!$A:$AU,MATCH($C$1,Database!$A$1:$AU$1,),)))))</f>
        <v/>
      </c>
      <c r="D365" s="13">
        <f>IF(VLOOKUP(B365,Database!$A:$AV,MATCH($D$1,Database!$A$1:$AV$1,),)=0,"#N/A",((((VLOOKUP(B365,Database!$A:$AS,MATCH($D$1,Database!$A$1:$AS$1,),))))-(((VLOOKUP(EDATE(B365,-12),Database!$A:$AS,MATCH($D$1,Database!$A$1:$AS$1,),)))))/(((VLOOKUP(EDATE(B365,-12),Database!$A:$AS,MATCH($D$1,Database!$A$1:$AS$1,),)))))</f>
        <v/>
      </c>
      <c r="E365" s="13">
        <f>IF(VLOOKUP(B365,Database!$A:$AV,MATCH($E$1,Database!$A$1:$AV$1,),)=0,"#N/A",((((VLOOKUP(B365,Database!$A:$AS,MATCH($E$1,Database!$A$1:$AS$1,),))))-(((VLOOKUP(EDATE(B365,-12),Database!$A:$AS,MATCH($E$1,Database!$A$1:$AS$1,),)))))/(((VLOOKUP(EDATE(B365,-12),Database!$A:$AS,MATCH($E$1,Database!$A$1:$AS$1,),)))))</f>
        <v/>
      </c>
      <c r="F365" s="13">
        <f>IF(VLOOKUP(B365,Database!$A:$AV,MATCH($F$1,Database!$A$1:$AV$1,),)=0,"#N/A",((((VLOOKUP(B365,Database!$A:$AS,MATCH($F$1,Database!$A$1:$AS$1,),))))-(((VLOOKUP(EDATE(B365,-12),Database!$A:$AS,MATCH($F$1,Database!$A$1:$AS$1,),)))))/(((VLOOKUP(EDATE(B365,-12),Database!$A:$AS,MATCH($F$1,Database!$A$1:$AS$1,),)))))</f>
        <v/>
      </c>
      <c r="G365" s="13">
        <f>IF(VLOOKUP(B365,Database!$A:$AV,MATCH($G$1,Database!$A$1:$AV$1,),)=0,"#N/A",((((VLOOKUP(B365,Database!$A:$AS,MATCH($G$1,Database!$A$1:$AS$1,),))))-(((VLOOKUP(EDATE(B365,-12),Database!$A:$AS,MATCH($G$1,Database!$A$1:$AS$1,),)))))/(((VLOOKUP(EDATE(B365,-12),Database!$A:$AS,MATCH($G$1,Database!$A$1:$AS$1,),)))))</f>
        <v/>
      </c>
      <c r="H365" s="13">
        <f>IF(VLOOKUP(B365,Database!$A:$AV,MATCH($H$1,Database!$A$1:$AV$1,),)=0,"#N/A",((((VLOOKUP(B365,Database!$A:$AS,MATCH($H$1,Database!$A$1:$AS$1,),))))-(((VLOOKUP(EDATE(B365,-12),Database!$A:$AS,MATCH($H$1,Database!$A$1:$AS$1,),)))))/(((VLOOKUP(EDATE(B365,-12),Database!$A:$AS,MATCH($H$1,Database!$A$1:$AS$1,),)))))</f>
        <v/>
      </c>
      <c r="I365" s="13">
        <f>IF(VLOOKUP(B365,Database!$A:$AV,MATCH($I$1,Database!$A$1:$AV$1,),)=0,"#N/A",((((VLOOKUP(B365,Database!$A:$AS,MATCH($I$1,Database!$A$1:$AS$1,),))))-(((VLOOKUP(EDATE(B365,-12),Database!$A:$AS,MATCH($I$1,Database!$A$1:$AS$1,),)))))/(((VLOOKUP(EDATE(B365,-12),Database!$A:$AS,MATCH($I$1,Database!$A$1:$AS$1,),)))))</f>
        <v/>
      </c>
      <c r="J365" s="13">
        <f>IF(VLOOKUP(B365,Database!$A:$AV,MATCH($J$1,Database!$A$1:$AV$1,),)=0,"#N/A",((((VLOOKUP(B365,Database!$A:$AS,MATCH($J$1,Database!$A$1:$AS$1,),))))-(((VLOOKUP(EDATE(B365,-12),Database!$A:$AS,MATCH($J$1,Database!$A$1:$AS$1,),)))))/(((VLOOKUP(EDATE(B365,-12),Database!$A:$AS,MATCH($J$1,Database!$A$1:$AS$1,),)))))</f>
        <v/>
      </c>
      <c r="K365" s="13">
        <f>IF(VLOOKUP(B365,Database!$A:$AV,MATCH($K$1,Database!$A$1:$AV$1,),)=0,"#N/A",((((VLOOKUP(B365,Database!$A:$AS,MATCH($K$1,Database!$A$1:$AS$1,),))))-(((VLOOKUP(EDATE(B365,-12),Database!$A:$AS,MATCH($K$1,Database!$A$1:$AS$1,),)))))/(((VLOOKUP(EDATE(B365,-12),Database!$A:$AS,MATCH($K$1,Database!$A$1:$AS$1,),)))))</f>
        <v/>
      </c>
      <c r="L365" s="13">
        <f>((((VLOOKUP(B365,Database!$A:$AS,MATCH($L$1,Database!$A$1:$AS$1,),))))-(((VLOOKUP(EDATE(B365,-12),Database!$A:$AS,MATCH($L$1,Database!$A$1:$AS$1,),)))))/(((VLOOKUP(EDATE(B365,-12),Database!$A:$AS,MATCH($L$1,Database!$A$1:$AS$1,),))))</f>
        <v/>
      </c>
      <c r="M365" s="13">
        <f>((((VLOOKUP(B365,Database!$A:$AS,MATCH($M$1,Database!$A$1:$AS$1,),))))-(((VLOOKUP(EDATE(B365,-12),Database!$A:$AS,MATCH($M$1,Database!$A$1:$AS$1,),)))))/(((VLOOKUP(EDATE(B365,-12),Database!$A:$AS,MATCH($M$1,Database!$A$1:$AS$1,),))))</f>
        <v/>
      </c>
      <c r="N365" s="13">
        <f>((((VLOOKUP(B365,Database!$A:$AS,MATCH($N$1,Database!$A$1:$AS$1,),))))-(((VLOOKUP(EDATE(B365,-12),Database!$A:$AS,MATCH($N$1,Database!$A$1:$AS$1,),)))))/(((VLOOKUP(EDATE(B365,-12),Database!$A:$AS,MATCH($N$1,Database!$A$1:$AS$1,),))))</f>
        <v/>
      </c>
      <c r="O365" s="13">
        <f>IF(VLOOKUP(B365,Database!$A:$AV,MATCH($O$1,Database!$A$1:$AV$1,),)=0,"#N/A",((((VLOOKUP(B365,Database!$A:$AS,MATCH($O$1,Database!$A$1:$AS$1,),))))-(((VLOOKUP(EDATE(B365,-12),Database!$A:$AS,MATCH($O$1,Database!$A$1:$AS$1,),)))))/(((VLOOKUP(EDATE(B365,-12),Database!$A:$AS,MATCH($O$1,Database!$A$1:$AS$1,),)))))</f>
        <v/>
      </c>
      <c r="P365" s="13">
        <f>IF(VLOOKUP(B365,Database!$A:$AV,MATCH($P$1,Database!$A$1:$AV$1,),)=0,"#N/A",((((VLOOKUP(B365,Database!$A:$AS,MATCH($P$1,Database!$A$1:$AS$1,),))))-(((VLOOKUP(EDATE(B365,-12),Database!$A:$AS,MATCH($P$1,Database!$A$1:$AS$1,),)))))/(((VLOOKUP(EDATE(B365,-12),Database!$A:$AS,MATCH($P$1,Database!$A$1:$AS$1,),)))))</f>
        <v/>
      </c>
      <c r="Q365" s="13">
        <f>IF(VLOOKUP(B365,Database!$A:$AV,MATCH($Q$1,Database!$A$1:$AV$1,),)=0,"#N/A",((((VLOOKUP(B365,Database!$A:$AS,MATCH($Q$1,Database!$A$1:$AS$1,),))))-(((VLOOKUP(EDATE(B365,-12),Database!$A:$AS,MATCH($Q$1,Database!$A$1:$AS$1,),)))))/(((VLOOKUP(EDATE(B365,-12),Database!$A:$AS,MATCH($Q$1,Database!$A$1:$AS$1,),)))))</f>
        <v/>
      </c>
      <c r="R365" s="13">
        <f>IF(VLOOKUP(B365,Database!$A:$AV,MATCH($R$1,Database!$A$1:$AV$1,),)=0,"#N/A",((((VLOOKUP(B365,Database!$A:$AS,MATCH($R$1,Database!$A$1:$AS$1,),))))-(((VLOOKUP(EDATE(B365,-12),Database!$A:$AS,MATCH($R$1,Database!$A$1:$AS$1,),)))))/(((VLOOKUP(EDATE(B365,-12),Database!$A:$AS,MATCH($R$1,Database!$A$1:$AS$1,),)))))</f>
        <v/>
      </c>
      <c r="S365" s="13">
        <f>IF(VLOOKUP(B365,Database!$A:$AV,MATCH($S$1,Database!$A$1:$AV$1,),)=0,"#N/A",((((VLOOKUP(B365,Database!$A:$AS,MATCH($S$1,Database!$A$1:$AS$1,),))))-(((VLOOKUP(EDATE(B365,-12),Database!$A:$AS,MATCH($S$1,Database!$A$1:$AS$1,),)))))/(((VLOOKUP(EDATE(B365,-12),Database!$A:$AS,MATCH($S$1,Database!$A$1:$AS$1,),)))))</f>
        <v/>
      </c>
      <c r="T365" s="13">
        <f>IF(VLOOKUP(B365,Database!$A:$AV,MATCH($T$1,Database!$A$1:$AV$1,),)=0,"#N/A",((((VLOOKUP(B365,Database!$A:$AS,MATCH($T$1,Database!$A$1:$AS$1,),))))-(((VLOOKUP(EDATE(B365,-12),Database!$A:$AS,MATCH($T$1,Database!$A$1:$AS$1,),)))))/(((VLOOKUP(EDATE(B365,-12),Database!$A:$AS,MATCH($T$1,Database!$A$1:$AS$1,),)))))</f>
        <v/>
      </c>
      <c r="U365" s="13">
        <f>IF(VLOOKUP(B365,Database!$A:$AV,MATCH($U$1,Database!$A$1:$AV$1,),)=0,"#N/A",((((VLOOKUP(B365,Database!$A:$AS,MATCH($U$1,Database!$A$1:$AS$1,),))))-(((VLOOKUP(EDATE(B365,-12),Database!$A:$AS,MATCH($U$1,Database!$A$1:$AS$1,),)))))/(((VLOOKUP(EDATE(B365,-12),Database!$A:$AS,MATCH($U$1,Database!$A$1:$AS$1,),)))))</f>
        <v/>
      </c>
      <c r="V365" s="13">
        <f>IF(VLOOKUP(B365,Database!$A:$AV,MATCH($V$1,Database!$A$1:$AV$1,),)=0,"#N/A",((((VLOOKUP(B365,Database!$A:$AS,MATCH($V$1,Database!$A$1:$AS$1,),))))-(((VLOOKUP(EDATE(B365,-12),Database!$A:$AS,MATCH($V$1,Database!$A$1:$AS$1,),)))))/(((VLOOKUP(EDATE(B365,-12),Database!$A:$AS,MATCH($V$1,Database!$A$1:$AS$1,),)))))</f>
        <v/>
      </c>
    </row>
    <row r="366" customFormat="1" s="86">
      <c r="A366" s="43" t="n"/>
      <c r="B366" s="75" t="n">
        <v>43282</v>
      </c>
      <c r="C366" s="13">
        <f>IF(VLOOKUP(B366,Database!$A:$AU,MATCH($C$1,Database!$A$1:$AU$1,),)=0,"#N/A",((((VLOOKUP(B366,Database!$A:$AU,MATCH($C$1,Database!$A$1:$AU$1,),))))-(((VLOOKUP(EDATE(B366,-12),Database!$A:$AU,MATCH($C$1,Database!$A$1:$AU$1,),)))))/(((VLOOKUP(EDATE(B366,-12),Database!$A:$AU,MATCH($C$1,Database!$A$1:$AU$1,),)))))</f>
        <v/>
      </c>
      <c r="D366" s="13">
        <f>IF(VLOOKUP(B366,Database!$A:$AV,MATCH($D$1,Database!$A$1:$AV$1,),)=0,"#N/A",((((VLOOKUP(B366,Database!$A:$AS,MATCH($D$1,Database!$A$1:$AS$1,),))))-(((VLOOKUP(EDATE(B366,-12),Database!$A:$AS,MATCH($D$1,Database!$A$1:$AS$1,),)))))/(((VLOOKUP(EDATE(B366,-12),Database!$A:$AS,MATCH($D$1,Database!$A$1:$AS$1,),)))))</f>
        <v/>
      </c>
      <c r="E366" s="13">
        <f>IF(VLOOKUP(B366,Database!$A:$AV,MATCH($E$1,Database!$A$1:$AV$1,),)=0,"#N/A",((((VLOOKUP(B366,Database!$A:$AS,MATCH($E$1,Database!$A$1:$AS$1,),))))-(((VLOOKUP(EDATE(B366,-12),Database!$A:$AS,MATCH($E$1,Database!$A$1:$AS$1,),)))))/(((VLOOKUP(EDATE(B366,-12),Database!$A:$AS,MATCH($E$1,Database!$A$1:$AS$1,),)))))</f>
        <v/>
      </c>
      <c r="F366" s="13">
        <f>IF(VLOOKUP(B366,Database!$A:$AV,MATCH($F$1,Database!$A$1:$AV$1,),)=0,"#N/A",((((VLOOKUP(B366,Database!$A:$AS,MATCH($F$1,Database!$A$1:$AS$1,),))))-(((VLOOKUP(EDATE(B366,-12),Database!$A:$AS,MATCH($F$1,Database!$A$1:$AS$1,),)))))/(((VLOOKUP(EDATE(B366,-12),Database!$A:$AS,MATCH($F$1,Database!$A$1:$AS$1,),)))))</f>
        <v/>
      </c>
      <c r="G366" s="13">
        <f>IF(VLOOKUP(B366,Database!$A:$AV,MATCH($G$1,Database!$A$1:$AV$1,),)=0,"#N/A",((((VLOOKUP(B366,Database!$A:$AS,MATCH($G$1,Database!$A$1:$AS$1,),))))-(((VLOOKUP(EDATE(B366,-12),Database!$A:$AS,MATCH($G$1,Database!$A$1:$AS$1,),)))))/(((VLOOKUP(EDATE(B366,-12),Database!$A:$AS,MATCH($G$1,Database!$A$1:$AS$1,),)))))</f>
        <v/>
      </c>
      <c r="H366" s="13">
        <f>IF(VLOOKUP(B366,Database!$A:$AV,MATCH($H$1,Database!$A$1:$AV$1,),)=0,"#N/A",((((VLOOKUP(B366,Database!$A:$AS,MATCH($H$1,Database!$A$1:$AS$1,),))))-(((VLOOKUP(EDATE(B366,-12),Database!$A:$AS,MATCH($H$1,Database!$A$1:$AS$1,),)))))/(((VLOOKUP(EDATE(B366,-12),Database!$A:$AS,MATCH($H$1,Database!$A$1:$AS$1,),)))))</f>
        <v/>
      </c>
      <c r="I366" s="13">
        <f>IF(VLOOKUP(B366,Database!$A:$AV,MATCH($I$1,Database!$A$1:$AV$1,),)=0,"#N/A",((((VLOOKUP(B366,Database!$A:$AS,MATCH($I$1,Database!$A$1:$AS$1,),))))-(((VLOOKUP(EDATE(B366,-12),Database!$A:$AS,MATCH($I$1,Database!$A$1:$AS$1,),)))))/(((VLOOKUP(EDATE(B366,-12),Database!$A:$AS,MATCH($I$1,Database!$A$1:$AS$1,),)))))</f>
        <v/>
      </c>
      <c r="J366" s="13">
        <f>IF(VLOOKUP(B366,Database!$A:$AV,MATCH($J$1,Database!$A$1:$AV$1,),)=0,"#N/A",((((VLOOKUP(B366,Database!$A:$AS,MATCH($J$1,Database!$A$1:$AS$1,),))))-(((VLOOKUP(EDATE(B366,-12),Database!$A:$AS,MATCH($J$1,Database!$A$1:$AS$1,),)))))/(((VLOOKUP(EDATE(B366,-12),Database!$A:$AS,MATCH($J$1,Database!$A$1:$AS$1,),)))))</f>
        <v/>
      </c>
      <c r="K366" s="13">
        <f>IF(VLOOKUP(B366,Database!$A:$AV,MATCH($K$1,Database!$A$1:$AV$1,),)=0,"#N/A",((((VLOOKUP(B366,Database!$A:$AS,MATCH($K$1,Database!$A$1:$AS$1,),))))-(((VLOOKUP(EDATE(B366,-12),Database!$A:$AS,MATCH($K$1,Database!$A$1:$AS$1,),)))))/(((VLOOKUP(EDATE(B366,-12),Database!$A:$AS,MATCH($K$1,Database!$A$1:$AS$1,),)))))</f>
        <v/>
      </c>
      <c r="L366" s="13">
        <f>((((VLOOKUP(B366,Database!$A:$AS,MATCH($L$1,Database!$A$1:$AS$1,),))))-(((VLOOKUP(EDATE(B366,-12),Database!$A:$AS,MATCH($L$1,Database!$A$1:$AS$1,),)))))/(((VLOOKUP(EDATE(B366,-12),Database!$A:$AS,MATCH($L$1,Database!$A$1:$AS$1,),))))</f>
        <v/>
      </c>
      <c r="M366" s="13">
        <f>((((VLOOKUP(B366,Database!$A:$AS,MATCH($M$1,Database!$A$1:$AS$1,),))))-(((VLOOKUP(EDATE(B366,-12),Database!$A:$AS,MATCH($M$1,Database!$A$1:$AS$1,),)))))/(((VLOOKUP(EDATE(B366,-12),Database!$A:$AS,MATCH($M$1,Database!$A$1:$AS$1,),))))</f>
        <v/>
      </c>
      <c r="N366" s="13">
        <f>((((VLOOKUP(B366,Database!$A:$AS,MATCH($N$1,Database!$A$1:$AS$1,),))))-(((VLOOKUP(EDATE(B366,-12),Database!$A:$AS,MATCH($N$1,Database!$A$1:$AS$1,),)))))/(((VLOOKUP(EDATE(B366,-12),Database!$A:$AS,MATCH($N$1,Database!$A$1:$AS$1,),))))</f>
        <v/>
      </c>
      <c r="O366" s="13">
        <f>IF(VLOOKUP(B366,Database!$A:$AV,MATCH($O$1,Database!$A$1:$AV$1,),)=0,"#N/A",((((VLOOKUP(B366,Database!$A:$AS,MATCH($O$1,Database!$A$1:$AS$1,),))))-(((VLOOKUP(EDATE(B366,-12),Database!$A:$AS,MATCH($O$1,Database!$A$1:$AS$1,),)))))/(((VLOOKUP(EDATE(B366,-12),Database!$A:$AS,MATCH($O$1,Database!$A$1:$AS$1,),)))))</f>
        <v/>
      </c>
      <c r="P366" s="13">
        <f>IF(VLOOKUP(B366,Database!$A:$AV,MATCH($P$1,Database!$A$1:$AV$1,),)=0,"#N/A",((((VLOOKUP(B366,Database!$A:$AS,MATCH($P$1,Database!$A$1:$AS$1,),))))-(((VLOOKUP(EDATE(B366,-12),Database!$A:$AS,MATCH($P$1,Database!$A$1:$AS$1,),)))))/(((VLOOKUP(EDATE(B366,-12),Database!$A:$AS,MATCH($P$1,Database!$A$1:$AS$1,),)))))</f>
        <v/>
      </c>
      <c r="Q366" s="13">
        <f>IF(VLOOKUP(B366,Database!$A:$AV,MATCH($Q$1,Database!$A$1:$AV$1,),)=0,"#N/A",((((VLOOKUP(B366,Database!$A:$AS,MATCH($Q$1,Database!$A$1:$AS$1,),))))-(((VLOOKUP(EDATE(B366,-12),Database!$A:$AS,MATCH($Q$1,Database!$A$1:$AS$1,),)))))/(((VLOOKUP(EDATE(B366,-12),Database!$A:$AS,MATCH($Q$1,Database!$A$1:$AS$1,),)))))</f>
        <v/>
      </c>
      <c r="R366" s="13">
        <f>IF(VLOOKUP(B366,Database!$A:$AV,MATCH($R$1,Database!$A$1:$AV$1,),)=0,"#N/A",((((VLOOKUP(B366,Database!$A:$AS,MATCH($R$1,Database!$A$1:$AS$1,),))))-(((VLOOKUP(EDATE(B366,-12),Database!$A:$AS,MATCH($R$1,Database!$A$1:$AS$1,),)))))/(((VLOOKUP(EDATE(B366,-12),Database!$A:$AS,MATCH($R$1,Database!$A$1:$AS$1,),)))))</f>
        <v/>
      </c>
      <c r="S366" s="13">
        <f>IF(VLOOKUP(B366,Database!$A:$AV,MATCH($S$1,Database!$A$1:$AV$1,),)=0,"#N/A",((((VLOOKUP(B366,Database!$A:$AS,MATCH($S$1,Database!$A$1:$AS$1,),))))-(((VLOOKUP(EDATE(B366,-12),Database!$A:$AS,MATCH($S$1,Database!$A$1:$AS$1,),)))))/(((VLOOKUP(EDATE(B366,-12),Database!$A:$AS,MATCH($S$1,Database!$A$1:$AS$1,),)))))</f>
        <v/>
      </c>
      <c r="T366" s="13">
        <f>IF(VLOOKUP(B366,Database!$A:$AV,MATCH($T$1,Database!$A$1:$AV$1,),)=0,"#N/A",((((VLOOKUP(B366,Database!$A:$AS,MATCH($T$1,Database!$A$1:$AS$1,),))))-(((VLOOKUP(EDATE(B366,-12),Database!$A:$AS,MATCH($T$1,Database!$A$1:$AS$1,),)))))/(((VLOOKUP(EDATE(B366,-12),Database!$A:$AS,MATCH($T$1,Database!$A$1:$AS$1,),)))))</f>
        <v/>
      </c>
      <c r="U366" s="13">
        <f>IF(VLOOKUP(B366,Database!$A:$AV,MATCH($U$1,Database!$A$1:$AV$1,),)=0,"#N/A",((((VLOOKUP(B366,Database!$A:$AS,MATCH($U$1,Database!$A$1:$AS$1,),))))-(((VLOOKUP(EDATE(B366,-12),Database!$A:$AS,MATCH($U$1,Database!$A$1:$AS$1,),)))))/(((VLOOKUP(EDATE(B366,-12),Database!$A:$AS,MATCH($U$1,Database!$A$1:$AS$1,),)))))</f>
        <v/>
      </c>
      <c r="V366" s="13">
        <f>IF(VLOOKUP(B366,Database!$A:$AV,MATCH($V$1,Database!$A$1:$AV$1,),)=0,"#N/A",((((VLOOKUP(B366,Database!$A:$AS,MATCH($V$1,Database!$A$1:$AS$1,),))))-(((VLOOKUP(EDATE(B366,-12),Database!$A:$AS,MATCH($V$1,Database!$A$1:$AS$1,),)))))/(((VLOOKUP(EDATE(B366,-12),Database!$A:$AS,MATCH($V$1,Database!$A$1:$AS$1,),)))))</f>
        <v/>
      </c>
    </row>
    <row r="367" customFormat="1" s="86">
      <c r="A367" s="43" t="n"/>
      <c r="B367" s="75" t="n">
        <v>43313</v>
      </c>
      <c r="C367" s="13">
        <f>IF(VLOOKUP(B367,Database!$A:$AU,MATCH($C$1,Database!$A$1:$AU$1,),)=0,"#N/A",((((VLOOKUP(B367,Database!$A:$AU,MATCH($C$1,Database!$A$1:$AU$1,),))))-(((VLOOKUP(EDATE(B367,-12),Database!$A:$AU,MATCH($C$1,Database!$A$1:$AU$1,),)))))/(((VLOOKUP(EDATE(B367,-12),Database!$A:$AU,MATCH($C$1,Database!$A$1:$AU$1,),)))))</f>
        <v/>
      </c>
      <c r="D367" s="13">
        <f>IF(VLOOKUP(B367,Database!$A:$AV,MATCH($D$1,Database!$A$1:$AV$1,),)=0,"#N/A",((((VLOOKUP(B367,Database!$A:$AS,MATCH($D$1,Database!$A$1:$AS$1,),))))-(((VLOOKUP(EDATE(B367,-12),Database!$A:$AS,MATCH($D$1,Database!$A$1:$AS$1,),)))))/(((VLOOKUP(EDATE(B367,-12),Database!$A:$AS,MATCH($D$1,Database!$A$1:$AS$1,),)))))</f>
        <v/>
      </c>
      <c r="E367" s="13">
        <f>IF(VLOOKUP(B367,Database!$A:$AV,MATCH($E$1,Database!$A$1:$AV$1,),)=0,"#N/A",((((VLOOKUP(B367,Database!$A:$AS,MATCH($E$1,Database!$A$1:$AS$1,),))))-(((VLOOKUP(EDATE(B367,-12),Database!$A:$AS,MATCH($E$1,Database!$A$1:$AS$1,),)))))/(((VLOOKUP(EDATE(B367,-12),Database!$A:$AS,MATCH($E$1,Database!$A$1:$AS$1,),)))))</f>
        <v/>
      </c>
      <c r="F367" s="13">
        <f>IF(VLOOKUP(B367,Database!$A:$AV,MATCH($F$1,Database!$A$1:$AV$1,),)=0,"#N/A",((((VLOOKUP(B367,Database!$A:$AS,MATCH($F$1,Database!$A$1:$AS$1,),))))-(((VLOOKUP(EDATE(B367,-12),Database!$A:$AS,MATCH($F$1,Database!$A$1:$AS$1,),)))))/(((VLOOKUP(EDATE(B367,-12),Database!$A:$AS,MATCH($F$1,Database!$A$1:$AS$1,),)))))</f>
        <v/>
      </c>
      <c r="G367" s="13">
        <f>IF(VLOOKUP(B367,Database!$A:$AV,MATCH($G$1,Database!$A$1:$AV$1,),)=0,"#N/A",((((VLOOKUP(B367,Database!$A:$AS,MATCH($G$1,Database!$A$1:$AS$1,),))))-(((VLOOKUP(EDATE(B367,-12),Database!$A:$AS,MATCH($G$1,Database!$A$1:$AS$1,),)))))/(((VLOOKUP(EDATE(B367,-12),Database!$A:$AS,MATCH($G$1,Database!$A$1:$AS$1,),)))))</f>
        <v/>
      </c>
      <c r="H367" s="13">
        <f>IF(VLOOKUP(B367,Database!$A:$AV,MATCH($H$1,Database!$A$1:$AV$1,),)=0,"#N/A",((((VLOOKUP(B367,Database!$A:$AS,MATCH($H$1,Database!$A$1:$AS$1,),))))-(((VLOOKUP(EDATE(B367,-12),Database!$A:$AS,MATCH($H$1,Database!$A$1:$AS$1,),)))))/(((VLOOKUP(EDATE(B367,-12),Database!$A:$AS,MATCH($H$1,Database!$A$1:$AS$1,),)))))</f>
        <v/>
      </c>
      <c r="I367" s="13">
        <f>IF(VLOOKUP(B367,Database!$A:$AV,MATCH($I$1,Database!$A$1:$AV$1,),)=0,"#N/A",((((VLOOKUP(B367,Database!$A:$AS,MATCH($I$1,Database!$A$1:$AS$1,),))))-(((VLOOKUP(EDATE(B367,-12),Database!$A:$AS,MATCH($I$1,Database!$A$1:$AS$1,),)))))/(((VLOOKUP(EDATE(B367,-12),Database!$A:$AS,MATCH($I$1,Database!$A$1:$AS$1,),)))))</f>
        <v/>
      </c>
      <c r="J367" s="13">
        <f>IF(VLOOKUP(B367,Database!$A:$AV,MATCH($J$1,Database!$A$1:$AV$1,),)=0,"#N/A",((((VLOOKUP(B367,Database!$A:$AS,MATCH($J$1,Database!$A$1:$AS$1,),))))-(((VLOOKUP(EDATE(B367,-12),Database!$A:$AS,MATCH($J$1,Database!$A$1:$AS$1,),)))))/(((VLOOKUP(EDATE(B367,-12),Database!$A:$AS,MATCH($J$1,Database!$A$1:$AS$1,),)))))</f>
        <v/>
      </c>
      <c r="K367" s="13">
        <f>IF(VLOOKUP(B367,Database!$A:$AV,MATCH($K$1,Database!$A$1:$AV$1,),)=0,"#N/A",((((VLOOKUP(B367,Database!$A:$AS,MATCH($K$1,Database!$A$1:$AS$1,),))))-(((VLOOKUP(EDATE(B367,-12),Database!$A:$AS,MATCH($K$1,Database!$A$1:$AS$1,),)))))/(((VLOOKUP(EDATE(B367,-12),Database!$A:$AS,MATCH($K$1,Database!$A$1:$AS$1,),)))))</f>
        <v/>
      </c>
      <c r="L367" s="13">
        <f>((((VLOOKUP(B367,Database!$A:$AS,MATCH($L$1,Database!$A$1:$AS$1,),))))-(((VLOOKUP(EDATE(B367,-12),Database!$A:$AS,MATCH($L$1,Database!$A$1:$AS$1,),)))))/(((VLOOKUP(EDATE(B367,-12),Database!$A:$AS,MATCH($L$1,Database!$A$1:$AS$1,),))))</f>
        <v/>
      </c>
      <c r="M367" s="13">
        <f>((((VLOOKUP(B367,Database!$A:$AS,MATCH($M$1,Database!$A$1:$AS$1,),))))-(((VLOOKUP(EDATE(B367,-12),Database!$A:$AS,MATCH($M$1,Database!$A$1:$AS$1,),)))))/(((VLOOKUP(EDATE(B367,-12),Database!$A:$AS,MATCH($M$1,Database!$A$1:$AS$1,),))))</f>
        <v/>
      </c>
      <c r="N367" s="13">
        <f>((((VLOOKUP(B367,Database!$A:$AS,MATCH($N$1,Database!$A$1:$AS$1,),))))-(((VLOOKUP(EDATE(B367,-12),Database!$A:$AS,MATCH($N$1,Database!$A$1:$AS$1,),)))))/(((VLOOKUP(EDATE(B367,-12),Database!$A:$AS,MATCH($N$1,Database!$A$1:$AS$1,),))))</f>
        <v/>
      </c>
      <c r="O367" s="13">
        <f>IF(VLOOKUP(B367,Database!$A:$AV,MATCH($O$1,Database!$A$1:$AV$1,),)=0,"#N/A",((((VLOOKUP(B367,Database!$A:$AS,MATCH($O$1,Database!$A$1:$AS$1,),))))-(((VLOOKUP(EDATE(B367,-12),Database!$A:$AS,MATCH($O$1,Database!$A$1:$AS$1,),)))))/(((VLOOKUP(EDATE(B367,-12),Database!$A:$AS,MATCH($O$1,Database!$A$1:$AS$1,),)))))</f>
        <v/>
      </c>
      <c r="P367" s="13">
        <f>IF(VLOOKUP(B367,Database!$A:$AV,MATCH($P$1,Database!$A$1:$AV$1,),)=0,"#N/A",((((VLOOKUP(B367,Database!$A:$AS,MATCH($P$1,Database!$A$1:$AS$1,),))))-(((VLOOKUP(EDATE(B367,-12),Database!$A:$AS,MATCH($P$1,Database!$A$1:$AS$1,),)))))/(((VLOOKUP(EDATE(B367,-12),Database!$A:$AS,MATCH($P$1,Database!$A$1:$AS$1,),)))))</f>
        <v/>
      </c>
      <c r="Q367" s="13">
        <f>IF(VLOOKUP(B367,Database!$A:$AV,MATCH($Q$1,Database!$A$1:$AV$1,),)=0,"#N/A",((((VLOOKUP(B367,Database!$A:$AS,MATCH($Q$1,Database!$A$1:$AS$1,),))))-(((VLOOKUP(EDATE(B367,-12),Database!$A:$AS,MATCH($Q$1,Database!$A$1:$AS$1,),)))))/(((VLOOKUP(EDATE(B367,-12),Database!$A:$AS,MATCH($Q$1,Database!$A$1:$AS$1,),)))))</f>
        <v/>
      </c>
      <c r="R367" s="13">
        <f>IF(VLOOKUP(B367,Database!$A:$AV,MATCH($R$1,Database!$A$1:$AV$1,),)=0,"#N/A",((((VLOOKUP(B367,Database!$A:$AS,MATCH($R$1,Database!$A$1:$AS$1,),))))-(((VLOOKUP(EDATE(B367,-12),Database!$A:$AS,MATCH($R$1,Database!$A$1:$AS$1,),)))))/(((VLOOKUP(EDATE(B367,-12),Database!$A:$AS,MATCH($R$1,Database!$A$1:$AS$1,),)))))</f>
        <v/>
      </c>
      <c r="S367" s="13">
        <f>IF(VLOOKUP(B367,Database!$A:$AV,MATCH($S$1,Database!$A$1:$AV$1,),)=0,"#N/A",((((VLOOKUP(B367,Database!$A:$AS,MATCH($S$1,Database!$A$1:$AS$1,),))))-(((VLOOKUP(EDATE(B367,-12),Database!$A:$AS,MATCH($S$1,Database!$A$1:$AS$1,),)))))/(((VLOOKUP(EDATE(B367,-12),Database!$A:$AS,MATCH($S$1,Database!$A$1:$AS$1,),)))))</f>
        <v/>
      </c>
      <c r="T367" s="13">
        <f>IF(VLOOKUP(B367,Database!$A:$AV,MATCH($T$1,Database!$A$1:$AV$1,),)=0,"#N/A",((((VLOOKUP(B367,Database!$A:$AS,MATCH($T$1,Database!$A$1:$AS$1,),))))-(((VLOOKUP(EDATE(B367,-12),Database!$A:$AS,MATCH($T$1,Database!$A$1:$AS$1,),)))))/(((VLOOKUP(EDATE(B367,-12),Database!$A:$AS,MATCH($T$1,Database!$A$1:$AS$1,),)))))</f>
        <v/>
      </c>
      <c r="U367" s="13">
        <f>IF(VLOOKUP(B367,Database!$A:$AV,MATCH($U$1,Database!$A$1:$AV$1,),)=0,"#N/A",((((VLOOKUP(B367,Database!$A:$AS,MATCH($U$1,Database!$A$1:$AS$1,),))))-(((VLOOKUP(EDATE(B367,-12),Database!$A:$AS,MATCH($U$1,Database!$A$1:$AS$1,),)))))/(((VLOOKUP(EDATE(B367,-12),Database!$A:$AS,MATCH($U$1,Database!$A$1:$AS$1,),)))))</f>
        <v/>
      </c>
      <c r="V367" s="13">
        <f>IF(VLOOKUP(B367,Database!$A:$AV,MATCH($V$1,Database!$A$1:$AV$1,),)=0,"#N/A",((((VLOOKUP(B367,Database!$A:$AS,MATCH($V$1,Database!$A$1:$AS$1,),))))-(((VLOOKUP(EDATE(B367,-12),Database!$A:$AS,MATCH($V$1,Database!$A$1:$AS$1,),)))))/(((VLOOKUP(EDATE(B367,-12),Database!$A:$AS,MATCH($V$1,Database!$A$1:$AS$1,),)))))</f>
        <v/>
      </c>
    </row>
    <row r="368" customFormat="1" s="86">
      <c r="A368" s="43" t="n"/>
      <c r="B368" s="75" t="n">
        <v>43344</v>
      </c>
      <c r="C368" s="13">
        <f>IF(VLOOKUP(B368,Database!$A:$AU,MATCH($C$1,Database!$A$1:$AU$1,),)=0,"#N/A",((((VLOOKUP(B368,Database!$A:$AU,MATCH($C$1,Database!$A$1:$AU$1,),))))-(((VLOOKUP(EDATE(B368,-12),Database!$A:$AU,MATCH($C$1,Database!$A$1:$AU$1,),)))))/(((VLOOKUP(EDATE(B368,-12),Database!$A:$AU,MATCH($C$1,Database!$A$1:$AU$1,),)))))</f>
        <v/>
      </c>
      <c r="D368" s="13">
        <f>IF(VLOOKUP(B368,Database!$A:$AV,MATCH($D$1,Database!$A$1:$AV$1,),)=0,"#N/A",((((VLOOKUP(B368,Database!$A:$AS,MATCH($D$1,Database!$A$1:$AS$1,),))))-(((VLOOKUP(EDATE(B368,-12),Database!$A:$AS,MATCH($D$1,Database!$A$1:$AS$1,),)))))/(((VLOOKUP(EDATE(B368,-12),Database!$A:$AS,MATCH($D$1,Database!$A$1:$AS$1,),)))))</f>
        <v/>
      </c>
      <c r="E368" s="13">
        <f>IF(VLOOKUP(B368,Database!$A:$AV,MATCH($E$1,Database!$A$1:$AV$1,),)=0,"#N/A",((((VLOOKUP(B368,Database!$A:$AS,MATCH($E$1,Database!$A$1:$AS$1,),))))-(((VLOOKUP(EDATE(B368,-12),Database!$A:$AS,MATCH($E$1,Database!$A$1:$AS$1,),)))))/(((VLOOKUP(EDATE(B368,-12),Database!$A:$AS,MATCH($E$1,Database!$A$1:$AS$1,),)))))</f>
        <v/>
      </c>
      <c r="F368" s="13">
        <f>IF(VLOOKUP(B368,Database!$A:$AV,MATCH($F$1,Database!$A$1:$AV$1,),)=0,"#N/A",((((VLOOKUP(B368,Database!$A:$AS,MATCH($F$1,Database!$A$1:$AS$1,),))))-(((VLOOKUP(EDATE(B368,-12),Database!$A:$AS,MATCH($F$1,Database!$A$1:$AS$1,),)))))/(((VLOOKUP(EDATE(B368,-12),Database!$A:$AS,MATCH($F$1,Database!$A$1:$AS$1,),)))))</f>
        <v/>
      </c>
      <c r="G368" s="13">
        <f>IF(VLOOKUP(B368,Database!$A:$AV,MATCH($G$1,Database!$A$1:$AV$1,),)=0,"#N/A",((((VLOOKUP(B368,Database!$A:$AS,MATCH($G$1,Database!$A$1:$AS$1,),))))-(((VLOOKUP(EDATE(B368,-12),Database!$A:$AS,MATCH($G$1,Database!$A$1:$AS$1,),)))))/(((VLOOKUP(EDATE(B368,-12),Database!$A:$AS,MATCH($G$1,Database!$A$1:$AS$1,),)))))</f>
        <v/>
      </c>
      <c r="H368" s="13">
        <f>IF(VLOOKUP(B368,Database!$A:$AV,MATCH($H$1,Database!$A$1:$AV$1,),)=0,"#N/A",((((VLOOKUP(B368,Database!$A:$AS,MATCH($H$1,Database!$A$1:$AS$1,),))))-(((VLOOKUP(EDATE(B368,-12),Database!$A:$AS,MATCH($H$1,Database!$A$1:$AS$1,),)))))/(((VLOOKUP(EDATE(B368,-12),Database!$A:$AS,MATCH($H$1,Database!$A$1:$AS$1,),)))))</f>
        <v/>
      </c>
      <c r="I368" s="13">
        <f>IF(VLOOKUP(B368,Database!$A:$AV,MATCH($I$1,Database!$A$1:$AV$1,),)=0,"#N/A",((((VLOOKUP(B368,Database!$A:$AS,MATCH($I$1,Database!$A$1:$AS$1,),))))-(((VLOOKUP(EDATE(B368,-12),Database!$A:$AS,MATCH($I$1,Database!$A$1:$AS$1,),)))))/(((VLOOKUP(EDATE(B368,-12),Database!$A:$AS,MATCH($I$1,Database!$A$1:$AS$1,),)))))</f>
        <v/>
      </c>
      <c r="J368" s="13">
        <f>IF(VLOOKUP(B368,Database!$A:$AV,MATCH($J$1,Database!$A$1:$AV$1,),)=0,"#N/A",((((VLOOKUP(B368,Database!$A:$AS,MATCH($J$1,Database!$A$1:$AS$1,),))))-(((VLOOKUP(EDATE(B368,-12),Database!$A:$AS,MATCH($J$1,Database!$A$1:$AS$1,),)))))/(((VLOOKUP(EDATE(B368,-12),Database!$A:$AS,MATCH($J$1,Database!$A$1:$AS$1,),)))))</f>
        <v/>
      </c>
      <c r="K368" s="13">
        <f>IF(VLOOKUP(B368,Database!$A:$AV,MATCH($K$1,Database!$A$1:$AV$1,),)=0,"#N/A",((((VLOOKUP(B368,Database!$A:$AS,MATCH($K$1,Database!$A$1:$AS$1,),))))-(((VLOOKUP(EDATE(B368,-12),Database!$A:$AS,MATCH($K$1,Database!$A$1:$AS$1,),)))))/(((VLOOKUP(EDATE(B368,-12),Database!$A:$AS,MATCH($K$1,Database!$A$1:$AS$1,),)))))</f>
        <v/>
      </c>
      <c r="L368" s="13">
        <f>((((VLOOKUP(B368,Database!$A:$AS,MATCH($L$1,Database!$A$1:$AS$1,),))))-(((VLOOKUP(EDATE(B368,-12),Database!$A:$AS,MATCH($L$1,Database!$A$1:$AS$1,),)))))/(((VLOOKUP(EDATE(B368,-12),Database!$A:$AS,MATCH($L$1,Database!$A$1:$AS$1,),))))</f>
        <v/>
      </c>
      <c r="M368" s="13">
        <f>((((VLOOKUP(B368,Database!$A:$AS,MATCH($M$1,Database!$A$1:$AS$1,),))))-(((VLOOKUP(EDATE(B368,-12),Database!$A:$AS,MATCH($M$1,Database!$A$1:$AS$1,),)))))/(((VLOOKUP(EDATE(B368,-12),Database!$A:$AS,MATCH($M$1,Database!$A$1:$AS$1,),))))</f>
        <v/>
      </c>
      <c r="N368" s="13">
        <f>((((VLOOKUP(B368,Database!$A:$AS,MATCH($N$1,Database!$A$1:$AS$1,),))))-(((VLOOKUP(EDATE(B368,-12),Database!$A:$AS,MATCH($N$1,Database!$A$1:$AS$1,),)))))/(((VLOOKUP(EDATE(B368,-12),Database!$A:$AS,MATCH($N$1,Database!$A$1:$AS$1,),))))</f>
        <v/>
      </c>
      <c r="O368" s="13">
        <f>IF(VLOOKUP(B368,Database!$A:$AV,MATCH($O$1,Database!$A$1:$AV$1,),)=0,"#N/A",((((VLOOKUP(B368,Database!$A:$AS,MATCH($O$1,Database!$A$1:$AS$1,),))))-(((VLOOKUP(EDATE(B368,-12),Database!$A:$AS,MATCH($O$1,Database!$A$1:$AS$1,),)))))/(((VLOOKUP(EDATE(B368,-12),Database!$A:$AS,MATCH($O$1,Database!$A$1:$AS$1,),)))))</f>
        <v/>
      </c>
      <c r="P368" s="13">
        <f>IF(VLOOKUP(B368,Database!$A:$AV,MATCH($P$1,Database!$A$1:$AV$1,),)=0,"#N/A",((((VLOOKUP(B368,Database!$A:$AS,MATCH($P$1,Database!$A$1:$AS$1,),))))-(((VLOOKUP(EDATE(B368,-12),Database!$A:$AS,MATCH($P$1,Database!$A$1:$AS$1,),)))))/(((VLOOKUP(EDATE(B368,-12),Database!$A:$AS,MATCH($P$1,Database!$A$1:$AS$1,),)))))</f>
        <v/>
      </c>
      <c r="Q368" s="13">
        <f>IF(VLOOKUP(B368,Database!$A:$AV,MATCH($Q$1,Database!$A$1:$AV$1,),)=0,"#N/A",((((VLOOKUP(B368,Database!$A:$AS,MATCH($Q$1,Database!$A$1:$AS$1,),))))-(((VLOOKUP(EDATE(B368,-12),Database!$A:$AS,MATCH($Q$1,Database!$A$1:$AS$1,),)))))/(((VLOOKUP(EDATE(B368,-12),Database!$A:$AS,MATCH($Q$1,Database!$A$1:$AS$1,),)))))</f>
        <v/>
      </c>
      <c r="R368" s="13">
        <f>IF(VLOOKUP(B368,Database!$A:$AV,MATCH($R$1,Database!$A$1:$AV$1,),)=0,"#N/A",((((VLOOKUP(B368,Database!$A:$AS,MATCH($R$1,Database!$A$1:$AS$1,),))))-(((VLOOKUP(EDATE(B368,-12),Database!$A:$AS,MATCH($R$1,Database!$A$1:$AS$1,),)))))/(((VLOOKUP(EDATE(B368,-12),Database!$A:$AS,MATCH($R$1,Database!$A$1:$AS$1,),)))))</f>
        <v/>
      </c>
      <c r="S368" s="13">
        <f>IF(VLOOKUP(B368,Database!$A:$AV,MATCH($S$1,Database!$A$1:$AV$1,),)=0,"#N/A",((((VLOOKUP(B368,Database!$A:$AS,MATCH($S$1,Database!$A$1:$AS$1,),))))-(((VLOOKUP(EDATE(B368,-12),Database!$A:$AS,MATCH($S$1,Database!$A$1:$AS$1,),)))))/(((VLOOKUP(EDATE(B368,-12),Database!$A:$AS,MATCH($S$1,Database!$A$1:$AS$1,),)))))</f>
        <v/>
      </c>
      <c r="T368" s="13">
        <f>IF(VLOOKUP(B368,Database!$A:$AV,MATCH($T$1,Database!$A$1:$AV$1,),)=0,"#N/A",((((VLOOKUP(B368,Database!$A:$AS,MATCH($T$1,Database!$A$1:$AS$1,),))))-(((VLOOKUP(EDATE(B368,-12),Database!$A:$AS,MATCH($T$1,Database!$A$1:$AS$1,),)))))/(((VLOOKUP(EDATE(B368,-12),Database!$A:$AS,MATCH($T$1,Database!$A$1:$AS$1,),)))))</f>
        <v/>
      </c>
      <c r="U368" s="13">
        <f>IF(VLOOKUP(B368,Database!$A:$AV,MATCH($U$1,Database!$A$1:$AV$1,),)=0,"#N/A",((((VLOOKUP(B368,Database!$A:$AS,MATCH($U$1,Database!$A$1:$AS$1,),))))-(((VLOOKUP(EDATE(B368,-12),Database!$A:$AS,MATCH($U$1,Database!$A$1:$AS$1,),)))))/(((VLOOKUP(EDATE(B368,-12),Database!$A:$AS,MATCH($U$1,Database!$A$1:$AS$1,),)))))</f>
        <v/>
      </c>
      <c r="V368" s="13">
        <f>IF(VLOOKUP(B368,Database!$A:$AV,MATCH($V$1,Database!$A$1:$AV$1,),)=0,"#N/A",((((VLOOKUP(B368,Database!$A:$AS,MATCH($V$1,Database!$A$1:$AS$1,),))))-(((VLOOKUP(EDATE(B368,-12),Database!$A:$AS,MATCH($V$1,Database!$A$1:$AS$1,),)))))/(((VLOOKUP(EDATE(B368,-12),Database!$A:$AS,MATCH($V$1,Database!$A$1:$AS$1,),)))))</f>
        <v/>
      </c>
    </row>
    <row r="369" customFormat="1" s="86">
      <c r="B369" s="75" t="n">
        <v>43374</v>
      </c>
      <c r="C369" s="13">
        <f>IF(VLOOKUP(B369,Database!$A:$AU,MATCH($C$1,Database!$A$1:$AU$1,),)=0,"#N/A",((((VLOOKUP(B369,Database!$A:$AU,MATCH($C$1,Database!$A$1:$AU$1,),))))-(((VLOOKUP(EDATE(B369,-12),Database!$A:$AU,MATCH($C$1,Database!$A$1:$AU$1,),)))))/(((VLOOKUP(EDATE(B369,-12),Database!$A:$AU,MATCH($C$1,Database!$A$1:$AU$1,),)))))</f>
        <v/>
      </c>
      <c r="D369" s="13">
        <f>IF(VLOOKUP(B369,Database!$A:$AV,MATCH($D$1,Database!$A$1:$AV$1,),)=0,"#N/A",((((VLOOKUP(B369,Database!$A:$AS,MATCH($D$1,Database!$A$1:$AS$1,),))))-(((VLOOKUP(EDATE(B369,-12),Database!$A:$AS,MATCH($D$1,Database!$A$1:$AS$1,),)))))/(((VLOOKUP(EDATE(B369,-12),Database!$A:$AS,MATCH($D$1,Database!$A$1:$AS$1,),)))))</f>
        <v/>
      </c>
      <c r="E369" s="13">
        <f>IF(VLOOKUP(B369,Database!$A:$AV,MATCH($E$1,Database!$A$1:$AV$1,),)=0,"#N/A",((((VLOOKUP(B369,Database!$A:$AS,MATCH($E$1,Database!$A$1:$AS$1,),))))-(((VLOOKUP(EDATE(B369,-12),Database!$A:$AS,MATCH($E$1,Database!$A$1:$AS$1,),)))))/(((VLOOKUP(EDATE(B369,-12),Database!$A:$AS,MATCH($E$1,Database!$A$1:$AS$1,),)))))</f>
        <v/>
      </c>
      <c r="F369" s="13">
        <f>IF(VLOOKUP(B369,Database!$A:$AV,MATCH($F$1,Database!$A$1:$AV$1,),)=0,"#N/A",((((VLOOKUP(B369,Database!$A:$AS,MATCH($F$1,Database!$A$1:$AS$1,),))))-(((VLOOKUP(EDATE(B369,-12),Database!$A:$AS,MATCH($F$1,Database!$A$1:$AS$1,),)))))/(((VLOOKUP(EDATE(B369,-12),Database!$A:$AS,MATCH($F$1,Database!$A$1:$AS$1,),)))))</f>
        <v/>
      </c>
      <c r="G369" s="13">
        <f>IF(VLOOKUP(B369,Database!$A:$AV,MATCH($G$1,Database!$A$1:$AV$1,),)=0,"#N/A",((((VLOOKUP(B369,Database!$A:$AS,MATCH($G$1,Database!$A$1:$AS$1,),))))-(((VLOOKUP(EDATE(B369,-12),Database!$A:$AS,MATCH($G$1,Database!$A$1:$AS$1,),)))))/(((VLOOKUP(EDATE(B369,-12),Database!$A:$AS,MATCH($G$1,Database!$A$1:$AS$1,),)))))</f>
        <v/>
      </c>
      <c r="H369" s="13">
        <f>IF(VLOOKUP(B369,Database!$A:$AV,MATCH($H$1,Database!$A$1:$AV$1,),)=0,"#N/A",((((VLOOKUP(B369,Database!$A:$AS,MATCH($H$1,Database!$A$1:$AS$1,),))))-(((VLOOKUP(EDATE(B369,-12),Database!$A:$AS,MATCH($H$1,Database!$A$1:$AS$1,),)))))/(((VLOOKUP(EDATE(B369,-12),Database!$A:$AS,MATCH($H$1,Database!$A$1:$AS$1,),)))))</f>
        <v/>
      </c>
      <c r="I369" s="13">
        <f>IF(VLOOKUP(B369,Database!$A:$AV,MATCH($I$1,Database!$A$1:$AV$1,),)=0,"#N/A",((((VLOOKUP(B369,Database!$A:$AS,MATCH($I$1,Database!$A$1:$AS$1,),))))-(((VLOOKUP(EDATE(B369,-12),Database!$A:$AS,MATCH($I$1,Database!$A$1:$AS$1,),)))))/(((VLOOKUP(EDATE(B369,-12),Database!$A:$AS,MATCH($I$1,Database!$A$1:$AS$1,),)))))</f>
        <v/>
      </c>
      <c r="J369" s="13">
        <f>IF(VLOOKUP(B369,Database!$A:$AV,MATCH($J$1,Database!$A$1:$AV$1,),)=0,"#N/A",((((VLOOKUP(B369,Database!$A:$AS,MATCH($J$1,Database!$A$1:$AS$1,),))))-(((VLOOKUP(EDATE(B369,-12),Database!$A:$AS,MATCH($J$1,Database!$A$1:$AS$1,),)))))/(((VLOOKUP(EDATE(B369,-12),Database!$A:$AS,MATCH($J$1,Database!$A$1:$AS$1,),)))))</f>
        <v/>
      </c>
      <c r="K369" s="13">
        <f>IF(VLOOKUP(B369,Database!$A:$AV,MATCH($K$1,Database!$A$1:$AV$1,),)=0,"#N/A",((((VLOOKUP(B369,Database!$A:$AS,MATCH($K$1,Database!$A$1:$AS$1,),))))-(((VLOOKUP(EDATE(B369,-12),Database!$A:$AS,MATCH($K$1,Database!$A$1:$AS$1,),)))))/(((VLOOKUP(EDATE(B369,-12),Database!$A:$AS,MATCH($K$1,Database!$A$1:$AS$1,),)))))</f>
        <v/>
      </c>
      <c r="L369" s="13" t="n"/>
      <c r="M369" s="13">
        <f>((((VLOOKUP(B369,Database!$A:$AS,MATCH($M$1,Database!$A$1:$AS$1,),))))-(((VLOOKUP(EDATE(B369,-12),Database!$A:$AS,MATCH($M$1,Database!$A$1:$AS$1,),)))))/(((VLOOKUP(EDATE(B369,-12),Database!$A:$AS,MATCH($M$1,Database!$A$1:$AS$1,),))))</f>
        <v/>
      </c>
      <c r="N369" s="13">
        <f>((((VLOOKUP(B369,Database!$A:$AS,MATCH($N$1,Database!$A$1:$AS$1,),))))-(((VLOOKUP(EDATE(B369,-12),Database!$A:$AS,MATCH($N$1,Database!$A$1:$AS$1,),)))))/(((VLOOKUP(EDATE(B369,-12),Database!$A:$AS,MATCH($N$1,Database!$A$1:$AS$1,),))))</f>
        <v/>
      </c>
      <c r="O369" s="13">
        <f>IF(VLOOKUP(B369,Database!$A:$AV,MATCH($O$1,Database!$A$1:$AV$1,),)=0,"#N/A",((((VLOOKUP(B369,Database!$A:$AS,MATCH($O$1,Database!$A$1:$AS$1,),))))-(((VLOOKUP(EDATE(B369,-12),Database!$A:$AS,MATCH($O$1,Database!$A$1:$AS$1,),)))))/(((VLOOKUP(EDATE(B369,-12),Database!$A:$AS,MATCH($O$1,Database!$A$1:$AS$1,),)))))</f>
        <v/>
      </c>
      <c r="P369" s="13">
        <f>IF(VLOOKUP(B369,Database!$A:$AV,MATCH($P$1,Database!$A$1:$AV$1,),)=0,"#N/A",((((VLOOKUP(B369,Database!$A:$AS,MATCH($P$1,Database!$A$1:$AS$1,),))))-(((VLOOKUP(EDATE(B369,-12),Database!$A:$AS,MATCH($P$1,Database!$A$1:$AS$1,),)))))/(((VLOOKUP(EDATE(B369,-12),Database!$A:$AS,MATCH($P$1,Database!$A$1:$AS$1,),)))))</f>
        <v/>
      </c>
      <c r="Q369" s="13">
        <f>IF(VLOOKUP(B369,Database!$A:$AV,MATCH($Q$1,Database!$A$1:$AV$1,),)=0,"#N/A",((((VLOOKUP(B369,Database!$A:$AS,MATCH($Q$1,Database!$A$1:$AS$1,),))))-(((VLOOKUP(EDATE(B369,-12),Database!$A:$AS,MATCH($Q$1,Database!$A$1:$AS$1,),)))))/(((VLOOKUP(EDATE(B369,-12),Database!$A:$AS,MATCH($Q$1,Database!$A$1:$AS$1,),)))))</f>
        <v/>
      </c>
      <c r="R369" s="13">
        <f>IF(VLOOKUP(B369,Database!$A:$AV,MATCH($R$1,Database!$A$1:$AV$1,),)=0,"#N/A",((((VLOOKUP(B369,Database!$A:$AS,MATCH($R$1,Database!$A$1:$AS$1,),))))-(((VLOOKUP(EDATE(B369,-12),Database!$A:$AS,MATCH($R$1,Database!$A$1:$AS$1,),)))))/(((VLOOKUP(EDATE(B369,-12),Database!$A:$AS,MATCH($R$1,Database!$A$1:$AS$1,),)))))</f>
        <v/>
      </c>
      <c r="S369" s="13">
        <f>IF(VLOOKUP(B369,Database!$A:$AV,MATCH($S$1,Database!$A$1:$AV$1,),)=0,"#N/A",((((VLOOKUP(B369,Database!$A:$AS,MATCH($S$1,Database!$A$1:$AS$1,),))))-(((VLOOKUP(EDATE(B369,-12),Database!$A:$AS,MATCH($S$1,Database!$A$1:$AS$1,),)))))/(((VLOOKUP(EDATE(B369,-12),Database!$A:$AS,MATCH($S$1,Database!$A$1:$AS$1,),)))))</f>
        <v/>
      </c>
      <c r="T369" s="13">
        <f>IF(VLOOKUP(B369,Database!$A:$AV,MATCH($T$1,Database!$A$1:$AV$1,),)=0,"#N/A",((((VLOOKUP(B369,Database!$A:$AS,MATCH($T$1,Database!$A$1:$AS$1,),))))-(((VLOOKUP(EDATE(B369,-12),Database!$A:$AS,MATCH($T$1,Database!$A$1:$AS$1,),)))))/(((VLOOKUP(EDATE(B369,-12),Database!$A:$AS,MATCH($T$1,Database!$A$1:$AS$1,),)))))</f>
        <v/>
      </c>
      <c r="U369" s="13">
        <f>IF(VLOOKUP(B369,Database!$A:$AV,MATCH($U$1,Database!$A$1:$AV$1,),)=0,"#N/A",((((VLOOKUP(B369,Database!$A:$AS,MATCH($U$1,Database!$A$1:$AS$1,),))))-(((VLOOKUP(EDATE(B369,-12),Database!$A:$AS,MATCH($U$1,Database!$A$1:$AS$1,),)))))/(((VLOOKUP(EDATE(B369,-12),Database!$A:$AS,MATCH($U$1,Database!$A$1:$AS$1,),)))))</f>
        <v/>
      </c>
      <c r="V369" s="13">
        <f>IF(VLOOKUP(B369,Database!$A:$AV,MATCH($V$1,Database!$A$1:$AV$1,),)=0,"#N/A",((((VLOOKUP(B369,Database!$A:$AS,MATCH($V$1,Database!$A$1:$AS$1,),))))-(((VLOOKUP(EDATE(B369,-12),Database!$A:$AS,MATCH($V$1,Database!$A$1:$AS$1,),)))))/(((VLOOKUP(EDATE(B369,-12),Database!$A:$AS,MATCH($V$1,Database!$A$1:$AS$1,),)))))</f>
        <v/>
      </c>
    </row>
    <row r="370" customFormat="1" s="86">
      <c r="B370" s="75" t="n">
        <v>43405</v>
      </c>
      <c r="C370" s="13">
        <f>IF(VLOOKUP(B370,Database!$A:$AU,MATCH($C$1,Database!$A$1:$AU$1,),)=0,"#N/A",((((VLOOKUP(B370,Database!$A:$AU,MATCH($C$1,Database!$A$1:$AU$1,),))))-(((VLOOKUP(EDATE(B370,-12),Database!$A:$AU,MATCH($C$1,Database!$A$1:$AU$1,),)))))/(((VLOOKUP(EDATE(B370,-12),Database!$A:$AU,MATCH($C$1,Database!$A$1:$AU$1,),)))))</f>
        <v/>
      </c>
      <c r="D370" s="13">
        <f>IF(VLOOKUP(B370,Database!$A:$AV,MATCH($D$1,Database!$A$1:$AV$1,),)=0,"#N/A",((((VLOOKUP(B370,Database!$A:$AS,MATCH($D$1,Database!$A$1:$AS$1,),))))-(((VLOOKUP(EDATE(B370,-12),Database!$A:$AS,MATCH($D$1,Database!$A$1:$AS$1,),)))))/(((VLOOKUP(EDATE(B370,-12),Database!$A:$AS,MATCH($D$1,Database!$A$1:$AS$1,),)))))</f>
        <v/>
      </c>
      <c r="E370" s="13">
        <f>IF(VLOOKUP(B370,Database!$A:$AV,MATCH($E$1,Database!$A$1:$AV$1,),)=0,"#N/A",((((VLOOKUP(B370,Database!$A:$AS,MATCH($E$1,Database!$A$1:$AS$1,),))))-(((VLOOKUP(EDATE(B370,-12),Database!$A:$AS,MATCH($E$1,Database!$A$1:$AS$1,),)))))/(((VLOOKUP(EDATE(B370,-12),Database!$A:$AS,MATCH($E$1,Database!$A$1:$AS$1,),)))))</f>
        <v/>
      </c>
      <c r="F370" s="13">
        <f>IF(VLOOKUP(B370,Database!$A:$AV,MATCH($F$1,Database!$A$1:$AV$1,),)=0,"#N/A",((((VLOOKUP(B370,Database!$A:$AS,MATCH($F$1,Database!$A$1:$AS$1,),))))-(((VLOOKUP(EDATE(B370,-12),Database!$A:$AS,MATCH($F$1,Database!$A$1:$AS$1,),)))))/(((VLOOKUP(EDATE(B370,-12),Database!$A:$AS,MATCH($F$1,Database!$A$1:$AS$1,),)))))</f>
        <v/>
      </c>
      <c r="G370" s="13">
        <f>IF(VLOOKUP(B370,Database!$A:$AV,MATCH($G$1,Database!$A$1:$AV$1,),)=0,"#N/A",((((VLOOKUP(B370,Database!$A:$AS,MATCH($G$1,Database!$A$1:$AS$1,),))))-(((VLOOKUP(EDATE(B370,-12),Database!$A:$AS,MATCH($G$1,Database!$A$1:$AS$1,),)))))/(((VLOOKUP(EDATE(B370,-12),Database!$A:$AS,MATCH($G$1,Database!$A$1:$AS$1,),)))))</f>
        <v/>
      </c>
      <c r="H370" s="13">
        <f>IF(VLOOKUP(B370,Database!$A:$AV,MATCH($H$1,Database!$A$1:$AV$1,),)=0,"#N/A",((((VLOOKUP(B370,Database!$A:$AS,MATCH($H$1,Database!$A$1:$AS$1,),))))-(((VLOOKUP(EDATE(B370,-12),Database!$A:$AS,MATCH($H$1,Database!$A$1:$AS$1,),)))))/(((VLOOKUP(EDATE(B370,-12),Database!$A:$AS,MATCH($H$1,Database!$A$1:$AS$1,),)))))</f>
        <v/>
      </c>
      <c r="I370" s="13">
        <f>IF(VLOOKUP(B370,Database!$A:$AV,MATCH($I$1,Database!$A$1:$AV$1,),)=0,"#N/A",((((VLOOKUP(B370,Database!$A:$AS,MATCH($I$1,Database!$A$1:$AS$1,),))))-(((VLOOKUP(EDATE(B370,-12),Database!$A:$AS,MATCH($I$1,Database!$A$1:$AS$1,),)))))/(((VLOOKUP(EDATE(B370,-12),Database!$A:$AS,MATCH($I$1,Database!$A$1:$AS$1,),)))))</f>
        <v/>
      </c>
      <c r="J370" s="13">
        <f>IF(VLOOKUP(B370,Database!$A:$AV,MATCH($J$1,Database!$A$1:$AV$1,),)=0,"#N/A",((((VLOOKUP(B370,Database!$A:$AS,MATCH($J$1,Database!$A$1:$AS$1,),))))-(((VLOOKUP(EDATE(B370,-12),Database!$A:$AS,MATCH($J$1,Database!$A$1:$AS$1,),)))))/(((VLOOKUP(EDATE(B370,-12),Database!$A:$AS,MATCH($J$1,Database!$A$1:$AS$1,),)))))</f>
        <v/>
      </c>
      <c r="K370" s="13">
        <f>IF(VLOOKUP(B370,Database!$A:$AV,MATCH($K$1,Database!$A$1:$AV$1,),)=0,"#N/A",((((VLOOKUP(B370,Database!$A:$AS,MATCH($K$1,Database!$A$1:$AS$1,),))))-(((VLOOKUP(EDATE(B370,-12),Database!$A:$AS,MATCH($K$1,Database!$A$1:$AS$1,),)))))/(((VLOOKUP(EDATE(B370,-12),Database!$A:$AS,MATCH($K$1,Database!$A$1:$AS$1,),)))))</f>
        <v/>
      </c>
      <c r="L370" s="13" t="n"/>
      <c r="M370" s="13">
        <f>((((VLOOKUP(B370,Database!$A:$AS,MATCH($M$1,Database!$A$1:$AS$1,),))))-(((VLOOKUP(EDATE(B370,-12),Database!$A:$AS,MATCH($M$1,Database!$A$1:$AS$1,),)))))/(((VLOOKUP(EDATE(B370,-12),Database!$A:$AS,MATCH($M$1,Database!$A$1:$AS$1,),))))</f>
        <v/>
      </c>
      <c r="N370" s="13">
        <f>((((VLOOKUP(B370,Database!$A:$AS,MATCH($N$1,Database!$A$1:$AS$1,),))))-(((VLOOKUP(EDATE(B370,-12),Database!$A:$AS,MATCH($N$1,Database!$A$1:$AS$1,),)))))/(((VLOOKUP(EDATE(B370,-12),Database!$A:$AS,MATCH($N$1,Database!$A$1:$AS$1,),))))</f>
        <v/>
      </c>
      <c r="O370" s="13">
        <f>IF(VLOOKUP(B370,Database!$A:$AV,MATCH($O$1,Database!$A$1:$AV$1,),)=0,"#N/A",((((VLOOKUP(B370,Database!$A:$AS,MATCH($O$1,Database!$A$1:$AS$1,),))))-(((VLOOKUP(EDATE(B370,-12),Database!$A:$AS,MATCH($O$1,Database!$A$1:$AS$1,),)))))/(((VLOOKUP(EDATE(B370,-12),Database!$A:$AS,MATCH($O$1,Database!$A$1:$AS$1,),)))))</f>
        <v/>
      </c>
      <c r="P370" s="13">
        <f>IF(VLOOKUP(B370,Database!$A:$AV,MATCH($P$1,Database!$A$1:$AV$1,),)=0,"#N/A",((((VLOOKUP(B370,Database!$A:$AS,MATCH($P$1,Database!$A$1:$AS$1,),))))-(((VLOOKUP(EDATE(B370,-12),Database!$A:$AS,MATCH($P$1,Database!$A$1:$AS$1,),)))))/(((VLOOKUP(EDATE(B370,-12),Database!$A:$AS,MATCH($P$1,Database!$A$1:$AS$1,),)))))</f>
        <v/>
      </c>
      <c r="Q370" s="13">
        <f>IF(VLOOKUP(B370,Database!$A:$AV,MATCH($Q$1,Database!$A$1:$AV$1,),)=0,"#N/A",((((VLOOKUP(B370,Database!$A:$AS,MATCH($Q$1,Database!$A$1:$AS$1,),))))-(((VLOOKUP(EDATE(B370,-12),Database!$A:$AS,MATCH($Q$1,Database!$A$1:$AS$1,),)))))/(((VLOOKUP(EDATE(B370,-12),Database!$A:$AS,MATCH($Q$1,Database!$A$1:$AS$1,),)))))</f>
        <v/>
      </c>
      <c r="R370" s="13">
        <f>IF(VLOOKUP(B370,Database!$A:$AV,MATCH($R$1,Database!$A$1:$AV$1,),)=0,"#N/A",((((VLOOKUP(B370,Database!$A:$AS,MATCH($R$1,Database!$A$1:$AS$1,),))))-(((VLOOKUP(EDATE(B370,-12),Database!$A:$AS,MATCH($R$1,Database!$A$1:$AS$1,),)))))/(((VLOOKUP(EDATE(B370,-12),Database!$A:$AS,MATCH($R$1,Database!$A$1:$AS$1,),)))))</f>
        <v/>
      </c>
      <c r="S370" s="13">
        <f>IF(VLOOKUP(B370,Database!$A:$AV,MATCH($S$1,Database!$A$1:$AV$1,),)=0,"#N/A",((((VLOOKUP(B370,Database!$A:$AS,MATCH($S$1,Database!$A$1:$AS$1,),))))-(((VLOOKUP(EDATE(B370,-12),Database!$A:$AS,MATCH($S$1,Database!$A$1:$AS$1,),)))))/(((VLOOKUP(EDATE(B370,-12),Database!$A:$AS,MATCH($S$1,Database!$A$1:$AS$1,),)))))</f>
        <v/>
      </c>
      <c r="T370" s="13">
        <f>IF(VLOOKUP(B370,Database!$A:$AV,MATCH($T$1,Database!$A$1:$AV$1,),)=0,"#N/A",((((VLOOKUP(B370,Database!$A:$AS,MATCH($T$1,Database!$A$1:$AS$1,),))))-(((VLOOKUP(EDATE(B370,-12),Database!$A:$AS,MATCH($T$1,Database!$A$1:$AS$1,),)))))/(((VLOOKUP(EDATE(B370,-12),Database!$A:$AS,MATCH($T$1,Database!$A$1:$AS$1,),)))))</f>
        <v/>
      </c>
      <c r="U370" s="13">
        <f>IF(VLOOKUP(B370,Database!$A:$AV,MATCH($U$1,Database!$A$1:$AV$1,),)=0,"#N/A",((((VLOOKUP(B370,Database!$A:$AS,MATCH($U$1,Database!$A$1:$AS$1,),))))-(((VLOOKUP(EDATE(B370,-12),Database!$A:$AS,MATCH($U$1,Database!$A$1:$AS$1,),)))))/(((VLOOKUP(EDATE(B370,-12),Database!$A:$AS,MATCH($U$1,Database!$A$1:$AS$1,),)))))</f>
        <v/>
      </c>
      <c r="V370" s="13">
        <f>IF(VLOOKUP(B370,Database!$A:$AV,MATCH($V$1,Database!$A$1:$AV$1,),)=0,"#N/A",((((VLOOKUP(B370,Database!$A:$AS,MATCH($V$1,Database!$A$1:$AS$1,),))))-(((VLOOKUP(EDATE(B370,-12),Database!$A:$AS,MATCH($V$1,Database!$A$1:$AS$1,),)))))/(((VLOOKUP(EDATE(B370,-12),Database!$A:$AS,MATCH($V$1,Database!$A$1:$AS$1,),)))))</f>
        <v/>
      </c>
    </row>
    <row r="371" customFormat="1" s="86">
      <c r="B371" s="75" t="n">
        <v>43435</v>
      </c>
      <c r="C371" s="13">
        <f>IF(VLOOKUP(B371,Database!$A:$AU,MATCH($C$1,Database!$A$1:$AU$1,),)=0,"#N/A",((((VLOOKUP(B371,Database!$A:$AU,MATCH($C$1,Database!$A$1:$AU$1,),))))-(((VLOOKUP(EDATE(B371,-12),Database!$A:$AU,MATCH($C$1,Database!$A$1:$AU$1,),)))))/(((VLOOKUP(EDATE(B371,-12),Database!$A:$AU,MATCH($C$1,Database!$A$1:$AU$1,),)))))</f>
        <v/>
      </c>
      <c r="D371" s="13">
        <f>IF(VLOOKUP(B371,Database!$A:$AV,MATCH($D$1,Database!$A$1:$AV$1,),)=0,"#N/A",((((VLOOKUP(B371,Database!$A:$AS,MATCH($D$1,Database!$A$1:$AS$1,),))))-(((VLOOKUP(EDATE(B371,-12),Database!$A:$AS,MATCH($D$1,Database!$A$1:$AS$1,),)))))/(((VLOOKUP(EDATE(B371,-12),Database!$A:$AS,MATCH($D$1,Database!$A$1:$AS$1,),)))))</f>
        <v/>
      </c>
      <c r="E371" s="13">
        <f>IF(VLOOKUP(B371,Database!$A:$AV,MATCH($E$1,Database!$A$1:$AV$1,),)=0,"#N/A",((((VLOOKUP(B371,Database!$A:$AS,MATCH($E$1,Database!$A$1:$AS$1,),))))-(((VLOOKUP(EDATE(B371,-12),Database!$A:$AS,MATCH($E$1,Database!$A$1:$AS$1,),)))))/(((VLOOKUP(EDATE(B371,-12),Database!$A:$AS,MATCH($E$1,Database!$A$1:$AS$1,),)))))</f>
        <v/>
      </c>
      <c r="F371" s="13">
        <f>IF(VLOOKUP(B371,Database!$A:$AV,MATCH($F$1,Database!$A$1:$AV$1,),)=0,"#N/A",((((VLOOKUP(B371,Database!$A:$AS,MATCH($F$1,Database!$A$1:$AS$1,),))))-(((VLOOKUP(EDATE(B371,-12),Database!$A:$AS,MATCH($F$1,Database!$A$1:$AS$1,),)))))/(((VLOOKUP(EDATE(B371,-12),Database!$A:$AS,MATCH($F$1,Database!$A$1:$AS$1,),)))))</f>
        <v/>
      </c>
      <c r="G371" s="13">
        <f>IF(VLOOKUP(B371,Database!$A:$AV,MATCH($G$1,Database!$A$1:$AV$1,),)=0,"#N/A",((((VLOOKUP(B371,Database!$A:$AS,MATCH($G$1,Database!$A$1:$AS$1,),))))-(((VLOOKUP(EDATE(B371,-12),Database!$A:$AS,MATCH($G$1,Database!$A$1:$AS$1,),)))))/(((VLOOKUP(EDATE(B371,-12),Database!$A:$AS,MATCH($G$1,Database!$A$1:$AS$1,),)))))</f>
        <v/>
      </c>
      <c r="H371" s="13">
        <f>IF(VLOOKUP(B371,Database!$A:$AV,MATCH($H$1,Database!$A$1:$AV$1,),)=0,"#N/A",((((VLOOKUP(B371,Database!$A:$AS,MATCH($H$1,Database!$A$1:$AS$1,),))))-(((VLOOKUP(EDATE(B371,-12),Database!$A:$AS,MATCH($H$1,Database!$A$1:$AS$1,),)))))/(((VLOOKUP(EDATE(B371,-12),Database!$A:$AS,MATCH($H$1,Database!$A$1:$AS$1,),)))))</f>
        <v/>
      </c>
      <c r="I371" s="13">
        <f>IF(VLOOKUP(B371,Database!$A:$AV,MATCH($I$1,Database!$A$1:$AV$1,),)=0,"#N/A",((((VLOOKUP(B371,Database!$A:$AS,MATCH($I$1,Database!$A$1:$AS$1,),))))-(((VLOOKUP(EDATE(B371,-12),Database!$A:$AS,MATCH($I$1,Database!$A$1:$AS$1,),)))))/(((VLOOKUP(EDATE(B371,-12),Database!$A:$AS,MATCH($I$1,Database!$A$1:$AS$1,),)))))</f>
        <v/>
      </c>
      <c r="J371" s="13">
        <f>IF(VLOOKUP(B371,Database!$A:$AV,MATCH($J$1,Database!$A$1:$AV$1,),)=0,"#N/A",((((VLOOKUP(B371,Database!$A:$AS,MATCH($J$1,Database!$A$1:$AS$1,),))))-(((VLOOKUP(EDATE(B371,-12),Database!$A:$AS,MATCH($J$1,Database!$A$1:$AS$1,),)))))/(((VLOOKUP(EDATE(B371,-12),Database!$A:$AS,MATCH($J$1,Database!$A$1:$AS$1,),)))))</f>
        <v/>
      </c>
      <c r="K371" s="13">
        <f>IF(VLOOKUP(B371,Database!$A:$AV,MATCH($K$1,Database!$A$1:$AV$1,),)=0,"#N/A",((((VLOOKUP(B371,Database!$A:$AS,MATCH($K$1,Database!$A$1:$AS$1,),))))-(((VLOOKUP(EDATE(B371,-12),Database!$A:$AS,MATCH($K$1,Database!$A$1:$AS$1,),)))))/(((VLOOKUP(EDATE(B371,-12),Database!$A:$AS,MATCH($K$1,Database!$A$1:$AS$1,),)))))</f>
        <v/>
      </c>
      <c r="L371" s="13" t="n"/>
      <c r="M371" s="13">
        <f>((((VLOOKUP(B371,Database!$A:$AS,MATCH($M$1,Database!$A$1:$AS$1,),))))-(((VLOOKUP(EDATE(B371,-12),Database!$A:$AS,MATCH($M$1,Database!$A$1:$AS$1,),)))))/(((VLOOKUP(EDATE(B371,-12),Database!$A:$AS,MATCH($M$1,Database!$A$1:$AS$1,),))))</f>
        <v/>
      </c>
      <c r="N371" s="13">
        <f>((((VLOOKUP(B371,Database!$A:$AS,MATCH($N$1,Database!$A$1:$AS$1,),))))-(((VLOOKUP(EDATE(B371,-12),Database!$A:$AS,MATCH($N$1,Database!$A$1:$AS$1,),)))))/(((VLOOKUP(EDATE(B371,-12),Database!$A:$AS,MATCH($N$1,Database!$A$1:$AS$1,),))))</f>
        <v/>
      </c>
      <c r="O371" s="13">
        <f>IF(VLOOKUP(B371,Database!$A:$AV,MATCH($O$1,Database!$A$1:$AV$1,),)=0,"#N/A",((((VLOOKUP(B371,Database!$A:$AS,MATCH($O$1,Database!$A$1:$AS$1,),))))-(((VLOOKUP(EDATE(B371,-12),Database!$A:$AS,MATCH($O$1,Database!$A$1:$AS$1,),)))))/(((VLOOKUP(EDATE(B371,-12),Database!$A:$AS,MATCH($O$1,Database!$A$1:$AS$1,),)))))</f>
        <v/>
      </c>
      <c r="P371" s="13">
        <f>IF(VLOOKUP(B371,Database!$A:$AV,MATCH($P$1,Database!$A$1:$AV$1,),)=0,"#N/A",((((VLOOKUP(B371,Database!$A:$AS,MATCH($P$1,Database!$A$1:$AS$1,),))))-(((VLOOKUP(EDATE(B371,-12),Database!$A:$AS,MATCH($P$1,Database!$A$1:$AS$1,),)))))/(((VLOOKUP(EDATE(B371,-12),Database!$A:$AS,MATCH($P$1,Database!$A$1:$AS$1,),)))))</f>
        <v/>
      </c>
      <c r="Q371" s="13">
        <f>IF(VLOOKUP(B371,Database!$A:$AV,MATCH($Q$1,Database!$A$1:$AV$1,),)=0,"#N/A",((((VLOOKUP(B371,Database!$A:$AS,MATCH($Q$1,Database!$A$1:$AS$1,),))))-(((VLOOKUP(EDATE(B371,-12),Database!$A:$AS,MATCH($Q$1,Database!$A$1:$AS$1,),)))))/(((VLOOKUP(EDATE(B371,-12),Database!$A:$AS,MATCH($Q$1,Database!$A$1:$AS$1,),)))))</f>
        <v/>
      </c>
      <c r="R371" s="13">
        <f>IF(VLOOKUP(B371,Database!$A:$AV,MATCH($R$1,Database!$A$1:$AV$1,),)=0,"#N/A",((((VLOOKUP(B371,Database!$A:$AS,MATCH($R$1,Database!$A$1:$AS$1,),))))-(((VLOOKUP(EDATE(B371,-12),Database!$A:$AS,MATCH($R$1,Database!$A$1:$AS$1,),)))))/(((VLOOKUP(EDATE(B371,-12),Database!$A:$AS,MATCH($R$1,Database!$A$1:$AS$1,),)))))</f>
        <v/>
      </c>
      <c r="S371" s="13">
        <f>IF(VLOOKUP(B371,Database!$A:$AV,MATCH($S$1,Database!$A$1:$AV$1,),)=0,"#N/A",((((VLOOKUP(B371,Database!$A:$AS,MATCH($S$1,Database!$A$1:$AS$1,),))))-(((VLOOKUP(EDATE(B371,-12),Database!$A:$AS,MATCH($S$1,Database!$A$1:$AS$1,),)))))/(((VLOOKUP(EDATE(B371,-12),Database!$A:$AS,MATCH($S$1,Database!$A$1:$AS$1,),)))))</f>
        <v/>
      </c>
      <c r="T371" s="13">
        <f>IF(VLOOKUP(B371,Database!$A:$AV,MATCH($T$1,Database!$A$1:$AV$1,),)=0,"#N/A",((((VLOOKUP(B371,Database!$A:$AS,MATCH($T$1,Database!$A$1:$AS$1,),))))-(((VLOOKUP(EDATE(B371,-12),Database!$A:$AS,MATCH($T$1,Database!$A$1:$AS$1,),)))))/(((VLOOKUP(EDATE(B371,-12),Database!$A:$AS,MATCH($T$1,Database!$A$1:$AS$1,),)))))</f>
        <v/>
      </c>
      <c r="U371" s="13">
        <f>IF(VLOOKUP(B371,Database!$A:$AV,MATCH($U$1,Database!$A$1:$AV$1,),)=0,"#N/A",((((VLOOKUP(B371,Database!$A:$AS,MATCH($U$1,Database!$A$1:$AS$1,),))))-(((VLOOKUP(EDATE(B371,-12),Database!$A:$AS,MATCH($U$1,Database!$A$1:$AS$1,),)))))/(((VLOOKUP(EDATE(B371,-12),Database!$A:$AS,MATCH($U$1,Database!$A$1:$AS$1,),)))))</f>
        <v/>
      </c>
      <c r="V371" s="13">
        <f>IF(VLOOKUP(B371,Database!$A:$AV,MATCH($V$1,Database!$A$1:$AV$1,),)=0,"#N/A",((((VLOOKUP(B371,Database!$A:$AS,MATCH($V$1,Database!$A$1:$AS$1,),))))-(((VLOOKUP(EDATE(B371,-12),Database!$A:$AS,MATCH($V$1,Database!$A$1:$AS$1,),)))))/(((VLOOKUP(EDATE(B371,-12),Database!$A:$AS,MATCH($V$1,Database!$A$1:$AS$1,),)))))</f>
        <v/>
      </c>
    </row>
    <row r="372" customFormat="1" s="86">
      <c r="B372" s="75" t="n">
        <v>43466</v>
      </c>
      <c r="C372" s="13">
        <f>IF(VLOOKUP(B372,Database!$A:$AU,MATCH($C$1,Database!$A$1:$AU$1,),)=0,"#N/A",((((VLOOKUP(B372,Database!$A:$AU,MATCH($C$1,Database!$A$1:$AU$1,),))))-(((VLOOKUP(EDATE(B372,-12),Database!$A:$AU,MATCH($C$1,Database!$A$1:$AU$1,),)))))/(((VLOOKUP(EDATE(B372,-12),Database!$A:$AU,MATCH($C$1,Database!$A$1:$AU$1,),)))))</f>
        <v/>
      </c>
      <c r="D372" s="13">
        <f>IF(VLOOKUP(B372,Database!$A:$AV,MATCH($D$1,Database!$A$1:$AV$1,),)=0,"#N/A",((((VLOOKUP(B372,Database!$A:$AS,MATCH($D$1,Database!$A$1:$AS$1,),))))-(((VLOOKUP(EDATE(B372,-12),Database!$A:$AS,MATCH($D$1,Database!$A$1:$AS$1,),)))))/(((VLOOKUP(EDATE(B372,-12),Database!$A:$AS,MATCH($D$1,Database!$A$1:$AS$1,),)))))</f>
        <v/>
      </c>
      <c r="E372" s="13">
        <f>IF(VLOOKUP(B372,Database!$A:$AV,MATCH($E$1,Database!$A$1:$AV$1,),)=0,"#N/A",((((VLOOKUP(B372,Database!$A:$AS,MATCH($E$1,Database!$A$1:$AS$1,),))))-(((VLOOKUP(EDATE(B372,-12),Database!$A:$AS,MATCH($E$1,Database!$A$1:$AS$1,),)))))/(((VLOOKUP(EDATE(B372,-12),Database!$A:$AS,MATCH($E$1,Database!$A$1:$AS$1,),)))))</f>
        <v/>
      </c>
      <c r="F372" s="13">
        <f>IF(VLOOKUP(B372,Database!$A:$AV,MATCH($F$1,Database!$A$1:$AV$1,),)=0,"#N/A",((((VLOOKUP(B372,Database!$A:$AS,MATCH($F$1,Database!$A$1:$AS$1,),))))-(((VLOOKUP(EDATE(B372,-12),Database!$A:$AS,MATCH($F$1,Database!$A$1:$AS$1,),)))))/(((VLOOKUP(EDATE(B372,-12),Database!$A:$AS,MATCH($F$1,Database!$A$1:$AS$1,),)))))</f>
        <v/>
      </c>
      <c r="G372" s="13">
        <f>IF(VLOOKUP(B372,Database!$A:$AV,MATCH($G$1,Database!$A$1:$AV$1,),)=0,"#N/A",((((VLOOKUP(B372,Database!$A:$AS,MATCH($G$1,Database!$A$1:$AS$1,),))))-(((VLOOKUP(EDATE(B372,-12),Database!$A:$AS,MATCH($G$1,Database!$A$1:$AS$1,),)))))/(((VLOOKUP(EDATE(B372,-12),Database!$A:$AS,MATCH($G$1,Database!$A$1:$AS$1,),)))))</f>
        <v/>
      </c>
      <c r="H372" s="13">
        <f>IF(VLOOKUP(B372,Database!$A:$AV,MATCH($H$1,Database!$A$1:$AV$1,),)=0,"#N/A",((((VLOOKUP(B372,Database!$A:$AS,MATCH($H$1,Database!$A$1:$AS$1,),))))-(((VLOOKUP(EDATE(B372,-12),Database!$A:$AS,MATCH($H$1,Database!$A$1:$AS$1,),)))))/(((VLOOKUP(EDATE(B372,-12),Database!$A:$AS,MATCH($H$1,Database!$A$1:$AS$1,),)))))</f>
        <v/>
      </c>
      <c r="I372" s="13">
        <f>IF(VLOOKUP(B372,Database!$A:$AV,MATCH($I$1,Database!$A$1:$AV$1,),)=0,"#N/A",((((VLOOKUP(B372,Database!$A:$AS,MATCH($I$1,Database!$A$1:$AS$1,),))))-(((VLOOKUP(EDATE(B372,-12),Database!$A:$AS,MATCH($I$1,Database!$A$1:$AS$1,),)))))/(((VLOOKUP(EDATE(B372,-12),Database!$A:$AS,MATCH($I$1,Database!$A$1:$AS$1,),)))))</f>
        <v/>
      </c>
      <c r="J372" s="13">
        <f>IF(VLOOKUP(B372,Database!$A:$AV,MATCH($J$1,Database!$A$1:$AV$1,),)=0,"#N/A",((((VLOOKUP(B372,Database!$A:$AS,MATCH($J$1,Database!$A$1:$AS$1,),))))-(((VLOOKUP(EDATE(B372,-12),Database!$A:$AS,MATCH($J$1,Database!$A$1:$AS$1,),)))))/(((VLOOKUP(EDATE(B372,-12),Database!$A:$AS,MATCH($J$1,Database!$A$1:$AS$1,),)))))</f>
        <v/>
      </c>
      <c r="K372" s="13">
        <f>IF(VLOOKUP(B372,Database!$A:$AV,MATCH($K$1,Database!$A$1:$AV$1,),)=0,"#N/A",((((VLOOKUP(B372,Database!$A:$AS,MATCH($K$1,Database!$A$1:$AS$1,),))))-(((VLOOKUP(EDATE(B372,-12),Database!$A:$AS,MATCH($K$1,Database!$A$1:$AS$1,),)))))/(((VLOOKUP(EDATE(B372,-12),Database!$A:$AS,MATCH($K$1,Database!$A$1:$AS$1,),)))))</f>
        <v/>
      </c>
      <c r="L372" s="13" t="n"/>
      <c r="M372" s="13">
        <f>((((VLOOKUP(B372,Database!$A:$AS,MATCH($M$1,Database!$A$1:$AS$1,),))))-(((VLOOKUP(EDATE(B372,-12),Database!$A:$AS,MATCH($M$1,Database!$A$1:$AS$1,),)))))/(((VLOOKUP(EDATE(B372,-12),Database!$A:$AS,MATCH($M$1,Database!$A$1:$AS$1,),))))</f>
        <v/>
      </c>
      <c r="N372" s="13">
        <f>((((VLOOKUP(B372,Database!$A:$AS,MATCH($N$1,Database!$A$1:$AS$1,),))))-(((VLOOKUP(EDATE(B372,-12),Database!$A:$AS,MATCH($N$1,Database!$A$1:$AS$1,),)))))/(((VLOOKUP(EDATE(B372,-12),Database!$A:$AS,MATCH($N$1,Database!$A$1:$AS$1,),))))</f>
        <v/>
      </c>
      <c r="O372" s="13">
        <f>IF(VLOOKUP(B372,Database!$A:$AV,MATCH($O$1,Database!$A$1:$AV$1,),)=0,"#N/A",((((VLOOKUP(B372,Database!$A:$AS,MATCH($O$1,Database!$A$1:$AS$1,),))))-(((VLOOKUP(EDATE(B372,-12),Database!$A:$AS,MATCH($O$1,Database!$A$1:$AS$1,),)))))/(((VLOOKUP(EDATE(B372,-12),Database!$A:$AS,MATCH($O$1,Database!$A$1:$AS$1,),)))))</f>
        <v/>
      </c>
      <c r="P372" s="13">
        <f>IF(VLOOKUP(B372,Database!$A:$AV,MATCH($P$1,Database!$A$1:$AV$1,),)=0,"#N/A",((((VLOOKUP(B372,Database!$A:$AS,MATCH($P$1,Database!$A$1:$AS$1,),))))-(((VLOOKUP(EDATE(B372,-12),Database!$A:$AS,MATCH($P$1,Database!$A$1:$AS$1,),)))))/(((VLOOKUP(EDATE(B372,-12),Database!$A:$AS,MATCH($P$1,Database!$A$1:$AS$1,),)))))</f>
        <v/>
      </c>
      <c r="Q372" s="13">
        <f>IF(VLOOKUP(B372,Database!$A:$AV,MATCH($Q$1,Database!$A$1:$AV$1,),)=0,"#N/A",((((VLOOKUP(B372,Database!$A:$AS,MATCH($Q$1,Database!$A$1:$AS$1,),))))-(((VLOOKUP(EDATE(B372,-12),Database!$A:$AS,MATCH($Q$1,Database!$A$1:$AS$1,),)))))/(((VLOOKUP(EDATE(B372,-12),Database!$A:$AS,MATCH($Q$1,Database!$A$1:$AS$1,),)))))</f>
        <v/>
      </c>
      <c r="R372" s="13">
        <f>IF(VLOOKUP(B372,Database!$A:$AV,MATCH($R$1,Database!$A$1:$AV$1,),)=0,"#N/A",((((VLOOKUP(B372,Database!$A:$AS,MATCH($R$1,Database!$A$1:$AS$1,),))))-(((VLOOKUP(EDATE(B372,-12),Database!$A:$AS,MATCH($R$1,Database!$A$1:$AS$1,),)))))/(((VLOOKUP(EDATE(B372,-12),Database!$A:$AS,MATCH($R$1,Database!$A$1:$AS$1,),)))))</f>
        <v/>
      </c>
      <c r="S372" s="13">
        <f>IF(VLOOKUP(B372,Database!$A:$AV,MATCH($S$1,Database!$A$1:$AV$1,),)=0,"#N/A",((((VLOOKUP(B372,Database!$A:$AS,MATCH($S$1,Database!$A$1:$AS$1,),))))-(((VLOOKUP(EDATE(B372,-12),Database!$A:$AS,MATCH($S$1,Database!$A$1:$AS$1,),)))))/(((VLOOKUP(EDATE(B372,-12),Database!$A:$AS,MATCH($S$1,Database!$A$1:$AS$1,),)))))</f>
        <v/>
      </c>
      <c r="T372" s="13">
        <f>IF(VLOOKUP(B372,Database!$A:$AV,MATCH($T$1,Database!$A$1:$AV$1,),)=0,"#N/A",((((VLOOKUP(B372,Database!$A:$AS,MATCH($T$1,Database!$A$1:$AS$1,),))))-(((VLOOKUP(EDATE(B372,-12),Database!$A:$AS,MATCH($T$1,Database!$A$1:$AS$1,),)))))/(((VLOOKUP(EDATE(B372,-12),Database!$A:$AS,MATCH($T$1,Database!$A$1:$AS$1,),)))))</f>
        <v/>
      </c>
      <c r="U372" s="13">
        <f>IF(VLOOKUP(B372,Database!$A:$AV,MATCH($U$1,Database!$A$1:$AV$1,),)=0,"#N/A",((((VLOOKUP(B372,Database!$A:$AS,MATCH($U$1,Database!$A$1:$AS$1,),))))-(((VLOOKUP(EDATE(B372,-12),Database!$A:$AS,MATCH($U$1,Database!$A$1:$AS$1,),)))))/(((VLOOKUP(EDATE(B372,-12),Database!$A:$AS,MATCH($U$1,Database!$A$1:$AS$1,),)))))</f>
        <v/>
      </c>
      <c r="V372" s="13">
        <f>IF(VLOOKUP(B372,Database!$A:$AV,MATCH($V$1,Database!$A$1:$AV$1,),)=0,"#N/A",((((VLOOKUP(B372,Database!$A:$AS,MATCH($V$1,Database!$A$1:$AS$1,),))))-(((VLOOKUP(EDATE(B372,-12),Database!$A:$AS,MATCH($V$1,Database!$A$1:$AS$1,),)))))/(((VLOOKUP(EDATE(B372,-12),Database!$A:$AS,MATCH($V$1,Database!$A$1:$AS$1,),)))))</f>
        <v/>
      </c>
    </row>
    <row r="373" customFormat="1" s="86">
      <c r="B373" s="75" t="n">
        <v>43497</v>
      </c>
      <c r="C373" s="13">
        <f>IF(VLOOKUP(B373,Database!$A:$AU,MATCH($C$1,Database!$A$1:$AU$1,),)=0,"#N/A",((((VLOOKUP(B373,Database!$A:$AU,MATCH($C$1,Database!$A$1:$AU$1,),))))-(((VLOOKUP(EDATE(B373,-12),Database!$A:$AU,MATCH($C$1,Database!$A$1:$AU$1,),)))))/(((VLOOKUP(EDATE(B373,-12),Database!$A:$AU,MATCH($C$1,Database!$A$1:$AU$1,),)))))</f>
        <v/>
      </c>
      <c r="D373" s="13">
        <f>IF(VLOOKUP(B373,Database!$A:$AV,MATCH($D$1,Database!$A$1:$AV$1,),)=0,"#N/A",((((VLOOKUP(B373,Database!$A:$AS,MATCH($D$1,Database!$A$1:$AS$1,),))))-(((VLOOKUP(EDATE(B373,-12),Database!$A:$AS,MATCH($D$1,Database!$A$1:$AS$1,),)))))/(((VLOOKUP(EDATE(B373,-12),Database!$A:$AS,MATCH($D$1,Database!$A$1:$AS$1,),)))))</f>
        <v/>
      </c>
      <c r="E373" s="13">
        <f>IF(VLOOKUP(B373,Database!$A:$AV,MATCH($E$1,Database!$A$1:$AV$1,),)=0,"#N/A",((((VLOOKUP(B373,Database!$A:$AS,MATCH($E$1,Database!$A$1:$AS$1,),))))-(((VLOOKUP(EDATE(B373,-12),Database!$A:$AS,MATCH($E$1,Database!$A$1:$AS$1,),)))))/(((VLOOKUP(EDATE(B373,-12),Database!$A:$AS,MATCH($E$1,Database!$A$1:$AS$1,),)))))</f>
        <v/>
      </c>
      <c r="F373" s="13">
        <f>IF(VLOOKUP(B373,Database!$A:$AV,MATCH($F$1,Database!$A$1:$AV$1,),)=0,"#N/A",((((VLOOKUP(B373,Database!$A:$AS,MATCH($F$1,Database!$A$1:$AS$1,),))))-(((VLOOKUP(EDATE(B373,-12),Database!$A:$AS,MATCH($F$1,Database!$A$1:$AS$1,),)))))/(((VLOOKUP(EDATE(B373,-12),Database!$A:$AS,MATCH($F$1,Database!$A$1:$AS$1,),)))))</f>
        <v/>
      </c>
      <c r="G373" s="13">
        <f>IF(VLOOKUP(B373,Database!$A:$AV,MATCH($G$1,Database!$A$1:$AV$1,),)=0,"#N/A",((((VLOOKUP(B373,Database!$A:$AS,MATCH($G$1,Database!$A$1:$AS$1,),))))-(((VLOOKUP(EDATE(B373,-12),Database!$A:$AS,MATCH($G$1,Database!$A$1:$AS$1,),)))))/(((VLOOKUP(EDATE(B373,-12),Database!$A:$AS,MATCH($G$1,Database!$A$1:$AS$1,),)))))</f>
        <v/>
      </c>
      <c r="H373" s="13">
        <f>IF(VLOOKUP(B373,Database!$A:$AV,MATCH($H$1,Database!$A$1:$AV$1,),)=0,"#N/A",((((VLOOKUP(B373,Database!$A:$AS,MATCH($H$1,Database!$A$1:$AS$1,),))))-(((VLOOKUP(EDATE(B373,-12),Database!$A:$AS,MATCH($H$1,Database!$A$1:$AS$1,),)))))/(((VLOOKUP(EDATE(B373,-12),Database!$A:$AS,MATCH($H$1,Database!$A$1:$AS$1,),)))))</f>
        <v/>
      </c>
      <c r="I373" s="13">
        <f>IF(VLOOKUP(B373,Database!$A:$AV,MATCH($I$1,Database!$A$1:$AV$1,),)=0,"#N/A",((((VLOOKUP(B373,Database!$A:$AS,MATCH($I$1,Database!$A$1:$AS$1,),))))-(((VLOOKUP(EDATE(B373,-12),Database!$A:$AS,MATCH($I$1,Database!$A$1:$AS$1,),)))))/(((VLOOKUP(EDATE(B373,-12),Database!$A:$AS,MATCH($I$1,Database!$A$1:$AS$1,),)))))</f>
        <v/>
      </c>
      <c r="J373" s="13">
        <f>IF(VLOOKUP(B373,Database!$A:$AV,MATCH($J$1,Database!$A$1:$AV$1,),)=0,"#N/A",((((VLOOKUP(B373,Database!$A:$AS,MATCH($J$1,Database!$A$1:$AS$1,),))))-(((VLOOKUP(EDATE(B373,-12),Database!$A:$AS,MATCH($J$1,Database!$A$1:$AS$1,),)))))/(((VLOOKUP(EDATE(B373,-12),Database!$A:$AS,MATCH($J$1,Database!$A$1:$AS$1,),)))))</f>
        <v/>
      </c>
      <c r="K373" s="13">
        <f>IF(VLOOKUP(B373,Database!$A:$AV,MATCH($K$1,Database!$A$1:$AV$1,),)=0,"#N/A",((((VLOOKUP(B373,Database!$A:$AS,MATCH($K$1,Database!$A$1:$AS$1,),))))-(((VLOOKUP(EDATE(B373,-12),Database!$A:$AS,MATCH($K$1,Database!$A$1:$AS$1,),)))))/(((VLOOKUP(EDATE(B373,-12),Database!$A:$AS,MATCH($K$1,Database!$A$1:$AS$1,),)))))</f>
        <v/>
      </c>
      <c r="L373" s="13" t="n"/>
      <c r="M373" s="13">
        <f>((((VLOOKUP(B373,Database!$A:$AS,MATCH($M$1,Database!$A$1:$AS$1,),))))-(((VLOOKUP(EDATE(B373,-12),Database!$A:$AS,MATCH($M$1,Database!$A$1:$AS$1,),)))))/(((VLOOKUP(EDATE(B373,-12),Database!$A:$AS,MATCH($M$1,Database!$A$1:$AS$1,),))))</f>
        <v/>
      </c>
      <c r="N373" s="13">
        <f>((((VLOOKUP(B373,Database!$A:$AS,MATCH($N$1,Database!$A$1:$AS$1,),))))-(((VLOOKUP(EDATE(B373,-12),Database!$A:$AS,MATCH($N$1,Database!$A$1:$AS$1,),)))))/(((VLOOKUP(EDATE(B373,-12),Database!$A:$AS,MATCH($N$1,Database!$A$1:$AS$1,),))))</f>
        <v/>
      </c>
      <c r="O373" s="13">
        <f>IF(VLOOKUP(B373,Database!$A:$AV,MATCH($O$1,Database!$A$1:$AV$1,),)=0,"#N/A",((((VLOOKUP(B373,Database!$A:$AS,MATCH($O$1,Database!$A$1:$AS$1,),))))-(((VLOOKUP(EDATE(B373,-12),Database!$A:$AS,MATCH($O$1,Database!$A$1:$AS$1,),)))))/(((VLOOKUP(EDATE(B373,-12),Database!$A:$AS,MATCH($O$1,Database!$A$1:$AS$1,),)))))</f>
        <v/>
      </c>
      <c r="P373" s="13">
        <f>IF(VLOOKUP(B373,Database!$A:$AV,MATCH($P$1,Database!$A$1:$AV$1,),)=0,"#N/A",((((VLOOKUP(B373,Database!$A:$AS,MATCH($P$1,Database!$A$1:$AS$1,),))))-(((VLOOKUP(EDATE(B373,-12),Database!$A:$AS,MATCH($P$1,Database!$A$1:$AS$1,),)))))/(((VLOOKUP(EDATE(B373,-12),Database!$A:$AS,MATCH($P$1,Database!$A$1:$AS$1,),)))))</f>
        <v/>
      </c>
      <c r="Q373" s="13">
        <f>IF(VLOOKUP(B373,Database!$A:$AV,MATCH($Q$1,Database!$A$1:$AV$1,),)=0,"#N/A",((((VLOOKUP(B373,Database!$A:$AS,MATCH($Q$1,Database!$A$1:$AS$1,),))))-(((VLOOKUP(EDATE(B373,-12),Database!$A:$AS,MATCH($Q$1,Database!$A$1:$AS$1,),)))))/(((VLOOKUP(EDATE(B373,-12),Database!$A:$AS,MATCH($Q$1,Database!$A$1:$AS$1,),)))))</f>
        <v/>
      </c>
      <c r="R373" s="13">
        <f>IF(VLOOKUP(B373,Database!$A:$AV,MATCH($R$1,Database!$A$1:$AV$1,),)=0,"#N/A",((((VLOOKUP(B373,Database!$A:$AS,MATCH($R$1,Database!$A$1:$AS$1,),))))-(((VLOOKUP(EDATE(B373,-12),Database!$A:$AS,MATCH($R$1,Database!$A$1:$AS$1,),)))))/(((VLOOKUP(EDATE(B373,-12),Database!$A:$AS,MATCH($R$1,Database!$A$1:$AS$1,),)))))</f>
        <v/>
      </c>
      <c r="S373" s="13">
        <f>IF(VLOOKUP(B373,Database!$A:$AV,MATCH($S$1,Database!$A$1:$AV$1,),)=0,"#N/A",((((VLOOKUP(B373,Database!$A:$AS,MATCH($S$1,Database!$A$1:$AS$1,),))))-(((VLOOKUP(EDATE(B373,-12),Database!$A:$AS,MATCH($S$1,Database!$A$1:$AS$1,),)))))/(((VLOOKUP(EDATE(B373,-12),Database!$A:$AS,MATCH($S$1,Database!$A$1:$AS$1,),)))))</f>
        <v/>
      </c>
      <c r="T373" s="13">
        <f>IF(VLOOKUP(B373,Database!$A:$AV,MATCH($T$1,Database!$A$1:$AV$1,),)=0,"#N/A",((((VLOOKUP(B373,Database!$A:$AS,MATCH($T$1,Database!$A$1:$AS$1,),))))-(((VLOOKUP(EDATE(B373,-12),Database!$A:$AS,MATCH($T$1,Database!$A$1:$AS$1,),)))))/(((VLOOKUP(EDATE(B373,-12),Database!$A:$AS,MATCH($T$1,Database!$A$1:$AS$1,),)))))</f>
        <v/>
      </c>
      <c r="U373" s="13">
        <f>IF(VLOOKUP(B373,Database!$A:$AV,MATCH($U$1,Database!$A$1:$AV$1,),)=0,"#N/A",((((VLOOKUP(B373,Database!$A:$AS,MATCH($U$1,Database!$A$1:$AS$1,),))))-(((VLOOKUP(EDATE(B373,-12),Database!$A:$AS,MATCH($U$1,Database!$A$1:$AS$1,),)))))/(((VLOOKUP(EDATE(B373,-12),Database!$A:$AS,MATCH($U$1,Database!$A$1:$AS$1,),)))))</f>
        <v/>
      </c>
      <c r="V373" s="13">
        <f>IF(VLOOKUP(B373,Database!$A:$AV,MATCH($V$1,Database!$A$1:$AV$1,),)=0,"#N/A",((((VLOOKUP(B373,Database!$A:$AS,MATCH($V$1,Database!$A$1:$AS$1,),))))-(((VLOOKUP(EDATE(B373,-12),Database!$A:$AS,MATCH($V$1,Database!$A$1:$AS$1,),)))))/(((VLOOKUP(EDATE(B373,-12),Database!$A:$AS,MATCH($V$1,Database!$A$1:$AS$1,),)))))</f>
        <v/>
      </c>
    </row>
    <row r="374" customFormat="1" s="86">
      <c r="B374" s="75" t="n">
        <v>43525</v>
      </c>
      <c r="C374" s="13">
        <f>IF(VLOOKUP(B374,Database!$A:$AU,MATCH($C$1,Database!$A$1:$AU$1,),)=0,"#N/A",((((VLOOKUP(B374,Database!$A:$AU,MATCH($C$1,Database!$A$1:$AU$1,),))))-(((VLOOKUP(EDATE(B374,-12),Database!$A:$AU,MATCH($C$1,Database!$A$1:$AU$1,),)))))/(((VLOOKUP(EDATE(B374,-12),Database!$A:$AU,MATCH($C$1,Database!$A$1:$AU$1,),)))))</f>
        <v/>
      </c>
      <c r="D374" s="13">
        <f>IF(VLOOKUP(B374,Database!$A:$AV,MATCH($D$1,Database!$A$1:$AV$1,),)=0,"#N/A",((((VLOOKUP(B374,Database!$A:$AS,MATCH($D$1,Database!$A$1:$AS$1,),))))-(((VLOOKUP(EDATE(B374,-12),Database!$A:$AS,MATCH($D$1,Database!$A$1:$AS$1,),)))))/(((VLOOKUP(EDATE(B374,-12),Database!$A:$AS,MATCH($D$1,Database!$A$1:$AS$1,),)))))</f>
        <v/>
      </c>
      <c r="E374" s="13">
        <f>IF(VLOOKUP(B374,Database!$A:$AV,MATCH($E$1,Database!$A$1:$AV$1,),)=0,"#N/A",((((VLOOKUP(B374,Database!$A:$AS,MATCH($E$1,Database!$A$1:$AS$1,),))))-(((VLOOKUP(EDATE(B374,-12),Database!$A:$AS,MATCH($E$1,Database!$A$1:$AS$1,),)))))/(((VLOOKUP(EDATE(B374,-12),Database!$A:$AS,MATCH($E$1,Database!$A$1:$AS$1,),)))))</f>
        <v/>
      </c>
      <c r="F374" s="13">
        <f>IF(VLOOKUP(B374,Database!$A:$AV,MATCH($F$1,Database!$A$1:$AV$1,),)=0,"#N/A",((((VLOOKUP(B374,Database!$A:$AS,MATCH($F$1,Database!$A$1:$AS$1,),))))-(((VLOOKUP(EDATE(B374,-12),Database!$A:$AS,MATCH($F$1,Database!$A$1:$AS$1,),)))))/(((VLOOKUP(EDATE(B374,-12),Database!$A:$AS,MATCH($F$1,Database!$A$1:$AS$1,),)))))</f>
        <v/>
      </c>
      <c r="G374" s="13">
        <f>IF(VLOOKUP(B374,Database!$A:$AV,MATCH($G$1,Database!$A$1:$AV$1,),)=0,"#N/A",((((VLOOKUP(B374,Database!$A:$AS,MATCH($G$1,Database!$A$1:$AS$1,),))))-(((VLOOKUP(EDATE(B374,-12),Database!$A:$AS,MATCH($G$1,Database!$A$1:$AS$1,),)))))/(((VLOOKUP(EDATE(B374,-12),Database!$A:$AS,MATCH($G$1,Database!$A$1:$AS$1,),)))))</f>
        <v/>
      </c>
      <c r="H374" s="13">
        <f>IF(VLOOKUP(B374,Database!$A:$AV,MATCH($H$1,Database!$A$1:$AV$1,),)=0,"#N/A",((((VLOOKUP(B374,Database!$A:$AS,MATCH($H$1,Database!$A$1:$AS$1,),))))-(((VLOOKUP(EDATE(B374,-12),Database!$A:$AS,MATCH($H$1,Database!$A$1:$AS$1,),)))))/(((VLOOKUP(EDATE(B374,-12),Database!$A:$AS,MATCH($H$1,Database!$A$1:$AS$1,),)))))</f>
        <v/>
      </c>
      <c r="I374" s="13">
        <f>IF(VLOOKUP(B374,Database!$A:$AV,MATCH($I$1,Database!$A$1:$AV$1,),)=0,"#N/A",((((VLOOKUP(B374,Database!$A:$AS,MATCH($I$1,Database!$A$1:$AS$1,),))))-(((VLOOKUP(EDATE(B374,-12),Database!$A:$AS,MATCH($I$1,Database!$A$1:$AS$1,),)))))/(((VLOOKUP(EDATE(B374,-12),Database!$A:$AS,MATCH($I$1,Database!$A$1:$AS$1,),)))))</f>
        <v/>
      </c>
      <c r="J374" s="13">
        <f>IF(VLOOKUP(B374,Database!$A:$AV,MATCH($J$1,Database!$A$1:$AV$1,),)=0,"#N/A",((((VLOOKUP(B374,Database!$A:$AS,MATCH($J$1,Database!$A$1:$AS$1,),))))-(((VLOOKUP(EDATE(B374,-12),Database!$A:$AS,MATCH($J$1,Database!$A$1:$AS$1,),)))))/(((VLOOKUP(EDATE(B374,-12),Database!$A:$AS,MATCH($J$1,Database!$A$1:$AS$1,),)))))</f>
        <v/>
      </c>
      <c r="K374" s="13">
        <f>IF(VLOOKUP(B374,Database!$A:$AV,MATCH($K$1,Database!$A$1:$AV$1,),)=0,"#N/A",((((VLOOKUP(B374,Database!$A:$AS,MATCH($K$1,Database!$A$1:$AS$1,),))))-(((VLOOKUP(EDATE(B374,-12),Database!$A:$AS,MATCH($K$1,Database!$A$1:$AS$1,),)))))/(((VLOOKUP(EDATE(B374,-12),Database!$A:$AS,MATCH($K$1,Database!$A$1:$AS$1,),)))))</f>
        <v/>
      </c>
      <c r="L374" s="13" t="n"/>
      <c r="M374" s="13">
        <f>((((VLOOKUP(B374,Database!$A:$AS,MATCH($M$1,Database!$A$1:$AS$1,),))))-(((VLOOKUP(EDATE(B374,-12),Database!$A:$AS,MATCH($M$1,Database!$A$1:$AS$1,),)))))/(((VLOOKUP(EDATE(B374,-12),Database!$A:$AS,MATCH($M$1,Database!$A$1:$AS$1,),))))</f>
        <v/>
      </c>
      <c r="N374" s="13" t="n"/>
      <c r="O374" s="13">
        <f>IF(VLOOKUP(B374,Database!$A:$AV,MATCH($O$1,Database!$A$1:$AV$1,),)=0,"#N/A",((((VLOOKUP(B374,Database!$A:$AS,MATCH($O$1,Database!$A$1:$AS$1,),))))-(((VLOOKUP(EDATE(B374,-12),Database!$A:$AS,MATCH($O$1,Database!$A$1:$AS$1,),)))))/(((VLOOKUP(EDATE(B374,-12),Database!$A:$AS,MATCH($O$1,Database!$A$1:$AS$1,),)))))</f>
        <v/>
      </c>
      <c r="P374" s="13">
        <f>IF(VLOOKUP(B374,Database!$A:$AV,MATCH($P$1,Database!$A$1:$AV$1,),)=0,"#N/A",((((VLOOKUP(B374,Database!$A:$AS,MATCH($P$1,Database!$A$1:$AS$1,),))))-(((VLOOKUP(EDATE(B374,-12),Database!$A:$AS,MATCH($P$1,Database!$A$1:$AS$1,),)))))/(((VLOOKUP(EDATE(B374,-12),Database!$A:$AS,MATCH($P$1,Database!$A$1:$AS$1,),)))))</f>
        <v/>
      </c>
      <c r="Q374" s="13">
        <f>IF(VLOOKUP(B374,Database!$A:$AV,MATCH($Q$1,Database!$A$1:$AV$1,),)=0,"#N/A",((((VLOOKUP(B374,Database!$A:$AS,MATCH($Q$1,Database!$A$1:$AS$1,),))))-(((VLOOKUP(EDATE(B374,-12),Database!$A:$AS,MATCH($Q$1,Database!$A$1:$AS$1,),)))))/(((VLOOKUP(EDATE(B374,-12),Database!$A:$AS,MATCH($Q$1,Database!$A$1:$AS$1,),)))))</f>
        <v/>
      </c>
      <c r="R374" s="13">
        <f>IF(VLOOKUP(B374,Database!$A:$AV,MATCH($R$1,Database!$A$1:$AV$1,),)=0,"#N/A",((((VLOOKUP(B374,Database!$A:$AS,MATCH($R$1,Database!$A$1:$AS$1,),))))-(((VLOOKUP(EDATE(B374,-12),Database!$A:$AS,MATCH($R$1,Database!$A$1:$AS$1,),)))))/(((VLOOKUP(EDATE(B374,-12),Database!$A:$AS,MATCH($R$1,Database!$A$1:$AS$1,),)))))</f>
        <v/>
      </c>
      <c r="S374" s="13">
        <f>IF(VLOOKUP(B374,Database!$A:$AV,MATCH($S$1,Database!$A$1:$AV$1,),)=0,"#N/A",((((VLOOKUP(B374,Database!$A:$AS,MATCH($S$1,Database!$A$1:$AS$1,),))))-(((VLOOKUP(EDATE(B374,-12),Database!$A:$AS,MATCH($S$1,Database!$A$1:$AS$1,),)))))/(((VLOOKUP(EDATE(B374,-12),Database!$A:$AS,MATCH($S$1,Database!$A$1:$AS$1,),)))))</f>
        <v/>
      </c>
      <c r="T374" s="13">
        <f>IF(VLOOKUP(B374,Database!$A:$AV,MATCH($T$1,Database!$A$1:$AV$1,),)=0,"#N/A",((((VLOOKUP(B374,Database!$A:$AS,MATCH($T$1,Database!$A$1:$AS$1,),))))-(((VLOOKUP(EDATE(B374,-12),Database!$A:$AS,MATCH($T$1,Database!$A$1:$AS$1,),)))))/(((VLOOKUP(EDATE(B374,-12),Database!$A:$AS,MATCH($T$1,Database!$A$1:$AS$1,),)))))</f>
        <v/>
      </c>
      <c r="U374" s="13">
        <f>IF(VLOOKUP(B374,Database!$A:$AV,MATCH($U$1,Database!$A$1:$AV$1,),)=0,"#N/A",((((VLOOKUP(B374,Database!$A:$AS,MATCH($U$1,Database!$A$1:$AS$1,),))))-(((VLOOKUP(EDATE(B374,-12),Database!$A:$AS,MATCH($U$1,Database!$A$1:$AS$1,),)))))/(((VLOOKUP(EDATE(B374,-12),Database!$A:$AS,MATCH($U$1,Database!$A$1:$AS$1,),)))))</f>
        <v/>
      </c>
      <c r="V374" s="13">
        <f>IF(VLOOKUP(B374,Database!$A:$AV,MATCH($V$1,Database!$A$1:$AV$1,),)=0,"#N/A",((((VLOOKUP(B374,Database!$A:$AS,MATCH($V$1,Database!$A$1:$AS$1,),))))-(((VLOOKUP(EDATE(B374,-12),Database!$A:$AS,MATCH($V$1,Database!$A$1:$AS$1,),)))))/(((VLOOKUP(EDATE(B374,-12),Database!$A:$AS,MATCH($V$1,Database!$A$1:$AS$1,),)))))</f>
        <v/>
      </c>
    </row>
    <row r="375" customFormat="1" s="86">
      <c r="B375" s="75" t="n">
        <v>43556</v>
      </c>
      <c r="C375" s="13">
        <f>IF(VLOOKUP(B375,Database!$A:$AU,MATCH($C$1,Database!$A$1:$AU$1,),)=0,"#N/A",((((VLOOKUP(B375,Database!$A:$AU,MATCH($C$1,Database!$A$1:$AU$1,),))))-(((VLOOKUP(EDATE(B375,-12),Database!$A:$AU,MATCH($C$1,Database!$A$1:$AU$1,),)))))/(((VLOOKUP(EDATE(B375,-12),Database!$A:$AU,MATCH($C$1,Database!$A$1:$AU$1,),)))))</f>
        <v/>
      </c>
      <c r="D375" s="13">
        <f>IF(VLOOKUP(B375,Database!$A:$AV,MATCH($D$1,Database!$A$1:$AV$1,),)=0,"#N/A",((((VLOOKUP(B375,Database!$A:$AS,MATCH($D$1,Database!$A$1:$AS$1,),))))-(((VLOOKUP(EDATE(B375,-12),Database!$A:$AS,MATCH($D$1,Database!$A$1:$AS$1,),)))))/(((VLOOKUP(EDATE(B375,-12),Database!$A:$AS,MATCH($D$1,Database!$A$1:$AS$1,),)))))</f>
        <v/>
      </c>
      <c r="E375" s="13">
        <f>IF(VLOOKUP(B375,Database!$A:$AV,MATCH($E$1,Database!$A$1:$AV$1,),)=0,"#N/A",((((VLOOKUP(B375,Database!$A:$AS,MATCH($E$1,Database!$A$1:$AS$1,),))))-(((VLOOKUP(EDATE(B375,-12),Database!$A:$AS,MATCH($E$1,Database!$A$1:$AS$1,),)))))/(((VLOOKUP(EDATE(B375,-12),Database!$A:$AS,MATCH($E$1,Database!$A$1:$AS$1,),)))))</f>
        <v/>
      </c>
      <c r="F375" s="13">
        <f>IF(VLOOKUP(B375,Database!$A:$AV,MATCH($F$1,Database!$A$1:$AV$1,),)=0,"#N/A",((((VLOOKUP(B375,Database!$A:$AS,MATCH($F$1,Database!$A$1:$AS$1,),))))-(((VLOOKUP(EDATE(B375,-12),Database!$A:$AS,MATCH($F$1,Database!$A$1:$AS$1,),)))))/(((VLOOKUP(EDATE(B375,-12),Database!$A:$AS,MATCH($F$1,Database!$A$1:$AS$1,),)))))</f>
        <v/>
      </c>
      <c r="G375" s="13">
        <f>IF(VLOOKUP(B375,Database!$A:$AV,MATCH($G$1,Database!$A$1:$AV$1,),)=0,"#N/A",((((VLOOKUP(B375,Database!$A:$AS,MATCH($G$1,Database!$A$1:$AS$1,),))))-(((VLOOKUP(EDATE(B375,-12),Database!$A:$AS,MATCH($G$1,Database!$A$1:$AS$1,),)))))/(((VLOOKUP(EDATE(B375,-12),Database!$A:$AS,MATCH($G$1,Database!$A$1:$AS$1,),)))))</f>
        <v/>
      </c>
      <c r="H375" s="13">
        <f>IF(VLOOKUP(B375,Database!$A:$AV,MATCH($H$1,Database!$A$1:$AV$1,),)=0,"#N/A",((((VLOOKUP(B375,Database!$A:$AS,MATCH($H$1,Database!$A$1:$AS$1,),))))-(((VLOOKUP(EDATE(B375,-12),Database!$A:$AS,MATCH($H$1,Database!$A$1:$AS$1,),)))))/(((VLOOKUP(EDATE(B375,-12),Database!$A:$AS,MATCH($H$1,Database!$A$1:$AS$1,),)))))</f>
        <v/>
      </c>
      <c r="I375" s="13">
        <f>IF(VLOOKUP(B375,Database!$A:$AV,MATCH($I$1,Database!$A$1:$AV$1,),)=0,"#N/A",((((VLOOKUP(B375,Database!$A:$AS,MATCH($I$1,Database!$A$1:$AS$1,),))))-(((VLOOKUP(EDATE(B375,-12),Database!$A:$AS,MATCH($I$1,Database!$A$1:$AS$1,),)))))/(((VLOOKUP(EDATE(B375,-12),Database!$A:$AS,MATCH($I$1,Database!$A$1:$AS$1,),)))))</f>
        <v/>
      </c>
      <c r="J375" s="13">
        <f>IF(VLOOKUP(B375,Database!$A:$AV,MATCH($J$1,Database!$A$1:$AV$1,),)=0,"#N/A",((((VLOOKUP(B375,Database!$A:$AS,MATCH($J$1,Database!$A$1:$AS$1,),))))-(((VLOOKUP(EDATE(B375,-12),Database!$A:$AS,MATCH($J$1,Database!$A$1:$AS$1,),)))))/(((VLOOKUP(EDATE(B375,-12),Database!$A:$AS,MATCH($J$1,Database!$A$1:$AS$1,),)))))</f>
        <v/>
      </c>
      <c r="K375" s="13">
        <f>IF(VLOOKUP(B375,Database!$A:$AV,MATCH($K$1,Database!$A$1:$AV$1,),)=0,"#N/A",((((VLOOKUP(B375,Database!$A:$AS,MATCH($K$1,Database!$A$1:$AS$1,),))))-(((VLOOKUP(EDATE(B375,-12),Database!$A:$AS,MATCH($K$1,Database!$A$1:$AS$1,),)))))/(((VLOOKUP(EDATE(B375,-12),Database!$A:$AS,MATCH($K$1,Database!$A$1:$AS$1,),)))))</f>
        <v/>
      </c>
      <c r="L375" s="13" t="n"/>
      <c r="M375" s="13" t="n"/>
      <c r="N375" s="13" t="n"/>
      <c r="O375" s="13">
        <f>IF(VLOOKUP(B375,Database!$A:$AV,MATCH($O$1,Database!$A$1:$AV$1,),)=0,"#N/A",((((VLOOKUP(B375,Database!$A:$AS,MATCH($O$1,Database!$A$1:$AS$1,),))))-(((VLOOKUP(EDATE(B375,-12),Database!$A:$AS,MATCH($O$1,Database!$A$1:$AS$1,),)))))/(((VLOOKUP(EDATE(B375,-12),Database!$A:$AS,MATCH($O$1,Database!$A$1:$AS$1,),)))))</f>
        <v/>
      </c>
      <c r="P375" s="13">
        <f>IF(VLOOKUP(B375,Database!$A:$AV,MATCH($P$1,Database!$A$1:$AV$1,),)=0,"#N/A",((((VLOOKUP(B375,Database!$A:$AS,MATCH($P$1,Database!$A$1:$AS$1,),))))-(((VLOOKUP(EDATE(B375,-12),Database!$A:$AS,MATCH($P$1,Database!$A$1:$AS$1,),)))))/(((VLOOKUP(EDATE(B375,-12),Database!$A:$AS,MATCH($P$1,Database!$A$1:$AS$1,),)))))</f>
        <v/>
      </c>
      <c r="Q375" s="13">
        <f>IF(VLOOKUP(B375,Database!$A:$AV,MATCH($Q$1,Database!$A$1:$AV$1,),)=0,"#N/A",((((VLOOKUP(B375,Database!$A:$AS,MATCH($Q$1,Database!$A$1:$AS$1,),))))-(((VLOOKUP(EDATE(B375,-12),Database!$A:$AS,MATCH($Q$1,Database!$A$1:$AS$1,),)))))/(((VLOOKUP(EDATE(B375,-12),Database!$A:$AS,MATCH($Q$1,Database!$A$1:$AS$1,),)))))</f>
        <v/>
      </c>
      <c r="R375" s="13">
        <f>IF(VLOOKUP(B375,Database!$A:$AV,MATCH($R$1,Database!$A$1:$AV$1,),)=0,"#N/A",((((VLOOKUP(B375,Database!$A:$AS,MATCH($R$1,Database!$A$1:$AS$1,),))))-(((VLOOKUP(EDATE(B375,-12),Database!$A:$AS,MATCH($R$1,Database!$A$1:$AS$1,),)))))/(((VLOOKUP(EDATE(B375,-12),Database!$A:$AS,MATCH($R$1,Database!$A$1:$AS$1,),)))))</f>
        <v/>
      </c>
      <c r="S375" s="13">
        <f>IF(VLOOKUP(B375,Database!$A:$AV,MATCH($S$1,Database!$A$1:$AV$1,),)=0,"#N/A",((((VLOOKUP(B375,Database!$A:$AS,MATCH($S$1,Database!$A$1:$AS$1,),))))-(((VLOOKUP(EDATE(B375,-12),Database!$A:$AS,MATCH($S$1,Database!$A$1:$AS$1,),)))))/(((VLOOKUP(EDATE(B375,-12),Database!$A:$AS,MATCH($S$1,Database!$A$1:$AS$1,),)))))</f>
        <v/>
      </c>
      <c r="T375" s="13">
        <f>IF(VLOOKUP(B375,Database!$A:$AV,MATCH($T$1,Database!$A$1:$AV$1,),)=0,"#N/A",((((VLOOKUP(B375,Database!$A:$AS,MATCH($T$1,Database!$A$1:$AS$1,),))))-(((VLOOKUP(EDATE(B375,-12),Database!$A:$AS,MATCH($T$1,Database!$A$1:$AS$1,),)))))/(((VLOOKUP(EDATE(B375,-12),Database!$A:$AS,MATCH($T$1,Database!$A$1:$AS$1,),)))))</f>
        <v/>
      </c>
      <c r="U375" s="13">
        <f>IF(VLOOKUP(B375,Database!$A:$AV,MATCH($U$1,Database!$A$1:$AV$1,),)=0,"#N/A",((((VLOOKUP(B375,Database!$A:$AS,MATCH($U$1,Database!$A$1:$AS$1,),))))-(((VLOOKUP(EDATE(B375,-12),Database!$A:$AS,MATCH($U$1,Database!$A$1:$AS$1,),)))))/(((VLOOKUP(EDATE(B375,-12),Database!$A:$AS,MATCH($U$1,Database!$A$1:$AS$1,),)))))</f>
        <v/>
      </c>
      <c r="V375" s="13">
        <f>IF(VLOOKUP(B375,Database!$A:$AV,MATCH($V$1,Database!$A$1:$AV$1,),)=0,"#N/A",((((VLOOKUP(B375,Database!$A:$AS,MATCH($V$1,Database!$A$1:$AS$1,),))))-(((VLOOKUP(EDATE(B375,-12),Database!$A:$AS,MATCH($V$1,Database!$A$1:$AS$1,),)))))/(((VLOOKUP(EDATE(B375,-12),Database!$A:$AS,MATCH($V$1,Database!$A$1:$AS$1,),)))))</f>
        <v/>
      </c>
    </row>
    <row r="376" customFormat="1" s="86">
      <c r="B376" s="75" t="n">
        <v>43586</v>
      </c>
      <c r="C376" s="13">
        <f>IF(VLOOKUP(B376,Database!$A:$AU,MATCH($C$1,Database!$A$1:$AU$1,),)=0,"#N/A",((((VLOOKUP(B376,Database!$A:$AU,MATCH($C$1,Database!$A$1:$AU$1,),))))-(((VLOOKUP(EDATE(B376,-12),Database!$A:$AU,MATCH($C$1,Database!$A$1:$AU$1,),)))))/(((VLOOKUP(EDATE(B376,-12),Database!$A:$AU,MATCH($C$1,Database!$A$1:$AU$1,),)))))</f>
        <v/>
      </c>
      <c r="D376" s="13">
        <f>IF(VLOOKUP(B376,Database!$A:$AV,MATCH($D$1,Database!$A$1:$AV$1,),)=0,"#N/A",((((VLOOKUP(B376,Database!$A:$AS,MATCH($D$1,Database!$A$1:$AS$1,),))))-(((VLOOKUP(EDATE(B376,-12),Database!$A:$AS,MATCH($D$1,Database!$A$1:$AS$1,),)))))/(((VLOOKUP(EDATE(B376,-12),Database!$A:$AS,MATCH($D$1,Database!$A$1:$AS$1,),)))))</f>
        <v/>
      </c>
      <c r="E376" s="13">
        <f>IF(VLOOKUP(B376,Database!$A:$AV,MATCH($E$1,Database!$A$1:$AV$1,),)=0,"#N/A",((((VLOOKUP(B376,Database!$A:$AS,MATCH($E$1,Database!$A$1:$AS$1,),))))-(((VLOOKUP(EDATE(B376,-12),Database!$A:$AS,MATCH($E$1,Database!$A$1:$AS$1,),)))))/(((VLOOKUP(EDATE(B376,-12),Database!$A:$AS,MATCH($E$1,Database!$A$1:$AS$1,),)))))</f>
        <v/>
      </c>
      <c r="F376" s="13">
        <f>IF(VLOOKUP(B376,Database!$A:$AV,MATCH($F$1,Database!$A$1:$AV$1,),)=0,"#N/A",((((VLOOKUP(B376,Database!$A:$AS,MATCH($F$1,Database!$A$1:$AS$1,),))))-(((VLOOKUP(EDATE(B376,-12),Database!$A:$AS,MATCH($F$1,Database!$A$1:$AS$1,),)))))/(((VLOOKUP(EDATE(B376,-12),Database!$A:$AS,MATCH($F$1,Database!$A$1:$AS$1,),)))))</f>
        <v/>
      </c>
      <c r="G376" s="13">
        <f>IF(VLOOKUP(B376,Database!$A:$AV,MATCH($G$1,Database!$A$1:$AV$1,),)=0,"#N/A",((((VLOOKUP(B376,Database!$A:$AS,MATCH($G$1,Database!$A$1:$AS$1,),))))-(((VLOOKUP(EDATE(B376,-12),Database!$A:$AS,MATCH($G$1,Database!$A$1:$AS$1,),)))))/(((VLOOKUP(EDATE(B376,-12),Database!$A:$AS,MATCH($G$1,Database!$A$1:$AS$1,),)))))</f>
        <v/>
      </c>
      <c r="H376" s="13">
        <f>IF(VLOOKUP(B376,Database!$A:$AV,MATCH($H$1,Database!$A$1:$AV$1,),)=0,"#N/A",((((VLOOKUP(B376,Database!$A:$AS,MATCH($H$1,Database!$A$1:$AS$1,),))))-(((VLOOKUP(EDATE(B376,-12),Database!$A:$AS,MATCH($H$1,Database!$A$1:$AS$1,),)))))/(((VLOOKUP(EDATE(B376,-12),Database!$A:$AS,MATCH($H$1,Database!$A$1:$AS$1,),)))))</f>
        <v/>
      </c>
      <c r="I376" s="13">
        <f>IF(VLOOKUP(B376,Database!$A:$AV,MATCH($I$1,Database!$A$1:$AV$1,),)=0,"#N/A",((((VLOOKUP(B376,Database!$A:$AS,MATCH($I$1,Database!$A$1:$AS$1,),))))-(((VLOOKUP(EDATE(B376,-12),Database!$A:$AS,MATCH($I$1,Database!$A$1:$AS$1,),)))))/(((VLOOKUP(EDATE(B376,-12),Database!$A:$AS,MATCH($I$1,Database!$A$1:$AS$1,),)))))</f>
        <v/>
      </c>
      <c r="J376" s="13">
        <f>IF(VLOOKUP(B376,Database!$A:$AV,MATCH($J$1,Database!$A$1:$AV$1,),)=0,"#N/A",((((VLOOKUP(B376,Database!$A:$AS,MATCH($J$1,Database!$A$1:$AS$1,),))))-(((VLOOKUP(EDATE(B376,-12),Database!$A:$AS,MATCH($J$1,Database!$A$1:$AS$1,),)))))/(((VLOOKUP(EDATE(B376,-12),Database!$A:$AS,MATCH($J$1,Database!$A$1:$AS$1,),)))))</f>
        <v/>
      </c>
      <c r="K376" s="13">
        <f>IF(VLOOKUP(B376,Database!$A:$AV,MATCH($K$1,Database!$A$1:$AV$1,),)=0,"#N/A",((((VLOOKUP(B376,Database!$A:$AS,MATCH($K$1,Database!$A$1:$AS$1,),))))-(((VLOOKUP(EDATE(B376,-12),Database!$A:$AS,MATCH($K$1,Database!$A$1:$AS$1,),)))))/(((VLOOKUP(EDATE(B376,-12),Database!$A:$AS,MATCH($K$1,Database!$A$1:$AS$1,),)))))</f>
        <v/>
      </c>
      <c r="L376" s="13" t="n"/>
      <c r="M376" s="13" t="n"/>
      <c r="N376" s="13" t="n"/>
      <c r="O376" s="13">
        <f>IF(VLOOKUP(B376,Database!$A:$AV,MATCH($O$1,Database!$A$1:$AV$1,),)=0,"#N/A",((((VLOOKUP(B376,Database!$A:$AS,MATCH($O$1,Database!$A$1:$AS$1,),))))-(((VLOOKUP(EDATE(B376,-12),Database!$A:$AS,MATCH($O$1,Database!$A$1:$AS$1,),)))))/(((VLOOKUP(EDATE(B376,-12),Database!$A:$AS,MATCH($O$1,Database!$A$1:$AS$1,),)))))</f>
        <v/>
      </c>
      <c r="P376" s="13">
        <f>IF(VLOOKUP(B376,Database!$A:$AV,MATCH($P$1,Database!$A$1:$AV$1,),)=0,"#N/A",((((VLOOKUP(B376,Database!$A:$AS,MATCH($P$1,Database!$A$1:$AS$1,),))))-(((VLOOKUP(EDATE(B376,-12),Database!$A:$AS,MATCH($P$1,Database!$A$1:$AS$1,),)))))/(((VLOOKUP(EDATE(B376,-12),Database!$A:$AS,MATCH($P$1,Database!$A$1:$AS$1,),)))))</f>
        <v/>
      </c>
      <c r="Q376" s="13">
        <f>IF(VLOOKUP(B376,Database!$A:$AV,MATCH($Q$1,Database!$A$1:$AV$1,),)=0,"#N/A",((((VLOOKUP(B376,Database!$A:$AS,MATCH($Q$1,Database!$A$1:$AS$1,),))))-(((VLOOKUP(EDATE(B376,-12),Database!$A:$AS,MATCH($Q$1,Database!$A$1:$AS$1,),)))))/(((VLOOKUP(EDATE(B376,-12),Database!$A:$AS,MATCH($Q$1,Database!$A$1:$AS$1,),)))))</f>
        <v/>
      </c>
      <c r="R376" s="13">
        <f>IF(VLOOKUP(B376,Database!$A:$AV,MATCH($R$1,Database!$A$1:$AV$1,),)=0,"#N/A",((((VLOOKUP(B376,Database!$A:$AS,MATCH($R$1,Database!$A$1:$AS$1,),))))-(((VLOOKUP(EDATE(B376,-12),Database!$A:$AS,MATCH($R$1,Database!$A$1:$AS$1,),)))))/(((VLOOKUP(EDATE(B376,-12),Database!$A:$AS,MATCH($R$1,Database!$A$1:$AS$1,),)))))</f>
        <v/>
      </c>
      <c r="S376" s="13">
        <f>IF(VLOOKUP(B376,Database!$A:$AV,MATCH($S$1,Database!$A$1:$AV$1,),)=0,"#N/A",((((VLOOKUP(B376,Database!$A:$AS,MATCH($S$1,Database!$A$1:$AS$1,),))))-(((VLOOKUP(EDATE(B376,-12),Database!$A:$AS,MATCH($S$1,Database!$A$1:$AS$1,),)))))/(((VLOOKUP(EDATE(B376,-12),Database!$A:$AS,MATCH($S$1,Database!$A$1:$AS$1,),)))))</f>
        <v/>
      </c>
      <c r="T376" s="13">
        <f>IF(VLOOKUP(B376,Database!$A:$AV,MATCH($T$1,Database!$A$1:$AV$1,),)=0,"#N/A",((((VLOOKUP(B376,Database!$A:$AS,MATCH($T$1,Database!$A$1:$AS$1,),))))-(((VLOOKUP(EDATE(B376,-12),Database!$A:$AS,MATCH($T$1,Database!$A$1:$AS$1,),)))))/(((VLOOKUP(EDATE(B376,-12),Database!$A:$AS,MATCH($T$1,Database!$A$1:$AS$1,),)))))</f>
        <v/>
      </c>
      <c r="U376" s="13">
        <f>IF(VLOOKUP(B376,Database!$A:$AV,MATCH($U$1,Database!$A$1:$AV$1,),)=0,"#N/A",((((VLOOKUP(B376,Database!$A:$AS,MATCH($U$1,Database!$A$1:$AS$1,),))))-(((VLOOKUP(EDATE(B376,-12),Database!$A:$AS,MATCH($U$1,Database!$A$1:$AS$1,),)))))/(((VLOOKUP(EDATE(B376,-12),Database!$A:$AS,MATCH($U$1,Database!$A$1:$AS$1,),)))))</f>
        <v/>
      </c>
      <c r="V376" s="13">
        <f>IF(VLOOKUP(B376,Database!$A:$AV,MATCH($V$1,Database!$A$1:$AV$1,),)=0,"#N/A",((((VLOOKUP(B376,Database!$A:$AS,MATCH($V$1,Database!$A$1:$AS$1,),))))-(((VLOOKUP(EDATE(B376,-12),Database!$A:$AS,MATCH($V$1,Database!$A$1:$AS$1,),)))))/(((VLOOKUP(EDATE(B376,-12),Database!$A:$AS,MATCH($V$1,Database!$A$1:$AS$1,),)))))</f>
        <v/>
      </c>
    </row>
    <row r="377" customFormat="1" s="86">
      <c r="B377" s="75" t="n">
        <v>43617</v>
      </c>
      <c r="C377" s="13">
        <f>IF(VLOOKUP(B377,Database!$A:$AU,MATCH($C$1,Database!$A$1:$AU$1,),)=0,"#N/A",((((VLOOKUP(B377,Database!$A:$AU,MATCH($C$1,Database!$A$1:$AU$1,),))))-(((VLOOKUP(EDATE(B377,-12),Database!$A:$AU,MATCH($C$1,Database!$A$1:$AU$1,),)))))/(((VLOOKUP(EDATE(B377,-12),Database!$A:$AU,MATCH($C$1,Database!$A$1:$AU$1,),)))))</f>
        <v/>
      </c>
      <c r="D377" s="13">
        <f>IF(VLOOKUP(B377,Database!$A:$AV,MATCH($D$1,Database!$A$1:$AV$1,),)=0,"#N/A",((((VLOOKUP(B377,Database!$A:$AS,MATCH($D$1,Database!$A$1:$AS$1,),))))-(((VLOOKUP(EDATE(B377,-12),Database!$A:$AS,MATCH($D$1,Database!$A$1:$AS$1,),)))))/(((VLOOKUP(EDATE(B377,-12),Database!$A:$AS,MATCH($D$1,Database!$A$1:$AS$1,),)))))</f>
        <v/>
      </c>
      <c r="E377" s="13">
        <f>IF(VLOOKUP(B377,Database!$A:$AV,MATCH($E$1,Database!$A$1:$AV$1,),)=0,"#N/A",((((VLOOKUP(B377,Database!$A:$AS,MATCH($E$1,Database!$A$1:$AS$1,),))))-(((VLOOKUP(EDATE(B377,-12),Database!$A:$AS,MATCH($E$1,Database!$A$1:$AS$1,),)))))/(((VLOOKUP(EDATE(B377,-12),Database!$A:$AS,MATCH($E$1,Database!$A$1:$AS$1,),)))))</f>
        <v/>
      </c>
      <c r="F377" s="13">
        <f>IF(VLOOKUP(B377,Database!$A:$AV,MATCH($F$1,Database!$A$1:$AV$1,),)=0,"#N/A",((((VLOOKUP(B377,Database!$A:$AS,MATCH($F$1,Database!$A$1:$AS$1,),))))-(((VLOOKUP(EDATE(B377,-12),Database!$A:$AS,MATCH($F$1,Database!$A$1:$AS$1,),)))))/(((VLOOKUP(EDATE(B377,-12),Database!$A:$AS,MATCH($F$1,Database!$A$1:$AS$1,),)))))</f>
        <v/>
      </c>
      <c r="G377" s="13">
        <f>IF(VLOOKUP(B377,Database!$A:$AV,MATCH($G$1,Database!$A$1:$AV$1,),)=0,"#N/A",((((VLOOKUP(B377,Database!$A:$AS,MATCH($G$1,Database!$A$1:$AS$1,),))))-(((VLOOKUP(EDATE(B377,-12),Database!$A:$AS,MATCH($G$1,Database!$A$1:$AS$1,),)))))/(((VLOOKUP(EDATE(B377,-12),Database!$A:$AS,MATCH($G$1,Database!$A$1:$AS$1,),)))))</f>
        <v/>
      </c>
      <c r="H377" s="13">
        <f>IF(VLOOKUP(B377,Database!$A:$AV,MATCH($H$1,Database!$A$1:$AV$1,),)=0,"#N/A",((((VLOOKUP(B377,Database!$A:$AS,MATCH($H$1,Database!$A$1:$AS$1,),))))-(((VLOOKUP(EDATE(B377,-12),Database!$A:$AS,MATCH($H$1,Database!$A$1:$AS$1,),)))))/(((VLOOKUP(EDATE(B377,-12),Database!$A:$AS,MATCH($H$1,Database!$A$1:$AS$1,),)))))</f>
        <v/>
      </c>
      <c r="I377" s="13">
        <f>IF(VLOOKUP(B377,Database!$A:$AV,MATCH($I$1,Database!$A$1:$AV$1,),)=0,"#N/A",((((VLOOKUP(B377,Database!$A:$AS,MATCH($I$1,Database!$A$1:$AS$1,),))))-(((VLOOKUP(EDATE(B377,-12),Database!$A:$AS,MATCH($I$1,Database!$A$1:$AS$1,),)))))/(((VLOOKUP(EDATE(B377,-12),Database!$A:$AS,MATCH($I$1,Database!$A$1:$AS$1,),)))))</f>
        <v/>
      </c>
      <c r="J377" s="13">
        <f>IF(VLOOKUP(B377,Database!$A:$AV,MATCH($J$1,Database!$A$1:$AV$1,),)=0,"#N/A",((((VLOOKUP(B377,Database!$A:$AS,MATCH($J$1,Database!$A$1:$AS$1,),))))-(((VLOOKUP(EDATE(B377,-12),Database!$A:$AS,MATCH($J$1,Database!$A$1:$AS$1,),)))))/(((VLOOKUP(EDATE(B377,-12),Database!$A:$AS,MATCH($J$1,Database!$A$1:$AS$1,),)))))</f>
        <v/>
      </c>
      <c r="K377" s="13">
        <f>IF(VLOOKUP(B377,Database!$A:$AV,MATCH($K$1,Database!$A$1:$AV$1,),)=0,"#N/A",((((VLOOKUP(B377,Database!$A:$AS,MATCH($K$1,Database!$A$1:$AS$1,),))))-(((VLOOKUP(EDATE(B377,-12),Database!$A:$AS,MATCH($K$1,Database!$A$1:$AS$1,),)))))/(((VLOOKUP(EDATE(B377,-12),Database!$A:$AS,MATCH($K$1,Database!$A$1:$AS$1,),)))))</f>
        <v/>
      </c>
      <c r="L377" s="13" t="n"/>
      <c r="M377" s="13" t="n"/>
      <c r="N377" s="13" t="n"/>
      <c r="O377" s="13">
        <f>IF(VLOOKUP(B377,Database!$A:$AV,MATCH($O$1,Database!$A$1:$AV$1,),)=0,"#N/A",((((VLOOKUP(B377,Database!$A:$AS,MATCH($O$1,Database!$A$1:$AS$1,),))))-(((VLOOKUP(EDATE(B377,-12),Database!$A:$AS,MATCH($O$1,Database!$A$1:$AS$1,),)))))/(((VLOOKUP(EDATE(B377,-12),Database!$A:$AS,MATCH($O$1,Database!$A$1:$AS$1,),)))))</f>
        <v/>
      </c>
      <c r="P377" s="13">
        <f>IF(VLOOKUP(B377,Database!$A:$AV,MATCH($P$1,Database!$A$1:$AV$1,),)=0,"#N/A",((((VLOOKUP(B377,Database!$A:$AS,MATCH($P$1,Database!$A$1:$AS$1,),))))-(((VLOOKUP(EDATE(B377,-12),Database!$A:$AS,MATCH($P$1,Database!$A$1:$AS$1,),)))))/(((VLOOKUP(EDATE(B377,-12),Database!$A:$AS,MATCH($P$1,Database!$A$1:$AS$1,),)))))</f>
        <v/>
      </c>
      <c r="Q377" s="13">
        <f>IF(VLOOKUP(B377,Database!$A:$AV,MATCH($Q$1,Database!$A$1:$AV$1,),)=0,"#N/A",((((VLOOKUP(B377,Database!$A:$AS,MATCH($Q$1,Database!$A$1:$AS$1,),))))-(((VLOOKUP(EDATE(B377,-12),Database!$A:$AS,MATCH($Q$1,Database!$A$1:$AS$1,),)))))/(((VLOOKUP(EDATE(B377,-12),Database!$A:$AS,MATCH($Q$1,Database!$A$1:$AS$1,),)))))</f>
        <v/>
      </c>
      <c r="R377" s="13">
        <f>IF(VLOOKUP(B377,Database!$A:$AV,MATCH($R$1,Database!$A$1:$AV$1,),)=0,"#N/A",((((VLOOKUP(B377,Database!$A:$AS,MATCH($R$1,Database!$A$1:$AS$1,),))))-(((VLOOKUP(EDATE(B377,-12),Database!$A:$AS,MATCH($R$1,Database!$A$1:$AS$1,),)))))/(((VLOOKUP(EDATE(B377,-12),Database!$A:$AS,MATCH($R$1,Database!$A$1:$AS$1,),)))))</f>
        <v/>
      </c>
      <c r="S377" s="13">
        <f>IF(VLOOKUP(B377,Database!$A:$AV,MATCH($S$1,Database!$A$1:$AV$1,),)=0,"#N/A",((((VLOOKUP(B377,Database!$A:$AS,MATCH($S$1,Database!$A$1:$AS$1,),))))-(((VLOOKUP(EDATE(B377,-12),Database!$A:$AS,MATCH($S$1,Database!$A$1:$AS$1,),)))))/(((VLOOKUP(EDATE(B377,-12),Database!$A:$AS,MATCH($S$1,Database!$A$1:$AS$1,),)))))</f>
        <v/>
      </c>
      <c r="T377" s="13">
        <f>IF(VLOOKUP(B377,Database!$A:$AV,MATCH($T$1,Database!$A$1:$AV$1,),)=0,"#N/A",((((VLOOKUP(B377,Database!$A:$AS,MATCH($T$1,Database!$A$1:$AS$1,),))))-(((VLOOKUP(EDATE(B377,-12),Database!$A:$AS,MATCH($T$1,Database!$A$1:$AS$1,),)))))/(((VLOOKUP(EDATE(B377,-12),Database!$A:$AS,MATCH($T$1,Database!$A$1:$AS$1,),)))))</f>
        <v/>
      </c>
      <c r="U377" s="13">
        <f>IF(VLOOKUP(B377,Database!$A:$AV,MATCH($U$1,Database!$A$1:$AV$1,),)=0,"#N/A",((((VLOOKUP(B377,Database!$A:$AS,MATCH($U$1,Database!$A$1:$AS$1,),))))-(((VLOOKUP(EDATE(B377,-12),Database!$A:$AS,MATCH($U$1,Database!$A$1:$AS$1,),)))))/(((VLOOKUP(EDATE(B377,-12),Database!$A:$AS,MATCH($U$1,Database!$A$1:$AS$1,),)))))</f>
        <v/>
      </c>
      <c r="V377" s="13">
        <f>IF(VLOOKUP(B377,Database!$A:$AV,MATCH($V$1,Database!$A$1:$AV$1,),)=0,"#N/A",((((VLOOKUP(B377,Database!$A:$AS,MATCH($V$1,Database!$A$1:$AS$1,),))))-(((VLOOKUP(EDATE(B377,-12),Database!$A:$AS,MATCH($V$1,Database!$A$1:$AS$1,),)))))/(((VLOOKUP(EDATE(B377,-12),Database!$A:$AS,MATCH($V$1,Database!$A$1:$AS$1,),)))))</f>
        <v/>
      </c>
    </row>
    <row r="378" customFormat="1" s="86">
      <c r="B378" s="75" t="n">
        <v>43647</v>
      </c>
      <c r="C378" s="13">
        <f>IF(VLOOKUP(B378,Database!$A:$AU,MATCH($C$1,Database!$A$1:$AU$1,),)=0,"#N/A",((((VLOOKUP(B378,Database!$A:$AU,MATCH($C$1,Database!$A$1:$AU$1,),))))-(((VLOOKUP(EDATE(B378,-12),Database!$A:$AU,MATCH($C$1,Database!$A$1:$AU$1,),)))))/(((VLOOKUP(EDATE(B378,-12),Database!$A:$AU,MATCH($C$1,Database!$A$1:$AU$1,),)))))</f>
        <v/>
      </c>
      <c r="D378" s="13">
        <f>IF(VLOOKUP(B378,Database!$A:$AV,MATCH($D$1,Database!$A$1:$AV$1,),)=0,"#N/A",((((VLOOKUP(B378,Database!$A:$AS,MATCH($D$1,Database!$A$1:$AS$1,),))))-(((VLOOKUP(EDATE(B378,-12),Database!$A:$AS,MATCH($D$1,Database!$A$1:$AS$1,),)))))/(((VLOOKUP(EDATE(B378,-12),Database!$A:$AS,MATCH($D$1,Database!$A$1:$AS$1,),)))))</f>
        <v/>
      </c>
      <c r="E378" s="13">
        <f>IF(VLOOKUP(B378,Database!$A:$AV,MATCH($E$1,Database!$A$1:$AV$1,),)=0,"#N/A",((((VLOOKUP(B378,Database!$A:$AS,MATCH($E$1,Database!$A$1:$AS$1,),))))-(((VLOOKUP(EDATE(B378,-12),Database!$A:$AS,MATCH($E$1,Database!$A$1:$AS$1,),)))))/(((VLOOKUP(EDATE(B378,-12),Database!$A:$AS,MATCH($E$1,Database!$A$1:$AS$1,),)))))</f>
        <v/>
      </c>
      <c r="F378" s="13">
        <f>IF(VLOOKUP(B378,Database!$A:$AV,MATCH($F$1,Database!$A$1:$AV$1,),)=0,"#N/A",((((VLOOKUP(B378,Database!$A:$AS,MATCH($F$1,Database!$A$1:$AS$1,),))))-(((VLOOKUP(EDATE(B378,-12),Database!$A:$AS,MATCH($F$1,Database!$A$1:$AS$1,),)))))/(((VLOOKUP(EDATE(B378,-12),Database!$A:$AS,MATCH($F$1,Database!$A$1:$AS$1,),)))))</f>
        <v/>
      </c>
      <c r="G378" s="13">
        <f>IF(VLOOKUP(B378,Database!$A:$AV,MATCH($G$1,Database!$A$1:$AV$1,),)=0,"#N/A",((((VLOOKUP(B378,Database!$A:$AS,MATCH($G$1,Database!$A$1:$AS$1,),))))-(((VLOOKUP(EDATE(B378,-12),Database!$A:$AS,MATCH($G$1,Database!$A$1:$AS$1,),)))))/(((VLOOKUP(EDATE(B378,-12),Database!$A:$AS,MATCH($G$1,Database!$A$1:$AS$1,),)))))</f>
        <v/>
      </c>
      <c r="H378" s="13">
        <f>IF(VLOOKUP(B378,Database!$A:$AV,MATCH($H$1,Database!$A$1:$AV$1,),)=0,"#N/A",((((VLOOKUP(B378,Database!$A:$AS,MATCH($H$1,Database!$A$1:$AS$1,),))))-(((VLOOKUP(EDATE(B378,-12),Database!$A:$AS,MATCH($H$1,Database!$A$1:$AS$1,),)))))/(((VLOOKUP(EDATE(B378,-12),Database!$A:$AS,MATCH($H$1,Database!$A$1:$AS$1,),)))))</f>
        <v/>
      </c>
      <c r="I378" s="13">
        <f>IF(VLOOKUP(B378,Database!$A:$AV,MATCH($I$1,Database!$A$1:$AV$1,),)=0,"#N/A",((((VLOOKUP(B378,Database!$A:$AS,MATCH($I$1,Database!$A$1:$AS$1,),))))-(((VLOOKUP(EDATE(B378,-12),Database!$A:$AS,MATCH($I$1,Database!$A$1:$AS$1,),)))))/(((VLOOKUP(EDATE(B378,-12),Database!$A:$AS,MATCH($I$1,Database!$A$1:$AS$1,),)))))</f>
        <v/>
      </c>
      <c r="J378" s="13">
        <f>IF(VLOOKUP(B378,Database!$A:$AV,MATCH($J$1,Database!$A$1:$AV$1,),)=0,"#N/A",((((VLOOKUP(B378,Database!$A:$AS,MATCH($J$1,Database!$A$1:$AS$1,),))))-(((VLOOKUP(EDATE(B378,-12),Database!$A:$AS,MATCH($J$1,Database!$A$1:$AS$1,),)))))/(((VLOOKUP(EDATE(B378,-12),Database!$A:$AS,MATCH($J$1,Database!$A$1:$AS$1,),)))))</f>
        <v/>
      </c>
      <c r="K378" s="13">
        <f>IF(VLOOKUP(B378,Database!$A:$AV,MATCH($K$1,Database!$A$1:$AV$1,),)=0,"#N/A",((((VLOOKUP(B378,Database!$A:$AS,MATCH($K$1,Database!$A$1:$AS$1,),))))-(((VLOOKUP(EDATE(B378,-12),Database!$A:$AS,MATCH($K$1,Database!$A$1:$AS$1,),)))))/(((VLOOKUP(EDATE(B378,-12),Database!$A:$AS,MATCH($K$1,Database!$A$1:$AS$1,),)))))</f>
        <v/>
      </c>
      <c r="L378" s="13" t="n"/>
      <c r="M378" s="13" t="n"/>
      <c r="N378" s="13" t="n"/>
      <c r="O378" s="13">
        <f>IF(VLOOKUP(B378,Database!$A:$AV,MATCH($O$1,Database!$A$1:$AV$1,),)=0,"#N/A",((((VLOOKUP(B378,Database!$A:$AS,MATCH($O$1,Database!$A$1:$AS$1,),))))-(((VLOOKUP(EDATE(B378,-12),Database!$A:$AS,MATCH($O$1,Database!$A$1:$AS$1,),)))))/(((VLOOKUP(EDATE(B378,-12),Database!$A:$AS,MATCH($O$1,Database!$A$1:$AS$1,),)))))</f>
        <v/>
      </c>
      <c r="P378" s="13">
        <f>IF(VLOOKUP(B378,Database!$A:$AV,MATCH($P$1,Database!$A$1:$AV$1,),)=0,"#N/A",((((VLOOKUP(B378,Database!$A:$AS,MATCH($P$1,Database!$A$1:$AS$1,),))))-(((VLOOKUP(EDATE(B378,-12),Database!$A:$AS,MATCH($P$1,Database!$A$1:$AS$1,),)))))/(((VLOOKUP(EDATE(B378,-12),Database!$A:$AS,MATCH($P$1,Database!$A$1:$AS$1,),)))))</f>
        <v/>
      </c>
      <c r="Q378" s="13">
        <f>IF(VLOOKUP(B378,Database!$A:$AV,MATCH($Q$1,Database!$A$1:$AV$1,),)=0,"#N/A",((((VLOOKUP(B378,Database!$A:$AS,MATCH($Q$1,Database!$A$1:$AS$1,),))))-(((VLOOKUP(EDATE(B378,-12),Database!$A:$AS,MATCH($Q$1,Database!$A$1:$AS$1,),)))))/(((VLOOKUP(EDATE(B378,-12),Database!$A:$AS,MATCH($Q$1,Database!$A$1:$AS$1,),)))))</f>
        <v/>
      </c>
      <c r="R378" s="13">
        <f>IF(VLOOKUP(B378,Database!$A:$AV,MATCH($R$1,Database!$A$1:$AV$1,),)=0,"#N/A",((((VLOOKUP(B378,Database!$A:$AS,MATCH($R$1,Database!$A$1:$AS$1,),))))-(((VLOOKUP(EDATE(B378,-12),Database!$A:$AS,MATCH($R$1,Database!$A$1:$AS$1,),)))))/(((VLOOKUP(EDATE(B378,-12),Database!$A:$AS,MATCH($R$1,Database!$A$1:$AS$1,),)))))</f>
        <v/>
      </c>
      <c r="S378" s="13">
        <f>IF(VLOOKUP(B378,Database!$A:$AV,MATCH($S$1,Database!$A$1:$AV$1,),)=0,"#N/A",((((VLOOKUP(B378,Database!$A:$AS,MATCH($S$1,Database!$A$1:$AS$1,),))))-(((VLOOKUP(EDATE(B378,-12),Database!$A:$AS,MATCH($S$1,Database!$A$1:$AS$1,),)))))/(((VLOOKUP(EDATE(B378,-12),Database!$A:$AS,MATCH($S$1,Database!$A$1:$AS$1,),)))))</f>
        <v/>
      </c>
      <c r="T378" s="13">
        <f>IF(VLOOKUP(B378,Database!$A:$AV,MATCH($T$1,Database!$A$1:$AV$1,),)=0,"#N/A",((((VLOOKUP(B378,Database!$A:$AS,MATCH($T$1,Database!$A$1:$AS$1,),))))-(((VLOOKUP(EDATE(B378,-12),Database!$A:$AS,MATCH($T$1,Database!$A$1:$AS$1,),)))))/(((VLOOKUP(EDATE(B378,-12),Database!$A:$AS,MATCH($T$1,Database!$A$1:$AS$1,),)))))</f>
        <v/>
      </c>
      <c r="U378" s="13">
        <f>IF(VLOOKUP(B378,Database!$A:$AV,MATCH($U$1,Database!$A$1:$AV$1,),)=0,"#N/A",((((VLOOKUP(B378,Database!$A:$AS,MATCH($U$1,Database!$A$1:$AS$1,),))))-(((VLOOKUP(EDATE(B378,-12),Database!$A:$AS,MATCH($U$1,Database!$A$1:$AS$1,),)))))/(((VLOOKUP(EDATE(B378,-12),Database!$A:$AS,MATCH($U$1,Database!$A$1:$AS$1,),)))))</f>
        <v/>
      </c>
      <c r="V378" s="13">
        <f>IF(VLOOKUP(B378,Database!$A:$AV,MATCH($V$1,Database!$A$1:$AV$1,),)=0,"#N/A",((((VLOOKUP(B378,Database!$A:$AS,MATCH($V$1,Database!$A$1:$AS$1,),))))-(((VLOOKUP(EDATE(B378,-12),Database!$A:$AS,MATCH($V$1,Database!$A$1:$AS$1,),)))))/(((VLOOKUP(EDATE(B378,-12),Database!$A:$AS,MATCH($V$1,Database!$A$1:$AS$1,),)))))</f>
        <v/>
      </c>
    </row>
    <row r="379" customFormat="1" s="86">
      <c r="B379" s="75" t="n">
        <v>43678</v>
      </c>
      <c r="C379" s="13">
        <f>IF(VLOOKUP(B379,Database!$A:$AU,MATCH($C$1,Database!$A$1:$AU$1,),)=0,"#N/A",((((VLOOKUP(B379,Database!$A:$AU,MATCH($C$1,Database!$A$1:$AU$1,),))))-(((VLOOKUP(EDATE(B379,-12),Database!$A:$AU,MATCH($C$1,Database!$A$1:$AU$1,),)))))/(((VLOOKUP(EDATE(B379,-12),Database!$A:$AU,MATCH($C$1,Database!$A$1:$AU$1,),)))))</f>
        <v/>
      </c>
      <c r="D379" s="13">
        <f>IF(VLOOKUP(B379,Database!$A:$AV,MATCH($D$1,Database!$A$1:$AV$1,),)=0,"#N/A",((((VLOOKUP(B379,Database!$A:$AS,MATCH($D$1,Database!$A$1:$AS$1,),))))-(((VLOOKUP(EDATE(B379,-12),Database!$A:$AS,MATCH($D$1,Database!$A$1:$AS$1,),)))))/(((VLOOKUP(EDATE(B379,-12),Database!$A:$AS,MATCH($D$1,Database!$A$1:$AS$1,),)))))</f>
        <v/>
      </c>
      <c r="E379" s="13">
        <f>IF(VLOOKUP(B379,Database!$A:$AV,MATCH($E$1,Database!$A$1:$AV$1,),)=0,"#N/A",((((VLOOKUP(B379,Database!$A:$AS,MATCH($E$1,Database!$A$1:$AS$1,),))))-(((VLOOKUP(EDATE(B379,-12),Database!$A:$AS,MATCH($E$1,Database!$A$1:$AS$1,),)))))/(((VLOOKUP(EDATE(B379,-12),Database!$A:$AS,MATCH($E$1,Database!$A$1:$AS$1,),)))))</f>
        <v/>
      </c>
      <c r="F379" s="13">
        <f>IF(VLOOKUP(B379,Database!$A:$AV,MATCH($F$1,Database!$A$1:$AV$1,),)=0,"#N/A",((((VLOOKUP(B379,Database!$A:$AS,MATCH($F$1,Database!$A$1:$AS$1,),))))-(((VLOOKUP(EDATE(B379,-12),Database!$A:$AS,MATCH($F$1,Database!$A$1:$AS$1,),)))))/(((VLOOKUP(EDATE(B379,-12),Database!$A:$AS,MATCH($F$1,Database!$A$1:$AS$1,),)))))</f>
        <v/>
      </c>
      <c r="G379" s="13">
        <f>IF(VLOOKUP(B379,Database!$A:$AV,MATCH($G$1,Database!$A$1:$AV$1,),)=0,"#N/A",((((VLOOKUP(B379,Database!$A:$AS,MATCH($G$1,Database!$A$1:$AS$1,),))))-(((VLOOKUP(EDATE(B379,-12),Database!$A:$AS,MATCH($G$1,Database!$A$1:$AS$1,),)))))/(((VLOOKUP(EDATE(B379,-12),Database!$A:$AS,MATCH($G$1,Database!$A$1:$AS$1,),)))))</f>
        <v/>
      </c>
      <c r="H379" s="13">
        <f>IF(VLOOKUP(B379,Database!$A:$AV,MATCH($H$1,Database!$A$1:$AV$1,),)=0,"#N/A",((((VLOOKUP(B379,Database!$A:$AS,MATCH($H$1,Database!$A$1:$AS$1,),))))-(((VLOOKUP(EDATE(B379,-12),Database!$A:$AS,MATCH($H$1,Database!$A$1:$AS$1,),)))))/(((VLOOKUP(EDATE(B379,-12),Database!$A:$AS,MATCH($H$1,Database!$A$1:$AS$1,),)))))</f>
        <v/>
      </c>
      <c r="I379" s="13">
        <f>IF(VLOOKUP(B379,Database!$A:$AV,MATCH($I$1,Database!$A$1:$AV$1,),)=0,"#N/A",((((VLOOKUP(B379,Database!$A:$AS,MATCH($I$1,Database!$A$1:$AS$1,),))))-(((VLOOKUP(EDATE(B379,-12),Database!$A:$AS,MATCH($I$1,Database!$A$1:$AS$1,),)))))/(((VLOOKUP(EDATE(B379,-12),Database!$A:$AS,MATCH($I$1,Database!$A$1:$AS$1,),)))))</f>
        <v/>
      </c>
      <c r="J379" s="13">
        <f>IF(VLOOKUP(B379,Database!$A:$AV,MATCH($J$1,Database!$A$1:$AV$1,),)=0,"#N/A",((((VLOOKUP(B379,Database!$A:$AS,MATCH($J$1,Database!$A$1:$AS$1,),))))-(((VLOOKUP(EDATE(B379,-12),Database!$A:$AS,MATCH($J$1,Database!$A$1:$AS$1,),)))))/(((VLOOKUP(EDATE(B379,-12),Database!$A:$AS,MATCH($J$1,Database!$A$1:$AS$1,),)))))</f>
        <v/>
      </c>
      <c r="K379" s="13">
        <f>IF(VLOOKUP(B379,Database!$A:$AV,MATCH($K$1,Database!$A$1:$AV$1,),)=0,"#N/A",((((VLOOKUP(B379,Database!$A:$AS,MATCH($K$1,Database!$A$1:$AS$1,),))))-(((VLOOKUP(EDATE(B379,-12),Database!$A:$AS,MATCH($K$1,Database!$A$1:$AS$1,),)))))/(((VLOOKUP(EDATE(B379,-12),Database!$A:$AS,MATCH($K$1,Database!$A$1:$AS$1,),)))))</f>
        <v/>
      </c>
      <c r="L379" s="13" t="n"/>
      <c r="M379" s="13" t="n"/>
      <c r="N379" s="13" t="n"/>
      <c r="O379" s="13">
        <f>IF(VLOOKUP(B379,Database!$A:$AV,MATCH($O$1,Database!$A$1:$AV$1,),)=0,"#N/A",((((VLOOKUP(B379,Database!$A:$AS,MATCH($O$1,Database!$A$1:$AS$1,),))))-(((VLOOKUP(EDATE(B379,-12),Database!$A:$AS,MATCH($O$1,Database!$A$1:$AS$1,),)))))/(((VLOOKUP(EDATE(B379,-12),Database!$A:$AS,MATCH($O$1,Database!$A$1:$AS$1,),)))))</f>
        <v/>
      </c>
      <c r="P379" s="13">
        <f>IF(VLOOKUP(B379,Database!$A:$AV,MATCH($P$1,Database!$A$1:$AV$1,),)=0,"#N/A",((((VLOOKUP(B379,Database!$A:$AS,MATCH($P$1,Database!$A$1:$AS$1,),))))-(((VLOOKUP(EDATE(B379,-12),Database!$A:$AS,MATCH($P$1,Database!$A$1:$AS$1,),)))))/(((VLOOKUP(EDATE(B379,-12),Database!$A:$AS,MATCH($P$1,Database!$A$1:$AS$1,),)))))</f>
        <v/>
      </c>
      <c r="Q379" s="13">
        <f>IF(VLOOKUP(B379,Database!$A:$AV,MATCH($Q$1,Database!$A$1:$AV$1,),)=0,"#N/A",((((VLOOKUP(B379,Database!$A:$AS,MATCH($Q$1,Database!$A$1:$AS$1,),))))-(((VLOOKUP(EDATE(B379,-12),Database!$A:$AS,MATCH($Q$1,Database!$A$1:$AS$1,),)))))/(((VLOOKUP(EDATE(B379,-12),Database!$A:$AS,MATCH($Q$1,Database!$A$1:$AS$1,),)))))</f>
        <v/>
      </c>
      <c r="R379" s="13">
        <f>IF(VLOOKUP(B379,Database!$A:$AV,MATCH($R$1,Database!$A$1:$AV$1,),)=0,"#N/A",((((VLOOKUP(B379,Database!$A:$AS,MATCH($R$1,Database!$A$1:$AS$1,),))))-(((VLOOKUP(EDATE(B379,-12),Database!$A:$AS,MATCH($R$1,Database!$A$1:$AS$1,),)))))/(((VLOOKUP(EDATE(B379,-12),Database!$A:$AS,MATCH($R$1,Database!$A$1:$AS$1,),)))))</f>
        <v/>
      </c>
      <c r="S379" s="13">
        <f>IF(VLOOKUP(B379,Database!$A:$AV,MATCH($S$1,Database!$A$1:$AV$1,),)=0,"#N/A",((((VLOOKUP(B379,Database!$A:$AS,MATCH($S$1,Database!$A$1:$AS$1,),))))-(((VLOOKUP(EDATE(B379,-12),Database!$A:$AS,MATCH($S$1,Database!$A$1:$AS$1,),)))))/(((VLOOKUP(EDATE(B379,-12),Database!$A:$AS,MATCH($S$1,Database!$A$1:$AS$1,),)))))</f>
        <v/>
      </c>
      <c r="T379" s="13">
        <f>IF(VLOOKUP(B379,Database!$A:$AV,MATCH($T$1,Database!$A$1:$AV$1,),)=0,"#N/A",((((VLOOKUP(B379,Database!$A:$AS,MATCH($T$1,Database!$A$1:$AS$1,),))))-(((VLOOKUP(EDATE(B379,-12),Database!$A:$AS,MATCH($T$1,Database!$A$1:$AS$1,),)))))/(((VLOOKUP(EDATE(B379,-12),Database!$A:$AS,MATCH($T$1,Database!$A$1:$AS$1,),)))))</f>
        <v/>
      </c>
      <c r="U379" s="13">
        <f>IF(VLOOKUP(B379,Database!$A:$AV,MATCH($U$1,Database!$A$1:$AV$1,),)=0,"#N/A",((((VLOOKUP(B379,Database!$A:$AS,MATCH($U$1,Database!$A$1:$AS$1,),))))-(((VLOOKUP(EDATE(B379,-12),Database!$A:$AS,MATCH($U$1,Database!$A$1:$AS$1,),)))))/(((VLOOKUP(EDATE(B379,-12),Database!$A:$AS,MATCH($U$1,Database!$A$1:$AS$1,),)))))</f>
        <v/>
      </c>
      <c r="V379" s="13">
        <f>IF(VLOOKUP(B379,Database!$A:$AV,MATCH($V$1,Database!$A$1:$AV$1,),)=0,"#N/A",((((VLOOKUP(B379,Database!$A:$AS,MATCH($V$1,Database!$A$1:$AS$1,),))))-(((VLOOKUP(EDATE(B379,-12),Database!$A:$AS,MATCH($V$1,Database!$A$1:$AS$1,),)))))/(((VLOOKUP(EDATE(B379,-12),Database!$A:$AS,MATCH($V$1,Database!$A$1:$AS$1,),)))))</f>
        <v/>
      </c>
    </row>
    <row r="380" customFormat="1" s="86">
      <c r="B380" s="75" t="n">
        <v>43709</v>
      </c>
      <c r="C380" s="13">
        <f>IF(VLOOKUP(B380,Database!$A:$AU,MATCH($C$1,Database!$A$1:$AU$1,),)=0,"#N/A",((((VLOOKUP(B380,Database!$A:$AU,MATCH($C$1,Database!$A$1:$AU$1,),))))-(((VLOOKUP(EDATE(B380,-12),Database!$A:$AU,MATCH($C$1,Database!$A$1:$AU$1,),)))))/(((VLOOKUP(EDATE(B380,-12),Database!$A:$AU,MATCH($C$1,Database!$A$1:$AU$1,),)))))</f>
        <v/>
      </c>
      <c r="D380" s="13">
        <f>IF(VLOOKUP(B380,Database!$A:$AV,MATCH($D$1,Database!$A$1:$AV$1,),)=0,"#N/A",((((VLOOKUP(B380,Database!$A:$AS,MATCH($D$1,Database!$A$1:$AS$1,),))))-(((VLOOKUP(EDATE(B380,-12),Database!$A:$AS,MATCH($D$1,Database!$A$1:$AS$1,),)))))/(((VLOOKUP(EDATE(B380,-12),Database!$A:$AS,MATCH($D$1,Database!$A$1:$AS$1,),)))))</f>
        <v/>
      </c>
      <c r="E380" s="13">
        <f>IF(VLOOKUP(B380,Database!$A:$AV,MATCH($E$1,Database!$A$1:$AV$1,),)=0,"#N/A",((((VLOOKUP(B380,Database!$A:$AS,MATCH($E$1,Database!$A$1:$AS$1,),))))-(((VLOOKUP(EDATE(B380,-12),Database!$A:$AS,MATCH($E$1,Database!$A$1:$AS$1,),)))))/(((VLOOKUP(EDATE(B380,-12),Database!$A:$AS,MATCH($E$1,Database!$A$1:$AS$1,),)))))</f>
        <v/>
      </c>
      <c r="F380" s="13">
        <f>IF(VLOOKUP(B380,Database!$A:$AV,MATCH($F$1,Database!$A$1:$AV$1,),)=0,"#N/A",((((VLOOKUP(B380,Database!$A:$AS,MATCH($F$1,Database!$A$1:$AS$1,),))))-(((VLOOKUP(EDATE(B380,-12),Database!$A:$AS,MATCH($F$1,Database!$A$1:$AS$1,),)))))/(((VLOOKUP(EDATE(B380,-12),Database!$A:$AS,MATCH($F$1,Database!$A$1:$AS$1,),)))))</f>
        <v/>
      </c>
      <c r="G380" s="13">
        <f>IF(VLOOKUP(B380,Database!$A:$AV,MATCH($G$1,Database!$A$1:$AV$1,),)=0,"#N/A",((((VLOOKUP(B380,Database!$A:$AS,MATCH($G$1,Database!$A$1:$AS$1,),))))-(((VLOOKUP(EDATE(B380,-12),Database!$A:$AS,MATCH($G$1,Database!$A$1:$AS$1,),)))))/(((VLOOKUP(EDATE(B380,-12),Database!$A:$AS,MATCH($G$1,Database!$A$1:$AS$1,),)))))</f>
        <v/>
      </c>
      <c r="H380" s="13">
        <f>IF(VLOOKUP(B380,Database!$A:$AV,MATCH($H$1,Database!$A$1:$AV$1,),)=0,"#N/A",((((VLOOKUP(B380,Database!$A:$AS,MATCH($H$1,Database!$A$1:$AS$1,),))))-(((VLOOKUP(EDATE(B380,-12),Database!$A:$AS,MATCH($H$1,Database!$A$1:$AS$1,),)))))/(((VLOOKUP(EDATE(B380,-12),Database!$A:$AS,MATCH($H$1,Database!$A$1:$AS$1,),)))))</f>
        <v/>
      </c>
      <c r="I380" s="13">
        <f>IF(VLOOKUP(B380,Database!$A:$AV,MATCH($I$1,Database!$A$1:$AV$1,),)=0,"#N/A",((((VLOOKUP(B380,Database!$A:$AS,MATCH($I$1,Database!$A$1:$AS$1,),))))-(((VLOOKUP(EDATE(B380,-12),Database!$A:$AS,MATCH($I$1,Database!$A$1:$AS$1,),)))))/(((VLOOKUP(EDATE(B380,-12),Database!$A:$AS,MATCH($I$1,Database!$A$1:$AS$1,),)))))</f>
        <v/>
      </c>
      <c r="J380" s="13">
        <f>IF(VLOOKUP(B380,Database!$A:$AV,MATCH($J$1,Database!$A$1:$AV$1,),)=0,"#N/A",((((VLOOKUP(B380,Database!$A:$AS,MATCH($J$1,Database!$A$1:$AS$1,),))))-(((VLOOKUP(EDATE(B380,-12),Database!$A:$AS,MATCH($J$1,Database!$A$1:$AS$1,),)))))/(((VLOOKUP(EDATE(B380,-12),Database!$A:$AS,MATCH($J$1,Database!$A$1:$AS$1,),)))))</f>
        <v/>
      </c>
      <c r="K380" s="13">
        <f>IF(VLOOKUP(B380,Database!$A:$AV,MATCH($K$1,Database!$A$1:$AV$1,),)=0,"#N/A",((((VLOOKUP(B380,Database!$A:$AS,MATCH($K$1,Database!$A$1:$AS$1,),))))-(((VLOOKUP(EDATE(B380,-12),Database!$A:$AS,MATCH($K$1,Database!$A$1:$AS$1,),)))))/(((VLOOKUP(EDATE(B380,-12),Database!$A:$AS,MATCH($K$1,Database!$A$1:$AS$1,),)))))</f>
        <v/>
      </c>
      <c r="L380" s="13" t="n"/>
      <c r="M380" s="13" t="n"/>
      <c r="N380" s="13" t="n"/>
      <c r="O380" s="13">
        <f>IF(VLOOKUP(B380,Database!$A:$AV,MATCH($O$1,Database!$A$1:$AV$1,),)=0,"#N/A",((((VLOOKUP(B380,Database!$A:$AS,MATCH($O$1,Database!$A$1:$AS$1,),))))-(((VLOOKUP(EDATE(B380,-12),Database!$A:$AS,MATCH($O$1,Database!$A$1:$AS$1,),)))))/(((VLOOKUP(EDATE(B380,-12),Database!$A:$AS,MATCH($O$1,Database!$A$1:$AS$1,),)))))</f>
        <v/>
      </c>
      <c r="P380" s="13">
        <f>IF(VLOOKUP(B380,Database!$A:$AV,MATCH($P$1,Database!$A$1:$AV$1,),)=0,"#N/A",((((VLOOKUP(B380,Database!$A:$AS,MATCH($P$1,Database!$A$1:$AS$1,),))))-(((VLOOKUP(EDATE(B380,-12),Database!$A:$AS,MATCH($P$1,Database!$A$1:$AS$1,),)))))/(((VLOOKUP(EDATE(B380,-12),Database!$A:$AS,MATCH($P$1,Database!$A$1:$AS$1,),)))))</f>
        <v/>
      </c>
      <c r="Q380" s="13">
        <f>IF(VLOOKUP(B380,Database!$A:$AV,MATCH($Q$1,Database!$A$1:$AV$1,),)=0,"#N/A",((((VLOOKUP(B380,Database!$A:$AS,MATCH($Q$1,Database!$A$1:$AS$1,),))))-(((VLOOKUP(EDATE(B380,-12),Database!$A:$AS,MATCH($Q$1,Database!$A$1:$AS$1,),)))))/(((VLOOKUP(EDATE(B380,-12),Database!$A:$AS,MATCH($Q$1,Database!$A$1:$AS$1,),)))))</f>
        <v/>
      </c>
      <c r="R380" s="13">
        <f>IF(VLOOKUP(B380,Database!$A:$AV,MATCH($R$1,Database!$A$1:$AV$1,),)=0,"#N/A",((((VLOOKUP(B380,Database!$A:$AS,MATCH($R$1,Database!$A$1:$AS$1,),))))-(((VLOOKUP(EDATE(B380,-12),Database!$A:$AS,MATCH($R$1,Database!$A$1:$AS$1,),)))))/(((VLOOKUP(EDATE(B380,-12),Database!$A:$AS,MATCH($R$1,Database!$A$1:$AS$1,),)))))</f>
        <v/>
      </c>
      <c r="S380" s="13">
        <f>IF(VLOOKUP(B380,Database!$A:$AV,MATCH($S$1,Database!$A$1:$AV$1,),)=0,"#N/A",((((VLOOKUP(B380,Database!$A:$AS,MATCH($S$1,Database!$A$1:$AS$1,),))))-(((VLOOKUP(EDATE(B380,-12),Database!$A:$AS,MATCH($S$1,Database!$A$1:$AS$1,),)))))/(((VLOOKUP(EDATE(B380,-12),Database!$A:$AS,MATCH($S$1,Database!$A$1:$AS$1,),)))))</f>
        <v/>
      </c>
      <c r="T380" s="13">
        <f>IF(VLOOKUP(B380,Database!$A:$AV,MATCH($T$1,Database!$A$1:$AV$1,),)=0,"#N/A",((((VLOOKUP(B380,Database!$A:$AS,MATCH($T$1,Database!$A$1:$AS$1,),))))-(((VLOOKUP(EDATE(B380,-12),Database!$A:$AS,MATCH($T$1,Database!$A$1:$AS$1,),)))))/(((VLOOKUP(EDATE(B380,-12),Database!$A:$AS,MATCH($T$1,Database!$A$1:$AS$1,),)))))</f>
        <v/>
      </c>
      <c r="U380" s="13">
        <f>IF(VLOOKUP(B380,Database!$A:$AV,MATCH($U$1,Database!$A$1:$AV$1,),)=0,"#N/A",((((VLOOKUP(B380,Database!$A:$AS,MATCH($U$1,Database!$A$1:$AS$1,),))))-(((VLOOKUP(EDATE(B380,-12),Database!$A:$AS,MATCH($U$1,Database!$A$1:$AS$1,),)))))/(((VLOOKUP(EDATE(B380,-12),Database!$A:$AS,MATCH($U$1,Database!$A$1:$AS$1,),)))))</f>
        <v/>
      </c>
      <c r="V380" s="13">
        <f>IF(VLOOKUP(B380,Database!$A:$AV,MATCH($V$1,Database!$A$1:$AV$1,),)=0,"#N/A",((((VLOOKUP(B380,Database!$A:$AS,MATCH($V$1,Database!$A$1:$AS$1,),))))-(((VLOOKUP(EDATE(B380,-12),Database!$A:$AS,MATCH($V$1,Database!$A$1:$AS$1,),)))))/(((VLOOKUP(EDATE(B380,-12),Database!$A:$AS,MATCH($V$1,Database!$A$1:$AS$1,),)))))</f>
        <v/>
      </c>
    </row>
    <row r="381" customFormat="1" s="86">
      <c r="B381" s="75" t="n">
        <v>43739</v>
      </c>
      <c r="C381" s="13">
        <f>IF(VLOOKUP(B381,Database!$A:$AU,MATCH($C$1,Database!$A$1:$AU$1,),)=0,"#N/A",((((VLOOKUP(B381,Database!$A:$AU,MATCH($C$1,Database!$A$1:$AU$1,),))))-(((VLOOKUP(EDATE(B381,-12),Database!$A:$AU,MATCH($C$1,Database!$A$1:$AU$1,),)))))/(((VLOOKUP(EDATE(B381,-12),Database!$A:$AU,MATCH($C$1,Database!$A$1:$AU$1,),)))))</f>
        <v/>
      </c>
      <c r="D381" s="13">
        <f>IF(VLOOKUP(B381,Database!$A:$AV,MATCH($D$1,Database!$A$1:$AV$1,),)=0,"#N/A",((((VLOOKUP(B381,Database!$A:$AS,MATCH($D$1,Database!$A$1:$AS$1,),))))-(((VLOOKUP(EDATE(B381,-12),Database!$A:$AS,MATCH($D$1,Database!$A$1:$AS$1,),)))))/(((VLOOKUP(EDATE(B381,-12),Database!$A:$AS,MATCH($D$1,Database!$A$1:$AS$1,),)))))</f>
        <v/>
      </c>
      <c r="E381" s="13">
        <f>IF(VLOOKUP(B381,Database!$A:$AV,MATCH($E$1,Database!$A$1:$AV$1,),)=0,"#N/A",((((VLOOKUP(B381,Database!$A:$AS,MATCH($E$1,Database!$A$1:$AS$1,),))))-(((VLOOKUP(EDATE(B381,-12),Database!$A:$AS,MATCH($E$1,Database!$A$1:$AS$1,),)))))/(((VLOOKUP(EDATE(B381,-12),Database!$A:$AS,MATCH($E$1,Database!$A$1:$AS$1,),)))))</f>
        <v/>
      </c>
      <c r="F381" s="13">
        <f>IF(VLOOKUP(B381,Database!$A:$AV,MATCH($F$1,Database!$A$1:$AV$1,),)=0,"#N/A",((((VLOOKUP(B381,Database!$A:$AS,MATCH($F$1,Database!$A$1:$AS$1,),))))-(((VLOOKUP(EDATE(B381,-12),Database!$A:$AS,MATCH($F$1,Database!$A$1:$AS$1,),)))))/(((VLOOKUP(EDATE(B381,-12),Database!$A:$AS,MATCH($F$1,Database!$A$1:$AS$1,),)))))</f>
        <v/>
      </c>
      <c r="G381" s="13">
        <f>IF(VLOOKUP(B381,Database!$A:$AV,MATCH($G$1,Database!$A$1:$AV$1,),)=0,"#N/A",((((VLOOKUP(B381,Database!$A:$AS,MATCH($G$1,Database!$A$1:$AS$1,),))))-(((VLOOKUP(EDATE(B381,-12),Database!$A:$AS,MATCH($G$1,Database!$A$1:$AS$1,),)))))/(((VLOOKUP(EDATE(B381,-12),Database!$A:$AS,MATCH($G$1,Database!$A$1:$AS$1,),)))))</f>
        <v/>
      </c>
      <c r="H381" s="13">
        <f>IF(VLOOKUP(B381,Database!$A:$AV,MATCH($H$1,Database!$A$1:$AV$1,),)=0,"#N/A",((((VLOOKUP(B381,Database!$A:$AS,MATCH($H$1,Database!$A$1:$AS$1,),))))-(((VLOOKUP(EDATE(B381,-12),Database!$A:$AS,MATCH($H$1,Database!$A$1:$AS$1,),)))))/(((VLOOKUP(EDATE(B381,-12),Database!$A:$AS,MATCH($H$1,Database!$A$1:$AS$1,),)))))</f>
        <v/>
      </c>
      <c r="I381" s="13">
        <f>IF(VLOOKUP(B381,Database!$A:$AV,MATCH($I$1,Database!$A$1:$AV$1,),)=0,"#N/A",((((VLOOKUP(B381,Database!$A:$AS,MATCH($I$1,Database!$A$1:$AS$1,),))))-(((VLOOKUP(EDATE(B381,-12),Database!$A:$AS,MATCH($I$1,Database!$A$1:$AS$1,),)))))/(((VLOOKUP(EDATE(B381,-12),Database!$A:$AS,MATCH($I$1,Database!$A$1:$AS$1,),)))))</f>
        <v/>
      </c>
      <c r="J381" s="13">
        <f>IF(VLOOKUP(B381,Database!$A:$AV,MATCH($J$1,Database!$A$1:$AV$1,),)=0,"#N/A",((((VLOOKUP(B381,Database!$A:$AS,MATCH($J$1,Database!$A$1:$AS$1,),))))-(((VLOOKUP(EDATE(B381,-12),Database!$A:$AS,MATCH($J$1,Database!$A$1:$AS$1,),)))))/(((VLOOKUP(EDATE(B381,-12),Database!$A:$AS,MATCH($J$1,Database!$A$1:$AS$1,),)))))</f>
        <v/>
      </c>
      <c r="K381" s="13">
        <f>IF(VLOOKUP(B381,Database!$A:$AV,MATCH($K$1,Database!$A$1:$AV$1,),)=0,"#N/A",((((VLOOKUP(B381,Database!$A:$AS,MATCH($K$1,Database!$A$1:$AS$1,),))))-(((VLOOKUP(EDATE(B381,-12),Database!$A:$AS,MATCH($K$1,Database!$A$1:$AS$1,),)))))/(((VLOOKUP(EDATE(B381,-12),Database!$A:$AS,MATCH($K$1,Database!$A$1:$AS$1,),)))))</f>
        <v/>
      </c>
      <c r="L381" s="13" t="n"/>
      <c r="M381" s="13" t="n"/>
      <c r="N381" s="13" t="n"/>
      <c r="O381" s="13">
        <f>IF(VLOOKUP(B381,Database!$A:$AV,MATCH($O$1,Database!$A$1:$AV$1,),)=0,"#N/A",((((VLOOKUP(B381,Database!$A:$AS,MATCH($O$1,Database!$A$1:$AS$1,),))))-(((VLOOKUP(EDATE(B381,-12),Database!$A:$AS,MATCH($O$1,Database!$A$1:$AS$1,),)))))/(((VLOOKUP(EDATE(B381,-12),Database!$A:$AS,MATCH($O$1,Database!$A$1:$AS$1,),)))))</f>
        <v/>
      </c>
      <c r="P381" s="13">
        <f>IF(VLOOKUP(B381,Database!$A:$AV,MATCH($P$1,Database!$A$1:$AV$1,),)=0,"#N/A",((((VLOOKUP(B381,Database!$A:$AS,MATCH($P$1,Database!$A$1:$AS$1,),))))-(((VLOOKUP(EDATE(B381,-12),Database!$A:$AS,MATCH($P$1,Database!$A$1:$AS$1,),)))))/(((VLOOKUP(EDATE(B381,-12),Database!$A:$AS,MATCH($P$1,Database!$A$1:$AS$1,),)))))</f>
        <v/>
      </c>
      <c r="Q381" s="13">
        <f>IF(VLOOKUP(B381,Database!$A:$AV,MATCH($Q$1,Database!$A$1:$AV$1,),)=0,"#N/A",((((VLOOKUP(B381,Database!$A:$AS,MATCH($Q$1,Database!$A$1:$AS$1,),))))-(((VLOOKUP(EDATE(B381,-12),Database!$A:$AS,MATCH($Q$1,Database!$A$1:$AS$1,),)))))/(((VLOOKUP(EDATE(B381,-12),Database!$A:$AS,MATCH($Q$1,Database!$A$1:$AS$1,),)))))</f>
        <v/>
      </c>
      <c r="R381" s="13">
        <f>IF(VLOOKUP(B381,Database!$A:$AV,MATCH($R$1,Database!$A$1:$AV$1,),)=0,"#N/A",((((VLOOKUP(B381,Database!$A:$AS,MATCH($R$1,Database!$A$1:$AS$1,),))))-(((VLOOKUP(EDATE(B381,-12),Database!$A:$AS,MATCH($R$1,Database!$A$1:$AS$1,),)))))/(((VLOOKUP(EDATE(B381,-12),Database!$A:$AS,MATCH($R$1,Database!$A$1:$AS$1,),)))))</f>
        <v/>
      </c>
      <c r="S381" s="13">
        <f>IF(VLOOKUP(B381,Database!$A:$AV,MATCH($S$1,Database!$A$1:$AV$1,),)=0,"#N/A",((((VLOOKUP(B381,Database!$A:$AS,MATCH($S$1,Database!$A$1:$AS$1,),))))-(((VLOOKUP(EDATE(B381,-12),Database!$A:$AS,MATCH($S$1,Database!$A$1:$AS$1,),)))))/(((VLOOKUP(EDATE(B381,-12),Database!$A:$AS,MATCH($S$1,Database!$A$1:$AS$1,),)))))</f>
        <v/>
      </c>
      <c r="T381" s="13">
        <f>IF(VLOOKUP(B381,Database!$A:$AV,MATCH($T$1,Database!$A$1:$AV$1,),)=0,"#N/A",((((VLOOKUP(B381,Database!$A:$AS,MATCH($T$1,Database!$A$1:$AS$1,),))))-(((VLOOKUP(EDATE(B381,-12),Database!$A:$AS,MATCH($T$1,Database!$A$1:$AS$1,),)))))/(((VLOOKUP(EDATE(B381,-12),Database!$A:$AS,MATCH($T$1,Database!$A$1:$AS$1,),)))))</f>
        <v/>
      </c>
      <c r="U381" s="13">
        <f>IF(VLOOKUP(B381,Database!$A:$AV,MATCH($U$1,Database!$A$1:$AV$1,),)=0,"#N/A",((((VLOOKUP(B381,Database!$A:$AS,MATCH($U$1,Database!$A$1:$AS$1,),))))-(((VLOOKUP(EDATE(B381,-12),Database!$A:$AS,MATCH($U$1,Database!$A$1:$AS$1,),)))))/(((VLOOKUP(EDATE(B381,-12),Database!$A:$AS,MATCH($U$1,Database!$A$1:$AS$1,),)))))</f>
        <v/>
      </c>
      <c r="V381" s="13">
        <f>IF(VLOOKUP(B381,Database!$A:$AV,MATCH($V$1,Database!$A$1:$AV$1,),)=0,"#N/A",((((VLOOKUP(B381,Database!$A:$AS,MATCH($V$1,Database!$A$1:$AS$1,),))))-(((VLOOKUP(EDATE(B381,-12),Database!$A:$AS,MATCH($V$1,Database!$A$1:$AS$1,),)))))/(((VLOOKUP(EDATE(B381,-12),Database!$A:$AS,MATCH($V$1,Database!$A$1:$AS$1,),)))))</f>
        <v/>
      </c>
    </row>
    <row r="382" customFormat="1" s="86">
      <c r="B382" s="75" t="n">
        <v>43770</v>
      </c>
      <c r="C382" s="13">
        <f>IF(VLOOKUP(B382,Database!$A:$AU,MATCH($C$1,Database!$A$1:$AU$1,),)=0,"#N/A",((((VLOOKUP(B382,Database!$A:$AU,MATCH($C$1,Database!$A$1:$AU$1,),))))-(((VLOOKUP(EDATE(B382,-12),Database!$A:$AU,MATCH($C$1,Database!$A$1:$AU$1,),)))))/(((VLOOKUP(EDATE(B382,-12),Database!$A:$AU,MATCH($C$1,Database!$A$1:$AU$1,),)))))</f>
        <v/>
      </c>
      <c r="D382" s="13">
        <f>IF(VLOOKUP(B382,Database!$A:$AV,MATCH($D$1,Database!$A$1:$AV$1,),)=0,"#N/A",((((VLOOKUP(B382,Database!$A:$AS,MATCH($D$1,Database!$A$1:$AS$1,),))))-(((VLOOKUP(EDATE(B382,-12),Database!$A:$AS,MATCH($D$1,Database!$A$1:$AS$1,),)))))/(((VLOOKUP(EDATE(B382,-12),Database!$A:$AS,MATCH($D$1,Database!$A$1:$AS$1,),)))))</f>
        <v/>
      </c>
      <c r="E382" s="13">
        <f>IF(VLOOKUP(B382,Database!$A:$AV,MATCH($E$1,Database!$A$1:$AV$1,),)=0,"#N/A",((((VLOOKUP(B382,Database!$A:$AS,MATCH($E$1,Database!$A$1:$AS$1,),))))-(((VLOOKUP(EDATE(B382,-12),Database!$A:$AS,MATCH($E$1,Database!$A$1:$AS$1,),)))))/(((VLOOKUP(EDATE(B382,-12),Database!$A:$AS,MATCH($E$1,Database!$A$1:$AS$1,),)))))</f>
        <v/>
      </c>
      <c r="F382" s="13">
        <f>IF(VLOOKUP(B382,Database!$A:$AV,MATCH($F$1,Database!$A$1:$AV$1,),)=0,"#N/A",((((VLOOKUP(B382,Database!$A:$AS,MATCH($F$1,Database!$A$1:$AS$1,),))))-(((VLOOKUP(EDATE(B382,-12),Database!$A:$AS,MATCH($F$1,Database!$A$1:$AS$1,),)))))/(((VLOOKUP(EDATE(B382,-12),Database!$A:$AS,MATCH($F$1,Database!$A$1:$AS$1,),)))))</f>
        <v/>
      </c>
      <c r="G382" s="13">
        <f>IF(VLOOKUP(B382,Database!$A:$AV,MATCH($G$1,Database!$A$1:$AV$1,),)=0,"#N/A",((((VLOOKUP(B382,Database!$A:$AS,MATCH($G$1,Database!$A$1:$AS$1,),))))-(((VLOOKUP(EDATE(B382,-12),Database!$A:$AS,MATCH($G$1,Database!$A$1:$AS$1,),)))))/(((VLOOKUP(EDATE(B382,-12),Database!$A:$AS,MATCH($G$1,Database!$A$1:$AS$1,),)))))</f>
        <v/>
      </c>
      <c r="H382" s="13">
        <f>IF(VLOOKUP(B382,Database!$A:$AV,MATCH($H$1,Database!$A$1:$AV$1,),)=0,"#N/A",((((VLOOKUP(B382,Database!$A:$AS,MATCH($H$1,Database!$A$1:$AS$1,),))))-(((VLOOKUP(EDATE(B382,-12),Database!$A:$AS,MATCH($H$1,Database!$A$1:$AS$1,),)))))/(((VLOOKUP(EDATE(B382,-12),Database!$A:$AS,MATCH($H$1,Database!$A$1:$AS$1,),)))))</f>
        <v/>
      </c>
      <c r="I382" s="13">
        <f>IF(VLOOKUP(B382,Database!$A:$AV,MATCH($I$1,Database!$A$1:$AV$1,),)=0,"#N/A",((((VLOOKUP(B382,Database!$A:$AS,MATCH($I$1,Database!$A$1:$AS$1,),))))-(((VLOOKUP(EDATE(B382,-12),Database!$A:$AS,MATCH($I$1,Database!$A$1:$AS$1,),)))))/(((VLOOKUP(EDATE(B382,-12),Database!$A:$AS,MATCH($I$1,Database!$A$1:$AS$1,),)))))</f>
        <v/>
      </c>
      <c r="J382" s="13">
        <f>IF(VLOOKUP(B382,Database!$A:$AV,MATCH($J$1,Database!$A$1:$AV$1,),)=0,"#N/A",((((VLOOKUP(B382,Database!$A:$AS,MATCH($J$1,Database!$A$1:$AS$1,),))))-(((VLOOKUP(EDATE(B382,-12),Database!$A:$AS,MATCH($J$1,Database!$A$1:$AS$1,),)))))/(((VLOOKUP(EDATE(B382,-12),Database!$A:$AS,MATCH($J$1,Database!$A$1:$AS$1,),)))))</f>
        <v/>
      </c>
      <c r="K382" s="13">
        <f>IF(VLOOKUP(B382,Database!$A:$AV,MATCH($K$1,Database!$A$1:$AV$1,),)=0,"#N/A",((((VLOOKUP(B382,Database!$A:$AS,MATCH($K$1,Database!$A$1:$AS$1,),))))-(((VLOOKUP(EDATE(B382,-12),Database!$A:$AS,MATCH($K$1,Database!$A$1:$AS$1,),)))))/(((VLOOKUP(EDATE(B382,-12),Database!$A:$AS,MATCH($K$1,Database!$A$1:$AS$1,),)))))</f>
        <v/>
      </c>
      <c r="L382" s="13" t="n"/>
      <c r="M382" s="13" t="n"/>
      <c r="N382" s="13" t="n"/>
      <c r="O382" s="13">
        <f>IF(VLOOKUP(B382,Database!$A:$AV,MATCH($O$1,Database!$A$1:$AV$1,),)=0,"#N/A",((((VLOOKUP(B382,Database!$A:$AS,MATCH($O$1,Database!$A$1:$AS$1,),))))-(((VLOOKUP(EDATE(B382,-12),Database!$A:$AS,MATCH($O$1,Database!$A$1:$AS$1,),)))))/(((VLOOKUP(EDATE(B382,-12),Database!$A:$AS,MATCH($O$1,Database!$A$1:$AS$1,),)))))</f>
        <v/>
      </c>
      <c r="P382" s="13">
        <f>IF(VLOOKUP(B382,Database!$A:$AV,MATCH($P$1,Database!$A$1:$AV$1,),)=0,"#N/A",((((VLOOKUP(B382,Database!$A:$AS,MATCH($P$1,Database!$A$1:$AS$1,),))))-(((VLOOKUP(EDATE(B382,-12),Database!$A:$AS,MATCH($P$1,Database!$A$1:$AS$1,),)))))/(((VLOOKUP(EDATE(B382,-12),Database!$A:$AS,MATCH($P$1,Database!$A$1:$AS$1,),)))))</f>
        <v/>
      </c>
      <c r="Q382" s="13">
        <f>IF(VLOOKUP(B382,Database!$A:$AV,MATCH($Q$1,Database!$A$1:$AV$1,),)=0,"#N/A",((((VLOOKUP(B382,Database!$A:$AS,MATCH($Q$1,Database!$A$1:$AS$1,),))))-(((VLOOKUP(EDATE(B382,-12),Database!$A:$AS,MATCH($Q$1,Database!$A$1:$AS$1,),)))))/(((VLOOKUP(EDATE(B382,-12),Database!$A:$AS,MATCH($Q$1,Database!$A$1:$AS$1,),)))))</f>
        <v/>
      </c>
      <c r="R382" s="13">
        <f>IF(VLOOKUP(B382,Database!$A:$AV,MATCH($R$1,Database!$A$1:$AV$1,),)=0,"#N/A",((((VLOOKUP(B382,Database!$A:$AS,MATCH($R$1,Database!$A$1:$AS$1,),))))-(((VLOOKUP(EDATE(B382,-12),Database!$A:$AS,MATCH($R$1,Database!$A$1:$AS$1,),)))))/(((VLOOKUP(EDATE(B382,-12),Database!$A:$AS,MATCH($R$1,Database!$A$1:$AS$1,),)))))</f>
        <v/>
      </c>
      <c r="S382" s="13">
        <f>IF(VLOOKUP(B382,Database!$A:$AV,MATCH($S$1,Database!$A$1:$AV$1,),)=0,"#N/A",((((VLOOKUP(B382,Database!$A:$AS,MATCH($S$1,Database!$A$1:$AS$1,),))))-(((VLOOKUP(EDATE(B382,-12),Database!$A:$AS,MATCH($S$1,Database!$A$1:$AS$1,),)))))/(((VLOOKUP(EDATE(B382,-12),Database!$A:$AS,MATCH($S$1,Database!$A$1:$AS$1,),)))))</f>
        <v/>
      </c>
      <c r="T382" s="13">
        <f>IF(VLOOKUP(B382,Database!$A:$AV,MATCH($T$1,Database!$A$1:$AV$1,),)=0,"#N/A",((((VLOOKUP(B382,Database!$A:$AS,MATCH($T$1,Database!$A$1:$AS$1,),))))-(((VLOOKUP(EDATE(B382,-12),Database!$A:$AS,MATCH($T$1,Database!$A$1:$AS$1,),)))))/(((VLOOKUP(EDATE(B382,-12),Database!$A:$AS,MATCH($T$1,Database!$A$1:$AS$1,),)))))</f>
        <v/>
      </c>
      <c r="U382" s="13">
        <f>IF(VLOOKUP(B382,Database!$A:$AV,MATCH($U$1,Database!$A$1:$AV$1,),)=0,"#N/A",((((VLOOKUP(B382,Database!$A:$AS,MATCH($U$1,Database!$A$1:$AS$1,),))))-(((VLOOKUP(EDATE(B382,-12),Database!$A:$AS,MATCH($U$1,Database!$A$1:$AS$1,),)))))/(((VLOOKUP(EDATE(B382,-12),Database!$A:$AS,MATCH($U$1,Database!$A$1:$AS$1,),)))))</f>
        <v/>
      </c>
      <c r="V382" s="13">
        <f>IF(VLOOKUP(B382,Database!$A:$AV,MATCH($V$1,Database!$A$1:$AV$1,),)=0,"#N/A",((((VLOOKUP(B382,Database!$A:$AS,MATCH($V$1,Database!$A$1:$AS$1,),))))-(((VLOOKUP(EDATE(B382,-12),Database!$A:$AS,MATCH($V$1,Database!$A$1:$AS$1,),)))))/(((VLOOKUP(EDATE(B382,-12),Database!$A:$AS,MATCH($V$1,Database!$A$1:$AS$1,),)))))</f>
        <v/>
      </c>
    </row>
    <row r="383" customFormat="1" s="86">
      <c r="B383" s="75" t="n">
        <v>43800</v>
      </c>
      <c r="C383" s="13">
        <f>IF(VLOOKUP(B383,Database!$A:$AU,MATCH($C$1,Database!$A$1:$AU$1,),)=0,"#N/A",((((VLOOKUP(B383,Database!$A:$AU,MATCH($C$1,Database!$A$1:$AU$1,),))))-(((VLOOKUP(EDATE(B383,-12),Database!$A:$AU,MATCH($C$1,Database!$A$1:$AU$1,),)))))/(((VLOOKUP(EDATE(B383,-12),Database!$A:$AU,MATCH($C$1,Database!$A$1:$AU$1,),)))))</f>
        <v/>
      </c>
      <c r="D383" s="13">
        <f>IF(VLOOKUP(B383,Database!$A:$AV,MATCH($D$1,Database!$A$1:$AV$1,),)=0,"#N/A",((((VLOOKUP(B383,Database!$A:$AS,MATCH($D$1,Database!$A$1:$AS$1,),))))-(((VLOOKUP(EDATE(B383,-12),Database!$A:$AS,MATCH($D$1,Database!$A$1:$AS$1,),)))))/(((VLOOKUP(EDATE(B383,-12),Database!$A:$AS,MATCH($D$1,Database!$A$1:$AS$1,),)))))</f>
        <v/>
      </c>
      <c r="E383" s="13">
        <f>IF(VLOOKUP(B383,Database!$A:$AV,MATCH($E$1,Database!$A$1:$AV$1,),)=0,"#N/A",((((VLOOKUP(B383,Database!$A:$AS,MATCH($E$1,Database!$A$1:$AS$1,),))))-(((VLOOKUP(EDATE(B383,-12),Database!$A:$AS,MATCH($E$1,Database!$A$1:$AS$1,),)))))/(((VLOOKUP(EDATE(B383,-12),Database!$A:$AS,MATCH($E$1,Database!$A$1:$AS$1,),)))))</f>
        <v/>
      </c>
      <c r="F383" s="13">
        <f>IF(VLOOKUP(B383,Database!$A:$AV,MATCH($F$1,Database!$A$1:$AV$1,),)=0,"#N/A",((((VLOOKUP(B383,Database!$A:$AS,MATCH($F$1,Database!$A$1:$AS$1,),))))-(((VLOOKUP(EDATE(B383,-12),Database!$A:$AS,MATCH($F$1,Database!$A$1:$AS$1,),)))))/(((VLOOKUP(EDATE(B383,-12),Database!$A:$AS,MATCH($F$1,Database!$A$1:$AS$1,),)))))</f>
        <v/>
      </c>
      <c r="G383" s="13">
        <f>IF(VLOOKUP(B383,Database!$A:$AV,MATCH($G$1,Database!$A$1:$AV$1,),)=0,"#N/A",((((VLOOKUP(B383,Database!$A:$AS,MATCH($G$1,Database!$A$1:$AS$1,),))))-(((VLOOKUP(EDATE(B383,-12),Database!$A:$AS,MATCH($G$1,Database!$A$1:$AS$1,),)))))/(((VLOOKUP(EDATE(B383,-12),Database!$A:$AS,MATCH($G$1,Database!$A$1:$AS$1,),)))))</f>
        <v/>
      </c>
      <c r="H383" s="13">
        <f>IF(VLOOKUP(B383,Database!$A:$AV,MATCH($H$1,Database!$A$1:$AV$1,),)=0,"#N/A",((((VLOOKUP(B383,Database!$A:$AS,MATCH($H$1,Database!$A$1:$AS$1,),))))-(((VLOOKUP(EDATE(B383,-12),Database!$A:$AS,MATCH($H$1,Database!$A$1:$AS$1,),)))))/(((VLOOKUP(EDATE(B383,-12),Database!$A:$AS,MATCH($H$1,Database!$A$1:$AS$1,),)))))</f>
        <v/>
      </c>
      <c r="I383" s="13">
        <f>IF(VLOOKUP(B383,Database!$A:$AV,MATCH($I$1,Database!$A$1:$AV$1,),)=0,"#N/A",((((VLOOKUP(B383,Database!$A:$AS,MATCH($I$1,Database!$A$1:$AS$1,),))))-(((VLOOKUP(EDATE(B383,-12),Database!$A:$AS,MATCH($I$1,Database!$A$1:$AS$1,),)))))/(((VLOOKUP(EDATE(B383,-12),Database!$A:$AS,MATCH($I$1,Database!$A$1:$AS$1,),)))))</f>
        <v/>
      </c>
      <c r="J383" s="13">
        <f>IF(VLOOKUP(B383,Database!$A:$AV,MATCH($J$1,Database!$A$1:$AV$1,),)=0,"#N/A",((((VLOOKUP(B383,Database!$A:$AS,MATCH($J$1,Database!$A$1:$AS$1,),))))-(((VLOOKUP(EDATE(B383,-12),Database!$A:$AS,MATCH($J$1,Database!$A$1:$AS$1,),)))))/(((VLOOKUP(EDATE(B383,-12),Database!$A:$AS,MATCH($J$1,Database!$A$1:$AS$1,),)))))</f>
        <v/>
      </c>
      <c r="K383" s="13">
        <f>IF(VLOOKUP(B383,Database!$A:$AV,MATCH($K$1,Database!$A$1:$AV$1,),)=0,"#N/A",((((VLOOKUP(B383,Database!$A:$AS,MATCH($K$1,Database!$A$1:$AS$1,),))))-(((VLOOKUP(EDATE(B383,-12),Database!$A:$AS,MATCH($K$1,Database!$A$1:$AS$1,),)))))/(((VLOOKUP(EDATE(B383,-12),Database!$A:$AS,MATCH($K$1,Database!$A$1:$AS$1,),)))))</f>
        <v/>
      </c>
      <c r="L383" s="13" t="n"/>
      <c r="M383" s="13" t="n"/>
      <c r="N383" s="13" t="n"/>
      <c r="O383" s="13">
        <f>IF(VLOOKUP(B383,Database!$A:$AV,MATCH($O$1,Database!$A$1:$AV$1,),)=0,"#N/A",((((VLOOKUP(B383,Database!$A:$AS,MATCH($O$1,Database!$A$1:$AS$1,),))))-(((VLOOKUP(EDATE(B383,-12),Database!$A:$AS,MATCH($O$1,Database!$A$1:$AS$1,),)))))/(((VLOOKUP(EDATE(B383,-12),Database!$A:$AS,MATCH($O$1,Database!$A$1:$AS$1,),)))))</f>
        <v/>
      </c>
      <c r="P383" s="13">
        <f>IF(VLOOKUP(B383,Database!$A:$AV,MATCH($P$1,Database!$A$1:$AV$1,),)=0,"#N/A",((((VLOOKUP(B383,Database!$A:$AS,MATCH($P$1,Database!$A$1:$AS$1,),))))-(((VLOOKUP(EDATE(B383,-12),Database!$A:$AS,MATCH($P$1,Database!$A$1:$AS$1,),)))))/(((VLOOKUP(EDATE(B383,-12),Database!$A:$AS,MATCH($P$1,Database!$A$1:$AS$1,),)))))</f>
        <v/>
      </c>
      <c r="Q383" s="13">
        <f>IF(VLOOKUP(B383,Database!$A:$AV,MATCH($Q$1,Database!$A$1:$AV$1,),)=0,"#N/A",((((VLOOKUP(B383,Database!$A:$AS,MATCH($Q$1,Database!$A$1:$AS$1,),))))-(((VLOOKUP(EDATE(B383,-12),Database!$A:$AS,MATCH($Q$1,Database!$A$1:$AS$1,),)))))/(((VLOOKUP(EDATE(B383,-12),Database!$A:$AS,MATCH($Q$1,Database!$A$1:$AS$1,),)))))</f>
        <v/>
      </c>
      <c r="R383" s="13">
        <f>IF(VLOOKUP(B383,Database!$A:$AV,MATCH($R$1,Database!$A$1:$AV$1,),)=0,"#N/A",((((VLOOKUP(B383,Database!$A:$AS,MATCH($R$1,Database!$A$1:$AS$1,),))))-(((VLOOKUP(EDATE(B383,-12),Database!$A:$AS,MATCH($R$1,Database!$A$1:$AS$1,),)))))/(((VLOOKUP(EDATE(B383,-12),Database!$A:$AS,MATCH($R$1,Database!$A$1:$AS$1,),)))))</f>
        <v/>
      </c>
      <c r="S383" s="13">
        <f>IF(VLOOKUP(B383,Database!$A:$AV,MATCH($S$1,Database!$A$1:$AV$1,),)=0,"#N/A",((((VLOOKUP(B383,Database!$A:$AS,MATCH($S$1,Database!$A$1:$AS$1,),))))-(((VLOOKUP(EDATE(B383,-12),Database!$A:$AS,MATCH($S$1,Database!$A$1:$AS$1,),)))))/(((VLOOKUP(EDATE(B383,-12),Database!$A:$AS,MATCH($S$1,Database!$A$1:$AS$1,),)))))</f>
        <v/>
      </c>
      <c r="T383" s="13">
        <f>IF(VLOOKUP(B383,Database!$A:$AV,MATCH($T$1,Database!$A$1:$AV$1,),)=0,"#N/A",((((VLOOKUP(B383,Database!$A:$AS,MATCH($T$1,Database!$A$1:$AS$1,),))))-(((VLOOKUP(EDATE(B383,-12),Database!$A:$AS,MATCH($T$1,Database!$A$1:$AS$1,),)))))/(((VLOOKUP(EDATE(B383,-12),Database!$A:$AS,MATCH($T$1,Database!$A$1:$AS$1,),)))))</f>
        <v/>
      </c>
      <c r="U383" s="13">
        <f>IF(VLOOKUP(B383,Database!$A:$AV,MATCH($U$1,Database!$A$1:$AV$1,),)=0,"#N/A",((((VLOOKUP(B383,Database!$A:$AS,MATCH($U$1,Database!$A$1:$AS$1,),))))-(((VLOOKUP(EDATE(B383,-12),Database!$A:$AS,MATCH($U$1,Database!$A$1:$AS$1,),)))))/(((VLOOKUP(EDATE(B383,-12),Database!$A:$AS,MATCH($U$1,Database!$A$1:$AS$1,),)))))</f>
        <v/>
      </c>
      <c r="V383" s="13">
        <f>IF(VLOOKUP(B383,Database!$A:$AV,MATCH($V$1,Database!$A$1:$AV$1,),)=0,"#N/A",((((VLOOKUP(B383,Database!$A:$AS,MATCH($V$1,Database!$A$1:$AS$1,),))))-(((VLOOKUP(EDATE(B383,-12),Database!$A:$AS,MATCH($V$1,Database!$A$1:$AS$1,),)))))/(((VLOOKUP(EDATE(B383,-12),Database!$A:$AS,MATCH($V$1,Database!$A$1:$AS$1,),)))))</f>
        <v/>
      </c>
    </row>
    <row r="384" customFormat="1" s="86">
      <c r="B384" s="75" t="n">
        <v>43831</v>
      </c>
      <c r="C384" s="13">
        <f>IF(VLOOKUP(B384,Database!$A:$AU,MATCH($C$1,Database!$A$1:$AU$1,),)=0,"#N/A",((((VLOOKUP(B384,Database!$A:$AU,MATCH($C$1,Database!$A$1:$AU$1,),))))-(((VLOOKUP(EDATE(B384,-12),Database!$A:$AU,MATCH($C$1,Database!$A$1:$AU$1,),)))))/(((VLOOKUP(EDATE(B384,-12),Database!$A:$AU,MATCH($C$1,Database!$A$1:$AU$1,),)))))</f>
        <v/>
      </c>
      <c r="D384" s="13">
        <f>IF(VLOOKUP(B384,Database!$A:$AV,MATCH($D$1,Database!$A$1:$AV$1,),)=0,"#N/A",((((VLOOKUP(B384,Database!$A:$AS,MATCH($D$1,Database!$A$1:$AS$1,),))))-(((VLOOKUP(EDATE(B384,-12),Database!$A:$AS,MATCH($D$1,Database!$A$1:$AS$1,),)))))/(((VLOOKUP(EDATE(B384,-12),Database!$A:$AS,MATCH($D$1,Database!$A$1:$AS$1,),)))))</f>
        <v/>
      </c>
      <c r="E384" s="13">
        <f>IF(VLOOKUP(B384,Database!$A:$AV,MATCH($E$1,Database!$A$1:$AV$1,),)=0,"#N/A",((((VLOOKUP(B384,Database!$A:$AS,MATCH($E$1,Database!$A$1:$AS$1,),))))-(((VLOOKUP(EDATE(B384,-12),Database!$A:$AS,MATCH($E$1,Database!$A$1:$AS$1,),)))))/(((VLOOKUP(EDATE(B384,-12),Database!$A:$AS,MATCH($E$1,Database!$A$1:$AS$1,),)))))</f>
        <v/>
      </c>
      <c r="F384" s="13">
        <f>IF(VLOOKUP(B384,Database!$A:$AV,MATCH($F$1,Database!$A$1:$AV$1,),)=0,"#N/A",((((VLOOKUP(B384,Database!$A:$AS,MATCH($F$1,Database!$A$1:$AS$1,),))))-(((VLOOKUP(EDATE(B384,-12),Database!$A:$AS,MATCH($F$1,Database!$A$1:$AS$1,),)))))/(((VLOOKUP(EDATE(B384,-12),Database!$A:$AS,MATCH($F$1,Database!$A$1:$AS$1,),)))))</f>
        <v/>
      </c>
      <c r="G384" s="13">
        <f>IF(VLOOKUP(B384,Database!$A:$AV,MATCH($G$1,Database!$A$1:$AV$1,),)=0,"#N/A",((((VLOOKUP(B384,Database!$A:$AS,MATCH($G$1,Database!$A$1:$AS$1,),))))-(((VLOOKUP(EDATE(B384,-12),Database!$A:$AS,MATCH($G$1,Database!$A$1:$AS$1,),)))))/(((VLOOKUP(EDATE(B384,-12),Database!$A:$AS,MATCH($G$1,Database!$A$1:$AS$1,),)))))</f>
        <v/>
      </c>
      <c r="H384" s="13">
        <f>IF(VLOOKUP(B384,Database!$A:$AV,MATCH($H$1,Database!$A$1:$AV$1,),)=0,"#N/A",((((VLOOKUP(B384,Database!$A:$AS,MATCH($H$1,Database!$A$1:$AS$1,),))))-(((VLOOKUP(EDATE(B384,-12),Database!$A:$AS,MATCH($H$1,Database!$A$1:$AS$1,),)))))/(((VLOOKUP(EDATE(B384,-12),Database!$A:$AS,MATCH($H$1,Database!$A$1:$AS$1,),)))))</f>
        <v/>
      </c>
      <c r="I384" s="13">
        <f>IF(VLOOKUP(B384,Database!$A:$AV,MATCH($I$1,Database!$A$1:$AV$1,),)=0,"#N/A",((((VLOOKUP(B384,Database!$A:$AS,MATCH($I$1,Database!$A$1:$AS$1,),))))-(((VLOOKUP(EDATE(B384,-12),Database!$A:$AS,MATCH($I$1,Database!$A$1:$AS$1,),)))))/(((VLOOKUP(EDATE(B384,-12),Database!$A:$AS,MATCH($I$1,Database!$A$1:$AS$1,),)))))</f>
        <v/>
      </c>
      <c r="J384" s="13">
        <f>IF(VLOOKUP(B384,Database!$A:$AV,MATCH($J$1,Database!$A$1:$AV$1,),)=0,"#N/A",((((VLOOKUP(B384,Database!$A:$AS,MATCH($J$1,Database!$A$1:$AS$1,),))))-(((VLOOKUP(EDATE(B384,-12),Database!$A:$AS,MATCH($J$1,Database!$A$1:$AS$1,),)))))/(((VLOOKUP(EDATE(B384,-12),Database!$A:$AS,MATCH($J$1,Database!$A$1:$AS$1,),)))))</f>
        <v/>
      </c>
      <c r="K384" s="13">
        <f>IF(VLOOKUP(B384,Database!$A:$AV,MATCH($K$1,Database!$A$1:$AV$1,),)=0,"#N/A",((((VLOOKUP(B384,Database!$A:$AS,MATCH($K$1,Database!$A$1:$AS$1,),))))-(((VLOOKUP(EDATE(B384,-12),Database!$A:$AS,MATCH($K$1,Database!$A$1:$AS$1,),)))))/(((VLOOKUP(EDATE(B384,-12),Database!$A:$AS,MATCH($K$1,Database!$A$1:$AS$1,),)))))</f>
        <v/>
      </c>
      <c r="L384" s="13" t="n"/>
      <c r="M384" s="13" t="n"/>
      <c r="N384" s="13" t="n"/>
      <c r="O384" s="13">
        <f>IF(VLOOKUP(B384,Database!$A:$AV,MATCH($O$1,Database!$A$1:$AV$1,),)=0,"#N/A",((((VLOOKUP(B384,Database!$A:$AS,MATCH($O$1,Database!$A$1:$AS$1,),))))-(((VLOOKUP(EDATE(B384,-12),Database!$A:$AS,MATCH($O$1,Database!$A$1:$AS$1,),)))))/(((VLOOKUP(EDATE(B384,-12),Database!$A:$AS,MATCH($O$1,Database!$A$1:$AS$1,),)))))</f>
        <v/>
      </c>
      <c r="P384" s="13">
        <f>IF(VLOOKUP(B384,Database!$A:$AV,MATCH($P$1,Database!$A$1:$AV$1,),)=0,"#N/A",((((VLOOKUP(B384,Database!$A:$AS,MATCH($P$1,Database!$A$1:$AS$1,),))))-(((VLOOKUP(EDATE(B384,-12),Database!$A:$AS,MATCH($P$1,Database!$A$1:$AS$1,),)))))/(((VLOOKUP(EDATE(B384,-12),Database!$A:$AS,MATCH($P$1,Database!$A$1:$AS$1,),)))))</f>
        <v/>
      </c>
      <c r="Q384" s="13">
        <f>IF(VLOOKUP(B384,Database!$A:$AV,MATCH($Q$1,Database!$A$1:$AV$1,),)=0,"#N/A",((((VLOOKUP(B384,Database!$A:$AS,MATCH($Q$1,Database!$A$1:$AS$1,),))))-(((VLOOKUP(EDATE(B384,-12),Database!$A:$AS,MATCH($Q$1,Database!$A$1:$AS$1,),)))))/(((VLOOKUP(EDATE(B384,-12),Database!$A:$AS,MATCH($Q$1,Database!$A$1:$AS$1,),)))))</f>
        <v/>
      </c>
      <c r="R384" s="13">
        <f>IF(VLOOKUP(B384,Database!$A:$AV,MATCH($R$1,Database!$A$1:$AV$1,),)=0,"#N/A",((((VLOOKUP(B384,Database!$A:$AS,MATCH($R$1,Database!$A$1:$AS$1,),))))-(((VLOOKUP(EDATE(B384,-12),Database!$A:$AS,MATCH($R$1,Database!$A$1:$AS$1,),)))))/(((VLOOKUP(EDATE(B384,-12),Database!$A:$AS,MATCH($R$1,Database!$A$1:$AS$1,),)))))</f>
        <v/>
      </c>
      <c r="S384" s="13">
        <f>IF(VLOOKUP(B384,Database!$A:$AV,MATCH($S$1,Database!$A$1:$AV$1,),)=0,"#N/A",((((VLOOKUP(B384,Database!$A:$AS,MATCH($S$1,Database!$A$1:$AS$1,),))))-(((VLOOKUP(EDATE(B384,-12),Database!$A:$AS,MATCH($S$1,Database!$A$1:$AS$1,),)))))/(((VLOOKUP(EDATE(B384,-12),Database!$A:$AS,MATCH($S$1,Database!$A$1:$AS$1,),)))))</f>
        <v/>
      </c>
      <c r="T384" s="13">
        <f>IF(VLOOKUP(B384,Database!$A:$AV,MATCH($T$1,Database!$A$1:$AV$1,),)=0,"#N/A",((((VLOOKUP(B384,Database!$A:$AS,MATCH($T$1,Database!$A$1:$AS$1,),))))-(((VLOOKUP(EDATE(B384,-12),Database!$A:$AS,MATCH($T$1,Database!$A$1:$AS$1,),)))))/(((VLOOKUP(EDATE(B384,-12),Database!$A:$AS,MATCH($T$1,Database!$A$1:$AS$1,),)))))</f>
        <v/>
      </c>
      <c r="U384" s="13">
        <f>IF(VLOOKUP(B384,Database!$A:$AV,MATCH($U$1,Database!$A$1:$AV$1,),)=0,"#N/A",((((VLOOKUP(B384,Database!$A:$AS,MATCH($U$1,Database!$A$1:$AS$1,),))))-(((VLOOKUP(EDATE(B384,-12),Database!$A:$AS,MATCH($U$1,Database!$A$1:$AS$1,),)))))/(((VLOOKUP(EDATE(B384,-12),Database!$A:$AS,MATCH($U$1,Database!$A$1:$AS$1,),)))))</f>
        <v/>
      </c>
      <c r="V384" s="13">
        <f>IF(VLOOKUP(B384,Database!$A:$AV,MATCH($V$1,Database!$A$1:$AV$1,),)=0,"#N/A",((((VLOOKUP(B384,Database!$A:$AS,MATCH($V$1,Database!$A$1:$AS$1,),))))-(((VLOOKUP(EDATE(B384,-12),Database!$A:$AS,MATCH($V$1,Database!$A$1:$AS$1,),)))))/(((VLOOKUP(EDATE(B384,-12),Database!$A:$AS,MATCH($V$1,Database!$A$1:$AS$1,),)))))</f>
        <v/>
      </c>
    </row>
    <row r="385" customFormat="1" s="86">
      <c r="B385" s="75" t="n">
        <v>43862</v>
      </c>
      <c r="C385" s="13">
        <f>IF(VLOOKUP(B385,Database!$A:$AU,MATCH($C$1,Database!$A$1:$AU$1,),)=0,"#N/A",((((VLOOKUP(B385,Database!$A:$AU,MATCH($C$1,Database!$A$1:$AU$1,),))))-(((VLOOKUP(EDATE(B385,-12),Database!$A:$AU,MATCH($C$1,Database!$A$1:$AU$1,),)))))/(((VLOOKUP(EDATE(B385,-12),Database!$A:$AU,MATCH($C$1,Database!$A$1:$AU$1,),)))))</f>
        <v/>
      </c>
      <c r="D385" s="13">
        <f>IF(VLOOKUP(B385,Database!$A:$AV,MATCH($D$1,Database!$A$1:$AV$1,),)=0,"#N/A",((((VLOOKUP(B385,Database!$A:$AS,MATCH($D$1,Database!$A$1:$AS$1,),))))-(((VLOOKUP(EDATE(B385,-12),Database!$A:$AS,MATCH($D$1,Database!$A$1:$AS$1,),)))))/(((VLOOKUP(EDATE(B385,-12),Database!$A:$AS,MATCH($D$1,Database!$A$1:$AS$1,),)))))</f>
        <v/>
      </c>
      <c r="E385" s="13">
        <f>IF(VLOOKUP(B385,Database!$A:$AV,MATCH($E$1,Database!$A$1:$AV$1,),)=0,"#N/A",((((VLOOKUP(B385,Database!$A:$AS,MATCH($E$1,Database!$A$1:$AS$1,),))))-(((VLOOKUP(EDATE(B385,-12),Database!$A:$AS,MATCH($E$1,Database!$A$1:$AS$1,),)))))/(((VLOOKUP(EDATE(B385,-12),Database!$A:$AS,MATCH($E$1,Database!$A$1:$AS$1,),)))))</f>
        <v/>
      </c>
      <c r="F385" s="13">
        <f>IF(VLOOKUP(B385,Database!$A:$AV,MATCH($F$1,Database!$A$1:$AV$1,),)=0,"#N/A",((((VLOOKUP(B385,Database!$A:$AS,MATCH($F$1,Database!$A$1:$AS$1,),))))-(((VLOOKUP(EDATE(B385,-12),Database!$A:$AS,MATCH($F$1,Database!$A$1:$AS$1,),)))))/(((VLOOKUP(EDATE(B385,-12),Database!$A:$AS,MATCH($F$1,Database!$A$1:$AS$1,),)))))</f>
        <v/>
      </c>
      <c r="G385" s="13">
        <f>IF(VLOOKUP(B385,Database!$A:$AV,MATCH($G$1,Database!$A$1:$AV$1,),)=0,"#N/A",((((VLOOKUP(B385,Database!$A:$AS,MATCH($G$1,Database!$A$1:$AS$1,),))))-(((VLOOKUP(EDATE(B385,-12),Database!$A:$AS,MATCH($G$1,Database!$A$1:$AS$1,),)))))/(((VLOOKUP(EDATE(B385,-12),Database!$A:$AS,MATCH($G$1,Database!$A$1:$AS$1,),)))))</f>
        <v/>
      </c>
      <c r="H385" s="13">
        <f>IF(VLOOKUP(B385,Database!$A:$AV,MATCH($H$1,Database!$A$1:$AV$1,),)=0,"#N/A",((((VLOOKUP(B385,Database!$A:$AS,MATCH($H$1,Database!$A$1:$AS$1,),))))-(((VLOOKUP(EDATE(B385,-12),Database!$A:$AS,MATCH($H$1,Database!$A$1:$AS$1,),)))))/(((VLOOKUP(EDATE(B385,-12),Database!$A:$AS,MATCH($H$1,Database!$A$1:$AS$1,),)))))</f>
        <v/>
      </c>
      <c r="I385" s="13">
        <f>IF(VLOOKUP(B385,Database!$A:$AV,MATCH($I$1,Database!$A$1:$AV$1,),)=0,"#N/A",((((VLOOKUP(B385,Database!$A:$AS,MATCH($I$1,Database!$A$1:$AS$1,),))))-(((VLOOKUP(EDATE(B385,-12),Database!$A:$AS,MATCH($I$1,Database!$A$1:$AS$1,),)))))/(((VLOOKUP(EDATE(B385,-12),Database!$A:$AS,MATCH($I$1,Database!$A$1:$AS$1,),)))))</f>
        <v/>
      </c>
      <c r="J385" s="13">
        <f>IF(VLOOKUP(B385,Database!$A:$AV,MATCH($J$1,Database!$A$1:$AV$1,),)=0,"#N/A",((((VLOOKUP(B385,Database!$A:$AS,MATCH($J$1,Database!$A$1:$AS$1,),))))-(((VLOOKUP(EDATE(B385,-12),Database!$A:$AS,MATCH($J$1,Database!$A$1:$AS$1,),)))))/(((VLOOKUP(EDATE(B385,-12),Database!$A:$AS,MATCH($J$1,Database!$A$1:$AS$1,),)))))</f>
        <v/>
      </c>
      <c r="K385" s="13">
        <f>IF(VLOOKUP(B385,Database!$A:$AV,MATCH($K$1,Database!$A$1:$AV$1,),)=0,"#N/A",((((VLOOKUP(B385,Database!$A:$AS,MATCH($K$1,Database!$A$1:$AS$1,),))))-(((VLOOKUP(EDATE(B385,-12),Database!$A:$AS,MATCH($K$1,Database!$A$1:$AS$1,),)))))/(((VLOOKUP(EDATE(B385,-12),Database!$A:$AS,MATCH($K$1,Database!$A$1:$AS$1,),)))))</f>
        <v/>
      </c>
      <c r="L385" s="13" t="n"/>
      <c r="M385" s="13" t="n"/>
      <c r="N385" s="13" t="n"/>
      <c r="O385" s="13">
        <f>IF(VLOOKUP(B385,Database!$A:$AV,MATCH($O$1,Database!$A$1:$AV$1,),)=0,"#N/A",((((VLOOKUP(B385,Database!$A:$AS,MATCH($O$1,Database!$A$1:$AS$1,),))))-(((VLOOKUP(EDATE(B385,-12),Database!$A:$AS,MATCH($O$1,Database!$A$1:$AS$1,),)))))/(((VLOOKUP(EDATE(B385,-12),Database!$A:$AS,MATCH($O$1,Database!$A$1:$AS$1,),)))))</f>
        <v/>
      </c>
      <c r="P385" s="13">
        <f>IF(VLOOKUP(B385,Database!$A:$AV,MATCH($P$1,Database!$A$1:$AV$1,),)=0,"#N/A",((((VLOOKUP(B385,Database!$A:$AS,MATCH($P$1,Database!$A$1:$AS$1,),))))-(((VLOOKUP(EDATE(B385,-12),Database!$A:$AS,MATCH($P$1,Database!$A$1:$AS$1,),)))))/(((VLOOKUP(EDATE(B385,-12),Database!$A:$AS,MATCH($P$1,Database!$A$1:$AS$1,),)))))</f>
        <v/>
      </c>
      <c r="Q385" s="13">
        <f>IF(VLOOKUP(B385,Database!$A:$AV,MATCH($Q$1,Database!$A$1:$AV$1,),)=0,"#N/A",((((VLOOKUP(B385,Database!$A:$AS,MATCH($Q$1,Database!$A$1:$AS$1,),))))-(((VLOOKUP(EDATE(B385,-12),Database!$A:$AS,MATCH($Q$1,Database!$A$1:$AS$1,),)))))/(((VLOOKUP(EDATE(B385,-12),Database!$A:$AS,MATCH($Q$1,Database!$A$1:$AS$1,),)))))</f>
        <v/>
      </c>
      <c r="R385" s="13">
        <f>IF(VLOOKUP(B385,Database!$A:$AV,MATCH($R$1,Database!$A$1:$AV$1,),)=0,"#N/A",((((VLOOKUP(B385,Database!$A:$AS,MATCH($R$1,Database!$A$1:$AS$1,),))))-(((VLOOKUP(EDATE(B385,-12),Database!$A:$AS,MATCH($R$1,Database!$A$1:$AS$1,),)))))/(((VLOOKUP(EDATE(B385,-12),Database!$A:$AS,MATCH($R$1,Database!$A$1:$AS$1,),)))))</f>
        <v/>
      </c>
      <c r="S385" s="13">
        <f>IF(VLOOKUP(B385,Database!$A:$AV,MATCH($S$1,Database!$A$1:$AV$1,),)=0,"#N/A",((((VLOOKUP(B385,Database!$A:$AS,MATCH($S$1,Database!$A$1:$AS$1,),))))-(((VLOOKUP(EDATE(B385,-12),Database!$A:$AS,MATCH($S$1,Database!$A$1:$AS$1,),)))))/(((VLOOKUP(EDATE(B385,-12),Database!$A:$AS,MATCH($S$1,Database!$A$1:$AS$1,),)))))</f>
        <v/>
      </c>
      <c r="T385" s="13">
        <f>IF(VLOOKUP(B385,Database!$A:$AV,MATCH($T$1,Database!$A$1:$AV$1,),)=0,"#N/A",((((VLOOKUP(B385,Database!$A:$AS,MATCH($T$1,Database!$A$1:$AS$1,),))))-(((VLOOKUP(EDATE(B385,-12),Database!$A:$AS,MATCH($T$1,Database!$A$1:$AS$1,),)))))/(((VLOOKUP(EDATE(B385,-12),Database!$A:$AS,MATCH($T$1,Database!$A$1:$AS$1,),)))))</f>
        <v/>
      </c>
      <c r="U385" s="13">
        <f>IF(VLOOKUP(B385,Database!$A:$AV,MATCH($U$1,Database!$A$1:$AV$1,),)=0,"#N/A",((((VLOOKUP(B385,Database!$A:$AS,MATCH($U$1,Database!$A$1:$AS$1,),))))-(((VLOOKUP(EDATE(B385,-12),Database!$A:$AS,MATCH($U$1,Database!$A$1:$AS$1,),)))))/(((VLOOKUP(EDATE(B385,-12),Database!$A:$AS,MATCH($U$1,Database!$A$1:$AS$1,),)))))</f>
        <v/>
      </c>
      <c r="V385" s="13">
        <f>IF(VLOOKUP(B385,Database!$A:$AV,MATCH($V$1,Database!$A$1:$AV$1,),)=0,"#N/A",((((VLOOKUP(B385,Database!$A:$AS,MATCH($V$1,Database!$A$1:$AS$1,),))))-(((VLOOKUP(EDATE(B385,-12),Database!$A:$AS,MATCH($V$1,Database!$A$1:$AS$1,),)))))/(((VLOOKUP(EDATE(B385,-12),Database!$A:$AS,MATCH($V$1,Database!$A$1:$AS$1,),)))))</f>
        <v/>
      </c>
    </row>
    <row r="386" customFormat="1" s="86">
      <c r="B386" s="75" t="n">
        <v>43891</v>
      </c>
      <c r="C386" s="13">
        <f>IF(VLOOKUP(B386,Database!$A:$AU,MATCH($C$1,Database!$A$1:$AU$1,),)=0,"#N/A",((((VLOOKUP(B386,Database!$A:$AU,MATCH($C$1,Database!$A$1:$AU$1,),))))-(((VLOOKUP(EDATE(B386,-12),Database!$A:$AU,MATCH($C$1,Database!$A$1:$AU$1,),)))))/(((VLOOKUP(EDATE(B386,-12),Database!$A:$AU,MATCH($C$1,Database!$A$1:$AU$1,),)))))</f>
        <v/>
      </c>
      <c r="D386" s="13">
        <f>IF(VLOOKUP(B386,Database!$A:$AV,MATCH($D$1,Database!$A$1:$AV$1,),)=0,"#N/A",((((VLOOKUP(B386,Database!$A:$AS,MATCH($D$1,Database!$A$1:$AS$1,),))))-(((VLOOKUP(EDATE(B386,-12),Database!$A:$AS,MATCH($D$1,Database!$A$1:$AS$1,),)))))/(((VLOOKUP(EDATE(B386,-12),Database!$A:$AS,MATCH($D$1,Database!$A$1:$AS$1,),)))))</f>
        <v/>
      </c>
      <c r="E386" s="13">
        <f>IF(VLOOKUP(B386,Database!$A:$AV,MATCH($E$1,Database!$A$1:$AV$1,),)=0,"#N/A",((((VLOOKUP(B386,Database!$A:$AS,MATCH($E$1,Database!$A$1:$AS$1,),))))-(((VLOOKUP(EDATE(B386,-12),Database!$A:$AS,MATCH($E$1,Database!$A$1:$AS$1,),)))))/(((VLOOKUP(EDATE(B386,-12),Database!$A:$AS,MATCH($E$1,Database!$A$1:$AS$1,),)))))</f>
        <v/>
      </c>
      <c r="F386" s="13">
        <f>IF(VLOOKUP(B386,Database!$A:$AV,MATCH($F$1,Database!$A$1:$AV$1,),)=0,"#N/A",((((VLOOKUP(B386,Database!$A:$AS,MATCH($F$1,Database!$A$1:$AS$1,),))))-(((VLOOKUP(EDATE(B386,-12),Database!$A:$AS,MATCH($F$1,Database!$A$1:$AS$1,),)))))/(((VLOOKUP(EDATE(B386,-12),Database!$A:$AS,MATCH($F$1,Database!$A$1:$AS$1,),)))))</f>
        <v/>
      </c>
      <c r="G386" s="13">
        <f>IF(VLOOKUP(B386,Database!$A:$AV,MATCH($G$1,Database!$A$1:$AV$1,),)=0,"#N/A",((((VLOOKUP(B386,Database!$A:$AS,MATCH($G$1,Database!$A$1:$AS$1,),))))-(((VLOOKUP(EDATE(B386,-12),Database!$A:$AS,MATCH($G$1,Database!$A$1:$AS$1,),)))))/(((VLOOKUP(EDATE(B386,-12),Database!$A:$AS,MATCH($G$1,Database!$A$1:$AS$1,),)))))</f>
        <v/>
      </c>
      <c r="H386" s="13">
        <f>IF(VLOOKUP(B386,Database!$A:$AV,MATCH($H$1,Database!$A$1:$AV$1,),)=0,"#N/A",((((VLOOKUP(B386,Database!$A:$AS,MATCH($H$1,Database!$A$1:$AS$1,),))))-(((VLOOKUP(EDATE(B386,-12),Database!$A:$AS,MATCH($H$1,Database!$A$1:$AS$1,),)))))/(((VLOOKUP(EDATE(B386,-12),Database!$A:$AS,MATCH($H$1,Database!$A$1:$AS$1,),)))))</f>
        <v/>
      </c>
      <c r="I386" s="13">
        <f>IF(VLOOKUP(B386,Database!$A:$AV,MATCH($I$1,Database!$A$1:$AV$1,),)=0,"#N/A",((((VLOOKUP(B386,Database!$A:$AS,MATCH($I$1,Database!$A$1:$AS$1,),))))-(((VLOOKUP(EDATE(B386,-12),Database!$A:$AS,MATCH($I$1,Database!$A$1:$AS$1,),)))))/(((VLOOKUP(EDATE(B386,-12),Database!$A:$AS,MATCH($I$1,Database!$A$1:$AS$1,),)))))</f>
        <v/>
      </c>
      <c r="J386" s="13">
        <f>IF(VLOOKUP(B386,Database!$A:$AV,MATCH($J$1,Database!$A$1:$AV$1,),)=0,"#N/A",((((VLOOKUP(B386,Database!$A:$AS,MATCH($J$1,Database!$A$1:$AS$1,),))))-(((VLOOKUP(EDATE(B386,-12),Database!$A:$AS,MATCH($J$1,Database!$A$1:$AS$1,),)))))/(((VLOOKUP(EDATE(B386,-12),Database!$A:$AS,MATCH($J$1,Database!$A$1:$AS$1,),)))))</f>
        <v/>
      </c>
      <c r="K386" s="13">
        <f>IF(VLOOKUP(B386,Database!$A:$AV,MATCH($K$1,Database!$A$1:$AV$1,),)=0,"#N/A",((((VLOOKUP(B386,Database!$A:$AS,MATCH($K$1,Database!$A$1:$AS$1,),))))-(((VLOOKUP(EDATE(B386,-12),Database!$A:$AS,MATCH($K$1,Database!$A$1:$AS$1,),)))))/(((VLOOKUP(EDATE(B386,-12),Database!$A:$AS,MATCH($K$1,Database!$A$1:$AS$1,),)))))</f>
        <v/>
      </c>
      <c r="L386" s="13" t="n"/>
      <c r="M386" s="13" t="n"/>
      <c r="N386" s="13" t="n"/>
      <c r="O386" s="13">
        <f>IF(VLOOKUP(B386,Database!$A:$AV,MATCH($O$1,Database!$A$1:$AV$1,),)=0,"#N/A",((((VLOOKUP(B386,Database!$A:$AS,MATCH($O$1,Database!$A$1:$AS$1,),))))-(((VLOOKUP(EDATE(B386,-12),Database!$A:$AS,MATCH($O$1,Database!$A$1:$AS$1,),)))))/(((VLOOKUP(EDATE(B386,-12),Database!$A:$AS,MATCH($O$1,Database!$A$1:$AS$1,),)))))</f>
        <v/>
      </c>
      <c r="P386" s="13">
        <f>IF(VLOOKUP(B386,Database!$A:$AV,MATCH($P$1,Database!$A$1:$AV$1,),)=0,"#N/A",((((VLOOKUP(B386,Database!$A:$AS,MATCH($P$1,Database!$A$1:$AS$1,),))))-(((VLOOKUP(EDATE(B386,-12),Database!$A:$AS,MATCH($P$1,Database!$A$1:$AS$1,),)))))/(((VLOOKUP(EDATE(B386,-12),Database!$A:$AS,MATCH($P$1,Database!$A$1:$AS$1,),)))))</f>
        <v/>
      </c>
      <c r="Q386" s="13">
        <f>IF(VLOOKUP(B386,Database!$A:$AV,MATCH($Q$1,Database!$A$1:$AV$1,),)=0,"#N/A",((((VLOOKUP(B386,Database!$A:$AS,MATCH($Q$1,Database!$A$1:$AS$1,),))))-(((VLOOKUP(EDATE(B386,-12),Database!$A:$AS,MATCH($Q$1,Database!$A$1:$AS$1,),)))))/(((VLOOKUP(EDATE(B386,-12),Database!$A:$AS,MATCH($Q$1,Database!$A$1:$AS$1,),)))))</f>
        <v/>
      </c>
      <c r="R386" s="13">
        <f>IF(VLOOKUP(B386,Database!$A:$AV,MATCH($R$1,Database!$A$1:$AV$1,),)=0,"#N/A",((((VLOOKUP(B386,Database!$A:$AS,MATCH($R$1,Database!$A$1:$AS$1,),))))-(((VLOOKUP(EDATE(B386,-12),Database!$A:$AS,MATCH($R$1,Database!$A$1:$AS$1,),)))))/(((VLOOKUP(EDATE(B386,-12),Database!$A:$AS,MATCH($R$1,Database!$A$1:$AS$1,),)))))</f>
        <v/>
      </c>
      <c r="S386" s="13">
        <f>IF(VLOOKUP(B386,Database!$A:$AV,MATCH($S$1,Database!$A$1:$AV$1,),)=0,"#N/A",((((VLOOKUP(B386,Database!$A:$AS,MATCH($S$1,Database!$A$1:$AS$1,),))))-(((VLOOKUP(EDATE(B386,-12),Database!$A:$AS,MATCH($S$1,Database!$A$1:$AS$1,),)))))/(((VLOOKUP(EDATE(B386,-12),Database!$A:$AS,MATCH($S$1,Database!$A$1:$AS$1,),)))))</f>
        <v/>
      </c>
      <c r="T386" s="13">
        <f>IF(VLOOKUP(B386,Database!$A:$AV,MATCH($T$1,Database!$A$1:$AV$1,),)=0,"#N/A",((((VLOOKUP(B386,Database!$A:$AS,MATCH($T$1,Database!$A$1:$AS$1,),))))-(((VLOOKUP(EDATE(B386,-12),Database!$A:$AS,MATCH($T$1,Database!$A$1:$AS$1,),)))))/(((VLOOKUP(EDATE(B386,-12),Database!$A:$AS,MATCH($T$1,Database!$A$1:$AS$1,),)))))</f>
        <v/>
      </c>
      <c r="U386" s="13">
        <f>IF(VLOOKUP(B386,Database!$A:$AV,MATCH($U$1,Database!$A$1:$AV$1,),)=0,"#N/A",((((VLOOKUP(B386,Database!$A:$AS,MATCH($U$1,Database!$A$1:$AS$1,),))))-(((VLOOKUP(EDATE(B386,-12),Database!$A:$AS,MATCH($U$1,Database!$A$1:$AS$1,),)))))/(((VLOOKUP(EDATE(B386,-12),Database!$A:$AS,MATCH($U$1,Database!$A$1:$AS$1,),)))))</f>
        <v/>
      </c>
      <c r="V386" s="13">
        <f>IF(VLOOKUP(B386,Database!$A:$AV,MATCH($V$1,Database!$A$1:$AV$1,),)=0,"#N/A",((((VLOOKUP(B386,Database!$A:$AS,MATCH($V$1,Database!$A$1:$AS$1,),))))-(((VLOOKUP(EDATE(B386,-12),Database!$A:$AS,MATCH($V$1,Database!$A$1:$AS$1,),)))))/(((VLOOKUP(EDATE(B386,-12),Database!$A:$AS,MATCH($V$1,Database!$A$1:$AS$1,),)))))</f>
        <v/>
      </c>
    </row>
    <row r="387" customFormat="1" s="86">
      <c r="B387" s="75" t="n">
        <v>43922</v>
      </c>
      <c r="C387" s="13">
        <f>IF(VLOOKUP(B387,Database!$A:$AU,MATCH($C$1,Database!$A$1:$AU$1,),)=0,"#N/A",((((VLOOKUP(B387,Database!$A:$AU,MATCH($C$1,Database!$A$1:$AU$1,),))))-(((VLOOKUP(EDATE(B387,-12),Database!$A:$AU,MATCH($C$1,Database!$A$1:$AU$1,),)))))/(((VLOOKUP(EDATE(B387,-12),Database!$A:$AU,MATCH($C$1,Database!$A$1:$AU$1,),)))))</f>
        <v/>
      </c>
      <c r="D387" s="13">
        <f>IF(VLOOKUP(B387,Database!$A:$AV,MATCH($D$1,Database!$A$1:$AV$1,),)=0,"#N/A",((((VLOOKUP(B387,Database!$A:$AS,MATCH($D$1,Database!$A$1:$AS$1,),))))-(((VLOOKUP(EDATE(B387,-12),Database!$A:$AS,MATCH($D$1,Database!$A$1:$AS$1,),)))))/(((VLOOKUP(EDATE(B387,-12),Database!$A:$AS,MATCH($D$1,Database!$A$1:$AS$1,),)))))</f>
        <v/>
      </c>
      <c r="E387" s="13">
        <f>IF(VLOOKUP(B387,Database!$A:$AV,MATCH($E$1,Database!$A$1:$AV$1,),)=0,"#N/A",((((VLOOKUP(B387,Database!$A:$AS,MATCH($E$1,Database!$A$1:$AS$1,),))))-(((VLOOKUP(EDATE(B387,-12),Database!$A:$AS,MATCH($E$1,Database!$A$1:$AS$1,),)))))/(((VLOOKUP(EDATE(B387,-12),Database!$A:$AS,MATCH($E$1,Database!$A$1:$AS$1,),)))))</f>
        <v/>
      </c>
      <c r="F387" s="13">
        <f>IF(VLOOKUP(B387,Database!$A:$AV,MATCH($F$1,Database!$A$1:$AV$1,),)=0,"#N/A",((((VLOOKUP(B387,Database!$A:$AS,MATCH($F$1,Database!$A$1:$AS$1,),))))-(((VLOOKUP(EDATE(B387,-12),Database!$A:$AS,MATCH($F$1,Database!$A$1:$AS$1,),)))))/(((VLOOKUP(EDATE(B387,-12),Database!$A:$AS,MATCH($F$1,Database!$A$1:$AS$1,),)))))</f>
        <v/>
      </c>
      <c r="G387" s="13">
        <f>IF(VLOOKUP(B387,Database!$A:$AV,MATCH($G$1,Database!$A$1:$AV$1,),)=0,"#N/A",((((VLOOKUP(B387,Database!$A:$AS,MATCH($G$1,Database!$A$1:$AS$1,),))))-(((VLOOKUP(EDATE(B387,-12),Database!$A:$AS,MATCH($G$1,Database!$A$1:$AS$1,),)))))/(((VLOOKUP(EDATE(B387,-12),Database!$A:$AS,MATCH($G$1,Database!$A$1:$AS$1,),)))))</f>
        <v/>
      </c>
      <c r="H387" s="13">
        <f>IF(VLOOKUP(B387,Database!$A:$AV,MATCH($H$1,Database!$A$1:$AV$1,),)=0,"#N/A",((((VLOOKUP(B387,Database!$A:$AS,MATCH($H$1,Database!$A$1:$AS$1,),))))-(((VLOOKUP(EDATE(B387,-12),Database!$A:$AS,MATCH($H$1,Database!$A$1:$AS$1,),)))))/(((VLOOKUP(EDATE(B387,-12),Database!$A:$AS,MATCH($H$1,Database!$A$1:$AS$1,),)))))</f>
        <v/>
      </c>
      <c r="I387" s="13">
        <f>IF(VLOOKUP(B387,Database!$A:$AV,MATCH($I$1,Database!$A$1:$AV$1,),)=0,"#N/A",((((VLOOKUP(B387,Database!$A:$AS,MATCH($I$1,Database!$A$1:$AS$1,),))))-(((VLOOKUP(EDATE(B387,-12),Database!$A:$AS,MATCH($I$1,Database!$A$1:$AS$1,),)))))/(((VLOOKUP(EDATE(B387,-12),Database!$A:$AS,MATCH($I$1,Database!$A$1:$AS$1,),)))))</f>
        <v/>
      </c>
      <c r="J387" s="13">
        <f>IF(VLOOKUP(B387,Database!$A:$AV,MATCH($J$1,Database!$A$1:$AV$1,),)=0,"#N/A",((((VLOOKUP(B387,Database!$A:$AS,MATCH($J$1,Database!$A$1:$AS$1,),))))-(((VLOOKUP(EDATE(B387,-12),Database!$A:$AS,MATCH($J$1,Database!$A$1:$AS$1,),)))))/(((VLOOKUP(EDATE(B387,-12),Database!$A:$AS,MATCH($J$1,Database!$A$1:$AS$1,),)))))</f>
        <v/>
      </c>
      <c r="K387" s="13">
        <f>IF(VLOOKUP(B387,Database!$A:$AV,MATCH($K$1,Database!$A$1:$AV$1,),)=0,"#N/A",((((VLOOKUP(B387,Database!$A:$AS,MATCH($K$1,Database!$A$1:$AS$1,),))))-(((VLOOKUP(EDATE(B387,-12),Database!$A:$AS,MATCH($K$1,Database!$A$1:$AS$1,),)))))/(((VLOOKUP(EDATE(B387,-12),Database!$A:$AS,MATCH($K$1,Database!$A$1:$AS$1,),)))))</f>
        <v/>
      </c>
      <c r="L387" s="13" t="n"/>
      <c r="M387" s="13" t="n"/>
      <c r="N387" s="13" t="n"/>
      <c r="O387" s="13">
        <f>IF(VLOOKUP(B387,Database!$A:$AV,MATCH($O$1,Database!$A$1:$AV$1,),)=0,"#N/A",((((VLOOKUP(B387,Database!$A:$AS,MATCH($O$1,Database!$A$1:$AS$1,),))))-(((VLOOKUP(EDATE(B387,-12),Database!$A:$AS,MATCH($O$1,Database!$A$1:$AS$1,),)))))/(((VLOOKUP(EDATE(B387,-12),Database!$A:$AS,MATCH($O$1,Database!$A$1:$AS$1,),)))))</f>
        <v/>
      </c>
      <c r="P387" s="13">
        <f>IF(VLOOKUP(B387,Database!$A:$AV,MATCH($P$1,Database!$A$1:$AV$1,),)=0,"#N/A",((((VLOOKUP(B387,Database!$A:$AS,MATCH($P$1,Database!$A$1:$AS$1,),))))-(((VLOOKUP(EDATE(B387,-12),Database!$A:$AS,MATCH($P$1,Database!$A$1:$AS$1,),)))))/(((VLOOKUP(EDATE(B387,-12),Database!$A:$AS,MATCH($P$1,Database!$A$1:$AS$1,),)))))</f>
        <v/>
      </c>
      <c r="Q387" s="13">
        <f>IF(VLOOKUP(B387,Database!$A:$AV,MATCH($Q$1,Database!$A$1:$AV$1,),)=0,"#N/A",((((VLOOKUP(B387,Database!$A:$AS,MATCH($Q$1,Database!$A$1:$AS$1,),))))-(((VLOOKUP(EDATE(B387,-12),Database!$A:$AS,MATCH($Q$1,Database!$A$1:$AS$1,),)))))/(((VLOOKUP(EDATE(B387,-12),Database!$A:$AS,MATCH($Q$1,Database!$A$1:$AS$1,),)))))</f>
        <v/>
      </c>
      <c r="R387" s="13">
        <f>IF(VLOOKUP(B387,Database!$A:$AV,MATCH($R$1,Database!$A$1:$AV$1,),)=0,"#N/A",((((VLOOKUP(B387,Database!$A:$AS,MATCH($R$1,Database!$A$1:$AS$1,),))))-(((VLOOKUP(EDATE(B387,-12),Database!$A:$AS,MATCH($R$1,Database!$A$1:$AS$1,),)))))/(((VLOOKUP(EDATE(B387,-12),Database!$A:$AS,MATCH($R$1,Database!$A$1:$AS$1,),)))))</f>
        <v/>
      </c>
      <c r="S387" s="13">
        <f>IF(VLOOKUP(B387,Database!$A:$AV,MATCH($S$1,Database!$A$1:$AV$1,),)=0,"#N/A",((((VLOOKUP(B387,Database!$A:$AS,MATCH($S$1,Database!$A$1:$AS$1,),))))-(((VLOOKUP(EDATE(B387,-12),Database!$A:$AS,MATCH($S$1,Database!$A$1:$AS$1,),)))))/(((VLOOKUP(EDATE(B387,-12),Database!$A:$AS,MATCH($S$1,Database!$A$1:$AS$1,),)))))</f>
        <v/>
      </c>
      <c r="T387" s="13">
        <f>IF(VLOOKUP(B387,Database!$A:$AV,MATCH($T$1,Database!$A$1:$AV$1,),)=0,"#N/A",((((VLOOKUP(B387,Database!$A:$AS,MATCH($T$1,Database!$A$1:$AS$1,),))))-(((VLOOKUP(EDATE(B387,-12),Database!$A:$AS,MATCH($T$1,Database!$A$1:$AS$1,),)))))/(((VLOOKUP(EDATE(B387,-12),Database!$A:$AS,MATCH($T$1,Database!$A$1:$AS$1,),)))))</f>
        <v/>
      </c>
      <c r="U387" s="13">
        <f>IF(VLOOKUP(B387,Database!$A:$AV,MATCH($U$1,Database!$A$1:$AV$1,),)=0,"#N/A",((((VLOOKUP(B387,Database!$A:$AS,MATCH($U$1,Database!$A$1:$AS$1,),))))-(((VLOOKUP(EDATE(B387,-12),Database!$A:$AS,MATCH($U$1,Database!$A$1:$AS$1,),)))))/(((VLOOKUP(EDATE(B387,-12),Database!$A:$AS,MATCH($U$1,Database!$A$1:$AS$1,),)))))</f>
        <v/>
      </c>
      <c r="V387" s="13">
        <f>IF(VLOOKUP(B387,Database!$A:$AV,MATCH($V$1,Database!$A$1:$AV$1,),)=0,"#N/A",((((VLOOKUP(B387,Database!$A:$AS,MATCH($V$1,Database!$A$1:$AS$1,),))))-(((VLOOKUP(EDATE(B387,-12),Database!$A:$AS,MATCH($V$1,Database!$A$1:$AS$1,),)))))/(((VLOOKUP(EDATE(B387,-12),Database!$A:$AS,MATCH($V$1,Database!$A$1:$AS$1,),)))))</f>
        <v/>
      </c>
    </row>
    <row r="388" customFormat="1" s="86">
      <c r="B388" s="75" t="n">
        <v>43952</v>
      </c>
      <c r="C388" s="13">
        <f>IF(VLOOKUP(B388,Database!$A:$AU,MATCH($C$1,Database!$A$1:$AU$1,),)=0,"#N/A",((((VLOOKUP(B388,Database!$A:$AU,MATCH($C$1,Database!$A$1:$AU$1,),))))-(((VLOOKUP(EDATE(B388,-12),Database!$A:$AU,MATCH($C$1,Database!$A$1:$AU$1,),)))))/(((VLOOKUP(EDATE(B388,-12),Database!$A:$AU,MATCH($C$1,Database!$A$1:$AU$1,),)))))</f>
        <v/>
      </c>
      <c r="D388" s="13">
        <f>IF(VLOOKUP(B388,Database!$A:$AV,MATCH($D$1,Database!$A$1:$AV$1,),)=0,"#N/A",((((VLOOKUP(B388,Database!$A:$AS,MATCH($D$1,Database!$A$1:$AS$1,),))))-(((VLOOKUP(EDATE(B388,-12),Database!$A:$AS,MATCH($D$1,Database!$A$1:$AS$1,),)))))/(((VLOOKUP(EDATE(B388,-12),Database!$A:$AS,MATCH($D$1,Database!$A$1:$AS$1,),)))))</f>
        <v/>
      </c>
      <c r="E388" s="13">
        <f>IF(VLOOKUP(B388,Database!$A:$AV,MATCH($E$1,Database!$A$1:$AV$1,),)=0,"#N/A",((((VLOOKUP(B388,Database!$A:$AS,MATCH($E$1,Database!$A$1:$AS$1,),))))-(((VLOOKUP(EDATE(B388,-12),Database!$A:$AS,MATCH($E$1,Database!$A$1:$AS$1,),)))))/(((VLOOKUP(EDATE(B388,-12),Database!$A:$AS,MATCH($E$1,Database!$A$1:$AS$1,),)))))</f>
        <v/>
      </c>
      <c r="F388" s="13">
        <f>IF(VLOOKUP(B388,Database!$A:$AV,MATCH($F$1,Database!$A$1:$AV$1,),)=0,"#N/A",((((VLOOKUP(B388,Database!$A:$AS,MATCH($F$1,Database!$A$1:$AS$1,),))))-(((VLOOKUP(EDATE(B388,-12),Database!$A:$AS,MATCH($F$1,Database!$A$1:$AS$1,),)))))/(((VLOOKUP(EDATE(B388,-12),Database!$A:$AS,MATCH($F$1,Database!$A$1:$AS$1,),)))))</f>
        <v/>
      </c>
      <c r="G388" s="13">
        <f>IF(VLOOKUP(B388,Database!$A:$AV,MATCH($G$1,Database!$A$1:$AV$1,),)=0,"#N/A",((((VLOOKUP(B388,Database!$A:$AS,MATCH($G$1,Database!$A$1:$AS$1,),))))-(((VLOOKUP(EDATE(B388,-12),Database!$A:$AS,MATCH($G$1,Database!$A$1:$AS$1,),)))))/(((VLOOKUP(EDATE(B388,-12),Database!$A:$AS,MATCH($G$1,Database!$A$1:$AS$1,),)))))</f>
        <v/>
      </c>
      <c r="H388" s="13">
        <f>IF(VLOOKUP(B388,Database!$A:$AV,MATCH($H$1,Database!$A$1:$AV$1,),)=0,"#N/A",((((VLOOKUP(B388,Database!$A:$AS,MATCH($H$1,Database!$A$1:$AS$1,),))))-(((VLOOKUP(EDATE(B388,-12),Database!$A:$AS,MATCH($H$1,Database!$A$1:$AS$1,),)))))/(((VLOOKUP(EDATE(B388,-12),Database!$A:$AS,MATCH($H$1,Database!$A$1:$AS$1,),)))))</f>
        <v/>
      </c>
      <c r="I388" s="13">
        <f>IF(VLOOKUP(B388,Database!$A:$AV,MATCH($I$1,Database!$A$1:$AV$1,),)=0,"#N/A",((((VLOOKUP(B388,Database!$A:$AS,MATCH($I$1,Database!$A$1:$AS$1,),))))-(((VLOOKUP(EDATE(B388,-12),Database!$A:$AS,MATCH($I$1,Database!$A$1:$AS$1,),)))))/(((VLOOKUP(EDATE(B388,-12),Database!$A:$AS,MATCH($I$1,Database!$A$1:$AS$1,),)))))</f>
        <v/>
      </c>
      <c r="J388" s="13">
        <f>IF(VLOOKUP(B388,Database!$A:$AV,MATCH($J$1,Database!$A$1:$AV$1,),)=0,"#N/A",((((VLOOKUP(B388,Database!$A:$AS,MATCH($J$1,Database!$A$1:$AS$1,),))))-(((VLOOKUP(EDATE(B388,-12),Database!$A:$AS,MATCH($J$1,Database!$A$1:$AS$1,),)))))/(((VLOOKUP(EDATE(B388,-12),Database!$A:$AS,MATCH($J$1,Database!$A$1:$AS$1,),)))))</f>
        <v/>
      </c>
      <c r="K388" s="13">
        <f>IF(VLOOKUP(B388,Database!$A:$AV,MATCH($K$1,Database!$A$1:$AV$1,),)=0,"#N/A",((((VLOOKUP(B388,Database!$A:$AS,MATCH($K$1,Database!$A$1:$AS$1,),))))-(((VLOOKUP(EDATE(B388,-12),Database!$A:$AS,MATCH($K$1,Database!$A$1:$AS$1,),)))))/(((VLOOKUP(EDATE(B388,-12),Database!$A:$AS,MATCH($K$1,Database!$A$1:$AS$1,),)))))</f>
        <v/>
      </c>
      <c r="L388" s="13" t="n"/>
      <c r="M388" s="13" t="n"/>
      <c r="N388" s="13" t="n"/>
      <c r="O388" s="13">
        <f>IF(VLOOKUP(B388,Database!$A:$AV,MATCH($O$1,Database!$A$1:$AV$1,),)=0,"#N/A",((((VLOOKUP(B388,Database!$A:$AS,MATCH($O$1,Database!$A$1:$AS$1,),))))-(((VLOOKUP(EDATE(B388,-12),Database!$A:$AS,MATCH($O$1,Database!$A$1:$AS$1,),)))))/(((VLOOKUP(EDATE(B388,-12),Database!$A:$AS,MATCH($O$1,Database!$A$1:$AS$1,),)))))</f>
        <v/>
      </c>
      <c r="P388" s="13">
        <f>IF(VLOOKUP(B388,Database!$A:$AV,MATCH($P$1,Database!$A$1:$AV$1,),)=0,"#N/A",((((VLOOKUP(B388,Database!$A:$AS,MATCH($P$1,Database!$A$1:$AS$1,),))))-(((VLOOKUP(EDATE(B388,-12),Database!$A:$AS,MATCH($P$1,Database!$A$1:$AS$1,),)))))/(((VLOOKUP(EDATE(B388,-12),Database!$A:$AS,MATCH($P$1,Database!$A$1:$AS$1,),)))))</f>
        <v/>
      </c>
      <c r="Q388" s="13">
        <f>IF(VLOOKUP(B388,Database!$A:$AV,MATCH($Q$1,Database!$A$1:$AV$1,),)=0,"#N/A",((((VLOOKUP(B388,Database!$A:$AS,MATCH($Q$1,Database!$A$1:$AS$1,),))))-(((VLOOKUP(EDATE(B388,-12),Database!$A:$AS,MATCH($Q$1,Database!$A$1:$AS$1,),)))))/(((VLOOKUP(EDATE(B388,-12),Database!$A:$AS,MATCH($Q$1,Database!$A$1:$AS$1,),)))))</f>
        <v/>
      </c>
      <c r="R388" s="13">
        <f>IF(VLOOKUP(B388,Database!$A:$AV,MATCH($R$1,Database!$A$1:$AV$1,),)=0,"#N/A",((((VLOOKUP(B388,Database!$A:$AS,MATCH($R$1,Database!$A$1:$AS$1,),))))-(((VLOOKUP(EDATE(B388,-12),Database!$A:$AS,MATCH($R$1,Database!$A$1:$AS$1,),)))))/(((VLOOKUP(EDATE(B388,-12),Database!$A:$AS,MATCH($R$1,Database!$A$1:$AS$1,),)))))</f>
        <v/>
      </c>
      <c r="S388" s="13">
        <f>IF(VLOOKUP(B388,Database!$A:$AV,MATCH($S$1,Database!$A$1:$AV$1,),)=0,"#N/A",((((VLOOKUP(B388,Database!$A:$AS,MATCH($S$1,Database!$A$1:$AS$1,),))))-(((VLOOKUP(EDATE(B388,-12),Database!$A:$AS,MATCH($S$1,Database!$A$1:$AS$1,),)))))/(((VLOOKUP(EDATE(B388,-12),Database!$A:$AS,MATCH($S$1,Database!$A$1:$AS$1,),)))))</f>
        <v/>
      </c>
      <c r="T388" s="13">
        <f>IF(VLOOKUP(B388,Database!$A:$AV,MATCH($T$1,Database!$A$1:$AV$1,),)=0,"#N/A",((((VLOOKUP(B388,Database!$A:$AS,MATCH($T$1,Database!$A$1:$AS$1,),))))-(((VLOOKUP(EDATE(B388,-12),Database!$A:$AS,MATCH($T$1,Database!$A$1:$AS$1,),)))))/(((VLOOKUP(EDATE(B388,-12),Database!$A:$AS,MATCH($T$1,Database!$A$1:$AS$1,),)))))</f>
        <v/>
      </c>
      <c r="U388" s="13">
        <f>IF(VLOOKUP(B388,Database!$A:$AV,MATCH($U$1,Database!$A$1:$AV$1,),)=0,"#N/A",((((VLOOKUP(B388,Database!$A:$AS,MATCH($U$1,Database!$A$1:$AS$1,),))))-(((VLOOKUP(EDATE(B388,-12),Database!$A:$AS,MATCH($U$1,Database!$A$1:$AS$1,),)))))/(((VLOOKUP(EDATE(B388,-12),Database!$A:$AS,MATCH($U$1,Database!$A$1:$AS$1,),)))))</f>
        <v/>
      </c>
      <c r="V388" s="13">
        <f>IF(VLOOKUP(B388,Database!$A:$AV,MATCH($V$1,Database!$A$1:$AV$1,),)=0,"#N/A",((((VLOOKUP(B388,Database!$A:$AS,MATCH($V$1,Database!$A$1:$AS$1,),))))-(((VLOOKUP(EDATE(B388,-12),Database!$A:$AS,MATCH($V$1,Database!$A$1:$AS$1,),)))))/(((VLOOKUP(EDATE(B388,-12),Database!$A:$AS,MATCH($V$1,Database!$A$1:$AS$1,),)))))</f>
        <v/>
      </c>
    </row>
    <row r="389" customFormat="1" s="86">
      <c r="B389" s="75" t="n">
        <v>43983</v>
      </c>
      <c r="C389" s="13">
        <f>IF(VLOOKUP(B389,Database!$A:$AU,MATCH($C$1,Database!$A$1:$AU$1,),)=0,"#N/A",((((VLOOKUP(B389,Database!$A:$AU,MATCH($C$1,Database!$A$1:$AU$1,),))))-(((VLOOKUP(EDATE(B389,-12),Database!$A:$AU,MATCH($C$1,Database!$A$1:$AU$1,),)))))/(((VLOOKUP(EDATE(B389,-12),Database!$A:$AU,MATCH($C$1,Database!$A$1:$AU$1,),)))))</f>
        <v/>
      </c>
      <c r="D389" s="13">
        <f>IF(VLOOKUP(B389,Database!$A:$AV,MATCH($D$1,Database!$A$1:$AV$1,),)=0,"#N/A",((((VLOOKUP(B389,Database!$A:$AS,MATCH($D$1,Database!$A$1:$AS$1,),))))-(((VLOOKUP(EDATE(B389,-12),Database!$A:$AS,MATCH($D$1,Database!$A$1:$AS$1,),)))))/(((VLOOKUP(EDATE(B389,-12),Database!$A:$AS,MATCH($D$1,Database!$A$1:$AS$1,),)))))</f>
        <v/>
      </c>
      <c r="E389" s="13">
        <f>IF(VLOOKUP(B389,Database!$A:$AV,MATCH($E$1,Database!$A$1:$AV$1,),)=0,"#N/A",((((VLOOKUP(B389,Database!$A:$AS,MATCH($E$1,Database!$A$1:$AS$1,),))))-(((VLOOKUP(EDATE(B389,-12),Database!$A:$AS,MATCH($E$1,Database!$A$1:$AS$1,),)))))/(((VLOOKUP(EDATE(B389,-12),Database!$A:$AS,MATCH($E$1,Database!$A$1:$AS$1,),)))))</f>
        <v/>
      </c>
      <c r="F389" s="13">
        <f>IF(VLOOKUP(B389,Database!$A:$AV,MATCH($F$1,Database!$A$1:$AV$1,),)=0,"#N/A",((((VLOOKUP(B389,Database!$A:$AS,MATCH($F$1,Database!$A$1:$AS$1,),))))-(((VLOOKUP(EDATE(B389,-12),Database!$A:$AS,MATCH($F$1,Database!$A$1:$AS$1,),)))))/(((VLOOKUP(EDATE(B389,-12),Database!$A:$AS,MATCH($F$1,Database!$A$1:$AS$1,),)))))</f>
        <v/>
      </c>
      <c r="G389" s="13">
        <f>IF(VLOOKUP(B389,Database!$A:$AV,MATCH($G$1,Database!$A$1:$AV$1,),)=0,"#N/A",((((VLOOKUP(B389,Database!$A:$AS,MATCH($G$1,Database!$A$1:$AS$1,),))))-(((VLOOKUP(EDATE(B389,-12),Database!$A:$AS,MATCH($G$1,Database!$A$1:$AS$1,),)))))/(((VLOOKUP(EDATE(B389,-12),Database!$A:$AS,MATCH($G$1,Database!$A$1:$AS$1,),)))))</f>
        <v/>
      </c>
      <c r="H389" s="13">
        <f>IF(VLOOKUP(B389,Database!$A:$AV,MATCH($H$1,Database!$A$1:$AV$1,),)=0,"#N/A",((((VLOOKUP(B389,Database!$A:$AS,MATCH($H$1,Database!$A$1:$AS$1,),))))-(((VLOOKUP(EDATE(B389,-12),Database!$A:$AS,MATCH($H$1,Database!$A$1:$AS$1,),)))))/(((VLOOKUP(EDATE(B389,-12),Database!$A:$AS,MATCH($H$1,Database!$A$1:$AS$1,),)))))</f>
        <v/>
      </c>
      <c r="I389" s="13">
        <f>IF(VLOOKUP(B389,Database!$A:$AV,MATCH($I$1,Database!$A$1:$AV$1,),)=0,"#N/A",((((VLOOKUP(B389,Database!$A:$AS,MATCH($I$1,Database!$A$1:$AS$1,),))))-(((VLOOKUP(EDATE(B389,-12),Database!$A:$AS,MATCH($I$1,Database!$A$1:$AS$1,),)))))/(((VLOOKUP(EDATE(B389,-12),Database!$A:$AS,MATCH($I$1,Database!$A$1:$AS$1,),)))))</f>
        <v/>
      </c>
      <c r="J389" s="13">
        <f>IF(VLOOKUP(B389,Database!$A:$AV,MATCH($J$1,Database!$A$1:$AV$1,),)=0,"#N/A",((((VLOOKUP(B389,Database!$A:$AS,MATCH($J$1,Database!$A$1:$AS$1,),))))-(((VLOOKUP(EDATE(B389,-12),Database!$A:$AS,MATCH($J$1,Database!$A$1:$AS$1,),)))))/(((VLOOKUP(EDATE(B389,-12),Database!$A:$AS,MATCH($J$1,Database!$A$1:$AS$1,),)))))</f>
        <v/>
      </c>
      <c r="K389" s="13">
        <f>IF(VLOOKUP(B389,Database!$A:$AV,MATCH($K$1,Database!$A$1:$AV$1,),)=0,"#N/A",((((VLOOKUP(B389,Database!$A:$AS,MATCH($K$1,Database!$A$1:$AS$1,),))))-(((VLOOKUP(EDATE(B389,-12),Database!$A:$AS,MATCH($K$1,Database!$A$1:$AS$1,),)))))/(((VLOOKUP(EDATE(B389,-12),Database!$A:$AS,MATCH($K$1,Database!$A$1:$AS$1,),)))))</f>
        <v/>
      </c>
      <c r="L389" s="13" t="n"/>
      <c r="M389" s="13" t="n"/>
      <c r="N389" s="13" t="n"/>
      <c r="O389" s="13">
        <f>IF(VLOOKUP(B389,Database!$A:$AV,MATCH($O$1,Database!$A$1:$AV$1,),)=0,"#N/A",((((VLOOKUP(B389,Database!$A:$AS,MATCH($O$1,Database!$A$1:$AS$1,),))))-(((VLOOKUP(EDATE(B389,-12),Database!$A:$AS,MATCH($O$1,Database!$A$1:$AS$1,),)))))/(((VLOOKUP(EDATE(B389,-12),Database!$A:$AS,MATCH($O$1,Database!$A$1:$AS$1,),)))))</f>
        <v/>
      </c>
      <c r="P389" s="13">
        <f>IF(VLOOKUP(B389,Database!$A:$AV,MATCH($P$1,Database!$A$1:$AV$1,),)=0,"#N/A",((((VLOOKUP(B389,Database!$A:$AS,MATCH($P$1,Database!$A$1:$AS$1,),))))-(((VLOOKUP(EDATE(B389,-12),Database!$A:$AS,MATCH($P$1,Database!$A$1:$AS$1,),)))))/(((VLOOKUP(EDATE(B389,-12),Database!$A:$AS,MATCH($P$1,Database!$A$1:$AS$1,),)))))</f>
        <v/>
      </c>
      <c r="Q389" s="13">
        <f>IF(VLOOKUP(B389,Database!$A:$AV,MATCH($Q$1,Database!$A$1:$AV$1,),)=0,"#N/A",((((VLOOKUP(B389,Database!$A:$AS,MATCH($Q$1,Database!$A$1:$AS$1,),))))-(((VLOOKUP(EDATE(B389,-12),Database!$A:$AS,MATCH($Q$1,Database!$A$1:$AS$1,),)))))/(((VLOOKUP(EDATE(B389,-12),Database!$A:$AS,MATCH($Q$1,Database!$A$1:$AS$1,),)))))</f>
        <v/>
      </c>
      <c r="R389" s="13">
        <f>IF(VLOOKUP(B389,Database!$A:$AV,MATCH($R$1,Database!$A$1:$AV$1,),)=0,"#N/A",((((VLOOKUP(B389,Database!$A:$AS,MATCH($R$1,Database!$A$1:$AS$1,),))))-(((VLOOKUP(EDATE(B389,-12),Database!$A:$AS,MATCH($R$1,Database!$A$1:$AS$1,),)))))/(((VLOOKUP(EDATE(B389,-12),Database!$A:$AS,MATCH($R$1,Database!$A$1:$AS$1,),)))))</f>
        <v/>
      </c>
      <c r="S389" s="13">
        <f>IF(VLOOKUP(B389,Database!$A:$AV,MATCH($S$1,Database!$A$1:$AV$1,),)=0,"#N/A",((((VLOOKUP(B389,Database!$A:$AS,MATCH($S$1,Database!$A$1:$AS$1,),))))-(((VLOOKUP(EDATE(B389,-12),Database!$A:$AS,MATCH($S$1,Database!$A$1:$AS$1,),)))))/(((VLOOKUP(EDATE(B389,-12),Database!$A:$AS,MATCH($S$1,Database!$A$1:$AS$1,),)))))</f>
        <v/>
      </c>
      <c r="T389" s="13">
        <f>IF(VLOOKUP(B389,Database!$A:$AV,MATCH($T$1,Database!$A$1:$AV$1,),)=0,"#N/A",((((VLOOKUP(B389,Database!$A:$AS,MATCH($T$1,Database!$A$1:$AS$1,),))))-(((VLOOKUP(EDATE(B389,-12),Database!$A:$AS,MATCH($T$1,Database!$A$1:$AS$1,),)))))/(((VLOOKUP(EDATE(B389,-12),Database!$A:$AS,MATCH($T$1,Database!$A$1:$AS$1,),)))))</f>
        <v/>
      </c>
      <c r="U389" s="13">
        <f>IF(VLOOKUP(B389,Database!$A:$AV,MATCH($U$1,Database!$A$1:$AV$1,),)=0,"#N/A",((((VLOOKUP(B389,Database!$A:$AS,MATCH($U$1,Database!$A$1:$AS$1,),))))-(((VLOOKUP(EDATE(B389,-12),Database!$A:$AS,MATCH($U$1,Database!$A$1:$AS$1,),)))))/(((VLOOKUP(EDATE(B389,-12),Database!$A:$AS,MATCH($U$1,Database!$A$1:$AS$1,),)))))</f>
        <v/>
      </c>
      <c r="V389" s="13">
        <f>IF(VLOOKUP(B389,Database!$A:$AV,MATCH($V$1,Database!$A$1:$AV$1,),)=0,"#N/A",((((VLOOKUP(B389,Database!$A:$AS,MATCH($V$1,Database!$A$1:$AS$1,),))))-(((VLOOKUP(EDATE(B389,-12),Database!$A:$AS,MATCH($V$1,Database!$A$1:$AS$1,),)))))/(((VLOOKUP(EDATE(B389,-12),Database!$A:$AS,MATCH($V$1,Database!$A$1:$AS$1,),)))))</f>
        <v/>
      </c>
    </row>
    <row r="390" customFormat="1" s="86">
      <c r="B390" s="75" t="n">
        <v>44013</v>
      </c>
      <c r="C390" s="13">
        <f>IF(VLOOKUP(B390,Database!$A:$AU,MATCH($C$1,Database!$A$1:$AU$1,),)=0,"#N/A",((((VLOOKUP(B390,Database!$A:$AU,MATCH($C$1,Database!$A$1:$AU$1,),))))-(((VLOOKUP(EDATE(B390,-12),Database!$A:$AU,MATCH($C$1,Database!$A$1:$AU$1,),)))))/(((VLOOKUP(EDATE(B390,-12),Database!$A:$AU,MATCH($C$1,Database!$A$1:$AU$1,),)))))</f>
        <v/>
      </c>
      <c r="D390" s="13">
        <f>IF(VLOOKUP(B390,Database!$A:$AV,MATCH($D$1,Database!$A$1:$AV$1,),)=0,"#N/A",((((VLOOKUP(B390,Database!$A:$AS,MATCH($D$1,Database!$A$1:$AS$1,),))))-(((VLOOKUP(EDATE(B390,-12),Database!$A:$AS,MATCH($D$1,Database!$A$1:$AS$1,),)))))/(((VLOOKUP(EDATE(B390,-12),Database!$A:$AS,MATCH($D$1,Database!$A$1:$AS$1,),)))))</f>
        <v/>
      </c>
      <c r="E390" s="13">
        <f>IF(VLOOKUP(B390,Database!$A:$AV,MATCH($E$1,Database!$A$1:$AV$1,),)=0,"#N/A",((((VLOOKUP(B390,Database!$A:$AS,MATCH($E$1,Database!$A$1:$AS$1,),))))-(((VLOOKUP(EDATE(B390,-12),Database!$A:$AS,MATCH($E$1,Database!$A$1:$AS$1,),)))))/(((VLOOKUP(EDATE(B390,-12),Database!$A:$AS,MATCH($E$1,Database!$A$1:$AS$1,),)))))</f>
        <v/>
      </c>
      <c r="F390" s="13">
        <f>IF(VLOOKUP(B390,Database!$A:$AV,MATCH($F$1,Database!$A$1:$AV$1,),)=0,"#N/A",((((VLOOKUP(B390,Database!$A:$AS,MATCH($F$1,Database!$A$1:$AS$1,),))))-(((VLOOKUP(EDATE(B390,-12),Database!$A:$AS,MATCH($F$1,Database!$A$1:$AS$1,),)))))/(((VLOOKUP(EDATE(B390,-12),Database!$A:$AS,MATCH($F$1,Database!$A$1:$AS$1,),)))))</f>
        <v/>
      </c>
      <c r="G390" s="13">
        <f>IF(VLOOKUP(B390,Database!$A:$AV,MATCH($G$1,Database!$A$1:$AV$1,),)=0,"#N/A",((((VLOOKUP(B390,Database!$A:$AS,MATCH($G$1,Database!$A$1:$AS$1,),))))-(((VLOOKUP(EDATE(B390,-12),Database!$A:$AS,MATCH($G$1,Database!$A$1:$AS$1,),)))))/(((VLOOKUP(EDATE(B390,-12),Database!$A:$AS,MATCH($G$1,Database!$A$1:$AS$1,),)))))</f>
        <v/>
      </c>
      <c r="H390" s="13">
        <f>IF(VLOOKUP(B390,Database!$A:$AV,MATCH($H$1,Database!$A$1:$AV$1,),)=0,"#N/A",((((VLOOKUP(B390,Database!$A:$AS,MATCH($H$1,Database!$A$1:$AS$1,),))))-(((VLOOKUP(EDATE(B390,-12),Database!$A:$AS,MATCH($H$1,Database!$A$1:$AS$1,),)))))/(((VLOOKUP(EDATE(B390,-12),Database!$A:$AS,MATCH($H$1,Database!$A$1:$AS$1,),)))))</f>
        <v/>
      </c>
      <c r="I390" s="13">
        <f>IF(VLOOKUP(B390,Database!$A:$AV,MATCH($I$1,Database!$A$1:$AV$1,),)=0,"#N/A",((((VLOOKUP(B390,Database!$A:$AS,MATCH($I$1,Database!$A$1:$AS$1,),))))-(((VLOOKUP(EDATE(B390,-12),Database!$A:$AS,MATCH($I$1,Database!$A$1:$AS$1,),)))))/(((VLOOKUP(EDATE(B390,-12),Database!$A:$AS,MATCH($I$1,Database!$A$1:$AS$1,),)))))</f>
        <v/>
      </c>
      <c r="J390" s="13">
        <f>IF(VLOOKUP(B390,Database!$A:$AV,MATCH($J$1,Database!$A$1:$AV$1,),)=0,"#N/A",((((VLOOKUP(B390,Database!$A:$AS,MATCH($J$1,Database!$A$1:$AS$1,),))))-(((VLOOKUP(EDATE(B390,-12),Database!$A:$AS,MATCH($J$1,Database!$A$1:$AS$1,),)))))/(((VLOOKUP(EDATE(B390,-12),Database!$A:$AS,MATCH($J$1,Database!$A$1:$AS$1,),)))))</f>
        <v/>
      </c>
      <c r="K390" s="13">
        <f>IF(VLOOKUP(B390,Database!$A:$AV,MATCH($K$1,Database!$A$1:$AV$1,),)=0,"#N/A",((((VLOOKUP(B390,Database!$A:$AS,MATCH($K$1,Database!$A$1:$AS$1,),))))-(((VLOOKUP(EDATE(B390,-12),Database!$A:$AS,MATCH($K$1,Database!$A$1:$AS$1,),)))))/(((VLOOKUP(EDATE(B390,-12),Database!$A:$AS,MATCH($K$1,Database!$A$1:$AS$1,),)))))</f>
        <v/>
      </c>
      <c r="L390" s="13" t="n"/>
      <c r="M390" s="13" t="n"/>
      <c r="N390" s="13" t="n"/>
      <c r="O390" s="13">
        <f>IF(VLOOKUP(B390,Database!$A:$AV,MATCH($O$1,Database!$A$1:$AV$1,),)=0,"#N/A",((((VLOOKUP(B390,Database!$A:$AS,MATCH($O$1,Database!$A$1:$AS$1,),))))-(((VLOOKUP(EDATE(B390,-12),Database!$A:$AS,MATCH($O$1,Database!$A$1:$AS$1,),)))))/(((VLOOKUP(EDATE(B390,-12),Database!$A:$AS,MATCH($O$1,Database!$A$1:$AS$1,),)))))</f>
        <v/>
      </c>
      <c r="P390" s="13">
        <f>IF(VLOOKUP(B390,Database!$A:$AV,MATCH($P$1,Database!$A$1:$AV$1,),)=0,"#N/A",((((VLOOKUP(B390,Database!$A:$AS,MATCH($P$1,Database!$A$1:$AS$1,),))))-(((VLOOKUP(EDATE(B390,-12),Database!$A:$AS,MATCH($P$1,Database!$A$1:$AS$1,),)))))/(((VLOOKUP(EDATE(B390,-12),Database!$A:$AS,MATCH($P$1,Database!$A$1:$AS$1,),)))))</f>
        <v/>
      </c>
      <c r="Q390" s="13">
        <f>IF(VLOOKUP(B390,Database!$A:$AV,MATCH($Q$1,Database!$A$1:$AV$1,),)=0,"#N/A",((((VLOOKUP(B390,Database!$A:$AS,MATCH($Q$1,Database!$A$1:$AS$1,),))))-(((VLOOKUP(EDATE(B390,-12),Database!$A:$AS,MATCH($Q$1,Database!$A$1:$AS$1,),)))))/(((VLOOKUP(EDATE(B390,-12),Database!$A:$AS,MATCH($Q$1,Database!$A$1:$AS$1,),)))))</f>
        <v/>
      </c>
      <c r="R390" s="13">
        <f>IF(VLOOKUP(B390,Database!$A:$AV,MATCH($R$1,Database!$A$1:$AV$1,),)=0,"#N/A",((((VLOOKUP(B390,Database!$A:$AS,MATCH($R$1,Database!$A$1:$AS$1,),))))-(((VLOOKUP(EDATE(B390,-12),Database!$A:$AS,MATCH($R$1,Database!$A$1:$AS$1,),)))))/(((VLOOKUP(EDATE(B390,-12),Database!$A:$AS,MATCH($R$1,Database!$A$1:$AS$1,),)))))</f>
        <v/>
      </c>
      <c r="S390" s="13">
        <f>IF(VLOOKUP(B390,Database!$A:$AV,MATCH($S$1,Database!$A$1:$AV$1,),)=0,"#N/A",((((VLOOKUP(B390,Database!$A:$AS,MATCH($S$1,Database!$A$1:$AS$1,),))))-(((VLOOKUP(EDATE(B390,-12),Database!$A:$AS,MATCH($S$1,Database!$A$1:$AS$1,),)))))/(((VLOOKUP(EDATE(B390,-12),Database!$A:$AS,MATCH($S$1,Database!$A$1:$AS$1,),)))))</f>
        <v/>
      </c>
      <c r="T390" s="13">
        <f>IF(VLOOKUP(B390,Database!$A:$AV,MATCH($T$1,Database!$A$1:$AV$1,),)=0,"#N/A",((((VLOOKUP(B390,Database!$A:$AS,MATCH($T$1,Database!$A$1:$AS$1,),))))-(((VLOOKUP(EDATE(B390,-12),Database!$A:$AS,MATCH($T$1,Database!$A$1:$AS$1,),)))))/(((VLOOKUP(EDATE(B390,-12),Database!$A:$AS,MATCH($T$1,Database!$A$1:$AS$1,),)))))</f>
        <v/>
      </c>
      <c r="U390" s="13">
        <f>IF(VLOOKUP(B390,Database!$A:$AV,MATCH($U$1,Database!$A$1:$AV$1,),)=0,"#N/A",((((VLOOKUP(B390,Database!$A:$AS,MATCH($U$1,Database!$A$1:$AS$1,),))))-(((VLOOKUP(EDATE(B390,-12),Database!$A:$AS,MATCH($U$1,Database!$A$1:$AS$1,),)))))/(((VLOOKUP(EDATE(B390,-12),Database!$A:$AS,MATCH($U$1,Database!$A$1:$AS$1,),)))))</f>
        <v/>
      </c>
      <c r="V390" s="13">
        <f>IF(VLOOKUP(B390,Database!$A:$AV,MATCH($V$1,Database!$A$1:$AV$1,),)=0,"#N/A",((((VLOOKUP(B390,Database!$A:$AS,MATCH($V$1,Database!$A$1:$AS$1,),))))-(((VLOOKUP(EDATE(B390,-12),Database!$A:$AS,MATCH($V$1,Database!$A$1:$AS$1,),)))))/(((VLOOKUP(EDATE(B390,-12),Database!$A:$AS,MATCH($V$1,Database!$A$1:$AS$1,),)))))</f>
        <v/>
      </c>
    </row>
    <row r="391" customFormat="1" s="86">
      <c r="B391" s="75" t="n">
        <v>44044</v>
      </c>
      <c r="C391" s="13">
        <f>IF(VLOOKUP(B391,Database!$A:$AU,MATCH($C$1,Database!$A$1:$AU$1,),)=0,"#N/A",((((VLOOKUP(B391,Database!$A:$AU,MATCH($C$1,Database!$A$1:$AU$1,),))))-(((VLOOKUP(EDATE(B391,-12),Database!$A:$AU,MATCH($C$1,Database!$A$1:$AU$1,),)))))/(((VLOOKUP(EDATE(B391,-12),Database!$A:$AU,MATCH($C$1,Database!$A$1:$AU$1,),)))))</f>
        <v/>
      </c>
      <c r="D391" s="13">
        <f>IF(VLOOKUP(B391,Database!$A:$AV,MATCH($D$1,Database!$A$1:$AV$1,),)=0,"#N/A",((((VLOOKUP(B391,Database!$A:$AS,MATCH($D$1,Database!$A$1:$AS$1,),))))-(((VLOOKUP(EDATE(B391,-12),Database!$A:$AS,MATCH($D$1,Database!$A$1:$AS$1,),)))))/(((VLOOKUP(EDATE(B391,-12),Database!$A:$AS,MATCH($D$1,Database!$A$1:$AS$1,),)))))</f>
        <v/>
      </c>
      <c r="E391" s="13">
        <f>IF(VLOOKUP(B391,Database!$A:$AV,MATCH($E$1,Database!$A$1:$AV$1,),)=0,"#N/A",((((VLOOKUP(B391,Database!$A:$AS,MATCH($E$1,Database!$A$1:$AS$1,),))))-(((VLOOKUP(EDATE(B391,-12),Database!$A:$AS,MATCH($E$1,Database!$A$1:$AS$1,),)))))/(((VLOOKUP(EDATE(B391,-12),Database!$A:$AS,MATCH($E$1,Database!$A$1:$AS$1,),)))))</f>
        <v/>
      </c>
      <c r="F391" s="13">
        <f>IF(VLOOKUP(B391,Database!$A:$AV,MATCH($F$1,Database!$A$1:$AV$1,),)=0,"#N/A",((((VLOOKUP(B391,Database!$A:$AS,MATCH($F$1,Database!$A$1:$AS$1,),))))-(((VLOOKUP(EDATE(B391,-12),Database!$A:$AS,MATCH($F$1,Database!$A$1:$AS$1,),)))))/(((VLOOKUP(EDATE(B391,-12),Database!$A:$AS,MATCH($F$1,Database!$A$1:$AS$1,),)))))</f>
        <v/>
      </c>
      <c r="G391" s="13">
        <f>IF(VLOOKUP(B391,Database!$A:$AV,MATCH($G$1,Database!$A$1:$AV$1,),)=0,"#N/A",((((VLOOKUP(B391,Database!$A:$AS,MATCH($G$1,Database!$A$1:$AS$1,),))))-(((VLOOKUP(EDATE(B391,-12),Database!$A:$AS,MATCH($G$1,Database!$A$1:$AS$1,),)))))/(((VLOOKUP(EDATE(B391,-12),Database!$A:$AS,MATCH($G$1,Database!$A$1:$AS$1,),)))))</f>
        <v/>
      </c>
      <c r="H391" s="13">
        <f>IF(VLOOKUP(B391,Database!$A:$AV,MATCH($H$1,Database!$A$1:$AV$1,),)=0,"#N/A",((((VLOOKUP(B391,Database!$A:$AS,MATCH($H$1,Database!$A$1:$AS$1,),))))-(((VLOOKUP(EDATE(B391,-12),Database!$A:$AS,MATCH($H$1,Database!$A$1:$AS$1,),)))))/(((VLOOKUP(EDATE(B391,-12),Database!$A:$AS,MATCH($H$1,Database!$A$1:$AS$1,),)))))</f>
        <v/>
      </c>
      <c r="I391" s="13">
        <f>IF(VLOOKUP(B391,Database!$A:$AV,MATCH($I$1,Database!$A$1:$AV$1,),)=0,"#N/A",((((VLOOKUP(B391,Database!$A:$AS,MATCH($I$1,Database!$A$1:$AS$1,),))))-(((VLOOKUP(EDATE(B391,-12),Database!$A:$AS,MATCH($I$1,Database!$A$1:$AS$1,),)))))/(((VLOOKUP(EDATE(B391,-12),Database!$A:$AS,MATCH($I$1,Database!$A$1:$AS$1,),)))))</f>
        <v/>
      </c>
      <c r="J391" s="13">
        <f>IF(VLOOKUP(B391,Database!$A:$AV,MATCH($J$1,Database!$A$1:$AV$1,),)=0,"#N/A",((((VLOOKUP(B391,Database!$A:$AS,MATCH($J$1,Database!$A$1:$AS$1,),))))-(((VLOOKUP(EDATE(B391,-12),Database!$A:$AS,MATCH($J$1,Database!$A$1:$AS$1,),)))))/(((VLOOKUP(EDATE(B391,-12),Database!$A:$AS,MATCH($J$1,Database!$A$1:$AS$1,),)))))</f>
        <v/>
      </c>
      <c r="K391" s="13">
        <f>IF(VLOOKUP(B391,Database!$A:$AV,MATCH($K$1,Database!$A$1:$AV$1,),)=0,"#N/A",((((VLOOKUP(B391,Database!$A:$AS,MATCH($K$1,Database!$A$1:$AS$1,),))))-(((VLOOKUP(EDATE(B391,-12),Database!$A:$AS,MATCH($K$1,Database!$A$1:$AS$1,),)))))/(((VLOOKUP(EDATE(B391,-12),Database!$A:$AS,MATCH($K$1,Database!$A$1:$AS$1,),)))))</f>
        <v/>
      </c>
      <c r="L391" s="13" t="n"/>
      <c r="M391" s="13" t="n"/>
      <c r="N391" s="13" t="n"/>
      <c r="O391" s="13">
        <f>IF(VLOOKUP(B391,Database!$A:$AV,MATCH($O$1,Database!$A$1:$AV$1,),)=0,"#N/A",((((VLOOKUP(B391,Database!$A:$AS,MATCH($O$1,Database!$A$1:$AS$1,),))))-(((VLOOKUP(EDATE(B391,-12),Database!$A:$AS,MATCH($O$1,Database!$A$1:$AS$1,),)))))/(((VLOOKUP(EDATE(B391,-12),Database!$A:$AS,MATCH($O$1,Database!$A$1:$AS$1,),)))))</f>
        <v/>
      </c>
      <c r="P391" s="13">
        <f>IF(VLOOKUP(B391,Database!$A:$AV,MATCH($P$1,Database!$A$1:$AV$1,),)=0,"#N/A",((((VLOOKUP(B391,Database!$A:$AS,MATCH($P$1,Database!$A$1:$AS$1,),))))-(((VLOOKUP(EDATE(B391,-12),Database!$A:$AS,MATCH($P$1,Database!$A$1:$AS$1,),)))))/(((VLOOKUP(EDATE(B391,-12),Database!$A:$AS,MATCH($P$1,Database!$A$1:$AS$1,),)))))</f>
        <v/>
      </c>
      <c r="Q391" s="13">
        <f>IF(VLOOKUP(B391,Database!$A:$AV,MATCH($Q$1,Database!$A$1:$AV$1,),)=0,"#N/A",((((VLOOKUP(B391,Database!$A:$AS,MATCH($Q$1,Database!$A$1:$AS$1,),))))-(((VLOOKUP(EDATE(B391,-12),Database!$A:$AS,MATCH($Q$1,Database!$A$1:$AS$1,),)))))/(((VLOOKUP(EDATE(B391,-12),Database!$A:$AS,MATCH($Q$1,Database!$A$1:$AS$1,),)))))</f>
        <v/>
      </c>
      <c r="R391" s="13">
        <f>IF(VLOOKUP(B391,Database!$A:$AV,MATCH($R$1,Database!$A$1:$AV$1,),)=0,"#N/A",((((VLOOKUP(B391,Database!$A:$AS,MATCH($R$1,Database!$A$1:$AS$1,),))))-(((VLOOKUP(EDATE(B391,-12),Database!$A:$AS,MATCH($R$1,Database!$A$1:$AS$1,),)))))/(((VLOOKUP(EDATE(B391,-12),Database!$A:$AS,MATCH($R$1,Database!$A$1:$AS$1,),)))))</f>
        <v/>
      </c>
      <c r="S391" s="13">
        <f>IF(VLOOKUP(B391,Database!$A:$AV,MATCH($S$1,Database!$A$1:$AV$1,),)=0,"#N/A",((((VLOOKUP(B391,Database!$A:$AS,MATCH($S$1,Database!$A$1:$AS$1,),))))-(((VLOOKUP(EDATE(B391,-12),Database!$A:$AS,MATCH($S$1,Database!$A$1:$AS$1,),)))))/(((VLOOKUP(EDATE(B391,-12),Database!$A:$AS,MATCH($S$1,Database!$A$1:$AS$1,),)))))</f>
        <v/>
      </c>
      <c r="T391" s="13">
        <f>IF(VLOOKUP(B391,Database!$A:$AV,MATCH($T$1,Database!$A$1:$AV$1,),)=0,"#N/A",((((VLOOKUP(B391,Database!$A:$AS,MATCH($T$1,Database!$A$1:$AS$1,),))))-(((VLOOKUP(EDATE(B391,-12),Database!$A:$AS,MATCH($T$1,Database!$A$1:$AS$1,),)))))/(((VLOOKUP(EDATE(B391,-12),Database!$A:$AS,MATCH($T$1,Database!$A$1:$AS$1,),)))))</f>
        <v/>
      </c>
      <c r="U391" s="13">
        <f>IF(VLOOKUP(B391,Database!$A:$AV,MATCH($U$1,Database!$A$1:$AV$1,),)=0,"#N/A",((((VLOOKUP(B391,Database!$A:$AS,MATCH($U$1,Database!$A$1:$AS$1,),))))-(((VLOOKUP(EDATE(B391,-12),Database!$A:$AS,MATCH($U$1,Database!$A$1:$AS$1,),)))))/(((VLOOKUP(EDATE(B391,-12),Database!$A:$AS,MATCH($U$1,Database!$A$1:$AS$1,),)))))</f>
        <v/>
      </c>
      <c r="V391" s="13">
        <f>IF(VLOOKUP(B391,Database!$A:$AV,MATCH($V$1,Database!$A$1:$AV$1,),)=0,"#N/A",((((VLOOKUP(B391,Database!$A:$AS,MATCH($V$1,Database!$A$1:$AS$1,),))))-(((VLOOKUP(EDATE(B391,-12),Database!$A:$AS,MATCH($V$1,Database!$A$1:$AS$1,),)))))/(((VLOOKUP(EDATE(B391,-12),Database!$A:$AS,MATCH($V$1,Database!$A$1:$AS$1,),)))))</f>
        <v/>
      </c>
    </row>
    <row r="392" customFormat="1" s="86">
      <c r="B392" s="75" t="n">
        <v>44075</v>
      </c>
      <c r="C392" s="13">
        <f>IF(VLOOKUP(B392,Database!$A:$AU,MATCH($C$1,Database!$A$1:$AU$1,),)=0,"#N/A",((((VLOOKUP(B392,Database!$A:$AU,MATCH($C$1,Database!$A$1:$AU$1,),))))-(((VLOOKUP(EDATE(B392,-12),Database!$A:$AU,MATCH($C$1,Database!$A$1:$AU$1,),)))))/(((VLOOKUP(EDATE(B392,-12),Database!$A:$AU,MATCH($C$1,Database!$A$1:$AU$1,),)))))</f>
        <v/>
      </c>
      <c r="D392" s="13">
        <f>IF(VLOOKUP(B392,Database!$A:$AV,MATCH($D$1,Database!$A$1:$AV$1,),)=0,"#N/A",((((VLOOKUP(B392,Database!$A:$AS,MATCH($D$1,Database!$A$1:$AS$1,),))))-(((VLOOKUP(EDATE(B392,-12),Database!$A:$AS,MATCH($D$1,Database!$A$1:$AS$1,),)))))/(((VLOOKUP(EDATE(B392,-12),Database!$A:$AS,MATCH($D$1,Database!$A$1:$AS$1,),)))))</f>
        <v/>
      </c>
      <c r="E392" s="13">
        <f>IF(VLOOKUP(B392,Database!$A:$AV,MATCH($E$1,Database!$A$1:$AV$1,),)=0,"#N/A",((((VLOOKUP(B392,Database!$A:$AS,MATCH($E$1,Database!$A$1:$AS$1,),))))-(((VLOOKUP(EDATE(B392,-12),Database!$A:$AS,MATCH($E$1,Database!$A$1:$AS$1,),)))))/(((VLOOKUP(EDATE(B392,-12),Database!$A:$AS,MATCH($E$1,Database!$A$1:$AS$1,),)))))</f>
        <v/>
      </c>
      <c r="F392" s="13">
        <f>IF(VLOOKUP(B392,Database!$A:$AV,MATCH($F$1,Database!$A$1:$AV$1,),)=0,"#N/A",((((VLOOKUP(B392,Database!$A:$AS,MATCH($F$1,Database!$A$1:$AS$1,),))))-(((VLOOKUP(EDATE(B392,-12),Database!$A:$AS,MATCH($F$1,Database!$A$1:$AS$1,),)))))/(((VLOOKUP(EDATE(B392,-12),Database!$A:$AS,MATCH($F$1,Database!$A$1:$AS$1,),)))))</f>
        <v/>
      </c>
      <c r="G392" s="13">
        <f>IF(VLOOKUP(B392,Database!$A:$AV,MATCH($G$1,Database!$A$1:$AV$1,),)=0,"#N/A",((((VLOOKUP(B392,Database!$A:$AS,MATCH($G$1,Database!$A$1:$AS$1,),))))-(((VLOOKUP(EDATE(B392,-12),Database!$A:$AS,MATCH($G$1,Database!$A$1:$AS$1,),)))))/(((VLOOKUP(EDATE(B392,-12),Database!$A:$AS,MATCH($G$1,Database!$A$1:$AS$1,),)))))</f>
        <v/>
      </c>
      <c r="H392" s="13">
        <f>IF(VLOOKUP(B392,Database!$A:$AV,MATCH($H$1,Database!$A$1:$AV$1,),)=0,"#N/A",((((VLOOKUP(B392,Database!$A:$AS,MATCH($H$1,Database!$A$1:$AS$1,),))))-(((VLOOKUP(EDATE(B392,-12),Database!$A:$AS,MATCH($H$1,Database!$A$1:$AS$1,),)))))/(((VLOOKUP(EDATE(B392,-12),Database!$A:$AS,MATCH($H$1,Database!$A$1:$AS$1,),)))))</f>
        <v/>
      </c>
      <c r="I392" s="13">
        <f>IF(VLOOKUP(B392,Database!$A:$AV,MATCH($I$1,Database!$A$1:$AV$1,),)=0,"#N/A",((((VLOOKUP(B392,Database!$A:$AS,MATCH($I$1,Database!$A$1:$AS$1,),))))-(((VLOOKUP(EDATE(B392,-12),Database!$A:$AS,MATCH($I$1,Database!$A$1:$AS$1,),)))))/(((VLOOKUP(EDATE(B392,-12),Database!$A:$AS,MATCH($I$1,Database!$A$1:$AS$1,),)))))</f>
        <v/>
      </c>
      <c r="J392" s="13">
        <f>IF(VLOOKUP(B392,Database!$A:$AV,MATCH($J$1,Database!$A$1:$AV$1,),)=0,"#N/A",((((VLOOKUP(B392,Database!$A:$AS,MATCH($J$1,Database!$A$1:$AS$1,),))))-(((VLOOKUP(EDATE(B392,-12),Database!$A:$AS,MATCH($J$1,Database!$A$1:$AS$1,),)))))/(((VLOOKUP(EDATE(B392,-12),Database!$A:$AS,MATCH($J$1,Database!$A$1:$AS$1,),)))))</f>
        <v/>
      </c>
      <c r="K392" s="13">
        <f>IF(VLOOKUP(B392,Database!$A:$AV,MATCH($K$1,Database!$A$1:$AV$1,),)=0,"#N/A",((((VLOOKUP(B392,Database!$A:$AS,MATCH($K$1,Database!$A$1:$AS$1,),))))-(((VLOOKUP(EDATE(B392,-12),Database!$A:$AS,MATCH($K$1,Database!$A$1:$AS$1,),)))))/(((VLOOKUP(EDATE(B392,-12),Database!$A:$AS,MATCH($K$1,Database!$A$1:$AS$1,),)))))</f>
        <v/>
      </c>
      <c r="L392" s="13" t="n"/>
      <c r="M392" s="13" t="n"/>
      <c r="N392" s="13" t="n"/>
      <c r="O392" s="13">
        <f>IF(VLOOKUP(B392,Database!$A:$AV,MATCH($O$1,Database!$A$1:$AV$1,),)=0,"#N/A",((((VLOOKUP(B392,Database!$A:$AS,MATCH($O$1,Database!$A$1:$AS$1,),))))-(((VLOOKUP(EDATE(B392,-12),Database!$A:$AS,MATCH($O$1,Database!$A$1:$AS$1,),)))))/(((VLOOKUP(EDATE(B392,-12),Database!$A:$AS,MATCH($O$1,Database!$A$1:$AS$1,),)))))</f>
        <v/>
      </c>
      <c r="P392" s="13">
        <f>IF(VLOOKUP(B392,Database!$A:$AV,MATCH($P$1,Database!$A$1:$AV$1,),)=0,"#N/A",((((VLOOKUP(B392,Database!$A:$AS,MATCH($P$1,Database!$A$1:$AS$1,),))))-(((VLOOKUP(EDATE(B392,-12),Database!$A:$AS,MATCH($P$1,Database!$A$1:$AS$1,),)))))/(((VLOOKUP(EDATE(B392,-12),Database!$A:$AS,MATCH($P$1,Database!$A$1:$AS$1,),)))))</f>
        <v/>
      </c>
      <c r="Q392" s="13">
        <f>IF(VLOOKUP(B392,Database!$A:$AV,MATCH($Q$1,Database!$A$1:$AV$1,),)=0,"#N/A",((((VLOOKUP(B392,Database!$A:$AS,MATCH($Q$1,Database!$A$1:$AS$1,),))))-(((VLOOKUP(EDATE(B392,-12),Database!$A:$AS,MATCH($Q$1,Database!$A$1:$AS$1,),)))))/(((VLOOKUP(EDATE(B392,-12),Database!$A:$AS,MATCH($Q$1,Database!$A$1:$AS$1,),)))))</f>
        <v/>
      </c>
      <c r="R392" s="13">
        <f>IF(VLOOKUP(B392,Database!$A:$AV,MATCH($R$1,Database!$A$1:$AV$1,),)=0,"#N/A",((((VLOOKUP(B392,Database!$A:$AS,MATCH($R$1,Database!$A$1:$AS$1,),))))-(((VLOOKUP(EDATE(B392,-12),Database!$A:$AS,MATCH($R$1,Database!$A$1:$AS$1,),)))))/(((VLOOKUP(EDATE(B392,-12),Database!$A:$AS,MATCH($R$1,Database!$A$1:$AS$1,),)))))</f>
        <v/>
      </c>
      <c r="S392" s="13">
        <f>IF(VLOOKUP(B392,Database!$A:$AV,MATCH($S$1,Database!$A$1:$AV$1,),)=0,"#N/A",((((VLOOKUP(B392,Database!$A:$AS,MATCH($S$1,Database!$A$1:$AS$1,),))))-(((VLOOKUP(EDATE(B392,-12),Database!$A:$AS,MATCH($S$1,Database!$A$1:$AS$1,),)))))/(((VLOOKUP(EDATE(B392,-12),Database!$A:$AS,MATCH($S$1,Database!$A$1:$AS$1,),)))))</f>
        <v/>
      </c>
      <c r="T392" s="13">
        <f>IF(VLOOKUP(B392,Database!$A:$AV,MATCH($T$1,Database!$A$1:$AV$1,),)=0,"#N/A",((((VLOOKUP(B392,Database!$A:$AS,MATCH($T$1,Database!$A$1:$AS$1,),))))-(((VLOOKUP(EDATE(B392,-12),Database!$A:$AS,MATCH($T$1,Database!$A$1:$AS$1,),)))))/(((VLOOKUP(EDATE(B392,-12),Database!$A:$AS,MATCH($T$1,Database!$A$1:$AS$1,),)))))</f>
        <v/>
      </c>
      <c r="U392" s="13">
        <f>IF(VLOOKUP(B392,Database!$A:$AV,MATCH($U$1,Database!$A$1:$AV$1,),)=0,"#N/A",((((VLOOKUP(B392,Database!$A:$AS,MATCH($U$1,Database!$A$1:$AS$1,),))))-(((VLOOKUP(EDATE(B392,-12),Database!$A:$AS,MATCH($U$1,Database!$A$1:$AS$1,),)))))/(((VLOOKUP(EDATE(B392,-12),Database!$A:$AS,MATCH($U$1,Database!$A$1:$AS$1,),)))))</f>
        <v/>
      </c>
      <c r="V392" s="13">
        <f>IF(VLOOKUP(B392,Database!$A:$AV,MATCH($V$1,Database!$A$1:$AV$1,),)=0,"#N/A",((((VLOOKUP(B392,Database!$A:$AS,MATCH($V$1,Database!$A$1:$AS$1,),))))-(((VLOOKUP(EDATE(B392,-12),Database!$A:$AS,MATCH($V$1,Database!$A$1:$AS$1,),)))))/(((VLOOKUP(EDATE(B392,-12),Database!$A:$AS,MATCH($V$1,Database!$A$1:$AS$1,),)))))</f>
        <v/>
      </c>
    </row>
    <row r="393" customFormat="1" s="86">
      <c r="B393" s="75" t="n">
        <v>44105</v>
      </c>
      <c r="C393" s="13">
        <f>IF(VLOOKUP(B393,Database!$A:$AU,MATCH($C$1,Database!$A$1:$AU$1,),)=0,"#N/A",((((VLOOKUP(B393,Database!$A:$AU,MATCH($C$1,Database!$A$1:$AU$1,),))))-(((VLOOKUP(EDATE(B393,-12),Database!$A:$AU,MATCH($C$1,Database!$A$1:$AU$1,),)))))/(((VLOOKUP(EDATE(B393,-12),Database!$A:$AU,MATCH($C$1,Database!$A$1:$AU$1,),)))))</f>
        <v/>
      </c>
      <c r="D393" s="13">
        <f>IF(VLOOKUP(B393,Database!$A:$AV,MATCH($D$1,Database!$A$1:$AV$1,),)=0,"#N/A",((((VLOOKUP(B393,Database!$A:$AS,MATCH($D$1,Database!$A$1:$AS$1,),))))-(((VLOOKUP(EDATE(B393,-12),Database!$A:$AS,MATCH($D$1,Database!$A$1:$AS$1,),)))))/(((VLOOKUP(EDATE(B393,-12),Database!$A:$AS,MATCH($D$1,Database!$A$1:$AS$1,),)))))</f>
        <v/>
      </c>
      <c r="E393" s="13">
        <f>IF(VLOOKUP(B393,Database!$A:$AV,MATCH($E$1,Database!$A$1:$AV$1,),)=0,"#N/A",((((VLOOKUP(B393,Database!$A:$AS,MATCH($E$1,Database!$A$1:$AS$1,),))))-(((VLOOKUP(EDATE(B393,-12),Database!$A:$AS,MATCH($E$1,Database!$A$1:$AS$1,),)))))/(((VLOOKUP(EDATE(B393,-12),Database!$A:$AS,MATCH($E$1,Database!$A$1:$AS$1,),)))))</f>
        <v/>
      </c>
      <c r="F393" s="13">
        <f>IF(VLOOKUP(B393,Database!$A:$AV,MATCH($F$1,Database!$A$1:$AV$1,),)=0,"#N/A",((((VLOOKUP(B393,Database!$A:$AS,MATCH($F$1,Database!$A$1:$AS$1,),))))-(((VLOOKUP(EDATE(B393,-12),Database!$A:$AS,MATCH($F$1,Database!$A$1:$AS$1,),)))))/(((VLOOKUP(EDATE(B393,-12),Database!$A:$AS,MATCH($F$1,Database!$A$1:$AS$1,),)))))</f>
        <v/>
      </c>
      <c r="G393" s="13">
        <f>IF(VLOOKUP(B393,Database!$A:$AV,MATCH($G$1,Database!$A$1:$AV$1,),)=0,"#N/A",((((VLOOKUP(B393,Database!$A:$AS,MATCH($G$1,Database!$A$1:$AS$1,),))))-(((VLOOKUP(EDATE(B393,-12),Database!$A:$AS,MATCH($G$1,Database!$A$1:$AS$1,),)))))/(((VLOOKUP(EDATE(B393,-12),Database!$A:$AS,MATCH($G$1,Database!$A$1:$AS$1,),)))))</f>
        <v/>
      </c>
      <c r="H393" s="13">
        <f>IF(VLOOKUP(B393,Database!$A:$AV,MATCH($H$1,Database!$A$1:$AV$1,),)=0,"#N/A",((((VLOOKUP(B393,Database!$A:$AS,MATCH($H$1,Database!$A$1:$AS$1,),))))-(((VLOOKUP(EDATE(B393,-12),Database!$A:$AS,MATCH($H$1,Database!$A$1:$AS$1,),)))))/(((VLOOKUP(EDATE(B393,-12),Database!$A:$AS,MATCH($H$1,Database!$A$1:$AS$1,),)))))</f>
        <v/>
      </c>
      <c r="I393" s="13">
        <f>IF(VLOOKUP(B393,Database!$A:$AV,MATCH($I$1,Database!$A$1:$AV$1,),)=0,"#N/A",((((VLOOKUP(B393,Database!$A:$AS,MATCH($I$1,Database!$A$1:$AS$1,),))))-(((VLOOKUP(EDATE(B393,-12),Database!$A:$AS,MATCH($I$1,Database!$A$1:$AS$1,),)))))/(((VLOOKUP(EDATE(B393,-12),Database!$A:$AS,MATCH($I$1,Database!$A$1:$AS$1,),)))))</f>
        <v/>
      </c>
      <c r="J393" s="13">
        <f>IF(VLOOKUP(B393,Database!$A:$AV,MATCH($J$1,Database!$A$1:$AV$1,),)=0,"#N/A",((((VLOOKUP(B393,Database!$A:$AS,MATCH($J$1,Database!$A$1:$AS$1,),))))-(((VLOOKUP(EDATE(B393,-12),Database!$A:$AS,MATCH($J$1,Database!$A$1:$AS$1,),)))))/(((VLOOKUP(EDATE(B393,-12),Database!$A:$AS,MATCH($J$1,Database!$A$1:$AS$1,),)))))</f>
        <v/>
      </c>
      <c r="K393" s="13">
        <f>IF(VLOOKUP(B393,Database!$A:$AV,MATCH($K$1,Database!$A$1:$AV$1,),)=0,"#N/A",((((VLOOKUP(B393,Database!$A:$AS,MATCH($K$1,Database!$A$1:$AS$1,),))))-(((VLOOKUP(EDATE(B393,-12),Database!$A:$AS,MATCH($K$1,Database!$A$1:$AS$1,),)))))/(((VLOOKUP(EDATE(B393,-12),Database!$A:$AS,MATCH($K$1,Database!$A$1:$AS$1,),)))))</f>
        <v/>
      </c>
      <c r="L393" s="13" t="n"/>
      <c r="M393" s="13" t="n"/>
      <c r="N393" s="13" t="n"/>
      <c r="O393" s="13">
        <f>IF(VLOOKUP(B393,Database!$A:$AV,MATCH($O$1,Database!$A$1:$AV$1,),)=0,"#N/A",((((VLOOKUP(B393,Database!$A:$AS,MATCH($O$1,Database!$A$1:$AS$1,),))))-(((VLOOKUP(EDATE(B393,-12),Database!$A:$AS,MATCH($O$1,Database!$A$1:$AS$1,),)))))/(((VLOOKUP(EDATE(B393,-12),Database!$A:$AS,MATCH($O$1,Database!$A$1:$AS$1,),)))))</f>
        <v/>
      </c>
      <c r="P393" s="13">
        <f>IF(VLOOKUP(B393,Database!$A:$AV,MATCH($P$1,Database!$A$1:$AV$1,),)=0,"#N/A",((((VLOOKUP(B393,Database!$A:$AS,MATCH($P$1,Database!$A$1:$AS$1,),))))-(((VLOOKUP(EDATE(B393,-12),Database!$A:$AS,MATCH($P$1,Database!$A$1:$AS$1,),)))))/(((VLOOKUP(EDATE(B393,-12),Database!$A:$AS,MATCH($P$1,Database!$A$1:$AS$1,),)))))</f>
        <v/>
      </c>
      <c r="Q393" s="13">
        <f>IF(VLOOKUP(B393,Database!$A:$AV,MATCH($Q$1,Database!$A$1:$AV$1,),)=0,"#N/A",((((VLOOKUP(B393,Database!$A:$AS,MATCH($Q$1,Database!$A$1:$AS$1,),))))-(((VLOOKUP(EDATE(B393,-12),Database!$A:$AS,MATCH($Q$1,Database!$A$1:$AS$1,),)))))/(((VLOOKUP(EDATE(B393,-12),Database!$A:$AS,MATCH($Q$1,Database!$A$1:$AS$1,),)))))</f>
        <v/>
      </c>
      <c r="R393" s="13">
        <f>IF(VLOOKUP(B393,Database!$A:$AV,MATCH($R$1,Database!$A$1:$AV$1,),)=0,"#N/A",((((VLOOKUP(B393,Database!$A:$AS,MATCH($R$1,Database!$A$1:$AS$1,),))))-(((VLOOKUP(EDATE(B393,-12),Database!$A:$AS,MATCH($R$1,Database!$A$1:$AS$1,),)))))/(((VLOOKUP(EDATE(B393,-12),Database!$A:$AS,MATCH($R$1,Database!$A$1:$AS$1,),)))))</f>
        <v/>
      </c>
      <c r="S393" s="13">
        <f>IF(VLOOKUP(B393,Database!$A:$AV,MATCH($S$1,Database!$A$1:$AV$1,),)=0,"#N/A",((((VLOOKUP(B393,Database!$A:$AS,MATCH($S$1,Database!$A$1:$AS$1,),))))-(((VLOOKUP(EDATE(B393,-12),Database!$A:$AS,MATCH($S$1,Database!$A$1:$AS$1,),)))))/(((VLOOKUP(EDATE(B393,-12),Database!$A:$AS,MATCH($S$1,Database!$A$1:$AS$1,),)))))</f>
        <v/>
      </c>
      <c r="T393" s="13">
        <f>IF(VLOOKUP(B393,Database!$A:$AV,MATCH($T$1,Database!$A$1:$AV$1,),)=0,"#N/A",((((VLOOKUP(B393,Database!$A:$AS,MATCH($T$1,Database!$A$1:$AS$1,),))))-(((VLOOKUP(EDATE(B393,-12),Database!$A:$AS,MATCH($T$1,Database!$A$1:$AS$1,),)))))/(((VLOOKUP(EDATE(B393,-12),Database!$A:$AS,MATCH($T$1,Database!$A$1:$AS$1,),)))))</f>
        <v/>
      </c>
      <c r="U393" s="13">
        <f>IF(VLOOKUP(B393,Database!$A:$AV,MATCH($U$1,Database!$A$1:$AV$1,),)=0,"#N/A",((((VLOOKUP(B393,Database!$A:$AS,MATCH($U$1,Database!$A$1:$AS$1,),))))-(((VLOOKUP(EDATE(B393,-12),Database!$A:$AS,MATCH($U$1,Database!$A$1:$AS$1,),)))))/(((VLOOKUP(EDATE(B393,-12),Database!$A:$AS,MATCH($U$1,Database!$A$1:$AS$1,),)))))</f>
        <v/>
      </c>
      <c r="V393" s="13">
        <f>IF(VLOOKUP(B393,Database!$A:$AV,MATCH($V$1,Database!$A$1:$AV$1,),)=0,"#N/A",((((VLOOKUP(B393,Database!$A:$AS,MATCH($V$1,Database!$A$1:$AS$1,),))))-(((VLOOKUP(EDATE(B393,-12),Database!$A:$AS,MATCH($V$1,Database!$A$1:$AS$1,),)))))/(((VLOOKUP(EDATE(B393,-12),Database!$A:$AS,MATCH($V$1,Database!$A$1:$AS$1,),)))))</f>
        <v/>
      </c>
    </row>
    <row r="394" customFormat="1" s="86">
      <c r="B394" s="75" t="n">
        <v>44136</v>
      </c>
      <c r="C394" s="13">
        <f>IF(VLOOKUP(B394,Database!$A:$AU,MATCH($C$1,Database!$A$1:$AU$1,),)=0,"#N/A",((((VLOOKUP(B394,Database!$A:$AU,MATCH($C$1,Database!$A$1:$AU$1,),))))-(((VLOOKUP(EDATE(B394,-12),Database!$A:$AU,MATCH($C$1,Database!$A$1:$AU$1,),)))))/(((VLOOKUP(EDATE(B394,-12),Database!$A:$AU,MATCH($C$1,Database!$A$1:$AU$1,),)))))</f>
        <v/>
      </c>
      <c r="D394" s="13">
        <f>IF(VLOOKUP(B394,Database!$A:$AV,MATCH($D$1,Database!$A$1:$AV$1,),)=0,"#N/A",((((VLOOKUP(B394,Database!$A:$AS,MATCH($D$1,Database!$A$1:$AS$1,),))))-(((VLOOKUP(EDATE(B394,-12),Database!$A:$AS,MATCH($D$1,Database!$A$1:$AS$1,),)))))/(((VLOOKUP(EDATE(B394,-12),Database!$A:$AS,MATCH($D$1,Database!$A$1:$AS$1,),)))))</f>
        <v/>
      </c>
      <c r="E394" s="13">
        <f>IF(VLOOKUP(B394,Database!$A:$AV,MATCH($E$1,Database!$A$1:$AV$1,),)=0,"#N/A",((((VLOOKUP(B394,Database!$A:$AS,MATCH($E$1,Database!$A$1:$AS$1,),))))-(((VLOOKUP(EDATE(B394,-12),Database!$A:$AS,MATCH($E$1,Database!$A$1:$AS$1,),)))))/(((VLOOKUP(EDATE(B394,-12),Database!$A:$AS,MATCH($E$1,Database!$A$1:$AS$1,),)))))</f>
        <v/>
      </c>
      <c r="F394" s="13">
        <f>IF(VLOOKUP(B394,Database!$A:$AV,MATCH($F$1,Database!$A$1:$AV$1,),)=0,"#N/A",((((VLOOKUP(B394,Database!$A:$AS,MATCH($F$1,Database!$A$1:$AS$1,),))))-(((VLOOKUP(EDATE(B394,-12),Database!$A:$AS,MATCH($F$1,Database!$A$1:$AS$1,),)))))/(((VLOOKUP(EDATE(B394,-12),Database!$A:$AS,MATCH($F$1,Database!$A$1:$AS$1,),)))))</f>
        <v/>
      </c>
      <c r="G394" s="13">
        <f>IF(VLOOKUP(B394,Database!$A:$AV,MATCH($G$1,Database!$A$1:$AV$1,),)=0,"#N/A",((((VLOOKUP(B394,Database!$A:$AS,MATCH($G$1,Database!$A$1:$AS$1,),))))-(((VLOOKUP(EDATE(B394,-12),Database!$A:$AS,MATCH($G$1,Database!$A$1:$AS$1,),)))))/(((VLOOKUP(EDATE(B394,-12),Database!$A:$AS,MATCH($G$1,Database!$A$1:$AS$1,),)))))</f>
        <v/>
      </c>
      <c r="H394" s="13">
        <f>IF(VLOOKUP(B394,Database!$A:$AV,MATCH($H$1,Database!$A$1:$AV$1,),)=0,"#N/A",((((VLOOKUP(B394,Database!$A:$AS,MATCH($H$1,Database!$A$1:$AS$1,),))))-(((VLOOKUP(EDATE(B394,-12),Database!$A:$AS,MATCH($H$1,Database!$A$1:$AS$1,),)))))/(((VLOOKUP(EDATE(B394,-12),Database!$A:$AS,MATCH($H$1,Database!$A$1:$AS$1,),)))))</f>
        <v/>
      </c>
      <c r="I394" s="13">
        <f>IF(VLOOKUP(B394,Database!$A:$AV,MATCH($I$1,Database!$A$1:$AV$1,),)=0,"#N/A",((((VLOOKUP(B394,Database!$A:$AS,MATCH($I$1,Database!$A$1:$AS$1,),))))-(((VLOOKUP(EDATE(B394,-12),Database!$A:$AS,MATCH($I$1,Database!$A$1:$AS$1,),)))))/(((VLOOKUP(EDATE(B394,-12),Database!$A:$AS,MATCH($I$1,Database!$A$1:$AS$1,),)))))</f>
        <v/>
      </c>
      <c r="J394" s="13">
        <f>IF(VLOOKUP(B394,Database!$A:$AV,MATCH($J$1,Database!$A$1:$AV$1,),)=0,"#N/A",((((VLOOKUP(B394,Database!$A:$AS,MATCH($J$1,Database!$A$1:$AS$1,),))))-(((VLOOKUP(EDATE(B394,-12),Database!$A:$AS,MATCH($J$1,Database!$A$1:$AS$1,),)))))/(((VLOOKUP(EDATE(B394,-12),Database!$A:$AS,MATCH($J$1,Database!$A$1:$AS$1,),)))))</f>
        <v/>
      </c>
      <c r="K394" s="13">
        <f>IF(VLOOKUP(B394,Database!$A:$AV,MATCH($K$1,Database!$A$1:$AV$1,),)=0,"#N/A",((((VLOOKUP(B394,Database!$A:$AS,MATCH($K$1,Database!$A$1:$AS$1,),))))-(((VLOOKUP(EDATE(B394,-12),Database!$A:$AS,MATCH($K$1,Database!$A$1:$AS$1,),)))))/(((VLOOKUP(EDATE(B394,-12),Database!$A:$AS,MATCH($K$1,Database!$A$1:$AS$1,),)))))</f>
        <v/>
      </c>
      <c r="L394" s="13" t="n"/>
      <c r="M394" s="13" t="n"/>
      <c r="N394" s="13" t="n"/>
      <c r="O394" s="13">
        <f>IF(VLOOKUP(B394,Database!$A:$AV,MATCH($O$1,Database!$A$1:$AV$1,),)=0,"#N/A",((((VLOOKUP(B394,Database!$A:$AS,MATCH($O$1,Database!$A$1:$AS$1,),))))-(((VLOOKUP(EDATE(B394,-12),Database!$A:$AS,MATCH($O$1,Database!$A$1:$AS$1,),)))))/(((VLOOKUP(EDATE(B394,-12),Database!$A:$AS,MATCH($O$1,Database!$A$1:$AS$1,),)))))</f>
        <v/>
      </c>
      <c r="P394" s="13">
        <f>IF(VLOOKUP(B394,Database!$A:$AV,MATCH($P$1,Database!$A$1:$AV$1,),)=0,"#N/A",((((VLOOKUP(B394,Database!$A:$AS,MATCH($P$1,Database!$A$1:$AS$1,),))))-(((VLOOKUP(EDATE(B394,-12),Database!$A:$AS,MATCH($P$1,Database!$A$1:$AS$1,),)))))/(((VLOOKUP(EDATE(B394,-12),Database!$A:$AS,MATCH($P$1,Database!$A$1:$AS$1,),)))))</f>
        <v/>
      </c>
      <c r="Q394" s="13">
        <f>IF(VLOOKUP(B394,Database!$A:$AV,MATCH($Q$1,Database!$A$1:$AV$1,),)=0,"#N/A",((((VLOOKUP(B394,Database!$A:$AS,MATCH($Q$1,Database!$A$1:$AS$1,),))))-(((VLOOKUP(EDATE(B394,-12),Database!$A:$AS,MATCH($Q$1,Database!$A$1:$AS$1,),)))))/(((VLOOKUP(EDATE(B394,-12),Database!$A:$AS,MATCH($Q$1,Database!$A$1:$AS$1,),)))))</f>
        <v/>
      </c>
      <c r="R394" s="13">
        <f>IF(VLOOKUP(B394,Database!$A:$AV,MATCH($R$1,Database!$A$1:$AV$1,),)=0,"#N/A",((((VLOOKUP(B394,Database!$A:$AS,MATCH($R$1,Database!$A$1:$AS$1,),))))-(((VLOOKUP(EDATE(B394,-12),Database!$A:$AS,MATCH($R$1,Database!$A$1:$AS$1,),)))))/(((VLOOKUP(EDATE(B394,-12),Database!$A:$AS,MATCH($R$1,Database!$A$1:$AS$1,),)))))</f>
        <v/>
      </c>
      <c r="S394" s="13">
        <f>IF(VLOOKUP(B394,Database!$A:$AV,MATCH($S$1,Database!$A$1:$AV$1,),)=0,"#N/A",((((VLOOKUP(B394,Database!$A:$AS,MATCH($S$1,Database!$A$1:$AS$1,),))))-(((VLOOKUP(EDATE(B394,-12),Database!$A:$AS,MATCH($S$1,Database!$A$1:$AS$1,),)))))/(((VLOOKUP(EDATE(B394,-12),Database!$A:$AS,MATCH($S$1,Database!$A$1:$AS$1,),)))))</f>
        <v/>
      </c>
      <c r="T394" s="13">
        <f>IF(VLOOKUP(B394,Database!$A:$AV,MATCH($T$1,Database!$A$1:$AV$1,),)=0,"#N/A",((((VLOOKUP(B394,Database!$A:$AS,MATCH($T$1,Database!$A$1:$AS$1,),))))-(((VLOOKUP(EDATE(B394,-12),Database!$A:$AS,MATCH($T$1,Database!$A$1:$AS$1,),)))))/(((VLOOKUP(EDATE(B394,-12),Database!$A:$AS,MATCH($T$1,Database!$A$1:$AS$1,),)))))</f>
        <v/>
      </c>
      <c r="U394" s="13">
        <f>IF(VLOOKUP(B394,Database!$A:$AV,MATCH($U$1,Database!$A$1:$AV$1,),)=0,"#N/A",((((VLOOKUP(B394,Database!$A:$AS,MATCH($U$1,Database!$A$1:$AS$1,),))))-(((VLOOKUP(EDATE(B394,-12),Database!$A:$AS,MATCH($U$1,Database!$A$1:$AS$1,),)))))/(((VLOOKUP(EDATE(B394,-12),Database!$A:$AS,MATCH($U$1,Database!$A$1:$AS$1,),)))))</f>
        <v/>
      </c>
      <c r="V394" s="13">
        <f>IF(VLOOKUP(B394,Database!$A:$AV,MATCH($V$1,Database!$A$1:$AV$1,),)=0,"#N/A",((((VLOOKUP(B394,Database!$A:$AS,MATCH($V$1,Database!$A$1:$AS$1,),))))-(((VLOOKUP(EDATE(B394,-12),Database!$A:$AS,MATCH($V$1,Database!$A$1:$AS$1,),)))))/(((VLOOKUP(EDATE(B394,-12),Database!$A:$AS,MATCH($V$1,Database!$A$1:$AS$1,),)))))</f>
        <v/>
      </c>
    </row>
    <row r="395" customFormat="1" s="86">
      <c r="B395" s="75" t="n">
        <v>44166</v>
      </c>
      <c r="C395" s="13">
        <f>IF(VLOOKUP(B395,Database!$A:$AU,MATCH($C$1,Database!$A$1:$AU$1,),)=0,"#N/A",((((VLOOKUP(B395,Database!$A:$AU,MATCH($C$1,Database!$A$1:$AU$1,),))))-(((VLOOKUP(EDATE(B395,-12),Database!$A:$AU,MATCH($C$1,Database!$A$1:$AU$1,),)))))/(((VLOOKUP(EDATE(B395,-12),Database!$A:$AU,MATCH($C$1,Database!$A$1:$AU$1,),)))))</f>
        <v/>
      </c>
      <c r="D395" s="13">
        <f>IF(VLOOKUP(B395,Database!$A:$AV,MATCH($D$1,Database!$A$1:$AV$1,),)=0,"#N/A",((((VLOOKUP(B395,Database!$A:$AS,MATCH($D$1,Database!$A$1:$AS$1,),))))-(((VLOOKUP(EDATE(B395,-12),Database!$A:$AS,MATCH($D$1,Database!$A$1:$AS$1,),)))))/(((VLOOKUP(EDATE(B395,-12),Database!$A:$AS,MATCH($D$1,Database!$A$1:$AS$1,),)))))</f>
        <v/>
      </c>
      <c r="E395" s="13">
        <f>IF(VLOOKUP(B395,Database!$A:$AV,MATCH($E$1,Database!$A$1:$AV$1,),)=0,"#N/A",((((VLOOKUP(B395,Database!$A:$AS,MATCH($E$1,Database!$A$1:$AS$1,),))))-(((VLOOKUP(EDATE(B395,-12),Database!$A:$AS,MATCH($E$1,Database!$A$1:$AS$1,),)))))/(((VLOOKUP(EDATE(B395,-12),Database!$A:$AS,MATCH($E$1,Database!$A$1:$AS$1,),)))))</f>
        <v/>
      </c>
      <c r="F395" s="13">
        <f>IF(VLOOKUP(B395,Database!$A:$AV,MATCH($F$1,Database!$A$1:$AV$1,),)=0,"#N/A",((((VLOOKUP(B395,Database!$A:$AS,MATCH($F$1,Database!$A$1:$AS$1,),))))-(((VLOOKUP(EDATE(B395,-12),Database!$A:$AS,MATCH($F$1,Database!$A$1:$AS$1,),)))))/(((VLOOKUP(EDATE(B395,-12),Database!$A:$AS,MATCH($F$1,Database!$A$1:$AS$1,),)))))</f>
        <v/>
      </c>
      <c r="G395" s="13">
        <f>IF(VLOOKUP(B395,Database!$A:$AV,MATCH($G$1,Database!$A$1:$AV$1,),)=0,"#N/A",((((VLOOKUP(B395,Database!$A:$AS,MATCH($G$1,Database!$A$1:$AS$1,),))))-(((VLOOKUP(EDATE(B395,-12),Database!$A:$AS,MATCH($G$1,Database!$A$1:$AS$1,),)))))/(((VLOOKUP(EDATE(B395,-12),Database!$A:$AS,MATCH($G$1,Database!$A$1:$AS$1,),)))))</f>
        <v/>
      </c>
      <c r="H395" s="13">
        <f>IF(VLOOKUP(B395,Database!$A:$AV,MATCH($H$1,Database!$A$1:$AV$1,),)=0,"#N/A",((((VLOOKUP(B395,Database!$A:$AS,MATCH($H$1,Database!$A$1:$AS$1,),))))-(((VLOOKUP(EDATE(B395,-12),Database!$A:$AS,MATCH($H$1,Database!$A$1:$AS$1,),)))))/(((VLOOKUP(EDATE(B395,-12),Database!$A:$AS,MATCH($H$1,Database!$A$1:$AS$1,),)))))</f>
        <v/>
      </c>
      <c r="I395" s="13">
        <f>IF(VLOOKUP(B395,Database!$A:$AV,MATCH($I$1,Database!$A$1:$AV$1,),)=0,"#N/A",((((VLOOKUP(B395,Database!$A:$AS,MATCH($I$1,Database!$A$1:$AS$1,),))))-(((VLOOKUP(EDATE(B395,-12),Database!$A:$AS,MATCH($I$1,Database!$A$1:$AS$1,),)))))/(((VLOOKUP(EDATE(B395,-12),Database!$A:$AS,MATCH($I$1,Database!$A$1:$AS$1,),)))))</f>
        <v/>
      </c>
      <c r="J395" s="13">
        <f>IF(VLOOKUP(B395,Database!$A:$AV,MATCH($J$1,Database!$A$1:$AV$1,),)=0,"#N/A",((((VLOOKUP(B395,Database!$A:$AS,MATCH($J$1,Database!$A$1:$AS$1,),))))-(((VLOOKUP(EDATE(B395,-12),Database!$A:$AS,MATCH($J$1,Database!$A$1:$AS$1,),)))))/(((VLOOKUP(EDATE(B395,-12),Database!$A:$AS,MATCH($J$1,Database!$A$1:$AS$1,),)))))</f>
        <v/>
      </c>
      <c r="K395" s="13">
        <f>IF(VLOOKUP(B395,Database!$A:$AV,MATCH($K$1,Database!$A$1:$AV$1,),)=0,"#N/A",((((VLOOKUP(B395,Database!$A:$AS,MATCH($K$1,Database!$A$1:$AS$1,),))))-(((VLOOKUP(EDATE(B395,-12),Database!$A:$AS,MATCH($K$1,Database!$A$1:$AS$1,),)))))/(((VLOOKUP(EDATE(B395,-12),Database!$A:$AS,MATCH($K$1,Database!$A$1:$AS$1,),)))))</f>
        <v/>
      </c>
      <c r="L395" s="13" t="n"/>
      <c r="M395" s="13" t="n"/>
      <c r="N395" s="13" t="n"/>
      <c r="O395" s="13">
        <f>IF(VLOOKUP(B395,Database!$A:$AV,MATCH($O$1,Database!$A$1:$AV$1,),)=0,"#N/A",((((VLOOKUP(B395,Database!$A:$AS,MATCH($O$1,Database!$A$1:$AS$1,),))))-(((VLOOKUP(EDATE(B395,-12),Database!$A:$AS,MATCH($O$1,Database!$A$1:$AS$1,),)))))/(((VLOOKUP(EDATE(B395,-12),Database!$A:$AS,MATCH($O$1,Database!$A$1:$AS$1,),)))))</f>
        <v/>
      </c>
      <c r="P395" s="13">
        <f>IF(VLOOKUP(B395,Database!$A:$AV,MATCH($P$1,Database!$A$1:$AV$1,),)=0,"#N/A",((((VLOOKUP(B395,Database!$A:$AS,MATCH($P$1,Database!$A$1:$AS$1,),))))-(((VLOOKUP(EDATE(B395,-12),Database!$A:$AS,MATCH($P$1,Database!$A$1:$AS$1,),)))))/(((VLOOKUP(EDATE(B395,-12),Database!$A:$AS,MATCH($P$1,Database!$A$1:$AS$1,),)))))</f>
        <v/>
      </c>
      <c r="Q395" s="13">
        <f>IF(VLOOKUP(B395,Database!$A:$AV,MATCH($Q$1,Database!$A$1:$AV$1,),)=0,"#N/A",((((VLOOKUP(B395,Database!$A:$AS,MATCH($Q$1,Database!$A$1:$AS$1,),))))-(((VLOOKUP(EDATE(B395,-12),Database!$A:$AS,MATCH($Q$1,Database!$A$1:$AS$1,),)))))/(((VLOOKUP(EDATE(B395,-12),Database!$A:$AS,MATCH($Q$1,Database!$A$1:$AS$1,),)))))</f>
        <v/>
      </c>
      <c r="R395" s="13">
        <f>IF(VLOOKUP(B395,Database!$A:$AV,MATCH($R$1,Database!$A$1:$AV$1,),)=0,"#N/A",((((VLOOKUP(B395,Database!$A:$AS,MATCH($R$1,Database!$A$1:$AS$1,),))))-(((VLOOKUP(EDATE(B395,-12),Database!$A:$AS,MATCH($R$1,Database!$A$1:$AS$1,),)))))/(((VLOOKUP(EDATE(B395,-12),Database!$A:$AS,MATCH($R$1,Database!$A$1:$AS$1,),)))))</f>
        <v/>
      </c>
      <c r="S395" s="13">
        <f>IF(VLOOKUP(B395,Database!$A:$AV,MATCH($S$1,Database!$A$1:$AV$1,),)=0,"#N/A",((((VLOOKUP(B395,Database!$A:$AS,MATCH($S$1,Database!$A$1:$AS$1,),))))-(((VLOOKUP(EDATE(B395,-12),Database!$A:$AS,MATCH($S$1,Database!$A$1:$AS$1,),)))))/(((VLOOKUP(EDATE(B395,-12),Database!$A:$AS,MATCH($S$1,Database!$A$1:$AS$1,),)))))</f>
        <v/>
      </c>
      <c r="T395" s="13">
        <f>IF(VLOOKUP(B395,Database!$A:$AV,MATCH($T$1,Database!$A$1:$AV$1,),)=0,"#N/A",((((VLOOKUP(B395,Database!$A:$AS,MATCH($T$1,Database!$A$1:$AS$1,),))))-(((VLOOKUP(EDATE(B395,-12),Database!$A:$AS,MATCH($T$1,Database!$A$1:$AS$1,),)))))/(((VLOOKUP(EDATE(B395,-12),Database!$A:$AS,MATCH($T$1,Database!$A$1:$AS$1,),)))))</f>
        <v/>
      </c>
      <c r="U395" s="13">
        <f>IF(VLOOKUP(B395,Database!$A:$AV,MATCH($U$1,Database!$A$1:$AV$1,),)=0,"#N/A",((((VLOOKUP(B395,Database!$A:$AS,MATCH($U$1,Database!$A$1:$AS$1,),))))-(((VLOOKUP(EDATE(B395,-12),Database!$A:$AS,MATCH($U$1,Database!$A$1:$AS$1,),)))))/(((VLOOKUP(EDATE(B395,-12),Database!$A:$AS,MATCH($U$1,Database!$A$1:$AS$1,),)))))</f>
        <v/>
      </c>
      <c r="V395" s="13">
        <f>IF(VLOOKUP(B395,Database!$A:$AV,MATCH($V$1,Database!$A$1:$AV$1,),)=0,"#N/A",((((VLOOKUP(B395,Database!$A:$AS,MATCH($V$1,Database!$A$1:$AS$1,),))))-(((VLOOKUP(EDATE(B395,-12),Database!$A:$AS,MATCH($V$1,Database!$A$1:$AS$1,),)))))/(((VLOOKUP(EDATE(B395,-12),Database!$A:$AS,MATCH($V$1,Database!$A$1:$AS$1,),)))))</f>
        <v/>
      </c>
    </row>
    <row r="396" customFormat="1" s="86">
      <c r="B396" s="75" t="n">
        <v>44197</v>
      </c>
      <c r="C396" s="13">
        <f>IF(VLOOKUP(B396,Database!$A:$AU,MATCH($C$1,Database!$A$1:$AU$1,),)=0,"#N/A",((((VLOOKUP(B396,Database!$A:$AU,MATCH($C$1,Database!$A$1:$AU$1,),))))-(((VLOOKUP(EDATE(B396,-12),Database!$A:$AU,MATCH($C$1,Database!$A$1:$AU$1,),)))))/(((VLOOKUP(EDATE(B396,-12),Database!$A:$AU,MATCH($C$1,Database!$A$1:$AU$1,),)))))</f>
        <v/>
      </c>
      <c r="D396" s="13">
        <f>IF(VLOOKUP(B396,Database!$A:$AV,MATCH($D$1,Database!$A$1:$AV$1,),)=0,"#N/A",((((VLOOKUP(B396,Database!$A:$AS,MATCH($D$1,Database!$A$1:$AS$1,),))))-(((VLOOKUP(EDATE(B396,-12),Database!$A:$AS,MATCH($D$1,Database!$A$1:$AS$1,),)))))/(((VLOOKUP(EDATE(B396,-12),Database!$A:$AS,MATCH($D$1,Database!$A$1:$AS$1,),)))))</f>
        <v/>
      </c>
      <c r="E396" s="13">
        <f>IF(VLOOKUP(B396,Database!$A:$AV,MATCH($E$1,Database!$A$1:$AV$1,),)=0,"#N/A",((((VLOOKUP(B396,Database!$A:$AS,MATCH($E$1,Database!$A$1:$AS$1,),))))-(((VLOOKUP(EDATE(B396,-12),Database!$A:$AS,MATCH($E$1,Database!$A$1:$AS$1,),)))))/(((VLOOKUP(EDATE(B396,-12),Database!$A:$AS,MATCH($E$1,Database!$A$1:$AS$1,),)))))</f>
        <v/>
      </c>
      <c r="F396" s="13">
        <f>IF(VLOOKUP(B396,Database!$A:$AV,MATCH($F$1,Database!$A$1:$AV$1,),)=0,"#N/A",((((VLOOKUP(B396,Database!$A:$AS,MATCH($F$1,Database!$A$1:$AS$1,),))))-(((VLOOKUP(EDATE(B396,-12),Database!$A:$AS,MATCH($F$1,Database!$A$1:$AS$1,),)))))/(((VLOOKUP(EDATE(B396,-12),Database!$A:$AS,MATCH($F$1,Database!$A$1:$AS$1,),)))))</f>
        <v/>
      </c>
      <c r="G396" s="13">
        <f>IF(VLOOKUP(B396,Database!$A:$AV,MATCH($G$1,Database!$A$1:$AV$1,),)=0,"#N/A",((((VLOOKUP(B396,Database!$A:$AS,MATCH($G$1,Database!$A$1:$AS$1,),))))-(((VLOOKUP(EDATE(B396,-12),Database!$A:$AS,MATCH($G$1,Database!$A$1:$AS$1,),)))))/(((VLOOKUP(EDATE(B396,-12),Database!$A:$AS,MATCH($G$1,Database!$A$1:$AS$1,),)))))</f>
        <v/>
      </c>
      <c r="H396" s="13">
        <f>IF(VLOOKUP(B396,Database!$A:$AV,MATCH($H$1,Database!$A$1:$AV$1,),)=0,"#N/A",((((VLOOKUP(B396,Database!$A:$AS,MATCH($H$1,Database!$A$1:$AS$1,),))))-(((VLOOKUP(EDATE(B396,-12),Database!$A:$AS,MATCH($H$1,Database!$A$1:$AS$1,),)))))/(((VLOOKUP(EDATE(B396,-12),Database!$A:$AS,MATCH($H$1,Database!$A$1:$AS$1,),)))))</f>
        <v/>
      </c>
      <c r="I396" s="13">
        <f>IF(VLOOKUP(B396,Database!$A:$AV,MATCH($I$1,Database!$A$1:$AV$1,),)=0,"#N/A",((((VLOOKUP(B396,Database!$A:$AS,MATCH($I$1,Database!$A$1:$AS$1,),))))-(((VLOOKUP(EDATE(B396,-12),Database!$A:$AS,MATCH($I$1,Database!$A$1:$AS$1,),)))))/(((VLOOKUP(EDATE(B396,-12),Database!$A:$AS,MATCH($I$1,Database!$A$1:$AS$1,),)))))</f>
        <v/>
      </c>
      <c r="J396" s="13">
        <f>IF(VLOOKUP(B396,Database!$A:$AV,MATCH($J$1,Database!$A$1:$AV$1,),)=0,"#N/A",((((VLOOKUP(B396,Database!$A:$AS,MATCH($J$1,Database!$A$1:$AS$1,),))))-(((VLOOKUP(EDATE(B396,-12),Database!$A:$AS,MATCH($J$1,Database!$A$1:$AS$1,),)))))/(((VLOOKUP(EDATE(B396,-12),Database!$A:$AS,MATCH($J$1,Database!$A$1:$AS$1,),)))))</f>
        <v/>
      </c>
      <c r="K396" s="13">
        <f>IF(VLOOKUP(B396,Database!$A:$AV,MATCH($K$1,Database!$A$1:$AV$1,),)=0,"#N/A",((((VLOOKUP(B396,Database!$A:$AS,MATCH($K$1,Database!$A$1:$AS$1,),))))-(((VLOOKUP(EDATE(B396,-12),Database!$A:$AS,MATCH($K$1,Database!$A$1:$AS$1,),)))))/(((VLOOKUP(EDATE(B396,-12),Database!$A:$AS,MATCH($K$1,Database!$A$1:$AS$1,),)))))</f>
        <v/>
      </c>
      <c r="L396" s="13" t="n"/>
      <c r="M396" s="13" t="n"/>
      <c r="N396" s="13" t="n"/>
      <c r="O396" s="13">
        <f>IF(VLOOKUP(B396,Database!$A:$AV,MATCH($O$1,Database!$A$1:$AV$1,),)=0,"#N/A",((((VLOOKUP(B396,Database!$A:$AS,MATCH($O$1,Database!$A$1:$AS$1,),))))-(((VLOOKUP(EDATE(B396,-12),Database!$A:$AS,MATCH($O$1,Database!$A$1:$AS$1,),)))))/(((VLOOKUP(EDATE(B396,-12),Database!$A:$AS,MATCH($O$1,Database!$A$1:$AS$1,),)))))</f>
        <v/>
      </c>
      <c r="P396" s="13">
        <f>IF(VLOOKUP(B396,Database!$A:$AV,MATCH($P$1,Database!$A$1:$AV$1,),)=0,"#N/A",((((VLOOKUP(B396,Database!$A:$AS,MATCH($P$1,Database!$A$1:$AS$1,),))))-(((VLOOKUP(EDATE(B396,-12),Database!$A:$AS,MATCH($P$1,Database!$A$1:$AS$1,),)))))/(((VLOOKUP(EDATE(B396,-12),Database!$A:$AS,MATCH($P$1,Database!$A$1:$AS$1,),)))))</f>
        <v/>
      </c>
      <c r="Q396" s="13">
        <f>IF(VLOOKUP(B396,Database!$A:$AV,MATCH($Q$1,Database!$A$1:$AV$1,),)=0,"#N/A",((((VLOOKUP(B396,Database!$A:$AS,MATCH($Q$1,Database!$A$1:$AS$1,),))))-(((VLOOKUP(EDATE(B396,-12),Database!$A:$AS,MATCH($Q$1,Database!$A$1:$AS$1,),)))))/(((VLOOKUP(EDATE(B396,-12),Database!$A:$AS,MATCH($Q$1,Database!$A$1:$AS$1,),)))))</f>
        <v/>
      </c>
      <c r="R396" s="13">
        <f>IF(VLOOKUP(B396,Database!$A:$AV,MATCH($R$1,Database!$A$1:$AV$1,),)=0,"#N/A",((((VLOOKUP(B396,Database!$A:$AS,MATCH($R$1,Database!$A$1:$AS$1,),))))-(((VLOOKUP(EDATE(B396,-12),Database!$A:$AS,MATCH($R$1,Database!$A$1:$AS$1,),)))))/(((VLOOKUP(EDATE(B396,-12),Database!$A:$AS,MATCH($R$1,Database!$A$1:$AS$1,),)))))</f>
        <v/>
      </c>
      <c r="S396" s="13">
        <f>IF(VLOOKUP(B396,Database!$A:$AV,MATCH($S$1,Database!$A$1:$AV$1,),)=0,"#N/A",((((VLOOKUP(B396,Database!$A:$AS,MATCH($S$1,Database!$A$1:$AS$1,),))))-(((VLOOKUP(EDATE(B396,-12),Database!$A:$AS,MATCH($S$1,Database!$A$1:$AS$1,),)))))/(((VLOOKUP(EDATE(B396,-12),Database!$A:$AS,MATCH($S$1,Database!$A$1:$AS$1,),)))))</f>
        <v/>
      </c>
      <c r="T396" s="13">
        <f>IF(VLOOKUP(B396,Database!$A:$AV,MATCH($T$1,Database!$A$1:$AV$1,),)=0,"#N/A",((((VLOOKUP(B396,Database!$A:$AS,MATCH($T$1,Database!$A$1:$AS$1,),))))-(((VLOOKUP(EDATE(B396,-12),Database!$A:$AS,MATCH($T$1,Database!$A$1:$AS$1,),)))))/(((VLOOKUP(EDATE(B396,-12),Database!$A:$AS,MATCH($T$1,Database!$A$1:$AS$1,),)))))</f>
        <v/>
      </c>
      <c r="U396" s="13">
        <f>IF(VLOOKUP(B396,Database!$A:$AV,MATCH($U$1,Database!$A$1:$AV$1,),)=0,"#N/A",((((VLOOKUP(B396,Database!$A:$AS,MATCH($U$1,Database!$A$1:$AS$1,),))))-(((VLOOKUP(EDATE(B396,-12),Database!$A:$AS,MATCH($U$1,Database!$A$1:$AS$1,),)))))/(((VLOOKUP(EDATE(B396,-12),Database!$A:$AS,MATCH($U$1,Database!$A$1:$AS$1,),)))))</f>
        <v/>
      </c>
      <c r="V396" s="13">
        <f>IF(VLOOKUP(B396,Database!$A:$AV,MATCH($V$1,Database!$A$1:$AV$1,),)=0,"#N/A",((((VLOOKUP(B396,Database!$A:$AS,MATCH($V$1,Database!$A$1:$AS$1,),))))-(((VLOOKUP(EDATE(B396,-12),Database!$A:$AS,MATCH($V$1,Database!$A$1:$AS$1,),)))))/(((VLOOKUP(EDATE(B396,-12),Database!$A:$AS,MATCH($V$1,Database!$A$1:$AS$1,),)))))</f>
        <v/>
      </c>
    </row>
    <row r="397" customFormat="1" s="86">
      <c r="B397" s="75" t="n">
        <v>44228</v>
      </c>
      <c r="C397" s="13">
        <f>IF(VLOOKUP(B397,Database!$A:$AU,MATCH($C$1,Database!$A$1:$AU$1,),)=0,"#N/A",((((VLOOKUP(B397,Database!$A:$AU,MATCH($C$1,Database!$A$1:$AU$1,),))))-(((VLOOKUP(EDATE(B397,-12),Database!$A:$AU,MATCH($C$1,Database!$A$1:$AU$1,),)))))/(((VLOOKUP(EDATE(B397,-12),Database!$A:$AU,MATCH($C$1,Database!$A$1:$AU$1,),)))))</f>
        <v/>
      </c>
      <c r="D397" s="13">
        <f>IF(VLOOKUP(B397,Database!$A:$AV,MATCH($D$1,Database!$A$1:$AV$1,),)=0,"#N/A",((((VLOOKUP(B397,Database!$A:$AS,MATCH($D$1,Database!$A$1:$AS$1,),))))-(((VLOOKUP(EDATE(B397,-12),Database!$A:$AS,MATCH($D$1,Database!$A$1:$AS$1,),)))))/(((VLOOKUP(EDATE(B397,-12),Database!$A:$AS,MATCH($D$1,Database!$A$1:$AS$1,),)))))</f>
        <v/>
      </c>
      <c r="E397" s="13">
        <f>IF(VLOOKUP(B397,Database!$A:$AV,MATCH($E$1,Database!$A$1:$AV$1,),)=0,"#N/A",((((VLOOKUP(B397,Database!$A:$AS,MATCH($E$1,Database!$A$1:$AS$1,),))))-(((VLOOKUP(EDATE(B397,-12),Database!$A:$AS,MATCH($E$1,Database!$A$1:$AS$1,),)))))/(((VLOOKUP(EDATE(B397,-12),Database!$A:$AS,MATCH($E$1,Database!$A$1:$AS$1,),)))))</f>
        <v/>
      </c>
      <c r="F397" s="13">
        <f>IF(VLOOKUP(B397,Database!$A:$AV,MATCH($F$1,Database!$A$1:$AV$1,),)=0,"#N/A",((((VLOOKUP(B397,Database!$A:$AS,MATCH($F$1,Database!$A$1:$AS$1,),))))-(((VLOOKUP(EDATE(B397,-12),Database!$A:$AS,MATCH($F$1,Database!$A$1:$AS$1,),)))))/(((VLOOKUP(EDATE(B397,-12),Database!$A:$AS,MATCH($F$1,Database!$A$1:$AS$1,),)))))</f>
        <v/>
      </c>
      <c r="G397" s="13">
        <f>IF(VLOOKUP(B397,Database!$A:$AV,MATCH($G$1,Database!$A$1:$AV$1,),)=0,"#N/A",((((VLOOKUP(B397,Database!$A:$AS,MATCH($G$1,Database!$A$1:$AS$1,),))))-(((VLOOKUP(EDATE(B397,-12),Database!$A:$AS,MATCH($G$1,Database!$A$1:$AS$1,),)))))/(((VLOOKUP(EDATE(B397,-12),Database!$A:$AS,MATCH($G$1,Database!$A$1:$AS$1,),)))))</f>
        <v/>
      </c>
      <c r="H397" s="13">
        <f>IF(VLOOKUP(B397,Database!$A:$AV,MATCH($H$1,Database!$A$1:$AV$1,),)=0,"#N/A",((((VLOOKUP(B397,Database!$A:$AS,MATCH($H$1,Database!$A$1:$AS$1,),))))-(((VLOOKUP(EDATE(B397,-12),Database!$A:$AS,MATCH($H$1,Database!$A$1:$AS$1,),)))))/(((VLOOKUP(EDATE(B397,-12),Database!$A:$AS,MATCH($H$1,Database!$A$1:$AS$1,),)))))</f>
        <v/>
      </c>
      <c r="I397" s="13">
        <f>IF(VLOOKUP(B397,Database!$A:$AV,MATCH($I$1,Database!$A$1:$AV$1,),)=0,"#N/A",((((VLOOKUP(B397,Database!$A:$AS,MATCH($I$1,Database!$A$1:$AS$1,),))))-(((VLOOKUP(EDATE(B397,-12),Database!$A:$AS,MATCH($I$1,Database!$A$1:$AS$1,),)))))/(((VLOOKUP(EDATE(B397,-12),Database!$A:$AS,MATCH($I$1,Database!$A$1:$AS$1,),)))))</f>
        <v/>
      </c>
      <c r="J397" s="13">
        <f>IF(VLOOKUP(B397,Database!$A:$AV,MATCH($J$1,Database!$A$1:$AV$1,),)=0,"#N/A",((((VLOOKUP(B397,Database!$A:$AS,MATCH($J$1,Database!$A$1:$AS$1,),))))-(((VLOOKUP(EDATE(B397,-12),Database!$A:$AS,MATCH($J$1,Database!$A$1:$AS$1,),)))))/(((VLOOKUP(EDATE(B397,-12),Database!$A:$AS,MATCH($J$1,Database!$A$1:$AS$1,),)))))</f>
        <v/>
      </c>
      <c r="K397" s="13">
        <f>IF(VLOOKUP(B397,Database!$A:$AV,MATCH($K$1,Database!$A$1:$AV$1,),)=0,"#N/A",((((VLOOKUP(B397,Database!$A:$AS,MATCH($K$1,Database!$A$1:$AS$1,),))))-(((VLOOKUP(EDATE(B397,-12),Database!$A:$AS,MATCH($K$1,Database!$A$1:$AS$1,),)))))/(((VLOOKUP(EDATE(B397,-12),Database!$A:$AS,MATCH($K$1,Database!$A$1:$AS$1,),)))))</f>
        <v/>
      </c>
      <c r="L397" s="13" t="n"/>
      <c r="M397" s="13" t="n"/>
      <c r="N397" s="13" t="n"/>
      <c r="O397" s="13">
        <f>IF(VLOOKUP(B397,Database!$A:$AV,MATCH($O$1,Database!$A$1:$AV$1,),)=0,"#N/A",((((VLOOKUP(B397,Database!$A:$AS,MATCH($O$1,Database!$A$1:$AS$1,),))))-(((VLOOKUP(EDATE(B397,-12),Database!$A:$AS,MATCH($O$1,Database!$A$1:$AS$1,),)))))/(((VLOOKUP(EDATE(B397,-12),Database!$A:$AS,MATCH($O$1,Database!$A$1:$AS$1,),)))))</f>
        <v/>
      </c>
      <c r="P397" s="13">
        <f>IF(VLOOKUP(B397,Database!$A:$AV,MATCH($P$1,Database!$A$1:$AV$1,),)=0,"#N/A",((((VLOOKUP(B397,Database!$A:$AS,MATCH($P$1,Database!$A$1:$AS$1,),))))-(((VLOOKUP(EDATE(B397,-12),Database!$A:$AS,MATCH($P$1,Database!$A$1:$AS$1,),)))))/(((VLOOKUP(EDATE(B397,-12),Database!$A:$AS,MATCH($P$1,Database!$A$1:$AS$1,),)))))</f>
        <v/>
      </c>
      <c r="Q397" s="13">
        <f>IF(VLOOKUP(B397,Database!$A:$AV,MATCH($Q$1,Database!$A$1:$AV$1,),)=0,"#N/A",((((VLOOKUP(B397,Database!$A:$AS,MATCH($Q$1,Database!$A$1:$AS$1,),))))-(((VLOOKUP(EDATE(B397,-12),Database!$A:$AS,MATCH($Q$1,Database!$A$1:$AS$1,),)))))/(((VLOOKUP(EDATE(B397,-12),Database!$A:$AS,MATCH($Q$1,Database!$A$1:$AS$1,),)))))</f>
        <v/>
      </c>
      <c r="R397" s="13">
        <f>IF(VLOOKUP(B397,Database!$A:$AV,MATCH($R$1,Database!$A$1:$AV$1,),)=0,"#N/A",((((VLOOKUP(B397,Database!$A:$AS,MATCH($R$1,Database!$A$1:$AS$1,),))))-(((VLOOKUP(EDATE(B397,-12),Database!$A:$AS,MATCH($R$1,Database!$A$1:$AS$1,),)))))/(((VLOOKUP(EDATE(B397,-12),Database!$A:$AS,MATCH($R$1,Database!$A$1:$AS$1,),)))))</f>
        <v/>
      </c>
      <c r="S397" s="13">
        <f>IF(VLOOKUP(B397,Database!$A:$AV,MATCH($S$1,Database!$A$1:$AV$1,),)=0,"#N/A",((((VLOOKUP(B397,Database!$A:$AS,MATCH($S$1,Database!$A$1:$AS$1,),))))-(((VLOOKUP(EDATE(B397,-12),Database!$A:$AS,MATCH($S$1,Database!$A$1:$AS$1,),)))))/(((VLOOKUP(EDATE(B397,-12),Database!$A:$AS,MATCH($S$1,Database!$A$1:$AS$1,),)))))</f>
        <v/>
      </c>
      <c r="T397" s="13">
        <f>IF(VLOOKUP(B397,Database!$A:$AV,MATCH($T$1,Database!$A$1:$AV$1,),)=0,"#N/A",((((VLOOKUP(B397,Database!$A:$AS,MATCH($T$1,Database!$A$1:$AS$1,),))))-(((VLOOKUP(EDATE(B397,-12),Database!$A:$AS,MATCH($T$1,Database!$A$1:$AS$1,),)))))/(((VLOOKUP(EDATE(B397,-12),Database!$A:$AS,MATCH($T$1,Database!$A$1:$AS$1,),)))))</f>
        <v/>
      </c>
      <c r="U397" s="13">
        <f>IF(VLOOKUP(B397,Database!$A:$AV,MATCH($U$1,Database!$A$1:$AV$1,),)=0,"#N/A",((((VLOOKUP(B397,Database!$A:$AS,MATCH($U$1,Database!$A$1:$AS$1,),))))-(((VLOOKUP(EDATE(B397,-12),Database!$A:$AS,MATCH($U$1,Database!$A$1:$AS$1,),)))))/(((VLOOKUP(EDATE(B397,-12),Database!$A:$AS,MATCH($U$1,Database!$A$1:$AS$1,),)))))</f>
        <v/>
      </c>
      <c r="V397" s="13">
        <f>IF(VLOOKUP(B397,Database!$A:$AV,MATCH($V$1,Database!$A$1:$AV$1,),)=0,"#N/A",((((VLOOKUP(B397,Database!$A:$AS,MATCH($V$1,Database!$A$1:$AS$1,),))))-(((VLOOKUP(EDATE(B397,-12),Database!$A:$AS,MATCH($V$1,Database!$A$1:$AS$1,),)))))/(((VLOOKUP(EDATE(B397,-12),Database!$A:$AS,MATCH($V$1,Database!$A$1:$AS$1,),)))))</f>
        <v/>
      </c>
    </row>
    <row r="398" customFormat="1" s="86">
      <c r="B398" s="75" t="n">
        <v>44256</v>
      </c>
      <c r="C398" s="13">
        <f>IF(VLOOKUP(B398,Database!$A:$AU,MATCH($C$1,Database!$A$1:$AU$1,),)=0,"#N/A",((((VLOOKUP(B398,Database!$A:$AU,MATCH($C$1,Database!$A$1:$AU$1,),))))-(((VLOOKUP(EDATE(B398,-12),Database!$A:$AU,MATCH($C$1,Database!$A$1:$AU$1,),)))))/(((VLOOKUP(EDATE(B398,-12),Database!$A:$AU,MATCH($C$1,Database!$A$1:$AU$1,),)))))</f>
        <v/>
      </c>
      <c r="D398" s="13">
        <f>IF(VLOOKUP(B398,Database!$A:$AV,MATCH($D$1,Database!$A$1:$AV$1,),)=0,"#N/A",((((VLOOKUP(B398,Database!$A:$AS,MATCH($D$1,Database!$A$1:$AS$1,),))))-(((VLOOKUP(EDATE(B398,-12),Database!$A:$AS,MATCH($D$1,Database!$A$1:$AS$1,),)))))/(((VLOOKUP(EDATE(B398,-12),Database!$A:$AS,MATCH($D$1,Database!$A$1:$AS$1,),)))))</f>
        <v/>
      </c>
      <c r="E398" s="13">
        <f>IF(VLOOKUP(B398,Database!$A:$AV,MATCH($E$1,Database!$A$1:$AV$1,),)=0,"#N/A",((((VLOOKUP(B398,Database!$A:$AS,MATCH($E$1,Database!$A$1:$AS$1,),))))-(((VLOOKUP(EDATE(B398,-12),Database!$A:$AS,MATCH($E$1,Database!$A$1:$AS$1,),)))))/(((VLOOKUP(EDATE(B398,-12),Database!$A:$AS,MATCH($E$1,Database!$A$1:$AS$1,),)))))</f>
        <v/>
      </c>
      <c r="F398" s="13">
        <f>IF(VLOOKUP(B398,Database!$A:$AV,MATCH($F$1,Database!$A$1:$AV$1,),)=0,"#N/A",((((VLOOKUP(B398,Database!$A:$AS,MATCH($F$1,Database!$A$1:$AS$1,),))))-(((VLOOKUP(EDATE(B398,-12),Database!$A:$AS,MATCH($F$1,Database!$A$1:$AS$1,),)))))/(((VLOOKUP(EDATE(B398,-12),Database!$A:$AS,MATCH($F$1,Database!$A$1:$AS$1,),)))))</f>
        <v/>
      </c>
      <c r="G398" s="13">
        <f>IF(VLOOKUP(B398,Database!$A:$AV,MATCH($G$1,Database!$A$1:$AV$1,),)=0,"#N/A",((((VLOOKUP(B398,Database!$A:$AS,MATCH($G$1,Database!$A$1:$AS$1,),))))-(((VLOOKUP(EDATE(B398,-12),Database!$A:$AS,MATCH($G$1,Database!$A$1:$AS$1,),)))))/(((VLOOKUP(EDATE(B398,-12),Database!$A:$AS,MATCH($G$1,Database!$A$1:$AS$1,),)))))</f>
        <v/>
      </c>
      <c r="H398" s="13">
        <f>IF(VLOOKUP(B398,Database!$A:$AV,MATCH($H$1,Database!$A$1:$AV$1,),)=0,"#N/A",((((VLOOKUP(B398,Database!$A:$AS,MATCH($H$1,Database!$A$1:$AS$1,),))))-(((VLOOKUP(EDATE(B398,-12),Database!$A:$AS,MATCH($H$1,Database!$A$1:$AS$1,),)))))/(((VLOOKUP(EDATE(B398,-12),Database!$A:$AS,MATCH($H$1,Database!$A$1:$AS$1,),)))))</f>
        <v/>
      </c>
      <c r="I398" s="13">
        <f>IF(VLOOKUP(B398,Database!$A:$AV,MATCH($I$1,Database!$A$1:$AV$1,),)=0,"#N/A",((((VLOOKUP(B398,Database!$A:$AS,MATCH($I$1,Database!$A$1:$AS$1,),))))-(((VLOOKUP(EDATE(B398,-12),Database!$A:$AS,MATCH($I$1,Database!$A$1:$AS$1,),)))))/(((VLOOKUP(EDATE(B398,-12),Database!$A:$AS,MATCH($I$1,Database!$A$1:$AS$1,),)))))</f>
        <v/>
      </c>
      <c r="J398" s="13">
        <f>IF(VLOOKUP(B398,Database!$A:$AV,MATCH($J$1,Database!$A$1:$AV$1,),)=0,"#N/A",((((VLOOKUP(B398,Database!$A:$AS,MATCH($J$1,Database!$A$1:$AS$1,),))))-(((VLOOKUP(EDATE(B398,-12),Database!$A:$AS,MATCH($J$1,Database!$A$1:$AS$1,),)))))/(((VLOOKUP(EDATE(B398,-12),Database!$A:$AS,MATCH($J$1,Database!$A$1:$AS$1,),)))))</f>
        <v/>
      </c>
      <c r="K398" s="13">
        <f>IF(VLOOKUP(B398,Database!$A:$AV,MATCH($K$1,Database!$A$1:$AV$1,),)=0,"#N/A",((((VLOOKUP(B398,Database!$A:$AS,MATCH($K$1,Database!$A$1:$AS$1,),))))-(((VLOOKUP(EDATE(B398,-12),Database!$A:$AS,MATCH($K$1,Database!$A$1:$AS$1,),)))))/(((VLOOKUP(EDATE(B398,-12),Database!$A:$AS,MATCH($K$1,Database!$A$1:$AS$1,),)))))</f>
        <v/>
      </c>
      <c r="L398" s="13" t="n"/>
      <c r="M398" s="13" t="n"/>
      <c r="N398" s="13" t="n"/>
      <c r="O398" s="13">
        <f>IF(VLOOKUP(B398,Database!$A:$AV,MATCH($O$1,Database!$A$1:$AV$1,),)=0,"#N/A",((((VLOOKUP(B398,Database!$A:$AS,MATCH($O$1,Database!$A$1:$AS$1,),))))-(((VLOOKUP(EDATE(B398,-12),Database!$A:$AS,MATCH($O$1,Database!$A$1:$AS$1,),)))))/(((VLOOKUP(EDATE(B398,-12),Database!$A:$AS,MATCH($O$1,Database!$A$1:$AS$1,),)))))</f>
        <v/>
      </c>
      <c r="P398" s="13">
        <f>IF(VLOOKUP(B398,Database!$A:$AV,MATCH($P$1,Database!$A$1:$AV$1,),)=0,"#N/A",((((VLOOKUP(B398,Database!$A:$AS,MATCH($P$1,Database!$A$1:$AS$1,),))))-(((VLOOKUP(EDATE(B398,-12),Database!$A:$AS,MATCH($P$1,Database!$A$1:$AS$1,),)))))/(((VLOOKUP(EDATE(B398,-12),Database!$A:$AS,MATCH($P$1,Database!$A$1:$AS$1,),)))))</f>
        <v/>
      </c>
      <c r="Q398" s="13">
        <f>IF(VLOOKUP(B398,Database!$A:$AV,MATCH($Q$1,Database!$A$1:$AV$1,),)=0,"#N/A",((((VLOOKUP(B398,Database!$A:$AS,MATCH($Q$1,Database!$A$1:$AS$1,),))))-(((VLOOKUP(EDATE(B398,-12),Database!$A:$AS,MATCH($Q$1,Database!$A$1:$AS$1,),)))))/(((VLOOKUP(EDATE(B398,-12),Database!$A:$AS,MATCH($Q$1,Database!$A$1:$AS$1,),)))))</f>
        <v/>
      </c>
      <c r="R398" s="13">
        <f>IF(VLOOKUP(B398,Database!$A:$AV,MATCH($R$1,Database!$A$1:$AV$1,),)=0,"#N/A",((((VLOOKUP(B398,Database!$A:$AS,MATCH($R$1,Database!$A$1:$AS$1,),))))-(((VLOOKUP(EDATE(B398,-12),Database!$A:$AS,MATCH($R$1,Database!$A$1:$AS$1,),)))))/(((VLOOKUP(EDATE(B398,-12),Database!$A:$AS,MATCH($R$1,Database!$A$1:$AS$1,),)))))</f>
        <v/>
      </c>
      <c r="S398" s="13">
        <f>IF(VLOOKUP(B398,Database!$A:$AV,MATCH($S$1,Database!$A$1:$AV$1,),)=0,"#N/A",((((VLOOKUP(B398,Database!$A:$AS,MATCH($S$1,Database!$A$1:$AS$1,),))))-(((VLOOKUP(EDATE(B398,-12),Database!$A:$AS,MATCH($S$1,Database!$A$1:$AS$1,),)))))/(((VLOOKUP(EDATE(B398,-12),Database!$A:$AS,MATCH($S$1,Database!$A$1:$AS$1,),)))))</f>
        <v/>
      </c>
      <c r="T398" s="13">
        <f>IF(VLOOKUP(B398,Database!$A:$AV,MATCH($T$1,Database!$A$1:$AV$1,),)=0,"#N/A",((((VLOOKUP(B398,Database!$A:$AS,MATCH($T$1,Database!$A$1:$AS$1,),))))-(((VLOOKUP(EDATE(B398,-12),Database!$A:$AS,MATCH($T$1,Database!$A$1:$AS$1,),)))))/(((VLOOKUP(EDATE(B398,-12),Database!$A:$AS,MATCH($T$1,Database!$A$1:$AS$1,),)))))</f>
        <v/>
      </c>
      <c r="U398" s="13">
        <f>IF(VLOOKUP(B398,Database!$A:$AV,MATCH($U$1,Database!$A$1:$AV$1,),)=0,"#N/A",((((VLOOKUP(B398,Database!$A:$AS,MATCH($U$1,Database!$A$1:$AS$1,),))))-(((VLOOKUP(EDATE(B398,-12),Database!$A:$AS,MATCH($U$1,Database!$A$1:$AS$1,),)))))/(((VLOOKUP(EDATE(B398,-12),Database!$A:$AS,MATCH($U$1,Database!$A$1:$AS$1,),)))))</f>
        <v/>
      </c>
      <c r="V398" s="13">
        <f>IF(VLOOKUP(B398,Database!$A:$AV,MATCH($V$1,Database!$A$1:$AV$1,),)=0,"#N/A",((((VLOOKUP(B398,Database!$A:$AS,MATCH($V$1,Database!$A$1:$AS$1,),))))-(((VLOOKUP(EDATE(B398,-12),Database!$A:$AS,MATCH($V$1,Database!$A$1:$AS$1,),)))))/(((VLOOKUP(EDATE(B398,-12),Database!$A:$AS,MATCH($V$1,Database!$A$1:$AS$1,),)))))</f>
        <v/>
      </c>
    </row>
    <row r="399" customFormat="1" s="86">
      <c r="B399" s="75" t="n">
        <v>44287</v>
      </c>
      <c r="C399" s="13">
        <f>IF(VLOOKUP(B399,Database!$A:$AU,MATCH($C$1,Database!$A$1:$AU$1,),)=0,"#N/A",((((VLOOKUP(B399,Database!$A:$AU,MATCH($C$1,Database!$A$1:$AU$1,),))))-(((VLOOKUP(EDATE(B399,-12),Database!$A:$AU,MATCH($C$1,Database!$A$1:$AU$1,),)))))/(((VLOOKUP(EDATE(B399,-12),Database!$A:$AU,MATCH($C$1,Database!$A$1:$AU$1,),)))))</f>
        <v/>
      </c>
      <c r="D399" s="13">
        <f>IF(VLOOKUP(B399,Database!$A:$AV,MATCH($D$1,Database!$A$1:$AV$1,),)=0,"#N/A",((((VLOOKUP(B399,Database!$A:$AS,MATCH($D$1,Database!$A$1:$AS$1,),))))-(((VLOOKUP(EDATE(B399,-12),Database!$A:$AS,MATCH($D$1,Database!$A$1:$AS$1,),)))))/(((VLOOKUP(EDATE(B399,-12),Database!$A:$AS,MATCH($D$1,Database!$A$1:$AS$1,),)))))</f>
        <v/>
      </c>
      <c r="E399" s="13">
        <f>IF(VLOOKUP(B399,Database!$A:$AV,MATCH($E$1,Database!$A$1:$AV$1,),)=0,"#N/A",((((VLOOKUP(B399,Database!$A:$AS,MATCH($E$1,Database!$A$1:$AS$1,),))))-(((VLOOKUP(EDATE(B399,-12),Database!$A:$AS,MATCH($E$1,Database!$A$1:$AS$1,),)))))/(((VLOOKUP(EDATE(B399,-12),Database!$A:$AS,MATCH($E$1,Database!$A$1:$AS$1,),)))))</f>
        <v/>
      </c>
      <c r="F399" s="13">
        <f>IF(VLOOKUP(B399,Database!$A:$AV,MATCH($F$1,Database!$A$1:$AV$1,),)=0,"#N/A",((((VLOOKUP(B399,Database!$A:$AS,MATCH($F$1,Database!$A$1:$AS$1,),))))-(((VLOOKUP(EDATE(B399,-12),Database!$A:$AS,MATCH($F$1,Database!$A$1:$AS$1,),)))))/(((VLOOKUP(EDATE(B399,-12),Database!$A:$AS,MATCH($F$1,Database!$A$1:$AS$1,),)))))</f>
        <v/>
      </c>
      <c r="G399" s="13">
        <f>IF(VLOOKUP(B399,Database!$A:$AV,MATCH($G$1,Database!$A$1:$AV$1,),)=0,"#N/A",((((VLOOKUP(B399,Database!$A:$AS,MATCH($G$1,Database!$A$1:$AS$1,),))))-(((VLOOKUP(EDATE(B399,-12),Database!$A:$AS,MATCH($G$1,Database!$A$1:$AS$1,),)))))/(((VLOOKUP(EDATE(B399,-12),Database!$A:$AS,MATCH($G$1,Database!$A$1:$AS$1,),)))))</f>
        <v/>
      </c>
      <c r="H399" s="13">
        <f>IF(VLOOKUP(B399,Database!$A:$AV,MATCH($H$1,Database!$A$1:$AV$1,),)=0,"#N/A",((((VLOOKUP(B399,Database!$A:$AS,MATCH($H$1,Database!$A$1:$AS$1,),))))-(((VLOOKUP(EDATE(B399,-12),Database!$A:$AS,MATCH($H$1,Database!$A$1:$AS$1,),)))))/(((VLOOKUP(EDATE(B399,-12),Database!$A:$AS,MATCH($H$1,Database!$A$1:$AS$1,),)))))</f>
        <v/>
      </c>
      <c r="I399" s="13">
        <f>IF(VLOOKUP(B399,Database!$A:$AV,MATCH($I$1,Database!$A$1:$AV$1,),)=0,"#N/A",((((VLOOKUP(B399,Database!$A:$AS,MATCH($I$1,Database!$A$1:$AS$1,),))))-(((VLOOKUP(EDATE(B399,-12),Database!$A:$AS,MATCH($I$1,Database!$A$1:$AS$1,),)))))/(((VLOOKUP(EDATE(B399,-12),Database!$A:$AS,MATCH($I$1,Database!$A$1:$AS$1,),)))))</f>
        <v/>
      </c>
      <c r="J399" s="13">
        <f>IF(VLOOKUP(B399,Database!$A:$AV,MATCH($J$1,Database!$A$1:$AV$1,),)=0,"#N/A",((((VLOOKUP(B399,Database!$A:$AS,MATCH($J$1,Database!$A$1:$AS$1,),))))-(((VLOOKUP(EDATE(B399,-12),Database!$A:$AS,MATCH($J$1,Database!$A$1:$AS$1,),)))))/(((VLOOKUP(EDATE(B399,-12),Database!$A:$AS,MATCH($J$1,Database!$A$1:$AS$1,),)))))</f>
        <v/>
      </c>
      <c r="K399" s="13">
        <f>IF(VLOOKUP(B399,Database!$A:$AV,MATCH($K$1,Database!$A$1:$AV$1,),)=0,"#N/A",((((VLOOKUP(B399,Database!$A:$AS,MATCH($K$1,Database!$A$1:$AS$1,),))))-(((VLOOKUP(EDATE(B399,-12),Database!$A:$AS,MATCH($K$1,Database!$A$1:$AS$1,),)))))/(((VLOOKUP(EDATE(B399,-12),Database!$A:$AS,MATCH($K$1,Database!$A$1:$AS$1,),)))))</f>
        <v/>
      </c>
      <c r="L399" s="13" t="n"/>
      <c r="M399" s="13" t="n"/>
      <c r="N399" s="13" t="n"/>
      <c r="O399" s="13">
        <f>IF(VLOOKUP(B399,Database!$A:$AV,MATCH($O$1,Database!$A$1:$AV$1,),)=0,"#N/A",((((VLOOKUP(B399,Database!$A:$AS,MATCH($O$1,Database!$A$1:$AS$1,),))))-(((VLOOKUP(EDATE(B399,-12),Database!$A:$AS,MATCH($O$1,Database!$A$1:$AS$1,),)))))/(((VLOOKUP(EDATE(B399,-12),Database!$A:$AS,MATCH($O$1,Database!$A$1:$AS$1,),)))))</f>
        <v/>
      </c>
      <c r="P399" s="13">
        <f>IF(VLOOKUP(B399,Database!$A:$AV,MATCH($P$1,Database!$A$1:$AV$1,),)=0,"#N/A",((((VLOOKUP(B399,Database!$A:$AS,MATCH($P$1,Database!$A$1:$AS$1,),))))-(((VLOOKUP(EDATE(B399,-12),Database!$A:$AS,MATCH($P$1,Database!$A$1:$AS$1,),)))))/(((VLOOKUP(EDATE(B399,-12),Database!$A:$AS,MATCH($P$1,Database!$A$1:$AS$1,),)))))</f>
        <v/>
      </c>
      <c r="Q399" s="13">
        <f>IF(VLOOKUP(B399,Database!$A:$AV,MATCH($Q$1,Database!$A$1:$AV$1,),)=0,"#N/A",((((VLOOKUP(B399,Database!$A:$AS,MATCH($Q$1,Database!$A$1:$AS$1,),))))-(((VLOOKUP(EDATE(B399,-12),Database!$A:$AS,MATCH($Q$1,Database!$A$1:$AS$1,),)))))/(((VLOOKUP(EDATE(B399,-12),Database!$A:$AS,MATCH($Q$1,Database!$A$1:$AS$1,),)))))</f>
        <v/>
      </c>
      <c r="R399" s="13">
        <f>IF(VLOOKUP(B399,Database!$A:$AV,MATCH($R$1,Database!$A$1:$AV$1,),)=0,"#N/A",((((VLOOKUP(B399,Database!$A:$AS,MATCH($R$1,Database!$A$1:$AS$1,),))))-(((VLOOKUP(EDATE(B399,-12),Database!$A:$AS,MATCH($R$1,Database!$A$1:$AS$1,),)))))/(((VLOOKUP(EDATE(B399,-12),Database!$A:$AS,MATCH($R$1,Database!$A$1:$AS$1,),)))))</f>
        <v/>
      </c>
      <c r="S399" s="13">
        <f>IF(VLOOKUP(B399,Database!$A:$AV,MATCH($S$1,Database!$A$1:$AV$1,),)=0,"#N/A",((((VLOOKUP(B399,Database!$A:$AS,MATCH($S$1,Database!$A$1:$AS$1,),))))-(((VLOOKUP(EDATE(B399,-12),Database!$A:$AS,MATCH($S$1,Database!$A$1:$AS$1,),)))))/(((VLOOKUP(EDATE(B399,-12),Database!$A:$AS,MATCH($S$1,Database!$A$1:$AS$1,),)))))</f>
        <v/>
      </c>
      <c r="T399" s="13">
        <f>IF(VLOOKUP(B399,Database!$A:$AV,MATCH($T$1,Database!$A$1:$AV$1,),)=0,"#N/A",((((VLOOKUP(B399,Database!$A:$AS,MATCH($T$1,Database!$A$1:$AS$1,),))))-(((VLOOKUP(EDATE(B399,-12),Database!$A:$AS,MATCH($T$1,Database!$A$1:$AS$1,),)))))/(((VLOOKUP(EDATE(B399,-12),Database!$A:$AS,MATCH($T$1,Database!$A$1:$AS$1,),)))))</f>
        <v/>
      </c>
      <c r="U399" s="13">
        <f>IF(VLOOKUP(B399,Database!$A:$AV,MATCH($U$1,Database!$A$1:$AV$1,),)=0,"#N/A",((((VLOOKUP(B399,Database!$A:$AS,MATCH($U$1,Database!$A$1:$AS$1,),))))-(((VLOOKUP(EDATE(B399,-12),Database!$A:$AS,MATCH($U$1,Database!$A$1:$AS$1,),)))))/(((VLOOKUP(EDATE(B399,-12),Database!$A:$AS,MATCH($U$1,Database!$A$1:$AS$1,),)))))</f>
        <v/>
      </c>
      <c r="V399" s="13">
        <f>IF(VLOOKUP(B399,Database!$A:$AV,MATCH($V$1,Database!$A$1:$AV$1,),)=0,"#N/A",((((VLOOKUP(B399,Database!$A:$AS,MATCH($V$1,Database!$A$1:$AS$1,),))))-(((VLOOKUP(EDATE(B399,-12),Database!$A:$AS,MATCH($V$1,Database!$A$1:$AS$1,),)))))/(((VLOOKUP(EDATE(B399,-12),Database!$A:$AS,MATCH($V$1,Database!$A$1:$AS$1,),)))))</f>
        <v/>
      </c>
    </row>
    <row r="400" customFormat="1" s="86">
      <c r="B400" s="75" t="n">
        <v>44317</v>
      </c>
      <c r="C400" s="13">
        <f>IF(VLOOKUP(B400,Database!$A:$AU,MATCH($C$1,Database!$A$1:$AU$1,),)=0,"#N/A",((((VLOOKUP(B400,Database!$A:$AU,MATCH($C$1,Database!$A$1:$AU$1,),))))-(((VLOOKUP(EDATE(B400,-12),Database!$A:$AU,MATCH($C$1,Database!$A$1:$AU$1,),)))))/(((VLOOKUP(EDATE(B400,-12),Database!$A:$AU,MATCH($C$1,Database!$A$1:$AU$1,),)))))</f>
        <v/>
      </c>
      <c r="D400" s="13">
        <f>IF(VLOOKUP(B400,Database!$A:$AV,MATCH($D$1,Database!$A$1:$AV$1,),)=0,"#N/A",((((VLOOKUP(B400,Database!$A:$AS,MATCH($D$1,Database!$A$1:$AS$1,),))))-(((VLOOKUP(EDATE(B400,-12),Database!$A:$AS,MATCH($D$1,Database!$A$1:$AS$1,),)))))/(((VLOOKUP(EDATE(B400,-12),Database!$A:$AS,MATCH($D$1,Database!$A$1:$AS$1,),)))))</f>
        <v/>
      </c>
      <c r="E400" s="13">
        <f>IF(VLOOKUP(B400,Database!$A:$AV,MATCH($E$1,Database!$A$1:$AV$1,),)=0,"#N/A",((((VLOOKUP(B400,Database!$A:$AS,MATCH($E$1,Database!$A$1:$AS$1,),))))-(((VLOOKUP(EDATE(B400,-12),Database!$A:$AS,MATCH($E$1,Database!$A$1:$AS$1,),)))))/(((VLOOKUP(EDATE(B400,-12),Database!$A:$AS,MATCH($E$1,Database!$A$1:$AS$1,),)))))</f>
        <v/>
      </c>
      <c r="F400" s="13">
        <f>IF(VLOOKUP(B400,Database!$A:$AV,MATCH($F$1,Database!$A$1:$AV$1,),)=0,"#N/A",((((VLOOKUP(B400,Database!$A:$AS,MATCH($F$1,Database!$A$1:$AS$1,),))))-(((VLOOKUP(EDATE(B400,-12),Database!$A:$AS,MATCH($F$1,Database!$A$1:$AS$1,),)))))/(((VLOOKUP(EDATE(B400,-12),Database!$A:$AS,MATCH($F$1,Database!$A$1:$AS$1,),)))))</f>
        <v/>
      </c>
      <c r="G400" s="13">
        <f>IF(VLOOKUP(B400,Database!$A:$AV,MATCH($G$1,Database!$A$1:$AV$1,),)=0,"#N/A",((((VLOOKUP(B400,Database!$A:$AS,MATCH($G$1,Database!$A$1:$AS$1,),))))-(((VLOOKUP(EDATE(B400,-12),Database!$A:$AS,MATCH($G$1,Database!$A$1:$AS$1,),)))))/(((VLOOKUP(EDATE(B400,-12),Database!$A:$AS,MATCH($G$1,Database!$A$1:$AS$1,),)))))</f>
        <v/>
      </c>
      <c r="H400" s="13">
        <f>IF(VLOOKUP(B400,Database!$A:$AV,MATCH($H$1,Database!$A$1:$AV$1,),)=0,"#N/A",((((VLOOKUP(B400,Database!$A:$AS,MATCH($H$1,Database!$A$1:$AS$1,),))))-(((VLOOKUP(EDATE(B400,-12),Database!$A:$AS,MATCH($H$1,Database!$A$1:$AS$1,),)))))/(((VLOOKUP(EDATE(B400,-12),Database!$A:$AS,MATCH($H$1,Database!$A$1:$AS$1,),)))))</f>
        <v/>
      </c>
      <c r="I400" s="13">
        <f>IF(VLOOKUP(B400,Database!$A:$AV,MATCH($I$1,Database!$A$1:$AV$1,),)=0,"#N/A",((((VLOOKUP(B400,Database!$A:$AS,MATCH($I$1,Database!$A$1:$AS$1,),))))-(((VLOOKUP(EDATE(B400,-12),Database!$A:$AS,MATCH($I$1,Database!$A$1:$AS$1,),)))))/(((VLOOKUP(EDATE(B400,-12),Database!$A:$AS,MATCH($I$1,Database!$A$1:$AS$1,),)))))</f>
        <v/>
      </c>
      <c r="J400" s="13">
        <f>IF(VLOOKUP(B400,Database!$A:$AV,MATCH($J$1,Database!$A$1:$AV$1,),)=0,"#N/A",((((VLOOKUP(B400,Database!$A:$AS,MATCH($J$1,Database!$A$1:$AS$1,),))))-(((VLOOKUP(EDATE(B400,-12),Database!$A:$AS,MATCH($J$1,Database!$A$1:$AS$1,),)))))/(((VLOOKUP(EDATE(B400,-12),Database!$A:$AS,MATCH($J$1,Database!$A$1:$AS$1,),)))))</f>
        <v/>
      </c>
      <c r="K400" s="13">
        <f>IF(VLOOKUP(B400,Database!$A:$AV,MATCH($K$1,Database!$A$1:$AV$1,),)=0,"#N/A",((((VLOOKUP(B400,Database!$A:$AS,MATCH($K$1,Database!$A$1:$AS$1,),))))-(((VLOOKUP(EDATE(B400,-12),Database!$A:$AS,MATCH($K$1,Database!$A$1:$AS$1,),)))))/(((VLOOKUP(EDATE(B400,-12),Database!$A:$AS,MATCH($K$1,Database!$A$1:$AS$1,),)))))</f>
        <v/>
      </c>
      <c r="L400" s="13" t="n"/>
      <c r="M400" s="13" t="n"/>
      <c r="N400" s="13" t="n"/>
      <c r="O400" s="13">
        <f>IF(VLOOKUP(B400,Database!$A:$AV,MATCH($O$1,Database!$A$1:$AV$1,),)=0,"#N/A",((((VLOOKUP(B400,Database!$A:$AS,MATCH($O$1,Database!$A$1:$AS$1,),))))-(((VLOOKUP(EDATE(B400,-12),Database!$A:$AS,MATCH($O$1,Database!$A$1:$AS$1,),)))))/(((VLOOKUP(EDATE(B400,-12),Database!$A:$AS,MATCH($O$1,Database!$A$1:$AS$1,),)))))</f>
        <v/>
      </c>
      <c r="P400" s="13">
        <f>IF(VLOOKUP(B400,Database!$A:$AV,MATCH($P$1,Database!$A$1:$AV$1,),)=0,"#N/A",((((VLOOKUP(B400,Database!$A:$AS,MATCH($P$1,Database!$A$1:$AS$1,),))))-(((VLOOKUP(EDATE(B400,-12),Database!$A:$AS,MATCH($P$1,Database!$A$1:$AS$1,),)))))/(((VLOOKUP(EDATE(B400,-12),Database!$A:$AS,MATCH($P$1,Database!$A$1:$AS$1,),)))))</f>
        <v/>
      </c>
      <c r="Q400" s="13">
        <f>IF(VLOOKUP(B400,Database!$A:$AV,MATCH($Q$1,Database!$A$1:$AV$1,),)=0,"#N/A",((((VLOOKUP(B400,Database!$A:$AS,MATCH($Q$1,Database!$A$1:$AS$1,),))))-(((VLOOKUP(EDATE(B400,-12),Database!$A:$AS,MATCH($Q$1,Database!$A$1:$AS$1,),)))))/(((VLOOKUP(EDATE(B400,-12),Database!$A:$AS,MATCH($Q$1,Database!$A$1:$AS$1,),)))))</f>
        <v/>
      </c>
      <c r="R400" s="13">
        <f>IF(VLOOKUP(B400,Database!$A:$AV,MATCH($R$1,Database!$A$1:$AV$1,),)=0,"#N/A",((((VLOOKUP(B400,Database!$A:$AS,MATCH($R$1,Database!$A$1:$AS$1,),))))-(((VLOOKUP(EDATE(B400,-12),Database!$A:$AS,MATCH($R$1,Database!$A$1:$AS$1,),)))))/(((VLOOKUP(EDATE(B400,-12),Database!$A:$AS,MATCH($R$1,Database!$A$1:$AS$1,),)))))</f>
        <v/>
      </c>
      <c r="S400" s="13">
        <f>IF(VLOOKUP(B400,Database!$A:$AV,MATCH($S$1,Database!$A$1:$AV$1,),)=0,"#N/A",((((VLOOKUP(B400,Database!$A:$AS,MATCH($S$1,Database!$A$1:$AS$1,),))))-(((VLOOKUP(EDATE(B400,-12),Database!$A:$AS,MATCH($S$1,Database!$A$1:$AS$1,),)))))/(((VLOOKUP(EDATE(B400,-12),Database!$A:$AS,MATCH($S$1,Database!$A$1:$AS$1,),)))))</f>
        <v/>
      </c>
      <c r="T400" s="13">
        <f>IF(VLOOKUP(B400,Database!$A:$AV,MATCH($T$1,Database!$A$1:$AV$1,),)=0,"#N/A",((((VLOOKUP(B400,Database!$A:$AS,MATCH($T$1,Database!$A$1:$AS$1,),))))-(((VLOOKUP(EDATE(B400,-12),Database!$A:$AS,MATCH($T$1,Database!$A$1:$AS$1,),)))))/(((VLOOKUP(EDATE(B400,-12),Database!$A:$AS,MATCH($T$1,Database!$A$1:$AS$1,),)))))</f>
        <v/>
      </c>
      <c r="U400" s="13">
        <f>IF(VLOOKUP(B400,Database!$A:$AV,MATCH($U$1,Database!$A$1:$AV$1,),)=0,"#N/A",((((VLOOKUP(B400,Database!$A:$AS,MATCH($U$1,Database!$A$1:$AS$1,),))))-(((VLOOKUP(EDATE(B400,-12),Database!$A:$AS,MATCH($U$1,Database!$A$1:$AS$1,),)))))/(((VLOOKUP(EDATE(B400,-12),Database!$A:$AS,MATCH($U$1,Database!$A$1:$AS$1,),)))))</f>
        <v/>
      </c>
      <c r="V400" s="13">
        <f>IF(VLOOKUP(B400,Database!$A:$AV,MATCH($V$1,Database!$A$1:$AV$1,),)=0,"#N/A",((((VLOOKUP(B400,Database!$A:$AS,MATCH($V$1,Database!$A$1:$AS$1,),))))-(((VLOOKUP(EDATE(B400,-12),Database!$A:$AS,MATCH($V$1,Database!$A$1:$AS$1,),)))))/(((VLOOKUP(EDATE(B400,-12),Database!$A:$AS,MATCH($V$1,Database!$A$1:$AS$1,),)))))</f>
        <v/>
      </c>
    </row>
    <row r="401" customFormat="1" s="86">
      <c r="B401" s="75" t="n">
        <v>44348</v>
      </c>
      <c r="C401" s="13">
        <f>IF(VLOOKUP(B401,Database!$A:$AU,MATCH($C$1,Database!$A$1:$AU$1,),)=0,"#N/A",((((VLOOKUP(B401,Database!$A:$AU,MATCH($C$1,Database!$A$1:$AU$1,),))))-(((VLOOKUP(EDATE(B401,-12),Database!$A:$AU,MATCH($C$1,Database!$A$1:$AU$1,),)))))/(((VLOOKUP(EDATE(B401,-12),Database!$A:$AU,MATCH($C$1,Database!$A$1:$AU$1,),)))))</f>
        <v/>
      </c>
      <c r="D401" s="13">
        <f>IF(VLOOKUP(B401,Database!$A:$AV,MATCH($D$1,Database!$A$1:$AV$1,),)=0,"#N/A",((((VLOOKUP(B401,Database!$A:$AS,MATCH($D$1,Database!$A$1:$AS$1,),))))-(((VLOOKUP(EDATE(B401,-12),Database!$A:$AS,MATCH($D$1,Database!$A$1:$AS$1,),)))))/(((VLOOKUP(EDATE(B401,-12),Database!$A:$AS,MATCH($D$1,Database!$A$1:$AS$1,),)))))</f>
        <v/>
      </c>
      <c r="E401" s="13">
        <f>IF(VLOOKUP(B401,Database!$A:$AV,MATCH($E$1,Database!$A$1:$AV$1,),)=0,"#N/A",((((VLOOKUP(B401,Database!$A:$AS,MATCH($E$1,Database!$A$1:$AS$1,),))))-(((VLOOKUP(EDATE(B401,-12),Database!$A:$AS,MATCH($E$1,Database!$A$1:$AS$1,),)))))/(((VLOOKUP(EDATE(B401,-12),Database!$A:$AS,MATCH($E$1,Database!$A$1:$AS$1,),)))))</f>
        <v/>
      </c>
      <c r="F401" s="13">
        <f>IF(VLOOKUP(B401,Database!$A:$AV,MATCH($F$1,Database!$A$1:$AV$1,),)=0,"#N/A",((((VLOOKUP(B401,Database!$A:$AS,MATCH($F$1,Database!$A$1:$AS$1,),))))-(((VLOOKUP(EDATE(B401,-12),Database!$A:$AS,MATCH($F$1,Database!$A$1:$AS$1,),)))))/(((VLOOKUP(EDATE(B401,-12),Database!$A:$AS,MATCH($F$1,Database!$A$1:$AS$1,),)))))</f>
        <v/>
      </c>
      <c r="G401" s="13">
        <f>IF(VLOOKUP(B401,Database!$A:$AV,MATCH($G$1,Database!$A$1:$AV$1,),)=0,"#N/A",((((VLOOKUP(B401,Database!$A:$AS,MATCH($G$1,Database!$A$1:$AS$1,),))))-(((VLOOKUP(EDATE(B401,-12),Database!$A:$AS,MATCH($G$1,Database!$A$1:$AS$1,),)))))/(((VLOOKUP(EDATE(B401,-12),Database!$A:$AS,MATCH($G$1,Database!$A$1:$AS$1,),)))))</f>
        <v/>
      </c>
      <c r="H401" s="13">
        <f>IF(VLOOKUP(B401,Database!$A:$AV,MATCH($H$1,Database!$A$1:$AV$1,),)=0,"#N/A",((((VLOOKUP(B401,Database!$A:$AS,MATCH($H$1,Database!$A$1:$AS$1,),))))-(((VLOOKUP(EDATE(B401,-12),Database!$A:$AS,MATCH($H$1,Database!$A$1:$AS$1,),)))))/(((VLOOKUP(EDATE(B401,-12),Database!$A:$AS,MATCH($H$1,Database!$A$1:$AS$1,),)))))</f>
        <v/>
      </c>
      <c r="I401" s="13">
        <f>IF(VLOOKUP(B401,Database!$A:$AV,MATCH($I$1,Database!$A$1:$AV$1,),)=0,"#N/A",((((VLOOKUP(B401,Database!$A:$AS,MATCH($I$1,Database!$A$1:$AS$1,),))))-(((VLOOKUP(EDATE(B401,-12),Database!$A:$AS,MATCH($I$1,Database!$A$1:$AS$1,),)))))/(((VLOOKUP(EDATE(B401,-12),Database!$A:$AS,MATCH($I$1,Database!$A$1:$AS$1,),)))))</f>
        <v/>
      </c>
      <c r="J401" s="13">
        <f>IF(VLOOKUP(B401,Database!$A:$AV,MATCH($J$1,Database!$A$1:$AV$1,),)=0,"#N/A",((((VLOOKUP(B401,Database!$A:$AS,MATCH($J$1,Database!$A$1:$AS$1,),))))-(((VLOOKUP(EDATE(B401,-12),Database!$A:$AS,MATCH($J$1,Database!$A$1:$AS$1,),)))))/(((VLOOKUP(EDATE(B401,-12),Database!$A:$AS,MATCH($J$1,Database!$A$1:$AS$1,),)))))</f>
        <v/>
      </c>
      <c r="K401" s="13">
        <f>IF(VLOOKUP(B401,Database!$A:$AV,MATCH($K$1,Database!$A$1:$AV$1,),)=0,"#N/A",((((VLOOKUP(B401,Database!$A:$AS,MATCH($K$1,Database!$A$1:$AS$1,),))))-(((VLOOKUP(EDATE(B401,-12),Database!$A:$AS,MATCH($K$1,Database!$A$1:$AS$1,),)))))/(((VLOOKUP(EDATE(B401,-12),Database!$A:$AS,MATCH($K$1,Database!$A$1:$AS$1,),)))))</f>
        <v/>
      </c>
      <c r="L401" s="13" t="n"/>
      <c r="M401" s="13" t="n"/>
      <c r="N401" s="13" t="n"/>
      <c r="O401" s="13">
        <f>IF(VLOOKUP(B401,Database!$A:$AV,MATCH($O$1,Database!$A$1:$AV$1,),)=0,"#N/A",((((VLOOKUP(B401,Database!$A:$AS,MATCH($O$1,Database!$A$1:$AS$1,),))))-(((VLOOKUP(EDATE(B401,-12),Database!$A:$AS,MATCH($O$1,Database!$A$1:$AS$1,),)))))/(((VLOOKUP(EDATE(B401,-12),Database!$A:$AS,MATCH($O$1,Database!$A$1:$AS$1,),)))))</f>
        <v/>
      </c>
      <c r="P401" s="13">
        <f>IF(VLOOKUP(B401,Database!$A:$AV,MATCH($P$1,Database!$A$1:$AV$1,),)=0,"#N/A",((((VLOOKUP(B401,Database!$A:$AS,MATCH($P$1,Database!$A$1:$AS$1,),))))-(((VLOOKUP(EDATE(B401,-12),Database!$A:$AS,MATCH($P$1,Database!$A$1:$AS$1,),)))))/(((VLOOKUP(EDATE(B401,-12),Database!$A:$AS,MATCH($P$1,Database!$A$1:$AS$1,),)))))</f>
        <v/>
      </c>
      <c r="Q401" s="13">
        <f>IF(VLOOKUP(B401,Database!$A:$AV,MATCH($Q$1,Database!$A$1:$AV$1,),)=0,"#N/A",((((VLOOKUP(B401,Database!$A:$AS,MATCH($Q$1,Database!$A$1:$AS$1,),))))-(((VLOOKUP(EDATE(B401,-12),Database!$A:$AS,MATCH($Q$1,Database!$A$1:$AS$1,),)))))/(((VLOOKUP(EDATE(B401,-12),Database!$A:$AS,MATCH($Q$1,Database!$A$1:$AS$1,),)))))</f>
        <v/>
      </c>
      <c r="R401" s="13">
        <f>IF(VLOOKUP(B401,Database!$A:$AV,MATCH($R$1,Database!$A$1:$AV$1,),)=0,"#N/A",((((VLOOKUP(B401,Database!$A:$AS,MATCH($R$1,Database!$A$1:$AS$1,),))))-(((VLOOKUP(EDATE(B401,-12),Database!$A:$AS,MATCH($R$1,Database!$A$1:$AS$1,),)))))/(((VLOOKUP(EDATE(B401,-12),Database!$A:$AS,MATCH($R$1,Database!$A$1:$AS$1,),)))))</f>
        <v/>
      </c>
      <c r="S401" s="13">
        <f>IF(VLOOKUP(B401,Database!$A:$AV,MATCH($S$1,Database!$A$1:$AV$1,),)=0,"#N/A",((((VLOOKUP(B401,Database!$A:$AS,MATCH($S$1,Database!$A$1:$AS$1,),))))-(((VLOOKUP(EDATE(B401,-12),Database!$A:$AS,MATCH($S$1,Database!$A$1:$AS$1,),)))))/(((VLOOKUP(EDATE(B401,-12),Database!$A:$AS,MATCH($S$1,Database!$A$1:$AS$1,),)))))</f>
        <v/>
      </c>
      <c r="T401" s="13">
        <f>IF(VLOOKUP(B401,Database!$A:$AV,MATCH($T$1,Database!$A$1:$AV$1,),)=0,"#N/A",((((VLOOKUP(B401,Database!$A:$AS,MATCH($T$1,Database!$A$1:$AS$1,),))))-(((VLOOKUP(EDATE(B401,-12),Database!$A:$AS,MATCH($T$1,Database!$A$1:$AS$1,),)))))/(((VLOOKUP(EDATE(B401,-12),Database!$A:$AS,MATCH($T$1,Database!$A$1:$AS$1,),)))))</f>
        <v/>
      </c>
      <c r="U401" s="13">
        <f>IF(VLOOKUP(B401,Database!$A:$AV,MATCH($U$1,Database!$A$1:$AV$1,),)=0,"#N/A",((((VLOOKUP(B401,Database!$A:$AS,MATCH($U$1,Database!$A$1:$AS$1,),))))-(((VLOOKUP(EDATE(B401,-12),Database!$A:$AS,MATCH($U$1,Database!$A$1:$AS$1,),)))))/(((VLOOKUP(EDATE(B401,-12),Database!$A:$AS,MATCH($U$1,Database!$A$1:$AS$1,),)))))</f>
        <v/>
      </c>
      <c r="V401" s="13">
        <f>IF(VLOOKUP(B401,Database!$A:$AV,MATCH($V$1,Database!$A$1:$AV$1,),)=0,"#N/A",((((VLOOKUP(B401,Database!$A:$AS,MATCH($V$1,Database!$A$1:$AS$1,),))))-(((VLOOKUP(EDATE(B401,-12),Database!$A:$AS,MATCH($V$1,Database!$A$1:$AS$1,),)))))/(((VLOOKUP(EDATE(B401,-12),Database!$A:$AS,MATCH($V$1,Database!$A$1:$AS$1,),)))))</f>
        <v/>
      </c>
    </row>
    <row r="402" customFormat="1" s="86">
      <c r="B402" s="75" t="n">
        <v>44378</v>
      </c>
      <c r="C402" s="13">
        <f>IF(VLOOKUP(B402,Database!$A:$AU,MATCH($C$1,Database!$A$1:$AU$1,),)=0,"#N/A",((((VLOOKUP(B402,Database!$A:$AU,MATCH($C$1,Database!$A$1:$AU$1,),))))-(((VLOOKUP(EDATE(B402,-12),Database!$A:$AU,MATCH($C$1,Database!$A$1:$AU$1,),)))))/(((VLOOKUP(EDATE(B402,-12),Database!$A:$AU,MATCH($C$1,Database!$A$1:$AU$1,),)))))</f>
        <v/>
      </c>
      <c r="D402" s="13">
        <f>IF(VLOOKUP(B402,Database!$A:$AV,MATCH($D$1,Database!$A$1:$AV$1,),)=0,"#N/A",((((VLOOKUP(B402,Database!$A:$AS,MATCH($D$1,Database!$A$1:$AS$1,),))))-(((VLOOKUP(EDATE(B402,-12),Database!$A:$AS,MATCH($D$1,Database!$A$1:$AS$1,),)))))/(((VLOOKUP(EDATE(B402,-12),Database!$A:$AS,MATCH($D$1,Database!$A$1:$AS$1,),)))))</f>
        <v/>
      </c>
      <c r="E402" s="13">
        <f>IF(VLOOKUP(B402,Database!$A:$AV,MATCH($E$1,Database!$A$1:$AV$1,),)=0,"#N/A",((((VLOOKUP(B402,Database!$A:$AS,MATCH($E$1,Database!$A$1:$AS$1,),))))-(((VLOOKUP(EDATE(B402,-12),Database!$A:$AS,MATCH($E$1,Database!$A$1:$AS$1,),)))))/(((VLOOKUP(EDATE(B402,-12),Database!$A:$AS,MATCH($E$1,Database!$A$1:$AS$1,),)))))</f>
        <v/>
      </c>
      <c r="F402" s="13">
        <f>IF(VLOOKUP(B402,Database!$A:$AV,MATCH($F$1,Database!$A$1:$AV$1,),)=0,"#N/A",((((VLOOKUP(B402,Database!$A:$AS,MATCH($F$1,Database!$A$1:$AS$1,),))))-(((VLOOKUP(EDATE(B402,-12),Database!$A:$AS,MATCH($F$1,Database!$A$1:$AS$1,),)))))/(((VLOOKUP(EDATE(B402,-12),Database!$A:$AS,MATCH($F$1,Database!$A$1:$AS$1,),)))))</f>
        <v/>
      </c>
      <c r="G402" s="13">
        <f>IF(VLOOKUP(B402,Database!$A:$AV,MATCH($G$1,Database!$A$1:$AV$1,),)=0,"#N/A",((((VLOOKUP(B402,Database!$A:$AS,MATCH($G$1,Database!$A$1:$AS$1,),))))-(((VLOOKUP(EDATE(B402,-12),Database!$A:$AS,MATCH($G$1,Database!$A$1:$AS$1,),)))))/(((VLOOKUP(EDATE(B402,-12),Database!$A:$AS,MATCH($G$1,Database!$A$1:$AS$1,),)))))</f>
        <v/>
      </c>
      <c r="H402" s="13">
        <f>IF(VLOOKUP(B402,Database!$A:$AV,MATCH($H$1,Database!$A$1:$AV$1,),)=0,"#N/A",((((VLOOKUP(B402,Database!$A:$AS,MATCH($H$1,Database!$A$1:$AS$1,),))))-(((VLOOKUP(EDATE(B402,-12),Database!$A:$AS,MATCH($H$1,Database!$A$1:$AS$1,),)))))/(((VLOOKUP(EDATE(B402,-12),Database!$A:$AS,MATCH($H$1,Database!$A$1:$AS$1,),)))))</f>
        <v/>
      </c>
      <c r="I402" s="13">
        <f>IF(VLOOKUP(B402,Database!$A:$AV,MATCH($I$1,Database!$A$1:$AV$1,),)=0,"#N/A",((((VLOOKUP(B402,Database!$A:$AS,MATCH($I$1,Database!$A$1:$AS$1,),))))-(((VLOOKUP(EDATE(B402,-12),Database!$A:$AS,MATCH($I$1,Database!$A$1:$AS$1,),)))))/(((VLOOKUP(EDATE(B402,-12),Database!$A:$AS,MATCH($I$1,Database!$A$1:$AS$1,),)))))</f>
        <v/>
      </c>
      <c r="J402" s="13">
        <f>IF(VLOOKUP(B402,Database!$A:$AV,MATCH($J$1,Database!$A$1:$AV$1,),)=0,"#N/A",((((VLOOKUP(B402,Database!$A:$AS,MATCH($J$1,Database!$A$1:$AS$1,),))))-(((VLOOKUP(EDATE(B402,-12),Database!$A:$AS,MATCH($J$1,Database!$A$1:$AS$1,),)))))/(((VLOOKUP(EDATE(B402,-12),Database!$A:$AS,MATCH($J$1,Database!$A$1:$AS$1,),)))))</f>
        <v/>
      </c>
      <c r="K402" s="13">
        <f>IF(VLOOKUP(B402,Database!$A:$AV,MATCH($K$1,Database!$A$1:$AV$1,),)=0,"#N/A",((((VLOOKUP(B402,Database!$A:$AS,MATCH($K$1,Database!$A$1:$AS$1,),))))-(((VLOOKUP(EDATE(B402,-12),Database!$A:$AS,MATCH($K$1,Database!$A$1:$AS$1,),)))))/(((VLOOKUP(EDATE(B402,-12),Database!$A:$AS,MATCH($K$1,Database!$A$1:$AS$1,),)))))</f>
        <v/>
      </c>
      <c r="L402" s="13" t="n"/>
      <c r="M402" s="13" t="n"/>
      <c r="N402" s="13" t="n"/>
      <c r="O402" s="13">
        <f>IF(VLOOKUP(B402,Database!$A:$AV,MATCH($O$1,Database!$A$1:$AV$1,),)=0,"#N/A",((((VLOOKUP(B402,Database!$A:$AS,MATCH($O$1,Database!$A$1:$AS$1,),))))-(((VLOOKUP(EDATE(B402,-12),Database!$A:$AS,MATCH($O$1,Database!$A$1:$AS$1,),)))))/(((VLOOKUP(EDATE(B402,-12),Database!$A:$AS,MATCH($O$1,Database!$A$1:$AS$1,),)))))</f>
        <v/>
      </c>
      <c r="P402" s="13">
        <f>IF(VLOOKUP(B402,Database!$A:$AV,MATCH($P$1,Database!$A$1:$AV$1,),)=0,"#N/A",((((VLOOKUP(B402,Database!$A:$AS,MATCH($P$1,Database!$A$1:$AS$1,),))))-(((VLOOKUP(EDATE(B402,-12),Database!$A:$AS,MATCH($P$1,Database!$A$1:$AS$1,),)))))/(((VLOOKUP(EDATE(B402,-12),Database!$A:$AS,MATCH($P$1,Database!$A$1:$AS$1,),)))))</f>
        <v/>
      </c>
      <c r="Q402" s="13">
        <f>IF(VLOOKUP(B402,Database!$A:$AV,MATCH($Q$1,Database!$A$1:$AV$1,),)=0,"#N/A",((((VLOOKUP(B402,Database!$A:$AS,MATCH($Q$1,Database!$A$1:$AS$1,),))))-(((VLOOKUP(EDATE(B402,-12),Database!$A:$AS,MATCH($Q$1,Database!$A$1:$AS$1,),)))))/(((VLOOKUP(EDATE(B402,-12),Database!$A:$AS,MATCH($Q$1,Database!$A$1:$AS$1,),)))))</f>
        <v/>
      </c>
      <c r="R402" s="13">
        <f>IF(VLOOKUP(B402,Database!$A:$AV,MATCH($R$1,Database!$A$1:$AV$1,),)=0,"#N/A",((((VLOOKUP(B402,Database!$A:$AS,MATCH($R$1,Database!$A$1:$AS$1,),))))-(((VLOOKUP(EDATE(B402,-12),Database!$A:$AS,MATCH($R$1,Database!$A$1:$AS$1,),)))))/(((VLOOKUP(EDATE(B402,-12),Database!$A:$AS,MATCH($R$1,Database!$A$1:$AS$1,),)))))</f>
        <v/>
      </c>
      <c r="S402" s="13">
        <f>IF(VLOOKUP(B402,Database!$A:$AV,MATCH($S$1,Database!$A$1:$AV$1,),)=0,"#N/A",((((VLOOKUP(B402,Database!$A:$AS,MATCH($S$1,Database!$A$1:$AS$1,),))))-(((VLOOKUP(EDATE(B402,-12),Database!$A:$AS,MATCH($S$1,Database!$A$1:$AS$1,),)))))/(((VLOOKUP(EDATE(B402,-12),Database!$A:$AS,MATCH($S$1,Database!$A$1:$AS$1,),)))))</f>
        <v/>
      </c>
      <c r="T402" s="13">
        <f>IF(VLOOKUP(B402,Database!$A:$AV,MATCH($T$1,Database!$A$1:$AV$1,),)=0,"#N/A",((((VLOOKUP(B402,Database!$A:$AS,MATCH($T$1,Database!$A$1:$AS$1,),))))-(((VLOOKUP(EDATE(B402,-12),Database!$A:$AS,MATCH($T$1,Database!$A$1:$AS$1,),)))))/(((VLOOKUP(EDATE(B402,-12),Database!$A:$AS,MATCH($T$1,Database!$A$1:$AS$1,),)))))</f>
        <v/>
      </c>
      <c r="U402" s="13">
        <f>IF(VLOOKUP(B402,Database!$A:$AV,MATCH($U$1,Database!$A$1:$AV$1,),)=0,"#N/A",((((VLOOKUP(B402,Database!$A:$AS,MATCH($U$1,Database!$A$1:$AS$1,),))))-(((VLOOKUP(EDATE(B402,-12),Database!$A:$AS,MATCH($U$1,Database!$A$1:$AS$1,),)))))/(((VLOOKUP(EDATE(B402,-12),Database!$A:$AS,MATCH($U$1,Database!$A$1:$AS$1,),)))))</f>
        <v/>
      </c>
      <c r="V402" s="13">
        <f>IF(VLOOKUP(B402,Database!$A:$AV,MATCH($V$1,Database!$A$1:$AV$1,),)=0,"#N/A",((((VLOOKUP(B402,Database!$A:$AS,MATCH($V$1,Database!$A$1:$AS$1,),))))-(((VLOOKUP(EDATE(B402,-12),Database!$A:$AS,MATCH($V$1,Database!$A$1:$AS$1,),)))))/(((VLOOKUP(EDATE(B402,-12),Database!$A:$AS,MATCH($V$1,Database!$A$1:$AS$1,),)))))</f>
        <v/>
      </c>
    </row>
    <row r="403" customFormat="1" s="86">
      <c r="B403" s="75" t="n">
        <v>44409</v>
      </c>
      <c r="C403" s="13">
        <f>IF(VLOOKUP(B403,Database!$A:$AU,MATCH($C$1,Database!$A$1:$AU$1,),)=0,"#N/A",((((VLOOKUP(B403,Database!$A:$AU,MATCH($C$1,Database!$A$1:$AU$1,),))))-(((VLOOKUP(EDATE(B403,-12),Database!$A:$AU,MATCH($C$1,Database!$A$1:$AU$1,),)))))/(((VLOOKUP(EDATE(B403,-12),Database!$A:$AU,MATCH($C$1,Database!$A$1:$AU$1,),)))))</f>
        <v/>
      </c>
      <c r="D403" s="13">
        <f>IF(VLOOKUP(B403,Database!$A:$AV,MATCH($D$1,Database!$A$1:$AV$1,),)=0,"#N/A",((((VLOOKUP(B403,Database!$A:$AS,MATCH($D$1,Database!$A$1:$AS$1,),))))-(((VLOOKUP(EDATE(B403,-12),Database!$A:$AS,MATCH($D$1,Database!$A$1:$AS$1,),)))))/(((VLOOKUP(EDATE(B403,-12),Database!$A:$AS,MATCH($D$1,Database!$A$1:$AS$1,),)))))</f>
        <v/>
      </c>
      <c r="E403" s="13">
        <f>IF(VLOOKUP(B403,Database!$A:$AV,MATCH($E$1,Database!$A$1:$AV$1,),)=0,"#N/A",((((VLOOKUP(B403,Database!$A:$AS,MATCH($E$1,Database!$A$1:$AS$1,),))))-(((VLOOKUP(EDATE(B403,-12),Database!$A:$AS,MATCH($E$1,Database!$A$1:$AS$1,),)))))/(((VLOOKUP(EDATE(B403,-12),Database!$A:$AS,MATCH($E$1,Database!$A$1:$AS$1,),)))))</f>
        <v/>
      </c>
      <c r="F403" s="13">
        <f>IF(VLOOKUP(B403,Database!$A:$AV,MATCH($F$1,Database!$A$1:$AV$1,),)=0,"#N/A",((((VLOOKUP(B403,Database!$A:$AS,MATCH($F$1,Database!$A$1:$AS$1,),))))-(((VLOOKUP(EDATE(B403,-12),Database!$A:$AS,MATCH($F$1,Database!$A$1:$AS$1,),)))))/(((VLOOKUP(EDATE(B403,-12),Database!$A:$AS,MATCH($F$1,Database!$A$1:$AS$1,),)))))</f>
        <v/>
      </c>
      <c r="G403" s="13">
        <f>IF(VLOOKUP(B403,Database!$A:$AV,MATCH($G$1,Database!$A$1:$AV$1,),)=0,"#N/A",((((VLOOKUP(B403,Database!$A:$AS,MATCH($G$1,Database!$A$1:$AS$1,),))))-(((VLOOKUP(EDATE(B403,-12),Database!$A:$AS,MATCH($G$1,Database!$A$1:$AS$1,),)))))/(((VLOOKUP(EDATE(B403,-12),Database!$A:$AS,MATCH($G$1,Database!$A$1:$AS$1,),)))))</f>
        <v/>
      </c>
      <c r="H403" s="13">
        <f>IF(VLOOKUP(B403,Database!$A:$AV,MATCH($H$1,Database!$A$1:$AV$1,),)=0,"#N/A",((((VLOOKUP(B403,Database!$A:$AS,MATCH($H$1,Database!$A$1:$AS$1,),))))-(((VLOOKUP(EDATE(B403,-12),Database!$A:$AS,MATCH($H$1,Database!$A$1:$AS$1,),)))))/(((VLOOKUP(EDATE(B403,-12),Database!$A:$AS,MATCH($H$1,Database!$A$1:$AS$1,),)))))</f>
        <v/>
      </c>
      <c r="I403" s="13">
        <f>IF(VLOOKUP(B403,Database!$A:$AV,MATCH($I$1,Database!$A$1:$AV$1,),)=0,"#N/A",((((VLOOKUP(B403,Database!$A:$AS,MATCH($I$1,Database!$A$1:$AS$1,),))))-(((VLOOKUP(EDATE(B403,-12),Database!$A:$AS,MATCH($I$1,Database!$A$1:$AS$1,),)))))/(((VLOOKUP(EDATE(B403,-12),Database!$A:$AS,MATCH($I$1,Database!$A$1:$AS$1,),)))))</f>
        <v/>
      </c>
      <c r="J403" s="13">
        <f>IF(VLOOKUP(B403,Database!$A:$AV,MATCH($J$1,Database!$A$1:$AV$1,),)=0,"#N/A",((((VLOOKUP(B403,Database!$A:$AS,MATCH($J$1,Database!$A$1:$AS$1,),))))-(((VLOOKUP(EDATE(B403,-12),Database!$A:$AS,MATCH($J$1,Database!$A$1:$AS$1,),)))))/(((VLOOKUP(EDATE(B403,-12),Database!$A:$AS,MATCH($J$1,Database!$A$1:$AS$1,),)))))</f>
        <v/>
      </c>
      <c r="K403" s="13">
        <f>IF(VLOOKUP(B403,Database!$A:$AV,MATCH($K$1,Database!$A$1:$AV$1,),)=0,"#N/A",((((VLOOKUP(B403,Database!$A:$AS,MATCH($K$1,Database!$A$1:$AS$1,),))))-(((VLOOKUP(EDATE(B403,-12),Database!$A:$AS,MATCH($K$1,Database!$A$1:$AS$1,),)))))/(((VLOOKUP(EDATE(B403,-12),Database!$A:$AS,MATCH($K$1,Database!$A$1:$AS$1,),)))))</f>
        <v/>
      </c>
      <c r="L403" s="13" t="n"/>
      <c r="M403" s="13" t="n"/>
      <c r="N403" s="13" t="n"/>
      <c r="O403" s="13">
        <f>IF(VLOOKUP(B403,Database!$A:$AV,MATCH($O$1,Database!$A$1:$AV$1,),)=0,"#N/A",((((VLOOKUP(B403,Database!$A:$AS,MATCH($O$1,Database!$A$1:$AS$1,),))))-(((VLOOKUP(EDATE(B403,-12),Database!$A:$AS,MATCH($O$1,Database!$A$1:$AS$1,),)))))/(((VLOOKUP(EDATE(B403,-12),Database!$A:$AS,MATCH($O$1,Database!$A$1:$AS$1,),)))))</f>
        <v/>
      </c>
      <c r="P403" s="13">
        <f>IF(VLOOKUP(B403,Database!$A:$AV,MATCH($P$1,Database!$A$1:$AV$1,),)=0,"#N/A",((((VLOOKUP(B403,Database!$A:$AS,MATCH($P$1,Database!$A$1:$AS$1,),))))-(((VLOOKUP(EDATE(B403,-12),Database!$A:$AS,MATCH($P$1,Database!$A$1:$AS$1,),)))))/(((VLOOKUP(EDATE(B403,-12),Database!$A:$AS,MATCH($P$1,Database!$A$1:$AS$1,),)))))</f>
        <v/>
      </c>
      <c r="Q403" s="13">
        <f>IF(VLOOKUP(B403,Database!$A:$AV,MATCH($Q$1,Database!$A$1:$AV$1,),)=0,"#N/A",((((VLOOKUP(B403,Database!$A:$AS,MATCH($Q$1,Database!$A$1:$AS$1,),))))-(((VLOOKUP(EDATE(B403,-12),Database!$A:$AS,MATCH($Q$1,Database!$A$1:$AS$1,),)))))/(((VLOOKUP(EDATE(B403,-12),Database!$A:$AS,MATCH($Q$1,Database!$A$1:$AS$1,),)))))</f>
        <v/>
      </c>
      <c r="R403" s="13">
        <f>IF(VLOOKUP(B403,Database!$A:$AV,MATCH($R$1,Database!$A$1:$AV$1,),)=0,"#N/A",((((VLOOKUP(B403,Database!$A:$AS,MATCH($R$1,Database!$A$1:$AS$1,),))))-(((VLOOKUP(EDATE(B403,-12),Database!$A:$AS,MATCH($R$1,Database!$A$1:$AS$1,),)))))/(((VLOOKUP(EDATE(B403,-12),Database!$A:$AS,MATCH($R$1,Database!$A$1:$AS$1,),)))))</f>
        <v/>
      </c>
      <c r="S403" s="13">
        <f>IF(VLOOKUP(B403,Database!$A:$AV,MATCH($S$1,Database!$A$1:$AV$1,),)=0,"#N/A",((((VLOOKUP(B403,Database!$A:$AS,MATCH($S$1,Database!$A$1:$AS$1,),))))-(((VLOOKUP(EDATE(B403,-12),Database!$A:$AS,MATCH($S$1,Database!$A$1:$AS$1,),)))))/(((VLOOKUP(EDATE(B403,-12),Database!$A:$AS,MATCH($S$1,Database!$A$1:$AS$1,),)))))</f>
        <v/>
      </c>
      <c r="T403" s="13">
        <f>IF(VLOOKUP(B403,Database!$A:$AV,MATCH($T$1,Database!$A$1:$AV$1,),)=0,"#N/A",((((VLOOKUP(B403,Database!$A:$AS,MATCH($T$1,Database!$A$1:$AS$1,),))))-(((VLOOKUP(EDATE(B403,-12),Database!$A:$AS,MATCH($T$1,Database!$A$1:$AS$1,),)))))/(((VLOOKUP(EDATE(B403,-12),Database!$A:$AS,MATCH($T$1,Database!$A$1:$AS$1,),)))))</f>
        <v/>
      </c>
      <c r="U403" s="13">
        <f>IF(VLOOKUP(B403,Database!$A:$AV,MATCH($U$1,Database!$A$1:$AV$1,),)=0,"#N/A",((((VLOOKUP(B403,Database!$A:$AS,MATCH($U$1,Database!$A$1:$AS$1,),))))-(((VLOOKUP(EDATE(B403,-12),Database!$A:$AS,MATCH($U$1,Database!$A$1:$AS$1,),)))))/(((VLOOKUP(EDATE(B403,-12),Database!$A:$AS,MATCH($U$1,Database!$A$1:$AS$1,),)))))</f>
        <v/>
      </c>
      <c r="V403" s="13">
        <f>IF(VLOOKUP(B403,Database!$A:$AV,MATCH($V$1,Database!$A$1:$AV$1,),)=0,"#N/A",((((VLOOKUP(B403,Database!$A:$AS,MATCH($V$1,Database!$A$1:$AS$1,),))))-(((VLOOKUP(EDATE(B403,-12),Database!$A:$AS,MATCH($V$1,Database!$A$1:$AS$1,),)))))/(((VLOOKUP(EDATE(B403,-12),Database!$A:$AS,MATCH($V$1,Database!$A$1:$AS$1,),)))))</f>
        <v/>
      </c>
    </row>
    <row r="404" customFormat="1" s="86">
      <c r="B404" s="75" t="n">
        <v>44440</v>
      </c>
      <c r="C404" s="13">
        <f>IF(VLOOKUP(B404,Database!$A:$AU,MATCH($C$1,Database!$A$1:$AU$1,),)=0,"#N/A",((((VLOOKUP(B404,Database!$A:$AU,MATCH($C$1,Database!$A$1:$AU$1,),))))-(((VLOOKUP(EDATE(B404,-12),Database!$A:$AU,MATCH($C$1,Database!$A$1:$AU$1,),)))))/(((VLOOKUP(EDATE(B404,-12),Database!$A:$AU,MATCH($C$1,Database!$A$1:$AU$1,),)))))</f>
        <v/>
      </c>
      <c r="D404" s="13">
        <f>IF(VLOOKUP(B404,Database!$A:$AV,MATCH($D$1,Database!$A$1:$AV$1,),)=0,"#N/A",((((VLOOKUP(B404,Database!$A:$AS,MATCH($D$1,Database!$A$1:$AS$1,),))))-(((VLOOKUP(EDATE(B404,-12),Database!$A:$AS,MATCH($D$1,Database!$A$1:$AS$1,),)))))/(((VLOOKUP(EDATE(B404,-12),Database!$A:$AS,MATCH($D$1,Database!$A$1:$AS$1,),)))))</f>
        <v/>
      </c>
      <c r="E404" s="13">
        <f>IF(VLOOKUP(B404,Database!$A:$AV,MATCH($E$1,Database!$A$1:$AV$1,),)=0,"#N/A",((((VLOOKUP(B404,Database!$A:$AS,MATCH($E$1,Database!$A$1:$AS$1,),))))-(((VLOOKUP(EDATE(B404,-12),Database!$A:$AS,MATCH($E$1,Database!$A$1:$AS$1,),)))))/(((VLOOKUP(EDATE(B404,-12),Database!$A:$AS,MATCH($E$1,Database!$A$1:$AS$1,),)))))</f>
        <v/>
      </c>
      <c r="F404" s="13">
        <f>IF(VLOOKUP(B404,Database!$A:$AV,MATCH($F$1,Database!$A$1:$AV$1,),)=0,"#N/A",((((VLOOKUP(B404,Database!$A:$AS,MATCH($F$1,Database!$A$1:$AS$1,),))))-(((VLOOKUP(EDATE(B404,-12),Database!$A:$AS,MATCH($F$1,Database!$A$1:$AS$1,),)))))/(((VLOOKUP(EDATE(B404,-12),Database!$A:$AS,MATCH($F$1,Database!$A$1:$AS$1,),)))))</f>
        <v/>
      </c>
      <c r="G404" s="13">
        <f>IF(VLOOKUP(B404,Database!$A:$AV,MATCH($G$1,Database!$A$1:$AV$1,),)=0,"#N/A",((((VLOOKUP(B404,Database!$A:$AS,MATCH($G$1,Database!$A$1:$AS$1,),))))-(((VLOOKUP(EDATE(B404,-12),Database!$A:$AS,MATCH($G$1,Database!$A$1:$AS$1,),)))))/(((VLOOKUP(EDATE(B404,-12),Database!$A:$AS,MATCH($G$1,Database!$A$1:$AS$1,),)))))</f>
        <v/>
      </c>
      <c r="H404" s="13">
        <f>IF(VLOOKUP(B404,Database!$A:$AV,MATCH($H$1,Database!$A$1:$AV$1,),)=0,"#N/A",((((VLOOKUP(B404,Database!$A:$AS,MATCH($H$1,Database!$A$1:$AS$1,),))))-(((VLOOKUP(EDATE(B404,-12),Database!$A:$AS,MATCH($H$1,Database!$A$1:$AS$1,),)))))/(((VLOOKUP(EDATE(B404,-12),Database!$A:$AS,MATCH($H$1,Database!$A$1:$AS$1,),)))))</f>
        <v/>
      </c>
      <c r="I404" s="13">
        <f>IF(VLOOKUP(B404,Database!$A:$AV,MATCH($I$1,Database!$A$1:$AV$1,),)=0,"#N/A",((((VLOOKUP(B404,Database!$A:$AS,MATCH($I$1,Database!$A$1:$AS$1,),))))-(((VLOOKUP(EDATE(B404,-12),Database!$A:$AS,MATCH($I$1,Database!$A$1:$AS$1,),)))))/(((VLOOKUP(EDATE(B404,-12),Database!$A:$AS,MATCH($I$1,Database!$A$1:$AS$1,),)))))</f>
        <v/>
      </c>
      <c r="J404" s="13">
        <f>IF(VLOOKUP(B404,Database!$A:$AV,MATCH($J$1,Database!$A$1:$AV$1,),)=0,"#N/A",((((VLOOKUP(B404,Database!$A:$AS,MATCH($J$1,Database!$A$1:$AS$1,),))))-(((VLOOKUP(EDATE(B404,-12),Database!$A:$AS,MATCH($J$1,Database!$A$1:$AS$1,),)))))/(((VLOOKUP(EDATE(B404,-12),Database!$A:$AS,MATCH($J$1,Database!$A$1:$AS$1,),)))))</f>
        <v/>
      </c>
      <c r="K404" s="13">
        <f>IF(VLOOKUP(B404,Database!$A:$AV,MATCH($K$1,Database!$A$1:$AV$1,),)=0,"#N/A",((((VLOOKUP(B404,Database!$A:$AS,MATCH($K$1,Database!$A$1:$AS$1,),))))-(((VLOOKUP(EDATE(B404,-12),Database!$A:$AS,MATCH($K$1,Database!$A$1:$AS$1,),)))))/(((VLOOKUP(EDATE(B404,-12),Database!$A:$AS,MATCH($K$1,Database!$A$1:$AS$1,),)))))</f>
        <v/>
      </c>
      <c r="L404" s="13" t="n"/>
      <c r="M404" s="13" t="n"/>
      <c r="N404" s="13" t="n"/>
      <c r="O404" s="13">
        <f>IF(VLOOKUP(B404,Database!$A:$AV,MATCH($O$1,Database!$A$1:$AV$1,),)=0,"#N/A",((((VLOOKUP(B404,Database!$A:$AS,MATCH($O$1,Database!$A$1:$AS$1,),))))-(((VLOOKUP(EDATE(B404,-12),Database!$A:$AS,MATCH($O$1,Database!$A$1:$AS$1,),)))))/(((VLOOKUP(EDATE(B404,-12),Database!$A:$AS,MATCH($O$1,Database!$A$1:$AS$1,),)))))</f>
        <v/>
      </c>
      <c r="P404" s="13">
        <f>IF(VLOOKUP(B404,Database!$A:$AV,MATCH($P$1,Database!$A$1:$AV$1,),)=0,"#N/A",((((VLOOKUP(B404,Database!$A:$AS,MATCH($P$1,Database!$A$1:$AS$1,),))))-(((VLOOKUP(EDATE(B404,-12),Database!$A:$AS,MATCH($P$1,Database!$A$1:$AS$1,),)))))/(((VLOOKUP(EDATE(B404,-12),Database!$A:$AS,MATCH($P$1,Database!$A$1:$AS$1,),)))))</f>
        <v/>
      </c>
      <c r="Q404" s="13">
        <f>IF(VLOOKUP(B404,Database!$A:$AV,MATCH($Q$1,Database!$A$1:$AV$1,),)=0,"#N/A",((((VLOOKUP(B404,Database!$A:$AS,MATCH($Q$1,Database!$A$1:$AS$1,),))))-(((VLOOKUP(EDATE(B404,-12),Database!$A:$AS,MATCH($Q$1,Database!$A$1:$AS$1,),)))))/(((VLOOKUP(EDATE(B404,-12),Database!$A:$AS,MATCH($Q$1,Database!$A$1:$AS$1,),)))))</f>
        <v/>
      </c>
      <c r="R404" s="13">
        <f>IF(VLOOKUP(B404,Database!$A:$AV,MATCH($R$1,Database!$A$1:$AV$1,),)=0,"#N/A",((((VLOOKUP(B404,Database!$A:$AS,MATCH($R$1,Database!$A$1:$AS$1,),))))-(((VLOOKUP(EDATE(B404,-12),Database!$A:$AS,MATCH($R$1,Database!$A$1:$AS$1,),)))))/(((VLOOKUP(EDATE(B404,-12),Database!$A:$AS,MATCH($R$1,Database!$A$1:$AS$1,),)))))</f>
        <v/>
      </c>
      <c r="S404" s="13">
        <f>IF(VLOOKUP(B404,Database!$A:$AV,MATCH($S$1,Database!$A$1:$AV$1,),)=0,"#N/A",((((VLOOKUP(B404,Database!$A:$AS,MATCH($S$1,Database!$A$1:$AS$1,),))))-(((VLOOKUP(EDATE(B404,-12),Database!$A:$AS,MATCH($S$1,Database!$A$1:$AS$1,),)))))/(((VLOOKUP(EDATE(B404,-12),Database!$A:$AS,MATCH($S$1,Database!$A$1:$AS$1,),)))))</f>
        <v/>
      </c>
      <c r="T404" s="13">
        <f>IF(VLOOKUP(B404,Database!$A:$AV,MATCH($T$1,Database!$A$1:$AV$1,),)=0,"#N/A",((((VLOOKUP(B404,Database!$A:$AS,MATCH($T$1,Database!$A$1:$AS$1,),))))-(((VLOOKUP(EDATE(B404,-12),Database!$A:$AS,MATCH($T$1,Database!$A$1:$AS$1,),)))))/(((VLOOKUP(EDATE(B404,-12),Database!$A:$AS,MATCH($T$1,Database!$A$1:$AS$1,),)))))</f>
        <v/>
      </c>
      <c r="U404" s="13">
        <f>IF(VLOOKUP(B404,Database!$A:$AV,MATCH($U$1,Database!$A$1:$AV$1,),)=0,"#N/A",((((VLOOKUP(B404,Database!$A:$AS,MATCH($U$1,Database!$A$1:$AS$1,),))))-(((VLOOKUP(EDATE(B404,-12),Database!$A:$AS,MATCH($U$1,Database!$A$1:$AS$1,),)))))/(((VLOOKUP(EDATE(B404,-12),Database!$A:$AS,MATCH($U$1,Database!$A$1:$AS$1,),)))))</f>
        <v/>
      </c>
      <c r="V404" s="13">
        <f>IF(VLOOKUP(B404,Database!$A:$AV,MATCH($V$1,Database!$A$1:$AV$1,),)=0,"#N/A",((((VLOOKUP(B404,Database!$A:$AS,MATCH($V$1,Database!$A$1:$AS$1,),))))-(((VLOOKUP(EDATE(B404,-12),Database!$A:$AS,MATCH($V$1,Database!$A$1:$AS$1,),)))))/(((VLOOKUP(EDATE(B404,-12),Database!$A:$AS,MATCH($V$1,Database!$A$1:$AS$1,),)))))</f>
        <v/>
      </c>
    </row>
    <row r="405" customFormat="1" s="86">
      <c r="B405" s="75" t="n">
        <v>44470</v>
      </c>
      <c r="C405" s="13">
        <f>IF(VLOOKUP(B405,Database!$A:$AU,MATCH($C$1,Database!$A$1:$AU$1,),)=0,"#N/A",((((VLOOKUP(B405,Database!$A:$AU,MATCH($C$1,Database!$A$1:$AU$1,),))))-(((VLOOKUP(EDATE(B405,-12),Database!$A:$AU,MATCH($C$1,Database!$A$1:$AU$1,),)))))/(((VLOOKUP(EDATE(B405,-12),Database!$A:$AU,MATCH($C$1,Database!$A$1:$AU$1,),)))))</f>
        <v/>
      </c>
      <c r="D405" s="13">
        <f>IF(VLOOKUP(B405,Database!$A:$AV,MATCH($D$1,Database!$A$1:$AV$1,),)=0,"#N/A",((((VLOOKUP(B405,Database!$A:$AS,MATCH($D$1,Database!$A$1:$AS$1,),))))-(((VLOOKUP(EDATE(B405,-12),Database!$A:$AS,MATCH($D$1,Database!$A$1:$AS$1,),)))))/(((VLOOKUP(EDATE(B405,-12),Database!$A:$AS,MATCH($D$1,Database!$A$1:$AS$1,),)))))</f>
        <v/>
      </c>
      <c r="E405" s="13">
        <f>IF(VLOOKUP(B405,Database!$A:$AV,MATCH($E$1,Database!$A$1:$AV$1,),)=0,"#N/A",((((VLOOKUP(B405,Database!$A:$AS,MATCH($E$1,Database!$A$1:$AS$1,),))))-(((VLOOKUP(EDATE(B405,-12),Database!$A:$AS,MATCH($E$1,Database!$A$1:$AS$1,),)))))/(((VLOOKUP(EDATE(B405,-12),Database!$A:$AS,MATCH($E$1,Database!$A$1:$AS$1,),)))))</f>
        <v/>
      </c>
      <c r="F405" s="13">
        <f>IF(VLOOKUP(B405,Database!$A:$AV,MATCH($F$1,Database!$A$1:$AV$1,),)=0,"#N/A",((((VLOOKUP(B405,Database!$A:$AS,MATCH($F$1,Database!$A$1:$AS$1,),))))-(((VLOOKUP(EDATE(B405,-12),Database!$A:$AS,MATCH($F$1,Database!$A$1:$AS$1,),)))))/(((VLOOKUP(EDATE(B405,-12),Database!$A:$AS,MATCH($F$1,Database!$A$1:$AS$1,),)))))</f>
        <v/>
      </c>
      <c r="G405" s="13">
        <f>IF(VLOOKUP(B405,Database!$A:$AV,MATCH($G$1,Database!$A$1:$AV$1,),)=0,"#N/A",((((VLOOKUP(B405,Database!$A:$AS,MATCH($G$1,Database!$A$1:$AS$1,),))))-(((VLOOKUP(EDATE(B405,-12),Database!$A:$AS,MATCH($G$1,Database!$A$1:$AS$1,),)))))/(((VLOOKUP(EDATE(B405,-12),Database!$A:$AS,MATCH($G$1,Database!$A$1:$AS$1,),)))))</f>
        <v/>
      </c>
      <c r="H405" s="13">
        <f>IF(VLOOKUP(B405,Database!$A:$AV,MATCH($H$1,Database!$A$1:$AV$1,),)=0,"#N/A",((((VLOOKUP(B405,Database!$A:$AS,MATCH($H$1,Database!$A$1:$AS$1,),))))-(((VLOOKUP(EDATE(B405,-12),Database!$A:$AS,MATCH($H$1,Database!$A$1:$AS$1,),)))))/(((VLOOKUP(EDATE(B405,-12),Database!$A:$AS,MATCH($H$1,Database!$A$1:$AS$1,),)))))</f>
        <v/>
      </c>
      <c r="I405" s="13">
        <f>IF(VLOOKUP(B405,Database!$A:$AV,MATCH($I$1,Database!$A$1:$AV$1,),)=0,"#N/A",((((VLOOKUP(B405,Database!$A:$AS,MATCH($I$1,Database!$A$1:$AS$1,),))))-(((VLOOKUP(EDATE(B405,-12),Database!$A:$AS,MATCH($I$1,Database!$A$1:$AS$1,),)))))/(((VLOOKUP(EDATE(B405,-12),Database!$A:$AS,MATCH($I$1,Database!$A$1:$AS$1,),)))))</f>
        <v/>
      </c>
      <c r="J405" s="13">
        <f>IF(VLOOKUP(B405,Database!$A:$AV,MATCH($J$1,Database!$A$1:$AV$1,),)=0,"#N/A",((((VLOOKUP(B405,Database!$A:$AS,MATCH($J$1,Database!$A$1:$AS$1,),))))-(((VLOOKUP(EDATE(B405,-12),Database!$A:$AS,MATCH($J$1,Database!$A$1:$AS$1,),)))))/(((VLOOKUP(EDATE(B405,-12),Database!$A:$AS,MATCH($J$1,Database!$A$1:$AS$1,),)))))</f>
        <v/>
      </c>
      <c r="K405" s="13">
        <f>IF(VLOOKUP(B405,Database!$A:$AV,MATCH($K$1,Database!$A$1:$AV$1,),)=0,"#N/A",((((VLOOKUP(B405,Database!$A:$AS,MATCH($K$1,Database!$A$1:$AS$1,),))))-(((VLOOKUP(EDATE(B405,-12),Database!$A:$AS,MATCH($K$1,Database!$A$1:$AS$1,),)))))/(((VLOOKUP(EDATE(B405,-12),Database!$A:$AS,MATCH($K$1,Database!$A$1:$AS$1,),)))))</f>
        <v/>
      </c>
      <c r="L405" s="13" t="n"/>
      <c r="M405" s="13" t="n"/>
      <c r="N405" s="13" t="n"/>
      <c r="O405" s="13">
        <f>IF(VLOOKUP(B405,Database!$A:$AV,MATCH($O$1,Database!$A$1:$AV$1,),)=0,"#N/A",((((VLOOKUP(B405,Database!$A:$AS,MATCH($O$1,Database!$A$1:$AS$1,),))))-(((VLOOKUP(EDATE(B405,-12),Database!$A:$AS,MATCH($O$1,Database!$A$1:$AS$1,),)))))/(((VLOOKUP(EDATE(B405,-12),Database!$A:$AS,MATCH($O$1,Database!$A$1:$AS$1,),)))))</f>
        <v/>
      </c>
      <c r="P405" s="13">
        <f>IF(VLOOKUP(B405,Database!$A:$AV,MATCH($P$1,Database!$A$1:$AV$1,),)=0,"#N/A",((((VLOOKUP(B405,Database!$A:$AS,MATCH($P$1,Database!$A$1:$AS$1,),))))-(((VLOOKUP(EDATE(B405,-12),Database!$A:$AS,MATCH($P$1,Database!$A$1:$AS$1,),)))))/(((VLOOKUP(EDATE(B405,-12),Database!$A:$AS,MATCH($P$1,Database!$A$1:$AS$1,),)))))</f>
        <v/>
      </c>
      <c r="Q405" s="13">
        <f>IF(VLOOKUP(B405,Database!$A:$AV,MATCH($Q$1,Database!$A$1:$AV$1,),)=0,"#N/A",((((VLOOKUP(B405,Database!$A:$AS,MATCH($Q$1,Database!$A$1:$AS$1,),))))-(((VLOOKUP(EDATE(B405,-12),Database!$A:$AS,MATCH($Q$1,Database!$A$1:$AS$1,),)))))/(((VLOOKUP(EDATE(B405,-12),Database!$A:$AS,MATCH($Q$1,Database!$A$1:$AS$1,),)))))</f>
        <v/>
      </c>
      <c r="R405" s="13">
        <f>IF(VLOOKUP(B405,Database!$A:$AV,MATCH($R$1,Database!$A$1:$AV$1,),)=0,"#N/A",((((VLOOKUP(B405,Database!$A:$AS,MATCH($R$1,Database!$A$1:$AS$1,),))))-(((VLOOKUP(EDATE(B405,-12),Database!$A:$AS,MATCH($R$1,Database!$A$1:$AS$1,),)))))/(((VLOOKUP(EDATE(B405,-12),Database!$A:$AS,MATCH($R$1,Database!$A$1:$AS$1,),)))))</f>
        <v/>
      </c>
      <c r="S405" s="13">
        <f>IF(VLOOKUP(B405,Database!$A:$AV,MATCH($S$1,Database!$A$1:$AV$1,),)=0,"#N/A",((((VLOOKUP(B405,Database!$A:$AS,MATCH($S$1,Database!$A$1:$AS$1,),))))-(((VLOOKUP(EDATE(B405,-12),Database!$A:$AS,MATCH($S$1,Database!$A$1:$AS$1,),)))))/(((VLOOKUP(EDATE(B405,-12),Database!$A:$AS,MATCH($S$1,Database!$A$1:$AS$1,),)))))</f>
        <v/>
      </c>
      <c r="T405" s="13">
        <f>IF(VLOOKUP(B405,Database!$A:$AV,MATCH($T$1,Database!$A$1:$AV$1,),)=0,"#N/A",((((VLOOKUP(B405,Database!$A:$AS,MATCH($T$1,Database!$A$1:$AS$1,),))))-(((VLOOKUP(EDATE(B405,-12),Database!$A:$AS,MATCH($T$1,Database!$A$1:$AS$1,),)))))/(((VLOOKUP(EDATE(B405,-12),Database!$A:$AS,MATCH($T$1,Database!$A$1:$AS$1,),)))))</f>
        <v/>
      </c>
      <c r="U405" s="13">
        <f>IF(VLOOKUP(B405,Database!$A:$AV,MATCH($U$1,Database!$A$1:$AV$1,),)=0,"#N/A",((((VLOOKUP(B405,Database!$A:$AS,MATCH($U$1,Database!$A$1:$AS$1,),))))-(((VLOOKUP(EDATE(B405,-12),Database!$A:$AS,MATCH($U$1,Database!$A$1:$AS$1,),)))))/(((VLOOKUP(EDATE(B405,-12),Database!$A:$AS,MATCH($U$1,Database!$A$1:$AS$1,),)))))</f>
        <v/>
      </c>
      <c r="V405" s="13">
        <f>IF(VLOOKUP(B405,Database!$A:$AV,MATCH($V$1,Database!$A$1:$AV$1,),)=0,"#N/A",((((VLOOKUP(B405,Database!$A:$AS,MATCH($V$1,Database!$A$1:$AS$1,),))))-(((VLOOKUP(EDATE(B405,-12),Database!$A:$AS,MATCH($V$1,Database!$A$1:$AS$1,),)))))/(((VLOOKUP(EDATE(B405,-12),Database!$A:$AS,MATCH($V$1,Database!$A$1:$AS$1,),)))))</f>
        <v/>
      </c>
    </row>
    <row r="406" customFormat="1" s="86">
      <c r="B406" s="75" t="n">
        <v>44501</v>
      </c>
      <c r="C406" s="13">
        <f>IF(VLOOKUP(B406,Database!$A:$AU,MATCH($C$1,Database!$A$1:$AU$1,),)=0,"#N/A",((((VLOOKUP(B406,Database!$A:$AU,MATCH($C$1,Database!$A$1:$AU$1,),))))-(((VLOOKUP(EDATE(B406,-12),Database!$A:$AU,MATCH($C$1,Database!$A$1:$AU$1,),)))))/(((VLOOKUP(EDATE(B406,-12),Database!$A:$AU,MATCH($C$1,Database!$A$1:$AU$1,),)))))</f>
        <v/>
      </c>
      <c r="D406" s="13">
        <f>IF(VLOOKUP(B406,Database!$A:$AV,MATCH($D$1,Database!$A$1:$AV$1,),)=0,"#N/A",((((VLOOKUP(B406,Database!$A:$AS,MATCH($D$1,Database!$A$1:$AS$1,),))))-(((VLOOKUP(EDATE(B406,-12),Database!$A:$AS,MATCH($D$1,Database!$A$1:$AS$1,),)))))/(((VLOOKUP(EDATE(B406,-12),Database!$A:$AS,MATCH($D$1,Database!$A$1:$AS$1,),)))))</f>
        <v/>
      </c>
      <c r="E406" s="13">
        <f>IF(VLOOKUP(B406,Database!$A:$AV,MATCH($E$1,Database!$A$1:$AV$1,),)=0,"#N/A",((((VLOOKUP(B406,Database!$A:$AS,MATCH($E$1,Database!$A$1:$AS$1,),))))-(((VLOOKUP(EDATE(B406,-12),Database!$A:$AS,MATCH($E$1,Database!$A$1:$AS$1,),)))))/(((VLOOKUP(EDATE(B406,-12),Database!$A:$AS,MATCH($E$1,Database!$A$1:$AS$1,),)))))</f>
        <v/>
      </c>
      <c r="F406" s="13">
        <f>IF(VLOOKUP(B406,Database!$A:$AV,MATCH($F$1,Database!$A$1:$AV$1,),)=0,"#N/A",((((VLOOKUP(B406,Database!$A:$AS,MATCH($F$1,Database!$A$1:$AS$1,),))))-(((VLOOKUP(EDATE(B406,-12),Database!$A:$AS,MATCH($F$1,Database!$A$1:$AS$1,),)))))/(((VLOOKUP(EDATE(B406,-12),Database!$A:$AS,MATCH($F$1,Database!$A$1:$AS$1,),)))))</f>
        <v/>
      </c>
      <c r="G406" s="13">
        <f>IF(VLOOKUP(B406,Database!$A:$AV,MATCH($G$1,Database!$A$1:$AV$1,),)=0,"#N/A",((((VLOOKUP(B406,Database!$A:$AS,MATCH($G$1,Database!$A$1:$AS$1,),))))-(((VLOOKUP(EDATE(B406,-12),Database!$A:$AS,MATCH($G$1,Database!$A$1:$AS$1,),)))))/(((VLOOKUP(EDATE(B406,-12),Database!$A:$AS,MATCH($G$1,Database!$A$1:$AS$1,),)))))</f>
        <v/>
      </c>
      <c r="H406" s="13">
        <f>IF(VLOOKUP(B406,Database!$A:$AV,MATCH($H$1,Database!$A$1:$AV$1,),)=0,"#N/A",((((VLOOKUP(B406,Database!$A:$AS,MATCH($H$1,Database!$A$1:$AS$1,),))))-(((VLOOKUP(EDATE(B406,-12),Database!$A:$AS,MATCH($H$1,Database!$A$1:$AS$1,),)))))/(((VLOOKUP(EDATE(B406,-12),Database!$A:$AS,MATCH($H$1,Database!$A$1:$AS$1,),)))))</f>
        <v/>
      </c>
      <c r="I406" s="13">
        <f>IF(VLOOKUP(B406,Database!$A:$AV,MATCH($I$1,Database!$A$1:$AV$1,),)=0,"#N/A",((((VLOOKUP(B406,Database!$A:$AS,MATCH($I$1,Database!$A$1:$AS$1,),))))-(((VLOOKUP(EDATE(B406,-12),Database!$A:$AS,MATCH($I$1,Database!$A$1:$AS$1,),)))))/(((VLOOKUP(EDATE(B406,-12),Database!$A:$AS,MATCH($I$1,Database!$A$1:$AS$1,),)))))</f>
        <v/>
      </c>
      <c r="J406" s="13">
        <f>IF(VLOOKUP(B406,Database!$A:$AV,MATCH($J$1,Database!$A$1:$AV$1,),)=0,"#N/A",((((VLOOKUP(B406,Database!$A:$AS,MATCH($J$1,Database!$A$1:$AS$1,),))))-(((VLOOKUP(EDATE(B406,-12),Database!$A:$AS,MATCH($J$1,Database!$A$1:$AS$1,),)))))/(((VLOOKUP(EDATE(B406,-12),Database!$A:$AS,MATCH($J$1,Database!$A$1:$AS$1,),)))))</f>
        <v/>
      </c>
      <c r="K406" s="13">
        <f>IF(VLOOKUP(B406,Database!$A:$AV,MATCH($K$1,Database!$A$1:$AV$1,),)=0,"#N/A",((((VLOOKUP(B406,Database!$A:$AS,MATCH($K$1,Database!$A$1:$AS$1,),))))-(((VLOOKUP(EDATE(B406,-12),Database!$A:$AS,MATCH($K$1,Database!$A$1:$AS$1,),)))))/(((VLOOKUP(EDATE(B406,-12),Database!$A:$AS,MATCH($K$1,Database!$A$1:$AS$1,),)))))</f>
        <v/>
      </c>
      <c r="L406" s="13" t="n"/>
      <c r="M406" s="13" t="n"/>
      <c r="N406" s="13" t="n"/>
      <c r="O406" s="13">
        <f>IF(VLOOKUP(B406,Database!$A:$AV,MATCH($O$1,Database!$A$1:$AV$1,),)=0,"#N/A",((((VLOOKUP(B406,Database!$A:$AS,MATCH($O$1,Database!$A$1:$AS$1,),))))-(((VLOOKUP(EDATE(B406,-12),Database!$A:$AS,MATCH($O$1,Database!$A$1:$AS$1,),)))))/(((VLOOKUP(EDATE(B406,-12),Database!$A:$AS,MATCH($O$1,Database!$A$1:$AS$1,),)))))</f>
        <v/>
      </c>
      <c r="P406" s="13">
        <f>IF(VLOOKUP(B406,Database!$A:$AV,MATCH($P$1,Database!$A$1:$AV$1,),)=0,"#N/A",((((VLOOKUP(B406,Database!$A:$AS,MATCH($P$1,Database!$A$1:$AS$1,),))))-(((VLOOKUP(EDATE(B406,-12),Database!$A:$AS,MATCH($P$1,Database!$A$1:$AS$1,),)))))/(((VLOOKUP(EDATE(B406,-12),Database!$A:$AS,MATCH($P$1,Database!$A$1:$AS$1,),)))))</f>
        <v/>
      </c>
      <c r="Q406" s="13">
        <f>IF(VLOOKUP(B406,Database!$A:$AV,MATCH($Q$1,Database!$A$1:$AV$1,),)=0,"#N/A",((((VLOOKUP(B406,Database!$A:$AS,MATCH($Q$1,Database!$A$1:$AS$1,),))))-(((VLOOKUP(EDATE(B406,-12),Database!$A:$AS,MATCH($Q$1,Database!$A$1:$AS$1,),)))))/(((VLOOKUP(EDATE(B406,-12),Database!$A:$AS,MATCH($Q$1,Database!$A$1:$AS$1,),)))))</f>
        <v/>
      </c>
      <c r="R406" s="13">
        <f>IF(VLOOKUP(B406,Database!$A:$AV,MATCH($R$1,Database!$A$1:$AV$1,),)=0,"#N/A",((((VLOOKUP(B406,Database!$A:$AS,MATCH($R$1,Database!$A$1:$AS$1,),))))-(((VLOOKUP(EDATE(B406,-12),Database!$A:$AS,MATCH($R$1,Database!$A$1:$AS$1,),)))))/(((VLOOKUP(EDATE(B406,-12),Database!$A:$AS,MATCH($R$1,Database!$A$1:$AS$1,),)))))</f>
        <v/>
      </c>
      <c r="S406" s="13">
        <f>IF(VLOOKUP(B406,Database!$A:$AV,MATCH($S$1,Database!$A$1:$AV$1,),)=0,"#N/A",((((VLOOKUP(B406,Database!$A:$AS,MATCH($S$1,Database!$A$1:$AS$1,),))))-(((VLOOKUP(EDATE(B406,-12),Database!$A:$AS,MATCH($S$1,Database!$A$1:$AS$1,),)))))/(((VLOOKUP(EDATE(B406,-12),Database!$A:$AS,MATCH($S$1,Database!$A$1:$AS$1,),)))))</f>
        <v/>
      </c>
      <c r="T406" s="13">
        <f>IF(VLOOKUP(B406,Database!$A:$AV,MATCH($T$1,Database!$A$1:$AV$1,),)=0,"#N/A",((((VLOOKUP(B406,Database!$A:$AS,MATCH($T$1,Database!$A$1:$AS$1,),))))-(((VLOOKUP(EDATE(B406,-12),Database!$A:$AS,MATCH($T$1,Database!$A$1:$AS$1,),)))))/(((VLOOKUP(EDATE(B406,-12),Database!$A:$AS,MATCH($T$1,Database!$A$1:$AS$1,),)))))</f>
        <v/>
      </c>
      <c r="U406" s="13">
        <f>IF(VLOOKUP(B406,Database!$A:$AV,MATCH($U$1,Database!$A$1:$AV$1,),)=0,"#N/A",((((VLOOKUP(B406,Database!$A:$AS,MATCH($U$1,Database!$A$1:$AS$1,),))))-(((VLOOKUP(EDATE(B406,-12),Database!$A:$AS,MATCH($U$1,Database!$A$1:$AS$1,),)))))/(((VLOOKUP(EDATE(B406,-12),Database!$A:$AS,MATCH($U$1,Database!$A$1:$AS$1,),)))))</f>
        <v/>
      </c>
      <c r="V406" s="13">
        <f>IF(VLOOKUP(B406,Database!$A:$AV,MATCH($V$1,Database!$A$1:$AV$1,),)=0,"#N/A",((((VLOOKUP(B406,Database!$A:$AS,MATCH($V$1,Database!$A$1:$AS$1,),))))-(((VLOOKUP(EDATE(B406,-12),Database!$A:$AS,MATCH($V$1,Database!$A$1:$AS$1,),)))))/(((VLOOKUP(EDATE(B406,-12),Database!$A:$AS,MATCH($V$1,Database!$A$1:$AS$1,),)))))</f>
        <v/>
      </c>
    </row>
    <row r="407" customFormat="1" s="86">
      <c r="B407" s="75" t="n">
        <v>44531</v>
      </c>
      <c r="C407" s="13">
        <f>IF(VLOOKUP(B407,Database!$A:$AU,MATCH($C$1,Database!$A$1:$AU$1,),)=0,"#N/A",((((VLOOKUP(B407,Database!$A:$AU,MATCH($C$1,Database!$A$1:$AU$1,),))))-(((VLOOKUP(EDATE(B407,-12),Database!$A:$AU,MATCH($C$1,Database!$A$1:$AU$1,),)))))/(((VLOOKUP(EDATE(B407,-12),Database!$A:$AU,MATCH($C$1,Database!$A$1:$AU$1,),)))))</f>
        <v/>
      </c>
      <c r="D407" s="13">
        <f>IF(VLOOKUP(B407,Database!$A:$AV,MATCH($D$1,Database!$A$1:$AV$1,),)=0,"#N/A",((((VLOOKUP(B407,Database!$A:$AS,MATCH($D$1,Database!$A$1:$AS$1,),))))-(((VLOOKUP(EDATE(B407,-12),Database!$A:$AS,MATCH($D$1,Database!$A$1:$AS$1,),)))))/(((VLOOKUP(EDATE(B407,-12),Database!$A:$AS,MATCH($D$1,Database!$A$1:$AS$1,),)))))</f>
        <v/>
      </c>
      <c r="E407" s="13">
        <f>IF(VLOOKUP(B407,Database!$A:$AV,MATCH($E$1,Database!$A$1:$AV$1,),)=0,"#N/A",((((VLOOKUP(B407,Database!$A:$AS,MATCH($E$1,Database!$A$1:$AS$1,),))))-(((VLOOKUP(EDATE(B407,-12),Database!$A:$AS,MATCH($E$1,Database!$A$1:$AS$1,),)))))/(((VLOOKUP(EDATE(B407,-12),Database!$A:$AS,MATCH($E$1,Database!$A$1:$AS$1,),)))))</f>
        <v/>
      </c>
      <c r="F407" s="13">
        <f>IF(VLOOKUP(B407,Database!$A:$AV,MATCH($F$1,Database!$A$1:$AV$1,),)=0,"#N/A",((((VLOOKUP(B407,Database!$A:$AS,MATCH($F$1,Database!$A$1:$AS$1,),))))-(((VLOOKUP(EDATE(B407,-12),Database!$A:$AS,MATCH($F$1,Database!$A$1:$AS$1,),)))))/(((VLOOKUP(EDATE(B407,-12),Database!$A:$AS,MATCH($F$1,Database!$A$1:$AS$1,),)))))</f>
        <v/>
      </c>
      <c r="G407" s="13">
        <f>IF(VLOOKUP(B407,Database!$A:$AV,MATCH($G$1,Database!$A$1:$AV$1,),)=0,"#N/A",((((VLOOKUP(B407,Database!$A:$AS,MATCH($G$1,Database!$A$1:$AS$1,),))))-(((VLOOKUP(EDATE(B407,-12),Database!$A:$AS,MATCH($G$1,Database!$A$1:$AS$1,),)))))/(((VLOOKUP(EDATE(B407,-12),Database!$A:$AS,MATCH($G$1,Database!$A$1:$AS$1,),)))))</f>
        <v/>
      </c>
      <c r="H407" s="13">
        <f>IF(VLOOKUP(B407,Database!$A:$AV,MATCH($H$1,Database!$A$1:$AV$1,),)=0,"#N/A",((((VLOOKUP(B407,Database!$A:$AS,MATCH($H$1,Database!$A$1:$AS$1,),))))-(((VLOOKUP(EDATE(B407,-12),Database!$A:$AS,MATCH($H$1,Database!$A$1:$AS$1,),)))))/(((VLOOKUP(EDATE(B407,-12),Database!$A:$AS,MATCH($H$1,Database!$A$1:$AS$1,),)))))</f>
        <v/>
      </c>
      <c r="I407" s="13">
        <f>IF(VLOOKUP(B407,Database!$A:$AV,MATCH($I$1,Database!$A$1:$AV$1,),)=0,"#N/A",((((VLOOKUP(B407,Database!$A:$AS,MATCH($I$1,Database!$A$1:$AS$1,),))))-(((VLOOKUP(EDATE(B407,-12),Database!$A:$AS,MATCH($I$1,Database!$A$1:$AS$1,),)))))/(((VLOOKUP(EDATE(B407,-12),Database!$A:$AS,MATCH($I$1,Database!$A$1:$AS$1,),)))))</f>
        <v/>
      </c>
      <c r="J407" s="13">
        <f>IF(VLOOKUP(B407,Database!$A:$AV,MATCH($J$1,Database!$A$1:$AV$1,),)=0,"#N/A",((((VLOOKUP(B407,Database!$A:$AS,MATCH($J$1,Database!$A$1:$AS$1,),))))-(((VLOOKUP(EDATE(B407,-12),Database!$A:$AS,MATCH($J$1,Database!$A$1:$AS$1,),)))))/(((VLOOKUP(EDATE(B407,-12),Database!$A:$AS,MATCH($J$1,Database!$A$1:$AS$1,),)))))</f>
        <v/>
      </c>
      <c r="K407" s="13">
        <f>IF(VLOOKUP(B407,Database!$A:$AV,MATCH($K$1,Database!$A$1:$AV$1,),)=0,"#N/A",((((VLOOKUP(B407,Database!$A:$AS,MATCH($K$1,Database!$A$1:$AS$1,),))))-(((VLOOKUP(EDATE(B407,-12),Database!$A:$AS,MATCH($K$1,Database!$A$1:$AS$1,),)))))/(((VLOOKUP(EDATE(B407,-12),Database!$A:$AS,MATCH($K$1,Database!$A$1:$AS$1,),)))))</f>
        <v/>
      </c>
      <c r="L407" s="13" t="n"/>
      <c r="M407" s="13" t="n"/>
      <c r="N407" s="13" t="n"/>
      <c r="O407" s="13">
        <f>IF(VLOOKUP(B407,Database!$A:$AV,MATCH($O$1,Database!$A$1:$AV$1,),)=0,"#N/A",((((VLOOKUP(B407,Database!$A:$AS,MATCH($O$1,Database!$A$1:$AS$1,),))))-(((VLOOKUP(EDATE(B407,-12),Database!$A:$AS,MATCH($O$1,Database!$A$1:$AS$1,),)))))/(((VLOOKUP(EDATE(B407,-12),Database!$A:$AS,MATCH($O$1,Database!$A$1:$AS$1,),)))))</f>
        <v/>
      </c>
      <c r="P407" s="13">
        <f>IF(VLOOKUP(B407,Database!$A:$AV,MATCH($P$1,Database!$A$1:$AV$1,),)=0,"#N/A",((((VLOOKUP(B407,Database!$A:$AS,MATCH($P$1,Database!$A$1:$AS$1,),))))-(((VLOOKUP(EDATE(B407,-12),Database!$A:$AS,MATCH($P$1,Database!$A$1:$AS$1,),)))))/(((VLOOKUP(EDATE(B407,-12),Database!$A:$AS,MATCH($P$1,Database!$A$1:$AS$1,),)))))</f>
        <v/>
      </c>
      <c r="Q407" s="13">
        <f>IF(VLOOKUP(B407,Database!$A:$AV,MATCH($Q$1,Database!$A$1:$AV$1,),)=0,"#N/A",((((VLOOKUP(B407,Database!$A:$AS,MATCH($Q$1,Database!$A$1:$AS$1,),))))-(((VLOOKUP(EDATE(B407,-12),Database!$A:$AS,MATCH($Q$1,Database!$A$1:$AS$1,),)))))/(((VLOOKUP(EDATE(B407,-12),Database!$A:$AS,MATCH($Q$1,Database!$A$1:$AS$1,),)))))</f>
        <v/>
      </c>
      <c r="R407" s="13">
        <f>IF(VLOOKUP(B407,Database!$A:$AV,MATCH($R$1,Database!$A$1:$AV$1,),)=0,"#N/A",((((VLOOKUP(B407,Database!$A:$AS,MATCH($R$1,Database!$A$1:$AS$1,),))))-(((VLOOKUP(EDATE(B407,-12),Database!$A:$AS,MATCH($R$1,Database!$A$1:$AS$1,),)))))/(((VLOOKUP(EDATE(B407,-12),Database!$A:$AS,MATCH($R$1,Database!$A$1:$AS$1,),)))))</f>
        <v/>
      </c>
      <c r="S407" s="13">
        <f>IF(VLOOKUP(B407,Database!$A:$AV,MATCH($S$1,Database!$A$1:$AV$1,),)=0,"#N/A",((((VLOOKUP(B407,Database!$A:$AS,MATCH($S$1,Database!$A$1:$AS$1,),))))-(((VLOOKUP(EDATE(B407,-12),Database!$A:$AS,MATCH($S$1,Database!$A$1:$AS$1,),)))))/(((VLOOKUP(EDATE(B407,-12),Database!$A:$AS,MATCH($S$1,Database!$A$1:$AS$1,),)))))</f>
        <v/>
      </c>
      <c r="T407" s="13">
        <f>IF(VLOOKUP(B407,Database!$A:$AV,MATCH($T$1,Database!$A$1:$AV$1,),)=0,"#N/A",((((VLOOKUP(B407,Database!$A:$AS,MATCH($T$1,Database!$A$1:$AS$1,),))))-(((VLOOKUP(EDATE(B407,-12),Database!$A:$AS,MATCH($T$1,Database!$A$1:$AS$1,),)))))/(((VLOOKUP(EDATE(B407,-12),Database!$A:$AS,MATCH($T$1,Database!$A$1:$AS$1,),)))))</f>
        <v/>
      </c>
      <c r="U407" s="13">
        <f>IF(VLOOKUP(B407,Database!$A:$AV,MATCH($U$1,Database!$A$1:$AV$1,),)=0,"#N/A",((((VLOOKUP(B407,Database!$A:$AS,MATCH($U$1,Database!$A$1:$AS$1,),))))-(((VLOOKUP(EDATE(B407,-12),Database!$A:$AS,MATCH($U$1,Database!$A$1:$AS$1,),)))))/(((VLOOKUP(EDATE(B407,-12),Database!$A:$AS,MATCH($U$1,Database!$A$1:$AS$1,),)))))</f>
        <v/>
      </c>
      <c r="V407" s="13">
        <f>IF(VLOOKUP(B407,Database!$A:$AV,MATCH($V$1,Database!$A$1:$AV$1,),)=0,"#N/A",((((VLOOKUP(B407,Database!$A:$AS,MATCH($V$1,Database!$A$1:$AS$1,),))))-(((VLOOKUP(EDATE(B407,-12),Database!$A:$AS,MATCH($V$1,Database!$A$1:$AS$1,),)))))/(((VLOOKUP(EDATE(B407,-12),Database!$A:$AS,MATCH($V$1,Database!$A$1:$AS$1,),)))))</f>
        <v/>
      </c>
    </row>
    <row r="408" customFormat="1" s="86">
      <c r="B408" s="75" t="n">
        <v>44562</v>
      </c>
      <c r="C408" s="13">
        <f>IF(VLOOKUP(B408,Database!$A:$AU,MATCH($C$1,Database!$A$1:$AU$1,),)=0,"#N/A",((((VLOOKUP(B408,Database!$A:$AU,MATCH($C$1,Database!$A$1:$AU$1,),))))-(((VLOOKUP(EDATE(B408,-12),Database!$A:$AU,MATCH($C$1,Database!$A$1:$AU$1,),)))))/(((VLOOKUP(EDATE(B408,-12),Database!$A:$AU,MATCH($C$1,Database!$A$1:$AU$1,),)))))</f>
        <v/>
      </c>
      <c r="D408" s="13">
        <f>IF(VLOOKUP(B408,Database!$A:$AV,MATCH($D$1,Database!$A$1:$AV$1,),)=0,"#N/A",((((VLOOKUP(B408,Database!$A:$AS,MATCH($D$1,Database!$A$1:$AS$1,),))))-(((VLOOKUP(EDATE(B408,-12),Database!$A:$AS,MATCH($D$1,Database!$A$1:$AS$1,),)))))/(((VLOOKUP(EDATE(B408,-12),Database!$A:$AS,MATCH($D$1,Database!$A$1:$AS$1,),)))))</f>
        <v/>
      </c>
      <c r="E408" s="13">
        <f>IF(VLOOKUP(B408,Database!$A:$AV,MATCH($E$1,Database!$A$1:$AV$1,),)=0,"#N/A",((((VLOOKUP(B408,Database!$A:$AS,MATCH($E$1,Database!$A$1:$AS$1,),))))-(((VLOOKUP(EDATE(B408,-12),Database!$A:$AS,MATCH($E$1,Database!$A$1:$AS$1,),)))))/(((VLOOKUP(EDATE(B408,-12),Database!$A:$AS,MATCH($E$1,Database!$A$1:$AS$1,),)))))</f>
        <v/>
      </c>
      <c r="F408" s="13">
        <f>IF(VLOOKUP(B408,Database!$A:$AV,MATCH($F$1,Database!$A$1:$AV$1,),)=0,"#N/A",((((VLOOKUP(B408,Database!$A:$AS,MATCH($F$1,Database!$A$1:$AS$1,),))))-(((VLOOKUP(EDATE(B408,-12),Database!$A:$AS,MATCH($F$1,Database!$A$1:$AS$1,),)))))/(((VLOOKUP(EDATE(B408,-12),Database!$A:$AS,MATCH($F$1,Database!$A$1:$AS$1,),)))))</f>
        <v/>
      </c>
      <c r="G408" s="13">
        <f>IF(VLOOKUP(B408,Database!$A:$AV,MATCH($G$1,Database!$A$1:$AV$1,),)=0,"#N/A",((((VLOOKUP(B408,Database!$A:$AS,MATCH($G$1,Database!$A$1:$AS$1,),))))-(((VLOOKUP(EDATE(B408,-12),Database!$A:$AS,MATCH($G$1,Database!$A$1:$AS$1,),)))))/(((VLOOKUP(EDATE(B408,-12),Database!$A:$AS,MATCH($G$1,Database!$A$1:$AS$1,),)))))</f>
        <v/>
      </c>
      <c r="H408" s="13">
        <f>IF(VLOOKUP(B408,Database!$A:$AV,MATCH($H$1,Database!$A$1:$AV$1,),)=0,"#N/A",((((VLOOKUP(B408,Database!$A:$AS,MATCH($H$1,Database!$A$1:$AS$1,),))))-(((VLOOKUP(EDATE(B408,-12),Database!$A:$AS,MATCH($H$1,Database!$A$1:$AS$1,),)))))/(((VLOOKUP(EDATE(B408,-12),Database!$A:$AS,MATCH($H$1,Database!$A$1:$AS$1,),)))))</f>
        <v/>
      </c>
      <c r="I408" s="13">
        <f>IF(VLOOKUP(B408,Database!$A:$AV,MATCH($I$1,Database!$A$1:$AV$1,),)=0,"#N/A",((((VLOOKUP(B408,Database!$A:$AS,MATCH($I$1,Database!$A$1:$AS$1,),))))-(((VLOOKUP(EDATE(B408,-12),Database!$A:$AS,MATCH($I$1,Database!$A$1:$AS$1,),)))))/(((VLOOKUP(EDATE(B408,-12),Database!$A:$AS,MATCH($I$1,Database!$A$1:$AS$1,),)))))</f>
        <v/>
      </c>
      <c r="J408" s="13">
        <f>IF(VLOOKUP(B408,Database!$A:$AV,MATCH($J$1,Database!$A$1:$AV$1,),)=0,"#N/A",((((VLOOKUP(B408,Database!$A:$AS,MATCH($J$1,Database!$A$1:$AS$1,),))))-(((VLOOKUP(EDATE(B408,-12),Database!$A:$AS,MATCH($J$1,Database!$A$1:$AS$1,),)))))/(((VLOOKUP(EDATE(B408,-12),Database!$A:$AS,MATCH($J$1,Database!$A$1:$AS$1,),)))))</f>
        <v/>
      </c>
      <c r="K408" s="13">
        <f>IF(VLOOKUP(B408,Database!$A:$AV,MATCH($K$1,Database!$A$1:$AV$1,),)=0,"#N/A",((((VLOOKUP(B408,Database!$A:$AS,MATCH($K$1,Database!$A$1:$AS$1,),))))-(((VLOOKUP(EDATE(B408,-12),Database!$A:$AS,MATCH($K$1,Database!$A$1:$AS$1,),)))))/(((VLOOKUP(EDATE(B408,-12),Database!$A:$AS,MATCH($K$1,Database!$A$1:$AS$1,),)))))</f>
        <v/>
      </c>
      <c r="L408" s="13" t="n"/>
      <c r="M408" s="13" t="n"/>
      <c r="N408" s="13" t="n"/>
      <c r="O408" s="13">
        <f>IF(VLOOKUP(B408,Database!$A:$AV,MATCH($O$1,Database!$A$1:$AV$1,),)=0,"#N/A",((((VLOOKUP(B408,Database!$A:$AS,MATCH($O$1,Database!$A$1:$AS$1,),))))-(((VLOOKUP(EDATE(B408,-12),Database!$A:$AS,MATCH($O$1,Database!$A$1:$AS$1,),)))))/(((VLOOKUP(EDATE(B408,-12),Database!$A:$AS,MATCH($O$1,Database!$A$1:$AS$1,),)))))</f>
        <v/>
      </c>
      <c r="P408" s="13">
        <f>IF(VLOOKUP(B408,Database!$A:$AV,MATCH($P$1,Database!$A$1:$AV$1,),)=0,"#N/A",((((VLOOKUP(B408,Database!$A:$AS,MATCH($P$1,Database!$A$1:$AS$1,),))))-(((VLOOKUP(EDATE(B408,-12),Database!$A:$AS,MATCH($P$1,Database!$A$1:$AS$1,),)))))/(((VLOOKUP(EDATE(B408,-12),Database!$A:$AS,MATCH($P$1,Database!$A$1:$AS$1,),)))))</f>
        <v/>
      </c>
      <c r="Q408" s="13">
        <f>IF(VLOOKUP(B408,Database!$A:$AV,MATCH($Q$1,Database!$A$1:$AV$1,),)=0,"#N/A",((((VLOOKUP(B408,Database!$A:$AS,MATCH($Q$1,Database!$A$1:$AS$1,),))))-(((VLOOKUP(EDATE(B408,-12),Database!$A:$AS,MATCH($Q$1,Database!$A$1:$AS$1,),)))))/(((VLOOKUP(EDATE(B408,-12),Database!$A:$AS,MATCH($Q$1,Database!$A$1:$AS$1,),)))))</f>
        <v/>
      </c>
      <c r="R408" s="13">
        <f>IF(VLOOKUP(B408,Database!$A:$AV,MATCH($R$1,Database!$A$1:$AV$1,),)=0,"#N/A",((((VLOOKUP(B408,Database!$A:$AS,MATCH($R$1,Database!$A$1:$AS$1,),))))-(((VLOOKUP(EDATE(B408,-12),Database!$A:$AS,MATCH($R$1,Database!$A$1:$AS$1,),)))))/(((VLOOKUP(EDATE(B408,-12),Database!$A:$AS,MATCH($R$1,Database!$A$1:$AS$1,),)))))</f>
        <v/>
      </c>
      <c r="S408" s="13">
        <f>IF(VLOOKUP(B408,Database!$A:$AV,MATCH($S$1,Database!$A$1:$AV$1,),)=0,"#N/A",((((VLOOKUP(B408,Database!$A:$AS,MATCH($S$1,Database!$A$1:$AS$1,),))))-(((VLOOKUP(EDATE(B408,-12),Database!$A:$AS,MATCH($S$1,Database!$A$1:$AS$1,),)))))/(((VLOOKUP(EDATE(B408,-12),Database!$A:$AS,MATCH($S$1,Database!$A$1:$AS$1,),)))))</f>
        <v/>
      </c>
      <c r="T408" s="13">
        <f>IF(VLOOKUP(B408,Database!$A:$AV,MATCH($T$1,Database!$A$1:$AV$1,),)=0,"#N/A",((((VLOOKUP(B408,Database!$A:$AS,MATCH($T$1,Database!$A$1:$AS$1,),))))-(((VLOOKUP(EDATE(B408,-12),Database!$A:$AS,MATCH($T$1,Database!$A$1:$AS$1,),)))))/(((VLOOKUP(EDATE(B408,-12),Database!$A:$AS,MATCH($T$1,Database!$A$1:$AS$1,),)))))</f>
        <v/>
      </c>
      <c r="U408" s="13">
        <f>IF(VLOOKUP(B408,Database!$A:$AV,MATCH($U$1,Database!$A$1:$AV$1,),)=0,"#N/A",((((VLOOKUP(B408,Database!$A:$AS,MATCH($U$1,Database!$A$1:$AS$1,),))))-(((VLOOKUP(EDATE(B408,-12),Database!$A:$AS,MATCH($U$1,Database!$A$1:$AS$1,),)))))/(((VLOOKUP(EDATE(B408,-12),Database!$A:$AS,MATCH($U$1,Database!$A$1:$AS$1,),)))))</f>
        <v/>
      </c>
      <c r="V408" s="13">
        <f>IF(VLOOKUP(B408,Database!$A:$AV,MATCH($V$1,Database!$A$1:$AV$1,),)=0,"#N/A",((((VLOOKUP(B408,Database!$A:$AS,MATCH($V$1,Database!$A$1:$AS$1,),))))-(((VLOOKUP(EDATE(B408,-12),Database!$A:$AS,MATCH($V$1,Database!$A$1:$AS$1,),)))))/(((VLOOKUP(EDATE(B408,-12),Database!$A:$AS,MATCH($V$1,Database!$A$1:$AS$1,),)))))</f>
        <v/>
      </c>
    </row>
    <row r="409" customFormat="1" s="86">
      <c r="B409" s="75" t="n">
        <v>44593</v>
      </c>
      <c r="C409" s="13">
        <f>IF(VLOOKUP(B409,Database!$A:$AU,MATCH($C$1,Database!$A$1:$AU$1,),)=0,"#N/A",((((VLOOKUP(B409,Database!$A:$AU,MATCH($C$1,Database!$A$1:$AU$1,),))))-(((VLOOKUP(EDATE(B409,-12),Database!$A:$AU,MATCH($C$1,Database!$A$1:$AU$1,),)))))/(((VLOOKUP(EDATE(B409,-12),Database!$A:$AU,MATCH($C$1,Database!$A$1:$AU$1,),)))))</f>
        <v/>
      </c>
      <c r="D409" s="13">
        <f>IF(VLOOKUP(B409,Database!$A:$AV,MATCH($D$1,Database!$A$1:$AV$1,),)=0,"#N/A",((((VLOOKUP(B409,Database!$A:$AS,MATCH($D$1,Database!$A$1:$AS$1,),))))-(((VLOOKUP(EDATE(B409,-12),Database!$A:$AS,MATCH($D$1,Database!$A$1:$AS$1,),)))))/(((VLOOKUP(EDATE(B409,-12),Database!$A:$AS,MATCH($D$1,Database!$A$1:$AS$1,),)))))</f>
        <v/>
      </c>
      <c r="E409" s="13">
        <f>IF(VLOOKUP(B409,Database!$A:$AV,MATCH($E$1,Database!$A$1:$AV$1,),)=0,"#N/A",((((VLOOKUP(B409,Database!$A:$AS,MATCH($E$1,Database!$A$1:$AS$1,),))))-(((VLOOKUP(EDATE(B409,-12),Database!$A:$AS,MATCH($E$1,Database!$A$1:$AS$1,),)))))/(((VLOOKUP(EDATE(B409,-12),Database!$A:$AS,MATCH($E$1,Database!$A$1:$AS$1,),)))))</f>
        <v/>
      </c>
      <c r="F409" s="13">
        <f>IF(VLOOKUP(B409,Database!$A:$AV,MATCH($F$1,Database!$A$1:$AV$1,),)=0,"#N/A",((((VLOOKUP(B409,Database!$A:$AS,MATCH($F$1,Database!$A$1:$AS$1,),))))-(((VLOOKUP(EDATE(B409,-12),Database!$A:$AS,MATCH($F$1,Database!$A$1:$AS$1,),)))))/(((VLOOKUP(EDATE(B409,-12),Database!$A:$AS,MATCH($F$1,Database!$A$1:$AS$1,),)))))</f>
        <v/>
      </c>
      <c r="G409" s="13">
        <f>IF(VLOOKUP(B409,Database!$A:$AV,MATCH($G$1,Database!$A$1:$AV$1,),)=0,"#N/A",((((VLOOKUP(B409,Database!$A:$AS,MATCH($G$1,Database!$A$1:$AS$1,),))))-(((VLOOKUP(EDATE(B409,-12),Database!$A:$AS,MATCH($G$1,Database!$A$1:$AS$1,),)))))/(((VLOOKUP(EDATE(B409,-12),Database!$A:$AS,MATCH($G$1,Database!$A$1:$AS$1,),)))))</f>
        <v/>
      </c>
      <c r="H409" s="13">
        <f>IF(VLOOKUP(B409,Database!$A:$AV,MATCH($H$1,Database!$A$1:$AV$1,),)=0,"#N/A",((((VLOOKUP(B409,Database!$A:$AS,MATCH($H$1,Database!$A$1:$AS$1,),))))-(((VLOOKUP(EDATE(B409,-12),Database!$A:$AS,MATCH($H$1,Database!$A$1:$AS$1,),)))))/(((VLOOKUP(EDATE(B409,-12),Database!$A:$AS,MATCH($H$1,Database!$A$1:$AS$1,),)))))</f>
        <v/>
      </c>
      <c r="I409" s="13">
        <f>IF(VLOOKUP(B409,Database!$A:$AV,MATCH($I$1,Database!$A$1:$AV$1,),)=0,"#N/A",((((VLOOKUP(B409,Database!$A:$AS,MATCH($I$1,Database!$A$1:$AS$1,),))))-(((VLOOKUP(EDATE(B409,-12),Database!$A:$AS,MATCH($I$1,Database!$A$1:$AS$1,),)))))/(((VLOOKUP(EDATE(B409,-12),Database!$A:$AS,MATCH($I$1,Database!$A$1:$AS$1,),)))))</f>
        <v/>
      </c>
      <c r="J409" s="13">
        <f>IF(VLOOKUP(B409,Database!$A:$AV,MATCH($J$1,Database!$A$1:$AV$1,),)=0,"#N/A",((((VLOOKUP(B409,Database!$A:$AS,MATCH($J$1,Database!$A$1:$AS$1,),))))-(((VLOOKUP(EDATE(B409,-12),Database!$A:$AS,MATCH($J$1,Database!$A$1:$AS$1,),)))))/(((VLOOKUP(EDATE(B409,-12),Database!$A:$AS,MATCH($J$1,Database!$A$1:$AS$1,),)))))</f>
        <v/>
      </c>
      <c r="K409" s="13">
        <f>IF(VLOOKUP(B409,Database!$A:$AV,MATCH($K$1,Database!$A$1:$AV$1,),)=0,"#N/A",((((VLOOKUP(B409,Database!$A:$AS,MATCH($K$1,Database!$A$1:$AS$1,),))))-(((VLOOKUP(EDATE(B409,-12),Database!$A:$AS,MATCH($K$1,Database!$A$1:$AS$1,),)))))/(((VLOOKUP(EDATE(B409,-12),Database!$A:$AS,MATCH($K$1,Database!$A$1:$AS$1,),)))))</f>
        <v/>
      </c>
      <c r="L409" s="13" t="n"/>
      <c r="M409" s="13" t="n"/>
      <c r="N409" s="13" t="n"/>
      <c r="O409" s="13">
        <f>IF(VLOOKUP(B409,Database!$A:$AV,MATCH($O$1,Database!$A$1:$AV$1,),)=0,"#N/A",((((VLOOKUP(B409,Database!$A:$AS,MATCH($O$1,Database!$A$1:$AS$1,),))))-(((VLOOKUP(EDATE(B409,-12),Database!$A:$AS,MATCH($O$1,Database!$A$1:$AS$1,),)))))/(((VLOOKUP(EDATE(B409,-12),Database!$A:$AS,MATCH($O$1,Database!$A$1:$AS$1,),)))))</f>
        <v/>
      </c>
      <c r="P409" s="13">
        <f>IF(VLOOKUP(B409,Database!$A:$AV,MATCH($P$1,Database!$A$1:$AV$1,),)=0,"#N/A",((((VLOOKUP(B409,Database!$A:$AS,MATCH($P$1,Database!$A$1:$AS$1,),))))-(((VLOOKUP(EDATE(B409,-12),Database!$A:$AS,MATCH($P$1,Database!$A$1:$AS$1,),)))))/(((VLOOKUP(EDATE(B409,-12),Database!$A:$AS,MATCH($P$1,Database!$A$1:$AS$1,),)))))</f>
        <v/>
      </c>
      <c r="Q409" s="13">
        <f>IF(VLOOKUP(B409,Database!$A:$AV,MATCH($Q$1,Database!$A$1:$AV$1,),)=0,"#N/A",((((VLOOKUP(B409,Database!$A:$AS,MATCH($Q$1,Database!$A$1:$AS$1,),))))-(((VLOOKUP(EDATE(B409,-12),Database!$A:$AS,MATCH($Q$1,Database!$A$1:$AS$1,),)))))/(((VLOOKUP(EDATE(B409,-12),Database!$A:$AS,MATCH($Q$1,Database!$A$1:$AS$1,),)))))</f>
        <v/>
      </c>
      <c r="R409" s="13">
        <f>IF(VLOOKUP(B409,Database!$A:$AV,MATCH($R$1,Database!$A$1:$AV$1,),)=0,"#N/A",((((VLOOKUP(B409,Database!$A:$AS,MATCH($R$1,Database!$A$1:$AS$1,),))))-(((VLOOKUP(EDATE(B409,-12),Database!$A:$AS,MATCH($R$1,Database!$A$1:$AS$1,),)))))/(((VLOOKUP(EDATE(B409,-12),Database!$A:$AS,MATCH($R$1,Database!$A$1:$AS$1,),)))))</f>
        <v/>
      </c>
      <c r="S409" s="13">
        <f>IF(VLOOKUP(B409,Database!$A:$AV,MATCH($S$1,Database!$A$1:$AV$1,),)=0,"#N/A",((((VLOOKUP(B409,Database!$A:$AS,MATCH($S$1,Database!$A$1:$AS$1,),))))-(((VLOOKUP(EDATE(B409,-12),Database!$A:$AS,MATCH($S$1,Database!$A$1:$AS$1,),)))))/(((VLOOKUP(EDATE(B409,-12),Database!$A:$AS,MATCH($S$1,Database!$A$1:$AS$1,),)))))</f>
        <v/>
      </c>
      <c r="T409" s="13">
        <f>IF(VLOOKUP(B409,Database!$A:$AV,MATCH($T$1,Database!$A$1:$AV$1,),)=0,"#N/A",((((VLOOKUP(B409,Database!$A:$AS,MATCH($T$1,Database!$A$1:$AS$1,),))))-(((VLOOKUP(EDATE(B409,-12),Database!$A:$AS,MATCH($T$1,Database!$A$1:$AS$1,),)))))/(((VLOOKUP(EDATE(B409,-12),Database!$A:$AS,MATCH($T$1,Database!$A$1:$AS$1,),)))))</f>
        <v/>
      </c>
      <c r="U409" s="13">
        <f>IF(VLOOKUP(B409,Database!$A:$AV,MATCH($U$1,Database!$A$1:$AV$1,),)=0,"#N/A",((((VLOOKUP(B409,Database!$A:$AS,MATCH($U$1,Database!$A$1:$AS$1,),))))-(((VLOOKUP(EDATE(B409,-12),Database!$A:$AS,MATCH($U$1,Database!$A$1:$AS$1,),)))))/(((VLOOKUP(EDATE(B409,-12),Database!$A:$AS,MATCH($U$1,Database!$A$1:$AS$1,),)))))</f>
        <v/>
      </c>
      <c r="V409" s="13">
        <f>IF(VLOOKUP(B409,Database!$A:$AV,MATCH($V$1,Database!$A$1:$AV$1,),)=0,"#N/A",((((VLOOKUP(B409,Database!$A:$AS,MATCH($V$1,Database!$A$1:$AS$1,),))))-(((VLOOKUP(EDATE(B409,-12),Database!$A:$AS,MATCH($V$1,Database!$A$1:$AS$1,),)))))/(((VLOOKUP(EDATE(B409,-12),Database!$A:$AS,MATCH($V$1,Database!$A$1:$AS$1,),)))))</f>
        <v/>
      </c>
    </row>
    <row r="410" customFormat="1" s="86">
      <c r="B410" s="75" t="n">
        <v>44621</v>
      </c>
      <c r="C410" s="13">
        <f>IF(VLOOKUP(B410,Database!$A:$AU,MATCH($C$1,Database!$A$1:$AU$1,),)=0,"#N/A",((((VLOOKUP(B410,Database!$A:$AU,MATCH($C$1,Database!$A$1:$AU$1,),))))-(((VLOOKUP(EDATE(B410,-12),Database!$A:$AU,MATCH($C$1,Database!$A$1:$AU$1,),)))))/(((VLOOKUP(EDATE(B410,-12),Database!$A:$AU,MATCH($C$1,Database!$A$1:$AU$1,),)))))</f>
        <v/>
      </c>
      <c r="D410" s="13">
        <f>IF(VLOOKUP(B410,Database!$A:$AV,MATCH($D$1,Database!$A$1:$AV$1,),)=0,"#N/A",((((VLOOKUP(B410,Database!$A:$AS,MATCH($D$1,Database!$A$1:$AS$1,),))))-(((VLOOKUP(EDATE(B410,-12),Database!$A:$AS,MATCH($D$1,Database!$A$1:$AS$1,),)))))/(((VLOOKUP(EDATE(B410,-12),Database!$A:$AS,MATCH($D$1,Database!$A$1:$AS$1,),)))))</f>
        <v/>
      </c>
      <c r="E410" s="13">
        <f>IF(VLOOKUP(B410,Database!$A:$AV,MATCH($E$1,Database!$A$1:$AV$1,),)=0,"#N/A",((((VLOOKUP(B410,Database!$A:$AS,MATCH($E$1,Database!$A$1:$AS$1,),))))-(((VLOOKUP(EDATE(B410,-12),Database!$A:$AS,MATCH($E$1,Database!$A$1:$AS$1,),)))))/(((VLOOKUP(EDATE(B410,-12),Database!$A:$AS,MATCH($E$1,Database!$A$1:$AS$1,),)))))</f>
        <v/>
      </c>
      <c r="F410" s="13">
        <f>IF(VLOOKUP(B410,Database!$A:$AV,MATCH($F$1,Database!$A$1:$AV$1,),)=0,"#N/A",((((VLOOKUP(B410,Database!$A:$AS,MATCH($F$1,Database!$A$1:$AS$1,),))))-(((VLOOKUP(EDATE(B410,-12),Database!$A:$AS,MATCH($F$1,Database!$A$1:$AS$1,),)))))/(((VLOOKUP(EDATE(B410,-12),Database!$A:$AS,MATCH($F$1,Database!$A$1:$AS$1,),)))))</f>
        <v/>
      </c>
      <c r="G410" s="13">
        <f>IF(VLOOKUP(B410,Database!$A:$AV,MATCH($G$1,Database!$A$1:$AV$1,),)=0,"#N/A",((((VLOOKUP(B410,Database!$A:$AS,MATCH($G$1,Database!$A$1:$AS$1,),))))-(((VLOOKUP(EDATE(B410,-12),Database!$A:$AS,MATCH($G$1,Database!$A$1:$AS$1,),)))))/(((VLOOKUP(EDATE(B410,-12),Database!$A:$AS,MATCH($G$1,Database!$A$1:$AS$1,),)))))</f>
        <v/>
      </c>
      <c r="H410" s="13">
        <f>IF(VLOOKUP(B410,Database!$A:$AV,MATCH($H$1,Database!$A$1:$AV$1,),)=0,"#N/A",((((VLOOKUP(B410,Database!$A:$AS,MATCH($H$1,Database!$A$1:$AS$1,),))))-(((VLOOKUP(EDATE(B410,-12),Database!$A:$AS,MATCH($H$1,Database!$A$1:$AS$1,),)))))/(((VLOOKUP(EDATE(B410,-12),Database!$A:$AS,MATCH($H$1,Database!$A$1:$AS$1,),)))))</f>
        <v/>
      </c>
      <c r="I410" s="13">
        <f>IF(VLOOKUP(B410,Database!$A:$AV,MATCH($I$1,Database!$A$1:$AV$1,),)=0,"#N/A",((((VLOOKUP(B410,Database!$A:$AS,MATCH($I$1,Database!$A$1:$AS$1,),))))-(((VLOOKUP(EDATE(B410,-12),Database!$A:$AS,MATCH($I$1,Database!$A$1:$AS$1,),)))))/(((VLOOKUP(EDATE(B410,-12),Database!$A:$AS,MATCH($I$1,Database!$A$1:$AS$1,),)))))</f>
        <v/>
      </c>
      <c r="J410" s="13">
        <f>IF(VLOOKUP(B410,Database!$A:$AV,MATCH($J$1,Database!$A$1:$AV$1,),)=0,"#N/A",((((VLOOKUP(B410,Database!$A:$AS,MATCH($J$1,Database!$A$1:$AS$1,),))))-(((VLOOKUP(EDATE(B410,-12),Database!$A:$AS,MATCH($J$1,Database!$A$1:$AS$1,),)))))/(((VLOOKUP(EDATE(B410,-12),Database!$A:$AS,MATCH($J$1,Database!$A$1:$AS$1,),)))))</f>
        <v/>
      </c>
      <c r="K410" s="13">
        <f>IF(VLOOKUP(B410,Database!$A:$AV,MATCH($K$1,Database!$A$1:$AV$1,),)=0,"#N/A",((((VLOOKUP(B410,Database!$A:$AS,MATCH($K$1,Database!$A$1:$AS$1,),))))-(((VLOOKUP(EDATE(B410,-12),Database!$A:$AS,MATCH($K$1,Database!$A$1:$AS$1,),)))))/(((VLOOKUP(EDATE(B410,-12),Database!$A:$AS,MATCH($K$1,Database!$A$1:$AS$1,),)))))</f>
        <v/>
      </c>
      <c r="L410" s="13" t="n"/>
      <c r="M410" s="13" t="n"/>
      <c r="N410" s="13" t="n"/>
      <c r="O410" s="13">
        <f>IF(VLOOKUP(B410,Database!$A:$AV,MATCH($O$1,Database!$A$1:$AV$1,),)=0,"#N/A",((((VLOOKUP(B410,Database!$A:$AS,MATCH($O$1,Database!$A$1:$AS$1,),))))-(((VLOOKUP(EDATE(B410,-12),Database!$A:$AS,MATCH($O$1,Database!$A$1:$AS$1,),)))))/(((VLOOKUP(EDATE(B410,-12),Database!$A:$AS,MATCH($O$1,Database!$A$1:$AS$1,),)))))</f>
        <v/>
      </c>
      <c r="P410" s="13">
        <f>IF(VLOOKUP(B410,Database!$A:$AV,MATCH($P$1,Database!$A$1:$AV$1,),)=0,"#N/A",((((VLOOKUP(B410,Database!$A:$AS,MATCH($P$1,Database!$A$1:$AS$1,),))))-(((VLOOKUP(EDATE(B410,-12),Database!$A:$AS,MATCH($P$1,Database!$A$1:$AS$1,),)))))/(((VLOOKUP(EDATE(B410,-12),Database!$A:$AS,MATCH($P$1,Database!$A$1:$AS$1,),)))))</f>
        <v/>
      </c>
      <c r="Q410" s="13">
        <f>IF(VLOOKUP(B410,Database!$A:$AV,MATCH($Q$1,Database!$A$1:$AV$1,),)=0,"#N/A",((((VLOOKUP(B410,Database!$A:$AS,MATCH($Q$1,Database!$A$1:$AS$1,),))))-(((VLOOKUP(EDATE(B410,-12),Database!$A:$AS,MATCH($Q$1,Database!$A$1:$AS$1,),)))))/(((VLOOKUP(EDATE(B410,-12),Database!$A:$AS,MATCH($Q$1,Database!$A$1:$AS$1,),)))))</f>
        <v/>
      </c>
      <c r="R410" s="13">
        <f>IF(VLOOKUP(B410,Database!$A:$AV,MATCH($R$1,Database!$A$1:$AV$1,),)=0,"#N/A",((((VLOOKUP(B410,Database!$A:$AS,MATCH($R$1,Database!$A$1:$AS$1,),))))-(((VLOOKUP(EDATE(B410,-12),Database!$A:$AS,MATCH($R$1,Database!$A$1:$AS$1,),)))))/(((VLOOKUP(EDATE(B410,-12),Database!$A:$AS,MATCH($R$1,Database!$A$1:$AS$1,),)))))</f>
        <v/>
      </c>
      <c r="S410" s="13">
        <f>IF(VLOOKUP(B410,Database!$A:$AV,MATCH($S$1,Database!$A$1:$AV$1,),)=0,"#N/A",((((VLOOKUP(B410,Database!$A:$AS,MATCH($S$1,Database!$A$1:$AS$1,),))))-(((VLOOKUP(EDATE(B410,-12),Database!$A:$AS,MATCH($S$1,Database!$A$1:$AS$1,),)))))/(((VLOOKUP(EDATE(B410,-12),Database!$A:$AS,MATCH($S$1,Database!$A$1:$AS$1,),)))))</f>
        <v/>
      </c>
      <c r="T410" s="13">
        <f>IF(VLOOKUP(B410,Database!$A:$AV,MATCH($T$1,Database!$A$1:$AV$1,),)=0,"#N/A",((((VLOOKUP(B410,Database!$A:$AS,MATCH($T$1,Database!$A$1:$AS$1,),))))-(((VLOOKUP(EDATE(B410,-12),Database!$A:$AS,MATCH($T$1,Database!$A$1:$AS$1,),)))))/(((VLOOKUP(EDATE(B410,-12),Database!$A:$AS,MATCH($T$1,Database!$A$1:$AS$1,),)))))</f>
        <v/>
      </c>
      <c r="U410" s="13">
        <f>IF(VLOOKUP(B410,Database!$A:$AV,MATCH($U$1,Database!$A$1:$AV$1,),)=0,"#N/A",((((VLOOKUP(B410,Database!$A:$AS,MATCH($U$1,Database!$A$1:$AS$1,),))))-(((VLOOKUP(EDATE(B410,-12),Database!$A:$AS,MATCH($U$1,Database!$A$1:$AS$1,),)))))/(((VLOOKUP(EDATE(B410,-12),Database!$A:$AS,MATCH($U$1,Database!$A$1:$AS$1,),)))))</f>
        <v/>
      </c>
      <c r="V410" s="13">
        <f>IF(VLOOKUP(B410,Database!$A:$AV,MATCH($V$1,Database!$A$1:$AV$1,),)=0,"#N/A",((((VLOOKUP(B410,Database!$A:$AS,MATCH($V$1,Database!$A$1:$AS$1,),))))-(((VLOOKUP(EDATE(B410,-12),Database!$A:$AS,MATCH($V$1,Database!$A$1:$AS$1,),)))))/(((VLOOKUP(EDATE(B410,-12),Database!$A:$AS,MATCH($V$1,Database!$A$1:$AS$1,),)))))</f>
        <v/>
      </c>
    </row>
    <row r="411" customFormat="1" s="86">
      <c r="B411" s="75" t="n">
        <v>44652</v>
      </c>
      <c r="C411" s="13">
        <f>IF(VLOOKUP(B411,Database!$A:$AU,MATCH($C$1,Database!$A$1:$AU$1,),)=0,"#N/A",((((VLOOKUP(B411,Database!$A:$AU,MATCH($C$1,Database!$A$1:$AU$1,),))))-(((VLOOKUP(EDATE(B411,-12),Database!$A:$AU,MATCH($C$1,Database!$A$1:$AU$1,),)))))/(((VLOOKUP(EDATE(B411,-12),Database!$A:$AU,MATCH($C$1,Database!$A$1:$AU$1,),)))))</f>
        <v/>
      </c>
      <c r="D411" s="13">
        <f>IF(VLOOKUP(B411,Database!$A:$AV,MATCH($D$1,Database!$A$1:$AV$1,),)=0,"#N/A",((((VLOOKUP(B411,Database!$A:$AS,MATCH($D$1,Database!$A$1:$AS$1,),))))-(((VLOOKUP(EDATE(B411,-12),Database!$A:$AS,MATCH($D$1,Database!$A$1:$AS$1,),)))))/(((VLOOKUP(EDATE(B411,-12),Database!$A:$AS,MATCH($D$1,Database!$A$1:$AS$1,),)))))</f>
        <v/>
      </c>
      <c r="E411" s="13">
        <f>IF(VLOOKUP(B411,Database!$A:$AV,MATCH($E$1,Database!$A$1:$AV$1,),)=0,"#N/A",((((VLOOKUP(B411,Database!$A:$AS,MATCH($E$1,Database!$A$1:$AS$1,),))))-(((VLOOKUP(EDATE(B411,-12),Database!$A:$AS,MATCH($E$1,Database!$A$1:$AS$1,),)))))/(((VLOOKUP(EDATE(B411,-12),Database!$A:$AS,MATCH($E$1,Database!$A$1:$AS$1,),)))))</f>
        <v/>
      </c>
      <c r="F411" s="13">
        <f>IF(VLOOKUP(B411,Database!$A:$AV,MATCH($F$1,Database!$A$1:$AV$1,),)=0,"#N/A",((((VLOOKUP(B411,Database!$A:$AS,MATCH($F$1,Database!$A$1:$AS$1,),))))-(((VLOOKUP(EDATE(B411,-12),Database!$A:$AS,MATCH($F$1,Database!$A$1:$AS$1,),)))))/(((VLOOKUP(EDATE(B411,-12),Database!$A:$AS,MATCH($F$1,Database!$A$1:$AS$1,),)))))</f>
        <v/>
      </c>
      <c r="G411" s="13">
        <f>IF(VLOOKUP(B411,Database!$A:$AV,MATCH($G$1,Database!$A$1:$AV$1,),)=0,"#N/A",((((VLOOKUP(B411,Database!$A:$AS,MATCH($G$1,Database!$A$1:$AS$1,),))))-(((VLOOKUP(EDATE(B411,-12),Database!$A:$AS,MATCH($G$1,Database!$A$1:$AS$1,),)))))/(((VLOOKUP(EDATE(B411,-12),Database!$A:$AS,MATCH($G$1,Database!$A$1:$AS$1,),)))))</f>
        <v/>
      </c>
      <c r="H411" s="13">
        <f>IF(VLOOKUP(B411,Database!$A:$AV,MATCH($H$1,Database!$A$1:$AV$1,),)=0,"#N/A",((((VLOOKUP(B411,Database!$A:$AS,MATCH($H$1,Database!$A$1:$AS$1,),))))-(((VLOOKUP(EDATE(B411,-12),Database!$A:$AS,MATCH($H$1,Database!$A$1:$AS$1,),)))))/(((VLOOKUP(EDATE(B411,-12),Database!$A:$AS,MATCH($H$1,Database!$A$1:$AS$1,),)))))</f>
        <v/>
      </c>
      <c r="I411" s="13">
        <f>IF(VLOOKUP(B411,Database!$A:$AV,MATCH($I$1,Database!$A$1:$AV$1,),)=0,"#N/A",((((VLOOKUP(B411,Database!$A:$AS,MATCH($I$1,Database!$A$1:$AS$1,),))))-(((VLOOKUP(EDATE(B411,-12),Database!$A:$AS,MATCH($I$1,Database!$A$1:$AS$1,),)))))/(((VLOOKUP(EDATE(B411,-12),Database!$A:$AS,MATCH($I$1,Database!$A$1:$AS$1,),)))))</f>
        <v/>
      </c>
      <c r="J411" s="13">
        <f>IF(VLOOKUP(B411,Database!$A:$AV,MATCH($J$1,Database!$A$1:$AV$1,),)=0,"#N/A",((((VLOOKUP(B411,Database!$A:$AS,MATCH($J$1,Database!$A$1:$AS$1,),))))-(((VLOOKUP(EDATE(B411,-12),Database!$A:$AS,MATCH($J$1,Database!$A$1:$AS$1,),)))))/(((VLOOKUP(EDATE(B411,-12),Database!$A:$AS,MATCH($J$1,Database!$A$1:$AS$1,),)))))</f>
        <v/>
      </c>
      <c r="K411" s="13">
        <f>IF(VLOOKUP(B411,Database!$A:$AV,MATCH($K$1,Database!$A$1:$AV$1,),)=0,"#N/A",((((VLOOKUP(B411,Database!$A:$AS,MATCH($K$1,Database!$A$1:$AS$1,),))))-(((VLOOKUP(EDATE(B411,-12),Database!$A:$AS,MATCH($K$1,Database!$A$1:$AS$1,),)))))/(((VLOOKUP(EDATE(B411,-12),Database!$A:$AS,MATCH($K$1,Database!$A$1:$AS$1,),)))))</f>
        <v/>
      </c>
      <c r="L411" s="13" t="n"/>
      <c r="M411" s="13" t="n"/>
      <c r="N411" s="13" t="n"/>
      <c r="O411" s="13">
        <f>IF(VLOOKUP(B411,Database!$A:$AV,MATCH($O$1,Database!$A$1:$AV$1,),)=0,"#N/A",((((VLOOKUP(B411,Database!$A:$AS,MATCH($O$1,Database!$A$1:$AS$1,),))))-(((VLOOKUP(EDATE(B411,-12),Database!$A:$AS,MATCH($O$1,Database!$A$1:$AS$1,),)))))/(((VLOOKUP(EDATE(B411,-12),Database!$A:$AS,MATCH($O$1,Database!$A$1:$AS$1,),)))))</f>
        <v/>
      </c>
      <c r="P411" s="13">
        <f>IF(VLOOKUP(B411,Database!$A:$AV,MATCH($P$1,Database!$A$1:$AV$1,),)=0,"#N/A",((((VLOOKUP(B411,Database!$A:$AS,MATCH($P$1,Database!$A$1:$AS$1,),))))-(((VLOOKUP(EDATE(B411,-12),Database!$A:$AS,MATCH($P$1,Database!$A$1:$AS$1,),)))))/(((VLOOKUP(EDATE(B411,-12),Database!$A:$AS,MATCH($P$1,Database!$A$1:$AS$1,),)))))</f>
        <v/>
      </c>
      <c r="Q411" s="13">
        <f>IF(VLOOKUP(B411,Database!$A:$AV,MATCH($Q$1,Database!$A$1:$AV$1,),)=0,"#N/A",((((VLOOKUP(B411,Database!$A:$AS,MATCH($Q$1,Database!$A$1:$AS$1,),))))-(((VLOOKUP(EDATE(B411,-12),Database!$A:$AS,MATCH($Q$1,Database!$A$1:$AS$1,),)))))/(((VLOOKUP(EDATE(B411,-12),Database!$A:$AS,MATCH($Q$1,Database!$A$1:$AS$1,),)))))</f>
        <v/>
      </c>
      <c r="R411" s="13">
        <f>IF(VLOOKUP(B411,Database!$A:$AV,MATCH($R$1,Database!$A$1:$AV$1,),)=0,"#N/A",((((VLOOKUP(B411,Database!$A:$AS,MATCH($R$1,Database!$A$1:$AS$1,),))))-(((VLOOKUP(EDATE(B411,-12),Database!$A:$AS,MATCH($R$1,Database!$A$1:$AS$1,),)))))/(((VLOOKUP(EDATE(B411,-12),Database!$A:$AS,MATCH($R$1,Database!$A$1:$AS$1,),)))))</f>
        <v/>
      </c>
      <c r="S411" s="13">
        <f>IF(VLOOKUP(B411,Database!$A:$AV,MATCH($S$1,Database!$A$1:$AV$1,),)=0,"#N/A",((((VLOOKUP(B411,Database!$A:$AS,MATCH($S$1,Database!$A$1:$AS$1,),))))-(((VLOOKUP(EDATE(B411,-12),Database!$A:$AS,MATCH($S$1,Database!$A$1:$AS$1,),)))))/(((VLOOKUP(EDATE(B411,-12),Database!$A:$AS,MATCH($S$1,Database!$A$1:$AS$1,),)))))</f>
        <v/>
      </c>
      <c r="T411" s="13">
        <f>IF(VLOOKUP(B411,Database!$A:$AV,MATCH($T$1,Database!$A$1:$AV$1,),)=0,"#N/A",((((VLOOKUP(B411,Database!$A:$AS,MATCH($T$1,Database!$A$1:$AS$1,),))))-(((VLOOKUP(EDATE(B411,-12),Database!$A:$AS,MATCH($T$1,Database!$A$1:$AS$1,),)))))/(((VLOOKUP(EDATE(B411,-12),Database!$A:$AS,MATCH($T$1,Database!$A$1:$AS$1,),)))))</f>
        <v/>
      </c>
      <c r="U411" s="13">
        <f>IF(VLOOKUP(B411,Database!$A:$AV,MATCH($U$1,Database!$A$1:$AV$1,),)=0,"#N/A",((((VLOOKUP(B411,Database!$A:$AS,MATCH($U$1,Database!$A$1:$AS$1,),))))-(((VLOOKUP(EDATE(B411,-12),Database!$A:$AS,MATCH($U$1,Database!$A$1:$AS$1,),)))))/(((VLOOKUP(EDATE(B411,-12),Database!$A:$AS,MATCH($U$1,Database!$A$1:$AS$1,),)))))</f>
        <v/>
      </c>
      <c r="V411" s="13">
        <f>IF(VLOOKUP(B411,Database!$A:$AV,MATCH($V$1,Database!$A$1:$AV$1,),)=0,"#N/A",((((VLOOKUP(B411,Database!$A:$AS,MATCH($V$1,Database!$A$1:$AS$1,),))))-(((VLOOKUP(EDATE(B411,-12),Database!$A:$AS,MATCH($V$1,Database!$A$1:$AS$1,),)))))/(((VLOOKUP(EDATE(B411,-12),Database!$A:$AS,MATCH($V$1,Database!$A$1:$AS$1,),)))))</f>
        <v/>
      </c>
    </row>
    <row r="412" customFormat="1" s="86">
      <c r="B412" s="75" t="n">
        <v>44682</v>
      </c>
      <c r="C412" s="13">
        <f>IF(VLOOKUP(B412,Database!$A:$AU,MATCH($C$1,Database!$A$1:$AU$1,),)=0,"#N/A",((((VLOOKUP(B412,Database!$A:$AU,MATCH($C$1,Database!$A$1:$AU$1,),))))-(((VLOOKUP(EDATE(B412,-12),Database!$A:$AU,MATCH($C$1,Database!$A$1:$AU$1,),)))))/(((VLOOKUP(EDATE(B412,-12),Database!$A:$AU,MATCH($C$1,Database!$A$1:$AU$1,),)))))</f>
        <v/>
      </c>
      <c r="D412" s="13">
        <f>IF(VLOOKUP(B412,Database!$A:$AV,MATCH($D$1,Database!$A$1:$AV$1,),)=0,"#N/A",((((VLOOKUP(B412,Database!$A:$AS,MATCH($D$1,Database!$A$1:$AS$1,),))))-(((VLOOKUP(EDATE(B412,-12),Database!$A:$AS,MATCH($D$1,Database!$A$1:$AS$1,),)))))/(((VLOOKUP(EDATE(B412,-12),Database!$A:$AS,MATCH($D$1,Database!$A$1:$AS$1,),)))))</f>
        <v/>
      </c>
      <c r="E412" s="13">
        <f>IF(VLOOKUP(B412,Database!$A:$AV,MATCH($E$1,Database!$A$1:$AV$1,),)=0,"#N/A",((((VLOOKUP(B412,Database!$A:$AS,MATCH($E$1,Database!$A$1:$AS$1,),))))-(((VLOOKUP(EDATE(B412,-12),Database!$A:$AS,MATCH($E$1,Database!$A$1:$AS$1,),)))))/(((VLOOKUP(EDATE(B412,-12),Database!$A:$AS,MATCH($E$1,Database!$A$1:$AS$1,),)))))</f>
        <v/>
      </c>
      <c r="F412" s="13">
        <f>IF(VLOOKUP(B412,Database!$A:$AV,MATCH($F$1,Database!$A$1:$AV$1,),)=0,"#N/A",((((VLOOKUP(B412,Database!$A:$AS,MATCH($F$1,Database!$A$1:$AS$1,),))))-(((VLOOKUP(EDATE(B412,-12),Database!$A:$AS,MATCH($F$1,Database!$A$1:$AS$1,),)))))/(((VLOOKUP(EDATE(B412,-12),Database!$A:$AS,MATCH($F$1,Database!$A$1:$AS$1,),)))))</f>
        <v/>
      </c>
      <c r="G412" s="13">
        <f>IF(VLOOKUP(B412,Database!$A:$AV,MATCH($G$1,Database!$A$1:$AV$1,),)=0,"#N/A",((((VLOOKUP(B412,Database!$A:$AS,MATCH($G$1,Database!$A$1:$AS$1,),))))-(((VLOOKUP(EDATE(B412,-12),Database!$A:$AS,MATCH($G$1,Database!$A$1:$AS$1,),)))))/(((VLOOKUP(EDATE(B412,-12),Database!$A:$AS,MATCH($G$1,Database!$A$1:$AS$1,),)))))</f>
        <v/>
      </c>
      <c r="H412" s="13">
        <f>IF(VLOOKUP(B412,Database!$A:$AV,MATCH($H$1,Database!$A$1:$AV$1,),)=0,"#N/A",((((VLOOKUP(B412,Database!$A:$AS,MATCH($H$1,Database!$A$1:$AS$1,),))))-(((VLOOKUP(EDATE(B412,-12),Database!$A:$AS,MATCH($H$1,Database!$A$1:$AS$1,),)))))/(((VLOOKUP(EDATE(B412,-12),Database!$A:$AS,MATCH($H$1,Database!$A$1:$AS$1,),)))))</f>
        <v/>
      </c>
      <c r="I412" s="13">
        <f>IF(VLOOKUP(B412,Database!$A:$AV,MATCH($I$1,Database!$A$1:$AV$1,),)=0,"#N/A",((((VLOOKUP(B412,Database!$A:$AS,MATCH($I$1,Database!$A$1:$AS$1,),))))-(((VLOOKUP(EDATE(B412,-12),Database!$A:$AS,MATCH($I$1,Database!$A$1:$AS$1,),)))))/(((VLOOKUP(EDATE(B412,-12),Database!$A:$AS,MATCH($I$1,Database!$A$1:$AS$1,),)))))</f>
        <v/>
      </c>
      <c r="J412" s="13">
        <f>IF(VLOOKUP(B412,Database!$A:$AV,MATCH($J$1,Database!$A$1:$AV$1,),)=0,"#N/A",((((VLOOKUP(B412,Database!$A:$AS,MATCH($J$1,Database!$A$1:$AS$1,),))))-(((VLOOKUP(EDATE(B412,-12),Database!$A:$AS,MATCH($J$1,Database!$A$1:$AS$1,),)))))/(((VLOOKUP(EDATE(B412,-12),Database!$A:$AS,MATCH($J$1,Database!$A$1:$AS$1,),)))))</f>
        <v/>
      </c>
      <c r="K412" s="13">
        <f>IF(VLOOKUP(B412,Database!$A:$AV,MATCH($K$1,Database!$A$1:$AV$1,),)=0,"#N/A",((((VLOOKUP(B412,Database!$A:$AS,MATCH($K$1,Database!$A$1:$AS$1,),))))-(((VLOOKUP(EDATE(B412,-12),Database!$A:$AS,MATCH($K$1,Database!$A$1:$AS$1,),)))))/(((VLOOKUP(EDATE(B412,-12),Database!$A:$AS,MATCH($K$1,Database!$A$1:$AS$1,),)))))</f>
        <v/>
      </c>
      <c r="L412" s="13" t="n"/>
      <c r="M412" s="13" t="n"/>
      <c r="N412" s="13" t="n"/>
      <c r="O412" s="13">
        <f>IF(VLOOKUP(B412,Database!$A:$AV,MATCH($O$1,Database!$A$1:$AV$1,),)=0,"#N/A",((((VLOOKUP(B412,Database!$A:$AS,MATCH($O$1,Database!$A$1:$AS$1,),))))-(((VLOOKUP(EDATE(B412,-12),Database!$A:$AS,MATCH($O$1,Database!$A$1:$AS$1,),)))))/(((VLOOKUP(EDATE(B412,-12),Database!$A:$AS,MATCH($O$1,Database!$A$1:$AS$1,),)))))</f>
        <v/>
      </c>
      <c r="P412" s="13">
        <f>IF(VLOOKUP(B412,Database!$A:$AV,MATCH($P$1,Database!$A$1:$AV$1,),)=0,"#N/A",((((VLOOKUP(B412,Database!$A:$AS,MATCH($P$1,Database!$A$1:$AS$1,),))))-(((VLOOKUP(EDATE(B412,-12),Database!$A:$AS,MATCH($P$1,Database!$A$1:$AS$1,),)))))/(((VLOOKUP(EDATE(B412,-12),Database!$A:$AS,MATCH($P$1,Database!$A$1:$AS$1,),)))))</f>
        <v/>
      </c>
      <c r="Q412" s="13">
        <f>IF(VLOOKUP(B412,Database!$A:$AV,MATCH($Q$1,Database!$A$1:$AV$1,),)=0,"#N/A",((((VLOOKUP(B412,Database!$A:$AS,MATCH($Q$1,Database!$A$1:$AS$1,),))))-(((VLOOKUP(EDATE(B412,-12),Database!$A:$AS,MATCH($Q$1,Database!$A$1:$AS$1,),)))))/(((VLOOKUP(EDATE(B412,-12),Database!$A:$AS,MATCH($Q$1,Database!$A$1:$AS$1,),)))))</f>
        <v/>
      </c>
      <c r="R412" s="13">
        <f>IF(VLOOKUP(B412,Database!$A:$AV,MATCH($R$1,Database!$A$1:$AV$1,),)=0,"#N/A",((((VLOOKUP(B412,Database!$A:$AS,MATCH($R$1,Database!$A$1:$AS$1,),))))-(((VLOOKUP(EDATE(B412,-12),Database!$A:$AS,MATCH($R$1,Database!$A$1:$AS$1,),)))))/(((VLOOKUP(EDATE(B412,-12),Database!$A:$AS,MATCH($R$1,Database!$A$1:$AS$1,),)))))</f>
        <v/>
      </c>
      <c r="S412" s="13">
        <f>IF(VLOOKUP(B412,Database!$A:$AV,MATCH($S$1,Database!$A$1:$AV$1,),)=0,"#N/A",((((VLOOKUP(B412,Database!$A:$AS,MATCH($S$1,Database!$A$1:$AS$1,),))))-(((VLOOKUP(EDATE(B412,-12),Database!$A:$AS,MATCH($S$1,Database!$A$1:$AS$1,),)))))/(((VLOOKUP(EDATE(B412,-12),Database!$A:$AS,MATCH($S$1,Database!$A$1:$AS$1,),)))))</f>
        <v/>
      </c>
      <c r="T412" s="13">
        <f>IF(VLOOKUP(B412,Database!$A:$AV,MATCH($T$1,Database!$A$1:$AV$1,),)=0,"#N/A",((((VLOOKUP(B412,Database!$A:$AS,MATCH($T$1,Database!$A$1:$AS$1,),))))-(((VLOOKUP(EDATE(B412,-12),Database!$A:$AS,MATCH($T$1,Database!$A$1:$AS$1,),)))))/(((VLOOKUP(EDATE(B412,-12),Database!$A:$AS,MATCH($T$1,Database!$A$1:$AS$1,),)))))</f>
        <v/>
      </c>
      <c r="U412" s="13">
        <f>IF(VLOOKUP(B412,Database!$A:$AV,MATCH($U$1,Database!$A$1:$AV$1,),)=0,"#N/A",((((VLOOKUP(B412,Database!$A:$AS,MATCH($U$1,Database!$A$1:$AS$1,),))))-(((VLOOKUP(EDATE(B412,-12),Database!$A:$AS,MATCH($U$1,Database!$A$1:$AS$1,),)))))/(((VLOOKUP(EDATE(B412,-12),Database!$A:$AS,MATCH($U$1,Database!$A$1:$AS$1,),)))))</f>
        <v/>
      </c>
      <c r="V412" s="13">
        <f>IF(VLOOKUP(B412,Database!$A:$AV,MATCH($V$1,Database!$A$1:$AV$1,),)=0,"#N/A",((((VLOOKUP(B412,Database!$A:$AS,MATCH($V$1,Database!$A$1:$AS$1,),))))-(((VLOOKUP(EDATE(B412,-12),Database!$A:$AS,MATCH($V$1,Database!$A$1:$AS$1,),)))))/(((VLOOKUP(EDATE(B412,-12),Database!$A:$AS,MATCH($V$1,Database!$A$1:$AS$1,),)))))</f>
        <v/>
      </c>
    </row>
    <row r="413" customFormat="1" s="86">
      <c r="B413" s="75" t="n">
        <v>44713</v>
      </c>
      <c r="C413" s="13">
        <f>IF(VLOOKUP(B413,Database!$A:$AU,MATCH($C$1,Database!$A$1:$AU$1,),)=0,"#N/A",((((VLOOKUP(B413,Database!$A:$AU,MATCH($C$1,Database!$A$1:$AU$1,),))))-(((VLOOKUP(EDATE(B413,-12),Database!$A:$AU,MATCH($C$1,Database!$A$1:$AU$1,),)))))/(((VLOOKUP(EDATE(B413,-12),Database!$A:$AU,MATCH($C$1,Database!$A$1:$AU$1,),)))))</f>
        <v/>
      </c>
      <c r="D413" s="13">
        <f>IF(VLOOKUP(B413,Database!$A:$AV,MATCH($D$1,Database!$A$1:$AV$1,),)=0,"#N/A",((((VLOOKUP(B413,Database!$A:$AS,MATCH($D$1,Database!$A$1:$AS$1,),))))-(((VLOOKUP(EDATE(B413,-12),Database!$A:$AS,MATCH($D$1,Database!$A$1:$AS$1,),)))))/(((VLOOKUP(EDATE(B413,-12),Database!$A:$AS,MATCH($D$1,Database!$A$1:$AS$1,),)))))</f>
        <v/>
      </c>
      <c r="E413" s="13">
        <f>IF(VLOOKUP(B413,Database!$A:$AV,MATCH($E$1,Database!$A$1:$AV$1,),)=0,"#N/A",((((VLOOKUP(B413,Database!$A:$AS,MATCH($E$1,Database!$A$1:$AS$1,),))))-(((VLOOKUP(EDATE(B413,-12),Database!$A:$AS,MATCH($E$1,Database!$A$1:$AS$1,),)))))/(((VLOOKUP(EDATE(B413,-12),Database!$A:$AS,MATCH($E$1,Database!$A$1:$AS$1,),)))))</f>
        <v/>
      </c>
      <c r="F413" s="13">
        <f>IF(VLOOKUP(B413,Database!$A:$AV,MATCH($F$1,Database!$A$1:$AV$1,),)=0,"#N/A",((((VLOOKUP(B413,Database!$A:$AS,MATCH($F$1,Database!$A$1:$AS$1,),))))-(((VLOOKUP(EDATE(B413,-12),Database!$A:$AS,MATCH($F$1,Database!$A$1:$AS$1,),)))))/(((VLOOKUP(EDATE(B413,-12),Database!$A:$AS,MATCH($F$1,Database!$A$1:$AS$1,),)))))</f>
        <v/>
      </c>
      <c r="G413" s="13">
        <f>IF(VLOOKUP(B413,Database!$A:$AV,MATCH($G$1,Database!$A$1:$AV$1,),)=0,"#N/A",((((VLOOKUP(B413,Database!$A:$AS,MATCH($G$1,Database!$A$1:$AS$1,),))))-(((VLOOKUP(EDATE(B413,-12),Database!$A:$AS,MATCH($G$1,Database!$A$1:$AS$1,),)))))/(((VLOOKUP(EDATE(B413,-12),Database!$A:$AS,MATCH($G$1,Database!$A$1:$AS$1,),)))))</f>
        <v/>
      </c>
      <c r="H413" s="13">
        <f>IF(VLOOKUP(B413,Database!$A:$AV,MATCH($H$1,Database!$A$1:$AV$1,),)=0,"#N/A",((((VLOOKUP(B413,Database!$A:$AS,MATCH($H$1,Database!$A$1:$AS$1,),))))-(((VLOOKUP(EDATE(B413,-12),Database!$A:$AS,MATCH($H$1,Database!$A$1:$AS$1,),)))))/(((VLOOKUP(EDATE(B413,-12),Database!$A:$AS,MATCH($H$1,Database!$A$1:$AS$1,),)))))</f>
        <v/>
      </c>
      <c r="I413" s="13">
        <f>IF(VLOOKUP(B413,Database!$A:$AV,MATCH($I$1,Database!$A$1:$AV$1,),)=0,"#N/A",((((VLOOKUP(B413,Database!$A:$AS,MATCH($I$1,Database!$A$1:$AS$1,),))))-(((VLOOKUP(EDATE(B413,-12),Database!$A:$AS,MATCH($I$1,Database!$A$1:$AS$1,),)))))/(((VLOOKUP(EDATE(B413,-12),Database!$A:$AS,MATCH($I$1,Database!$A$1:$AS$1,),)))))</f>
        <v/>
      </c>
      <c r="J413" s="13">
        <f>IF(VLOOKUP(B413,Database!$A:$AV,MATCH($J$1,Database!$A$1:$AV$1,),)=0,"#N/A",((((VLOOKUP(B413,Database!$A:$AS,MATCH($J$1,Database!$A$1:$AS$1,),))))-(((VLOOKUP(EDATE(B413,-12),Database!$A:$AS,MATCH($J$1,Database!$A$1:$AS$1,),)))))/(((VLOOKUP(EDATE(B413,-12),Database!$A:$AS,MATCH($J$1,Database!$A$1:$AS$1,),)))))</f>
        <v/>
      </c>
      <c r="K413" s="13">
        <f>IF(VLOOKUP(B413,Database!$A:$AV,MATCH($K$1,Database!$A$1:$AV$1,),)=0,"#N/A",((((VLOOKUP(B413,Database!$A:$AS,MATCH($K$1,Database!$A$1:$AS$1,),))))-(((VLOOKUP(EDATE(B413,-12),Database!$A:$AS,MATCH($K$1,Database!$A$1:$AS$1,),)))))/(((VLOOKUP(EDATE(B413,-12),Database!$A:$AS,MATCH($K$1,Database!$A$1:$AS$1,),)))))</f>
        <v/>
      </c>
      <c r="L413" s="13" t="n"/>
      <c r="M413" s="13" t="n"/>
      <c r="N413" s="13" t="n"/>
      <c r="O413" s="13">
        <f>IF(VLOOKUP(B413,Database!$A:$AV,MATCH($O$1,Database!$A$1:$AV$1,),)=0,"#N/A",((((VLOOKUP(B413,Database!$A:$AS,MATCH($O$1,Database!$A$1:$AS$1,),))))-(((VLOOKUP(EDATE(B413,-12),Database!$A:$AS,MATCH($O$1,Database!$A$1:$AS$1,),)))))/(((VLOOKUP(EDATE(B413,-12),Database!$A:$AS,MATCH($O$1,Database!$A$1:$AS$1,),)))))</f>
        <v/>
      </c>
      <c r="P413" s="13">
        <f>IF(VLOOKUP(B413,Database!$A:$AV,MATCH($P$1,Database!$A$1:$AV$1,),)=0,"#N/A",((((VLOOKUP(B413,Database!$A:$AS,MATCH($P$1,Database!$A$1:$AS$1,),))))-(((VLOOKUP(EDATE(B413,-12),Database!$A:$AS,MATCH($P$1,Database!$A$1:$AS$1,),)))))/(((VLOOKUP(EDATE(B413,-12),Database!$A:$AS,MATCH($P$1,Database!$A$1:$AS$1,),)))))</f>
        <v/>
      </c>
      <c r="Q413" s="13">
        <f>IF(VLOOKUP(B413,Database!$A:$AV,MATCH($Q$1,Database!$A$1:$AV$1,),)=0,"#N/A",((((VLOOKUP(B413,Database!$A:$AS,MATCH($Q$1,Database!$A$1:$AS$1,),))))-(((VLOOKUP(EDATE(B413,-12),Database!$A:$AS,MATCH($Q$1,Database!$A$1:$AS$1,),)))))/(((VLOOKUP(EDATE(B413,-12),Database!$A:$AS,MATCH($Q$1,Database!$A$1:$AS$1,),)))))</f>
        <v/>
      </c>
      <c r="R413" s="13">
        <f>IF(VLOOKUP(B413,Database!$A:$AV,MATCH($R$1,Database!$A$1:$AV$1,),)=0,"#N/A",((((VLOOKUP(B413,Database!$A:$AS,MATCH($R$1,Database!$A$1:$AS$1,),))))-(((VLOOKUP(EDATE(B413,-12),Database!$A:$AS,MATCH($R$1,Database!$A$1:$AS$1,),)))))/(((VLOOKUP(EDATE(B413,-12),Database!$A:$AS,MATCH($R$1,Database!$A$1:$AS$1,),)))))</f>
        <v/>
      </c>
      <c r="S413" s="13">
        <f>IF(VLOOKUP(B413,Database!$A:$AV,MATCH($S$1,Database!$A$1:$AV$1,),)=0,"#N/A",((((VLOOKUP(B413,Database!$A:$AS,MATCH($S$1,Database!$A$1:$AS$1,),))))-(((VLOOKUP(EDATE(B413,-12),Database!$A:$AS,MATCH($S$1,Database!$A$1:$AS$1,),)))))/(((VLOOKUP(EDATE(B413,-12),Database!$A:$AS,MATCH($S$1,Database!$A$1:$AS$1,),)))))</f>
        <v/>
      </c>
      <c r="T413" s="13">
        <f>IF(VLOOKUP(B413,Database!$A:$AV,MATCH($T$1,Database!$A$1:$AV$1,),)=0,"#N/A",((((VLOOKUP(B413,Database!$A:$AS,MATCH($T$1,Database!$A$1:$AS$1,),))))-(((VLOOKUP(EDATE(B413,-12),Database!$A:$AS,MATCH($T$1,Database!$A$1:$AS$1,),)))))/(((VLOOKUP(EDATE(B413,-12),Database!$A:$AS,MATCH($T$1,Database!$A$1:$AS$1,),)))))</f>
        <v/>
      </c>
      <c r="U413" s="13">
        <f>IF(VLOOKUP(B413,Database!$A:$AV,MATCH($U$1,Database!$A$1:$AV$1,),)=0,"#N/A",((((VLOOKUP(B413,Database!$A:$AS,MATCH($U$1,Database!$A$1:$AS$1,),))))-(((VLOOKUP(EDATE(B413,-12),Database!$A:$AS,MATCH($U$1,Database!$A$1:$AS$1,),)))))/(((VLOOKUP(EDATE(B413,-12),Database!$A:$AS,MATCH($U$1,Database!$A$1:$AS$1,),)))))</f>
        <v/>
      </c>
      <c r="V413" s="13">
        <f>IF(VLOOKUP(B413,Database!$A:$AV,MATCH($V$1,Database!$A$1:$AV$1,),)=0,"#N/A",((((VLOOKUP(B413,Database!$A:$AS,MATCH($V$1,Database!$A$1:$AS$1,),))))-(((VLOOKUP(EDATE(B413,-12),Database!$A:$AS,MATCH($V$1,Database!$A$1:$AS$1,),)))))/(((VLOOKUP(EDATE(B413,-12),Database!$A:$AS,MATCH($V$1,Database!$A$1:$AS$1,),)))))</f>
        <v/>
      </c>
    </row>
    <row r="414" customFormat="1" s="86">
      <c r="B414" s="75" t="n">
        <v>44743</v>
      </c>
      <c r="C414" s="13">
        <f>IF(VLOOKUP(B414,Database!$A:$AU,MATCH($C$1,Database!$A$1:$AU$1,),)=0,"#N/A",((((VLOOKUP(B414,Database!$A:$AU,MATCH($C$1,Database!$A$1:$AU$1,),))))-(((VLOOKUP(EDATE(B414,-12),Database!$A:$AU,MATCH($C$1,Database!$A$1:$AU$1,),)))))/(((VLOOKUP(EDATE(B414,-12),Database!$A:$AU,MATCH($C$1,Database!$A$1:$AU$1,),)))))</f>
        <v/>
      </c>
      <c r="D414" s="13">
        <f>IF(VLOOKUP(B414,Database!$A:$AV,MATCH($D$1,Database!$A$1:$AV$1,),)=0,"#N/A",((((VLOOKUP(B414,Database!$A:$AS,MATCH($D$1,Database!$A$1:$AS$1,),))))-(((VLOOKUP(EDATE(B414,-12),Database!$A:$AS,MATCH($D$1,Database!$A$1:$AS$1,),)))))/(((VLOOKUP(EDATE(B414,-12),Database!$A:$AS,MATCH($D$1,Database!$A$1:$AS$1,),)))))</f>
        <v/>
      </c>
      <c r="E414" s="13">
        <f>IF(VLOOKUP(B414,Database!$A:$AV,MATCH($E$1,Database!$A$1:$AV$1,),)=0,"#N/A",((((VLOOKUP(B414,Database!$A:$AS,MATCH($E$1,Database!$A$1:$AS$1,),))))-(((VLOOKUP(EDATE(B414,-12),Database!$A:$AS,MATCH($E$1,Database!$A$1:$AS$1,),)))))/(((VLOOKUP(EDATE(B414,-12),Database!$A:$AS,MATCH($E$1,Database!$A$1:$AS$1,),)))))</f>
        <v/>
      </c>
      <c r="F414" s="13">
        <f>IF(VLOOKUP(B414,Database!$A:$AV,MATCH($F$1,Database!$A$1:$AV$1,),)=0,"#N/A",((((VLOOKUP(B414,Database!$A:$AS,MATCH($F$1,Database!$A$1:$AS$1,),))))-(((VLOOKUP(EDATE(B414,-12),Database!$A:$AS,MATCH($F$1,Database!$A$1:$AS$1,),)))))/(((VLOOKUP(EDATE(B414,-12),Database!$A:$AS,MATCH($F$1,Database!$A$1:$AS$1,),)))))</f>
        <v/>
      </c>
      <c r="G414" s="13">
        <f>IF(VLOOKUP(B414,Database!$A:$AV,MATCH($G$1,Database!$A$1:$AV$1,),)=0,"#N/A",((((VLOOKUP(B414,Database!$A:$AS,MATCH($G$1,Database!$A$1:$AS$1,),))))-(((VLOOKUP(EDATE(B414,-12),Database!$A:$AS,MATCH($G$1,Database!$A$1:$AS$1,),)))))/(((VLOOKUP(EDATE(B414,-12),Database!$A:$AS,MATCH($G$1,Database!$A$1:$AS$1,),)))))</f>
        <v/>
      </c>
      <c r="H414" s="13">
        <f>IF(VLOOKUP(B414,Database!$A:$AV,MATCH($H$1,Database!$A$1:$AV$1,),)=0,"#N/A",((((VLOOKUP(B414,Database!$A:$AS,MATCH($H$1,Database!$A$1:$AS$1,),))))-(((VLOOKUP(EDATE(B414,-12),Database!$A:$AS,MATCH($H$1,Database!$A$1:$AS$1,),)))))/(((VLOOKUP(EDATE(B414,-12),Database!$A:$AS,MATCH($H$1,Database!$A$1:$AS$1,),)))))</f>
        <v/>
      </c>
      <c r="I414" s="13">
        <f>IF(VLOOKUP(B414,Database!$A:$AV,MATCH($I$1,Database!$A$1:$AV$1,),)=0,"#N/A",((((VLOOKUP(B414,Database!$A:$AS,MATCH($I$1,Database!$A$1:$AS$1,),))))-(((VLOOKUP(EDATE(B414,-12),Database!$A:$AS,MATCH($I$1,Database!$A$1:$AS$1,),)))))/(((VLOOKUP(EDATE(B414,-12),Database!$A:$AS,MATCH($I$1,Database!$A$1:$AS$1,),)))))</f>
        <v/>
      </c>
      <c r="J414" s="13">
        <f>IF(VLOOKUP(B414,Database!$A:$AV,MATCH($J$1,Database!$A$1:$AV$1,),)=0,"#N/A",((((VLOOKUP(B414,Database!$A:$AS,MATCH($J$1,Database!$A$1:$AS$1,),))))-(((VLOOKUP(EDATE(B414,-12),Database!$A:$AS,MATCH($J$1,Database!$A$1:$AS$1,),)))))/(((VLOOKUP(EDATE(B414,-12),Database!$A:$AS,MATCH($J$1,Database!$A$1:$AS$1,),)))))</f>
        <v/>
      </c>
      <c r="K414" s="13">
        <f>IF(VLOOKUP(B414,Database!$A:$AV,MATCH($K$1,Database!$A$1:$AV$1,),)=0,"#N/A",((((VLOOKUP(B414,Database!$A:$AS,MATCH($K$1,Database!$A$1:$AS$1,),))))-(((VLOOKUP(EDATE(B414,-12),Database!$A:$AS,MATCH($K$1,Database!$A$1:$AS$1,),)))))/(((VLOOKUP(EDATE(B414,-12),Database!$A:$AS,MATCH($K$1,Database!$A$1:$AS$1,),)))))</f>
        <v/>
      </c>
      <c r="L414" s="13" t="n"/>
      <c r="M414" s="13" t="n"/>
      <c r="N414" s="13" t="n"/>
      <c r="O414" s="13">
        <f>IF(VLOOKUP(B414,Database!$A:$AV,MATCH($O$1,Database!$A$1:$AV$1,),)=0,"#N/A",((((VLOOKUP(B414,Database!$A:$AS,MATCH($O$1,Database!$A$1:$AS$1,),))))-(((VLOOKUP(EDATE(B414,-12),Database!$A:$AS,MATCH($O$1,Database!$A$1:$AS$1,),)))))/(((VLOOKUP(EDATE(B414,-12),Database!$A:$AS,MATCH($O$1,Database!$A$1:$AS$1,),)))))</f>
        <v/>
      </c>
      <c r="P414" s="13">
        <f>IF(VLOOKUP(B414,Database!$A:$AV,MATCH($P$1,Database!$A$1:$AV$1,),)=0,"#N/A",((((VLOOKUP(B414,Database!$A:$AS,MATCH($P$1,Database!$A$1:$AS$1,),))))-(((VLOOKUP(EDATE(B414,-12),Database!$A:$AS,MATCH($P$1,Database!$A$1:$AS$1,),)))))/(((VLOOKUP(EDATE(B414,-12),Database!$A:$AS,MATCH($P$1,Database!$A$1:$AS$1,),)))))</f>
        <v/>
      </c>
      <c r="Q414" s="13">
        <f>IF(VLOOKUP(B414,Database!$A:$AV,MATCH($Q$1,Database!$A$1:$AV$1,),)=0,"#N/A",((((VLOOKUP(B414,Database!$A:$AS,MATCH($Q$1,Database!$A$1:$AS$1,),))))-(((VLOOKUP(EDATE(B414,-12),Database!$A:$AS,MATCH($Q$1,Database!$A$1:$AS$1,),)))))/(((VLOOKUP(EDATE(B414,-12),Database!$A:$AS,MATCH($Q$1,Database!$A$1:$AS$1,),)))))</f>
        <v/>
      </c>
      <c r="R414" s="13">
        <f>IF(VLOOKUP(B414,Database!$A:$AV,MATCH($R$1,Database!$A$1:$AV$1,),)=0,"#N/A",((((VLOOKUP(B414,Database!$A:$AS,MATCH($R$1,Database!$A$1:$AS$1,),))))-(((VLOOKUP(EDATE(B414,-12),Database!$A:$AS,MATCH($R$1,Database!$A$1:$AS$1,),)))))/(((VLOOKUP(EDATE(B414,-12),Database!$A:$AS,MATCH($R$1,Database!$A$1:$AS$1,),)))))</f>
        <v/>
      </c>
      <c r="S414" s="13">
        <f>IF(VLOOKUP(B414,Database!$A:$AV,MATCH($S$1,Database!$A$1:$AV$1,),)=0,"#N/A",((((VLOOKUP(B414,Database!$A:$AS,MATCH($S$1,Database!$A$1:$AS$1,),))))-(((VLOOKUP(EDATE(B414,-12),Database!$A:$AS,MATCH($S$1,Database!$A$1:$AS$1,),)))))/(((VLOOKUP(EDATE(B414,-12),Database!$A:$AS,MATCH($S$1,Database!$A$1:$AS$1,),)))))</f>
        <v/>
      </c>
      <c r="T414" s="13">
        <f>IF(VLOOKUP(B414,Database!$A:$AV,MATCH($T$1,Database!$A$1:$AV$1,),)=0,"#N/A",((((VLOOKUP(B414,Database!$A:$AS,MATCH($T$1,Database!$A$1:$AS$1,),))))-(((VLOOKUP(EDATE(B414,-12),Database!$A:$AS,MATCH($T$1,Database!$A$1:$AS$1,),)))))/(((VLOOKUP(EDATE(B414,-12),Database!$A:$AS,MATCH($T$1,Database!$A$1:$AS$1,),)))))</f>
        <v/>
      </c>
      <c r="U414" s="13">
        <f>IF(VLOOKUP(B414,Database!$A:$AV,MATCH($U$1,Database!$A$1:$AV$1,),)=0,"#N/A",((((VLOOKUP(B414,Database!$A:$AS,MATCH($U$1,Database!$A$1:$AS$1,),))))-(((VLOOKUP(EDATE(B414,-12),Database!$A:$AS,MATCH($U$1,Database!$A$1:$AS$1,),)))))/(((VLOOKUP(EDATE(B414,-12),Database!$A:$AS,MATCH($U$1,Database!$A$1:$AS$1,),)))))</f>
        <v/>
      </c>
      <c r="V414" s="13">
        <f>IF(VLOOKUP(B414,Database!$A:$AV,MATCH($V$1,Database!$A$1:$AV$1,),)=0,"#N/A",((((VLOOKUP(B414,Database!$A:$AS,MATCH($V$1,Database!$A$1:$AS$1,),))))-(((VLOOKUP(EDATE(B414,-12),Database!$A:$AS,MATCH($V$1,Database!$A$1:$AS$1,),)))))/(((VLOOKUP(EDATE(B414,-12),Database!$A:$AS,MATCH($V$1,Database!$A$1:$AS$1,),)))))</f>
        <v/>
      </c>
    </row>
    <row r="415" customFormat="1" s="86">
      <c r="B415" s="75" t="n">
        <v>44774</v>
      </c>
      <c r="C415" s="13">
        <f>IF(VLOOKUP(B415,Database!$A:$AU,MATCH($C$1,Database!$A$1:$AU$1,),)=0,"#N/A",((((VLOOKUP(B415,Database!$A:$AU,MATCH($C$1,Database!$A$1:$AU$1,),))))-(((VLOOKUP(EDATE(B415,-12),Database!$A:$AU,MATCH($C$1,Database!$A$1:$AU$1,),)))))/(((VLOOKUP(EDATE(B415,-12),Database!$A:$AU,MATCH($C$1,Database!$A$1:$AU$1,),)))))</f>
        <v/>
      </c>
      <c r="D415" s="13">
        <f>IF(VLOOKUP(B415,Database!$A:$AV,MATCH($D$1,Database!$A$1:$AV$1,),)=0,"#N/A",((((VLOOKUP(B415,Database!$A:$AS,MATCH($D$1,Database!$A$1:$AS$1,),))))-(((VLOOKUP(EDATE(B415,-12),Database!$A:$AS,MATCH($D$1,Database!$A$1:$AS$1,),)))))/(((VLOOKUP(EDATE(B415,-12),Database!$A:$AS,MATCH($D$1,Database!$A$1:$AS$1,),)))))</f>
        <v/>
      </c>
      <c r="E415" s="13">
        <f>IF(VLOOKUP(B415,Database!$A:$AV,MATCH($E$1,Database!$A$1:$AV$1,),)=0,"#N/A",((((VLOOKUP(B415,Database!$A:$AS,MATCH($E$1,Database!$A$1:$AS$1,),))))-(((VLOOKUP(EDATE(B415,-12),Database!$A:$AS,MATCH($E$1,Database!$A$1:$AS$1,),)))))/(((VLOOKUP(EDATE(B415,-12),Database!$A:$AS,MATCH($E$1,Database!$A$1:$AS$1,),)))))</f>
        <v/>
      </c>
      <c r="F415" s="13">
        <f>IF(VLOOKUP(B415,Database!$A:$AV,MATCH($F$1,Database!$A$1:$AV$1,),)=0,"#N/A",((((VLOOKUP(B415,Database!$A:$AS,MATCH($F$1,Database!$A$1:$AS$1,),))))-(((VLOOKUP(EDATE(B415,-12),Database!$A:$AS,MATCH($F$1,Database!$A$1:$AS$1,),)))))/(((VLOOKUP(EDATE(B415,-12),Database!$A:$AS,MATCH($F$1,Database!$A$1:$AS$1,),)))))</f>
        <v/>
      </c>
      <c r="G415" s="13">
        <f>IF(VLOOKUP(B415,Database!$A:$AV,MATCH($G$1,Database!$A$1:$AV$1,),)=0,"#N/A",((((VLOOKUP(B415,Database!$A:$AS,MATCH($G$1,Database!$A$1:$AS$1,),))))-(((VLOOKUP(EDATE(B415,-12),Database!$A:$AS,MATCH($G$1,Database!$A$1:$AS$1,),)))))/(((VLOOKUP(EDATE(B415,-12),Database!$A:$AS,MATCH($G$1,Database!$A$1:$AS$1,),)))))</f>
        <v/>
      </c>
      <c r="H415" s="13">
        <f>IF(VLOOKUP(B415,Database!$A:$AV,MATCH($H$1,Database!$A$1:$AV$1,),)=0,"#N/A",((((VLOOKUP(B415,Database!$A:$AS,MATCH($H$1,Database!$A$1:$AS$1,),))))-(((VLOOKUP(EDATE(B415,-12),Database!$A:$AS,MATCH($H$1,Database!$A$1:$AS$1,),)))))/(((VLOOKUP(EDATE(B415,-12),Database!$A:$AS,MATCH($H$1,Database!$A$1:$AS$1,),)))))</f>
        <v/>
      </c>
      <c r="I415" s="13">
        <f>IF(VLOOKUP(B415,Database!$A:$AV,MATCH($I$1,Database!$A$1:$AV$1,),)=0,"#N/A",((((VLOOKUP(B415,Database!$A:$AS,MATCH($I$1,Database!$A$1:$AS$1,),))))-(((VLOOKUP(EDATE(B415,-12),Database!$A:$AS,MATCH($I$1,Database!$A$1:$AS$1,),)))))/(((VLOOKUP(EDATE(B415,-12),Database!$A:$AS,MATCH($I$1,Database!$A$1:$AS$1,),)))))</f>
        <v/>
      </c>
      <c r="J415" s="13">
        <f>IF(VLOOKUP(B415,Database!$A:$AV,MATCH($J$1,Database!$A$1:$AV$1,),)=0,"#N/A",((((VLOOKUP(B415,Database!$A:$AS,MATCH($J$1,Database!$A$1:$AS$1,),))))-(((VLOOKUP(EDATE(B415,-12),Database!$A:$AS,MATCH($J$1,Database!$A$1:$AS$1,),)))))/(((VLOOKUP(EDATE(B415,-12),Database!$A:$AS,MATCH($J$1,Database!$A$1:$AS$1,),)))))</f>
        <v/>
      </c>
      <c r="K415" s="13">
        <f>IF(VLOOKUP(B415,Database!$A:$AV,MATCH($K$1,Database!$A$1:$AV$1,),)=0,"#N/A",((((VLOOKUP(B415,Database!$A:$AS,MATCH($K$1,Database!$A$1:$AS$1,),))))-(((VLOOKUP(EDATE(B415,-12),Database!$A:$AS,MATCH($K$1,Database!$A$1:$AS$1,),)))))/(((VLOOKUP(EDATE(B415,-12),Database!$A:$AS,MATCH($K$1,Database!$A$1:$AS$1,),)))))</f>
        <v/>
      </c>
      <c r="L415" s="13" t="n"/>
      <c r="M415" s="13" t="n"/>
      <c r="N415" s="13" t="n"/>
      <c r="O415" s="13">
        <f>IF(VLOOKUP(B415,Database!$A:$AV,MATCH($O$1,Database!$A$1:$AV$1,),)=0,"#N/A",((((VLOOKUP(B415,Database!$A:$AS,MATCH($O$1,Database!$A$1:$AS$1,),))))-(((VLOOKUP(EDATE(B415,-12),Database!$A:$AS,MATCH($O$1,Database!$A$1:$AS$1,),)))))/(((VLOOKUP(EDATE(B415,-12),Database!$A:$AS,MATCH($O$1,Database!$A$1:$AS$1,),)))))</f>
        <v/>
      </c>
      <c r="P415" s="13">
        <f>IF(VLOOKUP(B415,Database!$A:$AV,MATCH($P$1,Database!$A$1:$AV$1,),)=0,"#N/A",((((VLOOKUP(B415,Database!$A:$AS,MATCH($P$1,Database!$A$1:$AS$1,),))))-(((VLOOKUP(EDATE(B415,-12),Database!$A:$AS,MATCH($P$1,Database!$A$1:$AS$1,),)))))/(((VLOOKUP(EDATE(B415,-12),Database!$A:$AS,MATCH($P$1,Database!$A$1:$AS$1,),)))))</f>
        <v/>
      </c>
      <c r="Q415" s="13">
        <f>IF(VLOOKUP(B415,Database!$A:$AV,MATCH($Q$1,Database!$A$1:$AV$1,),)=0,"#N/A",((((VLOOKUP(B415,Database!$A:$AS,MATCH($Q$1,Database!$A$1:$AS$1,),))))-(((VLOOKUP(EDATE(B415,-12),Database!$A:$AS,MATCH($Q$1,Database!$A$1:$AS$1,),)))))/(((VLOOKUP(EDATE(B415,-12),Database!$A:$AS,MATCH($Q$1,Database!$A$1:$AS$1,),)))))</f>
        <v/>
      </c>
      <c r="R415" s="13">
        <f>IF(VLOOKUP(B415,Database!$A:$AV,MATCH($R$1,Database!$A$1:$AV$1,),)=0,"#N/A",((((VLOOKUP(B415,Database!$A:$AS,MATCH($R$1,Database!$A$1:$AS$1,),))))-(((VLOOKUP(EDATE(B415,-12),Database!$A:$AS,MATCH($R$1,Database!$A$1:$AS$1,),)))))/(((VLOOKUP(EDATE(B415,-12),Database!$A:$AS,MATCH($R$1,Database!$A$1:$AS$1,),)))))</f>
        <v/>
      </c>
      <c r="S415" s="13">
        <f>IF(VLOOKUP(B415,Database!$A:$AV,MATCH($S$1,Database!$A$1:$AV$1,),)=0,"#N/A",((((VLOOKUP(B415,Database!$A:$AS,MATCH($S$1,Database!$A$1:$AS$1,),))))-(((VLOOKUP(EDATE(B415,-12),Database!$A:$AS,MATCH($S$1,Database!$A$1:$AS$1,),)))))/(((VLOOKUP(EDATE(B415,-12),Database!$A:$AS,MATCH($S$1,Database!$A$1:$AS$1,),)))))</f>
        <v/>
      </c>
      <c r="T415" s="13">
        <f>IF(VLOOKUP(B415,Database!$A:$AV,MATCH($T$1,Database!$A$1:$AV$1,),)=0,"#N/A",((((VLOOKUP(B415,Database!$A:$AS,MATCH($T$1,Database!$A$1:$AS$1,),))))-(((VLOOKUP(EDATE(B415,-12),Database!$A:$AS,MATCH($T$1,Database!$A$1:$AS$1,),)))))/(((VLOOKUP(EDATE(B415,-12),Database!$A:$AS,MATCH($T$1,Database!$A$1:$AS$1,),)))))</f>
        <v/>
      </c>
      <c r="U415" s="13">
        <f>IF(VLOOKUP(B415,Database!$A:$AV,MATCH($U$1,Database!$A$1:$AV$1,),)=0,"#N/A",((((VLOOKUP(B415,Database!$A:$AS,MATCH($U$1,Database!$A$1:$AS$1,),))))-(((VLOOKUP(EDATE(B415,-12),Database!$A:$AS,MATCH($U$1,Database!$A$1:$AS$1,),)))))/(((VLOOKUP(EDATE(B415,-12),Database!$A:$AS,MATCH($U$1,Database!$A$1:$AS$1,),)))))</f>
        <v/>
      </c>
      <c r="V415" s="13">
        <f>IF(VLOOKUP(B415,Database!$A:$AV,MATCH($V$1,Database!$A$1:$AV$1,),)=0,"#N/A",((((VLOOKUP(B415,Database!$A:$AS,MATCH($V$1,Database!$A$1:$AS$1,),))))-(((VLOOKUP(EDATE(B415,-12),Database!$A:$AS,MATCH($V$1,Database!$A$1:$AS$1,),)))))/(((VLOOKUP(EDATE(B415,-12),Database!$A:$AS,MATCH($V$1,Database!$A$1:$AS$1,),)))))</f>
        <v/>
      </c>
    </row>
    <row r="416" customFormat="1" s="86">
      <c r="B416" s="75" t="n">
        <v>44805</v>
      </c>
      <c r="C416" s="13">
        <f>IF(VLOOKUP(B416,Database!$A:$AU,MATCH($C$1,Database!$A$1:$AU$1,),)=0,"#N/A",((((VLOOKUP(B416,Database!$A:$AU,MATCH($C$1,Database!$A$1:$AU$1,),))))-(((VLOOKUP(EDATE(B416,-12),Database!$A:$AU,MATCH($C$1,Database!$A$1:$AU$1,),)))))/(((VLOOKUP(EDATE(B416,-12),Database!$A:$AU,MATCH($C$1,Database!$A$1:$AU$1,),)))))</f>
        <v/>
      </c>
      <c r="D416" s="13">
        <f>IF(VLOOKUP(B416,Database!$A:$AV,MATCH($D$1,Database!$A$1:$AV$1,),)=0,"#N/A",((((VLOOKUP(B416,Database!$A:$AS,MATCH($D$1,Database!$A$1:$AS$1,),))))-(((VLOOKUP(EDATE(B416,-12),Database!$A:$AS,MATCH($D$1,Database!$A$1:$AS$1,),)))))/(((VLOOKUP(EDATE(B416,-12),Database!$A:$AS,MATCH($D$1,Database!$A$1:$AS$1,),)))))</f>
        <v/>
      </c>
      <c r="E416" s="13">
        <f>IF(VLOOKUP(B416,Database!$A:$AV,MATCH($E$1,Database!$A$1:$AV$1,),)=0,"#N/A",((((VLOOKUP(B416,Database!$A:$AS,MATCH($E$1,Database!$A$1:$AS$1,),))))-(((VLOOKUP(EDATE(B416,-12),Database!$A:$AS,MATCH($E$1,Database!$A$1:$AS$1,),)))))/(((VLOOKUP(EDATE(B416,-12),Database!$A:$AS,MATCH($E$1,Database!$A$1:$AS$1,),)))))</f>
        <v/>
      </c>
      <c r="F416" s="13">
        <f>IF(VLOOKUP(B416,Database!$A:$AV,MATCH($F$1,Database!$A$1:$AV$1,),)=0,"#N/A",((((VLOOKUP(B416,Database!$A:$AS,MATCH($F$1,Database!$A$1:$AS$1,),))))-(((VLOOKUP(EDATE(B416,-12),Database!$A:$AS,MATCH($F$1,Database!$A$1:$AS$1,),)))))/(((VLOOKUP(EDATE(B416,-12),Database!$A:$AS,MATCH($F$1,Database!$A$1:$AS$1,),)))))</f>
        <v/>
      </c>
      <c r="G416" s="13">
        <f>IF(VLOOKUP(B416,Database!$A:$AV,MATCH($G$1,Database!$A$1:$AV$1,),)=0,"#N/A",((((VLOOKUP(B416,Database!$A:$AS,MATCH($G$1,Database!$A$1:$AS$1,),))))-(((VLOOKUP(EDATE(B416,-12),Database!$A:$AS,MATCH($G$1,Database!$A$1:$AS$1,),)))))/(((VLOOKUP(EDATE(B416,-12),Database!$A:$AS,MATCH($G$1,Database!$A$1:$AS$1,),)))))</f>
        <v/>
      </c>
      <c r="H416" s="13">
        <f>IF(VLOOKUP(B416,Database!$A:$AV,MATCH($H$1,Database!$A$1:$AV$1,),)=0,"#N/A",((((VLOOKUP(B416,Database!$A:$AS,MATCH($H$1,Database!$A$1:$AS$1,),))))-(((VLOOKUP(EDATE(B416,-12),Database!$A:$AS,MATCH($H$1,Database!$A$1:$AS$1,),)))))/(((VLOOKUP(EDATE(B416,-12),Database!$A:$AS,MATCH($H$1,Database!$A$1:$AS$1,),)))))</f>
        <v/>
      </c>
      <c r="I416" s="13">
        <f>IF(VLOOKUP(B416,Database!$A:$AV,MATCH($I$1,Database!$A$1:$AV$1,),)=0,"#N/A",((((VLOOKUP(B416,Database!$A:$AS,MATCH($I$1,Database!$A$1:$AS$1,),))))-(((VLOOKUP(EDATE(B416,-12),Database!$A:$AS,MATCH($I$1,Database!$A$1:$AS$1,),)))))/(((VLOOKUP(EDATE(B416,-12),Database!$A:$AS,MATCH($I$1,Database!$A$1:$AS$1,),)))))</f>
        <v/>
      </c>
      <c r="J416" s="13">
        <f>IF(VLOOKUP(B416,Database!$A:$AV,MATCH($J$1,Database!$A$1:$AV$1,),)=0,"#N/A",((((VLOOKUP(B416,Database!$A:$AS,MATCH($J$1,Database!$A$1:$AS$1,),))))-(((VLOOKUP(EDATE(B416,-12),Database!$A:$AS,MATCH($J$1,Database!$A$1:$AS$1,),)))))/(((VLOOKUP(EDATE(B416,-12),Database!$A:$AS,MATCH($J$1,Database!$A$1:$AS$1,),)))))</f>
        <v/>
      </c>
      <c r="K416" s="13">
        <f>IF(VLOOKUP(B416,Database!$A:$AV,MATCH($K$1,Database!$A$1:$AV$1,),)=0,"#N/A",((((VLOOKUP(B416,Database!$A:$AS,MATCH($K$1,Database!$A$1:$AS$1,),))))-(((VLOOKUP(EDATE(B416,-12),Database!$A:$AS,MATCH($K$1,Database!$A$1:$AS$1,),)))))/(((VLOOKUP(EDATE(B416,-12),Database!$A:$AS,MATCH($K$1,Database!$A$1:$AS$1,),)))))</f>
        <v/>
      </c>
      <c r="L416" s="13" t="n"/>
      <c r="M416" s="13" t="n"/>
      <c r="N416" s="13" t="n"/>
      <c r="O416" s="13">
        <f>IF(VLOOKUP(B416,Database!$A:$AV,MATCH($O$1,Database!$A$1:$AV$1,),)=0,"#N/A",((((VLOOKUP(B416,Database!$A:$AS,MATCH($O$1,Database!$A$1:$AS$1,),))))-(((VLOOKUP(EDATE(B416,-12),Database!$A:$AS,MATCH($O$1,Database!$A$1:$AS$1,),)))))/(((VLOOKUP(EDATE(B416,-12),Database!$A:$AS,MATCH($O$1,Database!$A$1:$AS$1,),)))))</f>
        <v/>
      </c>
      <c r="P416" s="13">
        <f>IF(VLOOKUP(B416,Database!$A:$AV,MATCH($P$1,Database!$A$1:$AV$1,),)=0,"#N/A",((((VLOOKUP(B416,Database!$A:$AS,MATCH($P$1,Database!$A$1:$AS$1,),))))-(((VLOOKUP(EDATE(B416,-12),Database!$A:$AS,MATCH($P$1,Database!$A$1:$AS$1,),)))))/(((VLOOKUP(EDATE(B416,-12),Database!$A:$AS,MATCH($P$1,Database!$A$1:$AS$1,),)))))</f>
        <v/>
      </c>
      <c r="Q416" s="13">
        <f>IF(VLOOKUP(B416,Database!$A:$AV,MATCH($Q$1,Database!$A$1:$AV$1,),)=0,"#N/A",((((VLOOKUP(B416,Database!$A:$AS,MATCH($Q$1,Database!$A$1:$AS$1,),))))-(((VLOOKUP(EDATE(B416,-12),Database!$A:$AS,MATCH($Q$1,Database!$A$1:$AS$1,),)))))/(((VLOOKUP(EDATE(B416,-12),Database!$A:$AS,MATCH($Q$1,Database!$A$1:$AS$1,),)))))</f>
        <v/>
      </c>
      <c r="R416" s="13">
        <f>IF(VLOOKUP(B416,Database!$A:$AV,MATCH($R$1,Database!$A$1:$AV$1,),)=0,"#N/A",((((VLOOKUP(B416,Database!$A:$AS,MATCH($R$1,Database!$A$1:$AS$1,),))))-(((VLOOKUP(EDATE(B416,-12),Database!$A:$AS,MATCH($R$1,Database!$A$1:$AS$1,),)))))/(((VLOOKUP(EDATE(B416,-12),Database!$A:$AS,MATCH($R$1,Database!$A$1:$AS$1,),)))))</f>
        <v/>
      </c>
      <c r="S416" s="13">
        <f>IF(VLOOKUP(B416,Database!$A:$AV,MATCH($S$1,Database!$A$1:$AV$1,),)=0,"#N/A",((((VLOOKUP(B416,Database!$A:$AS,MATCH($S$1,Database!$A$1:$AS$1,),))))-(((VLOOKUP(EDATE(B416,-12),Database!$A:$AS,MATCH($S$1,Database!$A$1:$AS$1,),)))))/(((VLOOKUP(EDATE(B416,-12),Database!$A:$AS,MATCH($S$1,Database!$A$1:$AS$1,),)))))</f>
        <v/>
      </c>
      <c r="T416" s="13">
        <f>IF(VLOOKUP(B416,Database!$A:$AV,MATCH($T$1,Database!$A$1:$AV$1,),)=0,"#N/A",((((VLOOKUP(B416,Database!$A:$AS,MATCH($T$1,Database!$A$1:$AS$1,),))))-(((VLOOKUP(EDATE(B416,-12),Database!$A:$AS,MATCH($T$1,Database!$A$1:$AS$1,),)))))/(((VLOOKUP(EDATE(B416,-12),Database!$A:$AS,MATCH($T$1,Database!$A$1:$AS$1,),)))))</f>
        <v/>
      </c>
      <c r="U416" s="13">
        <f>IF(VLOOKUP(B416,Database!$A:$AV,MATCH($U$1,Database!$A$1:$AV$1,),)=0,"#N/A",((((VLOOKUP(B416,Database!$A:$AS,MATCH($U$1,Database!$A$1:$AS$1,),))))-(((VLOOKUP(EDATE(B416,-12),Database!$A:$AS,MATCH($U$1,Database!$A$1:$AS$1,),)))))/(((VLOOKUP(EDATE(B416,-12),Database!$A:$AS,MATCH($U$1,Database!$A$1:$AS$1,),)))))</f>
        <v/>
      </c>
      <c r="V416" s="13">
        <f>IF(VLOOKUP(B416,Database!$A:$AV,MATCH($V$1,Database!$A$1:$AV$1,),)=0,"#N/A",((((VLOOKUP(B416,Database!$A:$AS,MATCH($V$1,Database!$A$1:$AS$1,),))))-(((VLOOKUP(EDATE(B416,-12),Database!$A:$AS,MATCH($V$1,Database!$A$1:$AS$1,),)))))/(((VLOOKUP(EDATE(B416,-12),Database!$A:$AS,MATCH($V$1,Database!$A$1:$AS$1,),)))))</f>
        <v/>
      </c>
    </row>
    <row r="417" customFormat="1" s="86">
      <c r="B417" s="75" t="n">
        <v>44835</v>
      </c>
      <c r="C417" s="13">
        <f>IF(VLOOKUP(B417,Database!$A:$AU,MATCH($C$1,Database!$A$1:$AU$1,),)=0,"#N/A",((((VLOOKUP(B417,Database!$A:$AU,MATCH($C$1,Database!$A$1:$AU$1,),))))-(((VLOOKUP(EDATE(B417,-12),Database!$A:$AU,MATCH($C$1,Database!$A$1:$AU$1,),)))))/(((VLOOKUP(EDATE(B417,-12),Database!$A:$AU,MATCH($C$1,Database!$A$1:$AU$1,),)))))</f>
        <v/>
      </c>
      <c r="D417" s="13">
        <f>IF(VLOOKUP(B417,Database!$A:$AV,MATCH($D$1,Database!$A$1:$AV$1,),)=0,"#N/A",((((VLOOKUP(B417,Database!$A:$AS,MATCH($D$1,Database!$A$1:$AS$1,),))))-(((VLOOKUP(EDATE(B417,-12),Database!$A:$AS,MATCH($D$1,Database!$A$1:$AS$1,),)))))/(((VLOOKUP(EDATE(B417,-12),Database!$A:$AS,MATCH($D$1,Database!$A$1:$AS$1,),)))))</f>
        <v/>
      </c>
      <c r="E417" s="13">
        <f>IF(VLOOKUP(B417,Database!$A:$AV,MATCH($E$1,Database!$A$1:$AV$1,),)=0,"#N/A",((((VLOOKUP(B417,Database!$A:$AS,MATCH($E$1,Database!$A$1:$AS$1,),))))-(((VLOOKUP(EDATE(B417,-12),Database!$A:$AS,MATCH($E$1,Database!$A$1:$AS$1,),)))))/(((VLOOKUP(EDATE(B417,-12),Database!$A:$AS,MATCH($E$1,Database!$A$1:$AS$1,),)))))</f>
        <v/>
      </c>
      <c r="F417" s="13">
        <f>IF(VLOOKUP(B417,Database!$A:$AV,MATCH($F$1,Database!$A$1:$AV$1,),)=0,"#N/A",((((VLOOKUP(B417,Database!$A:$AS,MATCH($F$1,Database!$A$1:$AS$1,),))))-(((VLOOKUP(EDATE(B417,-12),Database!$A:$AS,MATCH($F$1,Database!$A$1:$AS$1,),)))))/(((VLOOKUP(EDATE(B417,-12),Database!$A:$AS,MATCH($F$1,Database!$A$1:$AS$1,),)))))</f>
        <v/>
      </c>
      <c r="G417" s="13">
        <f>IF(VLOOKUP(B417,Database!$A:$AV,MATCH($G$1,Database!$A$1:$AV$1,),)=0,"#N/A",((((VLOOKUP(B417,Database!$A:$AS,MATCH($G$1,Database!$A$1:$AS$1,),))))-(((VLOOKUP(EDATE(B417,-12),Database!$A:$AS,MATCH($G$1,Database!$A$1:$AS$1,),)))))/(((VLOOKUP(EDATE(B417,-12),Database!$A:$AS,MATCH($G$1,Database!$A$1:$AS$1,),)))))</f>
        <v/>
      </c>
      <c r="H417" s="13">
        <f>IF(VLOOKUP(B417,Database!$A:$AV,MATCH($H$1,Database!$A$1:$AV$1,),)=0,"#N/A",((((VLOOKUP(B417,Database!$A:$AS,MATCH($H$1,Database!$A$1:$AS$1,),))))-(((VLOOKUP(EDATE(B417,-12),Database!$A:$AS,MATCH($H$1,Database!$A$1:$AS$1,),)))))/(((VLOOKUP(EDATE(B417,-12),Database!$A:$AS,MATCH($H$1,Database!$A$1:$AS$1,),)))))</f>
        <v/>
      </c>
      <c r="I417" s="13">
        <f>IF(VLOOKUP(B417,Database!$A:$AV,MATCH($I$1,Database!$A$1:$AV$1,),)=0,"#N/A",((((VLOOKUP(B417,Database!$A:$AS,MATCH($I$1,Database!$A$1:$AS$1,),))))-(((VLOOKUP(EDATE(B417,-12),Database!$A:$AS,MATCH($I$1,Database!$A$1:$AS$1,),)))))/(((VLOOKUP(EDATE(B417,-12),Database!$A:$AS,MATCH($I$1,Database!$A$1:$AS$1,),)))))</f>
        <v/>
      </c>
      <c r="J417" s="13">
        <f>IF(VLOOKUP(B417,Database!$A:$AV,MATCH($J$1,Database!$A$1:$AV$1,),)=0,"#N/A",((((VLOOKUP(B417,Database!$A:$AS,MATCH($J$1,Database!$A$1:$AS$1,),))))-(((VLOOKUP(EDATE(B417,-12),Database!$A:$AS,MATCH($J$1,Database!$A$1:$AS$1,),)))))/(((VLOOKUP(EDATE(B417,-12),Database!$A:$AS,MATCH($J$1,Database!$A$1:$AS$1,),)))))</f>
        <v/>
      </c>
      <c r="K417" s="13">
        <f>IF(VLOOKUP(B417,Database!$A:$AV,MATCH($K$1,Database!$A$1:$AV$1,),)=0,"#N/A",((((VLOOKUP(B417,Database!$A:$AS,MATCH($K$1,Database!$A$1:$AS$1,),))))-(((VLOOKUP(EDATE(B417,-12),Database!$A:$AS,MATCH($K$1,Database!$A$1:$AS$1,),)))))/(((VLOOKUP(EDATE(B417,-12),Database!$A:$AS,MATCH($K$1,Database!$A$1:$AS$1,),)))))</f>
        <v/>
      </c>
      <c r="L417" s="13" t="n"/>
      <c r="M417" s="13" t="n"/>
      <c r="N417" s="13" t="n"/>
      <c r="O417" s="13">
        <f>IF(VLOOKUP(B417,Database!$A:$AV,MATCH($O$1,Database!$A$1:$AV$1,),)=0,"#N/A",((((VLOOKUP(B417,Database!$A:$AS,MATCH($O$1,Database!$A$1:$AS$1,),))))-(((VLOOKUP(EDATE(B417,-12),Database!$A:$AS,MATCH($O$1,Database!$A$1:$AS$1,),)))))/(((VLOOKUP(EDATE(B417,-12),Database!$A:$AS,MATCH($O$1,Database!$A$1:$AS$1,),)))))</f>
        <v/>
      </c>
      <c r="P417" s="13">
        <f>IF(VLOOKUP(B417,Database!$A:$AV,MATCH($P$1,Database!$A$1:$AV$1,),)=0,"#N/A",((((VLOOKUP(B417,Database!$A:$AS,MATCH($P$1,Database!$A$1:$AS$1,),))))-(((VLOOKUP(EDATE(B417,-12),Database!$A:$AS,MATCH($P$1,Database!$A$1:$AS$1,),)))))/(((VLOOKUP(EDATE(B417,-12),Database!$A:$AS,MATCH($P$1,Database!$A$1:$AS$1,),)))))</f>
        <v/>
      </c>
      <c r="Q417" s="13">
        <f>IF(VLOOKUP(B417,Database!$A:$AV,MATCH($Q$1,Database!$A$1:$AV$1,),)=0,"#N/A",((((VLOOKUP(B417,Database!$A:$AS,MATCH($Q$1,Database!$A$1:$AS$1,),))))-(((VLOOKUP(EDATE(B417,-12),Database!$A:$AS,MATCH($Q$1,Database!$A$1:$AS$1,),)))))/(((VLOOKUP(EDATE(B417,-12),Database!$A:$AS,MATCH($Q$1,Database!$A$1:$AS$1,),)))))</f>
        <v/>
      </c>
      <c r="R417" s="13">
        <f>IF(VLOOKUP(B417,Database!$A:$AV,MATCH($R$1,Database!$A$1:$AV$1,),)=0,"#N/A",((((VLOOKUP(B417,Database!$A:$AS,MATCH($R$1,Database!$A$1:$AS$1,),))))-(((VLOOKUP(EDATE(B417,-12),Database!$A:$AS,MATCH($R$1,Database!$A$1:$AS$1,),)))))/(((VLOOKUP(EDATE(B417,-12),Database!$A:$AS,MATCH($R$1,Database!$A$1:$AS$1,),)))))</f>
        <v/>
      </c>
      <c r="S417" s="13">
        <f>IF(VLOOKUP(B417,Database!$A:$AV,MATCH($S$1,Database!$A$1:$AV$1,),)=0,"#N/A",((((VLOOKUP(B417,Database!$A:$AS,MATCH($S$1,Database!$A$1:$AS$1,),))))-(((VLOOKUP(EDATE(B417,-12),Database!$A:$AS,MATCH($S$1,Database!$A$1:$AS$1,),)))))/(((VLOOKUP(EDATE(B417,-12),Database!$A:$AS,MATCH($S$1,Database!$A$1:$AS$1,),)))))</f>
        <v/>
      </c>
      <c r="T417" s="13">
        <f>IF(VLOOKUP(B417,Database!$A:$AV,MATCH($T$1,Database!$A$1:$AV$1,),)=0,"#N/A",((((VLOOKUP(B417,Database!$A:$AS,MATCH($T$1,Database!$A$1:$AS$1,),))))-(((VLOOKUP(EDATE(B417,-12),Database!$A:$AS,MATCH($T$1,Database!$A$1:$AS$1,),)))))/(((VLOOKUP(EDATE(B417,-12),Database!$A:$AS,MATCH($T$1,Database!$A$1:$AS$1,),)))))</f>
        <v/>
      </c>
      <c r="U417" s="13">
        <f>IF(VLOOKUP(B417,Database!$A:$AV,MATCH($U$1,Database!$A$1:$AV$1,),)=0,"#N/A",((((VLOOKUP(B417,Database!$A:$AS,MATCH($U$1,Database!$A$1:$AS$1,),))))-(((VLOOKUP(EDATE(B417,-12),Database!$A:$AS,MATCH($U$1,Database!$A$1:$AS$1,),)))))/(((VLOOKUP(EDATE(B417,-12),Database!$A:$AS,MATCH($U$1,Database!$A$1:$AS$1,),)))))</f>
        <v/>
      </c>
      <c r="V417" s="13">
        <f>IF(VLOOKUP(B417,Database!$A:$AV,MATCH($V$1,Database!$A$1:$AV$1,),)=0,"#N/A",((((VLOOKUP(B417,Database!$A:$AS,MATCH($V$1,Database!$A$1:$AS$1,),))))-(((VLOOKUP(EDATE(B417,-12),Database!$A:$AS,MATCH($V$1,Database!$A$1:$AS$1,),)))))/(((VLOOKUP(EDATE(B417,-12),Database!$A:$AS,MATCH($V$1,Database!$A$1:$AS$1,),)))))</f>
        <v/>
      </c>
    </row>
    <row r="418" customFormat="1" s="86"/>
    <row r="419" customFormat="1" s="86"/>
    <row r="420" customFormat="1" s="86"/>
    <row r="421" customFormat="1" s="86"/>
    <row r="422" customFormat="1" s="86"/>
    <row r="423" customFormat="1" s="86"/>
    <row r="424" customFormat="1" s="86"/>
    <row r="425" customFormat="1" s="86"/>
    <row r="426" customFormat="1" s="86"/>
    <row r="427" customFormat="1" s="86"/>
    <row r="428" customFormat="1" s="86"/>
    <row r="429" customFormat="1" s="86"/>
    <row r="430" customFormat="1" s="86"/>
    <row r="431" customFormat="1" s="86"/>
    <row r="432" customFormat="1" s="86"/>
    <row r="433" customFormat="1" s="86"/>
    <row r="434" customFormat="1" s="86"/>
    <row r="435" customFormat="1" s="86"/>
    <row r="436" customFormat="1" s="86"/>
    <row r="437" customFormat="1" s="86"/>
    <row r="438" customFormat="1" s="86"/>
    <row r="439" customFormat="1" s="86"/>
    <row r="440" customFormat="1" s="86"/>
    <row r="441" customFormat="1" s="86"/>
    <row r="442" customFormat="1" s="86"/>
    <row r="443" customFormat="1" s="86"/>
    <row r="444" customFormat="1" s="86"/>
    <row r="445" customFormat="1" s="86"/>
    <row r="446" customFormat="1" s="86"/>
    <row r="447" customFormat="1" s="86"/>
    <row r="448" customFormat="1" s="86"/>
    <row r="449" customFormat="1" s="86"/>
    <row r="450" customFormat="1" s="86"/>
    <row r="451" customFormat="1" s="86"/>
    <row r="452" customFormat="1" s="86"/>
    <row r="453" customFormat="1" s="86"/>
    <row r="454" customFormat="1" s="86"/>
    <row r="455" customFormat="1" s="86"/>
    <row r="456" customFormat="1" s="86"/>
    <row r="457" customFormat="1" s="86"/>
    <row r="458" customFormat="1" s="86"/>
    <row r="459" customFormat="1" s="86"/>
    <row r="460" customFormat="1" s="86"/>
    <row r="461" customFormat="1" s="86"/>
    <row r="462" customFormat="1" s="86"/>
    <row r="463" customFormat="1" s="86"/>
    <row r="464" customFormat="1" s="86"/>
    <row r="465" customFormat="1" s="86"/>
    <row r="466" customFormat="1" s="86"/>
    <row r="467" customFormat="1" s="86"/>
    <row r="468" customFormat="1" s="86"/>
    <row r="469" customFormat="1" s="86"/>
    <row r="470" customFormat="1" s="86"/>
    <row r="471" customFormat="1" s="86"/>
    <row r="472" customFormat="1" s="86"/>
    <row r="473" customFormat="1" s="86"/>
    <row r="474" customFormat="1" s="86"/>
    <row r="475" customFormat="1" s="86"/>
    <row r="476" customFormat="1" s="86"/>
    <row r="477" customFormat="1" s="86"/>
    <row r="478" customFormat="1" s="86"/>
    <row r="479" customFormat="1" s="86"/>
    <row r="480" customFormat="1" s="86"/>
    <row r="481" customFormat="1" s="86"/>
    <row r="482" customFormat="1" s="86"/>
    <row r="483" customFormat="1" s="86"/>
    <row r="484" customFormat="1" s="86"/>
    <row r="485" customFormat="1" s="86"/>
    <row r="486" customFormat="1" s="86"/>
    <row r="487" customFormat="1" s="86"/>
    <row r="488" customFormat="1" s="86"/>
    <row r="489" customFormat="1" s="86"/>
    <row r="490" customFormat="1" s="86"/>
    <row r="491" customFormat="1" s="86"/>
    <row r="492" customFormat="1" s="86"/>
    <row r="493" customFormat="1" s="86"/>
    <row r="494" customFormat="1" s="86"/>
    <row r="495" customFormat="1" s="86"/>
    <row r="496" customFormat="1" s="86"/>
    <row r="497" customFormat="1" s="86"/>
    <row r="498" customFormat="1" s="86"/>
    <row r="499" customFormat="1" s="86"/>
    <row r="500" customFormat="1" s="86"/>
    <row r="501" customFormat="1" s="86"/>
    <row r="502" customFormat="1" s="86"/>
    <row r="503" customFormat="1" s="86"/>
    <row r="504" customFormat="1" s="86"/>
    <row r="505" customFormat="1" s="86"/>
    <row r="506" customFormat="1" s="86"/>
    <row r="507" customFormat="1" s="86"/>
    <row r="508" customFormat="1" s="86"/>
    <row r="509" customFormat="1" s="86"/>
    <row r="510" customFormat="1" s="86"/>
    <row r="511" customFormat="1" s="86"/>
    <row r="512" customFormat="1" s="86"/>
    <row r="513" customFormat="1" s="86"/>
    <row r="514" customFormat="1" s="86"/>
    <row r="515" customFormat="1" s="86"/>
    <row r="516" customFormat="1" s="86"/>
    <row r="517" customFormat="1" s="86"/>
    <row r="518" customFormat="1" s="86"/>
    <row r="519" customFormat="1" s="86"/>
    <row r="520" customFormat="1" s="86"/>
    <row r="521" customFormat="1" s="86"/>
    <row r="522" customFormat="1" s="86"/>
    <row r="523" customFormat="1" s="86"/>
    <row r="524" customFormat="1" s="86"/>
    <row r="525" customFormat="1" s="86"/>
    <row r="526" customFormat="1" s="86"/>
    <row r="527" customFormat="1" s="86"/>
    <row r="528" customFormat="1" s="86"/>
    <row r="529" customFormat="1" s="86"/>
    <row r="530" customFormat="1" s="86"/>
    <row r="531" customFormat="1" s="86"/>
    <row r="532" customFormat="1" s="86"/>
    <row r="533" customFormat="1" s="86"/>
    <row r="534" customFormat="1" s="86"/>
    <row r="535" customFormat="1" s="86"/>
    <row r="536" customFormat="1" s="86"/>
    <row r="537" customFormat="1" s="86"/>
    <row r="538" customFormat="1" s="86"/>
    <row r="539" customFormat="1" s="86"/>
    <row r="540" customFormat="1" s="86"/>
    <row r="541" customFormat="1" s="86"/>
    <row r="542" customFormat="1" s="86"/>
    <row r="543" customFormat="1" s="86"/>
    <row r="544" customFormat="1" s="86"/>
    <row r="545" customFormat="1" s="86"/>
    <row r="546" customFormat="1" s="86"/>
    <row r="547" customFormat="1" s="86"/>
    <row r="548" customFormat="1" s="86"/>
    <row r="549" customFormat="1" s="86"/>
    <row r="550" customFormat="1" s="86"/>
    <row r="551" customFormat="1" s="86"/>
    <row r="552" customFormat="1" s="86"/>
    <row r="553" customFormat="1" s="86"/>
    <row r="554" customFormat="1" s="86"/>
    <row r="555" customFormat="1" s="86"/>
    <row r="556" customFormat="1" s="86"/>
    <row r="557" customFormat="1" s="86"/>
    <row r="558" customFormat="1" s="86"/>
    <row r="559" customFormat="1" s="86"/>
    <row r="560" customFormat="1" s="86"/>
    <row r="561" customFormat="1" s="86"/>
    <row r="562" customFormat="1" s="86"/>
    <row r="563" customFormat="1" s="86"/>
    <row r="564" customFormat="1" s="86"/>
    <row r="565" customFormat="1" s="86"/>
    <row r="566" customFormat="1" s="86"/>
    <row r="567" customFormat="1" s="86"/>
    <row r="568" customFormat="1" s="86"/>
    <row r="569" customFormat="1" s="86"/>
    <row r="570" customFormat="1" s="86"/>
    <row r="571" customFormat="1" s="86"/>
    <row r="572" customFormat="1" s="86"/>
    <row r="573" customFormat="1" s="86"/>
    <row r="574" customFormat="1" s="86"/>
    <row r="575" customFormat="1" s="86"/>
    <row r="576" customFormat="1" s="86"/>
    <row r="577" customFormat="1" s="86"/>
    <row r="578" customFormat="1" s="86"/>
    <row r="579" customFormat="1" s="86"/>
    <row r="580" customFormat="1" s="86"/>
    <row r="581" customFormat="1" s="86"/>
    <row r="582" customFormat="1" s="86"/>
    <row r="583" customFormat="1" s="86"/>
    <row r="584" customFormat="1" s="86"/>
    <row r="585" customFormat="1" s="86"/>
    <row r="586" customFormat="1" s="86"/>
    <row r="587" customFormat="1" s="86"/>
    <row r="588" customFormat="1" s="86"/>
    <row r="589" customFormat="1" s="86"/>
    <row r="590" customFormat="1" s="86"/>
    <row r="591" customFormat="1" s="86"/>
    <row r="592" customFormat="1" s="86"/>
    <row r="593" customFormat="1" s="86"/>
    <row r="594" customFormat="1" s="86"/>
    <row r="595" customFormat="1" s="86"/>
    <row r="596" customFormat="1" s="86"/>
    <row r="597" customFormat="1" s="86"/>
    <row r="598" customFormat="1" s="86"/>
    <row r="599" customFormat="1" s="86"/>
    <row r="600" customFormat="1" s="86"/>
    <row r="601" customFormat="1" s="86"/>
    <row r="602" customFormat="1" s="86"/>
    <row r="603" customFormat="1" s="86"/>
    <row r="604" customFormat="1" s="86"/>
    <row r="605" customFormat="1" s="86"/>
    <row r="606" customFormat="1" s="86"/>
    <row r="607" customFormat="1" s="86"/>
    <row r="608" customFormat="1" s="86"/>
    <row r="609" customFormat="1" s="86"/>
    <row r="610" customFormat="1" s="86"/>
    <row r="611" customFormat="1" s="86"/>
    <row r="612" customFormat="1" s="86"/>
    <row r="613" customFormat="1" s="86"/>
    <row r="614" customFormat="1" s="86"/>
    <row r="615" customFormat="1" s="86"/>
    <row r="616" customFormat="1" s="86"/>
    <row r="617" customFormat="1" s="86"/>
    <row r="618" customFormat="1" s="86"/>
    <row r="619" customFormat="1" s="86"/>
    <row r="620" customFormat="1" s="86"/>
    <row r="621" customFormat="1" s="86"/>
    <row r="622" customFormat="1" s="86"/>
    <row r="623" customFormat="1" s="86"/>
    <row r="624" customFormat="1" s="86"/>
    <row r="625" customFormat="1" s="86"/>
    <row r="626" customFormat="1" s="86"/>
    <row r="627" customFormat="1" s="86"/>
    <row r="628" customFormat="1" s="86"/>
    <row r="629" customFormat="1" s="86"/>
    <row r="630" customFormat="1" s="86"/>
    <row r="631" customFormat="1" s="86"/>
    <row r="632" customFormat="1" s="86"/>
    <row r="633" customFormat="1" s="86"/>
    <row r="634" customFormat="1" s="86"/>
    <row r="635" customFormat="1" s="86"/>
    <row r="636" customFormat="1" s="86"/>
    <row r="637" customFormat="1" s="86"/>
    <row r="638" customFormat="1" s="86"/>
    <row r="639" customFormat="1" s="86"/>
    <row r="640" customFormat="1" s="86"/>
    <row r="641" customFormat="1" s="86"/>
    <row r="642" customFormat="1" s="86"/>
    <row r="643" customFormat="1" s="86"/>
    <row r="644" customFormat="1" s="86"/>
    <row r="645" customFormat="1" s="86"/>
    <row r="646" customFormat="1" s="86"/>
    <row r="647" customFormat="1" s="86"/>
    <row r="648" customFormat="1" s="86"/>
    <row r="649" customFormat="1" s="86"/>
    <row r="650" customFormat="1" s="86"/>
    <row r="651" customFormat="1" s="86"/>
    <row r="652" customFormat="1" s="86"/>
    <row r="653" customFormat="1" s="86"/>
    <row r="654" customFormat="1" s="86"/>
    <row r="655" customFormat="1" s="86"/>
    <row r="656" customFormat="1" s="86"/>
    <row r="657" customFormat="1" s="86"/>
    <row r="658" customFormat="1" s="86"/>
    <row r="659" customFormat="1" s="86"/>
    <row r="660" customFormat="1" s="86"/>
    <row r="661" customFormat="1" s="86"/>
    <row r="662" customFormat="1" s="86"/>
    <row r="663" customFormat="1" s="86"/>
    <row r="664" customFormat="1" s="86"/>
    <row r="665" customFormat="1" s="86"/>
    <row r="666" customFormat="1" s="86"/>
    <row r="667" customFormat="1" s="86"/>
    <row r="668" customFormat="1" s="86"/>
    <row r="669" customFormat="1" s="86"/>
    <row r="670" customFormat="1" s="86"/>
    <row r="671" customFormat="1" s="86"/>
    <row r="672" customFormat="1" s="86"/>
    <row r="673" customFormat="1" s="86"/>
    <row r="674" customFormat="1" s="86"/>
    <row r="675" customFormat="1" s="86"/>
    <row r="676" customFormat="1" s="86"/>
    <row r="677" customFormat="1" s="86"/>
    <row r="678" customFormat="1" s="86"/>
    <row r="679" customFormat="1" s="86"/>
    <row r="680" customFormat="1" s="86"/>
    <row r="681" customFormat="1" s="86"/>
    <row r="682" customFormat="1" s="86"/>
    <row r="683" customFormat="1" s="86"/>
    <row r="684" customFormat="1" s="86"/>
    <row r="685" customFormat="1" s="86"/>
    <row r="686" customFormat="1" s="86"/>
    <row r="687" customFormat="1" s="86"/>
    <row r="688" customFormat="1" s="86"/>
    <row r="689" customFormat="1" s="86"/>
    <row r="690" customFormat="1" s="86"/>
    <row r="691" customFormat="1" s="86"/>
    <row r="692" customFormat="1" s="86"/>
    <row r="693" customFormat="1" s="86"/>
    <row r="694" customFormat="1" s="86"/>
    <row r="695" customFormat="1" s="86"/>
    <row r="696" customFormat="1" s="86"/>
    <row r="697" customFormat="1" s="86"/>
    <row r="698" customFormat="1" s="86"/>
    <row r="699" customFormat="1" s="86"/>
    <row r="700" customFormat="1" s="86"/>
    <row r="701" customFormat="1" s="86"/>
    <row r="702" customFormat="1" s="86"/>
    <row r="703" customFormat="1" s="86"/>
    <row r="704" customFormat="1" s="86"/>
    <row r="705" customFormat="1" s="86"/>
    <row r="706" customFormat="1" s="86"/>
    <row r="707" customFormat="1" s="86"/>
    <row r="708" customFormat="1" s="86"/>
    <row r="709" customFormat="1" s="86"/>
    <row r="710" customFormat="1" s="86"/>
    <row r="711" customFormat="1" s="86"/>
    <row r="712" customFormat="1" s="86"/>
    <row r="713" customFormat="1" s="86"/>
    <row r="714" customFormat="1" s="86"/>
    <row r="715" customFormat="1" s="86"/>
    <row r="716" customFormat="1" s="86"/>
    <row r="717" customFormat="1" s="86"/>
    <row r="718" customFormat="1" s="86"/>
    <row r="719" customFormat="1" s="86"/>
    <row r="720" customFormat="1" s="86"/>
    <row r="721" customFormat="1" s="86"/>
    <row r="722" customFormat="1" s="86"/>
    <row r="723" customFormat="1" s="86"/>
    <row r="724" customFormat="1" s="86"/>
    <row r="725" customFormat="1" s="86"/>
    <row r="726" customFormat="1" s="86"/>
    <row r="727" customFormat="1" s="86"/>
    <row r="728" customFormat="1" s="86"/>
    <row r="729" customFormat="1" s="86"/>
    <row r="730" customFormat="1" s="86"/>
    <row r="731" customFormat="1" s="86"/>
    <row r="732" customFormat="1" s="86"/>
    <row r="733" customFormat="1" s="86"/>
    <row r="734" customFormat="1" s="86"/>
    <row r="735" customFormat="1" s="86"/>
    <row r="736" customFormat="1" s="86"/>
    <row r="737" customFormat="1" s="86"/>
    <row r="738" customFormat="1" s="86"/>
    <row r="739" customFormat="1" s="86"/>
    <row r="740" customFormat="1" s="86"/>
    <row r="741" customFormat="1" s="86"/>
    <row r="742" customFormat="1" s="86"/>
    <row r="743" customFormat="1" s="86"/>
    <row r="744" customFormat="1" s="86"/>
    <row r="745" customFormat="1" s="86"/>
    <row r="746" customFormat="1" s="86"/>
    <row r="747" customFormat="1" s="86"/>
    <row r="748" customFormat="1" s="86"/>
    <row r="749" customFormat="1" s="86"/>
    <row r="750" customFormat="1" s="86"/>
    <row r="751" customFormat="1" s="86"/>
    <row r="752" customFormat="1" s="86"/>
    <row r="753" customFormat="1" s="86"/>
    <row r="754" customFormat="1" s="86"/>
    <row r="755" customFormat="1" s="86"/>
    <row r="756" customFormat="1" s="86"/>
    <row r="757" customFormat="1" s="86"/>
    <row r="758" customFormat="1" s="86"/>
    <row r="759" customFormat="1" s="86"/>
    <row r="760" customFormat="1" s="86"/>
    <row r="761" customFormat="1" s="86"/>
    <row r="762" customFormat="1" s="86"/>
    <row r="763" customFormat="1" s="86"/>
    <row r="764" customFormat="1" s="86"/>
    <row r="765" customFormat="1" s="86"/>
    <row r="766" customFormat="1" s="86"/>
    <row r="767" customFormat="1" s="86"/>
    <row r="768" customFormat="1" s="86"/>
    <row r="769" customFormat="1" s="86"/>
    <row r="770" customFormat="1" s="86"/>
    <row r="771" customFormat="1" s="86"/>
    <row r="772" customFormat="1" s="86"/>
    <row r="773" customFormat="1" s="86"/>
    <row r="774" customFormat="1" s="86"/>
    <row r="775" customFormat="1" s="86"/>
    <row r="776" customFormat="1" s="86"/>
    <row r="777" customFormat="1" s="86"/>
    <row r="778" customFormat="1" s="86"/>
    <row r="779" customFormat="1" s="86"/>
    <row r="780" customFormat="1" s="86"/>
    <row r="781" customFormat="1" s="86"/>
    <row r="782" customFormat="1" s="86"/>
    <row r="783" customFormat="1" s="86"/>
    <row r="784" customFormat="1" s="86"/>
    <row r="785" customFormat="1" s="86"/>
    <row r="786" customFormat="1" s="86"/>
    <row r="787" customFormat="1" s="86"/>
    <row r="788" customFormat="1" s="86"/>
    <row r="789" customFormat="1" s="86"/>
    <row r="790" customFormat="1" s="86"/>
    <row r="791" customFormat="1" s="86"/>
    <row r="792" customFormat="1" s="86"/>
    <row r="793" customFormat="1" s="86"/>
    <row r="794" customFormat="1" s="86"/>
    <row r="795" customFormat="1" s="86"/>
    <row r="796" customFormat="1" s="86"/>
    <row r="797" customFormat="1" s="86"/>
    <row r="798" customFormat="1" s="86"/>
    <row r="799" customFormat="1" s="86"/>
    <row r="800" customFormat="1" s="86"/>
    <row r="801" customFormat="1" s="86"/>
    <row r="802" customFormat="1" s="86"/>
    <row r="803" customFormat="1" s="86"/>
    <row r="804" customFormat="1" s="86"/>
    <row r="805" customFormat="1" s="86"/>
    <row r="806" customFormat="1" s="86"/>
    <row r="807" customFormat="1" s="86"/>
    <row r="808" customFormat="1" s="86"/>
    <row r="809" customFormat="1" s="86"/>
    <row r="810" customFormat="1" s="86"/>
    <row r="811" customFormat="1" s="86"/>
    <row r="812" customFormat="1" s="86"/>
    <row r="813" customFormat="1" s="86"/>
    <row r="814" customFormat="1" s="86"/>
    <row r="815" customFormat="1" s="86"/>
    <row r="816" customFormat="1" s="86"/>
    <row r="817" customFormat="1" s="86"/>
    <row r="818" customFormat="1" s="86"/>
    <row r="819" customFormat="1" s="86"/>
    <row r="820" customFormat="1" s="86"/>
    <row r="821" customFormat="1" s="86"/>
    <row r="822" customFormat="1" s="86"/>
    <row r="823" customFormat="1" s="86"/>
    <row r="824" customFormat="1" s="86"/>
    <row r="825" customFormat="1" s="86"/>
  </sheetData>
  <conditionalFormatting sqref="D264:D41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64:E41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64:F41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64:G41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64:H41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4:I4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4:J4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4:K4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64:O4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64:P4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64:Q4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64:R4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4:S4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64:T4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64:U41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64:V41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64:C41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>
  <sheetPr codeName="Sheet7">
    <tabColor theme="4" tint="0.5999938962981048"/>
    <outlinePr summaryBelow="1" summaryRight="1"/>
    <pageSetUpPr/>
  </sheetPr>
  <dimension ref="A1:W871"/>
  <sheetViews>
    <sheetView zoomScale="70" zoomScaleNormal="70" workbookViewId="0">
      <pane ySplit="1" topLeftCell="A362" activePane="bottomLeft" state="frozen"/>
      <selection pane="bottomLeft" activeCell="AT390" sqref="AT390"/>
    </sheetView>
  </sheetViews>
  <sheetFormatPr baseColWidth="8" defaultColWidth="8.81640625" defaultRowHeight="14.5"/>
  <cols>
    <col width="9.1796875" customWidth="1" style="1" min="1" max="1"/>
    <col width="12.6328125" bestFit="1" customWidth="1" style="80" min="2" max="2"/>
    <col width="11.6328125" customWidth="1" style="7" min="3" max="3"/>
    <col width="11.6328125" customWidth="1" style="6" min="4" max="4"/>
    <col width="12.81640625" customWidth="1" style="80" min="18" max="18"/>
    <col width="10.6328125" bestFit="1" customWidth="1" style="80" min="19" max="19"/>
    <col width="14.6328125" customWidth="1" style="80" min="20" max="20"/>
    <col width="31.36328125" customWidth="1" style="80" min="21" max="21"/>
  </cols>
  <sheetData>
    <row r="1">
      <c r="A1" s="37" t="inlineStr">
        <is>
          <t>Data</t>
        </is>
      </c>
      <c r="B1" s="38" t="inlineStr">
        <is>
          <t>ITA</t>
        </is>
      </c>
      <c r="C1" s="39" t="inlineStr">
        <is>
          <t>FRA</t>
        </is>
      </c>
      <c r="D1" s="40" t="inlineStr">
        <is>
          <t>DEU</t>
        </is>
      </c>
      <c r="E1" s="38" t="inlineStr">
        <is>
          <t>ESP</t>
        </is>
      </c>
      <c r="F1" s="38" t="inlineStr">
        <is>
          <t>EA19</t>
        </is>
      </c>
      <c r="G1" s="38" t="inlineStr">
        <is>
          <t>GBR</t>
        </is>
      </c>
      <c r="H1" s="38" t="inlineStr">
        <is>
          <t>Italy</t>
        </is>
      </c>
      <c r="I1" s="38" t="inlineStr">
        <is>
          <t>France</t>
        </is>
      </c>
      <c r="J1" s="38" t="inlineStr">
        <is>
          <t>Germany</t>
        </is>
      </c>
      <c r="K1" s="38" t="inlineStr">
        <is>
          <t>Spain</t>
        </is>
      </c>
      <c r="L1" s="38" t="inlineStr">
        <is>
          <t>Eurozone</t>
        </is>
      </c>
      <c r="M1" s="38" t="inlineStr">
        <is>
          <t>United Kingdom</t>
        </is>
      </c>
      <c r="N1" s="38" t="inlineStr">
        <is>
          <t>USA</t>
        </is>
      </c>
      <c r="O1" s="38" t="inlineStr">
        <is>
          <t xml:space="preserve">USA </t>
        </is>
      </c>
      <c r="P1" s="38" t="inlineStr">
        <is>
          <t>JPN</t>
        </is>
      </c>
      <c r="Q1" s="41" t="inlineStr">
        <is>
          <t xml:space="preserve">JPN </t>
        </is>
      </c>
      <c r="T1" s="8" t="inlineStr">
        <is>
          <t>Base Month</t>
        </is>
      </c>
      <c r="U1" s="2" t="n">
        <v>36161</v>
      </c>
      <c r="W1" t="inlineStr">
        <is>
          <t>AUS</t>
        </is>
      </c>
    </row>
    <row r="2" customFormat="1" s="86">
      <c r="A2" s="21" t="n">
        <v>32874</v>
      </c>
      <c r="B2" s="76">
        <f>IF(VLOOKUP(A2,Database!$A:$AS,MATCH($B$1,Database!$A$1:$AS$1,0),FALSE)=0,#N/A,VLOOKUP(A2,Database!$A:$AS,MATCH($B$1,Database!$A$1:$AS$1,0),FALSE))</f>
        <v/>
      </c>
      <c r="C2" s="76">
        <f>IF(VLOOKUP(A2,Database!$A:$AS,MATCH($C$1,Database!$A$1:$AS$1,0),FALSE)=0,#N/A,VLOOKUP(A2,Database!$A:$AS,MATCH($C$1,Database!$A$1:$AS$1,0),FALSE))</f>
        <v/>
      </c>
      <c r="D2" s="76">
        <f>IF(VLOOKUP(A2,Database!$A:$AS,MATCH($D$1,Database!$A$1:$AS$1,0),FALSE)=0,#N/A,VLOOKUP(A2,Database!$A:$AS,MATCH($D$1,Database!$A$1:$AS$1,0),FALSE))</f>
        <v/>
      </c>
      <c r="E2" s="76">
        <f>IF(VLOOKUP(A2,Database!$A:$AS,MATCH($E$1,Database!$A$1:$AS$1,0),FALSE)=0,#N/A,VLOOKUP(A2,Database!$A:$AS,MATCH($E$1,Database!$A$1:$AS$1,0),FALSE))</f>
        <v/>
      </c>
      <c r="F2" s="76">
        <f>IF(VLOOKUP(A2,Database!$A:$AS,MATCH($F$1,Database!$A$1:$AS$1,0),FALSE)=0,#N/A,VLOOKUP(A2,Database!$A:$AS,MATCH($F$1,Database!$A$1:$AS$1,0),FALSE))</f>
        <v/>
      </c>
      <c r="G2" s="76">
        <f>IF(VLOOKUP(A2,Database!$A:$AS,MATCH($G$1,Database!$A$1:$AS$1,0),FALSE)=0,#N/A,VLOOKUP(A2,Database!$A:$AS,MATCH($G$1,Database!$A$1:$AS$1,0),FALSE))</f>
        <v/>
      </c>
      <c r="H2" s="76">
        <f>(((Table134567891011121314151617343[[#This Row],[ITA]]-VLOOKUP($U$1,A:B,2,))/VLOOKUP($U$1,A:B,2,))*100)+100</f>
        <v/>
      </c>
      <c r="I2" s="76">
        <f>(((Table134567891011121314151617343[[#This Row],[FRA]]-VLOOKUP($U$1,A:C,3,))/VLOOKUP($U$1,A:C,3,))*100)+100</f>
        <v/>
      </c>
      <c r="J2" s="76">
        <f>(((Table134567891011121314151617343[[#This Row],[DEU]]-VLOOKUP($U$1,A:D,4,))/VLOOKUP($U$1,A:D,4,))*100)+100</f>
        <v/>
      </c>
      <c r="K2" s="76">
        <f>(((Table134567891011121314151617343[[#This Row],[ESP]]-VLOOKUP($U$1,A:E,5,))/VLOOKUP($U$1,A:E,5,))*100)+100</f>
        <v/>
      </c>
      <c r="L2" s="76">
        <f>(((Table134567891011121314151617343[[#This Row],[EA19]]-VLOOKUP($U$1,A:F,6,))/VLOOKUP($U$1,A:F,6,))*100)+100</f>
        <v/>
      </c>
      <c r="M2" s="76">
        <f>(((Table134567891011121314151617343[[#This Row],[GBR]]-VLOOKUP($U$1,A:G,7,))/VLOOKUP($U$1,A:G,7,))*100)+100</f>
        <v/>
      </c>
      <c r="N2" s="76">
        <f>IF(VLOOKUP(A2,Database!$A:$AU,MATCH($N$1,Database!$A$1:$AU$1,0),FALSE)=0,#N/A,VLOOKUP(A2,Database!$A:$AU,MATCH($N$1,Database!$A$1:$AU$1,0),FALSE))</f>
        <v/>
      </c>
      <c r="O2" s="76">
        <f>(((Table134567891011121314151617343[[#This Row],[USA]]-VLOOKUP($U$1,A:N,14,))/VLOOKUP($U$1,A:N,14,))*100)+100</f>
        <v/>
      </c>
      <c r="P2" s="76">
        <f>IF(VLOOKUP(A2,Database!$A:$AS,MATCH($P$1,Database!$A$1:$AS$1,0),FALSE)=0,#N/A,VLOOKUP(A2,Database!$A:$AS,MATCH($P$1,Database!$A$1:$AS$1,0),FALSE))</f>
        <v/>
      </c>
      <c r="Q2" s="76">
        <f>(((Table134567891011121314151617343[[#This Row],[JPN]]-VLOOKUP($U$1,A:Q,16,))/VLOOKUP($U$1,A:Q,16,))*100)+100</f>
        <v/>
      </c>
      <c r="W2" s="86" t="inlineStr">
        <is>
          <t>AUT</t>
        </is>
      </c>
    </row>
    <row r="3" customFormat="1" s="86">
      <c r="A3" s="21" t="n">
        <v>32905</v>
      </c>
      <c r="B3" s="76">
        <f>IF(VLOOKUP(A3,Database!$A:$AS,MATCH($B$1,Database!$A$1:$AS$1,0),FALSE)=0,#N/A,VLOOKUP(A3,Database!$A:$AS,MATCH($B$1,Database!$A$1:$AS$1,0),FALSE))</f>
        <v/>
      </c>
      <c r="C3" s="76">
        <f>IF(VLOOKUP(A3,Database!$A:$AS,MATCH($C$1,Database!$A$1:$AS$1,0),FALSE)=0,#N/A,VLOOKUP(A3,Database!$A:$AS,MATCH($C$1,Database!$A$1:$AS$1,0),FALSE))</f>
        <v/>
      </c>
      <c r="D3" s="76">
        <f>IF(VLOOKUP(A3,Database!$A:$AS,MATCH($D$1,Database!$A$1:$AS$1,0),FALSE)=0,#N/A,VLOOKUP(A3,Database!$A:$AS,MATCH($D$1,Database!$A$1:$AS$1,0),FALSE))</f>
        <v/>
      </c>
      <c r="E3" s="76">
        <f>IF(VLOOKUP(A3,Database!$A:$AS,MATCH($E$1,Database!$A$1:$AS$1,0),FALSE)=0,#N/A,VLOOKUP(A3,Database!$A:$AS,MATCH($E$1,Database!$A$1:$AS$1,0),FALSE))</f>
        <v/>
      </c>
      <c r="F3" s="76">
        <f>IF(VLOOKUP(A3,Database!$A:$AS,MATCH($F$1,Database!$A$1:$AS$1,0),FALSE)=0,#N/A,VLOOKUP(A3,Database!$A:$AS,MATCH($F$1,Database!$A$1:$AS$1,0),FALSE))</f>
        <v/>
      </c>
      <c r="G3" s="76">
        <f>IF(VLOOKUP(A3,Database!$A:$AS,MATCH($G$1,Database!$A$1:$AS$1,0),FALSE)=0,#N/A,VLOOKUP(A3,Database!$A:$AS,MATCH($G$1,Database!$A$1:$AS$1,0),FALSE))</f>
        <v/>
      </c>
      <c r="H3" s="76">
        <f>(((Table134567891011121314151617343[[#This Row],[ITA]]-VLOOKUP($U$1,A:B,2,))/VLOOKUP($U$1,A:B,2,))*100)+100</f>
        <v/>
      </c>
      <c r="I3" s="76">
        <f>(((Table134567891011121314151617343[[#This Row],[FRA]]-VLOOKUP($U$1,A:C,3,))/VLOOKUP($U$1,A:C,3,))*100)+100</f>
        <v/>
      </c>
      <c r="J3" s="76">
        <f>(((Table134567891011121314151617343[[#This Row],[DEU]]-VLOOKUP($U$1,A:D,4,))/VLOOKUP($U$1,A:D,4,))*100)+100</f>
        <v/>
      </c>
      <c r="K3" s="76">
        <f>(((Table134567891011121314151617343[[#This Row],[ESP]]-VLOOKUP($U$1,A:E,5,))/VLOOKUP($U$1,A:E,5,))*100)+100</f>
        <v/>
      </c>
      <c r="L3" s="76">
        <f>(((Table134567891011121314151617343[[#This Row],[EA19]]-VLOOKUP($U$1,A:F,6,))/VLOOKUP($U$1,A:F,6,))*100)+100</f>
        <v/>
      </c>
      <c r="M3" s="76">
        <f>(((Table134567891011121314151617343[[#This Row],[GBR]]-VLOOKUP($U$1,A:G,7,))/VLOOKUP($U$1,A:G,7,))*100)+100</f>
        <v/>
      </c>
      <c r="N3" s="76">
        <f>IF(VLOOKUP(A3,Database!$A:$AU,MATCH($N$1,Database!$A$1:$AU$1,0),FALSE)=0,#N/A,VLOOKUP(A3,Database!$A:$AU,MATCH($N$1,Database!$A$1:$AU$1,0),FALSE))</f>
        <v/>
      </c>
      <c r="O3" s="76">
        <f>(((Table134567891011121314151617343[[#This Row],[USA]]-VLOOKUP($U$1,A:N,14,))/VLOOKUP($U$1,A:N,14,))*100)+100</f>
        <v/>
      </c>
      <c r="P3" s="76">
        <f>IF(VLOOKUP(A3,Database!$A:$AS,MATCH($P$1,Database!$A$1:$AS$1,0),FALSE)=0,#N/A,VLOOKUP(A3,Database!$A:$AS,MATCH($P$1,Database!$A$1:$AS$1,0),FALSE))</f>
        <v/>
      </c>
      <c r="Q3" s="76">
        <f>(((Table134567891011121314151617343[[#This Row],[JPN]]-VLOOKUP($U$1,A:Q,16,))/VLOOKUP($U$1,A:Q,16,))*100)+100</f>
        <v/>
      </c>
      <c r="W3" s="86" t="inlineStr">
        <is>
          <t>BEL</t>
        </is>
      </c>
    </row>
    <row r="4" customFormat="1" s="86">
      <c r="A4" s="21" t="n">
        <v>32933</v>
      </c>
      <c r="B4" s="76">
        <f>IF(VLOOKUP(A4,Database!$A:$AS,MATCH($B$1,Database!$A$1:$AS$1,0),FALSE)=0,#N/A,VLOOKUP(A4,Database!$A:$AS,MATCH($B$1,Database!$A$1:$AS$1,0),FALSE))</f>
        <v/>
      </c>
      <c r="C4" s="76">
        <f>IF(VLOOKUP(A4,Database!$A:$AS,MATCH($C$1,Database!$A$1:$AS$1,0),FALSE)=0,#N/A,VLOOKUP(A4,Database!$A:$AS,MATCH($C$1,Database!$A$1:$AS$1,0),FALSE))</f>
        <v/>
      </c>
      <c r="D4" s="76">
        <f>IF(VLOOKUP(A4,Database!$A:$AS,MATCH($D$1,Database!$A$1:$AS$1,0),FALSE)=0,#N/A,VLOOKUP(A4,Database!$A:$AS,MATCH($D$1,Database!$A$1:$AS$1,0),FALSE))</f>
        <v/>
      </c>
      <c r="E4" s="76">
        <f>IF(VLOOKUP(A4,Database!$A:$AS,MATCH($E$1,Database!$A$1:$AS$1,0),FALSE)=0,#N/A,VLOOKUP(A4,Database!$A:$AS,MATCH($E$1,Database!$A$1:$AS$1,0),FALSE))</f>
        <v/>
      </c>
      <c r="F4" s="76">
        <f>IF(VLOOKUP(A4,Database!$A:$AS,MATCH($F$1,Database!$A$1:$AS$1,0),FALSE)=0,#N/A,VLOOKUP(A4,Database!$A:$AS,MATCH($F$1,Database!$A$1:$AS$1,0),FALSE))</f>
        <v/>
      </c>
      <c r="G4" s="76">
        <f>IF(VLOOKUP(A4,Database!$A:$AS,MATCH($G$1,Database!$A$1:$AS$1,0),FALSE)=0,#N/A,VLOOKUP(A4,Database!$A:$AS,MATCH($G$1,Database!$A$1:$AS$1,0),FALSE))</f>
        <v/>
      </c>
      <c r="H4" s="76">
        <f>(((Table134567891011121314151617343[[#This Row],[ITA]]-VLOOKUP($U$1,A:B,2,))/VLOOKUP($U$1,A:B,2,))*100)+100</f>
        <v/>
      </c>
      <c r="I4" s="76">
        <f>(((Table134567891011121314151617343[[#This Row],[FRA]]-VLOOKUP($U$1,A:C,3,))/VLOOKUP($U$1,A:C,3,))*100)+100</f>
        <v/>
      </c>
      <c r="J4" s="76">
        <f>(((Table134567891011121314151617343[[#This Row],[DEU]]-VLOOKUP($U$1,A:D,4,))/VLOOKUP($U$1,A:D,4,))*100)+100</f>
        <v/>
      </c>
      <c r="K4" s="76">
        <f>(((Table134567891011121314151617343[[#This Row],[ESP]]-VLOOKUP($U$1,A:E,5,))/VLOOKUP($U$1,A:E,5,))*100)+100</f>
        <v/>
      </c>
      <c r="L4" s="76">
        <f>(((Table134567891011121314151617343[[#This Row],[EA19]]-VLOOKUP($U$1,A:F,6,))/VLOOKUP($U$1,A:F,6,))*100)+100</f>
        <v/>
      </c>
      <c r="M4" s="76">
        <f>(((Table134567891011121314151617343[[#This Row],[GBR]]-VLOOKUP($U$1,A:G,7,))/VLOOKUP($U$1,A:G,7,))*100)+100</f>
        <v/>
      </c>
      <c r="N4" s="76">
        <f>IF(VLOOKUP(A4,Database!$A:$AU,MATCH($N$1,Database!$A$1:$AU$1,0),FALSE)=0,#N/A,VLOOKUP(A4,Database!$A:$AU,MATCH($N$1,Database!$A$1:$AU$1,0),FALSE))</f>
        <v/>
      </c>
      <c r="O4" s="76">
        <f>(((Table134567891011121314151617343[[#This Row],[USA]]-VLOOKUP($U$1,A:N,14,))/VLOOKUP($U$1,A:N,14,))*100)+100</f>
        <v/>
      </c>
      <c r="P4" s="76">
        <f>IF(VLOOKUP(A4,Database!$A:$AS,MATCH($P$1,Database!$A$1:$AS$1,0),FALSE)=0,#N/A,VLOOKUP(A4,Database!$A:$AS,MATCH($P$1,Database!$A$1:$AS$1,0),FALSE))</f>
        <v/>
      </c>
      <c r="Q4" s="76">
        <f>(((Table134567891011121314151617343[[#This Row],[JPN]]-VLOOKUP($U$1,A:Q,16,))/VLOOKUP($U$1,A:Q,16,))*100)+100</f>
        <v/>
      </c>
      <c r="W4" s="86" t="inlineStr">
        <is>
          <t>CAN</t>
        </is>
      </c>
    </row>
    <row r="5" customFormat="1" s="86">
      <c r="A5" s="21" t="n">
        <v>32964</v>
      </c>
      <c r="B5" s="76">
        <f>IF(VLOOKUP(A5,Database!$A:$AS,MATCH($B$1,Database!$A$1:$AS$1,0),FALSE)=0,#N/A,VLOOKUP(A5,Database!$A:$AS,MATCH($B$1,Database!$A$1:$AS$1,0),FALSE))</f>
        <v/>
      </c>
      <c r="C5" s="76">
        <f>IF(VLOOKUP(A5,Database!$A:$AS,MATCH($C$1,Database!$A$1:$AS$1,0),FALSE)=0,#N/A,VLOOKUP(A5,Database!$A:$AS,MATCH($C$1,Database!$A$1:$AS$1,0),FALSE))</f>
        <v/>
      </c>
      <c r="D5" s="76">
        <f>IF(VLOOKUP(A5,Database!$A:$AS,MATCH($D$1,Database!$A$1:$AS$1,0),FALSE)=0,#N/A,VLOOKUP(A5,Database!$A:$AS,MATCH($D$1,Database!$A$1:$AS$1,0),FALSE))</f>
        <v/>
      </c>
      <c r="E5" s="76">
        <f>IF(VLOOKUP(A5,Database!$A:$AS,MATCH($E$1,Database!$A$1:$AS$1,0),FALSE)=0,#N/A,VLOOKUP(A5,Database!$A:$AS,MATCH($E$1,Database!$A$1:$AS$1,0),FALSE))</f>
        <v/>
      </c>
      <c r="F5" s="76">
        <f>IF(VLOOKUP(A5,Database!$A:$AS,MATCH($F$1,Database!$A$1:$AS$1,0),FALSE)=0,#N/A,VLOOKUP(A5,Database!$A:$AS,MATCH($F$1,Database!$A$1:$AS$1,0),FALSE))</f>
        <v/>
      </c>
      <c r="G5" s="76">
        <f>IF(VLOOKUP(A5,Database!$A:$AS,MATCH($G$1,Database!$A$1:$AS$1,0),FALSE)=0,#N/A,VLOOKUP(A5,Database!$A:$AS,MATCH($G$1,Database!$A$1:$AS$1,0),FALSE))</f>
        <v/>
      </c>
      <c r="H5" s="76">
        <f>(((Table134567891011121314151617343[[#This Row],[ITA]]-VLOOKUP($U$1,A:B,2,))/VLOOKUP($U$1,A:B,2,))*100)+100</f>
        <v/>
      </c>
      <c r="I5" s="76">
        <f>(((Table134567891011121314151617343[[#This Row],[FRA]]-VLOOKUP($U$1,A:C,3,))/VLOOKUP($U$1,A:C,3,))*100)+100</f>
        <v/>
      </c>
      <c r="J5" s="76">
        <f>(((Table134567891011121314151617343[[#This Row],[DEU]]-VLOOKUP($U$1,A:D,4,))/VLOOKUP($U$1,A:D,4,))*100)+100</f>
        <v/>
      </c>
      <c r="K5" s="76">
        <f>(((Table134567891011121314151617343[[#This Row],[ESP]]-VLOOKUP($U$1,A:E,5,))/VLOOKUP($U$1,A:E,5,))*100)+100</f>
        <v/>
      </c>
      <c r="L5" s="76">
        <f>(((Table134567891011121314151617343[[#This Row],[EA19]]-VLOOKUP($U$1,A:F,6,))/VLOOKUP($U$1,A:F,6,))*100)+100</f>
        <v/>
      </c>
      <c r="M5" s="76">
        <f>(((Table134567891011121314151617343[[#This Row],[GBR]]-VLOOKUP($U$1,A:G,7,))/VLOOKUP($U$1,A:G,7,))*100)+100</f>
        <v/>
      </c>
      <c r="N5" s="76">
        <f>IF(VLOOKUP(A5,Database!$A:$AU,MATCH($N$1,Database!$A$1:$AU$1,0),FALSE)=0,#N/A,VLOOKUP(A5,Database!$A:$AU,MATCH($N$1,Database!$A$1:$AU$1,0),FALSE))</f>
        <v/>
      </c>
      <c r="O5" s="76">
        <f>(((Table134567891011121314151617343[[#This Row],[USA]]-VLOOKUP($U$1,A:N,14,))/VLOOKUP($U$1,A:N,14,))*100)+100</f>
        <v/>
      </c>
      <c r="P5" s="76">
        <f>IF(VLOOKUP(A5,Database!$A:$AS,MATCH($P$1,Database!$A$1:$AS$1,0),FALSE)=0,#N/A,VLOOKUP(A5,Database!$A:$AS,MATCH($P$1,Database!$A$1:$AS$1,0),FALSE))</f>
        <v/>
      </c>
      <c r="Q5" s="76">
        <f>(((Table134567891011121314151617343[[#This Row],[JPN]]-VLOOKUP($U$1,A:Q,16,))/VLOOKUP($U$1,A:Q,16,))*100)+100</f>
        <v/>
      </c>
      <c r="W5" s="86" t="inlineStr">
        <is>
          <t>CHL</t>
        </is>
      </c>
    </row>
    <row r="6" customFormat="1" s="86">
      <c r="A6" s="21" t="n">
        <v>32994</v>
      </c>
      <c r="B6" s="76">
        <f>IF(VLOOKUP(A6,Database!$A:$AS,MATCH($B$1,Database!$A$1:$AS$1,0),FALSE)=0,#N/A,VLOOKUP(A6,Database!$A:$AS,MATCH($B$1,Database!$A$1:$AS$1,0),FALSE))</f>
        <v/>
      </c>
      <c r="C6" s="76">
        <f>IF(VLOOKUP(A6,Database!$A:$AS,MATCH($C$1,Database!$A$1:$AS$1,0),FALSE)=0,#N/A,VLOOKUP(A6,Database!$A:$AS,MATCH($C$1,Database!$A$1:$AS$1,0),FALSE))</f>
        <v/>
      </c>
      <c r="D6" s="76">
        <f>IF(VLOOKUP(A6,Database!$A:$AS,MATCH($D$1,Database!$A$1:$AS$1,0),FALSE)=0,#N/A,VLOOKUP(A6,Database!$A:$AS,MATCH($D$1,Database!$A$1:$AS$1,0),FALSE))</f>
        <v/>
      </c>
      <c r="E6" s="76">
        <f>IF(VLOOKUP(A6,Database!$A:$AS,MATCH($E$1,Database!$A$1:$AS$1,0),FALSE)=0,#N/A,VLOOKUP(A6,Database!$A:$AS,MATCH($E$1,Database!$A$1:$AS$1,0),FALSE))</f>
        <v/>
      </c>
      <c r="F6" s="76">
        <f>IF(VLOOKUP(A6,Database!$A:$AS,MATCH($F$1,Database!$A$1:$AS$1,0),FALSE)=0,#N/A,VLOOKUP(A6,Database!$A:$AS,MATCH($F$1,Database!$A$1:$AS$1,0),FALSE))</f>
        <v/>
      </c>
      <c r="G6" s="76">
        <f>IF(VLOOKUP(A6,Database!$A:$AS,MATCH($G$1,Database!$A$1:$AS$1,0),FALSE)=0,#N/A,VLOOKUP(A6,Database!$A:$AS,MATCH($G$1,Database!$A$1:$AS$1,0),FALSE))</f>
        <v/>
      </c>
      <c r="H6" s="76">
        <f>(((Table134567891011121314151617343[[#This Row],[ITA]]-VLOOKUP($U$1,A:B,2,))/VLOOKUP($U$1,A:B,2,))*100)+100</f>
        <v/>
      </c>
      <c r="I6" s="76">
        <f>(((Table134567891011121314151617343[[#This Row],[FRA]]-VLOOKUP($U$1,A:C,3,))/VLOOKUP($U$1,A:C,3,))*100)+100</f>
        <v/>
      </c>
      <c r="J6" s="76">
        <f>(((Table134567891011121314151617343[[#This Row],[DEU]]-VLOOKUP($U$1,A:D,4,))/VLOOKUP($U$1,A:D,4,))*100)+100</f>
        <v/>
      </c>
      <c r="K6" s="76">
        <f>(((Table134567891011121314151617343[[#This Row],[ESP]]-VLOOKUP($U$1,A:E,5,))/VLOOKUP($U$1,A:E,5,))*100)+100</f>
        <v/>
      </c>
      <c r="L6" s="76">
        <f>(((Table134567891011121314151617343[[#This Row],[EA19]]-VLOOKUP($U$1,A:F,6,))/VLOOKUP($U$1,A:F,6,))*100)+100</f>
        <v/>
      </c>
      <c r="M6" s="76">
        <f>(((Table134567891011121314151617343[[#This Row],[GBR]]-VLOOKUP($U$1,A:G,7,))/VLOOKUP($U$1,A:G,7,))*100)+100</f>
        <v/>
      </c>
      <c r="N6" s="76">
        <f>IF(VLOOKUP(A6,Database!$A:$AU,MATCH($N$1,Database!$A$1:$AU$1,0),FALSE)=0,#N/A,VLOOKUP(A6,Database!$A:$AU,MATCH($N$1,Database!$A$1:$AU$1,0),FALSE))</f>
        <v/>
      </c>
      <c r="O6" s="76">
        <f>(((Table134567891011121314151617343[[#This Row],[USA]]-VLOOKUP($U$1,A:N,14,))/VLOOKUP($U$1,A:N,14,))*100)+100</f>
        <v/>
      </c>
      <c r="P6" s="76">
        <f>IF(VLOOKUP(A6,Database!$A:$AS,MATCH($P$1,Database!$A$1:$AS$1,0),FALSE)=0,#N/A,VLOOKUP(A6,Database!$A:$AS,MATCH($P$1,Database!$A$1:$AS$1,0),FALSE))</f>
        <v/>
      </c>
      <c r="Q6" s="76">
        <f>(((Table134567891011121314151617343[[#This Row],[JPN]]-VLOOKUP($U$1,A:Q,16,))/VLOOKUP($U$1,A:Q,16,))*100)+100</f>
        <v/>
      </c>
      <c r="W6" s="86" t="inlineStr">
        <is>
          <t>CZE</t>
        </is>
      </c>
    </row>
    <row r="7" customFormat="1" s="86">
      <c r="A7" s="21" t="n">
        <v>33025</v>
      </c>
      <c r="B7" s="76">
        <f>IF(VLOOKUP(A7,Database!$A:$AS,MATCH($B$1,Database!$A$1:$AS$1,0),FALSE)=0,#N/A,VLOOKUP(A7,Database!$A:$AS,MATCH($B$1,Database!$A$1:$AS$1,0),FALSE))</f>
        <v/>
      </c>
      <c r="C7" s="76">
        <f>IF(VLOOKUP(A7,Database!$A:$AS,MATCH($C$1,Database!$A$1:$AS$1,0),FALSE)=0,#N/A,VLOOKUP(A7,Database!$A:$AS,MATCH($C$1,Database!$A$1:$AS$1,0),FALSE))</f>
        <v/>
      </c>
      <c r="D7" s="76">
        <f>IF(VLOOKUP(A7,Database!$A:$AS,MATCH($D$1,Database!$A$1:$AS$1,0),FALSE)=0,#N/A,VLOOKUP(A7,Database!$A:$AS,MATCH($D$1,Database!$A$1:$AS$1,0),FALSE))</f>
        <v/>
      </c>
      <c r="E7" s="76">
        <f>IF(VLOOKUP(A7,Database!$A:$AS,MATCH($E$1,Database!$A$1:$AS$1,0),FALSE)=0,#N/A,VLOOKUP(A7,Database!$A:$AS,MATCH($E$1,Database!$A$1:$AS$1,0),FALSE))</f>
        <v/>
      </c>
      <c r="F7" s="76">
        <f>IF(VLOOKUP(A7,Database!$A:$AS,MATCH($F$1,Database!$A$1:$AS$1,0),FALSE)=0,#N/A,VLOOKUP(A7,Database!$A:$AS,MATCH($F$1,Database!$A$1:$AS$1,0),FALSE))</f>
        <v/>
      </c>
      <c r="G7" s="76">
        <f>IF(VLOOKUP(A7,Database!$A:$AS,MATCH($G$1,Database!$A$1:$AS$1,0),FALSE)=0,#N/A,VLOOKUP(A7,Database!$A:$AS,MATCH($G$1,Database!$A$1:$AS$1,0),FALSE))</f>
        <v/>
      </c>
      <c r="H7" s="76">
        <f>(((Table134567891011121314151617343[[#This Row],[ITA]]-VLOOKUP($U$1,A:B,2,))/VLOOKUP($U$1,A:B,2,))*100)+100</f>
        <v/>
      </c>
      <c r="I7" s="76">
        <f>(((Table134567891011121314151617343[[#This Row],[FRA]]-VLOOKUP($U$1,A:C,3,))/VLOOKUP($U$1,A:C,3,))*100)+100</f>
        <v/>
      </c>
      <c r="J7" s="76">
        <f>(((Table134567891011121314151617343[[#This Row],[DEU]]-VLOOKUP($U$1,A:D,4,))/VLOOKUP($U$1,A:D,4,))*100)+100</f>
        <v/>
      </c>
      <c r="K7" s="76">
        <f>(((Table134567891011121314151617343[[#This Row],[ESP]]-VLOOKUP($U$1,A:E,5,))/VLOOKUP($U$1,A:E,5,))*100)+100</f>
        <v/>
      </c>
      <c r="L7" s="76">
        <f>(((Table134567891011121314151617343[[#This Row],[EA19]]-VLOOKUP($U$1,A:F,6,))/VLOOKUP($U$1,A:F,6,))*100)+100</f>
        <v/>
      </c>
      <c r="M7" s="76">
        <f>(((Table134567891011121314151617343[[#This Row],[GBR]]-VLOOKUP($U$1,A:G,7,))/VLOOKUP($U$1,A:G,7,))*100)+100</f>
        <v/>
      </c>
      <c r="N7" s="76">
        <f>IF(VLOOKUP(A7,Database!$A:$AU,MATCH($N$1,Database!$A$1:$AU$1,0),FALSE)=0,#N/A,VLOOKUP(A7,Database!$A:$AU,MATCH($N$1,Database!$A$1:$AU$1,0),FALSE))</f>
        <v/>
      </c>
      <c r="O7" s="76">
        <f>(((Table134567891011121314151617343[[#This Row],[USA]]-VLOOKUP($U$1,A:N,14,))/VLOOKUP($U$1,A:N,14,))*100)+100</f>
        <v/>
      </c>
      <c r="P7" s="76">
        <f>IF(VLOOKUP(A7,Database!$A:$AS,MATCH($P$1,Database!$A$1:$AS$1,0),FALSE)=0,#N/A,VLOOKUP(A7,Database!$A:$AS,MATCH($P$1,Database!$A$1:$AS$1,0),FALSE))</f>
        <v/>
      </c>
      <c r="Q7" s="76">
        <f>(((Table134567891011121314151617343[[#This Row],[JPN]]-VLOOKUP($U$1,A:Q,16,))/VLOOKUP($U$1,A:Q,16,))*100)+100</f>
        <v/>
      </c>
      <c r="W7" s="86" t="inlineStr">
        <is>
          <t>DEU</t>
        </is>
      </c>
    </row>
    <row r="8" customFormat="1" s="86">
      <c r="A8" s="21" t="n">
        <v>33055</v>
      </c>
      <c r="B8" s="76">
        <f>IF(VLOOKUP(A8,Database!$A:$AS,MATCH($B$1,Database!$A$1:$AS$1,0),FALSE)=0,#N/A,VLOOKUP(A8,Database!$A:$AS,MATCH($B$1,Database!$A$1:$AS$1,0),FALSE))</f>
        <v/>
      </c>
      <c r="C8" s="76">
        <f>IF(VLOOKUP(A8,Database!$A:$AS,MATCH($C$1,Database!$A$1:$AS$1,0),FALSE)=0,#N/A,VLOOKUP(A8,Database!$A:$AS,MATCH($C$1,Database!$A$1:$AS$1,0),FALSE))</f>
        <v/>
      </c>
      <c r="D8" s="76">
        <f>IF(VLOOKUP(A8,Database!$A:$AS,MATCH($D$1,Database!$A$1:$AS$1,0),FALSE)=0,#N/A,VLOOKUP(A8,Database!$A:$AS,MATCH($D$1,Database!$A$1:$AS$1,0),FALSE))</f>
        <v/>
      </c>
      <c r="E8" s="76">
        <f>IF(VLOOKUP(A8,Database!$A:$AS,MATCH($E$1,Database!$A$1:$AS$1,0),FALSE)=0,#N/A,VLOOKUP(A8,Database!$A:$AS,MATCH($E$1,Database!$A$1:$AS$1,0),FALSE))</f>
        <v/>
      </c>
      <c r="F8" s="76">
        <f>IF(VLOOKUP(A8,Database!$A:$AS,MATCH($F$1,Database!$A$1:$AS$1,0),FALSE)=0,#N/A,VLOOKUP(A8,Database!$A:$AS,MATCH($F$1,Database!$A$1:$AS$1,0),FALSE))</f>
        <v/>
      </c>
      <c r="G8" s="76">
        <f>IF(VLOOKUP(A8,Database!$A:$AS,MATCH($G$1,Database!$A$1:$AS$1,0),FALSE)=0,#N/A,VLOOKUP(A8,Database!$A:$AS,MATCH($G$1,Database!$A$1:$AS$1,0),FALSE))</f>
        <v/>
      </c>
      <c r="H8" s="76">
        <f>(((Table134567891011121314151617343[[#This Row],[ITA]]-VLOOKUP($U$1,A:B,2,))/VLOOKUP($U$1,A:B,2,))*100)+100</f>
        <v/>
      </c>
      <c r="I8" s="76">
        <f>(((Table134567891011121314151617343[[#This Row],[FRA]]-VLOOKUP($U$1,A:C,3,))/VLOOKUP($U$1,A:C,3,))*100)+100</f>
        <v/>
      </c>
      <c r="J8" s="76">
        <f>(((Table134567891011121314151617343[[#This Row],[DEU]]-VLOOKUP($U$1,A:D,4,))/VLOOKUP($U$1,A:D,4,))*100)+100</f>
        <v/>
      </c>
      <c r="K8" s="76">
        <f>(((Table134567891011121314151617343[[#This Row],[ESP]]-VLOOKUP($U$1,A:E,5,))/VLOOKUP($U$1,A:E,5,))*100)+100</f>
        <v/>
      </c>
      <c r="L8" s="76">
        <f>(((Table134567891011121314151617343[[#This Row],[EA19]]-VLOOKUP($U$1,A:F,6,))/VLOOKUP($U$1,A:F,6,))*100)+100</f>
        <v/>
      </c>
      <c r="M8" s="76">
        <f>(((Table134567891011121314151617343[[#This Row],[GBR]]-VLOOKUP($U$1,A:G,7,))/VLOOKUP($U$1,A:G,7,))*100)+100</f>
        <v/>
      </c>
      <c r="N8" s="76">
        <f>IF(VLOOKUP(A8,Database!$A:$AU,MATCH($N$1,Database!$A$1:$AU$1,0),FALSE)=0,#N/A,VLOOKUP(A8,Database!$A:$AU,MATCH($N$1,Database!$A$1:$AU$1,0),FALSE))</f>
        <v/>
      </c>
      <c r="O8" s="76">
        <f>(((Table134567891011121314151617343[[#This Row],[USA]]-VLOOKUP($U$1,A:N,14,))/VLOOKUP($U$1,A:N,14,))*100)+100</f>
        <v/>
      </c>
      <c r="P8" s="76">
        <f>IF(VLOOKUP(A8,Database!$A:$AS,MATCH($P$1,Database!$A$1:$AS$1,0),FALSE)=0,#N/A,VLOOKUP(A8,Database!$A:$AS,MATCH($P$1,Database!$A$1:$AS$1,0),FALSE))</f>
        <v/>
      </c>
      <c r="Q8" s="76">
        <f>(((Table134567891011121314151617343[[#This Row],[JPN]]-VLOOKUP($U$1,A:Q,16,))/VLOOKUP($U$1,A:Q,16,))*100)+100</f>
        <v/>
      </c>
      <c r="W8" s="86" t="inlineStr">
        <is>
          <t>DNK</t>
        </is>
      </c>
    </row>
    <row r="9" customFormat="1" s="86">
      <c r="A9" s="21" t="n">
        <v>33086</v>
      </c>
      <c r="B9" s="76">
        <f>IF(VLOOKUP(A9,Database!$A:$AS,MATCH($B$1,Database!$A$1:$AS$1,0),FALSE)=0,#N/A,VLOOKUP(A9,Database!$A:$AS,MATCH($B$1,Database!$A$1:$AS$1,0),FALSE))</f>
        <v/>
      </c>
      <c r="C9" s="76">
        <f>IF(VLOOKUP(A9,Database!$A:$AS,MATCH($C$1,Database!$A$1:$AS$1,0),FALSE)=0,#N/A,VLOOKUP(A9,Database!$A:$AS,MATCH($C$1,Database!$A$1:$AS$1,0),FALSE))</f>
        <v/>
      </c>
      <c r="D9" s="76">
        <f>IF(VLOOKUP(A9,Database!$A:$AS,MATCH($D$1,Database!$A$1:$AS$1,0),FALSE)=0,#N/A,VLOOKUP(A9,Database!$A:$AS,MATCH($D$1,Database!$A$1:$AS$1,0),FALSE))</f>
        <v/>
      </c>
      <c r="E9" s="76">
        <f>IF(VLOOKUP(A9,Database!$A:$AS,MATCH($E$1,Database!$A$1:$AS$1,0),FALSE)=0,#N/A,VLOOKUP(A9,Database!$A:$AS,MATCH($E$1,Database!$A$1:$AS$1,0),FALSE))</f>
        <v/>
      </c>
      <c r="F9" s="76">
        <f>IF(VLOOKUP(A9,Database!$A:$AS,MATCH($F$1,Database!$A$1:$AS$1,0),FALSE)=0,#N/A,VLOOKUP(A9,Database!$A:$AS,MATCH($F$1,Database!$A$1:$AS$1,0),FALSE))</f>
        <v/>
      </c>
      <c r="G9" s="76">
        <f>IF(VLOOKUP(A9,Database!$A:$AS,MATCH($G$1,Database!$A$1:$AS$1,0),FALSE)=0,#N/A,VLOOKUP(A9,Database!$A:$AS,MATCH($G$1,Database!$A$1:$AS$1,0),FALSE))</f>
        <v/>
      </c>
      <c r="H9" s="76">
        <f>(((Table134567891011121314151617343[[#This Row],[ITA]]-VLOOKUP($U$1,A:B,2,))/VLOOKUP($U$1,A:B,2,))*100)+100</f>
        <v/>
      </c>
      <c r="I9" s="76">
        <f>(((Table134567891011121314151617343[[#This Row],[FRA]]-VLOOKUP($U$1,A:C,3,))/VLOOKUP($U$1,A:C,3,))*100)+100</f>
        <v/>
      </c>
      <c r="J9" s="76">
        <f>(((Table134567891011121314151617343[[#This Row],[DEU]]-VLOOKUP($U$1,A:D,4,))/VLOOKUP($U$1,A:D,4,))*100)+100</f>
        <v/>
      </c>
      <c r="K9" s="76">
        <f>(((Table134567891011121314151617343[[#This Row],[ESP]]-VLOOKUP($U$1,A:E,5,))/VLOOKUP($U$1,A:E,5,))*100)+100</f>
        <v/>
      </c>
      <c r="L9" s="76">
        <f>(((Table134567891011121314151617343[[#This Row],[EA19]]-VLOOKUP($U$1,A:F,6,))/VLOOKUP($U$1,A:F,6,))*100)+100</f>
        <v/>
      </c>
      <c r="M9" s="76">
        <f>(((Table134567891011121314151617343[[#This Row],[GBR]]-VLOOKUP($U$1,A:G,7,))/VLOOKUP($U$1,A:G,7,))*100)+100</f>
        <v/>
      </c>
      <c r="N9" s="76">
        <f>IF(VLOOKUP(A9,Database!$A:$AU,MATCH($N$1,Database!$A$1:$AU$1,0),FALSE)=0,#N/A,VLOOKUP(A9,Database!$A:$AU,MATCH($N$1,Database!$A$1:$AU$1,0),FALSE))</f>
        <v/>
      </c>
      <c r="O9" s="76">
        <f>(((Table134567891011121314151617343[[#This Row],[USA]]-VLOOKUP($U$1,A:N,14,))/VLOOKUP($U$1,A:N,14,))*100)+100</f>
        <v/>
      </c>
      <c r="P9" s="76">
        <f>IF(VLOOKUP(A9,Database!$A:$AS,MATCH($P$1,Database!$A$1:$AS$1,0),FALSE)=0,#N/A,VLOOKUP(A9,Database!$A:$AS,MATCH($P$1,Database!$A$1:$AS$1,0),FALSE))</f>
        <v/>
      </c>
      <c r="Q9" s="76">
        <f>(((Table134567891011121314151617343[[#This Row],[JPN]]-VLOOKUP($U$1,A:Q,16,))/VLOOKUP($U$1,A:Q,16,))*100)+100</f>
        <v/>
      </c>
      <c r="W9" s="86" t="inlineStr">
        <is>
          <t>ESP</t>
        </is>
      </c>
    </row>
    <row r="10" customFormat="1" s="86">
      <c r="A10" s="21" t="n">
        <v>33117</v>
      </c>
      <c r="B10" s="76">
        <f>IF(VLOOKUP(A10,Database!$A:$AS,MATCH($B$1,Database!$A$1:$AS$1,0),FALSE)=0,#N/A,VLOOKUP(A10,Database!$A:$AS,MATCH($B$1,Database!$A$1:$AS$1,0),FALSE))</f>
        <v/>
      </c>
      <c r="C10" s="76">
        <f>IF(VLOOKUP(A10,Database!$A:$AS,MATCH($C$1,Database!$A$1:$AS$1,0),FALSE)=0,#N/A,VLOOKUP(A10,Database!$A:$AS,MATCH($C$1,Database!$A$1:$AS$1,0),FALSE))</f>
        <v/>
      </c>
      <c r="D10" s="76">
        <f>IF(VLOOKUP(A10,Database!$A:$AS,MATCH($D$1,Database!$A$1:$AS$1,0),FALSE)=0,#N/A,VLOOKUP(A10,Database!$A:$AS,MATCH($D$1,Database!$A$1:$AS$1,0),FALSE))</f>
        <v/>
      </c>
      <c r="E10" s="76">
        <f>IF(VLOOKUP(A10,Database!$A:$AS,MATCH($E$1,Database!$A$1:$AS$1,0),FALSE)=0,#N/A,VLOOKUP(A10,Database!$A:$AS,MATCH($E$1,Database!$A$1:$AS$1,0),FALSE))</f>
        <v/>
      </c>
      <c r="F10" s="76">
        <f>IF(VLOOKUP(A10,Database!$A:$AS,MATCH($F$1,Database!$A$1:$AS$1,0),FALSE)=0,#N/A,VLOOKUP(A10,Database!$A:$AS,MATCH($F$1,Database!$A$1:$AS$1,0),FALSE))</f>
        <v/>
      </c>
      <c r="G10" s="76">
        <f>IF(VLOOKUP(A10,Database!$A:$AS,MATCH($G$1,Database!$A$1:$AS$1,0),FALSE)=0,#N/A,VLOOKUP(A10,Database!$A:$AS,MATCH($G$1,Database!$A$1:$AS$1,0),FALSE))</f>
        <v/>
      </c>
      <c r="H10" s="76">
        <f>(((Table134567891011121314151617343[[#This Row],[ITA]]-VLOOKUP($U$1,A:B,2,))/VLOOKUP($U$1,A:B,2,))*100)+100</f>
        <v/>
      </c>
      <c r="I10" s="76">
        <f>(((Table134567891011121314151617343[[#This Row],[FRA]]-VLOOKUP($U$1,A:C,3,))/VLOOKUP($U$1,A:C,3,))*100)+100</f>
        <v/>
      </c>
      <c r="J10" s="76">
        <f>(((Table134567891011121314151617343[[#This Row],[DEU]]-VLOOKUP($U$1,A:D,4,))/VLOOKUP($U$1,A:D,4,))*100)+100</f>
        <v/>
      </c>
      <c r="K10" s="76">
        <f>(((Table134567891011121314151617343[[#This Row],[ESP]]-VLOOKUP($U$1,A:E,5,))/VLOOKUP($U$1,A:E,5,))*100)+100</f>
        <v/>
      </c>
      <c r="L10" s="76">
        <f>(((Table134567891011121314151617343[[#This Row],[EA19]]-VLOOKUP($U$1,A:F,6,))/VLOOKUP($U$1,A:F,6,))*100)+100</f>
        <v/>
      </c>
      <c r="M10" s="76">
        <f>(((Table134567891011121314151617343[[#This Row],[GBR]]-VLOOKUP($U$1,A:G,7,))/VLOOKUP($U$1,A:G,7,))*100)+100</f>
        <v/>
      </c>
      <c r="N10" s="76">
        <f>IF(VLOOKUP(A10,Database!$A:$AU,MATCH($N$1,Database!$A$1:$AU$1,0),FALSE)=0,#N/A,VLOOKUP(A10,Database!$A:$AU,MATCH($N$1,Database!$A$1:$AU$1,0),FALSE))</f>
        <v/>
      </c>
      <c r="O10" s="76">
        <f>(((Table134567891011121314151617343[[#This Row],[USA]]-VLOOKUP($U$1,A:N,14,))/VLOOKUP($U$1,A:N,14,))*100)+100</f>
        <v/>
      </c>
      <c r="P10" s="76">
        <f>IF(VLOOKUP(A10,Database!$A:$AS,MATCH($P$1,Database!$A$1:$AS$1,0),FALSE)=0,#N/A,VLOOKUP(A10,Database!$A:$AS,MATCH($P$1,Database!$A$1:$AS$1,0),FALSE))</f>
        <v/>
      </c>
      <c r="Q10" s="76">
        <f>(((Table134567891011121314151617343[[#This Row],[JPN]]-VLOOKUP($U$1,A:Q,16,))/VLOOKUP($U$1,A:Q,16,))*100)+100</f>
        <v/>
      </c>
      <c r="W10" s="86" t="inlineStr">
        <is>
          <t>EST</t>
        </is>
      </c>
    </row>
    <row r="11" customFormat="1" s="86">
      <c r="A11" s="21" t="n">
        <v>33147</v>
      </c>
      <c r="B11" s="76">
        <f>IF(VLOOKUP(A11,Database!$A:$AS,MATCH($B$1,Database!$A$1:$AS$1,0),FALSE)=0,#N/A,VLOOKUP(A11,Database!$A:$AS,MATCH($B$1,Database!$A$1:$AS$1,0),FALSE))</f>
        <v/>
      </c>
      <c r="C11" s="76">
        <f>IF(VLOOKUP(A11,Database!$A:$AS,MATCH($C$1,Database!$A$1:$AS$1,0),FALSE)=0,#N/A,VLOOKUP(A11,Database!$A:$AS,MATCH($C$1,Database!$A$1:$AS$1,0),FALSE))</f>
        <v/>
      </c>
      <c r="D11" s="76">
        <f>IF(VLOOKUP(A11,Database!$A:$AS,MATCH($D$1,Database!$A$1:$AS$1,0),FALSE)=0,#N/A,VLOOKUP(A11,Database!$A:$AS,MATCH($D$1,Database!$A$1:$AS$1,0),FALSE))</f>
        <v/>
      </c>
      <c r="E11" s="76">
        <f>IF(VLOOKUP(A11,Database!$A:$AS,MATCH($E$1,Database!$A$1:$AS$1,0),FALSE)=0,#N/A,VLOOKUP(A11,Database!$A:$AS,MATCH($E$1,Database!$A$1:$AS$1,0),FALSE))</f>
        <v/>
      </c>
      <c r="F11" s="76">
        <f>IF(VLOOKUP(A11,Database!$A:$AS,MATCH($F$1,Database!$A$1:$AS$1,0),FALSE)=0,#N/A,VLOOKUP(A11,Database!$A:$AS,MATCH($F$1,Database!$A$1:$AS$1,0),FALSE))</f>
        <v/>
      </c>
      <c r="G11" s="76">
        <f>IF(VLOOKUP(A11,Database!$A:$AS,MATCH($G$1,Database!$A$1:$AS$1,0),FALSE)=0,#N/A,VLOOKUP(A11,Database!$A:$AS,MATCH($G$1,Database!$A$1:$AS$1,0),FALSE))</f>
        <v/>
      </c>
      <c r="H11" s="76">
        <f>(((Table134567891011121314151617343[[#This Row],[ITA]]-VLOOKUP($U$1,A:B,2,))/VLOOKUP($U$1,A:B,2,))*100)+100</f>
        <v/>
      </c>
      <c r="I11" s="76">
        <f>(((Table134567891011121314151617343[[#This Row],[FRA]]-VLOOKUP($U$1,A:C,3,))/VLOOKUP($U$1,A:C,3,))*100)+100</f>
        <v/>
      </c>
      <c r="J11" s="76">
        <f>(((Table134567891011121314151617343[[#This Row],[DEU]]-VLOOKUP($U$1,A:D,4,))/VLOOKUP($U$1,A:D,4,))*100)+100</f>
        <v/>
      </c>
      <c r="K11" s="76">
        <f>(((Table134567891011121314151617343[[#This Row],[ESP]]-VLOOKUP($U$1,A:E,5,))/VLOOKUP($U$1,A:E,5,))*100)+100</f>
        <v/>
      </c>
      <c r="L11" s="76">
        <f>(((Table134567891011121314151617343[[#This Row],[EA19]]-VLOOKUP($U$1,A:F,6,))/VLOOKUP($U$1,A:F,6,))*100)+100</f>
        <v/>
      </c>
      <c r="M11" s="76">
        <f>(((Table134567891011121314151617343[[#This Row],[GBR]]-VLOOKUP($U$1,A:G,7,))/VLOOKUP($U$1,A:G,7,))*100)+100</f>
        <v/>
      </c>
      <c r="N11" s="76">
        <f>IF(VLOOKUP(A11,Database!$A:$AU,MATCH($N$1,Database!$A$1:$AU$1,0),FALSE)=0,#N/A,VLOOKUP(A11,Database!$A:$AU,MATCH($N$1,Database!$A$1:$AU$1,0),FALSE))</f>
        <v/>
      </c>
      <c r="O11" s="76">
        <f>(((Table134567891011121314151617343[[#This Row],[USA]]-VLOOKUP($U$1,A:N,14,))/VLOOKUP($U$1,A:N,14,))*100)+100</f>
        <v/>
      </c>
      <c r="P11" s="76">
        <f>IF(VLOOKUP(A11,Database!$A:$AS,MATCH($P$1,Database!$A$1:$AS$1,0),FALSE)=0,#N/A,VLOOKUP(A11,Database!$A:$AS,MATCH($P$1,Database!$A$1:$AS$1,0),FALSE))</f>
        <v/>
      </c>
      <c r="Q11" s="76">
        <f>(((Table134567891011121314151617343[[#This Row],[JPN]]-VLOOKUP($U$1,A:Q,16,))/VLOOKUP($U$1,A:Q,16,))*100)+100</f>
        <v/>
      </c>
      <c r="W11" s="86" t="inlineStr">
        <is>
          <t>FIN</t>
        </is>
      </c>
    </row>
    <row r="12" customFormat="1" s="86">
      <c r="A12" s="21" t="n">
        <v>33178</v>
      </c>
      <c r="B12" s="76">
        <f>IF(VLOOKUP(A12,Database!$A:$AS,MATCH($B$1,Database!$A$1:$AS$1,0),FALSE)=0,#N/A,VLOOKUP(A12,Database!$A:$AS,MATCH($B$1,Database!$A$1:$AS$1,0),FALSE))</f>
        <v/>
      </c>
      <c r="C12" s="76">
        <f>IF(VLOOKUP(A12,Database!$A:$AS,MATCH($C$1,Database!$A$1:$AS$1,0),FALSE)=0,#N/A,VLOOKUP(A12,Database!$A:$AS,MATCH($C$1,Database!$A$1:$AS$1,0),FALSE))</f>
        <v/>
      </c>
      <c r="D12" s="76">
        <f>IF(VLOOKUP(A12,Database!$A:$AS,MATCH($D$1,Database!$A$1:$AS$1,0),FALSE)=0,#N/A,VLOOKUP(A12,Database!$A:$AS,MATCH($D$1,Database!$A$1:$AS$1,0),FALSE))</f>
        <v/>
      </c>
      <c r="E12" s="76">
        <f>IF(VLOOKUP(A12,Database!$A:$AS,MATCH($E$1,Database!$A$1:$AS$1,0),FALSE)=0,#N/A,VLOOKUP(A12,Database!$A:$AS,MATCH($E$1,Database!$A$1:$AS$1,0),FALSE))</f>
        <v/>
      </c>
      <c r="F12" s="76">
        <f>IF(VLOOKUP(A12,Database!$A:$AS,MATCH($F$1,Database!$A$1:$AS$1,0),FALSE)=0,#N/A,VLOOKUP(A12,Database!$A:$AS,MATCH($F$1,Database!$A$1:$AS$1,0),FALSE))</f>
        <v/>
      </c>
      <c r="G12" s="76">
        <f>IF(VLOOKUP(A12,Database!$A:$AS,MATCH($G$1,Database!$A$1:$AS$1,0),FALSE)=0,#N/A,VLOOKUP(A12,Database!$A:$AS,MATCH($G$1,Database!$A$1:$AS$1,0),FALSE))</f>
        <v/>
      </c>
      <c r="H12" s="76">
        <f>(((Table134567891011121314151617343[[#This Row],[ITA]]-VLOOKUP($U$1,A:B,2,))/VLOOKUP($U$1,A:B,2,))*100)+100</f>
        <v/>
      </c>
      <c r="I12" s="76">
        <f>(((Table134567891011121314151617343[[#This Row],[FRA]]-VLOOKUP($U$1,A:C,3,))/VLOOKUP($U$1,A:C,3,))*100)+100</f>
        <v/>
      </c>
      <c r="J12" s="76">
        <f>(((Table134567891011121314151617343[[#This Row],[DEU]]-VLOOKUP($U$1,A:D,4,))/VLOOKUP($U$1,A:D,4,))*100)+100</f>
        <v/>
      </c>
      <c r="K12" s="76">
        <f>(((Table134567891011121314151617343[[#This Row],[ESP]]-VLOOKUP($U$1,A:E,5,))/VLOOKUP($U$1,A:E,5,))*100)+100</f>
        <v/>
      </c>
      <c r="L12" s="76">
        <f>(((Table134567891011121314151617343[[#This Row],[EA19]]-VLOOKUP($U$1,A:F,6,))/VLOOKUP($U$1,A:F,6,))*100)+100</f>
        <v/>
      </c>
      <c r="M12" s="76">
        <f>(((Table134567891011121314151617343[[#This Row],[GBR]]-VLOOKUP($U$1,A:G,7,))/VLOOKUP($U$1,A:G,7,))*100)+100</f>
        <v/>
      </c>
      <c r="N12" s="76">
        <f>IF(VLOOKUP(A12,Database!$A:$AU,MATCH($N$1,Database!$A$1:$AU$1,0),FALSE)=0,#N/A,VLOOKUP(A12,Database!$A:$AU,MATCH($N$1,Database!$A$1:$AU$1,0),FALSE))</f>
        <v/>
      </c>
      <c r="O12" s="76">
        <f>(((Table134567891011121314151617343[[#This Row],[USA]]-VLOOKUP($U$1,A:N,14,))/VLOOKUP($U$1,A:N,14,))*100)+100</f>
        <v/>
      </c>
      <c r="P12" s="76">
        <f>IF(VLOOKUP(A12,Database!$A:$AS,MATCH($P$1,Database!$A$1:$AS$1,0),FALSE)=0,#N/A,VLOOKUP(A12,Database!$A:$AS,MATCH($P$1,Database!$A$1:$AS$1,0),FALSE))</f>
        <v/>
      </c>
      <c r="Q12" s="76">
        <f>(((Table134567891011121314151617343[[#This Row],[JPN]]-VLOOKUP($U$1,A:Q,16,))/VLOOKUP($U$1,A:Q,16,))*100)+100</f>
        <v/>
      </c>
      <c r="W12" s="86" t="inlineStr">
        <is>
          <t>FRA</t>
        </is>
      </c>
    </row>
    <row r="13" customFormat="1" s="86">
      <c r="A13" s="21" t="n">
        <v>33208</v>
      </c>
      <c r="B13" s="76">
        <f>IF(VLOOKUP(A13,Database!$A:$AS,MATCH($B$1,Database!$A$1:$AS$1,0),FALSE)=0,#N/A,VLOOKUP(A13,Database!$A:$AS,MATCH($B$1,Database!$A$1:$AS$1,0),FALSE))</f>
        <v/>
      </c>
      <c r="C13" s="76">
        <f>IF(VLOOKUP(A13,Database!$A:$AS,MATCH($C$1,Database!$A$1:$AS$1,0),FALSE)=0,#N/A,VLOOKUP(A13,Database!$A:$AS,MATCH($C$1,Database!$A$1:$AS$1,0),FALSE))</f>
        <v/>
      </c>
      <c r="D13" s="76">
        <f>IF(VLOOKUP(A13,Database!$A:$AS,MATCH($D$1,Database!$A$1:$AS$1,0),FALSE)=0,#N/A,VLOOKUP(A13,Database!$A:$AS,MATCH($D$1,Database!$A$1:$AS$1,0),FALSE))</f>
        <v/>
      </c>
      <c r="E13" s="76">
        <f>IF(VLOOKUP(A13,Database!$A:$AS,MATCH($E$1,Database!$A$1:$AS$1,0),FALSE)=0,#N/A,VLOOKUP(A13,Database!$A:$AS,MATCH($E$1,Database!$A$1:$AS$1,0),FALSE))</f>
        <v/>
      </c>
      <c r="F13" s="76">
        <f>IF(VLOOKUP(A13,Database!$A:$AS,MATCH($F$1,Database!$A$1:$AS$1,0),FALSE)=0,#N/A,VLOOKUP(A13,Database!$A:$AS,MATCH($F$1,Database!$A$1:$AS$1,0),FALSE))</f>
        <v/>
      </c>
      <c r="G13" s="76">
        <f>IF(VLOOKUP(A13,Database!$A:$AS,MATCH($G$1,Database!$A$1:$AS$1,0),FALSE)=0,#N/A,VLOOKUP(A13,Database!$A:$AS,MATCH($G$1,Database!$A$1:$AS$1,0),FALSE))</f>
        <v/>
      </c>
      <c r="H13" s="76">
        <f>(((Table134567891011121314151617343[[#This Row],[ITA]]-VLOOKUP($U$1,A:B,2,))/VLOOKUP($U$1,A:B,2,))*100)+100</f>
        <v/>
      </c>
      <c r="I13" s="76">
        <f>(((Table134567891011121314151617343[[#This Row],[FRA]]-VLOOKUP($U$1,A:C,3,))/VLOOKUP($U$1,A:C,3,))*100)+100</f>
        <v/>
      </c>
      <c r="J13" s="76">
        <f>(((Table134567891011121314151617343[[#This Row],[DEU]]-VLOOKUP($U$1,A:D,4,))/VLOOKUP($U$1,A:D,4,))*100)+100</f>
        <v/>
      </c>
      <c r="K13" s="76">
        <f>(((Table134567891011121314151617343[[#This Row],[ESP]]-VLOOKUP($U$1,A:E,5,))/VLOOKUP($U$1,A:E,5,))*100)+100</f>
        <v/>
      </c>
      <c r="L13" s="76">
        <f>(((Table134567891011121314151617343[[#This Row],[EA19]]-VLOOKUP($U$1,A:F,6,))/VLOOKUP($U$1,A:F,6,))*100)+100</f>
        <v/>
      </c>
      <c r="M13" s="76">
        <f>(((Table134567891011121314151617343[[#This Row],[GBR]]-VLOOKUP($U$1,A:G,7,))/VLOOKUP($U$1,A:G,7,))*100)+100</f>
        <v/>
      </c>
      <c r="N13" s="76">
        <f>IF(VLOOKUP(A13,Database!$A:$AU,MATCH($N$1,Database!$A$1:$AU$1,0),FALSE)=0,#N/A,VLOOKUP(A13,Database!$A:$AU,MATCH($N$1,Database!$A$1:$AU$1,0),FALSE))</f>
        <v/>
      </c>
      <c r="O13" s="76">
        <f>(((Table134567891011121314151617343[[#This Row],[USA]]-VLOOKUP($U$1,A:N,14,))/VLOOKUP($U$1,A:N,14,))*100)+100</f>
        <v/>
      </c>
      <c r="P13" s="76">
        <f>IF(VLOOKUP(A13,Database!$A:$AS,MATCH($P$1,Database!$A$1:$AS$1,0),FALSE)=0,#N/A,VLOOKUP(A13,Database!$A:$AS,MATCH($P$1,Database!$A$1:$AS$1,0),FALSE))</f>
        <v/>
      </c>
      <c r="Q13" s="76">
        <f>(((Table134567891011121314151617343[[#This Row],[JPN]]-VLOOKUP($U$1,A:Q,16,))/VLOOKUP($U$1,A:Q,16,))*100)+100</f>
        <v/>
      </c>
      <c r="W13" s="86" t="inlineStr">
        <is>
          <t>GBR</t>
        </is>
      </c>
    </row>
    <row r="14" customFormat="1" s="86">
      <c r="A14" s="21" t="n">
        <v>33239</v>
      </c>
      <c r="B14" s="76">
        <f>IF(VLOOKUP(A14,Database!$A:$AS,MATCH($B$1,Database!$A$1:$AS$1,0),FALSE)=0,#N/A,VLOOKUP(A14,Database!$A:$AS,MATCH($B$1,Database!$A$1:$AS$1,0),FALSE))</f>
        <v/>
      </c>
      <c r="C14" s="76">
        <f>IF(VLOOKUP(A14,Database!$A:$AS,MATCH($C$1,Database!$A$1:$AS$1,0),FALSE)=0,#N/A,VLOOKUP(A14,Database!$A:$AS,MATCH($C$1,Database!$A$1:$AS$1,0),FALSE))</f>
        <v/>
      </c>
      <c r="D14" s="76">
        <f>IF(VLOOKUP(A14,Database!$A:$AS,MATCH($D$1,Database!$A$1:$AS$1,0),FALSE)=0,#N/A,VLOOKUP(A14,Database!$A:$AS,MATCH($D$1,Database!$A$1:$AS$1,0),FALSE))</f>
        <v/>
      </c>
      <c r="E14" s="76">
        <f>IF(VLOOKUP(A14,Database!$A:$AS,MATCH($E$1,Database!$A$1:$AS$1,0),FALSE)=0,#N/A,VLOOKUP(A14,Database!$A:$AS,MATCH($E$1,Database!$A$1:$AS$1,0),FALSE))</f>
        <v/>
      </c>
      <c r="F14" s="76">
        <f>IF(VLOOKUP(A14,Database!$A:$AS,MATCH($F$1,Database!$A$1:$AS$1,0),FALSE)=0,#N/A,VLOOKUP(A14,Database!$A:$AS,MATCH($F$1,Database!$A$1:$AS$1,0),FALSE))</f>
        <v/>
      </c>
      <c r="G14" s="76">
        <f>IF(VLOOKUP(A14,Database!$A:$AS,MATCH($G$1,Database!$A$1:$AS$1,0),FALSE)=0,#N/A,VLOOKUP(A14,Database!$A:$AS,MATCH($G$1,Database!$A$1:$AS$1,0),FALSE))</f>
        <v/>
      </c>
      <c r="H14" s="76">
        <f>(((Table134567891011121314151617343[[#This Row],[ITA]]-VLOOKUP($U$1,A:B,2,))/VLOOKUP($U$1,A:B,2,))*100)+100</f>
        <v/>
      </c>
      <c r="I14" s="76">
        <f>(((Table134567891011121314151617343[[#This Row],[FRA]]-VLOOKUP($U$1,A:C,3,))/VLOOKUP($U$1,A:C,3,))*100)+100</f>
        <v/>
      </c>
      <c r="J14" s="76">
        <f>(((Table134567891011121314151617343[[#This Row],[DEU]]-VLOOKUP($U$1,A:D,4,))/VLOOKUP($U$1,A:D,4,))*100)+100</f>
        <v/>
      </c>
      <c r="K14" s="76">
        <f>(((Table134567891011121314151617343[[#This Row],[ESP]]-VLOOKUP($U$1,A:E,5,))/VLOOKUP($U$1,A:E,5,))*100)+100</f>
        <v/>
      </c>
      <c r="L14" s="76">
        <f>(((Table134567891011121314151617343[[#This Row],[EA19]]-VLOOKUP($U$1,A:F,6,))/VLOOKUP($U$1,A:F,6,))*100)+100</f>
        <v/>
      </c>
      <c r="M14" s="76">
        <f>(((Table134567891011121314151617343[[#This Row],[GBR]]-VLOOKUP($U$1,A:G,7,))/VLOOKUP($U$1,A:G,7,))*100)+100</f>
        <v/>
      </c>
      <c r="N14" s="76">
        <f>IF(VLOOKUP(A14,Database!$A:$AU,MATCH($N$1,Database!$A$1:$AU$1,0),FALSE)=0,#N/A,VLOOKUP(A14,Database!$A:$AU,MATCH($N$1,Database!$A$1:$AU$1,0),FALSE))</f>
        <v/>
      </c>
      <c r="O14" s="76">
        <f>(((Table134567891011121314151617343[[#This Row],[USA]]-VLOOKUP($U$1,A:N,14,))/VLOOKUP($U$1,A:N,14,))*100)+100</f>
        <v/>
      </c>
      <c r="P14" s="76">
        <f>IF(VLOOKUP(A14,Database!$A:$AS,MATCH($P$1,Database!$A$1:$AS$1,0),FALSE)=0,#N/A,VLOOKUP(A14,Database!$A:$AS,MATCH($P$1,Database!$A$1:$AS$1,0),FALSE))</f>
        <v/>
      </c>
      <c r="Q14" s="76">
        <f>(((Table134567891011121314151617343[[#This Row],[JPN]]-VLOOKUP($U$1,A:Q,16,))/VLOOKUP($U$1,A:Q,16,))*100)+100</f>
        <v/>
      </c>
      <c r="W14" s="86" t="inlineStr">
        <is>
          <t>GRC</t>
        </is>
      </c>
    </row>
    <row r="15" customFormat="1" s="86">
      <c r="A15" s="21" t="n">
        <v>33270</v>
      </c>
      <c r="B15" s="76">
        <f>IF(VLOOKUP(A15,Database!$A:$AS,MATCH($B$1,Database!$A$1:$AS$1,0),FALSE)=0,#N/A,VLOOKUP(A15,Database!$A:$AS,MATCH($B$1,Database!$A$1:$AS$1,0),FALSE))</f>
        <v/>
      </c>
      <c r="C15" s="76">
        <f>IF(VLOOKUP(A15,Database!$A:$AS,MATCH($C$1,Database!$A$1:$AS$1,0),FALSE)=0,#N/A,VLOOKUP(A15,Database!$A:$AS,MATCH($C$1,Database!$A$1:$AS$1,0),FALSE))</f>
        <v/>
      </c>
      <c r="D15" s="76">
        <f>IF(VLOOKUP(A15,Database!$A:$AS,MATCH($D$1,Database!$A$1:$AS$1,0),FALSE)=0,#N/A,VLOOKUP(A15,Database!$A:$AS,MATCH($D$1,Database!$A$1:$AS$1,0),FALSE))</f>
        <v/>
      </c>
      <c r="E15" s="76">
        <f>IF(VLOOKUP(A15,Database!$A:$AS,MATCH($E$1,Database!$A$1:$AS$1,0),FALSE)=0,#N/A,VLOOKUP(A15,Database!$A:$AS,MATCH($E$1,Database!$A$1:$AS$1,0),FALSE))</f>
        <v/>
      </c>
      <c r="F15" s="76">
        <f>IF(VLOOKUP(A15,Database!$A:$AS,MATCH($F$1,Database!$A$1:$AS$1,0),FALSE)=0,#N/A,VLOOKUP(A15,Database!$A:$AS,MATCH($F$1,Database!$A$1:$AS$1,0),FALSE))</f>
        <v/>
      </c>
      <c r="G15" s="76">
        <f>IF(VLOOKUP(A15,Database!$A:$AS,MATCH($G$1,Database!$A$1:$AS$1,0),FALSE)=0,#N/A,VLOOKUP(A15,Database!$A:$AS,MATCH($G$1,Database!$A$1:$AS$1,0),FALSE))</f>
        <v/>
      </c>
      <c r="H15" s="76">
        <f>(((Table134567891011121314151617343[[#This Row],[ITA]]-VLOOKUP($U$1,A:B,2,))/VLOOKUP($U$1,A:B,2,))*100)+100</f>
        <v/>
      </c>
      <c r="I15" s="76">
        <f>(((Table134567891011121314151617343[[#This Row],[FRA]]-VLOOKUP($U$1,A:C,3,))/VLOOKUP($U$1,A:C,3,))*100)+100</f>
        <v/>
      </c>
      <c r="J15" s="76">
        <f>(((Table134567891011121314151617343[[#This Row],[DEU]]-VLOOKUP($U$1,A:D,4,))/VLOOKUP($U$1,A:D,4,))*100)+100</f>
        <v/>
      </c>
      <c r="K15" s="76">
        <f>(((Table134567891011121314151617343[[#This Row],[ESP]]-VLOOKUP($U$1,A:E,5,))/VLOOKUP($U$1,A:E,5,))*100)+100</f>
        <v/>
      </c>
      <c r="L15" s="76">
        <f>(((Table134567891011121314151617343[[#This Row],[EA19]]-VLOOKUP($U$1,A:F,6,))/VLOOKUP($U$1,A:F,6,))*100)+100</f>
        <v/>
      </c>
      <c r="M15" s="76">
        <f>(((Table134567891011121314151617343[[#This Row],[GBR]]-VLOOKUP($U$1,A:G,7,))/VLOOKUP($U$1,A:G,7,))*100)+100</f>
        <v/>
      </c>
      <c r="N15" s="76">
        <f>IF(VLOOKUP(A15,Database!$A:$AU,MATCH($N$1,Database!$A$1:$AU$1,0),FALSE)=0,#N/A,VLOOKUP(A15,Database!$A:$AU,MATCH($N$1,Database!$A$1:$AU$1,0),FALSE))</f>
        <v/>
      </c>
      <c r="O15" s="76">
        <f>(((Table134567891011121314151617343[[#This Row],[USA]]-VLOOKUP($U$1,A:N,14,))/VLOOKUP($U$1,A:N,14,))*100)+100</f>
        <v/>
      </c>
      <c r="P15" s="76">
        <f>IF(VLOOKUP(A15,Database!$A:$AS,MATCH($P$1,Database!$A$1:$AS$1,0),FALSE)=0,#N/A,VLOOKUP(A15,Database!$A:$AS,MATCH($P$1,Database!$A$1:$AS$1,0),FALSE))</f>
        <v/>
      </c>
      <c r="Q15" s="76">
        <f>(((Table134567891011121314151617343[[#This Row],[JPN]]-VLOOKUP($U$1,A:Q,16,))/VLOOKUP($U$1,A:Q,16,))*100)+100</f>
        <v/>
      </c>
      <c r="W15" s="86" t="inlineStr">
        <is>
          <t>HUN</t>
        </is>
      </c>
    </row>
    <row r="16" customFormat="1" s="86">
      <c r="A16" s="21" t="n">
        <v>33298</v>
      </c>
      <c r="B16" s="76">
        <f>IF(VLOOKUP(A16,Database!$A:$AS,MATCH($B$1,Database!$A$1:$AS$1,0),FALSE)=0,#N/A,VLOOKUP(A16,Database!$A:$AS,MATCH($B$1,Database!$A$1:$AS$1,0),FALSE))</f>
        <v/>
      </c>
      <c r="C16" s="76">
        <f>IF(VLOOKUP(A16,Database!$A:$AS,MATCH($C$1,Database!$A$1:$AS$1,0),FALSE)=0,#N/A,VLOOKUP(A16,Database!$A:$AS,MATCH($C$1,Database!$A$1:$AS$1,0),FALSE))</f>
        <v/>
      </c>
      <c r="D16" s="76">
        <f>IF(VLOOKUP(A16,Database!$A:$AS,MATCH($D$1,Database!$A$1:$AS$1,0),FALSE)=0,#N/A,VLOOKUP(A16,Database!$A:$AS,MATCH($D$1,Database!$A$1:$AS$1,0),FALSE))</f>
        <v/>
      </c>
      <c r="E16" s="76">
        <f>IF(VLOOKUP(A16,Database!$A:$AS,MATCH($E$1,Database!$A$1:$AS$1,0),FALSE)=0,#N/A,VLOOKUP(A16,Database!$A:$AS,MATCH($E$1,Database!$A$1:$AS$1,0),FALSE))</f>
        <v/>
      </c>
      <c r="F16" s="76">
        <f>IF(VLOOKUP(A16,Database!$A:$AS,MATCH($F$1,Database!$A$1:$AS$1,0),FALSE)=0,#N/A,VLOOKUP(A16,Database!$A:$AS,MATCH($F$1,Database!$A$1:$AS$1,0),FALSE))</f>
        <v/>
      </c>
      <c r="G16" s="76">
        <f>IF(VLOOKUP(A16,Database!$A:$AS,MATCH($G$1,Database!$A$1:$AS$1,0),FALSE)=0,#N/A,VLOOKUP(A16,Database!$A:$AS,MATCH($G$1,Database!$A$1:$AS$1,0),FALSE))</f>
        <v/>
      </c>
      <c r="H16" s="76">
        <f>(((Table134567891011121314151617343[[#This Row],[ITA]]-VLOOKUP($U$1,A:B,2,))/VLOOKUP($U$1,A:B,2,))*100)+100</f>
        <v/>
      </c>
      <c r="I16" s="76">
        <f>(((Table134567891011121314151617343[[#This Row],[FRA]]-VLOOKUP($U$1,A:C,3,))/VLOOKUP($U$1,A:C,3,))*100)+100</f>
        <v/>
      </c>
      <c r="J16" s="76">
        <f>(((Table134567891011121314151617343[[#This Row],[DEU]]-VLOOKUP($U$1,A:D,4,))/VLOOKUP($U$1,A:D,4,))*100)+100</f>
        <v/>
      </c>
      <c r="K16" s="76">
        <f>(((Table134567891011121314151617343[[#This Row],[ESP]]-VLOOKUP($U$1,A:E,5,))/VLOOKUP($U$1,A:E,5,))*100)+100</f>
        <v/>
      </c>
      <c r="L16" s="76">
        <f>(((Table134567891011121314151617343[[#This Row],[EA19]]-VLOOKUP($U$1,A:F,6,))/VLOOKUP($U$1,A:F,6,))*100)+100</f>
        <v/>
      </c>
      <c r="M16" s="76">
        <f>(((Table134567891011121314151617343[[#This Row],[GBR]]-VLOOKUP($U$1,A:G,7,))/VLOOKUP($U$1,A:G,7,))*100)+100</f>
        <v/>
      </c>
      <c r="N16" s="76">
        <f>IF(VLOOKUP(A16,Database!$A:$AU,MATCH($N$1,Database!$A$1:$AU$1,0),FALSE)=0,#N/A,VLOOKUP(A16,Database!$A:$AU,MATCH($N$1,Database!$A$1:$AU$1,0),FALSE))</f>
        <v/>
      </c>
      <c r="O16" s="76">
        <f>(((Table134567891011121314151617343[[#This Row],[USA]]-VLOOKUP($U$1,A:N,14,))/VLOOKUP($U$1,A:N,14,))*100)+100</f>
        <v/>
      </c>
      <c r="P16" s="76">
        <f>IF(VLOOKUP(A16,Database!$A:$AS,MATCH($P$1,Database!$A$1:$AS$1,0),FALSE)=0,#N/A,VLOOKUP(A16,Database!$A:$AS,MATCH($P$1,Database!$A$1:$AS$1,0),FALSE))</f>
        <v/>
      </c>
      <c r="Q16" s="76">
        <f>(((Table134567891011121314151617343[[#This Row],[JPN]]-VLOOKUP($U$1,A:Q,16,))/VLOOKUP($U$1,A:Q,16,))*100)+100</f>
        <v/>
      </c>
      <c r="W16" s="86" t="inlineStr">
        <is>
          <t>IRL</t>
        </is>
      </c>
    </row>
    <row r="17" customFormat="1" s="86">
      <c r="A17" s="21" t="n">
        <v>33329</v>
      </c>
      <c r="B17" s="76">
        <f>IF(VLOOKUP(A17,Database!$A:$AS,MATCH($B$1,Database!$A$1:$AS$1,0),FALSE)=0,#N/A,VLOOKUP(A17,Database!$A:$AS,MATCH($B$1,Database!$A$1:$AS$1,0),FALSE))</f>
        <v/>
      </c>
      <c r="C17" s="76">
        <f>IF(VLOOKUP(A17,Database!$A:$AS,MATCH($C$1,Database!$A$1:$AS$1,0),FALSE)=0,#N/A,VLOOKUP(A17,Database!$A:$AS,MATCH($C$1,Database!$A$1:$AS$1,0),FALSE))</f>
        <v/>
      </c>
      <c r="D17" s="76">
        <f>IF(VLOOKUP(A17,Database!$A:$AS,MATCH($D$1,Database!$A$1:$AS$1,0),FALSE)=0,#N/A,VLOOKUP(A17,Database!$A:$AS,MATCH($D$1,Database!$A$1:$AS$1,0),FALSE))</f>
        <v/>
      </c>
      <c r="E17" s="76">
        <f>IF(VLOOKUP(A17,Database!$A:$AS,MATCH($E$1,Database!$A$1:$AS$1,0),FALSE)=0,#N/A,VLOOKUP(A17,Database!$A:$AS,MATCH($E$1,Database!$A$1:$AS$1,0),FALSE))</f>
        <v/>
      </c>
      <c r="F17" s="76">
        <f>IF(VLOOKUP(A17,Database!$A:$AS,MATCH($F$1,Database!$A$1:$AS$1,0),FALSE)=0,#N/A,VLOOKUP(A17,Database!$A:$AS,MATCH($F$1,Database!$A$1:$AS$1,0),FALSE))</f>
        <v/>
      </c>
      <c r="G17" s="76">
        <f>IF(VLOOKUP(A17,Database!$A:$AS,MATCH($G$1,Database!$A$1:$AS$1,0),FALSE)=0,#N/A,VLOOKUP(A17,Database!$A:$AS,MATCH($G$1,Database!$A$1:$AS$1,0),FALSE))</f>
        <v/>
      </c>
      <c r="H17" s="76">
        <f>(((Table134567891011121314151617343[[#This Row],[ITA]]-VLOOKUP($U$1,A:B,2,))/VLOOKUP($U$1,A:B,2,))*100)+100</f>
        <v/>
      </c>
      <c r="I17" s="76">
        <f>(((Table134567891011121314151617343[[#This Row],[FRA]]-VLOOKUP($U$1,A:C,3,))/VLOOKUP($U$1,A:C,3,))*100)+100</f>
        <v/>
      </c>
      <c r="J17" s="76">
        <f>(((Table134567891011121314151617343[[#This Row],[DEU]]-VLOOKUP($U$1,A:D,4,))/VLOOKUP($U$1,A:D,4,))*100)+100</f>
        <v/>
      </c>
      <c r="K17" s="76">
        <f>(((Table134567891011121314151617343[[#This Row],[ESP]]-VLOOKUP($U$1,A:E,5,))/VLOOKUP($U$1,A:E,5,))*100)+100</f>
        <v/>
      </c>
      <c r="L17" s="76">
        <f>(((Table134567891011121314151617343[[#This Row],[EA19]]-VLOOKUP($U$1,A:F,6,))/VLOOKUP($U$1,A:F,6,))*100)+100</f>
        <v/>
      </c>
      <c r="M17" s="76">
        <f>(((Table134567891011121314151617343[[#This Row],[GBR]]-VLOOKUP($U$1,A:G,7,))/VLOOKUP($U$1,A:G,7,))*100)+100</f>
        <v/>
      </c>
      <c r="N17" s="76">
        <f>IF(VLOOKUP(A17,Database!$A:$AU,MATCH($N$1,Database!$A$1:$AU$1,0),FALSE)=0,#N/A,VLOOKUP(A17,Database!$A:$AU,MATCH($N$1,Database!$A$1:$AU$1,0),FALSE))</f>
        <v/>
      </c>
      <c r="O17" s="76">
        <f>(((Table134567891011121314151617343[[#This Row],[USA]]-VLOOKUP($U$1,A:N,14,))/VLOOKUP($U$1,A:N,14,))*100)+100</f>
        <v/>
      </c>
      <c r="P17" s="76">
        <f>IF(VLOOKUP(A17,Database!$A:$AS,MATCH($P$1,Database!$A$1:$AS$1,0),FALSE)=0,#N/A,VLOOKUP(A17,Database!$A:$AS,MATCH($P$1,Database!$A$1:$AS$1,0),FALSE))</f>
        <v/>
      </c>
      <c r="Q17" s="76">
        <f>(((Table134567891011121314151617343[[#This Row],[JPN]]-VLOOKUP($U$1,A:Q,16,))/VLOOKUP($U$1,A:Q,16,))*100)+100</f>
        <v/>
      </c>
      <c r="W17" s="86" t="inlineStr">
        <is>
          <t>ISL</t>
        </is>
      </c>
    </row>
    <row r="18" customFormat="1" s="86">
      <c r="A18" s="21" t="n">
        <v>33359</v>
      </c>
      <c r="B18" s="76">
        <f>IF(VLOOKUP(A18,Database!$A:$AS,MATCH($B$1,Database!$A$1:$AS$1,0),FALSE)=0,#N/A,VLOOKUP(A18,Database!$A:$AS,MATCH($B$1,Database!$A$1:$AS$1,0),FALSE))</f>
        <v/>
      </c>
      <c r="C18" s="76">
        <f>IF(VLOOKUP(A18,Database!$A:$AS,MATCH($C$1,Database!$A$1:$AS$1,0),FALSE)=0,#N/A,VLOOKUP(A18,Database!$A:$AS,MATCH($C$1,Database!$A$1:$AS$1,0),FALSE))</f>
        <v/>
      </c>
      <c r="D18" s="76">
        <f>IF(VLOOKUP(A18,Database!$A:$AS,MATCH($D$1,Database!$A$1:$AS$1,0),FALSE)=0,#N/A,VLOOKUP(A18,Database!$A:$AS,MATCH($D$1,Database!$A$1:$AS$1,0),FALSE))</f>
        <v/>
      </c>
      <c r="E18" s="76">
        <f>IF(VLOOKUP(A18,Database!$A:$AS,MATCH($E$1,Database!$A$1:$AS$1,0),FALSE)=0,#N/A,VLOOKUP(A18,Database!$A:$AS,MATCH($E$1,Database!$A$1:$AS$1,0),FALSE))</f>
        <v/>
      </c>
      <c r="F18" s="76">
        <f>IF(VLOOKUP(A18,Database!$A:$AS,MATCH($F$1,Database!$A$1:$AS$1,0),FALSE)=0,#N/A,VLOOKUP(A18,Database!$A:$AS,MATCH($F$1,Database!$A$1:$AS$1,0),FALSE))</f>
        <v/>
      </c>
      <c r="G18" s="76">
        <f>IF(VLOOKUP(A18,Database!$A:$AS,MATCH($G$1,Database!$A$1:$AS$1,0),FALSE)=0,#N/A,VLOOKUP(A18,Database!$A:$AS,MATCH($G$1,Database!$A$1:$AS$1,0),FALSE))</f>
        <v/>
      </c>
      <c r="H18" s="76">
        <f>(((Table134567891011121314151617343[[#This Row],[ITA]]-VLOOKUP($U$1,A:B,2,))/VLOOKUP($U$1,A:B,2,))*100)+100</f>
        <v/>
      </c>
      <c r="I18" s="76">
        <f>(((Table134567891011121314151617343[[#This Row],[FRA]]-VLOOKUP($U$1,A:C,3,))/VLOOKUP($U$1,A:C,3,))*100)+100</f>
        <v/>
      </c>
      <c r="J18" s="76">
        <f>(((Table134567891011121314151617343[[#This Row],[DEU]]-VLOOKUP($U$1,A:D,4,))/VLOOKUP($U$1,A:D,4,))*100)+100</f>
        <v/>
      </c>
      <c r="K18" s="76">
        <f>(((Table134567891011121314151617343[[#This Row],[ESP]]-VLOOKUP($U$1,A:E,5,))/VLOOKUP($U$1,A:E,5,))*100)+100</f>
        <v/>
      </c>
      <c r="L18" s="76">
        <f>(((Table134567891011121314151617343[[#This Row],[EA19]]-VLOOKUP($U$1,A:F,6,))/VLOOKUP($U$1,A:F,6,))*100)+100</f>
        <v/>
      </c>
      <c r="M18" s="76">
        <f>(((Table134567891011121314151617343[[#This Row],[GBR]]-VLOOKUP($U$1,A:G,7,))/VLOOKUP($U$1,A:G,7,))*100)+100</f>
        <v/>
      </c>
      <c r="N18" s="76">
        <f>IF(VLOOKUP(A18,Database!$A:$AU,MATCH($N$1,Database!$A$1:$AU$1,0),FALSE)=0,#N/A,VLOOKUP(A18,Database!$A:$AU,MATCH($N$1,Database!$A$1:$AU$1,0),FALSE))</f>
        <v/>
      </c>
      <c r="O18" s="76">
        <f>(((Table134567891011121314151617343[[#This Row],[USA]]-VLOOKUP($U$1,A:N,14,))/VLOOKUP($U$1,A:N,14,))*100)+100</f>
        <v/>
      </c>
      <c r="P18" s="76">
        <f>IF(VLOOKUP(A18,Database!$A:$AS,MATCH($P$1,Database!$A$1:$AS$1,0),FALSE)=0,#N/A,VLOOKUP(A18,Database!$A:$AS,MATCH($P$1,Database!$A$1:$AS$1,0),FALSE))</f>
        <v/>
      </c>
      <c r="Q18" s="76">
        <f>(((Table134567891011121314151617343[[#This Row],[JPN]]-VLOOKUP($U$1,A:Q,16,))/VLOOKUP($U$1,A:Q,16,))*100)+100</f>
        <v/>
      </c>
      <c r="W18" s="86" t="inlineStr">
        <is>
          <t>ISR</t>
        </is>
      </c>
    </row>
    <row r="19" customFormat="1" s="86">
      <c r="A19" s="21" t="n">
        <v>33390</v>
      </c>
      <c r="B19" s="76">
        <f>IF(VLOOKUP(A19,Database!$A:$AS,MATCH($B$1,Database!$A$1:$AS$1,0),FALSE)=0,#N/A,VLOOKUP(A19,Database!$A:$AS,MATCH($B$1,Database!$A$1:$AS$1,0),FALSE))</f>
        <v/>
      </c>
      <c r="C19" s="76">
        <f>IF(VLOOKUP(A19,Database!$A:$AS,MATCH($C$1,Database!$A$1:$AS$1,0),FALSE)=0,#N/A,VLOOKUP(A19,Database!$A:$AS,MATCH($C$1,Database!$A$1:$AS$1,0),FALSE))</f>
        <v/>
      </c>
      <c r="D19" s="76">
        <f>IF(VLOOKUP(A19,Database!$A:$AS,MATCH($D$1,Database!$A$1:$AS$1,0),FALSE)=0,#N/A,VLOOKUP(A19,Database!$A:$AS,MATCH($D$1,Database!$A$1:$AS$1,0),FALSE))</f>
        <v/>
      </c>
      <c r="E19" s="76">
        <f>IF(VLOOKUP(A19,Database!$A:$AS,MATCH($E$1,Database!$A$1:$AS$1,0),FALSE)=0,#N/A,VLOOKUP(A19,Database!$A:$AS,MATCH($E$1,Database!$A$1:$AS$1,0),FALSE))</f>
        <v/>
      </c>
      <c r="F19" s="76">
        <f>IF(VLOOKUP(A19,Database!$A:$AS,MATCH($F$1,Database!$A$1:$AS$1,0),FALSE)=0,#N/A,VLOOKUP(A19,Database!$A:$AS,MATCH($F$1,Database!$A$1:$AS$1,0),FALSE))</f>
        <v/>
      </c>
      <c r="G19" s="76">
        <f>IF(VLOOKUP(A19,Database!$A:$AS,MATCH($G$1,Database!$A$1:$AS$1,0),FALSE)=0,#N/A,VLOOKUP(A19,Database!$A:$AS,MATCH($G$1,Database!$A$1:$AS$1,0),FALSE))</f>
        <v/>
      </c>
      <c r="H19" s="76">
        <f>(((Table134567891011121314151617343[[#This Row],[ITA]]-VLOOKUP($U$1,A:B,2,))/VLOOKUP($U$1,A:B,2,))*100)+100</f>
        <v/>
      </c>
      <c r="I19" s="76">
        <f>(((Table134567891011121314151617343[[#This Row],[FRA]]-VLOOKUP($U$1,A:C,3,))/VLOOKUP($U$1,A:C,3,))*100)+100</f>
        <v/>
      </c>
      <c r="J19" s="76">
        <f>(((Table134567891011121314151617343[[#This Row],[DEU]]-VLOOKUP($U$1,A:D,4,))/VLOOKUP($U$1,A:D,4,))*100)+100</f>
        <v/>
      </c>
      <c r="K19" s="76">
        <f>(((Table134567891011121314151617343[[#This Row],[ESP]]-VLOOKUP($U$1,A:E,5,))/VLOOKUP($U$1,A:E,5,))*100)+100</f>
        <v/>
      </c>
      <c r="L19" s="76">
        <f>(((Table134567891011121314151617343[[#This Row],[EA19]]-VLOOKUP($U$1,A:F,6,))/VLOOKUP($U$1,A:F,6,))*100)+100</f>
        <v/>
      </c>
      <c r="M19" s="76">
        <f>(((Table134567891011121314151617343[[#This Row],[GBR]]-VLOOKUP($U$1,A:G,7,))/VLOOKUP($U$1,A:G,7,))*100)+100</f>
        <v/>
      </c>
      <c r="N19" s="76">
        <f>IF(VLOOKUP(A19,Database!$A:$AU,MATCH($N$1,Database!$A$1:$AU$1,0),FALSE)=0,#N/A,VLOOKUP(A19,Database!$A:$AU,MATCH($N$1,Database!$A$1:$AU$1,0),FALSE))</f>
        <v/>
      </c>
      <c r="O19" s="76">
        <f>(((Table134567891011121314151617343[[#This Row],[USA]]-VLOOKUP($U$1,A:N,14,))/VLOOKUP($U$1,A:N,14,))*100)+100</f>
        <v/>
      </c>
      <c r="P19" s="76">
        <f>IF(VLOOKUP(A19,Database!$A:$AS,MATCH($P$1,Database!$A$1:$AS$1,0),FALSE)=0,#N/A,VLOOKUP(A19,Database!$A:$AS,MATCH($P$1,Database!$A$1:$AS$1,0),FALSE))</f>
        <v/>
      </c>
      <c r="Q19" s="76">
        <f>(((Table134567891011121314151617343[[#This Row],[JPN]]-VLOOKUP($U$1,A:Q,16,))/VLOOKUP($U$1,A:Q,16,))*100)+100</f>
        <v/>
      </c>
      <c r="W19" s="86" t="inlineStr">
        <is>
          <t>ITA</t>
        </is>
      </c>
    </row>
    <row r="20" customFormat="1" s="86">
      <c r="A20" s="21" t="n">
        <v>33420</v>
      </c>
      <c r="B20" s="76">
        <f>IF(VLOOKUP(A20,Database!$A:$AS,MATCH($B$1,Database!$A$1:$AS$1,0),FALSE)=0,#N/A,VLOOKUP(A20,Database!$A:$AS,MATCH($B$1,Database!$A$1:$AS$1,0),FALSE))</f>
        <v/>
      </c>
      <c r="C20" s="76">
        <f>IF(VLOOKUP(A20,Database!$A:$AS,MATCH($C$1,Database!$A$1:$AS$1,0),FALSE)=0,#N/A,VLOOKUP(A20,Database!$A:$AS,MATCH($C$1,Database!$A$1:$AS$1,0),FALSE))</f>
        <v/>
      </c>
      <c r="D20" s="76">
        <f>IF(VLOOKUP(A20,Database!$A:$AS,MATCH($D$1,Database!$A$1:$AS$1,0),FALSE)=0,#N/A,VLOOKUP(A20,Database!$A:$AS,MATCH($D$1,Database!$A$1:$AS$1,0),FALSE))</f>
        <v/>
      </c>
      <c r="E20" s="76">
        <f>IF(VLOOKUP(A20,Database!$A:$AS,MATCH($E$1,Database!$A$1:$AS$1,0),FALSE)=0,#N/A,VLOOKUP(A20,Database!$A:$AS,MATCH($E$1,Database!$A$1:$AS$1,0),FALSE))</f>
        <v/>
      </c>
      <c r="F20" s="76">
        <f>IF(VLOOKUP(A20,Database!$A:$AS,MATCH($F$1,Database!$A$1:$AS$1,0),FALSE)=0,#N/A,VLOOKUP(A20,Database!$A:$AS,MATCH($F$1,Database!$A$1:$AS$1,0),FALSE))</f>
        <v/>
      </c>
      <c r="G20" s="76">
        <f>IF(VLOOKUP(A20,Database!$A:$AS,MATCH($G$1,Database!$A$1:$AS$1,0),FALSE)=0,#N/A,VLOOKUP(A20,Database!$A:$AS,MATCH($G$1,Database!$A$1:$AS$1,0),FALSE))</f>
        <v/>
      </c>
      <c r="H20" s="76">
        <f>(((Table134567891011121314151617343[[#This Row],[ITA]]-VLOOKUP($U$1,A:B,2,))/VLOOKUP($U$1,A:B,2,))*100)+100</f>
        <v/>
      </c>
      <c r="I20" s="76">
        <f>(((Table134567891011121314151617343[[#This Row],[FRA]]-VLOOKUP($U$1,A:C,3,))/VLOOKUP($U$1,A:C,3,))*100)+100</f>
        <v/>
      </c>
      <c r="J20" s="76">
        <f>(((Table134567891011121314151617343[[#This Row],[DEU]]-VLOOKUP($U$1,A:D,4,))/VLOOKUP($U$1,A:D,4,))*100)+100</f>
        <v/>
      </c>
      <c r="K20" s="76">
        <f>(((Table134567891011121314151617343[[#This Row],[ESP]]-VLOOKUP($U$1,A:E,5,))/VLOOKUP($U$1,A:E,5,))*100)+100</f>
        <v/>
      </c>
      <c r="L20" s="76">
        <f>(((Table134567891011121314151617343[[#This Row],[EA19]]-VLOOKUP($U$1,A:F,6,))/VLOOKUP($U$1,A:F,6,))*100)+100</f>
        <v/>
      </c>
      <c r="M20" s="76">
        <f>(((Table134567891011121314151617343[[#This Row],[GBR]]-VLOOKUP($U$1,A:G,7,))/VLOOKUP($U$1,A:G,7,))*100)+100</f>
        <v/>
      </c>
      <c r="N20" s="76">
        <f>IF(VLOOKUP(A20,Database!$A:$AU,MATCH($N$1,Database!$A$1:$AU$1,0),FALSE)=0,#N/A,VLOOKUP(A20,Database!$A:$AU,MATCH($N$1,Database!$A$1:$AU$1,0),FALSE))</f>
        <v/>
      </c>
      <c r="O20" s="76">
        <f>(((Table134567891011121314151617343[[#This Row],[USA]]-VLOOKUP($U$1,A:N,14,))/VLOOKUP($U$1,A:N,14,))*100)+100</f>
        <v/>
      </c>
      <c r="P20" s="76">
        <f>IF(VLOOKUP(A20,Database!$A:$AS,MATCH($P$1,Database!$A$1:$AS$1,0),FALSE)=0,#N/A,VLOOKUP(A20,Database!$A:$AS,MATCH($P$1,Database!$A$1:$AS$1,0),FALSE))</f>
        <v/>
      </c>
      <c r="Q20" s="76">
        <f>(((Table134567891011121314151617343[[#This Row],[JPN]]-VLOOKUP($U$1,A:Q,16,))/VLOOKUP($U$1,A:Q,16,))*100)+100</f>
        <v/>
      </c>
      <c r="W20" s="86" t="inlineStr">
        <is>
          <t>JPN</t>
        </is>
      </c>
    </row>
    <row r="21" customFormat="1" s="86">
      <c r="A21" s="21" t="n">
        <v>33451</v>
      </c>
      <c r="B21" s="76">
        <f>IF(VLOOKUP(A21,Database!$A:$AS,MATCH($B$1,Database!$A$1:$AS$1,0),FALSE)=0,#N/A,VLOOKUP(A21,Database!$A:$AS,MATCH($B$1,Database!$A$1:$AS$1,0),FALSE))</f>
        <v/>
      </c>
      <c r="C21" s="76">
        <f>IF(VLOOKUP(A21,Database!$A:$AS,MATCH($C$1,Database!$A$1:$AS$1,0),FALSE)=0,#N/A,VLOOKUP(A21,Database!$A:$AS,MATCH($C$1,Database!$A$1:$AS$1,0),FALSE))</f>
        <v/>
      </c>
      <c r="D21" s="76">
        <f>IF(VLOOKUP(A21,Database!$A:$AS,MATCH($D$1,Database!$A$1:$AS$1,0),FALSE)=0,#N/A,VLOOKUP(A21,Database!$A:$AS,MATCH($D$1,Database!$A$1:$AS$1,0),FALSE))</f>
        <v/>
      </c>
      <c r="E21" s="76">
        <f>IF(VLOOKUP(A21,Database!$A:$AS,MATCH($E$1,Database!$A$1:$AS$1,0),FALSE)=0,#N/A,VLOOKUP(A21,Database!$A:$AS,MATCH($E$1,Database!$A$1:$AS$1,0),FALSE))</f>
        <v/>
      </c>
      <c r="F21" s="76">
        <f>IF(VLOOKUP(A21,Database!$A:$AS,MATCH($F$1,Database!$A$1:$AS$1,0),FALSE)=0,#N/A,VLOOKUP(A21,Database!$A:$AS,MATCH($F$1,Database!$A$1:$AS$1,0),FALSE))</f>
        <v/>
      </c>
      <c r="G21" s="76">
        <f>IF(VLOOKUP(A21,Database!$A:$AS,MATCH($G$1,Database!$A$1:$AS$1,0),FALSE)=0,#N/A,VLOOKUP(A21,Database!$A:$AS,MATCH($G$1,Database!$A$1:$AS$1,0),FALSE))</f>
        <v/>
      </c>
      <c r="H21" s="76">
        <f>(((Table134567891011121314151617343[[#This Row],[ITA]]-VLOOKUP($U$1,A:B,2,))/VLOOKUP($U$1,A:B,2,))*100)+100</f>
        <v/>
      </c>
      <c r="I21" s="76">
        <f>(((Table134567891011121314151617343[[#This Row],[FRA]]-VLOOKUP($U$1,A:C,3,))/VLOOKUP($U$1,A:C,3,))*100)+100</f>
        <v/>
      </c>
      <c r="J21" s="76">
        <f>(((Table134567891011121314151617343[[#This Row],[DEU]]-VLOOKUP($U$1,A:D,4,))/VLOOKUP($U$1,A:D,4,))*100)+100</f>
        <v/>
      </c>
      <c r="K21" s="76">
        <f>(((Table134567891011121314151617343[[#This Row],[ESP]]-VLOOKUP($U$1,A:E,5,))/VLOOKUP($U$1,A:E,5,))*100)+100</f>
        <v/>
      </c>
      <c r="L21" s="76">
        <f>(((Table134567891011121314151617343[[#This Row],[EA19]]-VLOOKUP($U$1,A:F,6,))/VLOOKUP($U$1,A:F,6,))*100)+100</f>
        <v/>
      </c>
      <c r="M21" s="76">
        <f>(((Table134567891011121314151617343[[#This Row],[GBR]]-VLOOKUP($U$1,A:G,7,))/VLOOKUP($U$1,A:G,7,))*100)+100</f>
        <v/>
      </c>
      <c r="N21" s="76">
        <f>IF(VLOOKUP(A21,Database!$A:$AU,MATCH($N$1,Database!$A$1:$AU$1,0),FALSE)=0,#N/A,VLOOKUP(A21,Database!$A:$AU,MATCH($N$1,Database!$A$1:$AU$1,0),FALSE))</f>
        <v/>
      </c>
      <c r="O21" s="76">
        <f>(((Table134567891011121314151617343[[#This Row],[USA]]-VLOOKUP($U$1,A:N,14,))/VLOOKUP($U$1,A:N,14,))*100)+100</f>
        <v/>
      </c>
      <c r="P21" s="76">
        <f>IF(VLOOKUP(A21,Database!$A:$AS,MATCH($P$1,Database!$A$1:$AS$1,0),FALSE)=0,#N/A,VLOOKUP(A21,Database!$A:$AS,MATCH($P$1,Database!$A$1:$AS$1,0),FALSE))</f>
        <v/>
      </c>
      <c r="Q21" s="76">
        <f>(((Table134567891011121314151617343[[#This Row],[JPN]]-VLOOKUP($U$1,A:Q,16,))/VLOOKUP($U$1,A:Q,16,))*100)+100</f>
        <v/>
      </c>
      <c r="W21" s="86" t="inlineStr">
        <is>
          <t>KOR</t>
        </is>
      </c>
    </row>
    <row r="22" customFormat="1" s="86">
      <c r="A22" s="21" t="n">
        <v>33482</v>
      </c>
      <c r="B22" s="76">
        <f>IF(VLOOKUP(A22,Database!$A:$AS,MATCH($B$1,Database!$A$1:$AS$1,0),FALSE)=0,#N/A,VLOOKUP(A22,Database!$A:$AS,MATCH($B$1,Database!$A$1:$AS$1,0),FALSE))</f>
        <v/>
      </c>
      <c r="C22" s="76">
        <f>IF(VLOOKUP(A22,Database!$A:$AS,MATCH($C$1,Database!$A$1:$AS$1,0),FALSE)=0,#N/A,VLOOKUP(A22,Database!$A:$AS,MATCH($C$1,Database!$A$1:$AS$1,0),FALSE))</f>
        <v/>
      </c>
      <c r="D22" s="76">
        <f>IF(VLOOKUP(A22,Database!$A:$AS,MATCH($D$1,Database!$A$1:$AS$1,0),FALSE)=0,#N/A,VLOOKUP(A22,Database!$A:$AS,MATCH($D$1,Database!$A$1:$AS$1,0),FALSE))</f>
        <v/>
      </c>
      <c r="E22" s="76">
        <f>IF(VLOOKUP(A22,Database!$A:$AS,MATCH($E$1,Database!$A$1:$AS$1,0),FALSE)=0,#N/A,VLOOKUP(A22,Database!$A:$AS,MATCH($E$1,Database!$A$1:$AS$1,0),FALSE))</f>
        <v/>
      </c>
      <c r="F22" s="76">
        <f>IF(VLOOKUP(A22,Database!$A:$AS,MATCH($F$1,Database!$A$1:$AS$1,0),FALSE)=0,#N/A,VLOOKUP(A22,Database!$A:$AS,MATCH($F$1,Database!$A$1:$AS$1,0),FALSE))</f>
        <v/>
      </c>
      <c r="G22" s="76">
        <f>IF(VLOOKUP(A22,Database!$A:$AS,MATCH($G$1,Database!$A$1:$AS$1,0),FALSE)=0,#N/A,VLOOKUP(A22,Database!$A:$AS,MATCH($G$1,Database!$A$1:$AS$1,0),FALSE))</f>
        <v/>
      </c>
      <c r="H22" s="76">
        <f>(((Table134567891011121314151617343[[#This Row],[ITA]]-VLOOKUP($U$1,A:B,2,))/VLOOKUP($U$1,A:B,2,))*100)+100</f>
        <v/>
      </c>
      <c r="I22" s="76">
        <f>(((Table134567891011121314151617343[[#This Row],[FRA]]-VLOOKUP($U$1,A:C,3,))/VLOOKUP($U$1,A:C,3,))*100)+100</f>
        <v/>
      </c>
      <c r="J22" s="76">
        <f>(((Table134567891011121314151617343[[#This Row],[DEU]]-VLOOKUP($U$1,A:D,4,))/VLOOKUP($U$1,A:D,4,))*100)+100</f>
        <v/>
      </c>
      <c r="K22" s="76">
        <f>(((Table134567891011121314151617343[[#This Row],[ESP]]-VLOOKUP($U$1,A:E,5,))/VLOOKUP($U$1,A:E,5,))*100)+100</f>
        <v/>
      </c>
      <c r="L22" s="76">
        <f>(((Table134567891011121314151617343[[#This Row],[EA19]]-VLOOKUP($U$1,A:F,6,))/VLOOKUP($U$1,A:F,6,))*100)+100</f>
        <v/>
      </c>
      <c r="M22" s="76">
        <f>(((Table134567891011121314151617343[[#This Row],[GBR]]-VLOOKUP($U$1,A:G,7,))/VLOOKUP($U$1,A:G,7,))*100)+100</f>
        <v/>
      </c>
      <c r="N22" s="76">
        <f>IF(VLOOKUP(A22,Database!$A:$AU,MATCH($N$1,Database!$A$1:$AU$1,0),FALSE)=0,#N/A,VLOOKUP(A22,Database!$A:$AU,MATCH($N$1,Database!$A$1:$AU$1,0),FALSE))</f>
        <v/>
      </c>
      <c r="O22" s="76">
        <f>(((Table134567891011121314151617343[[#This Row],[USA]]-VLOOKUP($U$1,A:N,14,))/VLOOKUP($U$1,A:N,14,))*100)+100</f>
        <v/>
      </c>
      <c r="P22" s="76">
        <f>IF(VLOOKUP(A22,Database!$A:$AS,MATCH($P$1,Database!$A$1:$AS$1,0),FALSE)=0,#N/A,VLOOKUP(A22,Database!$A:$AS,MATCH($P$1,Database!$A$1:$AS$1,0),FALSE))</f>
        <v/>
      </c>
      <c r="Q22" s="76">
        <f>(((Table134567891011121314151617343[[#This Row],[JPN]]-VLOOKUP($U$1,A:Q,16,))/VLOOKUP($U$1,A:Q,16,))*100)+100</f>
        <v/>
      </c>
      <c r="W22" s="86" t="inlineStr">
        <is>
          <t>LUX</t>
        </is>
      </c>
    </row>
    <row r="23" customFormat="1" s="86">
      <c r="A23" s="21" t="n">
        <v>33512</v>
      </c>
      <c r="B23" s="76">
        <f>IF(VLOOKUP(A23,Database!$A:$AS,MATCH($B$1,Database!$A$1:$AS$1,0),FALSE)=0,#N/A,VLOOKUP(A23,Database!$A:$AS,MATCH($B$1,Database!$A$1:$AS$1,0),FALSE))</f>
        <v/>
      </c>
      <c r="C23" s="76">
        <f>IF(VLOOKUP(A23,Database!$A:$AS,MATCH($C$1,Database!$A$1:$AS$1,0),FALSE)=0,#N/A,VLOOKUP(A23,Database!$A:$AS,MATCH($C$1,Database!$A$1:$AS$1,0),FALSE))</f>
        <v/>
      </c>
      <c r="D23" s="76">
        <f>IF(VLOOKUP(A23,Database!$A:$AS,MATCH($D$1,Database!$A$1:$AS$1,0),FALSE)=0,#N/A,VLOOKUP(A23,Database!$A:$AS,MATCH($D$1,Database!$A$1:$AS$1,0),FALSE))</f>
        <v/>
      </c>
      <c r="E23" s="76">
        <f>IF(VLOOKUP(A23,Database!$A:$AS,MATCH($E$1,Database!$A$1:$AS$1,0),FALSE)=0,#N/A,VLOOKUP(A23,Database!$A:$AS,MATCH($E$1,Database!$A$1:$AS$1,0),FALSE))</f>
        <v/>
      </c>
      <c r="F23" s="76">
        <f>IF(VLOOKUP(A23,Database!$A:$AS,MATCH($F$1,Database!$A$1:$AS$1,0),FALSE)=0,#N/A,VLOOKUP(A23,Database!$A:$AS,MATCH($F$1,Database!$A$1:$AS$1,0),FALSE))</f>
        <v/>
      </c>
      <c r="G23" s="76">
        <f>IF(VLOOKUP(A23,Database!$A:$AS,MATCH($G$1,Database!$A$1:$AS$1,0),FALSE)=0,#N/A,VLOOKUP(A23,Database!$A:$AS,MATCH($G$1,Database!$A$1:$AS$1,0),FALSE))</f>
        <v/>
      </c>
      <c r="H23" s="76">
        <f>(((Table134567891011121314151617343[[#This Row],[ITA]]-VLOOKUP($U$1,A:B,2,))/VLOOKUP($U$1,A:B,2,))*100)+100</f>
        <v/>
      </c>
      <c r="I23" s="76">
        <f>(((Table134567891011121314151617343[[#This Row],[FRA]]-VLOOKUP($U$1,A:C,3,))/VLOOKUP($U$1,A:C,3,))*100)+100</f>
        <v/>
      </c>
      <c r="J23" s="76">
        <f>(((Table134567891011121314151617343[[#This Row],[DEU]]-VLOOKUP($U$1,A:D,4,))/VLOOKUP($U$1,A:D,4,))*100)+100</f>
        <v/>
      </c>
      <c r="K23" s="76">
        <f>(((Table134567891011121314151617343[[#This Row],[ESP]]-VLOOKUP($U$1,A:E,5,))/VLOOKUP($U$1,A:E,5,))*100)+100</f>
        <v/>
      </c>
      <c r="L23" s="76">
        <f>(((Table134567891011121314151617343[[#This Row],[EA19]]-VLOOKUP($U$1,A:F,6,))/VLOOKUP($U$1,A:F,6,))*100)+100</f>
        <v/>
      </c>
      <c r="M23" s="76">
        <f>(((Table134567891011121314151617343[[#This Row],[GBR]]-VLOOKUP($U$1,A:G,7,))/VLOOKUP($U$1,A:G,7,))*100)+100</f>
        <v/>
      </c>
      <c r="N23" s="76">
        <f>IF(VLOOKUP(A23,Database!$A:$AU,MATCH($N$1,Database!$A$1:$AU$1,0),FALSE)=0,#N/A,VLOOKUP(A23,Database!$A:$AU,MATCH($N$1,Database!$A$1:$AU$1,0),FALSE))</f>
        <v/>
      </c>
      <c r="O23" s="76">
        <f>(((Table134567891011121314151617343[[#This Row],[USA]]-VLOOKUP($U$1,A:N,14,))/VLOOKUP($U$1,A:N,14,))*100)+100</f>
        <v/>
      </c>
      <c r="P23" s="76">
        <f>IF(VLOOKUP(A23,Database!$A:$AS,MATCH($P$1,Database!$A$1:$AS$1,0),FALSE)=0,#N/A,VLOOKUP(A23,Database!$A:$AS,MATCH($P$1,Database!$A$1:$AS$1,0),FALSE))</f>
        <v/>
      </c>
      <c r="Q23" s="76">
        <f>(((Table134567891011121314151617343[[#This Row],[JPN]]-VLOOKUP($U$1,A:Q,16,))/VLOOKUP($U$1,A:Q,16,))*100)+100</f>
        <v/>
      </c>
      <c r="W23" s="86" t="inlineStr">
        <is>
          <t>LVA</t>
        </is>
      </c>
    </row>
    <row r="24" customFormat="1" s="86">
      <c r="A24" s="21" t="n">
        <v>33543</v>
      </c>
      <c r="B24" s="76">
        <f>IF(VLOOKUP(A24,Database!$A:$AS,MATCH($B$1,Database!$A$1:$AS$1,0),FALSE)=0,#N/A,VLOOKUP(A24,Database!$A:$AS,MATCH($B$1,Database!$A$1:$AS$1,0),FALSE))</f>
        <v/>
      </c>
      <c r="C24" s="76">
        <f>IF(VLOOKUP(A24,Database!$A:$AS,MATCH($C$1,Database!$A$1:$AS$1,0),FALSE)=0,#N/A,VLOOKUP(A24,Database!$A:$AS,MATCH($C$1,Database!$A$1:$AS$1,0),FALSE))</f>
        <v/>
      </c>
      <c r="D24" s="76">
        <f>IF(VLOOKUP(A24,Database!$A:$AS,MATCH($D$1,Database!$A$1:$AS$1,0),FALSE)=0,#N/A,VLOOKUP(A24,Database!$A:$AS,MATCH($D$1,Database!$A$1:$AS$1,0),FALSE))</f>
        <v/>
      </c>
      <c r="E24" s="76">
        <f>IF(VLOOKUP(A24,Database!$A:$AS,MATCH($E$1,Database!$A$1:$AS$1,0),FALSE)=0,#N/A,VLOOKUP(A24,Database!$A:$AS,MATCH($E$1,Database!$A$1:$AS$1,0),FALSE))</f>
        <v/>
      </c>
      <c r="F24" s="76">
        <f>IF(VLOOKUP(A24,Database!$A:$AS,MATCH($F$1,Database!$A$1:$AS$1,0),FALSE)=0,#N/A,VLOOKUP(A24,Database!$A:$AS,MATCH($F$1,Database!$A$1:$AS$1,0),FALSE))</f>
        <v/>
      </c>
      <c r="G24" s="76">
        <f>IF(VLOOKUP(A24,Database!$A:$AS,MATCH($G$1,Database!$A$1:$AS$1,0),FALSE)=0,#N/A,VLOOKUP(A24,Database!$A:$AS,MATCH($G$1,Database!$A$1:$AS$1,0),FALSE))</f>
        <v/>
      </c>
      <c r="H24" s="76">
        <f>(((Table134567891011121314151617343[[#This Row],[ITA]]-VLOOKUP($U$1,A:B,2,))/VLOOKUP($U$1,A:B,2,))*100)+100</f>
        <v/>
      </c>
      <c r="I24" s="76">
        <f>(((Table134567891011121314151617343[[#This Row],[FRA]]-VLOOKUP($U$1,A:C,3,))/VLOOKUP($U$1,A:C,3,))*100)+100</f>
        <v/>
      </c>
      <c r="J24" s="76">
        <f>(((Table134567891011121314151617343[[#This Row],[DEU]]-VLOOKUP($U$1,A:D,4,))/VLOOKUP($U$1,A:D,4,))*100)+100</f>
        <v/>
      </c>
      <c r="K24" s="76">
        <f>(((Table134567891011121314151617343[[#This Row],[ESP]]-VLOOKUP($U$1,A:E,5,))/VLOOKUP($U$1,A:E,5,))*100)+100</f>
        <v/>
      </c>
      <c r="L24" s="76">
        <f>(((Table134567891011121314151617343[[#This Row],[EA19]]-VLOOKUP($U$1,A:F,6,))/VLOOKUP($U$1,A:F,6,))*100)+100</f>
        <v/>
      </c>
      <c r="M24" s="76">
        <f>(((Table134567891011121314151617343[[#This Row],[GBR]]-VLOOKUP($U$1,A:G,7,))/VLOOKUP($U$1,A:G,7,))*100)+100</f>
        <v/>
      </c>
      <c r="N24" s="76">
        <f>IF(VLOOKUP(A24,Database!$A:$AU,MATCH($N$1,Database!$A$1:$AU$1,0),FALSE)=0,#N/A,VLOOKUP(A24,Database!$A:$AU,MATCH($N$1,Database!$A$1:$AU$1,0),FALSE))</f>
        <v/>
      </c>
      <c r="O24" s="76">
        <f>(((Table134567891011121314151617343[[#This Row],[USA]]-VLOOKUP($U$1,A:N,14,))/VLOOKUP($U$1,A:N,14,))*100)+100</f>
        <v/>
      </c>
      <c r="P24" s="76">
        <f>IF(VLOOKUP(A24,Database!$A:$AS,MATCH($P$1,Database!$A$1:$AS$1,0),FALSE)=0,#N/A,VLOOKUP(A24,Database!$A:$AS,MATCH($P$1,Database!$A$1:$AS$1,0),FALSE))</f>
        <v/>
      </c>
      <c r="Q24" s="76">
        <f>(((Table134567891011121314151617343[[#This Row],[JPN]]-VLOOKUP($U$1,A:Q,16,))/VLOOKUP($U$1,A:Q,16,))*100)+100</f>
        <v/>
      </c>
      <c r="W24" s="86" t="inlineStr">
        <is>
          <t>MEX</t>
        </is>
      </c>
    </row>
    <row r="25" customFormat="1" s="86">
      <c r="A25" s="21" t="n">
        <v>33573</v>
      </c>
      <c r="B25" s="76">
        <f>IF(VLOOKUP(A25,Database!$A:$AS,MATCH($B$1,Database!$A$1:$AS$1,0),FALSE)=0,#N/A,VLOOKUP(A25,Database!$A:$AS,MATCH($B$1,Database!$A$1:$AS$1,0),FALSE))</f>
        <v/>
      </c>
      <c r="C25" s="76">
        <f>IF(VLOOKUP(A25,Database!$A:$AS,MATCH($C$1,Database!$A$1:$AS$1,0),FALSE)=0,#N/A,VLOOKUP(A25,Database!$A:$AS,MATCH($C$1,Database!$A$1:$AS$1,0),FALSE))</f>
        <v/>
      </c>
      <c r="D25" s="76">
        <f>IF(VLOOKUP(A25,Database!$A:$AS,MATCH($D$1,Database!$A$1:$AS$1,0),FALSE)=0,#N/A,VLOOKUP(A25,Database!$A:$AS,MATCH($D$1,Database!$A$1:$AS$1,0),FALSE))</f>
        <v/>
      </c>
      <c r="E25" s="76">
        <f>IF(VLOOKUP(A25,Database!$A:$AS,MATCH($E$1,Database!$A$1:$AS$1,0),FALSE)=0,#N/A,VLOOKUP(A25,Database!$A:$AS,MATCH($E$1,Database!$A$1:$AS$1,0),FALSE))</f>
        <v/>
      </c>
      <c r="F25" s="76">
        <f>IF(VLOOKUP(A25,Database!$A:$AS,MATCH($F$1,Database!$A$1:$AS$1,0),FALSE)=0,#N/A,VLOOKUP(A25,Database!$A:$AS,MATCH($F$1,Database!$A$1:$AS$1,0),FALSE))</f>
        <v/>
      </c>
      <c r="G25" s="76">
        <f>IF(VLOOKUP(A25,Database!$A:$AS,MATCH($G$1,Database!$A$1:$AS$1,0),FALSE)=0,#N/A,VLOOKUP(A25,Database!$A:$AS,MATCH($G$1,Database!$A$1:$AS$1,0),FALSE))</f>
        <v/>
      </c>
      <c r="H25" s="76">
        <f>(((Table134567891011121314151617343[[#This Row],[ITA]]-VLOOKUP($U$1,A:B,2,))/VLOOKUP($U$1,A:B,2,))*100)+100</f>
        <v/>
      </c>
      <c r="I25" s="76">
        <f>(((Table134567891011121314151617343[[#This Row],[FRA]]-VLOOKUP($U$1,A:C,3,))/VLOOKUP($U$1,A:C,3,))*100)+100</f>
        <v/>
      </c>
      <c r="J25" s="76">
        <f>(((Table134567891011121314151617343[[#This Row],[DEU]]-VLOOKUP($U$1,A:D,4,))/VLOOKUP($U$1,A:D,4,))*100)+100</f>
        <v/>
      </c>
      <c r="K25" s="76">
        <f>(((Table134567891011121314151617343[[#This Row],[ESP]]-VLOOKUP($U$1,A:E,5,))/VLOOKUP($U$1,A:E,5,))*100)+100</f>
        <v/>
      </c>
      <c r="L25" s="76">
        <f>(((Table134567891011121314151617343[[#This Row],[EA19]]-VLOOKUP($U$1,A:F,6,))/VLOOKUP($U$1,A:F,6,))*100)+100</f>
        <v/>
      </c>
      <c r="M25" s="76">
        <f>(((Table134567891011121314151617343[[#This Row],[GBR]]-VLOOKUP($U$1,A:G,7,))/VLOOKUP($U$1,A:G,7,))*100)+100</f>
        <v/>
      </c>
      <c r="N25" s="76">
        <f>IF(VLOOKUP(A25,Database!$A:$AU,MATCH($N$1,Database!$A$1:$AU$1,0),FALSE)=0,#N/A,VLOOKUP(A25,Database!$A:$AU,MATCH($N$1,Database!$A$1:$AU$1,0),FALSE))</f>
        <v/>
      </c>
      <c r="O25" s="76">
        <f>(((Table134567891011121314151617343[[#This Row],[USA]]-VLOOKUP($U$1,A:N,14,))/VLOOKUP($U$1,A:N,14,))*100)+100</f>
        <v/>
      </c>
      <c r="P25" s="76">
        <f>IF(VLOOKUP(A25,Database!$A:$AS,MATCH($P$1,Database!$A$1:$AS$1,0),FALSE)=0,#N/A,VLOOKUP(A25,Database!$A:$AS,MATCH($P$1,Database!$A$1:$AS$1,0),FALSE))</f>
        <v/>
      </c>
      <c r="Q25" s="76">
        <f>(((Table134567891011121314151617343[[#This Row],[JPN]]-VLOOKUP($U$1,A:Q,16,))/VLOOKUP($U$1,A:Q,16,))*100)+100</f>
        <v/>
      </c>
      <c r="W25" s="86" t="inlineStr">
        <is>
          <t>NLD</t>
        </is>
      </c>
    </row>
    <row r="26" customFormat="1" s="86">
      <c r="A26" s="21" t="n">
        <v>33604</v>
      </c>
      <c r="B26" s="76">
        <f>IF(VLOOKUP(A26,Database!$A:$AS,MATCH($B$1,Database!$A$1:$AS$1,0),FALSE)=0,#N/A,VLOOKUP(A26,Database!$A:$AS,MATCH($B$1,Database!$A$1:$AS$1,0),FALSE))</f>
        <v/>
      </c>
      <c r="C26" s="76">
        <f>IF(VLOOKUP(A26,Database!$A:$AS,MATCH($C$1,Database!$A$1:$AS$1,0),FALSE)=0,#N/A,VLOOKUP(A26,Database!$A:$AS,MATCH($C$1,Database!$A$1:$AS$1,0),FALSE))</f>
        <v/>
      </c>
      <c r="D26" s="76">
        <f>IF(VLOOKUP(A26,Database!$A:$AS,MATCH($D$1,Database!$A$1:$AS$1,0),FALSE)=0,#N/A,VLOOKUP(A26,Database!$A:$AS,MATCH($D$1,Database!$A$1:$AS$1,0),FALSE))</f>
        <v/>
      </c>
      <c r="E26" s="76">
        <f>IF(VLOOKUP(A26,Database!$A:$AS,MATCH($E$1,Database!$A$1:$AS$1,0),FALSE)=0,#N/A,VLOOKUP(A26,Database!$A:$AS,MATCH($E$1,Database!$A$1:$AS$1,0),FALSE))</f>
        <v/>
      </c>
      <c r="F26" s="76">
        <f>IF(VLOOKUP(A26,Database!$A:$AS,MATCH($F$1,Database!$A$1:$AS$1,0),FALSE)=0,#N/A,VLOOKUP(A26,Database!$A:$AS,MATCH($F$1,Database!$A$1:$AS$1,0),FALSE))</f>
        <v/>
      </c>
      <c r="G26" s="76">
        <f>IF(VLOOKUP(A26,Database!$A:$AS,MATCH($G$1,Database!$A$1:$AS$1,0),FALSE)=0,#N/A,VLOOKUP(A26,Database!$A:$AS,MATCH($G$1,Database!$A$1:$AS$1,0),FALSE))</f>
        <v/>
      </c>
      <c r="H26" s="76">
        <f>(((Table134567891011121314151617343[[#This Row],[ITA]]-VLOOKUP($U$1,A:B,2,))/VLOOKUP($U$1,A:B,2,))*100)+100</f>
        <v/>
      </c>
      <c r="I26" s="76">
        <f>(((Table134567891011121314151617343[[#This Row],[FRA]]-VLOOKUP($U$1,A:C,3,))/VLOOKUP($U$1,A:C,3,))*100)+100</f>
        <v/>
      </c>
      <c r="J26" s="76">
        <f>(((Table134567891011121314151617343[[#This Row],[DEU]]-VLOOKUP($U$1,A:D,4,))/VLOOKUP($U$1,A:D,4,))*100)+100</f>
        <v/>
      </c>
      <c r="K26" s="76">
        <f>(((Table134567891011121314151617343[[#This Row],[ESP]]-VLOOKUP($U$1,A:E,5,))/VLOOKUP($U$1,A:E,5,))*100)+100</f>
        <v/>
      </c>
      <c r="L26" s="76">
        <f>(((Table134567891011121314151617343[[#This Row],[EA19]]-VLOOKUP($U$1,A:F,6,))/VLOOKUP($U$1,A:F,6,))*100)+100</f>
        <v/>
      </c>
      <c r="M26" s="76">
        <f>(((Table134567891011121314151617343[[#This Row],[GBR]]-VLOOKUP($U$1,A:G,7,))/VLOOKUP($U$1,A:G,7,))*100)+100</f>
        <v/>
      </c>
      <c r="N26" s="76">
        <f>IF(VLOOKUP(A26,Database!$A:$AU,MATCH($N$1,Database!$A$1:$AU$1,0),FALSE)=0,#N/A,VLOOKUP(A26,Database!$A:$AU,MATCH($N$1,Database!$A$1:$AU$1,0),FALSE))</f>
        <v/>
      </c>
      <c r="O26" s="76">
        <f>(((Table134567891011121314151617343[[#This Row],[USA]]-VLOOKUP($U$1,A:N,14,))/VLOOKUP($U$1,A:N,14,))*100)+100</f>
        <v/>
      </c>
      <c r="P26" s="76">
        <f>IF(VLOOKUP(A26,Database!$A:$AS,MATCH($P$1,Database!$A$1:$AS$1,0),FALSE)=0,#N/A,VLOOKUP(A26,Database!$A:$AS,MATCH($P$1,Database!$A$1:$AS$1,0),FALSE))</f>
        <v/>
      </c>
      <c r="Q26" s="76">
        <f>(((Table134567891011121314151617343[[#This Row],[JPN]]-VLOOKUP($U$1,A:Q,16,))/VLOOKUP($U$1,A:Q,16,))*100)+100</f>
        <v/>
      </c>
      <c r="W26" s="86" t="inlineStr">
        <is>
          <t>NOR</t>
        </is>
      </c>
    </row>
    <row r="27" customFormat="1" s="86">
      <c r="A27" s="21" t="n">
        <v>33635</v>
      </c>
      <c r="B27" s="76">
        <f>IF(VLOOKUP(A27,Database!$A:$AS,MATCH($B$1,Database!$A$1:$AS$1,0),FALSE)=0,#N/A,VLOOKUP(A27,Database!$A:$AS,MATCH($B$1,Database!$A$1:$AS$1,0),FALSE))</f>
        <v/>
      </c>
      <c r="C27" s="76">
        <f>IF(VLOOKUP(A27,Database!$A:$AS,MATCH($C$1,Database!$A$1:$AS$1,0),FALSE)=0,#N/A,VLOOKUP(A27,Database!$A:$AS,MATCH($C$1,Database!$A$1:$AS$1,0),FALSE))</f>
        <v/>
      </c>
      <c r="D27" s="76">
        <f>IF(VLOOKUP(A27,Database!$A:$AS,MATCH($D$1,Database!$A$1:$AS$1,0),FALSE)=0,#N/A,VLOOKUP(A27,Database!$A:$AS,MATCH($D$1,Database!$A$1:$AS$1,0),FALSE))</f>
        <v/>
      </c>
      <c r="E27" s="76">
        <f>IF(VLOOKUP(A27,Database!$A:$AS,MATCH($E$1,Database!$A$1:$AS$1,0),FALSE)=0,#N/A,VLOOKUP(A27,Database!$A:$AS,MATCH($E$1,Database!$A$1:$AS$1,0),FALSE))</f>
        <v/>
      </c>
      <c r="F27" s="76">
        <f>IF(VLOOKUP(A27,Database!$A:$AS,MATCH($F$1,Database!$A$1:$AS$1,0),FALSE)=0,#N/A,VLOOKUP(A27,Database!$A:$AS,MATCH($F$1,Database!$A$1:$AS$1,0),FALSE))</f>
        <v/>
      </c>
      <c r="G27" s="76">
        <f>IF(VLOOKUP(A27,Database!$A:$AS,MATCH($G$1,Database!$A$1:$AS$1,0),FALSE)=0,#N/A,VLOOKUP(A27,Database!$A:$AS,MATCH($G$1,Database!$A$1:$AS$1,0),FALSE))</f>
        <v/>
      </c>
      <c r="H27" s="76">
        <f>(((Table134567891011121314151617343[[#This Row],[ITA]]-VLOOKUP($U$1,A:B,2,))/VLOOKUP($U$1,A:B,2,))*100)+100</f>
        <v/>
      </c>
      <c r="I27" s="76">
        <f>(((Table134567891011121314151617343[[#This Row],[FRA]]-VLOOKUP($U$1,A:C,3,))/VLOOKUP($U$1,A:C,3,))*100)+100</f>
        <v/>
      </c>
      <c r="J27" s="76">
        <f>(((Table134567891011121314151617343[[#This Row],[DEU]]-VLOOKUP($U$1,A:D,4,))/VLOOKUP($U$1,A:D,4,))*100)+100</f>
        <v/>
      </c>
      <c r="K27" s="76">
        <f>(((Table134567891011121314151617343[[#This Row],[ESP]]-VLOOKUP($U$1,A:E,5,))/VLOOKUP($U$1,A:E,5,))*100)+100</f>
        <v/>
      </c>
      <c r="L27" s="76">
        <f>(((Table134567891011121314151617343[[#This Row],[EA19]]-VLOOKUP($U$1,A:F,6,))/VLOOKUP($U$1,A:F,6,))*100)+100</f>
        <v/>
      </c>
      <c r="M27" s="76">
        <f>(((Table134567891011121314151617343[[#This Row],[GBR]]-VLOOKUP($U$1,A:G,7,))/VLOOKUP($U$1,A:G,7,))*100)+100</f>
        <v/>
      </c>
      <c r="N27" s="76">
        <f>IF(VLOOKUP(A27,Database!$A:$AU,MATCH($N$1,Database!$A$1:$AU$1,0),FALSE)=0,#N/A,VLOOKUP(A27,Database!$A:$AU,MATCH($N$1,Database!$A$1:$AU$1,0),FALSE))</f>
        <v/>
      </c>
      <c r="O27" s="76">
        <f>(((Table134567891011121314151617343[[#This Row],[USA]]-VLOOKUP($U$1,A:N,14,))/VLOOKUP($U$1,A:N,14,))*100)+100</f>
        <v/>
      </c>
      <c r="P27" s="76">
        <f>IF(VLOOKUP(A27,Database!$A:$AS,MATCH($P$1,Database!$A$1:$AS$1,0),FALSE)=0,#N/A,VLOOKUP(A27,Database!$A:$AS,MATCH($P$1,Database!$A$1:$AS$1,0),FALSE))</f>
        <v/>
      </c>
      <c r="Q27" s="76">
        <f>(((Table134567891011121314151617343[[#This Row],[JPN]]-VLOOKUP($U$1,A:Q,16,))/VLOOKUP($U$1,A:Q,16,))*100)+100</f>
        <v/>
      </c>
      <c r="W27" s="86" t="inlineStr">
        <is>
          <t>OECD</t>
        </is>
      </c>
    </row>
    <row r="28" customFormat="1" s="86">
      <c r="A28" s="21" t="n">
        <v>33664</v>
      </c>
      <c r="B28" s="76">
        <f>IF(VLOOKUP(A28,Database!$A:$AS,MATCH($B$1,Database!$A$1:$AS$1,0),FALSE)=0,#N/A,VLOOKUP(A28,Database!$A:$AS,MATCH($B$1,Database!$A$1:$AS$1,0),FALSE))</f>
        <v/>
      </c>
      <c r="C28" s="76">
        <f>IF(VLOOKUP(A28,Database!$A:$AS,MATCH($C$1,Database!$A$1:$AS$1,0),FALSE)=0,#N/A,VLOOKUP(A28,Database!$A:$AS,MATCH($C$1,Database!$A$1:$AS$1,0),FALSE))</f>
        <v/>
      </c>
      <c r="D28" s="76">
        <f>IF(VLOOKUP(A28,Database!$A:$AS,MATCH($D$1,Database!$A$1:$AS$1,0),FALSE)=0,#N/A,VLOOKUP(A28,Database!$A:$AS,MATCH($D$1,Database!$A$1:$AS$1,0),FALSE))</f>
        <v/>
      </c>
      <c r="E28" s="76">
        <f>IF(VLOOKUP(A28,Database!$A:$AS,MATCH($E$1,Database!$A$1:$AS$1,0),FALSE)=0,#N/A,VLOOKUP(A28,Database!$A:$AS,MATCH($E$1,Database!$A$1:$AS$1,0),FALSE))</f>
        <v/>
      </c>
      <c r="F28" s="76">
        <f>IF(VLOOKUP(A28,Database!$A:$AS,MATCH($F$1,Database!$A$1:$AS$1,0),FALSE)=0,#N/A,VLOOKUP(A28,Database!$A:$AS,MATCH($F$1,Database!$A$1:$AS$1,0),FALSE))</f>
        <v/>
      </c>
      <c r="G28" s="76">
        <f>IF(VLOOKUP(A28,Database!$A:$AS,MATCH($G$1,Database!$A$1:$AS$1,0),FALSE)=0,#N/A,VLOOKUP(A28,Database!$A:$AS,MATCH($G$1,Database!$A$1:$AS$1,0),FALSE))</f>
        <v/>
      </c>
      <c r="H28" s="76">
        <f>(((Table134567891011121314151617343[[#This Row],[ITA]]-VLOOKUP($U$1,A:B,2,))/VLOOKUP($U$1,A:B,2,))*100)+100</f>
        <v/>
      </c>
      <c r="I28" s="76">
        <f>(((Table134567891011121314151617343[[#This Row],[FRA]]-VLOOKUP($U$1,A:C,3,))/VLOOKUP($U$1,A:C,3,))*100)+100</f>
        <v/>
      </c>
      <c r="J28" s="76">
        <f>(((Table134567891011121314151617343[[#This Row],[DEU]]-VLOOKUP($U$1,A:D,4,))/VLOOKUP($U$1,A:D,4,))*100)+100</f>
        <v/>
      </c>
      <c r="K28" s="76">
        <f>(((Table134567891011121314151617343[[#This Row],[ESP]]-VLOOKUP($U$1,A:E,5,))/VLOOKUP($U$1,A:E,5,))*100)+100</f>
        <v/>
      </c>
      <c r="L28" s="76">
        <f>(((Table134567891011121314151617343[[#This Row],[EA19]]-VLOOKUP($U$1,A:F,6,))/VLOOKUP($U$1,A:F,6,))*100)+100</f>
        <v/>
      </c>
      <c r="M28" s="76">
        <f>(((Table134567891011121314151617343[[#This Row],[GBR]]-VLOOKUP($U$1,A:G,7,))/VLOOKUP($U$1,A:G,7,))*100)+100</f>
        <v/>
      </c>
      <c r="N28" s="76">
        <f>IF(VLOOKUP(A28,Database!$A:$AU,MATCH($N$1,Database!$A$1:$AU$1,0),FALSE)=0,#N/A,VLOOKUP(A28,Database!$A:$AU,MATCH($N$1,Database!$A$1:$AU$1,0),FALSE))</f>
        <v/>
      </c>
      <c r="O28" s="76">
        <f>(((Table134567891011121314151617343[[#This Row],[USA]]-VLOOKUP($U$1,A:N,14,))/VLOOKUP($U$1,A:N,14,))*100)+100</f>
        <v/>
      </c>
      <c r="P28" s="76">
        <f>IF(VLOOKUP(A28,Database!$A:$AS,MATCH($P$1,Database!$A$1:$AS$1,0),FALSE)=0,#N/A,VLOOKUP(A28,Database!$A:$AS,MATCH($P$1,Database!$A$1:$AS$1,0),FALSE))</f>
        <v/>
      </c>
      <c r="Q28" s="76">
        <f>(((Table134567891011121314151617343[[#This Row],[JPN]]-VLOOKUP($U$1,A:Q,16,))/VLOOKUP($U$1,A:Q,16,))*100)+100</f>
        <v/>
      </c>
      <c r="W28" s="86" t="inlineStr">
        <is>
          <t>POL</t>
        </is>
      </c>
    </row>
    <row r="29" customFormat="1" s="86">
      <c r="A29" s="21" t="n">
        <v>33695</v>
      </c>
      <c r="B29" s="76">
        <f>IF(VLOOKUP(A29,Database!$A:$AS,MATCH($B$1,Database!$A$1:$AS$1,0),FALSE)=0,#N/A,VLOOKUP(A29,Database!$A:$AS,MATCH($B$1,Database!$A$1:$AS$1,0),FALSE))</f>
        <v/>
      </c>
      <c r="C29" s="76">
        <f>IF(VLOOKUP(A29,Database!$A:$AS,MATCH($C$1,Database!$A$1:$AS$1,0),FALSE)=0,#N/A,VLOOKUP(A29,Database!$A:$AS,MATCH($C$1,Database!$A$1:$AS$1,0),FALSE))</f>
        <v/>
      </c>
      <c r="D29" s="76">
        <f>IF(VLOOKUP(A29,Database!$A:$AS,MATCH($D$1,Database!$A$1:$AS$1,0),FALSE)=0,#N/A,VLOOKUP(A29,Database!$A:$AS,MATCH($D$1,Database!$A$1:$AS$1,0),FALSE))</f>
        <v/>
      </c>
      <c r="E29" s="76">
        <f>IF(VLOOKUP(A29,Database!$A:$AS,MATCH($E$1,Database!$A$1:$AS$1,0),FALSE)=0,#N/A,VLOOKUP(A29,Database!$A:$AS,MATCH($E$1,Database!$A$1:$AS$1,0),FALSE))</f>
        <v/>
      </c>
      <c r="F29" s="76">
        <f>IF(VLOOKUP(A29,Database!$A:$AS,MATCH($F$1,Database!$A$1:$AS$1,0),FALSE)=0,#N/A,VLOOKUP(A29,Database!$A:$AS,MATCH($F$1,Database!$A$1:$AS$1,0),FALSE))</f>
        <v/>
      </c>
      <c r="G29" s="76">
        <f>IF(VLOOKUP(A29,Database!$A:$AS,MATCH($G$1,Database!$A$1:$AS$1,0),FALSE)=0,#N/A,VLOOKUP(A29,Database!$A:$AS,MATCH($G$1,Database!$A$1:$AS$1,0),FALSE))</f>
        <v/>
      </c>
      <c r="H29" s="76">
        <f>(((Table134567891011121314151617343[[#This Row],[ITA]]-VLOOKUP($U$1,A:B,2,))/VLOOKUP($U$1,A:B,2,))*100)+100</f>
        <v/>
      </c>
      <c r="I29" s="76">
        <f>(((Table134567891011121314151617343[[#This Row],[FRA]]-VLOOKUP($U$1,A:C,3,))/VLOOKUP($U$1,A:C,3,))*100)+100</f>
        <v/>
      </c>
      <c r="J29" s="76">
        <f>(((Table134567891011121314151617343[[#This Row],[DEU]]-VLOOKUP($U$1,A:D,4,))/VLOOKUP($U$1,A:D,4,))*100)+100</f>
        <v/>
      </c>
      <c r="K29" s="76">
        <f>(((Table134567891011121314151617343[[#This Row],[ESP]]-VLOOKUP($U$1,A:E,5,))/VLOOKUP($U$1,A:E,5,))*100)+100</f>
        <v/>
      </c>
      <c r="L29" s="76">
        <f>(((Table134567891011121314151617343[[#This Row],[EA19]]-VLOOKUP($U$1,A:F,6,))/VLOOKUP($U$1,A:F,6,))*100)+100</f>
        <v/>
      </c>
      <c r="M29" s="76">
        <f>(((Table134567891011121314151617343[[#This Row],[GBR]]-VLOOKUP($U$1,A:G,7,))/VLOOKUP($U$1,A:G,7,))*100)+100</f>
        <v/>
      </c>
      <c r="N29" s="76">
        <f>IF(VLOOKUP(A29,Database!$A:$AU,MATCH($N$1,Database!$A$1:$AU$1,0),FALSE)=0,#N/A,VLOOKUP(A29,Database!$A:$AU,MATCH($N$1,Database!$A$1:$AU$1,0),FALSE))</f>
        <v/>
      </c>
      <c r="O29" s="76">
        <f>(((Table134567891011121314151617343[[#This Row],[USA]]-VLOOKUP($U$1,A:N,14,))/VLOOKUP($U$1,A:N,14,))*100)+100</f>
        <v/>
      </c>
      <c r="P29" s="76">
        <f>IF(VLOOKUP(A29,Database!$A:$AS,MATCH($P$1,Database!$A$1:$AS$1,0),FALSE)=0,#N/A,VLOOKUP(A29,Database!$A:$AS,MATCH($P$1,Database!$A$1:$AS$1,0),FALSE))</f>
        <v/>
      </c>
      <c r="Q29" s="76">
        <f>(((Table134567891011121314151617343[[#This Row],[JPN]]-VLOOKUP($U$1,A:Q,16,))/VLOOKUP($U$1,A:Q,16,))*100)+100</f>
        <v/>
      </c>
      <c r="W29" s="86" t="inlineStr">
        <is>
          <t>PRT</t>
        </is>
      </c>
    </row>
    <row r="30" customFormat="1" s="86">
      <c r="A30" s="21" t="n">
        <v>33725</v>
      </c>
      <c r="B30" s="76">
        <f>IF(VLOOKUP(A30,Database!$A:$AS,MATCH($B$1,Database!$A$1:$AS$1,0),FALSE)=0,#N/A,VLOOKUP(A30,Database!$A:$AS,MATCH($B$1,Database!$A$1:$AS$1,0),FALSE))</f>
        <v/>
      </c>
      <c r="C30" s="76">
        <f>IF(VLOOKUP(A30,Database!$A:$AS,MATCH($C$1,Database!$A$1:$AS$1,0),FALSE)=0,#N/A,VLOOKUP(A30,Database!$A:$AS,MATCH($C$1,Database!$A$1:$AS$1,0),FALSE))</f>
        <v/>
      </c>
      <c r="D30" s="76">
        <f>IF(VLOOKUP(A30,Database!$A:$AS,MATCH($D$1,Database!$A$1:$AS$1,0),FALSE)=0,#N/A,VLOOKUP(A30,Database!$A:$AS,MATCH($D$1,Database!$A$1:$AS$1,0),FALSE))</f>
        <v/>
      </c>
      <c r="E30" s="76">
        <f>IF(VLOOKUP(A30,Database!$A:$AS,MATCH($E$1,Database!$A$1:$AS$1,0),FALSE)=0,#N/A,VLOOKUP(A30,Database!$A:$AS,MATCH($E$1,Database!$A$1:$AS$1,0),FALSE))</f>
        <v/>
      </c>
      <c r="F30" s="76">
        <f>IF(VLOOKUP(A30,Database!$A:$AS,MATCH($F$1,Database!$A$1:$AS$1,0),FALSE)=0,#N/A,VLOOKUP(A30,Database!$A:$AS,MATCH($F$1,Database!$A$1:$AS$1,0),FALSE))</f>
        <v/>
      </c>
      <c r="G30" s="76">
        <f>IF(VLOOKUP(A30,Database!$A:$AS,MATCH($G$1,Database!$A$1:$AS$1,0),FALSE)=0,#N/A,VLOOKUP(A30,Database!$A:$AS,MATCH($G$1,Database!$A$1:$AS$1,0),FALSE))</f>
        <v/>
      </c>
      <c r="H30" s="76">
        <f>(((Table134567891011121314151617343[[#This Row],[ITA]]-VLOOKUP($U$1,A:B,2,))/VLOOKUP($U$1,A:B,2,))*100)+100</f>
        <v/>
      </c>
      <c r="I30" s="76">
        <f>(((Table134567891011121314151617343[[#This Row],[FRA]]-VLOOKUP($U$1,A:C,3,))/VLOOKUP($U$1,A:C,3,))*100)+100</f>
        <v/>
      </c>
      <c r="J30" s="76">
        <f>(((Table134567891011121314151617343[[#This Row],[DEU]]-VLOOKUP($U$1,A:D,4,))/VLOOKUP($U$1,A:D,4,))*100)+100</f>
        <v/>
      </c>
      <c r="K30" s="76">
        <f>(((Table134567891011121314151617343[[#This Row],[ESP]]-VLOOKUP($U$1,A:E,5,))/VLOOKUP($U$1,A:E,5,))*100)+100</f>
        <v/>
      </c>
      <c r="L30" s="76">
        <f>(((Table134567891011121314151617343[[#This Row],[EA19]]-VLOOKUP($U$1,A:F,6,))/VLOOKUP($U$1,A:F,6,))*100)+100</f>
        <v/>
      </c>
      <c r="M30" s="76">
        <f>(((Table134567891011121314151617343[[#This Row],[GBR]]-VLOOKUP($U$1,A:G,7,))/VLOOKUP($U$1,A:G,7,))*100)+100</f>
        <v/>
      </c>
      <c r="N30" s="76">
        <f>IF(VLOOKUP(A30,Database!$A:$AU,MATCH($N$1,Database!$A$1:$AU$1,0),FALSE)=0,#N/A,VLOOKUP(A30,Database!$A:$AU,MATCH($N$1,Database!$A$1:$AU$1,0),FALSE))</f>
        <v/>
      </c>
      <c r="O30" s="76">
        <f>(((Table134567891011121314151617343[[#This Row],[USA]]-VLOOKUP($U$1,A:N,14,))/VLOOKUP($U$1,A:N,14,))*100)+100</f>
        <v/>
      </c>
      <c r="P30" s="76">
        <f>IF(VLOOKUP(A30,Database!$A:$AS,MATCH($P$1,Database!$A$1:$AS$1,0),FALSE)=0,#N/A,VLOOKUP(A30,Database!$A:$AS,MATCH($P$1,Database!$A$1:$AS$1,0),FALSE))</f>
        <v/>
      </c>
      <c r="Q30" s="76">
        <f>(((Table134567891011121314151617343[[#This Row],[JPN]]-VLOOKUP($U$1,A:Q,16,))/VLOOKUP($U$1,A:Q,16,))*100)+100</f>
        <v/>
      </c>
      <c r="W30" s="86" t="inlineStr">
        <is>
          <t>SVK</t>
        </is>
      </c>
    </row>
    <row r="31" customFormat="1" s="86">
      <c r="A31" s="21" t="n">
        <v>33756</v>
      </c>
      <c r="B31" s="76">
        <f>IF(VLOOKUP(A31,Database!$A:$AS,MATCH($B$1,Database!$A$1:$AS$1,0),FALSE)=0,#N/A,VLOOKUP(A31,Database!$A:$AS,MATCH($B$1,Database!$A$1:$AS$1,0),FALSE))</f>
        <v/>
      </c>
      <c r="C31" s="76">
        <f>IF(VLOOKUP(A31,Database!$A:$AS,MATCH($C$1,Database!$A$1:$AS$1,0),FALSE)=0,#N/A,VLOOKUP(A31,Database!$A:$AS,MATCH($C$1,Database!$A$1:$AS$1,0),FALSE))</f>
        <v/>
      </c>
      <c r="D31" s="76">
        <f>IF(VLOOKUP(A31,Database!$A:$AS,MATCH($D$1,Database!$A$1:$AS$1,0),FALSE)=0,#N/A,VLOOKUP(A31,Database!$A:$AS,MATCH($D$1,Database!$A$1:$AS$1,0),FALSE))</f>
        <v/>
      </c>
      <c r="E31" s="76">
        <f>IF(VLOOKUP(A31,Database!$A:$AS,MATCH($E$1,Database!$A$1:$AS$1,0),FALSE)=0,#N/A,VLOOKUP(A31,Database!$A:$AS,MATCH($E$1,Database!$A$1:$AS$1,0),FALSE))</f>
        <v/>
      </c>
      <c r="F31" s="76">
        <f>IF(VLOOKUP(A31,Database!$A:$AS,MATCH($F$1,Database!$A$1:$AS$1,0),FALSE)=0,#N/A,VLOOKUP(A31,Database!$A:$AS,MATCH($F$1,Database!$A$1:$AS$1,0),FALSE))</f>
        <v/>
      </c>
      <c r="G31" s="76">
        <f>IF(VLOOKUP(A31,Database!$A:$AS,MATCH($G$1,Database!$A$1:$AS$1,0),FALSE)=0,#N/A,VLOOKUP(A31,Database!$A:$AS,MATCH($G$1,Database!$A$1:$AS$1,0),FALSE))</f>
        <v/>
      </c>
      <c r="H31" s="76">
        <f>(((Table134567891011121314151617343[[#This Row],[ITA]]-VLOOKUP($U$1,A:B,2,))/VLOOKUP($U$1,A:B,2,))*100)+100</f>
        <v/>
      </c>
      <c r="I31" s="76">
        <f>(((Table134567891011121314151617343[[#This Row],[FRA]]-VLOOKUP($U$1,A:C,3,))/VLOOKUP($U$1,A:C,3,))*100)+100</f>
        <v/>
      </c>
      <c r="J31" s="76">
        <f>(((Table134567891011121314151617343[[#This Row],[DEU]]-VLOOKUP($U$1,A:D,4,))/VLOOKUP($U$1,A:D,4,))*100)+100</f>
        <v/>
      </c>
      <c r="K31" s="76">
        <f>(((Table134567891011121314151617343[[#This Row],[ESP]]-VLOOKUP($U$1,A:E,5,))/VLOOKUP($U$1,A:E,5,))*100)+100</f>
        <v/>
      </c>
      <c r="L31" s="76">
        <f>(((Table134567891011121314151617343[[#This Row],[EA19]]-VLOOKUP($U$1,A:F,6,))/VLOOKUP($U$1,A:F,6,))*100)+100</f>
        <v/>
      </c>
      <c r="M31" s="76">
        <f>(((Table134567891011121314151617343[[#This Row],[GBR]]-VLOOKUP($U$1,A:G,7,))/VLOOKUP($U$1,A:G,7,))*100)+100</f>
        <v/>
      </c>
      <c r="N31" s="76">
        <f>IF(VLOOKUP(A31,Database!$A:$AU,MATCH($N$1,Database!$A$1:$AU$1,0),FALSE)=0,#N/A,VLOOKUP(A31,Database!$A:$AU,MATCH($N$1,Database!$A$1:$AU$1,0),FALSE))</f>
        <v/>
      </c>
      <c r="O31" s="76">
        <f>(((Table134567891011121314151617343[[#This Row],[USA]]-VLOOKUP($U$1,A:N,14,))/VLOOKUP($U$1,A:N,14,))*100)+100</f>
        <v/>
      </c>
      <c r="P31" s="76">
        <f>IF(VLOOKUP(A31,Database!$A:$AS,MATCH($P$1,Database!$A$1:$AS$1,0),FALSE)=0,#N/A,VLOOKUP(A31,Database!$A:$AS,MATCH($P$1,Database!$A$1:$AS$1,0),FALSE))</f>
        <v/>
      </c>
      <c r="Q31" s="76">
        <f>(((Table134567891011121314151617343[[#This Row],[JPN]]-VLOOKUP($U$1,A:Q,16,))/VLOOKUP($U$1,A:Q,16,))*100)+100</f>
        <v/>
      </c>
      <c r="W31" s="86" t="inlineStr">
        <is>
          <t>SVN</t>
        </is>
      </c>
    </row>
    <row r="32" customFormat="1" s="86">
      <c r="A32" s="21" t="n">
        <v>33786</v>
      </c>
      <c r="B32" s="76">
        <f>IF(VLOOKUP(A32,Database!$A:$AS,MATCH($B$1,Database!$A$1:$AS$1,0),FALSE)=0,#N/A,VLOOKUP(A32,Database!$A:$AS,MATCH($B$1,Database!$A$1:$AS$1,0),FALSE))</f>
        <v/>
      </c>
      <c r="C32" s="76">
        <f>IF(VLOOKUP(A32,Database!$A:$AS,MATCH($C$1,Database!$A$1:$AS$1,0),FALSE)=0,#N/A,VLOOKUP(A32,Database!$A:$AS,MATCH($C$1,Database!$A$1:$AS$1,0),FALSE))</f>
        <v/>
      </c>
      <c r="D32" s="76">
        <f>IF(VLOOKUP(A32,Database!$A:$AS,MATCH($D$1,Database!$A$1:$AS$1,0),FALSE)=0,#N/A,VLOOKUP(A32,Database!$A:$AS,MATCH($D$1,Database!$A$1:$AS$1,0),FALSE))</f>
        <v/>
      </c>
      <c r="E32" s="76">
        <f>IF(VLOOKUP(A32,Database!$A:$AS,MATCH($E$1,Database!$A$1:$AS$1,0),FALSE)=0,#N/A,VLOOKUP(A32,Database!$A:$AS,MATCH($E$1,Database!$A$1:$AS$1,0),FALSE))</f>
        <v/>
      </c>
      <c r="F32" s="76">
        <f>IF(VLOOKUP(A32,Database!$A:$AS,MATCH($F$1,Database!$A$1:$AS$1,0),FALSE)=0,#N/A,VLOOKUP(A32,Database!$A:$AS,MATCH($F$1,Database!$A$1:$AS$1,0),FALSE))</f>
        <v/>
      </c>
      <c r="G32" s="76">
        <f>IF(VLOOKUP(A32,Database!$A:$AS,MATCH($G$1,Database!$A$1:$AS$1,0),FALSE)=0,#N/A,VLOOKUP(A32,Database!$A:$AS,MATCH($G$1,Database!$A$1:$AS$1,0),FALSE))</f>
        <v/>
      </c>
      <c r="H32" s="76">
        <f>(((Table134567891011121314151617343[[#This Row],[ITA]]-VLOOKUP($U$1,A:B,2,))/VLOOKUP($U$1,A:B,2,))*100)+100</f>
        <v/>
      </c>
      <c r="I32" s="76">
        <f>(((Table134567891011121314151617343[[#This Row],[FRA]]-VLOOKUP($U$1,A:C,3,))/VLOOKUP($U$1,A:C,3,))*100)+100</f>
        <v/>
      </c>
      <c r="J32" s="76">
        <f>(((Table134567891011121314151617343[[#This Row],[DEU]]-VLOOKUP($U$1,A:D,4,))/VLOOKUP($U$1,A:D,4,))*100)+100</f>
        <v/>
      </c>
      <c r="K32" s="76">
        <f>(((Table134567891011121314151617343[[#This Row],[ESP]]-VLOOKUP($U$1,A:E,5,))/VLOOKUP($U$1,A:E,5,))*100)+100</f>
        <v/>
      </c>
      <c r="L32" s="76">
        <f>(((Table134567891011121314151617343[[#This Row],[EA19]]-VLOOKUP($U$1,A:F,6,))/VLOOKUP($U$1,A:F,6,))*100)+100</f>
        <v/>
      </c>
      <c r="M32" s="76">
        <f>(((Table134567891011121314151617343[[#This Row],[GBR]]-VLOOKUP($U$1,A:G,7,))/VLOOKUP($U$1,A:G,7,))*100)+100</f>
        <v/>
      </c>
      <c r="N32" s="76">
        <f>IF(VLOOKUP(A32,Database!$A:$AU,MATCH($N$1,Database!$A$1:$AU$1,0),FALSE)=0,#N/A,VLOOKUP(A32,Database!$A:$AU,MATCH($N$1,Database!$A$1:$AU$1,0),FALSE))</f>
        <v/>
      </c>
      <c r="O32" s="76">
        <f>(((Table134567891011121314151617343[[#This Row],[USA]]-VLOOKUP($U$1,A:N,14,))/VLOOKUP($U$1,A:N,14,))*100)+100</f>
        <v/>
      </c>
      <c r="P32" s="76">
        <f>IF(VLOOKUP(A32,Database!$A:$AS,MATCH($P$1,Database!$A$1:$AS$1,0),FALSE)=0,#N/A,VLOOKUP(A32,Database!$A:$AS,MATCH($P$1,Database!$A$1:$AS$1,0),FALSE))</f>
        <v/>
      </c>
      <c r="Q32" s="76">
        <f>(((Table134567891011121314151617343[[#This Row],[JPN]]-VLOOKUP($U$1,A:Q,16,))/VLOOKUP($U$1,A:Q,16,))*100)+100</f>
        <v/>
      </c>
      <c r="W32" s="86" t="inlineStr">
        <is>
          <t>SWE</t>
        </is>
      </c>
    </row>
    <row r="33" customFormat="1" s="86">
      <c r="A33" s="21" t="n">
        <v>33817</v>
      </c>
      <c r="B33" s="76">
        <f>IF(VLOOKUP(A33,Database!$A:$AS,MATCH($B$1,Database!$A$1:$AS$1,0),FALSE)=0,#N/A,VLOOKUP(A33,Database!$A:$AS,MATCH($B$1,Database!$A$1:$AS$1,0),FALSE))</f>
        <v/>
      </c>
      <c r="C33" s="76">
        <f>IF(VLOOKUP(A33,Database!$A:$AS,MATCH($C$1,Database!$A$1:$AS$1,0),FALSE)=0,#N/A,VLOOKUP(A33,Database!$A:$AS,MATCH($C$1,Database!$A$1:$AS$1,0),FALSE))</f>
        <v/>
      </c>
      <c r="D33" s="76">
        <f>IF(VLOOKUP(A33,Database!$A:$AS,MATCH($D$1,Database!$A$1:$AS$1,0),FALSE)=0,#N/A,VLOOKUP(A33,Database!$A:$AS,MATCH($D$1,Database!$A$1:$AS$1,0),FALSE))</f>
        <v/>
      </c>
      <c r="E33" s="76">
        <f>IF(VLOOKUP(A33,Database!$A:$AS,MATCH($E$1,Database!$A$1:$AS$1,0),FALSE)=0,#N/A,VLOOKUP(A33,Database!$A:$AS,MATCH($E$1,Database!$A$1:$AS$1,0),FALSE))</f>
        <v/>
      </c>
      <c r="F33" s="76">
        <f>IF(VLOOKUP(A33,Database!$A:$AS,MATCH($F$1,Database!$A$1:$AS$1,0),FALSE)=0,#N/A,VLOOKUP(A33,Database!$A:$AS,MATCH($F$1,Database!$A$1:$AS$1,0),FALSE))</f>
        <v/>
      </c>
      <c r="G33" s="76">
        <f>IF(VLOOKUP(A33,Database!$A:$AS,MATCH($G$1,Database!$A$1:$AS$1,0),FALSE)=0,#N/A,VLOOKUP(A33,Database!$A:$AS,MATCH($G$1,Database!$A$1:$AS$1,0),FALSE))</f>
        <v/>
      </c>
      <c r="H33" s="76">
        <f>(((Table134567891011121314151617343[[#This Row],[ITA]]-VLOOKUP($U$1,A:B,2,))/VLOOKUP($U$1,A:B,2,))*100)+100</f>
        <v/>
      </c>
      <c r="I33" s="76">
        <f>(((Table134567891011121314151617343[[#This Row],[FRA]]-VLOOKUP($U$1,A:C,3,))/VLOOKUP($U$1,A:C,3,))*100)+100</f>
        <v/>
      </c>
      <c r="J33" s="76">
        <f>(((Table134567891011121314151617343[[#This Row],[DEU]]-VLOOKUP($U$1,A:D,4,))/VLOOKUP($U$1,A:D,4,))*100)+100</f>
        <v/>
      </c>
      <c r="K33" s="76">
        <f>(((Table134567891011121314151617343[[#This Row],[ESP]]-VLOOKUP($U$1,A:E,5,))/VLOOKUP($U$1,A:E,5,))*100)+100</f>
        <v/>
      </c>
      <c r="L33" s="76">
        <f>(((Table134567891011121314151617343[[#This Row],[EA19]]-VLOOKUP($U$1,A:F,6,))/VLOOKUP($U$1,A:F,6,))*100)+100</f>
        <v/>
      </c>
      <c r="M33" s="76">
        <f>(((Table134567891011121314151617343[[#This Row],[GBR]]-VLOOKUP($U$1,A:G,7,))/VLOOKUP($U$1,A:G,7,))*100)+100</f>
        <v/>
      </c>
      <c r="N33" s="76">
        <f>IF(VLOOKUP(A33,Database!$A:$AU,MATCH($N$1,Database!$A$1:$AU$1,0),FALSE)=0,#N/A,VLOOKUP(A33,Database!$A:$AU,MATCH($N$1,Database!$A$1:$AU$1,0),FALSE))</f>
        <v/>
      </c>
      <c r="O33" s="76">
        <f>(((Table134567891011121314151617343[[#This Row],[USA]]-VLOOKUP($U$1,A:N,14,))/VLOOKUP($U$1,A:N,14,))*100)+100</f>
        <v/>
      </c>
      <c r="P33" s="76">
        <f>IF(VLOOKUP(A33,Database!$A:$AS,MATCH($P$1,Database!$A$1:$AS$1,0),FALSE)=0,#N/A,VLOOKUP(A33,Database!$A:$AS,MATCH($P$1,Database!$A$1:$AS$1,0),FALSE))</f>
        <v/>
      </c>
      <c r="Q33" s="76">
        <f>(((Table134567891011121314151617343[[#This Row],[JPN]]-VLOOKUP($U$1,A:Q,16,))/VLOOKUP($U$1,A:Q,16,))*100)+100</f>
        <v/>
      </c>
      <c r="W33" s="86" t="inlineStr">
        <is>
          <t>TUR</t>
        </is>
      </c>
    </row>
    <row r="34" customFormat="1" s="86">
      <c r="A34" s="21" t="n">
        <v>33848</v>
      </c>
      <c r="B34" s="76">
        <f>IF(VLOOKUP(A34,Database!$A:$AS,MATCH($B$1,Database!$A$1:$AS$1,0),FALSE)=0,#N/A,VLOOKUP(A34,Database!$A:$AS,MATCH($B$1,Database!$A$1:$AS$1,0),FALSE))</f>
        <v/>
      </c>
      <c r="C34" s="76">
        <f>IF(VLOOKUP(A34,Database!$A:$AS,MATCH($C$1,Database!$A$1:$AS$1,0),FALSE)=0,#N/A,VLOOKUP(A34,Database!$A:$AS,MATCH($C$1,Database!$A$1:$AS$1,0),FALSE))</f>
        <v/>
      </c>
      <c r="D34" s="76">
        <f>IF(VLOOKUP(A34,Database!$A:$AS,MATCH($D$1,Database!$A$1:$AS$1,0),FALSE)=0,#N/A,VLOOKUP(A34,Database!$A:$AS,MATCH($D$1,Database!$A$1:$AS$1,0),FALSE))</f>
        <v/>
      </c>
      <c r="E34" s="76">
        <f>IF(VLOOKUP(A34,Database!$A:$AS,MATCH($E$1,Database!$A$1:$AS$1,0),FALSE)=0,#N/A,VLOOKUP(A34,Database!$A:$AS,MATCH($E$1,Database!$A$1:$AS$1,0),FALSE))</f>
        <v/>
      </c>
      <c r="F34" s="76">
        <f>IF(VLOOKUP(A34,Database!$A:$AS,MATCH($F$1,Database!$A$1:$AS$1,0),FALSE)=0,#N/A,VLOOKUP(A34,Database!$A:$AS,MATCH($F$1,Database!$A$1:$AS$1,0),FALSE))</f>
        <v/>
      </c>
      <c r="G34" s="76">
        <f>IF(VLOOKUP(A34,Database!$A:$AS,MATCH($G$1,Database!$A$1:$AS$1,0),FALSE)=0,#N/A,VLOOKUP(A34,Database!$A:$AS,MATCH($G$1,Database!$A$1:$AS$1,0),FALSE))</f>
        <v/>
      </c>
      <c r="H34" s="76">
        <f>(((Table134567891011121314151617343[[#This Row],[ITA]]-VLOOKUP($U$1,A:B,2,))/VLOOKUP($U$1,A:B,2,))*100)+100</f>
        <v/>
      </c>
      <c r="I34" s="76">
        <f>(((Table134567891011121314151617343[[#This Row],[FRA]]-VLOOKUP($U$1,A:C,3,))/VLOOKUP($U$1,A:C,3,))*100)+100</f>
        <v/>
      </c>
      <c r="J34" s="76">
        <f>(((Table134567891011121314151617343[[#This Row],[DEU]]-VLOOKUP($U$1,A:D,4,))/VLOOKUP($U$1,A:D,4,))*100)+100</f>
        <v/>
      </c>
      <c r="K34" s="76">
        <f>(((Table134567891011121314151617343[[#This Row],[ESP]]-VLOOKUP($U$1,A:E,5,))/VLOOKUP($U$1,A:E,5,))*100)+100</f>
        <v/>
      </c>
      <c r="L34" s="76">
        <f>(((Table134567891011121314151617343[[#This Row],[EA19]]-VLOOKUP($U$1,A:F,6,))/VLOOKUP($U$1,A:F,6,))*100)+100</f>
        <v/>
      </c>
      <c r="M34" s="76">
        <f>(((Table134567891011121314151617343[[#This Row],[GBR]]-VLOOKUP($U$1,A:G,7,))/VLOOKUP($U$1,A:G,7,))*100)+100</f>
        <v/>
      </c>
      <c r="N34" s="76">
        <f>IF(VLOOKUP(A34,Database!$A:$AU,MATCH($N$1,Database!$A$1:$AU$1,0),FALSE)=0,#N/A,VLOOKUP(A34,Database!$A:$AU,MATCH($N$1,Database!$A$1:$AU$1,0),FALSE))</f>
        <v/>
      </c>
      <c r="O34" s="76">
        <f>(((Table134567891011121314151617343[[#This Row],[USA]]-VLOOKUP($U$1,A:N,14,))/VLOOKUP($U$1,A:N,14,))*100)+100</f>
        <v/>
      </c>
      <c r="P34" s="76">
        <f>IF(VLOOKUP(A34,Database!$A:$AS,MATCH($P$1,Database!$A$1:$AS$1,0),FALSE)=0,#N/A,VLOOKUP(A34,Database!$A:$AS,MATCH($P$1,Database!$A$1:$AS$1,0),FALSE))</f>
        <v/>
      </c>
      <c r="Q34" s="76">
        <f>(((Table134567891011121314151617343[[#This Row],[JPN]]-VLOOKUP($U$1,A:Q,16,))/VLOOKUP($U$1,A:Q,16,))*100)+100</f>
        <v/>
      </c>
      <c r="W34" s="86" t="inlineStr">
        <is>
          <t>USA</t>
        </is>
      </c>
    </row>
    <row r="35" customFormat="1" s="86">
      <c r="A35" s="21" t="n">
        <v>33878</v>
      </c>
      <c r="B35" s="76">
        <f>IF(VLOOKUP(A35,Database!$A:$AS,MATCH($B$1,Database!$A$1:$AS$1,0),FALSE)=0,#N/A,VLOOKUP(A35,Database!$A:$AS,MATCH($B$1,Database!$A$1:$AS$1,0),FALSE))</f>
        <v/>
      </c>
      <c r="C35" s="76">
        <f>IF(VLOOKUP(A35,Database!$A:$AS,MATCH($C$1,Database!$A$1:$AS$1,0),FALSE)=0,#N/A,VLOOKUP(A35,Database!$A:$AS,MATCH($C$1,Database!$A$1:$AS$1,0),FALSE))</f>
        <v/>
      </c>
      <c r="D35" s="76">
        <f>IF(VLOOKUP(A35,Database!$A:$AS,MATCH($D$1,Database!$A$1:$AS$1,0),FALSE)=0,#N/A,VLOOKUP(A35,Database!$A:$AS,MATCH($D$1,Database!$A$1:$AS$1,0),FALSE))</f>
        <v/>
      </c>
      <c r="E35" s="76">
        <f>IF(VLOOKUP(A35,Database!$A:$AS,MATCH($E$1,Database!$A$1:$AS$1,0),FALSE)=0,#N/A,VLOOKUP(A35,Database!$A:$AS,MATCH($E$1,Database!$A$1:$AS$1,0),FALSE))</f>
        <v/>
      </c>
      <c r="F35" s="76">
        <f>IF(VLOOKUP(A35,Database!$A:$AS,MATCH($F$1,Database!$A$1:$AS$1,0),FALSE)=0,#N/A,VLOOKUP(A35,Database!$A:$AS,MATCH($F$1,Database!$A$1:$AS$1,0),FALSE))</f>
        <v/>
      </c>
      <c r="G35" s="76">
        <f>IF(VLOOKUP(A35,Database!$A:$AS,MATCH($G$1,Database!$A$1:$AS$1,0),FALSE)=0,#N/A,VLOOKUP(A35,Database!$A:$AS,MATCH($G$1,Database!$A$1:$AS$1,0),FALSE))</f>
        <v/>
      </c>
      <c r="H35" s="76">
        <f>(((Table134567891011121314151617343[[#This Row],[ITA]]-VLOOKUP($U$1,A:B,2,))/VLOOKUP($U$1,A:B,2,))*100)+100</f>
        <v/>
      </c>
      <c r="I35" s="76">
        <f>(((Table134567891011121314151617343[[#This Row],[FRA]]-VLOOKUP($U$1,A:C,3,))/VLOOKUP($U$1,A:C,3,))*100)+100</f>
        <v/>
      </c>
      <c r="J35" s="76">
        <f>(((Table134567891011121314151617343[[#This Row],[DEU]]-VLOOKUP($U$1,A:D,4,))/VLOOKUP($U$1,A:D,4,))*100)+100</f>
        <v/>
      </c>
      <c r="K35" s="76">
        <f>(((Table134567891011121314151617343[[#This Row],[ESP]]-VLOOKUP($U$1,A:E,5,))/VLOOKUP($U$1,A:E,5,))*100)+100</f>
        <v/>
      </c>
      <c r="L35" s="76">
        <f>(((Table134567891011121314151617343[[#This Row],[EA19]]-VLOOKUP($U$1,A:F,6,))/VLOOKUP($U$1,A:F,6,))*100)+100</f>
        <v/>
      </c>
      <c r="M35" s="76">
        <f>(((Table134567891011121314151617343[[#This Row],[GBR]]-VLOOKUP($U$1,A:G,7,))/VLOOKUP($U$1,A:G,7,))*100)+100</f>
        <v/>
      </c>
      <c r="N35" s="76">
        <f>IF(VLOOKUP(A35,Database!$A:$AU,MATCH($N$1,Database!$A$1:$AU$1,0),FALSE)=0,#N/A,VLOOKUP(A35,Database!$A:$AU,MATCH($N$1,Database!$A$1:$AU$1,0),FALSE))</f>
        <v/>
      </c>
      <c r="O35" s="76">
        <f>(((Table134567891011121314151617343[[#This Row],[USA]]-VLOOKUP($U$1,A:N,14,))/VLOOKUP($U$1,A:N,14,))*100)+100</f>
        <v/>
      </c>
      <c r="P35" s="76">
        <f>IF(VLOOKUP(A35,Database!$A:$AS,MATCH($P$1,Database!$A$1:$AS$1,0),FALSE)=0,#N/A,VLOOKUP(A35,Database!$A:$AS,MATCH($P$1,Database!$A$1:$AS$1,0),FALSE))</f>
        <v/>
      </c>
      <c r="Q35" s="76">
        <f>(((Table134567891011121314151617343[[#This Row],[JPN]]-VLOOKUP($U$1,A:Q,16,))/VLOOKUP($U$1,A:Q,16,))*100)+100</f>
        <v/>
      </c>
      <c r="W35" s="86" t="inlineStr">
        <is>
          <t>EA19</t>
        </is>
      </c>
    </row>
    <row r="36" customFormat="1" s="86">
      <c r="A36" s="21" t="n">
        <v>33909</v>
      </c>
      <c r="B36" s="76">
        <f>IF(VLOOKUP(A36,Database!$A:$AS,MATCH($B$1,Database!$A$1:$AS$1,0),FALSE)=0,#N/A,VLOOKUP(A36,Database!$A:$AS,MATCH($B$1,Database!$A$1:$AS$1,0),FALSE))</f>
        <v/>
      </c>
      <c r="C36" s="76">
        <f>IF(VLOOKUP(A36,Database!$A:$AS,MATCH($C$1,Database!$A$1:$AS$1,0),FALSE)=0,#N/A,VLOOKUP(A36,Database!$A:$AS,MATCH($C$1,Database!$A$1:$AS$1,0),FALSE))</f>
        <v/>
      </c>
      <c r="D36" s="76">
        <f>IF(VLOOKUP(A36,Database!$A:$AS,MATCH($D$1,Database!$A$1:$AS$1,0),FALSE)=0,#N/A,VLOOKUP(A36,Database!$A:$AS,MATCH($D$1,Database!$A$1:$AS$1,0),FALSE))</f>
        <v/>
      </c>
      <c r="E36" s="76">
        <f>IF(VLOOKUP(A36,Database!$A:$AS,MATCH($E$1,Database!$A$1:$AS$1,0),FALSE)=0,#N/A,VLOOKUP(A36,Database!$A:$AS,MATCH($E$1,Database!$A$1:$AS$1,0),FALSE))</f>
        <v/>
      </c>
      <c r="F36" s="76">
        <f>IF(VLOOKUP(A36,Database!$A:$AS,MATCH($F$1,Database!$A$1:$AS$1,0),FALSE)=0,#N/A,VLOOKUP(A36,Database!$A:$AS,MATCH($F$1,Database!$A$1:$AS$1,0),FALSE))</f>
        <v/>
      </c>
      <c r="G36" s="76">
        <f>IF(VLOOKUP(A36,Database!$A:$AS,MATCH($G$1,Database!$A$1:$AS$1,0),FALSE)=0,#N/A,VLOOKUP(A36,Database!$A:$AS,MATCH($G$1,Database!$A$1:$AS$1,0),FALSE))</f>
        <v/>
      </c>
      <c r="H36" s="76">
        <f>(((Table134567891011121314151617343[[#This Row],[ITA]]-VLOOKUP($U$1,A:B,2,))/VLOOKUP($U$1,A:B,2,))*100)+100</f>
        <v/>
      </c>
      <c r="I36" s="76">
        <f>(((Table134567891011121314151617343[[#This Row],[FRA]]-VLOOKUP($U$1,A:C,3,))/VLOOKUP($U$1,A:C,3,))*100)+100</f>
        <v/>
      </c>
      <c r="J36" s="76">
        <f>(((Table134567891011121314151617343[[#This Row],[DEU]]-VLOOKUP($U$1,A:D,4,))/VLOOKUP($U$1,A:D,4,))*100)+100</f>
        <v/>
      </c>
      <c r="K36" s="76">
        <f>(((Table134567891011121314151617343[[#This Row],[ESP]]-VLOOKUP($U$1,A:E,5,))/VLOOKUP($U$1,A:E,5,))*100)+100</f>
        <v/>
      </c>
      <c r="L36" s="76">
        <f>(((Table134567891011121314151617343[[#This Row],[EA19]]-VLOOKUP($U$1,A:F,6,))/VLOOKUP($U$1,A:F,6,))*100)+100</f>
        <v/>
      </c>
      <c r="M36" s="76">
        <f>(((Table134567891011121314151617343[[#This Row],[GBR]]-VLOOKUP($U$1,A:G,7,))/VLOOKUP($U$1,A:G,7,))*100)+100</f>
        <v/>
      </c>
      <c r="N36" s="76">
        <f>IF(VLOOKUP(A36,Database!$A:$AU,MATCH($N$1,Database!$A$1:$AU$1,0),FALSE)=0,#N/A,VLOOKUP(A36,Database!$A:$AU,MATCH($N$1,Database!$A$1:$AU$1,0),FALSE))</f>
        <v/>
      </c>
      <c r="O36" s="76">
        <f>(((Table134567891011121314151617343[[#This Row],[USA]]-VLOOKUP($U$1,A:N,14,))/VLOOKUP($U$1,A:N,14,))*100)+100</f>
        <v/>
      </c>
      <c r="P36" s="76">
        <f>IF(VLOOKUP(A36,Database!$A:$AS,MATCH($P$1,Database!$A$1:$AS$1,0),FALSE)=0,#N/A,VLOOKUP(A36,Database!$A:$AS,MATCH($P$1,Database!$A$1:$AS$1,0),FALSE))</f>
        <v/>
      </c>
      <c r="Q36" s="76">
        <f>(((Table134567891011121314151617343[[#This Row],[JPN]]-VLOOKUP($U$1,A:Q,16,))/VLOOKUP($U$1,A:Q,16,))*100)+100</f>
        <v/>
      </c>
      <c r="W36" s="86" t="inlineStr">
        <is>
          <t>EU28</t>
        </is>
      </c>
    </row>
    <row r="37" customFormat="1" s="86">
      <c r="A37" s="21" t="n">
        <v>33939</v>
      </c>
      <c r="B37" s="76">
        <f>IF(VLOOKUP(A37,Database!$A:$AS,MATCH($B$1,Database!$A$1:$AS$1,0),FALSE)=0,#N/A,VLOOKUP(A37,Database!$A:$AS,MATCH($B$1,Database!$A$1:$AS$1,0),FALSE))</f>
        <v/>
      </c>
      <c r="C37" s="76">
        <f>IF(VLOOKUP(A37,Database!$A:$AS,MATCH($C$1,Database!$A$1:$AS$1,0),FALSE)=0,#N/A,VLOOKUP(A37,Database!$A:$AS,MATCH($C$1,Database!$A$1:$AS$1,0),FALSE))</f>
        <v/>
      </c>
      <c r="D37" s="76">
        <f>IF(VLOOKUP(A37,Database!$A:$AS,MATCH($D$1,Database!$A$1:$AS$1,0),FALSE)=0,#N/A,VLOOKUP(A37,Database!$A:$AS,MATCH($D$1,Database!$A$1:$AS$1,0),FALSE))</f>
        <v/>
      </c>
      <c r="E37" s="76">
        <f>IF(VLOOKUP(A37,Database!$A:$AS,MATCH($E$1,Database!$A$1:$AS$1,0),FALSE)=0,#N/A,VLOOKUP(A37,Database!$A:$AS,MATCH($E$1,Database!$A$1:$AS$1,0),FALSE))</f>
        <v/>
      </c>
      <c r="F37" s="76">
        <f>IF(VLOOKUP(A37,Database!$A:$AS,MATCH($F$1,Database!$A$1:$AS$1,0),FALSE)=0,#N/A,VLOOKUP(A37,Database!$A:$AS,MATCH($F$1,Database!$A$1:$AS$1,0),FALSE))</f>
        <v/>
      </c>
      <c r="G37" s="76">
        <f>IF(VLOOKUP(A37,Database!$A:$AS,MATCH($G$1,Database!$A$1:$AS$1,0),FALSE)=0,#N/A,VLOOKUP(A37,Database!$A:$AS,MATCH($G$1,Database!$A$1:$AS$1,0),FALSE))</f>
        <v/>
      </c>
      <c r="H37" s="76">
        <f>(((Table134567891011121314151617343[[#This Row],[ITA]]-VLOOKUP($U$1,A:B,2,))/VLOOKUP($U$1,A:B,2,))*100)+100</f>
        <v/>
      </c>
      <c r="I37" s="76">
        <f>(((Table134567891011121314151617343[[#This Row],[FRA]]-VLOOKUP($U$1,A:C,3,))/VLOOKUP($U$1,A:C,3,))*100)+100</f>
        <v/>
      </c>
      <c r="J37" s="76">
        <f>(((Table134567891011121314151617343[[#This Row],[DEU]]-VLOOKUP($U$1,A:D,4,))/VLOOKUP($U$1,A:D,4,))*100)+100</f>
        <v/>
      </c>
      <c r="K37" s="76">
        <f>(((Table134567891011121314151617343[[#This Row],[ESP]]-VLOOKUP($U$1,A:E,5,))/VLOOKUP($U$1,A:E,5,))*100)+100</f>
        <v/>
      </c>
      <c r="L37" s="76">
        <f>(((Table134567891011121314151617343[[#This Row],[EA19]]-VLOOKUP($U$1,A:F,6,))/VLOOKUP($U$1,A:F,6,))*100)+100</f>
        <v/>
      </c>
      <c r="M37" s="76">
        <f>(((Table134567891011121314151617343[[#This Row],[GBR]]-VLOOKUP($U$1,A:G,7,))/VLOOKUP($U$1,A:G,7,))*100)+100</f>
        <v/>
      </c>
      <c r="N37" s="76">
        <f>IF(VLOOKUP(A37,Database!$A:$AU,MATCH($N$1,Database!$A$1:$AU$1,0),FALSE)=0,#N/A,VLOOKUP(A37,Database!$A:$AU,MATCH($N$1,Database!$A$1:$AU$1,0),FALSE))</f>
        <v/>
      </c>
      <c r="O37" s="76">
        <f>(((Table134567891011121314151617343[[#This Row],[USA]]-VLOOKUP($U$1,A:N,14,))/VLOOKUP($U$1,A:N,14,))*100)+100</f>
        <v/>
      </c>
      <c r="P37" s="76">
        <f>IF(VLOOKUP(A37,Database!$A:$AS,MATCH($P$1,Database!$A$1:$AS$1,0),FALSE)=0,#N/A,VLOOKUP(A37,Database!$A:$AS,MATCH($P$1,Database!$A$1:$AS$1,0),FALSE))</f>
        <v/>
      </c>
      <c r="Q37" s="76">
        <f>(((Table134567891011121314151617343[[#This Row],[JPN]]-VLOOKUP($U$1,A:Q,16,))/VLOOKUP($U$1,A:Q,16,))*100)+100</f>
        <v/>
      </c>
      <c r="W37" s="86" t="inlineStr">
        <is>
          <t>G7</t>
        </is>
      </c>
    </row>
    <row r="38" customFormat="1" s="86">
      <c r="A38" s="21" t="n">
        <v>33970</v>
      </c>
      <c r="B38" s="76">
        <f>IF(VLOOKUP(A38,Database!$A:$AS,MATCH($B$1,Database!$A$1:$AS$1,0),FALSE)=0,#N/A,VLOOKUP(A38,Database!$A:$AS,MATCH($B$1,Database!$A$1:$AS$1,0),FALSE))</f>
        <v/>
      </c>
      <c r="C38" s="76">
        <f>IF(VLOOKUP(A38,Database!$A:$AS,MATCH($C$1,Database!$A$1:$AS$1,0),FALSE)=0,#N/A,VLOOKUP(A38,Database!$A:$AS,MATCH($C$1,Database!$A$1:$AS$1,0),FALSE))</f>
        <v/>
      </c>
      <c r="D38" s="76">
        <f>IF(VLOOKUP(A38,Database!$A:$AS,MATCH($D$1,Database!$A$1:$AS$1,0),FALSE)=0,#N/A,VLOOKUP(A38,Database!$A:$AS,MATCH($D$1,Database!$A$1:$AS$1,0),FALSE))</f>
        <v/>
      </c>
      <c r="E38" s="76">
        <f>IF(VLOOKUP(A38,Database!$A:$AS,MATCH($E$1,Database!$A$1:$AS$1,0),FALSE)=0,#N/A,VLOOKUP(A38,Database!$A:$AS,MATCH($E$1,Database!$A$1:$AS$1,0),FALSE))</f>
        <v/>
      </c>
      <c r="F38" s="76">
        <f>IF(VLOOKUP(A38,Database!$A:$AS,MATCH($F$1,Database!$A$1:$AS$1,0),FALSE)=0,#N/A,VLOOKUP(A38,Database!$A:$AS,MATCH($F$1,Database!$A$1:$AS$1,0),FALSE))</f>
        <v/>
      </c>
      <c r="G38" s="76">
        <f>IF(VLOOKUP(A38,Database!$A:$AS,MATCH($G$1,Database!$A$1:$AS$1,0),FALSE)=0,#N/A,VLOOKUP(A38,Database!$A:$AS,MATCH($G$1,Database!$A$1:$AS$1,0),FALSE))</f>
        <v/>
      </c>
      <c r="H38" s="76">
        <f>(((Table134567891011121314151617343[[#This Row],[ITA]]-VLOOKUP($U$1,A:B,2,))/VLOOKUP($U$1,A:B,2,))*100)+100</f>
        <v/>
      </c>
      <c r="I38" s="76">
        <f>(((Table134567891011121314151617343[[#This Row],[FRA]]-VLOOKUP($U$1,A:C,3,))/VLOOKUP($U$1,A:C,3,))*100)+100</f>
        <v/>
      </c>
      <c r="J38" s="76">
        <f>(((Table134567891011121314151617343[[#This Row],[DEU]]-VLOOKUP($U$1,A:D,4,))/VLOOKUP($U$1,A:D,4,))*100)+100</f>
        <v/>
      </c>
      <c r="K38" s="76">
        <f>(((Table134567891011121314151617343[[#This Row],[ESP]]-VLOOKUP($U$1,A:E,5,))/VLOOKUP($U$1,A:E,5,))*100)+100</f>
        <v/>
      </c>
      <c r="L38" s="76">
        <f>(((Table134567891011121314151617343[[#This Row],[EA19]]-VLOOKUP($U$1,A:F,6,))/VLOOKUP($U$1,A:F,6,))*100)+100</f>
        <v/>
      </c>
      <c r="M38" s="76">
        <f>(((Table134567891011121314151617343[[#This Row],[GBR]]-VLOOKUP($U$1,A:G,7,))/VLOOKUP($U$1,A:G,7,))*100)+100</f>
        <v/>
      </c>
      <c r="N38" s="76">
        <f>IF(VLOOKUP(A38,Database!$A:$AU,MATCH($N$1,Database!$A$1:$AU$1,0),FALSE)=0,#N/A,VLOOKUP(A38,Database!$A:$AU,MATCH($N$1,Database!$A$1:$AU$1,0),FALSE))</f>
        <v/>
      </c>
      <c r="O38" s="76">
        <f>(((Table134567891011121314151617343[[#This Row],[USA]]-VLOOKUP($U$1,A:N,14,))/VLOOKUP($U$1,A:N,14,))*100)+100</f>
        <v/>
      </c>
      <c r="P38" s="76">
        <f>IF(VLOOKUP(A38,Database!$A:$AS,MATCH($P$1,Database!$A$1:$AS$1,0),FALSE)=0,#N/A,VLOOKUP(A38,Database!$A:$AS,MATCH($P$1,Database!$A$1:$AS$1,0),FALSE))</f>
        <v/>
      </c>
      <c r="Q38" s="76">
        <f>(((Table134567891011121314151617343[[#This Row],[JPN]]-VLOOKUP($U$1,A:Q,16,))/VLOOKUP($U$1,A:Q,16,))*100)+100</f>
        <v/>
      </c>
      <c r="W38" s="86" t="inlineStr">
        <is>
          <t>CHE</t>
        </is>
      </c>
    </row>
    <row r="39" customFormat="1" s="86">
      <c r="A39" s="21" t="n">
        <v>34001</v>
      </c>
      <c r="B39" s="76">
        <f>IF(VLOOKUP(A39,Database!$A:$AS,MATCH($B$1,Database!$A$1:$AS$1,0),FALSE)=0,#N/A,VLOOKUP(A39,Database!$A:$AS,MATCH($B$1,Database!$A$1:$AS$1,0),FALSE))</f>
        <v/>
      </c>
      <c r="C39" s="76">
        <f>IF(VLOOKUP(A39,Database!$A:$AS,MATCH($C$1,Database!$A$1:$AS$1,0),FALSE)=0,#N/A,VLOOKUP(A39,Database!$A:$AS,MATCH($C$1,Database!$A$1:$AS$1,0),FALSE))</f>
        <v/>
      </c>
      <c r="D39" s="76">
        <f>IF(VLOOKUP(A39,Database!$A:$AS,MATCH($D$1,Database!$A$1:$AS$1,0),FALSE)=0,#N/A,VLOOKUP(A39,Database!$A:$AS,MATCH($D$1,Database!$A$1:$AS$1,0),FALSE))</f>
        <v/>
      </c>
      <c r="E39" s="76">
        <f>IF(VLOOKUP(A39,Database!$A:$AS,MATCH($E$1,Database!$A$1:$AS$1,0),FALSE)=0,#N/A,VLOOKUP(A39,Database!$A:$AS,MATCH($E$1,Database!$A$1:$AS$1,0),FALSE))</f>
        <v/>
      </c>
      <c r="F39" s="76">
        <f>IF(VLOOKUP(A39,Database!$A:$AS,MATCH($F$1,Database!$A$1:$AS$1,0),FALSE)=0,#N/A,VLOOKUP(A39,Database!$A:$AS,MATCH($F$1,Database!$A$1:$AS$1,0),FALSE))</f>
        <v/>
      </c>
      <c r="G39" s="76">
        <f>IF(VLOOKUP(A39,Database!$A:$AS,MATCH($G$1,Database!$A$1:$AS$1,0),FALSE)=0,#N/A,VLOOKUP(A39,Database!$A:$AS,MATCH($G$1,Database!$A$1:$AS$1,0),FALSE))</f>
        <v/>
      </c>
      <c r="H39" s="76">
        <f>(((Table134567891011121314151617343[[#This Row],[ITA]]-VLOOKUP($U$1,A:B,2,))/VLOOKUP($U$1,A:B,2,))*100)+100</f>
        <v/>
      </c>
      <c r="I39" s="76">
        <f>(((Table134567891011121314151617343[[#This Row],[FRA]]-VLOOKUP($U$1,A:C,3,))/VLOOKUP($U$1,A:C,3,))*100)+100</f>
        <v/>
      </c>
      <c r="J39" s="76">
        <f>(((Table134567891011121314151617343[[#This Row],[DEU]]-VLOOKUP($U$1,A:D,4,))/VLOOKUP($U$1,A:D,4,))*100)+100</f>
        <v/>
      </c>
      <c r="K39" s="76">
        <f>(((Table134567891011121314151617343[[#This Row],[ESP]]-VLOOKUP($U$1,A:E,5,))/VLOOKUP($U$1,A:E,5,))*100)+100</f>
        <v/>
      </c>
      <c r="L39" s="76">
        <f>(((Table134567891011121314151617343[[#This Row],[EA19]]-VLOOKUP($U$1,A:F,6,))/VLOOKUP($U$1,A:F,6,))*100)+100</f>
        <v/>
      </c>
      <c r="M39" s="76">
        <f>(((Table134567891011121314151617343[[#This Row],[GBR]]-VLOOKUP($U$1,A:G,7,))/VLOOKUP($U$1,A:G,7,))*100)+100</f>
        <v/>
      </c>
      <c r="N39" s="76">
        <f>IF(VLOOKUP(A39,Database!$A:$AU,MATCH($N$1,Database!$A$1:$AU$1,0),FALSE)=0,#N/A,VLOOKUP(A39,Database!$A:$AU,MATCH($N$1,Database!$A$1:$AU$1,0),FALSE))</f>
        <v/>
      </c>
      <c r="O39" s="76">
        <f>(((Table134567891011121314151617343[[#This Row],[USA]]-VLOOKUP($U$1,A:N,14,))/VLOOKUP($U$1,A:N,14,))*100)+100</f>
        <v/>
      </c>
      <c r="P39" s="76">
        <f>IF(VLOOKUP(A39,Database!$A:$AS,MATCH($P$1,Database!$A$1:$AS$1,0),FALSE)=0,#N/A,VLOOKUP(A39,Database!$A:$AS,MATCH($P$1,Database!$A$1:$AS$1,0),FALSE))</f>
        <v/>
      </c>
      <c r="Q39" s="76">
        <f>(((Table134567891011121314151617343[[#This Row],[JPN]]-VLOOKUP($U$1,A:Q,16,))/VLOOKUP($U$1,A:Q,16,))*100)+100</f>
        <v/>
      </c>
      <c r="W39" s="86" t="inlineStr">
        <is>
          <t>IND</t>
        </is>
      </c>
    </row>
    <row r="40" customFormat="1" s="86">
      <c r="A40" s="21" t="n">
        <v>34029</v>
      </c>
      <c r="B40" s="76">
        <f>IF(VLOOKUP(A40,Database!$A:$AS,MATCH($B$1,Database!$A$1:$AS$1,0),FALSE)=0,#N/A,VLOOKUP(A40,Database!$A:$AS,MATCH($B$1,Database!$A$1:$AS$1,0),FALSE))</f>
        <v/>
      </c>
      <c r="C40" s="76">
        <f>IF(VLOOKUP(A40,Database!$A:$AS,MATCH($C$1,Database!$A$1:$AS$1,0),FALSE)=0,#N/A,VLOOKUP(A40,Database!$A:$AS,MATCH($C$1,Database!$A$1:$AS$1,0),FALSE))</f>
        <v/>
      </c>
      <c r="D40" s="76">
        <f>IF(VLOOKUP(A40,Database!$A:$AS,MATCH($D$1,Database!$A$1:$AS$1,0),FALSE)=0,#N/A,VLOOKUP(A40,Database!$A:$AS,MATCH($D$1,Database!$A$1:$AS$1,0),FALSE))</f>
        <v/>
      </c>
      <c r="E40" s="76">
        <f>IF(VLOOKUP(A40,Database!$A:$AS,MATCH($E$1,Database!$A$1:$AS$1,0),FALSE)=0,#N/A,VLOOKUP(A40,Database!$A:$AS,MATCH($E$1,Database!$A$1:$AS$1,0),FALSE))</f>
        <v/>
      </c>
      <c r="F40" s="76">
        <f>IF(VLOOKUP(A40,Database!$A:$AS,MATCH($F$1,Database!$A$1:$AS$1,0),FALSE)=0,#N/A,VLOOKUP(A40,Database!$A:$AS,MATCH($F$1,Database!$A$1:$AS$1,0),FALSE))</f>
        <v/>
      </c>
      <c r="G40" s="76">
        <f>IF(VLOOKUP(A40,Database!$A:$AS,MATCH($G$1,Database!$A$1:$AS$1,0),FALSE)=0,#N/A,VLOOKUP(A40,Database!$A:$AS,MATCH($G$1,Database!$A$1:$AS$1,0),FALSE))</f>
        <v/>
      </c>
      <c r="H40" s="76">
        <f>(((Table134567891011121314151617343[[#This Row],[ITA]]-VLOOKUP($U$1,A:B,2,))/VLOOKUP($U$1,A:B,2,))*100)+100</f>
        <v/>
      </c>
      <c r="I40" s="76">
        <f>(((Table134567891011121314151617343[[#This Row],[FRA]]-VLOOKUP($U$1,A:C,3,))/VLOOKUP($U$1,A:C,3,))*100)+100</f>
        <v/>
      </c>
      <c r="J40" s="76">
        <f>(((Table134567891011121314151617343[[#This Row],[DEU]]-VLOOKUP($U$1,A:D,4,))/VLOOKUP($U$1,A:D,4,))*100)+100</f>
        <v/>
      </c>
      <c r="K40" s="76">
        <f>(((Table134567891011121314151617343[[#This Row],[ESP]]-VLOOKUP($U$1,A:E,5,))/VLOOKUP($U$1,A:E,5,))*100)+100</f>
        <v/>
      </c>
      <c r="L40" s="76">
        <f>(((Table134567891011121314151617343[[#This Row],[EA19]]-VLOOKUP($U$1,A:F,6,))/VLOOKUP($U$1,A:F,6,))*100)+100</f>
        <v/>
      </c>
      <c r="M40" s="76">
        <f>(((Table134567891011121314151617343[[#This Row],[GBR]]-VLOOKUP($U$1,A:G,7,))/VLOOKUP($U$1,A:G,7,))*100)+100</f>
        <v/>
      </c>
      <c r="N40" s="76">
        <f>IF(VLOOKUP(A40,Database!$A:$AU,MATCH($N$1,Database!$A$1:$AU$1,0),FALSE)=0,#N/A,VLOOKUP(A40,Database!$A:$AU,MATCH($N$1,Database!$A$1:$AU$1,0),FALSE))</f>
        <v/>
      </c>
      <c r="O40" s="76">
        <f>(((Table134567891011121314151617343[[#This Row],[USA]]-VLOOKUP($U$1,A:N,14,))/VLOOKUP($U$1,A:N,14,))*100)+100</f>
        <v/>
      </c>
      <c r="P40" s="76">
        <f>IF(VLOOKUP(A40,Database!$A:$AS,MATCH($P$1,Database!$A$1:$AS$1,0),FALSE)=0,#N/A,VLOOKUP(A40,Database!$A:$AS,MATCH($P$1,Database!$A$1:$AS$1,0),FALSE))</f>
        <v/>
      </c>
      <c r="Q40" s="76">
        <f>(((Table134567891011121314151617343[[#This Row],[JPN]]-VLOOKUP($U$1,A:Q,16,))/VLOOKUP($U$1,A:Q,16,))*100)+100</f>
        <v/>
      </c>
      <c r="W40" s="86" t="inlineStr">
        <is>
          <t>ZAF</t>
        </is>
      </c>
    </row>
    <row r="41" customFormat="1" s="86">
      <c r="A41" s="21" t="n">
        <v>34060</v>
      </c>
      <c r="B41" s="76">
        <f>IF(VLOOKUP(A41,Database!$A:$AS,MATCH($B$1,Database!$A$1:$AS$1,0),FALSE)=0,#N/A,VLOOKUP(A41,Database!$A:$AS,MATCH($B$1,Database!$A$1:$AS$1,0),FALSE))</f>
        <v/>
      </c>
      <c r="C41" s="76">
        <f>IF(VLOOKUP(A41,Database!$A:$AS,MATCH($C$1,Database!$A$1:$AS$1,0),FALSE)=0,#N/A,VLOOKUP(A41,Database!$A:$AS,MATCH($C$1,Database!$A$1:$AS$1,0),FALSE))</f>
        <v/>
      </c>
      <c r="D41" s="76">
        <f>IF(VLOOKUP(A41,Database!$A:$AS,MATCH($D$1,Database!$A$1:$AS$1,0),FALSE)=0,#N/A,VLOOKUP(A41,Database!$A:$AS,MATCH($D$1,Database!$A$1:$AS$1,0),FALSE))</f>
        <v/>
      </c>
      <c r="E41" s="76">
        <f>IF(VLOOKUP(A41,Database!$A:$AS,MATCH($E$1,Database!$A$1:$AS$1,0),FALSE)=0,#N/A,VLOOKUP(A41,Database!$A:$AS,MATCH($E$1,Database!$A$1:$AS$1,0),FALSE))</f>
        <v/>
      </c>
      <c r="F41" s="76">
        <f>IF(VLOOKUP(A41,Database!$A:$AS,MATCH($F$1,Database!$A$1:$AS$1,0),FALSE)=0,#N/A,VLOOKUP(A41,Database!$A:$AS,MATCH($F$1,Database!$A$1:$AS$1,0),FALSE))</f>
        <v/>
      </c>
      <c r="G41" s="76">
        <f>IF(VLOOKUP(A41,Database!$A:$AS,MATCH($G$1,Database!$A$1:$AS$1,0),FALSE)=0,#N/A,VLOOKUP(A41,Database!$A:$AS,MATCH($G$1,Database!$A$1:$AS$1,0),FALSE))</f>
        <v/>
      </c>
      <c r="H41" s="76">
        <f>(((Table134567891011121314151617343[[#This Row],[ITA]]-VLOOKUP($U$1,A:B,2,))/VLOOKUP($U$1,A:B,2,))*100)+100</f>
        <v/>
      </c>
      <c r="I41" s="76">
        <f>(((Table134567891011121314151617343[[#This Row],[FRA]]-VLOOKUP($U$1,A:C,3,))/VLOOKUP($U$1,A:C,3,))*100)+100</f>
        <v/>
      </c>
      <c r="J41" s="76">
        <f>(((Table134567891011121314151617343[[#This Row],[DEU]]-VLOOKUP($U$1,A:D,4,))/VLOOKUP($U$1,A:D,4,))*100)+100</f>
        <v/>
      </c>
      <c r="K41" s="76">
        <f>(((Table134567891011121314151617343[[#This Row],[ESP]]-VLOOKUP($U$1,A:E,5,))/VLOOKUP($U$1,A:E,5,))*100)+100</f>
        <v/>
      </c>
      <c r="L41" s="76">
        <f>(((Table134567891011121314151617343[[#This Row],[EA19]]-VLOOKUP($U$1,A:F,6,))/VLOOKUP($U$1,A:F,6,))*100)+100</f>
        <v/>
      </c>
      <c r="M41" s="76">
        <f>(((Table134567891011121314151617343[[#This Row],[GBR]]-VLOOKUP($U$1,A:G,7,))/VLOOKUP($U$1,A:G,7,))*100)+100</f>
        <v/>
      </c>
      <c r="N41" s="76">
        <f>IF(VLOOKUP(A41,Database!$A:$AU,MATCH($N$1,Database!$A$1:$AU$1,0),FALSE)=0,#N/A,VLOOKUP(A41,Database!$A:$AU,MATCH($N$1,Database!$A$1:$AU$1,0),FALSE))</f>
        <v/>
      </c>
      <c r="O41" s="76">
        <f>(((Table134567891011121314151617343[[#This Row],[USA]]-VLOOKUP($U$1,A:N,14,))/VLOOKUP($U$1,A:N,14,))*100)+100</f>
        <v/>
      </c>
      <c r="P41" s="76">
        <f>IF(VLOOKUP(A41,Database!$A:$AS,MATCH($P$1,Database!$A$1:$AS$1,0),FALSE)=0,#N/A,VLOOKUP(A41,Database!$A:$AS,MATCH($P$1,Database!$A$1:$AS$1,0),FALSE))</f>
        <v/>
      </c>
      <c r="Q41" s="76">
        <f>(((Table134567891011121314151617343[[#This Row],[JPN]]-VLOOKUP($U$1,A:Q,16,))/VLOOKUP($U$1,A:Q,16,))*100)+100</f>
        <v/>
      </c>
      <c r="W41" s="86" t="inlineStr">
        <is>
          <t>RUS</t>
        </is>
      </c>
    </row>
    <row r="42" customFormat="1" s="86">
      <c r="A42" s="21" t="n">
        <v>34090</v>
      </c>
      <c r="B42" s="76">
        <f>IF(VLOOKUP(A42,Database!$A:$AS,MATCH($B$1,Database!$A$1:$AS$1,0),FALSE)=0,#N/A,VLOOKUP(A42,Database!$A:$AS,MATCH($B$1,Database!$A$1:$AS$1,0),FALSE))</f>
        <v/>
      </c>
      <c r="C42" s="76">
        <f>IF(VLOOKUP(A42,Database!$A:$AS,MATCH($C$1,Database!$A$1:$AS$1,0),FALSE)=0,#N/A,VLOOKUP(A42,Database!$A:$AS,MATCH($C$1,Database!$A$1:$AS$1,0),FALSE))</f>
        <v/>
      </c>
      <c r="D42" s="76">
        <f>IF(VLOOKUP(A42,Database!$A:$AS,MATCH($D$1,Database!$A$1:$AS$1,0),FALSE)=0,#N/A,VLOOKUP(A42,Database!$A:$AS,MATCH($D$1,Database!$A$1:$AS$1,0),FALSE))</f>
        <v/>
      </c>
      <c r="E42" s="76">
        <f>IF(VLOOKUP(A42,Database!$A:$AS,MATCH($E$1,Database!$A$1:$AS$1,0),FALSE)=0,#N/A,VLOOKUP(A42,Database!$A:$AS,MATCH($E$1,Database!$A$1:$AS$1,0),FALSE))</f>
        <v/>
      </c>
      <c r="F42" s="76">
        <f>IF(VLOOKUP(A42,Database!$A:$AS,MATCH($F$1,Database!$A$1:$AS$1,0),FALSE)=0,#N/A,VLOOKUP(A42,Database!$A:$AS,MATCH($F$1,Database!$A$1:$AS$1,0),FALSE))</f>
        <v/>
      </c>
      <c r="G42" s="76">
        <f>IF(VLOOKUP(A42,Database!$A:$AS,MATCH($G$1,Database!$A$1:$AS$1,0),FALSE)=0,#N/A,VLOOKUP(A42,Database!$A:$AS,MATCH($G$1,Database!$A$1:$AS$1,0),FALSE))</f>
        <v/>
      </c>
      <c r="H42" s="76">
        <f>(((Table134567891011121314151617343[[#This Row],[ITA]]-VLOOKUP($U$1,A:B,2,))/VLOOKUP($U$1,A:B,2,))*100)+100</f>
        <v/>
      </c>
      <c r="I42" s="76">
        <f>(((Table134567891011121314151617343[[#This Row],[FRA]]-VLOOKUP($U$1,A:C,3,))/VLOOKUP($U$1,A:C,3,))*100)+100</f>
        <v/>
      </c>
      <c r="J42" s="76">
        <f>(((Table134567891011121314151617343[[#This Row],[DEU]]-VLOOKUP($U$1,A:D,4,))/VLOOKUP($U$1,A:D,4,))*100)+100</f>
        <v/>
      </c>
      <c r="K42" s="76">
        <f>(((Table134567891011121314151617343[[#This Row],[ESP]]-VLOOKUP($U$1,A:E,5,))/VLOOKUP($U$1,A:E,5,))*100)+100</f>
        <v/>
      </c>
      <c r="L42" s="76">
        <f>(((Table134567891011121314151617343[[#This Row],[EA19]]-VLOOKUP($U$1,A:F,6,))/VLOOKUP($U$1,A:F,6,))*100)+100</f>
        <v/>
      </c>
      <c r="M42" s="76">
        <f>(((Table134567891011121314151617343[[#This Row],[GBR]]-VLOOKUP($U$1,A:G,7,))/VLOOKUP($U$1,A:G,7,))*100)+100</f>
        <v/>
      </c>
      <c r="N42" s="76">
        <f>IF(VLOOKUP(A42,Database!$A:$AU,MATCH($N$1,Database!$A$1:$AU$1,0),FALSE)=0,#N/A,VLOOKUP(A42,Database!$A:$AU,MATCH($N$1,Database!$A$1:$AU$1,0),FALSE))</f>
        <v/>
      </c>
      <c r="O42" s="76">
        <f>(((Table134567891011121314151617343[[#This Row],[USA]]-VLOOKUP($U$1,A:N,14,))/VLOOKUP($U$1,A:N,14,))*100)+100</f>
        <v/>
      </c>
      <c r="P42" s="76">
        <f>IF(VLOOKUP(A42,Database!$A:$AS,MATCH($P$1,Database!$A$1:$AS$1,0),FALSE)=0,#N/A,VLOOKUP(A42,Database!$A:$AS,MATCH($P$1,Database!$A$1:$AS$1,0),FALSE))</f>
        <v/>
      </c>
      <c r="Q42" s="76">
        <f>(((Table134567891011121314151617343[[#This Row],[JPN]]-VLOOKUP($U$1,A:Q,16,))/VLOOKUP($U$1,A:Q,16,))*100)+100</f>
        <v/>
      </c>
    </row>
    <row r="43" customFormat="1" s="86">
      <c r="A43" s="21" t="n">
        <v>34121</v>
      </c>
      <c r="B43" s="76">
        <f>IF(VLOOKUP(A43,Database!$A:$AS,MATCH($B$1,Database!$A$1:$AS$1,0),FALSE)=0,#N/A,VLOOKUP(A43,Database!$A:$AS,MATCH($B$1,Database!$A$1:$AS$1,0),FALSE))</f>
        <v/>
      </c>
      <c r="C43" s="76">
        <f>IF(VLOOKUP(A43,Database!$A:$AS,MATCH($C$1,Database!$A$1:$AS$1,0),FALSE)=0,#N/A,VLOOKUP(A43,Database!$A:$AS,MATCH($C$1,Database!$A$1:$AS$1,0),FALSE))</f>
        <v/>
      </c>
      <c r="D43" s="76">
        <f>IF(VLOOKUP(A43,Database!$A:$AS,MATCH($D$1,Database!$A$1:$AS$1,0),FALSE)=0,#N/A,VLOOKUP(A43,Database!$A:$AS,MATCH($D$1,Database!$A$1:$AS$1,0),FALSE))</f>
        <v/>
      </c>
      <c r="E43" s="76">
        <f>IF(VLOOKUP(A43,Database!$A:$AS,MATCH($E$1,Database!$A$1:$AS$1,0),FALSE)=0,#N/A,VLOOKUP(A43,Database!$A:$AS,MATCH($E$1,Database!$A$1:$AS$1,0),FALSE))</f>
        <v/>
      </c>
      <c r="F43" s="76">
        <f>IF(VLOOKUP(A43,Database!$A:$AS,MATCH($F$1,Database!$A$1:$AS$1,0),FALSE)=0,#N/A,VLOOKUP(A43,Database!$A:$AS,MATCH($F$1,Database!$A$1:$AS$1,0),FALSE))</f>
        <v/>
      </c>
      <c r="G43" s="76">
        <f>IF(VLOOKUP(A43,Database!$A:$AS,MATCH($G$1,Database!$A$1:$AS$1,0),FALSE)=0,#N/A,VLOOKUP(A43,Database!$A:$AS,MATCH($G$1,Database!$A$1:$AS$1,0),FALSE))</f>
        <v/>
      </c>
      <c r="H43" s="76">
        <f>(((Table134567891011121314151617343[[#This Row],[ITA]]-VLOOKUP($U$1,A:B,2,))/VLOOKUP($U$1,A:B,2,))*100)+100</f>
        <v/>
      </c>
      <c r="I43" s="76">
        <f>(((Table134567891011121314151617343[[#This Row],[FRA]]-VLOOKUP($U$1,A:C,3,))/VLOOKUP($U$1,A:C,3,))*100)+100</f>
        <v/>
      </c>
      <c r="J43" s="76">
        <f>(((Table134567891011121314151617343[[#This Row],[DEU]]-VLOOKUP($U$1,A:D,4,))/VLOOKUP($U$1,A:D,4,))*100)+100</f>
        <v/>
      </c>
      <c r="K43" s="76">
        <f>(((Table134567891011121314151617343[[#This Row],[ESP]]-VLOOKUP($U$1,A:E,5,))/VLOOKUP($U$1,A:E,5,))*100)+100</f>
        <v/>
      </c>
      <c r="L43" s="76">
        <f>(((Table134567891011121314151617343[[#This Row],[EA19]]-VLOOKUP($U$1,A:F,6,))/VLOOKUP($U$1,A:F,6,))*100)+100</f>
        <v/>
      </c>
      <c r="M43" s="76">
        <f>(((Table134567891011121314151617343[[#This Row],[GBR]]-VLOOKUP($U$1,A:G,7,))/VLOOKUP($U$1,A:G,7,))*100)+100</f>
        <v/>
      </c>
      <c r="N43" s="76">
        <f>IF(VLOOKUP(A43,Database!$A:$AU,MATCH($N$1,Database!$A$1:$AU$1,0),FALSE)=0,#N/A,VLOOKUP(A43,Database!$A:$AU,MATCH($N$1,Database!$A$1:$AU$1,0),FALSE))</f>
        <v/>
      </c>
      <c r="O43" s="76">
        <f>(((Table134567891011121314151617343[[#This Row],[USA]]-VLOOKUP($U$1,A:N,14,))/VLOOKUP($U$1,A:N,14,))*100)+100</f>
        <v/>
      </c>
      <c r="P43" s="76">
        <f>IF(VLOOKUP(A43,Database!$A:$AS,MATCH($P$1,Database!$A$1:$AS$1,0),FALSE)=0,#N/A,VLOOKUP(A43,Database!$A:$AS,MATCH($P$1,Database!$A$1:$AS$1,0),FALSE))</f>
        <v/>
      </c>
      <c r="Q43" s="76">
        <f>(((Table134567891011121314151617343[[#This Row],[JPN]]-VLOOKUP($U$1,A:Q,16,))/VLOOKUP($U$1,A:Q,16,))*100)+100</f>
        <v/>
      </c>
    </row>
    <row r="44" customFormat="1" s="86">
      <c r="A44" s="21" t="n">
        <v>34151</v>
      </c>
      <c r="B44" s="76">
        <f>IF(VLOOKUP(A44,Database!$A:$AS,MATCH($B$1,Database!$A$1:$AS$1,0),FALSE)=0,#N/A,VLOOKUP(A44,Database!$A:$AS,MATCH($B$1,Database!$A$1:$AS$1,0),FALSE))</f>
        <v/>
      </c>
      <c r="C44" s="76">
        <f>IF(VLOOKUP(A44,Database!$A:$AS,MATCH($C$1,Database!$A$1:$AS$1,0),FALSE)=0,#N/A,VLOOKUP(A44,Database!$A:$AS,MATCH($C$1,Database!$A$1:$AS$1,0),FALSE))</f>
        <v/>
      </c>
      <c r="D44" s="76">
        <f>IF(VLOOKUP(A44,Database!$A:$AS,MATCH($D$1,Database!$A$1:$AS$1,0),FALSE)=0,#N/A,VLOOKUP(A44,Database!$A:$AS,MATCH($D$1,Database!$A$1:$AS$1,0),FALSE))</f>
        <v/>
      </c>
      <c r="E44" s="76">
        <f>IF(VLOOKUP(A44,Database!$A:$AS,MATCH($E$1,Database!$A$1:$AS$1,0),FALSE)=0,#N/A,VLOOKUP(A44,Database!$A:$AS,MATCH($E$1,Database!$A$1:$AS$1,0),FALSE))</f>
        <v/>
      </c>
      <c r="F44" s="76">
        <f>IF(VLOOKUP(A44,Database!$A:$AS,MATCH($F$1,Database!$A$1:$AS$1,0),FALSE)=0,#N/A,VLOOKUP(A44,Database!$A:$AS,MATCH($F$1,Database!$A$1:$AS$1,0),FALSE))</f>
        <v/>
      </c>
      <c r="G44" s="76">
        <f>IF(VLOOKUP(A44,Database!$A:$AS,MATCH($G$1,Database!$A$1:$AS$1,0),FALSE)=0,#N/A,VLOOKUP(A44,Database!$A:$AS,MATCH($G$1,Database!$A$1:$AS$1,0),FALSE))</f>
        <v/>
      </c>
      <c r="H44" s="76">
        <f>(((Table134567891011121314151617343[[#This Row],[ITA]]-VLOOKUP($U$1,A:B,2,))/VLOOKUP($U$1,A:B,2,))*100)+100</f>
        <v/>
      </c>
      <c r="I44" s="76">
        <f>(((Table134567891011121314151617343[[#This Row],[FRA]]-VLOOKUP($U$1,A:C,3,))/VLOOKUP($U$1,A:C,3,))*100)+100</f>
        <v/>
      </c>
      <c r="J44" s="76">
        <f>(((Table134567891011121314151617343[[#This Row],[DEU]]-VLOOKUP($U$1,A:D,4,))/VLOOKUP($U$1,A:D,4,))*100)+100</f>
        <v/>
      </c>
      <c r="K44" s="76">
        <f>(((Table134567891011121314151617343[[#This Row],[ESP]]-VLOOKUP($U$1,A:E,5,))/VLOOKUP($U$1,A:E,5,))*100)+100</f>
        <v/>
      </c>
      <c r="L44" s="76">
        <f>(((Table134567891011121314151617343[[#This Row],[EA19]]-VLOOKUP($U$1,A:F,6,))/VLOOKUP($U$1,A:F,6,))*100)+100</f>
        <v/>
      </c>
      <c r="M44" s="76">
        <f>(((Table134567891011121314151617343[[#This Row],[GBR]]-VLOOKUP($U$1,A:G,7,))/VLOOKUP($U$1,A:G,7,))*100)+100</f>
        <v/>
      </c>
      <c r="N44" s="76">
        <f>IF(VLOOKUP(A44,Database!$A:$AU,MATCH($N$1,Database!$A$1:$AU$1,0),FALSE)=0,#N/A,VLOOKUP(A44,Database!$A:$AU,MATCH($N$1,Database!$A$1:$AU$1,0),FALSE))</f>
        <v/>
      </c>
      <c r="O44" s="76">
        <f>(((Table134567891011121314151617343[[#This Row],[USA]]-VLOOKUP($U$1,A:N,14,))/VLOOKUP($U$1,A:N,14,))*100)+100</f>
        <v/>
      </c>
      <c r="P44" s="76">
        <f>IF(VLOOKUP(A44,Database!$A:$AS,MATCH($P$1,Database!$A$1:$AS$1,0),FALSE)=0,#N/A,VLOOKUP(A44,Database!$A:$AS,MATCH($P$1,Database!$A$1:$AS$1,0),FALSE))</f>
        <v/>
      </c>
      <c r="Q44" s="76">
        <f>(((Table134567891011121314151617343[[#This Row],[JPN]]-VLOOKUP($U$1,A:Q,16,))/VLOOKUP($U$1,A:Q,16,))*100)+100</f>
        <v/>
      </c>
    </row>
    <row r="45" customFormat="1" s="86">
      <c r="A45" s="21" t="n">
        <v>34182</v>
      </c>
      <c r="B45" s="76">
        <f>IF(VLOOKUP(A45,Database!$A:$AS,MATCH($B$1,Database!$A$1:$AS$1,0),FALSE)=0,#N/A,VLOOKUP(A45,Database!$A:$AS,MATCH($B$1,Database!$A$1:$AS$1,0),FALSE))</f>
        <v/>
      </c>
      <c r="C45" s="76">
        <f>IF(VLOOKUP(A45,Database!$A:$AS,MATCH($C$1,Database!$A$1:$AS$1,0),FALSE)=0,#N/A,VLOOKUP(A45,Database!$A:$AS,MATCH($C$1,Database!$A$1:$AS$1,0),FALSE))</f>
        <v/>
      </c>
      <c r="D45" s="76">
        <f>IF(VLOOKUP(A45,Database!$A:$AS,MATCH($D$1,Database!$A$1:$AS$1,0),FALSE)=0,#N/A,VLOOKUP(A45,Database!$A:$AS,MATCH($D$1,Database!$A$1:$AS$1,0),FALSE))</f>
        <v/>
      </c>
      <c r="E45" s="76">
        <f>IF(VLOOKUP(A45,Database!$A:$AS,MATCH($E$1,Database!$A$1:$AS$1,0),FALSE)=0,#N/A,VLOOKUP(A45,Database!$A:$AS,MATCH($E$1,Database!$A$1:$AS$1,0),FALSE))</f>
        <v/>
      </c>
      <c r="F45" s="76">
        <f>IF(VLOOKUP(A45,Database!$A:$AS,MATCH($F$1,Database!$A$1:$AS$1,0),FALSE)=0,#N/A,VLOOKUP(A45,Database!$A:$AS,MATCH($F$1,Database!$A$1:$AS$1,0),FALSE))</f>
        <v/>
      </c>
      <c r="G45" s="76">
        <f>IF(VLOOKUP(A45,Database!$A:$AS,MATCH($G$1,Database!$A$1:$AS$1,0),FALSE)=0,#N/A,VLOOKUP(A45,Database!$A:$AS,MATCH($G$1,Database!$A$1:$AS$1,0),FALSE))</f>
        <v/>
      </c>
      <c r="H45" s="76">
        <f>(((Table134567891011121314151617343[[#This Row],[ITA]]-VLOOKUP($U$1,A:B,2,))/VLOOKUP($U$1,A:B,2,))*100)+100</f>
        <v/>
      </c>
      <c r="I45" s="76">
        <f>(((Table134567891011121314151617343[[#This Row],[FRA]]-VLOOKUP($U$1,A:C,3,))/VLOOKUP($U$1,A:C,3,))*100)+100</f>
        <v/>
      </c>
      <c r="J45" s="76">
        <f>(((Table134567891011121314151617343[[#This Row],[DEU]]-VLOOKUP($U$1,A:D,4,))/VLOOKUP($U$1,A:D,4,))*100)+100</f>
        <v/>
      </c>
      <c r="K45" s="76">
        <f>(((Table134567891011121314151617343[[#This Row],[ESP]]-VLOOKUP($U$1,A:E,5,))/VLOOKUP($U$1,A:E,5,))*100)+100</f>
        <v/>
      </c>
      <c r="L45" s="76">
        <f>(((Table134567891011121314151617343[[#This Row],[EA19]]-VLOOKUP($U$1,A:F,6,))/VLOOKUP($U$1,A:F,6,))*100)+100</f>
        <v/>
      </c>
      <c r="M45" s="76">
        <f>(((Table134567891011121314151617343[[#This Row],[GBR]]-VLOOKUP($U$1,A:G,7,))/VLOOKUP($U$1,A:G,7,))*100)+100</f>
        <v/>
      </c>
      <c r="N45" s="76">
        <f>IF(VLOOKUP(A45,Database!$A:$AU,MATCH($N$1,Database!$A$1:$AU$1,0),FALSE)=0,#N/A,VLOOKUP(A45,Database!$A:$AU,MATCH($N$1,Database!$A$1:$AU$1,0),FALSE))</f>
        <v/>
      </c>
      <c r="O45" s="76">
        <f>(((Table134567891011121314151617343[[#This Row],[USA]]-VLOOKUP($U$1,A:N,14,))/VLOOKUP($U$1,A:N,14,))*100)+100</f>
        <v/>
      </c>
      <c r="P45" s="76">
        <f>IF(VLOOKUP(A45,Database!$A:$AS,MATCH($P$1,Database!$A$1:$AS$1,0),FALSE)=0,#N/A,VLOOKUP(A45,Database!$A:$AS,MATCH($P$1,Database!$A$1:$AS$1,0),FALSE))</f>
        <v/>
      </c>
      <c r="Q45" s="76">
        <f>(((Table134567891011121314151617343[[#This Row],[JPN]]-VLOOKUP($U$1,A:Q,16,))/VLOOKUP($U$1,A:Q,16,))*100)+100</f>
        <v/>
      </c>
    </row>
    <row r="46" customFormat="1" s="86">
      <c r="A46" s="21" t="n">
        <v>34213</v>
      </c>
      <c r="B46" s="76">
        <f>IF(VLOOKUP(A46,Database!$A:$AS,MATCH($B$1,Database!$A$1:$AS$1,0),FALSE)=0,#N/A,VLOOKUP(A46,Database!$A:$AS,MATCH($B$1,Database!$A$1:$AS$1,0),FALSE))</f>
        <v/>
      </c>
      <c r="C46" s="76">
        <f>IF(VLOOKUP(A46,Database!$A:$AS,MATCH($C$1,Database!$A$1:$AS$1,0),FALSE)=0,#N/A,VLOOKUP(A46,Database!$A:$AS,MATCH($C$1,Database!$A$1:$AS$1,0),FALSE))</f>
        <v/>
      </c>
      <c r="D46" s="76">
        <f>IF(VLOOKUP(A46,Database!$A:$AS,MATCH($D$1,Database!$A$1:$AS$1,0),FALSE)=0,#N/A,VLOOKUP(A46,Database!$A:$AS,MATCH($D$1,Database!$A$1:$AS$1,0),FALSE))</f>
        <v/>
      </c>
      <c r="E46" s="76">
        <f>IF(VLOOKUP(A46,Database!$A:$AS,MATCH($E$1,Database!$A$1:$AS$1,0),FALSE)=0,#N/A,VLOOKUP(A46,Database!$A:$AS,MATCH($E$1,Database!$A$1:$AS$1,0),FALSE))</f>
        <v/>
      </c>
      <c r="F46" s="76">
        <f>IF(VLOOKUP(A46,Database!$A:$AS,MATCH($F$1,Database!$A$1:$AS$1,0),FALSE)=0,#N/A,VLOOKUP(A46,Database!$A:$AS,MATCH($F$1,Database!$A$1:$AS$1,0),FALSE))</f>
        <v/>
      </c>
      <c r="G46" s="76">
        <f>IF(VLOOKUP(A46,Database!$A:$AS,MATCH($G$1,Database!$A$1:$AS$1,0),FALSE)=0,#N/A,VLOOKUP(A46,Database!$A:$AS,MATCH($G$1,Database!$A$1:$AS$1,0),FALSE))</f>
        <v/>
      </c>
      <c r="H46" s="76">
        <f>(((Table134567891011121314151617343[[#This Row],[ITA]]-VLOOKUP($U$1,A:B,2,))/VLOOKUP($U$1,A:B,2,))*100)+100</f>
        <v/>
      </c>
      <c r="I46" s="76">
        <f>(((Table134567891011121314151617343[[#This Row],[FRA]]-VLOOKUP($U$1,A:C,3,))/VLOOKUP($U$1,A:C,3,))*100)+100</f>
        <v/>
      </c>
      <c r="J46" s="76">
        <f>(((Table134567891011121314151617343[[#This Row],[DEU]]-VLOOKUP($U$1,A:D,4,))/VLOOKUP($U$1,A:D,4,))*100)+100</f>
        <v/>
      </c>
      <c r="K46" s="76">
        <f>(((Table134567891011121314151617343[[#This Row],[ESP]]-VLOOKUP($U$1,A:E,5,))/VLOOKUP($U$1,A:E,5,))*100)+100</f>
        <v/>
      </c>
      <c r="L46" s="76">
        <f>(((Table134567891011121314151617343[[#This Row],[EA19]]-VLOOKUP($U$1,A:F,6,))/VLOOKUP($U$1,A:F,6,))*100)+100</f>
        <v/>
      </c>
      <c r="M46" s="76">
        <f>(((Table134567891011121314151617343[[#This Row],[GBR]]-VLOOKUP($U$1,A:G,7,))/VLOOKUP($U$1,A:G,7,))*100)+100</f>
        <v/>
      </c>
      <c r="N46" s="76">
        <f>IF(VLOOKUP(A46,Database!$A:$AU,MATCH($N$1,Database!$A$1:$AU$1,0),FALSE)=0,#N/A,VLOOKUP(A46,Database!$A:$AU,MATCH($N$1,Database!$A$1:$AU$1,0),FALSE))</f>
        <v/>
      </c>
      <c r="O46" s="76">
        <f>(((Table134567891011121314151617343[[#This Row],[USA]]-VLOOKUP($U$1,A:N,14,))/VLOOKUP($U$1,A:N,14,))*100)+100</f>
        <v/>
      </c>
      <c r="P46" s="76">
        <f>IF(VLOOKUP(A46,Database!$A:$AS,MATCH($P$1,Database!$A$1:$AS$1,0),FALSE)=0,#N/A,VLOOKUP(A46,Database!$A:$AS,MATCH($P$1,Database!$A$1:$AS$1,0),FALSE))</f>
        <v/>
      </c>
      <c r="Q46" s="76">
        <f>(((Table134567891011121314151617343[[#This Row],[JPN]]-VLOOKUP($U$1,A:Q,16,))/VLOOKUP($U$1,A:Q,16,))*100)+100</f>
        <v/>
      </c>
    </row>
    <row r="47" customFormat="1" s="86">
      <c r="A47" s="21" t="n">
        <v>34243</v>
      </c>
      <c r="B47" s="76">
        <f>IF(VLOOKUP(A47,Database!$A:$AS,MATCH($B$1,Database!$A$1:$AS$1,0),FALSE)=0,#N/A,VLOOKUP(A47,Database!$A:$AS,MATCH($B$1,Database!$A$1:$AS$1,0),FALSE))</f>
        <v/>
      </c>
      <c r="C47" s="76">
        <f>IF(VLOOKUP(A47,Database!$A:$AS,MATCH($C$1,Database!$A$1:$AS$1,0),FALSE)=0,#N/A,VLOOKUP(A47,Database!$A:$AS,MATCH($C$1,Database!$A$1:$AS$1,0),FALSE))</f>
        <v/>
      </c>
      <c r="D47" s="76">
        <f>IF(VLOOKUP(A47,Database!$A:$AS,MATCH($D$1,Database!$A$1:$AS$1,0),FALSE)=0,#N/A,VLOOKUP(A47,Database!$A:$AS,MATCH($D$1,Database!$A$1:$AS$1,0),FALSE))</f>
        <v/>
      </c>
      <c r="E47" s="76">
        <f>IF(VLOOKUP(A47,Database!$A:$AS,MATCH($E$1,Database!$A$1:$AS$1,0),FALSE)=0,#N/A,VLOOKUP(A47,Database!$A:$AS,MATCH($E$1,Database!$A$1:$AS$1,0),FALSE))</f>
        <v/>
      </c>
      <c r="F47" s="76">
        <f>IF(VLOOKUP(A47,Database!$A:$AS,MATCH($F$1,Database!$A$1:$AS$1,0),FALSE)=0,#N/A,VLOOKUP(A47,Database!$A:$AS,MATCH($F$1,Database!$A$1:$AS$1,0),FALSE))</f>
        <v/>
      </c>
      <c r="G47" s="76">
        <f>IF(VLOOKUP(A47,Database!$A:$AS,MATCH($G$1,Database!$A$1:$AS$1,0),FALSE)=0,#N/A,VLOOKUP(A47,Database!$A:$AS,MATCH($G$1,Database!$A$1:$AS$1,0),FALSE))</f>
        <v/>
      </c>
      <c r="H47" s="76">
        <f>(((Table134567891011121314151617343[[#This Row],[ITA]]-VLOOKUP($U$1,A:B,2,))/VLOOKUP($U$1,A:B,2,))*100)+100</f>
        <v/>
      </c>
      <c r="I47" s="76">
        <f>(((Table134567891011121314151617343[[#This Row],[FRA]]-VLOOKUP($U$1,A:C,3,))/VLOOKUP($U$1,A:C,3,))*100)+100</f>
        <v/>
      </c>
      <c r="J47" s="76">
        <f>(((Table134567891011121314151617343[[#This Row],[DEU]]-VLOOKUP($U$1,A:D,4,))/VLOOKUP($U$1,A:D,4,))*100)+100</f>
        <v/>
      </c>
      <c r="K47" s="76">
        <f>(((Table134567891011121314151617343[[#This Row],[ESP]]-VLOOKUP($U$1,A:E,5,))/VLOOKUP($U$1,A:E,5,))*100)+100</f>
        <v/>
      </c>
      <c r="L47" s="76">
        <f>(((Table134567891011121314151617343[[#This Row],[EA19]]-VLOOKUP($U$1,A:F,6,))/VLOOKUP($U$1,A:F,6,))*100)+100</f>
        <v/>
      </c>
      <c r="M47" s="76">
        <f>(((Table134567891011121314151617343[[#This Row],[GBR]]-VLOOKUP($U$1,A:G,7,))/VLOOKUP($U$1,A:G,7,))*100)+100</f>
        <v/>
      </c>
      <c r="N47" s="76">
        <f>IF(VLOOKUP(A47,Database!$A:$AU,MATCH($N$1,Database!$A$1:$AU$1,0),FALSE)=0,#N/A,VLOOKUP(A47,Database!$A:$AU,MATCH($N$1,Database!$A$1:$AU$1,0),FALSE))</f>
        <v/>
      </c>
      <c r="O47" s="76">
        <f>(((Table134567891011121314151617343[[#This Row],[USA]]-VLOOKUP($U$1,A:N,14,))/VLOOKUP($U$1,A:N,14,))*100)+100</f>
        <v/>
      </c>
      <c r="P47" s="76">
        <f>IF(VLOOKUP(A47,Database!$A:$AS,MATCH($P$1,Database!$A$1:$AS$1,0),FALSE)=0,#N/A,VLOOKUP(A47,Database!$A:$AS,MATCH($P$1,Database!$A$1:$AS$1,0),FALSE))</f>
        <v/>
      </c>
      <c r="Q47" s="76">
        <f>(((Table134567891011121314151617343[[#This Row],[JPN]]-VLOOKUP($U$1,A:Q,16,))/VLOOKUP($U$1,A:Q,16,))*100)+100</f>
        <v/>
      </c>
    </row>
    <row r="48" customFormat="1" s="86">
      <c r="A48" s="21" t="n">
        <v>34274</v>
      </c>
      <c r="B48" s="76">
        <f>IF(VLOOKUP(A48,Database!$A:$AS,MATCH($B$1,Database!$A$1:$AS$1,0),FALSE)=0,#N/A,VLOOKUP(A48,Database!$A:$AS,MATCH($B$1,Database!$A$1:$AS$1,0),FALSE))</f>
        <v/>
      </c>
      <c r="C48" s="76">
        <f>IF(VLOOKUP(A48,Database!$A:$AS,MATCH($C$1,Database!$A$1:$AS$1,0),FALSE)=0,#N/A,VLOOKUP(A48,Database!$A:$AS,MATCH($C$1,Database!$A$1:$AS$1,0),FALSE))</f>
        <v/>
      </c>
      <c r="D48" s="76">
        <f>IF(VLOOKUP(A48,Database!$A:$AS,MATCH($D$1,Database!$A$1:$AS$1,0),FALSE)=0,#N/A,VLOOKUP(A48,Database!$A:$AS,MATCH($D$1,Database!$A$1:$AS$1,0),FALSE))</f>
        <v/>
      </c>
      <c r="E48" s="76">
        <f>IF(VLOOKUP(A48,Database!$A:$AS,MATCH($E$1,Database!$A$1:$AS$1,0),FALSE)=0,#N/A,VLOOKUP(A48,Database!$A:$AS,MATCH($E$1,Database!$A$1:$AS$1,0),FALSE))</f>
        <v/>
      </c>
      <c r="F48" s="76">
        <f>IF(VLOOKUP(A48,Database!$A:$AS,MATCH($F$1,Database!$A$1:$AS$1,0),FALSE)=0,#N/A,VLOOKUP(A48,Database!$A:$AS,MATCH($F$1,Database!$A$1:$AS$1,0),FALSE))</f>
        <v/>
      </c>
      <c r="G48" s="76">
        <f>IF(VLOOKUP(A48,Database!$A:$AS,MATCH($G$1,Database!$A$1:$AS$1,0),FALSE)=0,#N/A,VLOOKUP(A48,Database!$A:$AS,MATCH($G$1,Database!$A$1:$AS$1,0),FALSE))</f>
        <v/>
      </c>
      <c r="H48" s="76">
        <f>(((Table134567891011121314151617343[[#This Row],[ITA]]-VLOOKUP($U$1,A:B,2,))/VLOOKUP($U$1,A:B,2,))*100)+100</f>
        <v/>
      </c>
      <c r="I48" s="76">
        <f>(((Table134567891011121314151617343[[#This Row],[FRA]]-VLOOKUP($U$1,A:C,3,))/VLOOKUP($U$1,A:C,3,))*100)+100</f>
        <v/>
      </c>
      <c r="J48" s="76">
        <f>(((Table134567891011121314151617343[[#This Row],[DEU]]-VLOOKUP($U$1,A:D,4,))/VLOOKUP($U$1,A:D,4,))*100)+100</f>
        <v/>
      </c>
      <c r="K48" s="76">
        <f>(((Table134567891011121314151617343[[#This Row],[ESP]]-VLOOKUP($U$1,A:E,5,))/VLOOKUP($U$1,A:E,5,))*100)+100</f>
        <v/>
      </c>
      <c r="L48" s="76">
        <f>(((Table134567891011121314151617343[[#This Row],[EA19]]-VLOOKUP($U$1,A:F,6,))/VLOOKUP($U$1,A:F,6,))*100)+100</f>
        <v/>
      </c>
      <c r="M48" s="76">
        <f>(((Table134567891011121314151617343[[#This Row],[GBR]]-VLOOKUP($U$1,A:G,7,))/VLOOKUP($U$1,A:G,7,))*100)+100</f>
        <v/>
      </c>
      <c r="N48" s="76">
        <f>IF(VLOOKUP(A48,Database!$A:$AU,MATCH($N$1,Database!$A$1:$AU$1,0),FALSE)=0,#N/A,VLOOKUP(A48,Database!$A:$AU,MATCH($N$1,Database!$A$1:$AU$1,0),FALSE))</f>
        <v/>
      </c>
      <c r="O48" s="76">
        <f>(((Table134567891011121314151617343[[#This Row],[USA]]-VLOOKUP($U$1,A:N,14,))/VLOOKUP($U$1,A:N,14,))*100)+100</f>
        <v/>
      </c>
      <c r="P48" s="76">
        <f>IF(VLOOKUP(A48,Database!$A:$AS,MATCH($P$1,Database!$A$1:$AS$1,0),FALSE)=0,#N/A,VLOOKUP(A48,Database!$A:$AS,MATCH($P$1,Database!$A$1:$AS$1,0),FALSE))</f>
        <v/>
      </c>
      <c r="Q48" s="76">
        <f>(((Table134567891011121314151617343[[#This Row],[JPN]]-VLOOKUP($U$1,A:Q,16,))/VLOOKUP($U$1,A:Q,16,))*100)+100</f>
        <v/>
      </c>
    </row>
    <row r="49" customFormat="1" s="86">
      <c r="A49" s="21" t="n">
        <v>34304</v>
      </c>
      <c r="B49" s="76">
        <f>IF(VLOOKUP(A49,Database!$A:$AS,MATCH($B$1,Database!$A$1:$AS$1,0),FALSE)=0,#N/A,VLOOKUP(A49,Database!$A:$AS,MATCH($B$1,Database!$A$1:$AS$1,0),FALSE))</f>
        <v/>
      </c>
      <c r="C49" s="76">
        <f>IF(VLOOKUP(A49,Database!$A:$AS,MATCH($C$1,Database!$A$1:$AS$1,0),FALSE)=0,#N/A,VLOOKUP(A49,Database!$A:$AS,MATCH($C$1,Database!$A$1:$AS$1,0),FALSE))</f>
        <v/>
      </c>
      <c r="D49" s="76">
        <f>IF(VLOOKUP(A49,Database!$A:$AS,MATCH($D$1,Database!$A$1:$AS$1,0),FALSE)=0,#N/A,VLOOKUP(A49,Database!$A:$AS,MATCH($D$1,Database!$A$1:$AS$1,0),FALSE))</f>
        <v/>
      </c>
      <c r="E49" s="76">
        <f>IF(VLOOKUP(A49,Database!$A:$AS,MATCH($E$1,Database!$A$1:$AS$1,0),FALSE)=0,#N/A,VLOOKUP(A49,Database!$A:$AS,MATCH($E$1,Database!$A$1:$AS$1,0),FALSE))</f>
        <v/>
      </c>
      <c r="F49" s="76">
        <f>IF(VLOOKUP(A49,Database!$A:$AS,MATCH($F$1,Database!$A$1:$AS$1,0),FALSE)=0,#N/A,VLOOKUP(A49,Database!$A:$AS,MATCH($F$1,Database!$A$1:$AS$1,0),FALSE))</f>
        <v/>
      </c>
      <c r="G49" s="76">
        <f>IF(VLOOKUP(A49,Database!$A:$AS,MATCH($G$1,Database!$A$1:$AS$1,0),FALSE)=0,#N/A,VLOOKUP(A49,Database!$A:$AS,MATCH($G$1,Database!$A$1:$AS$1,0),FALSE))</f>
        <v/>
      </c>
      <c r="H49" s="76">
        <f>(((Table134567891011121314151617343[[#This Row],[ITA]]-VLOOKUP($U$1,A:B,2,))/VLOOKUP($U$1,A:B,2,))*100)+100</f>
        <v/>
      </c>
      <c r="I49" s="76">
        <f>(((Table134567891011121314151617343[[#This Row],[FRA]]-VLOOKUP($U$1,A:C,3,))/VLOOKUP($U$1,A:C,3,))*100)+100</f>
        <v/>
      </c>
      <c r="J49" s="76">
        <f>(((Table134567891011121314151617343[[#This Row],[DEU]]-VLOOKUP($U$1,A:D,4,))/VLOOKUP($U$1,A:D,4,))*100)+100</f>
        <v/>
      </c>
      <c r="K49" s="76">
        <f>(((Table134567891011121314151617343[[#This Row],[ESP]]-VLOOKUP($U$1,A:E,5,))/VLOOKUP($U$1,A:E,5,))*100)+100</f>
        <v/>
      </c>
      <c r="L49" s="76">
        <f>(((Table134567891011121314151617343[[#This Row],[EA19]]-VLOOKUP($U$1,A:F,6,))/VLOOKUP($U$1,A:F,6,))*100)+100</f>
        <v/>
      </c>
      <c r="M49" s="76">
        <f>(((Table134567891011121314151617343[[#This Row],[GBR]]-VLOOKUP($U$1,A:G,7,))/VLOOKUP($U$1,A:G,7,))*100)+100</f>
        <v/>
      </c>
      <c r="N49" s="76">
        <f>IF(VLOOKUP(A49,Database!$A:$AU,MATCH($N$1,Database!$A$1:$AU$1,0),FALSE)=0,#N/A,VLOOKUP(A49,Database!$A:$AU,MATCH($N$1,Database!$A$1:$AU$1,0),FALSE))</f>
        <v/>
      </c>
      <c r="O49" s="76">
        <f>(((Table134567891011121314151617343[[#This Row],[USA]]-VLOOKUP($U$1,A:N,14,))/VLOOKUP($U$1,A:N,14,))*100)+100</f>
        <v/>
      </c>
      <c r="P49" s="76">
        <f>IF(VLOOKUP(A49,Database!$A:$AS,MATCH($P$1,Database!$A$1:$AS$1,0),FALSE)=0,#N/A,VLOOKUP(A49,Database!$A:$AS,MATCH($P$1,Database!$A$1:$AS$1,0),FALSE))</f>
        <v/>
      </c>
      <c r="Q49" s="76">
        <f>(((Table134567891011121314151617343[[#This Row],[JPN]]-VLOOKUP($U$1,A:Q,16,))/VLOOKUP($U$1,A:Q,16,))*100)+100</f>
        <v/>
      </c>
    </row>
    <row r="50" customFormat="1" s="86">
      <c r="A50" s="21" t="n">
        <v>34335</v>
      </c>
      <c r="B50" s="76">
        <f>IF(VLOOKUP(A50,Database!$A:$AS,MATCH($B$1,Database!$A$1:$AS$1,0),FALSE)=0,#N/A,VLOOKUP(A50,Database!$A:$AS,MATCH($B$1,Database!$A$1:$AS$1,0),FALSE))</f>
        <v/>
      </c>
      <c r="C50" s="76">
        <f>IF(VLOOKUP(A50,Database!$A:$AS,MATCH($C$1,Database!$A$1:$AS$1,0),FALSE)=0,#N/A,VLOOKUP(A50,Database!$A:$AS,MATCH($C$1,Database!$A$1:$AS$1,0),FALSE))</f>
        <v/>
      </c>
      <c r="D50" s="76">
        <f>IF(VLOOKUP(A50,Database!$A:$AS,MATCH($D$1,Database!$A$1:$AS$1,0),FALSE)=0,#N/A,VLOOKUP(A50,Database!$A:$AS,MATCH($D$1,Database!$A$1:$AS$1,0),FALSE))</f>
        <v/>
      </c>
      <c r="E50" s="76">
        <f>IF(VLOOKUP(A50,Database!$A:$AS,MATCH($E$1,Database!$A$1:$AS$1,0),FALSE)=0,#N/A,VLOOKUP(A50,Database!$A:$AS,MATCH($E$1,Database!$A$1:$AS$1,0),FALSE))</f>
        <v/>
      </c>
      <c r="F50" s="76">
        <f>IF(VLOOKUP(A50,Database!$A:$AS,MATCH($F$1,Database!$A$1:$AS$1,0),FALSE)=0,#N/A,VLOOKUP(A50,Database!$A:$AS,MATCH($F$1,Database!$A$1:$AS$1,0),FALSE))</f>
        <v/>
      </c>
      <c r="G50" s="76">
        <f>IF(VLOOKUP(A50,Database!$A:$AS,MATCH($G$1,Database!$A$1:$AS$1,0),FALSE)=0,#N/A,VLOOKUP(A50,Database!$A:$AS,MATCH($G$1,Database!$A$1:$AS$1,0),FALSE))</f>
        <v/>
      </c>
      <c r="H50" s="76">
        <f>(((Table134567891011121314151617343[[#This Row],[ITA]]-VLOOKUP($U$1,A:B,2,))/VLOOKUP($U$1,A:B,2,))*100)+100</f>
        <v/>
      </c>
      <c r="I50" s="76">
        <f>(((Table134567891011121314151617343[[#This Row],[FRA]]-VLOOKUP($U$1,A:C,3,))/VLOOKUP($U$1,A:C,3,))*100)+100</f>
        <v/>
      </c>
      <c r="J50" s="76">
        <f>(((Table134567891011121314151617343[[#This Row],[DEU]]-VLOOKUP($U$1,A:D,4,))/VLOOKUP($U$1,A:D,4,))*100)+100</f>
        <v/>
      </c>
      <c r="K50" s="76">
        <f>(((Table134567891011121314151617343[[#This Row],[ESP]]-VLOOKUP($U$1,A:E,5,))/VLOOKUP($U$1,A:E,5,))*100)+100</f>
        <v/>
      </c>
      <c r="L50" s="76">
        <f>(((Table134567891011121314151617343[[#This Row],[EA19]]-VLOOKUP($U$1,A:F,6,))/VLOOKUP($U$1,A:F,6,))*100)+100</f>
        <v/>
      </c>
      <c r="M50" s="76">
        <f>(((Table134567891011121314151617343[[#This Row],[GBR]]-VLOOKUP($U$1,A:G,7,))/VLOOKUP($U$1,A:G,7,))*100)+100</f>
        <v/>
      </c>
      <c r="N50" s="76">
        <f>IF(VLOOKUP(A50,Database!$A:$AU,MATCH($N$1,Database!$A$1:$AU$1,0),FALSE)=0,#N/A,VLOOKUP(A50,Database!$A:$AU,MATCH($N$1,Database!$A$1:$AU$1,0),FALSE))</f>
        <v/>
      </c>
      <c r="O50" s="76">
        <f>(((Table134567891011121314151617343[[#This Row],[USA]]-VLOOKUP($U$1,A:N,14,))/VLOOKUP($U$1,A:N,14,))*100)+100</f>
        <v/>
      </c>
      <c r="P50" s="76">
        <f>IF(VLOOKUP(A50,Database!$A:$AS,MATCH($P$1,Database!$A$1:$AS$1,0),FALSE)=0,#N/A,VLOOKUP(A50,Database!$A:$AS,MATCH($P$1,Database!$A$1:$AS$1,0),FALSE))</f>
        <v/>
      </c>
      <c r="Q50" s="76">
        <f>(((Table134567891011121314151617343[[#This Row],[JPN]]-VLOOKUP($U$1,A:Q,16,))/VLOOKUP($U$1,A:Q,16,))*100)+100</f>
        <v/>
      </c>
    </row>
    <row r="51" customFormat="1" s="86">
      <c r="A51" s="21" t="n">
        <v>34366</v>
      </c>
      <c r="B51" s="76">
        <f>IF(VLOOKUP(A51,Database!$A:$AS,MATCH($B$1,Database!$A$1:$AS$1,0),FALSE)=0,#N/A,VLOOKUP(A51,Database!$A:$AS,MATCH($B$1,Database!$A$1:$AS$1,0),FALSE))</f>
        <v/>
      </c>
      <c r="C51" s="76">
        <f>IF(VLOOKUP(A51,Database!$A:$AS,MATCH($C$1,Database!$A$1:$AS$1,0),FALSE)=0,#N/A,VLOOKUP(A51,Database!$A:$AS,MATCH($C$1,Database!$A$1:$AS$1,0),FALSE))</f>
        <v/>
      </c>
      <c r="D51" s="76">
        <f>IF(VLOOKUP(A51,Database!$A:$AS,MATCH($D$1,Database!$A$1:$AS$1,0),FALSE)=0,#N/A,VLOOKUP(A51,Database!$A:$AS,MATCH($D$1,Database!$A$1:$AS$1,0),FALSE))</f>
        <v/>
      </c>
      <c r="E51" s="76">
        <f>IF(VLOOKUP(A51,Database!$A:$AS,MATCH($E$1,Database!$A$1:$AS$1,0),FALSE)=0,#N/A,VLOOKUP(A51,Database!$A:$AS,MATCH($E$1,Database!$A$1:$AS$1,0),FALSE))</f>
        <v/>
      </c>
      <c r="F51" s="76">
        <f>IF(VLOOKUP(A51,Database!$A:$AS,MATCH($F$1,Database!$A$1:$AS$1,0),FALSE)=0,#N/A,VLOOKUP(A51,Database!$A:$AS,MATCH($F$1,Database!$A$1:$AS$1,0),FALSE))</f>
        <v/>
      </c>
      <c r="G51" s="76">
        <f>IF(VLOOKUP(A51,Database!$A:$AS,MATCH($G$1,Database!$A$1:$AS$1,0),FALSE)=0,#N/A,VLOOKUP(A51,Database!$A:$AS,MATCH($G$1,Database!$A$1:$AS$1,0),FALSE))</f>
        <v/>
      </c>
      <c r="H51" s="76">
        <f>(((Table134567891011121314151617343[[#This Row],[ITA]]-VLOOKUP($U$1,A:B,2,))/VLOOKUP($U$1,A:B,2,))*100)+100</f>
        <v/>
      </c>
      <c r="I51" s="76">
        <f>(((Table134567891011121314151617343[[#This Row],[FRA]]-VLOOKUP($U$1,A:C,3,))/VLOOKUP($U$1,A:C,3,))*100)+100</f>
        <v/>
      </c>
      <c r="J51" s="76">
        <f>(((Table134567891011121314151617343[[#This Row],[DEU]]-VLOOKUP($U$1,A:D,4,))/VLOOKUP($U$1,A:D,4,))*100)+100</f>
        <v/>
      </c>
      <c r="K51" s="76">
        <f>(((Table134567891011121314151617343[[#This Row],[ESP]]-VLOOKUP($U$1,A:E,5,))/VLOOKUP($U$1,A:E,5,))*100)+100</f>
        <v/>
      </c>
      <c r="L51" s="76">
        <f>(((Table134567891011121314151617343[[#This Row],[EA19]]-VLOOKUP($U$1,A:F,6,))/VLOOKUP($U$1,A:F,6,))*100)+100</f>
        <v/>
      </c>
      <c r="M51" s="76">
        <f>(((Table134567891011121314151617343[[#This Row],[GBR]]-VLOOKUP($U$1,A:G,7,))/VLOOKUP($U$1,A:G,7,))*100)+100</f>
        <v/>
      </c>
      <c r="N51" s="76">
        <f>IF(VLOOKUP(A51,Database!$A:$AU,MATCH($N$1,Database!$A$1:$AU$1,0),FALSE)=0,#N/A,VLOOKUP(A51,Database!$A:$AU,MATCH($N$1,Database!$A$1:$AU$1,0),FALSE))</f>
        <v/>
      </c>
      <c r="O51" s="76">
        <f>(((Table134567891011121314151617343[[#This Row],[USA]]-VLOOKUP($U$1,A:N,14,))/VLOOKUP($U$1,A:N,14,))*100)+100</f>
        <v/>
      </c>
      <c r="P51" s="76">
        <f>IF(VLOOKUP(A51,Database!$A:$AS,MATCH($P$1,Database!$A$1:$AS$1,0),FALSE)=0,#N/A,VLOOKUP(A51,Database!$A:$AS,MATCH($P$1,Database!$A$1:$AS$1,0),FALSE))</f>
        <v/>
      </c>
      <c r="Q51" s="76">
        <f>(((Table134567891011121314151617343[[#This Row],[JPN]]-VLOOKUP($U$1,A:Q,16,))/VLOOKUP($U$1,A:Q,16,))*100)+100</f>
        <v/>
      </c>
    </row>
    <row r="52" customFormat="1" s="86">
      <c r="A52" s="21" t="n">
        <v>34394</v>
      </c>
      <c r="B52" s="76">
        <f>IF(VLOOKUP(A52,Database!$A:$AS,MATCH($B$1,Database!$A$1:$AS$1,0),FALSE)=0,#N/A,VLOOKUP(A52,Database!$A:$AS,MATCH($B$1,Database!$A$1:$AS$1,0),FALSE))</f>
        <v/>
      </c>
      <c r="C52" s="76">
        <f>IF(VLOOKUP(A52,Database!$A:$AS,MATCH($C$1,Database!$A$1:$AS$1,0),FALSE)=0,#N/A,VLOOKUP(A52,Database!$A:$AS,MATCH($C$1,Database!$A$1:$AS$1,0),FALSE))</f>
        <v/>
      </c>
      <c r="D52" s="76">
        <f>IF(VLOOKUP(A52,Database!$A:$AS,MATCH($D$1,Database!$A$1:$AS$1,0),FALSE)=0,#N/A,VLOOKUP(A52,Database!$A:$AS,MATCH($D$1,Database!$A$1:$AS$1,0),FALSE))</f>
        <v/>
      </c>
      <c r="E52" s="76">
        <f>IF(VLOOKUP(A52,Database!$A:$AS,MATCH($E$1,Database!$A$1:$AS$1,0),FALSE)=0,#N/A,VLOOKUP(A52,Database!$A:$AS,MATCH($E$1,Database!$A$1:$AS$1,0),FALSE))</f>
        <v/>
      </c>
      <c r="F52" s="76">
        <f>IF(VLOOKUP(A52,Database!$A:$AS,MATCH($F$1,Database!$A$1:$AS$1,0),FALSE)=0,#N/A,VLOOKUP(A52,Database!$A:$AS,MATCH($F$1,Database!$A$1:$AS$1,0),FALSE))</f>
        <v/>
      </c>
      <c r="G52" s="76">
        <f>IF(VLOOKUP(A52,Database!$A:$AS,MATCH($G$1,Database!$A$1:$AS$1,0),FALSE)=0,#N/A,VLOOKUP(A52,Database!$A:$AS,MATCH($G$1,Database!$A$1:$AS$1,0),FALSE))</f>
        <v/>
      </c>
      <c r="H52" s="76">
        <f>(((Table134567891011121314151617343[[#This Row],[ITA]]-VLOOKUP($U$1,A:B,2,))/VLOOKUP($U$1,A:B,2,))*100)+100</f>
        <v/>
      </c>
      <c r="I52" s="76">
        <f>(((Table134567891011121314151617343[[#This Row],[FRA]]-VLOOKUP($U$1,A:C,3,))/VLOOKUP($U$1,A:C,3,))*100)+100</f>
        <v/>
      </c>
      <c r="J52" s="76">
        <f>(((Table134567891011121314151617343[[#This Row],[DEU]]-VLOOKUP($U$1,A:D,4,))/VLOOKUP($U$1,A:D,4,))*100)+100</f>
        <v/>
      </c>
      <c r="K52" s="76">
        <f>(((Table134567891011121314151617343[[#This Row],[ESP]]-VLOOKUP($U$1,A:E,5,))/VLOOKUP($U$1,A:E,5,))*100)+100</f>
        <v/>
      </c>
      <c r="L52" s="76">
        <f>(((Table134567891011121314151617343[[#This Row],[EA19]]-VLOOKUP($U$1,A:F,6,))/VLOOKUP($U$1,A:F,6,))*100)+100</f>
        <v/>
      </c>
      <c r="M52" s="76">
        <f>(((Table134567891011121314151617343[[#This Row],[GBR]]-VLOOKUP($U$1,A:G,7,))/VLOOKUP($U$1,A:G,7,))*100)+100</f>
        <v/>
      </c>
      <c r="N52" s="76">
        <f>IF(VLOOKUP(A52,Database!$A:$AU,MATCH($N$1,Database!$A$1:$AU$1,0),FALSE)=0,#N/A,VLOOKUP(A52,Database!$A:$AU,MATCH($N$1,Database!$A$1:$AU$1,0),FALSE))</f>
        <v/>
      </c>
      <c r="O52" s="76">
        <f>(((Table134567891011121314151617343[[#This Row],[USA]]-VLOOKUP($U$1,A:N,14,))/VLOOKUP($U$1,A:N,14,))*100)+100</f>
        <v/>
      </c>
      <c r="P52" s="76">
        <f>IF(VLOOKUP(A52,Database!$A:$AS,MATCH($P$1,Database!$A$1:$AS$1,0),FALSE)=0,#N/A,VLOOKUP(A52,Database!$A:$AS,MATCH($P$1,Database!$A$1:$AS$1,0),FALSE))</f>
        <v/>
      </c>
      <c r="Q52" s="76">
        <f>(((Table134567891011121314151617343[[#This Row],[JPN]]-VLOOKUP($U$1,A:Q,16,))/VLOOKUP($U$1,A:Q,16,))*100)+100</f>
        <v/>
      </c>
    </row>
    <row r="53" customFormat="1" s="86">
      <c r="A53" s="21" t="n">
        <v>34425</v>
      </c>
      <c r="B53" s="76">
        <f>IF(VLOOKUP(A53,Database!$A:$AS,MATCH($B$1,Database!$A$1:$AS$1,0),FALSE)=0,#N/A,VLOOKUP(A53,Database!$A:$AS,MATCH($B$1,Database!$A$1:$AS$1,0),FALSE))</f>
        <v/>
      </c>
      <c r="C53" s="76">
        <f>IF(VLOOKUP(A53,Database!$A:$AS,MATCH($C$1,Database!$A$1:$AS$1,0),FALSE)=0,#N/A,VLOOKUP(A53,Database!$A:$AS,MATCH($C$1,Database!$A$1:$AS$1,0),FALSE))</f>
        <v/>
      </c>
      <c r="D53" s="76">
        <f>IF(VLOOKUP(A53,Database!$A:$AS,MATCH($D$1,Database!$A$1:$AS$1,0),FALSE)=0,#N/A,VLOOKUP(A53,Database!$A:$AS,MATCH($D$1,Database!$A$1:$AS$1,0),FALSE))</f>
        <v/>
      </c>
      <c r="E53" s="76">
        <f>IF(VLOOKUP(A53,Database!$A:$AS,MATCH($E$1,Database!$A$1:$AS$1,0),FALSE)=0,#N/A,VLOOKUP(A53,Database!$A:$AS,MATCH($E$1,Database!$A$1:$AS$1,0),FALSE))</f>
        <v/>
      </c>
      <c r="F53" s="76">
        <f>IF(VLOOKUP(A53,Database!$A:$AS,MATCH($F$1,Database!$A$1:$AS$1,0),FALSE)=0,#N/A,VLOOKUP(A53,Database!$A:$AS,MATCH($F$1,Database!$A$1:$AS$1,0),FALSE))</f>
        <v/>
      </c>
      <c r="G53" s="76">
        <f>IF(VLOOKUP(A53,Database!$A:$AS,MATCH($G$1,Database!$A$1:$AS$1,0),FALSE)=0,#N/A,VLOOKUP(A53,Database!$A:$AS,MATCH($G$1,Database!$A$1:$AS$1,0),FALSE))</f>
        <v/>
      </c>
      <c r="H53" s="76">
        <f>(((Table134567891011121314151617343[[#This Row],[ITA]]-VLOOKUP($U$1,A:B,2,))/VLOOKUP($U$1,A:B,2,))*100)+100</f>
        <v/>
      </c>
      <c r="I53" s="76">
        <f>(((Table134567891011121314151617343[[#This Row],[FRA]]-VLOOKUP($U$1,A:C,3,))/VLOOKUP($U$1,A:C,3,))*100)+100</f>
        <v/>
      </c>
      <c r="J53" s="76">
        <f>(((Table134567891011121314151617343[[#This Row],[DEU]]-VLOOKUP($U$1,A:D,4,))/VLOOKUP($U$1,A:D,4,))*100)+100</f>
        <v/>
      </c>
      <c r="K53" s="76">
        <f>(((Table134567891011121314151617343[[#This Row],[ESP]]-VLOOKUP($U$1,A:E,5,))/VLOOKUP($U$1,A:E,5,))*100)+100</f>
        <v/>
      </c>
      <c r="L53" s="76">
        <f>(((Table134567891011121314151617343[[#This Row],[EA19]]-VLOOKUP($U$1,A:F,6,))/VLOOKUP($U$1,A:F,6,))*100)+100</f>
        <v/>
      </c>
      <c r="M53" s="76">
        <f>(((Table134567891011121314151617343[[#This Row],[GBR]]-VLOOKUP($U$1,A:G,7,))/VLOOKUP($U$1,A:G,7,))*100)+100</f>
        <v/>
      </c>
      <c r="N53" s="76">
        <f>IF(VLOOKUP(A53,Database!$A:$AU,MATCH($N$1,Database!$A$1:$AU$1,0),FALSE)=0,#N/A,VLOOKUP(A53,Database!$A:$AU,MATCH($N$1,Database!$A$1:$AU$1,0),FALSE))</f>
        <v/>
      </c>
      <c r="O53" s="76">
        <f>(((Table134567891011121314151617343[[#This Row],[USA]]-VLOOKUP($U$1,A:N,14,))/VLOOKUP($U$1,A:N,14,))*100)+100</f>
        <v/>
      </c>
      <c r="P53" s="76">
        <f>IF(VLOOKUP(A53,Database!$A:$AS,MATCH($P$1,Database!$A$1:$AS$1,0),FALSE)=0,#N/A,VLOOKUP(A53,Database!$A:$AS,MATCH($P$1,Database!$A$1:$AS$1,0),FALSE))</f>
        <v/>
      </c>
      <c r="Q53" s="76">
        <f>(((Table134567891011121314151617343[[#This Row],[JPN]]-VLOOKUP($U$1,A:Q,16,))/VLOOKUP($U$1,A:Q,16,))*100)+100</f>
        <v/>
      </c>
    </row>
    <row r="54" customFormat="1" s="86">
      <c r="A54" s="21" t="n">
        <v>34455</v>
      </c>
      <c r="B54" s="76">
        <f>IF(VLOOKUP(A54,Database!$A:$AS,MATCH($B$1,Database!$A$1:$AS$1,0),FALSE)=0,#N/A,VLOOKUP(A54,Database!$A:$AS,MATCH($B$1,Database!$A$1:$AS$1,0),FALSE))</f>
        <v/>
      </c>
      <c r="C54" s="76">
        <f>IF(VLOOKUP(A54,Database!$A:$AS,MATCH($C$1,Database!$A$1:$AS$1,0),FALSE)=0,#N/A,VLOOKUP(A54,Database!$A:$AS,MATCH($C$1,Database!$A$1:$AS$1,0),FALSE))</f>
        <v/>
      </c>
      <c r="D54" s="76">
        <f>IF(VLOOKUP(A54,Database!$A:$AS,MATCH($D$1,Database!$A$1:$AS$1,0),FALSE)=0,#N/A,VLOOKUP(A54,Database!$A:$AS,MATCH($D$1,Database!$A$1:$AS$1,0),FALSE))</f>
        <v/>
      </c>
      <c r="E54" s="76">
        <f>IF(VLOOKUP(A54,Database!$A:$AS,MATCH($E$1,Database!$A$1:$AS$1,0),FALSE)=0,#N/A,VLOOKUP(A54,Database!$A:$AS,MATCH($E$1,Database!$A$1:$AS$1,0),FALSE))</f>
        <v/>
      </c>
      <c r="F54" s="76">
        <f>IF(VLOOKUP(A54,Database!$A:$AS,MATCH($F$1,Database!$A$1:$AS$1,0),FALSE)=0,#N/A,VLOOKUP(A54,Database!$A:$AS,MATCH($F$1,Database!$A$1:$AS$1,0),FALSE))</f>
        <v/>
      </c>
      <c r="G54" s="76">
        <f>IF(VLOOKUP(A54,Database!$A:$AS,MATCH($G$1,Database!$A$1:$AS$1,0),FALSE)=0,#N/A,VLOOKUP(A54,Database!$A:$AS,MATCH($G$1,Database!$A$1:$AS$1,0),FALSE))</f>
        <v/>
      </c>
      <c r="H54" s="76">
        <f>(((Table134567891011121314151617343[[#This Row],[ITA]]-VLOOKUP($U$1,A:B,2,))/VLOOKUP($U$1,A:B,2,))*100)+100</f>
        <v/>
      </c>
      <c r="I54" s="76">
        <f>(((Table134567891011121314151617343[[#This Row],[FRA]]-VLOOKUP($U$1,A:C,3,))/VLOOKUP($U$1,A:C,3,))*100)+100</f>
        <v/>
      </c>
      <c r="J54" s="76">
        <f>(((Table134567891011121314151617343[[#This Row],[DEU]]-VLOOKUP($U$1,A:D,4,))/VLOOKUP($U$1,A:D,4,))*100)+100</f>
        <v/>
      </c>
      <c r="K54" s="76">
        <f>(((Table134567891011121314151617343[[#This Row],[ESP]]-VLOOKUP($U$1,A:E,5,))/VLOOKUP($U$1,A:E,5,))*100)+100</f>
        <v/>
      </c>
      <c r="L54" s="76">
        <f>(((Table134567891011121314151617343[[#This Row],[EA19]]-VLOOKUP($U$1,A:F,6,))/VLOOKUP($U$1,A:F,6,))*100)+100</f>
        <v/>
      </c>
      <c r="M54" s="76">
        <f>(((Table134567891011121314151617343[[#This Row],[GBR]]-VLOOKUP($U$1,A:G,7,))/VLOOKUP($U$1,A:G,7,))*100)+100</f>
        <v/>
      </c>
      <c r="N54" s="76">
        <f>IF(VLOOKUP(A54,Database!$A:$AU,MATCH($N$1,Database!$A$1:$AU$1,0),FALSE)=0,#N/A,VLOOKUP(A54,Database!$A:$AU,MATCH($N$1,Database!$A$1:$AU$1,0),FALSE))</f>
        <v/>
      </c>
      <c r="O54" s="76">
        <f>(((Table134567891011121314151617343[[#This Row],[USA]]-VLOOKUP($U$1,A:N,14,))/VLOOKUP($U$1,A:N,14,))*100)+100</f>
        <v/>
      </c>
      <c r="P54" s="76">
        <f>IF(VLOOKUP(A54,Database!$A:$AS,MATCH($P$1,Database!$A$1:$AS$1,0),FALSE)=0,#N/A,VLOOKUP(A54,Database!$A:$AS,MATCH($P$1,Database!$A$1:$AS$1,0),FALSE))</f>
        <v/>
      </c>
      <c r="Q54" s="76">
        <f>(((Table134567891011121314151617343[[#This Row],[JPN]]-VLOOKUP($U$1,A:Q,16,))/VLOOKUP($U$1,A:Q,16,))*100)+100</f>
        <v/>
      </c>
    </row>
    <row r="55" customFormat="1" s="86">
      <c r="A55" s="21" t="n">
        <v>34486</v>
      </c>
      <c r="B55" s="76">
        <f>IF(VLOOKUP(A55,Database!$A:$AS,MATCH($B$1,Database!$A$1:$AS$1,0),FALSE)=0,#N/A,VLOOKUP(A55,Database!$A:$AS,MATCH($B$1,Database!$A$1:$AS$1,0),FALSE))</f>
        <v/>
      </c>
      <c r="C55" s="76">
        <f>IF(VLOOKUP(A55,Database!$A:$AS,MATCH($C$1,Database!$A$1:$AS$1,0),FALSE)=0,#N/A,VLOOKUP(A55,Database!$A:$AS,MATCH($C$1,Database!$A$1:$AS$1,0),FALSE))</f>
        <v/>
      </c>
      <c r="D55" s="76">
        <f>IF(VLOOKUP(A55,Database!$A:$AS,MATCH($D$1,Database!$A$1:$AS$1,0),FALSE)=0,#N/A,VLOOKUP(A55,Database!$A:$AS,MATCH($D$1,Database!$A$1:$AS$1,0),FALSE))</f>
        <v/>
      </c>
      <c r="E55" s="76">
        <f>IF(VLOOKUP(A55,Database!$A:$AS,MATCH($E$1,Database!$A$1:$AS$1,0),FALSE)=0,#N/A,VLOOKUP(A55,Database!$A:$AS,MATCH($E$1,Database!$A$1:$AS$1,0),FALSE))</f>
        <v/>
      </c>
      <c r="F55" s="76">
        <f>IF(VLOOKUP(A55,Database!$A:$AS,MATCH($F$1,Database!$A$1:$AS$1,0),FALSE)=0,#N/A,VLOOKUP(A55,Database!$A:$AS,MATCH($F$1,Database!$A$1:$AS$1,0),FALSE))</f>
        <v/>
      </c>
      <c r="G55" s="76">
        <f>IF(VLOOKUP(A55,Database!$A:$AS,MATCH($G$1,Database!$A$1:$AS$1,0),FALSE)=0,#N/A,VLOOKUP(A55,Database!$A:$AS,MATCH($G$1,Database!$A$1:$AS$1,0),FALSE))</f>
        <v/>
      </c>
      <c r="H55" s="76">
        <f>(((Table134567891011121314151617343[[#This Row],[ITA]]-VLOOKUP($U$1,A:B,2,))/VLOOKUP($U$1,A:B,2,))*100)+100</f>
        <v/>
      </c>
      <c r="I55" s="76">
        <f>(((Table134567891011121314151617343[[#This Row],[FRA]]-VLOOKUP($U$1,A:C,3,))/VLOOKUP($U$1,A:C,3,))*100)+100</f>
        <v/>
      </c>
      <c r="J55" s="76">
        <f>(((Table134567891011121314151617343[[#This Row],[DEU]]-VLOOKUP($U$1,A:D,4,))/VLOOKUP($U$1,A:D,4,))*100)+100</f>
        <v/>
      </c>
      <c r="K55" s="76">
        <f>(((Table134567891011121314151617343[[#This Row],[ESP]]-VLOOKUP($U$1,A:E,5,))/VLOOKUP($U$1,A:E,5,))*100)+100</f>
        <v/>
      </c>
      <c r="L55" s="76">
        <f>(((Table134567891011121314151617343[[#This Row],[EA19]]-VLOOKUP($U$1,A:F,6,))/VLOOKUP($U$1,A:F,6,))*100)+100</f>
        <v/>
      </c>
      <c r="M55" s="76">
        <f>(((Table134567891011121314151617343[[#This Row],[GBR]]-VLOOKUP($U$1,A:G,7,))/VLOOKUP($U$1,A:G,7,))*100)+100</f>
        <v/>
      </c>
      <c r="N55" s="76">
        <f>IF(VLOOKUP(A55,Database!$A:$AU,MATCH($N$1,Database!$A$1:$AU$1,0),FALSE)=0,#N/A,VLOOKUP(A55,Database!$A:$AU,MATCH($N$1,Database!$A$1:$AU$1,0),FALSE))</f>
        <v/>
      </c>
      <c r="O55" s="76">
        <f>(((Table134567891011121314151617343[[#This Row],[USA]]-VLOOKUP($U$1,A:N,14,))/VLOOKUP($U$1,A:N,14,))*100)+100</f>
        <v/>
      </c>
      <c r="P55" s="76">
        <f>IF(VLOOKUP(A55,Database!$A:$AS,MATCH($P$1,Database!$A$1:$AS$1,0),FALSE)=0,#N/A,VLOOKUP(A55,Database!$A:$AS,MATCH($P$1,Database!$A$1:$AS$1,0),FALSE))</f>
        <v/>
      </c>
      <c r="Q55" s="76">
        <f>(((Table134567891011121314151617343[[#This Row],[JPN]]-VLOOKUP($U$1,A:Q,16,))/VLOOKUP($U$1,A:Q,16,))*100)+100</f>
        <v/>
      </c>
    </row>
    <row r="56" customFormat="1" s="86">
      <c r="A56" s="21" t="n">
        <v>34516</v>
      </c>
      <c r="B56" s="76">
        <f>IF(VLOOKUP(A56,Database!$A:$AS,MATCH($B$1,Database!$A$1:$AS$1,0),FALSE)=0,#N/A,VLOOKUP(A56,Database!$A:$AS,MATCH($B$1,Database!$A$1:$AS$1,0),FALSE))</f>
        <v/>
      </c>
      <c r="C56" s="76">
        <f>IF(VLOOKUP(A56,Database!$A:$AS,MATCH($C$1,Database!$A$1:$AS$1,0),FALSE)=0,#N/A,VLOOKUP(A56,Database!$A:$AS,MATCH($C$1,Database!$A$1:$AS$1,0),FALSE))</f>
        <v/>
      </c>
      <c r="D56" s="76">
        <f>IF(VLOOKUP(A56,Database!$A:$AS,MATCH($D$1,Database!$A$1:$AS$1,0),FALSE)=0,#N/A,VLOOKUP(A56,Database!$A:$AS,MATCH($D$1,Database!$A$1:$AS$1,0),FALSE))</f>
        <v/>
      </c>
      <c r="E56" s="76">
        <f>IF(VLOOKUP(A56,Database!$A:$AS,MATCH($E$1,Database!$A$1:$AS$1,0),FALSE)=0,#N/A,VLOOKUP(A56,Database!$A:$AS,MATCH($E$1,Database!$A$1:$AS$1,0),FALSE))</f>
        <v/>
      </c>
      <c r="F56" s="76">
        <f>IF(VLOOKUP(A56,Database!$A:$AS,MATCH($F$1,Database!$A$1:$AS$1,0),FALSE)=0,#N/A,VLOOKUP(A56,Database!$A:$AS,MATCH($F$1,Database!$A$1:$AS$1,0),FALSE))</f>
        <v/>
      </c>
      <c r="G56" s="76">
        <f>IF(VLOOKUP(A56,Database!$A:$AS,MATCH($G$1,Database!$A$1:$AS$1,0),FALSE)=0,#N/A,VLOOKUP(A56,Database!$A:$AS,MATCH($G$1,Database!$A$1:$AS$1,0),FALSE))</f>
        <v/>
      </c>
      <c r="H56" s="76">
        <f>(((Table134567891011121314151617343[[#This Row],[ITA]]-VLOOKUP($U$1,A:B,2,))/VLOOKUP($U$1,A:B,2,))*100)+100</f>
        <v/>
      </c>
      <c r="I56" s="76">
        <f>(((Table134567891011121314151617343[[#This Row],[FRA]]-VLOOKUP($U$1,A:C,3,))/VLOOKUP($U$1,A:C,3,))*100)+100</f>
        <v/>
      </c>
      <c r="J56" s="76">
        <f>(((Table134567891011121314151617343[[#This Row],[DEU]]-VLOOKUP($U$1,A:D,4,))/VLOOKUP($U$1,A:D,4,))*100)+100</f>
        <v/>
      </c>
      <c r="K56" s="76">
        <f>(((Table134567891011121314151617343[[#This Row],[ESP]]-VLOOKUP($U$1,A:E,5,))/VLOOKUP($U$1,A:E,5,))*100)+100</f>
        <v/>
      </c>
      <c r="L56" s="76">
        <f>(((Table134567891011121314151617343[[#This Row],[EA19]]-VLOOKUP($U$1,A:F,6,))/VLOOKUP($U$1,A:F,6,))*100)+100</f>
        <v/>
      </c>
      <c r="M56" s="76">
        <f>(((Table134567891011121314151617343[[#This Row],[GBR]]-VLOOKUP($U$1,A:G,7,))/VLOOKUP($U$1,A:G,7,))*100)+100</f>
        <v/>
      </c>
      <c r="N56" s="76">
        <f>IF(VLOOKUP(A56,Database!$A:$AU,MATCH($N$1,Database!$A$1:$AU$1,0),FALSE)=0,#N/A,VLOOKUP(A56,Database!$A:$AU,MATCH($N$1,Database!$A$1:$AU$1,0),FALSE))</f>
        <v/>
      </c>
      <c r="O56" s="76">
        <f>(((Table134567891011121314151617343[[#This Row],[USA]]-VLOOKUP($U$1,A:N,14,))/VLOOKUP($U$1,A:N,14,))*100)+100</f>
        <v/>
      </c>
      <c r="P56" s="76">
        <f>IF(VLOOKUP(A56,Database!$A:$AS,MATCH($P$1,Database!$A$1:$AS$1,0),FALSE)=0,#N/A,VLOOKUP(A56,Database!$A:$AS,MATCH($P$1,Database!$A$1:$AS$1,0),FALSE))</f>
        <v/>
      </c>
      <c r="Q56" s="76">
        <f>(((Table134567891011121314151617343[[#This Row],[JPN]]-VLOOKUP($U$1,A:Q,16,))/VLOOKUP($U$1,A:Q,16,))*100)+100</f>
        <v/>
      </c>
    </row>
    <row r="57" customFormat="1" s="86">
      <c r="A57" s="21" t="n">
        <v>34547</v>
      </c>
      <c r="B57" s="76">
        <f>IF(VLOOKUP(A57,Database!$A:$AS,MATCH($B$1,Database!$A$1:$AS$1,0),FALSE)=0,#N/A,VLOOKUP(A57,Database!$A:$AS,MATCH($B$1,Database!$A$1:$AS$1,0),FALSE))</f>
        <v/>
      </c>
      <c r="C57" s="76">
        <f>IF(VLOOKUP(A57,Database!$A:$AS,MATCH($C$1,Database!$A$1:$AS$1,0),FALSE)=0,#N/A,VLOOKUP(A57,Database!$A:$AS,MATCH($C$1,Database!$A$1:$AS$1,0),FALSE))</f>
        <v/>
      </c>
      <c r="D57" s="76">
        <f>IF(VLOOKUP(A57,Database!$A:$AS,MATCH($D$1,Database!$A$1:$AS$1,0),FALSE)=0,#N/A,VLOOKUP(A57,Database!$A:$AS,MATCH($D$1,Database!$A$1:$AS$1,0),FALSE))</f>
        <v/>
      </c>
      <c r="E57" s="76">
        <f>IF(VLOOKUP(A57,Database!$A:$AS,MATCH($E$1,Database!$A$1:$AS$1,0),FALSE)=0,#N/A,VLOOKUP(A57,Database!$A:$AS,MATCH($E$1,Database!$A$1:$AS$1,0),FALSE))</f>
        <v/>
      </c>
      <c r="F57" s="76">
        <f>IF(VLOOKUP(A57,Database!$A:$AS,MATCH($F$1,Database!$A$1:$AS$1,0),FALSE)=0,#N/A,VLOOKUP(A57,Database!$A:$AS,MATCH($F$1,Database!$A$1:$AS$1,0),FALSE))</f>
        <v/>
      </c>
      <c r="G57" s="76">
        <f>IF(VLOOKUP(A57,Database!$A:$AS,MATCH($G$1,Database!$A$1:$AS$1,0),FALSE)=0,#N/A,VLOOKUP(A57,Database!$A:$AS,MATCH($G$1,Database!$A$1:$AS$1,0),FALSE))</f>
        <v/>
      </c>
      <c r="H57" s="76">
        <f>(((Table134567891011121314151617343[[#This Row],[ITA]]-VLOOKUP($U$1,A:B,2,))/VLOOKUP($U$1,A:B,2,))*100)+100</f>
        <v/>
      </c>
      <c r="I57" s="76">
        <f>(((Table134567891011121314151617343[[#This Row],[FRA]]-VLOOKUP($U$1,A:C,3,))/VLOOKUP($U$1,A:C,3,))*100)+100</f>
        <v/>
      </c>
      <c r="J57" s="76">
        <f>(((Table134567891011121314151617343[[#This Row],[DEU]]-VLOOKUP($U$1,A:D,4,))/VLOOKUP($U$1,A:D,4,))*100)+100</f>
        <v/>
      </c>
      <c r="K57" s="76">
        <f>(((Table134567891011121314151617343[[#This Row],[ESP]]-VLOOKUP($U$1,A:E,5,))/VLOOKUP($U$1,A:E,5,))*100)+100</f>
        <v/>
      </c>
      <c r="L57" s="76">
        <f>(((Table134567891011121314151617343[[#This Row],[EA19]]-VLOOKUP($U$1,A:F,6,))/VLOOKUP($U$1,A:F,6,))*100)+100</f>
        <v/>
      </c>
      <c r="M57" s="76">
        <f>(((Table134567891011121314151617343[[#This Row],[GBR]]-VLOOKUP($U$1,A:G,7,))/VLOOKUP($U$1,A:G,7,))*100)+100</f>
        <v/>
      </c>
      <c r="N57" s="76">
        <f>IF(VLOOKUP(A57,Database!$A:$AU,MATCH($N$1,Database!$A$1:$AU$1,0),FALSE)=0,#N/A,VLOOKUP(A57,Database!$A:$AU,MATCH($N$1,Database!$A$1:$AU$1,0),FALSE))</f>
        <v/>
      </c>
      <c r="O57" s="76">
        <f>(((Table134567891011121314151617343[[#This Row],[USA]]-VLOOKUP($U$1,A:N,14,))/VLOOKUP($U$1,A:N,14,))*100)+100</f>
        <v/>
      </c>
      <c r="P57" s="76">
        <f>IF(VLOOKUP(A57,Database!$A:$AS,MATCH($P$1,Database!$A$1:$AS$1,0),FALSE)=0,#N/A,VLOOKUP(A57,Database!$A:$AS,MATCH($P$1,Database!$A$1:$AS$1,0),FALSE))</f>
        <v/>
      </c>
      <c r="Q57" s="76">
        <f>(((Table134567891011121314151617343[[#This Row],[JPN]]-VLOOKUP($U$1,A:Q,16,))/VLOOKUP($U$1,A:Q,16,))*100)+100</f>
        <v/>
      </c>
    </row>
    <row r="58" customFormat="1" s="86">
      <c r="A58" s="21" t="n">
        <v>34578</v>
      </c>
      <c r="B58" s="76">
        <f>IF(VLOOKUP(A58,Database!$A:$AS,MATCH($B$1,Database!$A$1:$AS$1,0),FALSE)=0,#N/A,VLOOKUP(A58,Database!$A:$AS,MATCH($B$1,Database!$A$1:$AS$1,0),FALSE))</f>
        <v/>
      </c>
      <c r="C58" s="76">
        <f>IF(VLOOKUP(A58,Database!$A:$AS,MATCH($C$1,Database!$A$1:$AS$1,0),FALSE)=0,#N/A,VLOOKUP(A58,Database!$A:$AS,MATCH($C$1,Database!$A$1:$AS$1,0),FALSE))</f>
        <v/>
      </c>
      <c r="D58" s="76">
        <f>IF(VLOOKUP(A58,Database!$A:$AS,MATCH($D$1,Database!$A$1:$AS$1,0),FALSE)=0,#N/A,VLOOKUP(A58,Database!$A:$AS,MATCH($D$1,Database!$A$1:$AS$1,0),FALSE))</f>
        <v/>
      </c>
      <c r="E58" s="76">
        <f>IF(VLOOKUP(A58,Database!$A:$AS,MATCH($E$1,Database!$A$1:$AS$1,0),FALSE)=0,#N/A,VLOOKUP(A58,Database!$A:$AS,MATCH($E$1,Database!$A$1:$AS$1,0),FALSE))</f>
        <v/>
      </c>
      <c r="F58" s="76">
        <f>IF(VLOOKUP(A58,Database!$A:$AS,MATCH($F$1,Database!$A$1:$AS$1,0),FALSE)=0,#N/A,VLOOKUP(A58,Database!$A:$AS,MATCH($F$1,Database!$A$1:$AS$1,0),FALSE))</f>
        <v/>
      </c>
      <c r="G58" s="76">
        <f>IF(VLOOKUP(A58,Database!$A:$AS,MATCH($G$1,Database!$A$1:$AS$1,0),FALSE)=0,#N/A,VLOOKUP(A58,Database!$A:$AS,MATCH($G$1,Database!$A$1:$AS$1,0),FALSE))</f>
        <v/>
      </c>
      <c r="H58" s="76">
        <f>(((Table134567891011121314151617343[[#This Row],[ITA]]-VLOOKUP($U$1,A:B,2,))/VLOOKUP($U$1,A:B,2,))*100)+100</f>
        <v/>
      </c>
      <c r="I58" s="76">
        <f>(((Table134567891011121314151617343[[#This Row],[FRA]]-VLOOKUP($U$1,A:C,3,))/VLOOKUP($U$1,A:C,3,))*100)+100</f>
        <v/>
      </c>
      <c r="J58" s="76">
        <f>(((Table134567891011121314151617343[[#This Row],[DEU]]-VLOOKUP($U$1,A:D,4,))/VLOOKUP($U$1,A:D,4,))*100)+100</f>
        <v/>
      </c>
      <c r="K58" s="76">
        <f>(((Table134567891011121314151617343[[#This Row],[ESP]]-VLOOKUP($U$1,A:E,5,))/VLOOKUP($U$1,A:E,5,))*100)+100</f>
        <v/>
      </c>
      <c r="L58" s="76">
        <f>(((Table134567891011121314151617343[[#This Row],[EA19]]-VLOOKUP($U$1,A:F,6,))/VLOOKUP($U$1,A:F,6,))*100)+100</f>
        <v/>
      </c>
      <c r="M58" s="76">
        <f>(((Table134567891011121314151617343[[#This Row],[GBR]]-VLOOKUP($U$1,A:G,7,))/VLOOKUP($U$1,A:G,7,))*100)+100</f>
        <v/>
      </c>
      <c r="N58" s="76">
        <f>IF(VLOOKUP(A58,Database!$A:$AU,MATCH($N$1,Database!$A$1:$AU$1,0),FALSE)=0,#N/A,VLOOKUP(A58,Database!$A:$AU,MATCH($N$1,Database!$A$1:$AU$1,0),FALSE))</f>
        <v/>
      </c>
      <c r="O58" s="76">
        <f>(((Table134567891011121314151617343[[#This Row],[USA]]-VLOOKUP($U$1,A:N,14,))/VLOOKUP($U$1,A:N,14,))*100)+100</f>
        <v/>
      </c>
      <c r="P58" s="76">
        <f>IF(VLOOKUP(A58,Database!$A:$AS,MATCH($P$1,Database!$A$1:$AS$1,0),FALSE)=0,#N/A,VLOOKUP(A58,Database!$A:$AS,MATCH($P$1,Database!$A$1:$AS$1,0),FALSE))</f>
        <v/>
      </c>
      <c r="Q58" s="76">
        <f>(((Table134567891011121314151617343[[#This Row],[JPN]]-VLOOKUP($U$1,A:Q,16,))/VLOOKUP($U$1,A:Q,16,))*100)+100</f>
        <v/>
      </c>
    </row>
    <row r="59" customFormat="1" s="86">
      <c r="A59" s="21" t="n">
        <v>34608</v>
      </c>
      <c r="B59" s="76">
        <f>IF(VLOOKUP(A59,Database!$A:$AS,MATCH($B$1,Database!$A$1:$AS$1,0),FALSE)=0,#N/A,VLOOKUP(A59,Database!$A:$AS,MATCH($B$1,Database!$A$1:$AS$1,0),FALSE))</f>
        <v/>
      </c>
      <c r="C59" s="76">
        <f>IF(VLOOKUP(A59,Database!$A:$AS,MATCH($C$1,Database!$A$1:$AS$1,0),FALSE)=0,#N/A,VLOOKUP(A59,Database!$A:$AS,MATCH($C$1,Database!$A$1:$AS$1,0),FALSE))</f>
        <v/>
      </c>
      <c r="D59" s="76">
        <f>IF(VLOOKUP(A59,Database!$A:$AS,MATCH($D$1,Database!$A$1:$AS$1,0),FALSE)=0,#N/A,VLOOKUP(A59,Database!$A:$AS,MATCH($D$1,Database!$A$1:$AS$1,0),FALSE))</f>
        <v/>
      </c>
      <c r="E59" s="76">
        <f>IF(VLOOKUP(A59,Database!$A:$AS,MATCH($E$1,Database!$A$1:$AS$1,0),FALSE)=0,#N/A,VLOOKUP(A59,Database!$A:$AS,MATCH($E$1,Database!$A$1:$AS$1,0),FALSE))</f>
        <v/>
      </c>
      <c r="F59" s="76">
        <f>IF(VLOOKUP(A59,Database!$A:$AS,MATCH($F$1,Database!$A$1:$AS$1,0),FALSE)=0,#N/A,VLOOKUP(A59,Database!$A:$AS,MATCH($F$1,Database!$A$1:$AS$1,0),FALSE))</f>
        <v/>
      </c>
      <c r="G59" s="76">
        <f>IF(VLOOKUP(A59,Database!$A:$AS,MATCH($G$1,Database!$A$1:$AS$1,0),FALSE)=0,#N/A,VLOOKUP(A59,Database!$A:$AS,MATCH($G$1,Database!$A$1:$AS$1,0),FALSE))</f>
        <v/>
      </c>
      <c r="H59" s="76">
        <f>(((Table134567891011121314151617343[[#This Row],[ITA]]-VLOOKUP($U$1,A:B,2,))/VLOOKUP($U$1,A:B,2,))*100)+100</f>
        <v/>
      </c>
      <c r="I59" s="76">
        <f>(((Table134567891011121314151617343[[#This Row],[FRA]]-VLOOKUP($U$1,A:C,3,))/VLOOKUP($U$1,A:C,3,))*100)+100</f>
        <v/>
      </c>
      <c r="J59" s="76">
        <f>(((Table134567891011121314151617343[[#This Row],[DEU]]-VLOOKUP($U$1,A:D,4,))/VLOOKUP($U$1,A:D,4,))*100)+100</f>
        <v/>
      </c>
      <c r="K59" s="76">
        <f>(((Table134567891011121314151617343[[#This Row],[ESP]]-VLOOKUP($U$1,A:E,5,))/VLOOKUP($U$1,A:E,5,))*100)+100</f>
        <v/>
      </c>
      <c r="L59" s="76">
        <f>(((Table134567891011121314151617343[[#This Row],[EA19]]-VLOOKUP($U$1,A:F,6,))/VLOOKUP($U$1,A:F,6,))*100)+100</f>
        <v/>
      </c>
      <c r="M59" s="76">
        <f>(((Table134567891011121314151617343[[#This Row],[GBR]]-VLOOKUP($U$1,A:G,7,))/VLOOKUP($U$1,A:G,7,))*100)+100</f>
        <v/>
      </c>
      <c r="N59" s="76">
        <f>IF(VLOOKUP(A59,Database!$A:$AU,MATCH($N$1,Database!$A$1:$AU$1,0),FALSE)=0,#N/A,VLOOKUP(A59,Database!$A:$AU,MATCH($N$1,Database!$A$1:$AU$1,0),FALSE))</f>
        <v/>
      </c>
      <c r="O59" s="76">
        <f>(((Table134567891011121314151617343[[#This Row],[USA]]-VLOOKUP($U$1,A:N,14,))/VLOOKUP($U$1,A:N,14,))*100)+100</f>
        <v/>
      </c>
      <c r="P59" s="76">
        <f>IF(VLOOKUP(A59,Database!$A:$AS,MATCH($P$1,Database!$A$1:$AS$1,0),FALSE)=0,#N/A,VLOOKUP(A59,Database!$A:$AS,MATCH($P$1,Database!$A$1:$AS$1,0),FALSE))</f>
        <v/>
      </c>
      <c r="Q59" s="76">
        <f>(((Table134567891011121314151617343[[#This Row],[JPN]]-VLOOKUP($U$1,A:Q,16,))/VLOOKUP($U$1,A:Q,16,))*100)+100</f>
        <v/>
      </c>
    </row>
    <row r="60" customFormat="1" s="86">
      <c r="A60" s="21" t="n">
        <v>34639</v>
      </c>
      <c r="B60" s="76">
        <f>IF(VLOOKUP(A60,Database!$A:$AS,MATCH($B$1,Database!$A$1:$AS$1,0),FALSE)=0,#N/A,VLOOKUP(A60,Database!$A:$AS,MATCH($B$1,Database!$A$1:$AS$1,0),FALSE))</f>
        <v/>
      </c>
      <c r="C60" s="76">
        <f>IF(VLOOKUP(A60,Database!$A:$AS,MATCH($C$1,Database!$A$1:$AS$1,0),FALSE)=0,#N/A,VLOOKUP(A60,Database!$A:$AS,MATCH($C$1,Database!$A$1:$AS$1,0),FALSE))</f>
        <v/>
      </c>
      <c r="D60" s="76">
        <f>IF(VLOOKUP(A60,Database!$A:$AS,MATCH($D$1,Database!$A$1:$AS$1,0),FALSE)=0,#N/A,VLOOKUP(A60,Database!$A:$AS,MATCH($D$1,Database!$A$1:$AS$1,0),FALSE))</f>
        <v/>
      </c>
      <c r="E60" s="76">
        <f>IF(VLOOKUP(A60,Database!$A:$AS,MATCH($E$1,Database!$A$1:$AS$1,0),FALSE)=0,#N/A,VLOOKUP(A60,Database!$A:$AS,MATCH($E$1,Database!$A$1:$AS$1,0),FALSE))</f>
        <v/>
      </c>
      <c r="F60" s="76">
        <f>IF(VLOOKUP(A60,Database!$A:$AS,MATCH($F$1,Database!$A$1:$AS$1,0),FALSE)=0,#N/A,VLOOKUP(A60,Database!$A:$AS,MATCH($F$1,Database!$A$1:$AS$1,0),FALSE))</f>
        <v/>
      </c>
      <c r="G60" s="76">
        <f>IF(VLOOKUP(A60,Database!$A:$AS,MATCH($G$1,Database!$A$1:$AS$1,0),FALSE)=0,#N/A,VLOOKUP(A60,Database!$A:$AS,MATCH($G$1,Database!$A$1:$AS$1,0),FALSE))</f>
        <v/>
      </c>
      <c r="H60" s="76">
        <f>(((Table134567891011121314151617343[[#This Row],[ITA]]-VLOOKUP($U$1,A:B,2,))/VLOOKUP($U$1,A:B,2,))*100)+100</f>
        <v/>
      </c>
      <c r="I60" s="76">
        <f>(((Table134567891011121314151617343[[#This Row],[FRA]]-VLOOKUP($U$1,A:C,3,))/VLOOKUP($U$1,A:C,3,))*100)+100</f>
        <v/>
      </c>
      <c r="J60" s="76">
        <f>(((Table134567891011121314151617343[[#This Row],[DEU]]-VLOOKUP($U$1,A:D,4,))/VLOOKUP($U$1,A:D,4,))*100)+100</f>
        <v/>
      </c>
      <c r="K60" s="76">
        <f>(((Table134567891011121314151617343[[#This Row],[ESP]]-VLOOKUP($U$1,A:E,5,))/VLOOKUP($U$1,A:E,5,))*100)+100</f>
        <v/>
      </c>
      <c r="L60" s="76">
        <f>(((Table134567891011121314151617343[[#This Row],[EA19]]-VLOOKUP($U$1,A:F,6,))/VLOOKUP($U$1,A:F,6,))*100)+100</f>
        <v/>
      </c>
      <c r="M60" s="76">
        <f>(((Table134567891011121314151617343[[#This Row],[GBR]]-VLOOKUP($U$1,A:G,7,))/VLOOKUP($U$1,A:G,7,))*100)+100</f>
        <v/>
      </c>
      <c r="N60" s="76">
        <f>IF(VLOOKUP(A60,Database!$A:$AU,MATCH($N$1,Database!$A$1:$AU$1,0),FALSE)=0,#N/A,VLOOKUP(A60,Database!$A:$AU,MATCH($N$1,Database!$A$1:$AU$1,0),FALSE))</f>
        <v/>
      </c>
      <c r="O60" s="76">
        <f>(((Table134567891011121314151617343[[#This Row],[USA]]-VLOOKUP($U$1,A:N,14,))/VLOOKUP($U$1,A:N,14,))*100)+100</f>
        <v/>
      </c>
      <c r="P60" s="76">
        <f>IF(VLOOKUP(A60,Database!$A:$AS,MATCH($P$1,Database!$A$1:$AS$1,0),FALSE)=0,#N/A,VLOOKUP(A60,Database!$A:$AS,MATCH($P$1,Database!$A$1:$AS$1,0),FALSE))</f>
        <v/>
      </c>
      <c r="Q60" s="76">
        <f>(((Table134567891011121314151617343[[#This Row],[JPN]]-VLOOKUP($U$1,A:Q,16,))/VLOOKUP($U$1,A:Q,16,))*100)+100</f>
        <v/>
      </c>
    </row>
    <row r="61" customFormat="1" s="86">
      <c r="A61" s="21" t="n">
        <v>34669</v>
      </c>
      <c r="B61" s="76">
        <f>IF(VLOOKUP(A61,Database!$A:$AS,MATCH($B$1,Database!$A$1:$AS$1,0),FALSE)=0,#N/A,VLOOKUP(A61,Database!$A:$AS,MATCH($B$1,Database!$A$1:$AS$1,0),FALSE))</f>
        <v/>
      </c>
      <c r="C61" s="76">
        <f>IF(VLOOKUP(A61,Database!$A:$AS,MATCH($C$1,Database!$A$1:$AS$1,0),FALSE)=0,#N/A,VLOOKUP(A61,Database!$A:$AS,MATCH($C$1,Database!$A$1:$AS$1,0),FALSE))</f>
        <v/>
      </c>
      <c r="D61" s="76">
        <f>IF(VLOOKUP(A61,Database!$A:$AS,MATCH($D$1,Database!$A$1:$AS$1,0),FALSE)=0,#N/A,VLOOKUP(A61,Database!$A:$AS,MATCH($D$1,Database!$A$1:$AS$1,0),FALSE))</f>
        <v/>
      </c>
      <c r="E61" s="76">
        <f>IF(VLOOKUP(A61,Database!$A:$AS,MATCH($E$1,Database!$A$1:$AS$1,0),FALSE)=0,#N/A,VLOOKUP(A61,Database!$A:$AS,MATCH($E$1,Database!$A$1:$AS$1,0),FALSE))</f>
        <v/>
      </c>
      <c r="F61" s="76">
        <f>IF(VLOOKUP(A61,Database!$A:$AS,MATCH($F$1,Database!$A$1:$AS$1,0),FALSE)=0,#N/A,VLOOKUP(A61,Database!$A:$AS,MATCH($F$1,Database!$A$1:$AS$1,0),FALSE))</f>
        <v/>
      </c>
      <c r="G61" s="76">
        <f>IF(VLOOKUP(A61,Database!$A:$AS,MATCH($G$1,Database!$A$1:$AS$1,0),FALSE)=0,#N/A,VLOOKUP(A61,Database!$A:$AS,MATCH($G$1,Database!$A$1:$AS$1,0),FALSE))</f>
        <v/>
      </c>
      <c r="H61" s="76">
        <f>(((Table134567891011121314151617343[[#This Row],[ITA]]-VLOOKUP($U$1,A:B,2,))/VLOOKUP($U$1,A:B,2,))*100)+100</f>
        <v/>
      </c>
      <c r="I61" s="76">
        <f>(((Table134567891011121314151617343[[#This Row],[FRA]]-VLOOKUP($U$1,A:C,3,))/VLOOKUP($U$1,A:C,3,))*100)+100</f>
        <v/>
      </c>
      <c r="J61" s="76">
        <f>(((Table134567891011121314151617343[[#This Row],[DEU]]-VLOOKUP($U$1,A:D,4,))/VLOOKUP($U$1,A:D,4,))*100)+100</f>
        <v/>
      </c>
      <c r="K61" s="76">
        <f>(((Table134567891011121314151617343[[#This Row],[ESP]]-VLOOKUP($U$1,A:E,5,))/VLOOKUP($U$1,A:E,5,))*100)+100</f>
        <v/>
      </c>
      <c r="L61" s="76">
        <f>(((Table134567891011121314151617343[[#This Row],[EA19]]-VLOOKUP($U$1,A:F,6,))/VLOOKUP($U$1,A:F,6,))*100)+100</f>
        <v/>
      </c>
      <c r="M61" s="76">
        <f>(((Table134567891011121314151617343[[#This Row],[GBR]]-VLOOKUP($U$1,A:G,7,))/VLOOKUP($U$1,A:G,7,))*100)+100</f>
        <v/>
      </c>
      <c r="N61" s="76">
        <f>IF(VLOOKUP(A61,Database!$A:$AU,MATCH($N$1,Database!$A$1:$AU$1,0),FALSE)=0,#N/A,VLOOKUP(A61,Database!$A:$AU,MATCH($N$1,Database!$A$1:$AU$1,0),FALSE))</f>
        <v/>
      </c>
      <c r="O61" s="76">
        <f>(((Table134567891011121314151617343[[#This Row],[USA]]-VLOOKUP($U$1,A:N,14,))/VLOOKUP($U$1,A:N,14,))*100)+100</f>
        <v/>
      </c>
      <c r="P61" s="76">
        <f>IF(VLOOKUP(A61,Database!$A:$AS,MATCH($P$1,Database!$A$1:$AS$1,0),FALSE)=0,#N/A,VLOOKUP(A61,Database!$A:$AS,MATCH($P$1,Database!$A$1:$AS$1,0),FALSE))</f>
        <v/>
      </c>
      <c r="Q61" s="76">
        <f>(((Table134567891011121314151617343[[#This Row],[JPN]]-VLOOKUP($U$1,A:Q,16,))/VLOOKUP($U$1,A:Q,16,))*100)+100</f>
        <v/>
      </c>
    </row>
    <row r="62" customFormat="1" s="86">
      <c r="A62" s="21" t="n">
        <v>34700</v>
      </c>
      <c r="B62" s="76">
        <f>IF(VLOOKUP(A62,Database!$A:$AS,MATCH($B$1,Database!$A$1:$AS$1,0),FALSE)=0,#N/A,VLOOKUP(A62,Database!$A:$AS,MATCH($B$1,Database!$A$1:$AS$1,0),FALSE))</f>
        <v/>
      </c>
      <c r="C62" s="76">
        <f>IF(VLOOKUP(A62,Database!$A:$AS,MATCH($C$1,Database!$A$1:$AS$1,0),FALSE)=0,#N/A,VLOOKUP(A62,Database!$A:$AS,MATCH($C$1,Database!$A$1:$AS$1,0),FALSE))</f>
        <v/>
      </c>
      <c r="D62" s="76">
        <f>IF(VLOOKUP(A62,Database!$A:$AS,MATCH($D$1,Database!$A$1:$AS$1,0),FALSE)=0,#N/A,VLOOKUP(A62,Database!$A:$AS,MATCH($D$1,Database!$A$1:$AS$1,0),FALSE))</f>
        <v/>
      </c>
      <c r="E62" s="76">
        <f>IF(VLOOKUP(A62,Database!$A:$AS,MATCH($E$1,Database!$A$1:$AS$1,0),FALSE)=0,#N/A,VLOOKUP(A62,Database!$A:$AS,MATCH($E$1,Database!$A$1:$AS$1,0),FALSE))</f>
        <v/>
      </c>
      <c r="F62" s="76">
        <f>IF(VLOOKUP(A62,Database!$A:$AS,MATCH($F$1,Database!$A$1:$AS$1,0),FALSE)=0,#N/A,VLOOKUP(A62,Database!$A:$AS,MATCH($F$1,Database!$A$1:$AS$1,0),FALSE))</f>
        <v/>
      </c>
      <c r="G62" s="76">
        <f>IF(VLOOKUP(A62,Database!$A:$AS,MATCH($G$1,Database!$A$1:$AS$1,0),FALSE)=0,#N/A,VLOOKUP(A62,Database!$A:$AS,MATCH($G$1,Database!$A$1:$AS$1,0),FALSE))</f>
        <v/>
      </c>
      <c r="H62" s="76">
        <f>(((Table134567891011121314151617343[[#This Row],[ITA]]-VLOOKUP($U$1,A:B,2,))/VLOOKUP($U$1,A:B,2,))*100)+100</f>
        <v/>
      </c>
      <c r="I62" s="76">
        <f>(((Table134567891011121314151617343[[#This Row],[FRA]]-VLOOKUP($U$1,A:C,3,))/VLOOKUP($U$1,A:C,3,))*100)+100</f>
        <v/>
      </c>
      <c r="J62" s="76">
        <f>(((Table134567891011121314151617343[[#This Row],[DEU]]-VLOOKUP($U$1,A:D,4,))/VLOOKUP($U$1,A:D,4,))*100)+100</f>
        <v/>
      </c>
      <c r="K62" s="76">
        <f>(((Table134567891011121314151617343[[#This Row],[ESP]]-VLOOKUP($U$1,A:E,5,))/VLOOKUP($U$1,A:E,5,))*100)+100</f>
        <v/>
      </c>
      <c r="L62" s="76">
        <f>(((Table134567891011121314151617343[[#This Row],[EA19]]-VLOOKUP($U$1,A:F,6,))/VLOOKUP($U$1,A:F,6,))*100)+100</f>
        <v/>
      </c>
      <c r="M62" s="76">
        <f>(((Table134567891011121314151617343[[#This Row],[GBR]]-VLOOKUP($U$1,A:G,7,))/VLOOKUP($U$1,A:G,7,))*100)+100</f>
        <v/>
      </c>
      <c r="N62" s="76">
        <f>IF(VLOOKUP(A62,Database!$A:$AU,MATCH($N$1,Database!$A$1:$AU$1,0),FALSE)=0,#N/A,VLOOKUP(A62,Database!$A:$AU,MATCH($N$1,Database!$A$1:$AU$1,0),FALSE))</f>
        <v/>
      </c>
      <c r="O62" s="76">
        <f>(((Table134567891011121314151617343[[#This Row],[USA]]-VLOOKUP($U$1,A:N,14,))/VLOOKUP($U$1,A:N,14,))*100)+100</f>
        <v/>
      </c>
      <c r="P62" s="76">
        <f>IF(VLOOKUP(A62,Database!$A:$AS,MATCH($P$1,Database!$A$1:$AS$1,0),FALSE)=0,#N/A,VLOOKUP(A62,Database!$A:$AS,MATCH($P$1,Database!$A$1:$AS$1,0),FALSE))</f>
        <v/>
      </c>
      <c r="Q62" s="76">
        <f>(((Table134567891011121314151617343[[#This Row],[JPN]]-VLOOKUP($U$1,A:Q,16,))/VLOOKUP($U$1,A:Q,16,))*100)+100</f>
        <v/>
      </c>
    </row>
    <row r="63" customFormat="1" s="86">
      <c r="A63" s="21" t="n">
        <v>34731</v>
      </c>
      <c r="B63" s="76">
        <f>IF(VLOOKUP(A63,Database!$A:$AS,MATCH($B$1,Database!$A$1:$AS$1,0),FALSE)=0,#N/A,VLOOKUP(A63,Database!$A:$AS,MATCH($B$1,Database!$A$1:$AS$1,0),FALSE))</f>
        <v/>
      </c>
      <c r="C63" s="76">
        <f>IF(VLOOKUP(A63,Database!$A:$AS,MATCH($C$1,Database!$A$1:$AS$1,0),FALSE)=0,#N/A,VLOOKUP(A63,Database!$A:$AS,MATCH($C$1,Database!$A$1:$AS$1,0),FALSE))</f>
        <v/>
      </c>
      <c r="D63" s="76">
        <f>IF(VLOOKUP(A63,Database!$A:$AS,MATCH($D$1,Database!$A$1:$AS$1,0),FALSE)=0,#N/A,VLOOKUP(A63,Database!$A:$AS,MATCH($D$1,Database!$A$1:$AS$1,0),FALSE))</f>
        <v/>
      </c>
      <c r="E63" s="76">
        <f>IF(VLOOKUP(A63,Database!$A:$AS,MATCH($E$1,Database!$A$1:$AS$1,0),FALSE)=0,#N/A,VLOOKUP(A63,Database!$A:$AS,MATCH($E$1,Database!$A$1:$AS$1,0),FALSE))</f>
        <v/>
      </c>
      <c r="F63" s="76">
        <f>IF(VLOOKUP(A63,Database!$A:$AS,MATCH($F$1,Database!$A$1:$AS$1,0),FALSE)=0,#N/A,VLOOKUP(A63,Database!$A:$AS,MATCH($F$1,Database!$A$1:$AS$1,0),FALSE))</f>
        <v/>
      </c>
      <c r="G63" s="76">
        <f>IF(VLOOKUP(A63,Database!$A:$AS,MATCH($G$1,Database!$A$1:$AS$1,0),FALSE)=0,#N/A,VLOOKUP(A63,Database!$A:$AS,MATCH($G$1,Database!$A$1:$AS$1,0),FALSE))</f>
        <v/>
      </c>
      <c r="H63" s="76">
        <f>(((Table134567891011121314151617343[[#This Row],[ITA]]-VLOOKUP($U$1,A:B,2,))/VLOOKUP($U$1,A:B,2,))*100)+100</f>
        <v/>
      </c>
      <c r="I63" s="76">
        <f>(((Table134567891011121314151617343[[#This Row],[FRA]]-VLOOKUP($U$1,A:C,3,))/VLOOKUP($U$1,A:C,3,))*100)+100</f>
        <v/>
      </c>
      <c r="J63" s="76">
        <f>(((Table134567891011121314151617343[[#This Row],[DEU]]-VLOOKUP($U$1,A:D,4,))/VLOOKUP($U$1,A:D,4,))*100)+100</f>
        <v/>
      </c>
      <c r="K63" s="76">
        <f>(((Table134567891011121314151617343[[#This Row],[ESP]]-VLOOKUP($U$1,A:E,5,))/VLOOKUP($U$1,A:E,5,))*100)+100</f>
        <v/>
      </c>
      <c r="L63" s="76">
        <f>(((Table134567891011121314151617343[[#This Row],[EA19]]-VLOOKUP($U$1,A:F,6,))/VLOOKUP($U$1,A:F,6,))*100)+100</f>
        <v/>
      </c>
      <c r="M63" s="76">
        <f>(((Table134567891011121314151617343[[#This Row],[GBR]]-VLOOKUP($U$1,A:G,7,))/VLOOKUP($U$1,A:G,7,))*100)+100</f>
        <v/>
      </c>
      <c r="N63" s="76">
        <f>IF(VLOOKUP(A63,Database!$A:$AU,MATCH($N$1,Database!$A$1:$AU$1,0),FALSE)=0,#N/A,VLOOKUP(A63,Database!$A:$AU,MATCH($N$1,Database!$A$1:$AU$1,0),FALSE))</f>
        <v/>
      </c>
      <c r="O63" s="76">
        <f>(((Table134567891011121314151617343[[#This Row],[USA]]-VLOOKUP($U$1,A:N,14,))/VLOOKUP($U$1,A:N,14,))*100)+100</f>
        <v/>
      </c>
      <c r="P63" s="76">
        <f>IF(VLOOKUP(A63,Database!$A:$AS,MATCH($P$1,Database!$A$1:$AS$1,0),FALSE)=0,#N/A,VLOOKUP(A63,Database!$A:$AS,MATCH($P$1,Database!$A$1:$AS$1,0),FALSE))</f>
        <v/>
      </c>
      <c r="Q63" s="76">
        <f>(((Table134567891011121314151617343[[#This Row],[JPN]]-VLOOKUP($U$1,A:Q,16,))/VLOOKUP($U$1,A:Q,16,))*100)+100</f>
        <v/>
      </c>
    </row>
    <row r="64" customFormat="1" s="86">
      <c r="A64" s="21" t="n">
        <v>34759</v>
      </c>
      <c r="B64" s="76">
        <f>IF(VLOOKUP(A64,Database!$A:$AS,MATCH($B$1,Database!$A$1:$AS$1,0),FALSE)=0,#N/A,VLOOKUP(A64,Database!$A:$AS,MATCH($B$1,Database!$A$1:$AS$1,0),FALSE))</f>
        <v/>
      </c>
      <c r="C64" s="76">
        <f>IF(VLOOKUP(A64,Database!$A:$AS,MATCH($C$1,Database!$A$1:$AS$1,0),FALSE)=0,#N/A,VLOOKUP(A64,Database!$A:$AS,MATCH($C$1,Database!$A$1:$AS$1,0),FALSE))</f>
        <v/>
      </c>
      <c r="D64" s="76">
        <f>IF(VLOOKUP(A64,Database!$A:$AS,MATCH($D$1,Database!$A$1:$AS$1,0),FALSE)=0,#N/A,VLOOKUP(A64,Database!$A:$AS,MATCH($D$1,Database!$A$1:$AS$1,0),FALSE))</f>
        <v/>
      </c>
      <c r="E64" s="76">
        <f>IF(VLOOKUP(A64,Database!$A:$AS,MATCH($E$1,Database!$A$1:$AS$1,0),FALSE)=0,#N/A,VLOOKUP(A64,Database!$A:$AS,MATCH($E$1,Database!$A$1:$AS$1,0),FALSE))</f>
        <v/>
      </c>
      <c r="F64" s="76">
        <f>IF(VLOOKUP(A64,Database!$A:$AS,MATCH($F$1,Database!$A$1:$AS$1,0),FALSE)=0,#N/A,VLOOKUP(A64,Database!$A:$AS,MATCH($F$1,Database!$A$1:$AS$1,0),FALSE))</f>
        <v/>
      </c>
      <c r="G64" s="76">
        <f>IF(VLOOKUP(A64,Database!$A:$AS,MATCH($G$1,Database!$A$1:$AS$1,0),FALSE)=0,#N/A,VLOOKUP(A64,Database!$A:$AS,MATCH($G$1,Database!$A$1:$AS$1,0),FALSE))</f>
        <v/>
      </c>
      <c r="H64" s="76">
        <f>(((Table134567891011121314151617343[[#This Row],[ITA]]-VLOOKUP($U$1,A:B,2,))/VLOOKUP($U$1,A:B,2,))*100)+100</f>
        <v/>
      </c>
      <c r="I64" s="76">
        <f>(((Table134567891011121314151617343[[#This Row],[FRA]]-VLOOKUP($U$1,A:C,3,))/VLOOKUP($U$1,A:C,3,))*100)+100</f>
        <v/>
      </c>
      <c r="J64" s="76">
        <f>(((Table134567891011121314151617343[[#This Row],[DEU]]-VLOOKUP($U$1,A:D,4,))/VLOOKUP($U$1,A:D,4,))*100)+100</f>
        <v/>
      </c>
      <c r="K64" s="76">
        <f>(((Table134567891011121314151617343[[#This Row],[ESP]]-VLOOKUP($U$1,A:E,5,))/VLOOKUP($U$1,A:E,5,))*100)+100</f>
        <v/>
      </c>
      <c r="L64" s="76">
        <f>(((Table134567891011121314151617343[[#This Row],[EA19]]-VLOOKUP($U$1,A:F,6,))/VLOOKUP($U$1,A:F,6,))*100)+100</f>
        <v/>
      </c>
      <c r="M64" s="76">
        <f>(((Table134567891011121314151617343[[#This Row],[GBR]]-VLOOKUP($U$1,A:G,7,))/VLOOKUP($U$1,A:G,7,))*100)+100</f>
        <v/>
      </c>
      <c r="N64" s="76">
        <f>IF(VLOOKUP(A64,Database!$A:$AU,MATCH($N$1,Database!$A$1:$AU$1,0),FALSE)=0,#N/A,VLOOKUP(A64,Database!$A:$AU,MATCH($N$1,Database!$A$1:$AU$1,0),FALSE))</f>
        <v/>
      </c>
      <c r="O64" s="76">
        <f>(((Table134567891011121314151617343[[#This Row],[USA]]-VLOOKUP($U$1,A:N,14,))/VLOOKUP($U$1,A:N,14,))*100)+100</f>
        <v/>
      </c>
      <c r="P64" s="76">
        <f>IF(VLOOKUP(A64,Database!$A:$AS,MATCH($P$1,Database!$A$1:$AS$1,0),FALSE)=0,#N/A,VLOOKUP(A64,Database!$A:$AS,MATCH($P$1,Database!$A$1:$AS$1,0),FALSE))</f>
        <v/>
      </c>
      <c r="Q64" s="76">
        <f>(((Table134567891011121314151617343[[#This Row],[JPN]]-VLOOKUP($U$1,A:Q,16,))/VLOOKUP($U$1,A:Q,16,))*100)+100</f>
        <v/>
      </c>
    </row>
    <row r="65" customFormat="1" s="86">
      <c r="A65" s="21" t="n">
        <v>34790</v>
      </c>
      <c r="B65" s="76">
        <f>IF(VLOOKUP(A65,Database!$A:$AS,MATCH($B$1,Database!$A$1:$AS$1,0),FALSE)=0,#N/A,VLOOKUP(A65,Database!$A:$AS,MATCH($B$1,Database!$A$1:$AS$1,0),FALSE))</f>
        <v/>
      </c>
      <c r="C65" s="76">
        <f>IF(VLOOKUP(A65,Database!$A:$AS,MATCH($C$1,Database!$A$1:$AS$1,0),FALSE)=0,#N/A,VLOOKUP(A65,Database!$A:$AS,MATCH($C$1,Database!$A$1:$AS$1,0),FALSE))</f>
        <v/>
      </c>
      <c r="D65" s="76">
        <f>IF(VLOOKUP(A65,Database!$A:$AS,MATCH($D$1,Database!$A$1:$AS$1,0),FALSE)=0,#N/A,VLOOKUP(A65,Database!$A:$AS,MATCH($D$1,Database!$A$1:$AS$1,0),FALSE))</f>
        <v/>
      </c>
      <c r="E65" s="76">
        <f>IF(VLOOKUP(A65,Database!$A:$AS,MATCH($E$1,Database!$A$1:$AS$1,0),FALSE)=0,#N/A,VLOOKUP(A65,Database!$A:$AS,MATCH($E$1,Database!$A$1:$AS$1,0),FALSE))</f>
        <v/>
      </c>
      <c r="F65" s="76">
        <f>IF(VLOOKUP(A65,Database!$A:$AS,MATCH($F$1,Database!$A$1:$AS$1,0),FALSE)=0,#N/A,VLOOKUP(A65,Database!$A:$AS,MATCH($F$1,Database!$A$1:$AS$1,0),FALSE))</f>
        <v/>
      </c>
      <c r="G65" s="76">
        <f>IF(VLOOKUP(A65,Database!$A:$AS,MATCH($G$1,Database!$A$1:$AS$1,0),FALSE)=0,#N/A,VLOOKUP(A65,Database!$A:$AS,MATCH($G$1,Database!$A$1:$AS$1,0),FALSE))</f>
        <v/>
      </c>
      <c r="H65" s="76">
        <f>(((Table134567891011121314151617343[[#This Row],[ITA]]-VLOOKUP($U$1,A:B,2,))/VLOOKUP($U$1,A:B,2,))*100)+100</f>
        <v/>
      </c>
      <c r="I65" s="76">
        <f>(((Table134567891011121314151617343[[#This Row],[FRA]]-VLOOKUP($U$1,A:C,3,))/VLOOKUP($U$1,A:C,3,))*100)+100</f>
        <v/>
      </c>
      <c r="J65" s="76">
        <f>(((Table134567891011121314151617343[[#This Row],[DEU]]-VLOOKUP($U$1,A:D,4,))/VLOOKUP($U$1,A:D,4,))*100)+100</f>
        <v/>
      </c>
      <c r="K65" s="76">
        <f>(((Table134567891011121314151617343[[#This Row],[ESP]]-VLOOKUP($U$1,A:E,5,))/VLOOKUP($U$1,A:E,5,))*100)+100</f>
        <v/>
      </c>
      <c r="L65" s="76">
        <f>(((Table134567891011121314151617343[[#This Row],[EA19]]-VLOOKUP($U$1,A:F,6,))/VLOOKUP($U$1,A:F,6,))*100)+100</f>
        <v/>
      </c>
      <c r="M65" s="76">
        <f>(((Table134567891011121314151617343[[#This Row],[GBR]]-VLOOKUP($U$1,A:G,7,))/VLOOKUP($U$1,A:G,7,))*100)+100</f>
        <v/>
      </c>
      <c r="N65" s="76">
        <f>IF(VLOOKUP(A65,Database!$A:$AU,MATCH($N$1,Database!$A$1:$AU$1,0),FALSE)=0,#N/A,VLOOKUP(A65,Database!$A:$AU,MATCH($N$1,Database!$A$1:$AU$1,0),FALSE))</f>
        <v/>
      </c>
      <c r="O65" s="76">
        <f>(((Table134567891011121314151617343[[#This Row],[USA]]-VLOOKUP($U$1,A:N,14,))/VLOOKUP($U$1,A:N,14,))*100)+100</f>
        <v/>
      </c>
      <c r="P65" s="76">
        <f>IF(VLOOKUP(A65,Database!$A:$AS,MATCH($P$1,Database!$A$1:$AS$1,0),FALSE)=0,#N/A,VLOOKUP(A65,Database!$A:$AS,MATCH($P$1,Database!$A$1:$AS$1,0),FALSE))</f>
        <v/>
      </c>
      <c r="Q65" s="76">
        <f>(((Table134567891011121314151617343[[#This Row],[JPN]]-VLOOKUP($U$1,A:Q,16,))/VLOOKUP($U$1,A:Q,16,))*100)+100</f>
        <v/>
      </c>
    </row>
    <row r="66" customFormat="1" s="86">
      <c r="A66" s="21" t="n">
        <v>34820</v>
      </c>
      <c r="B66" s="76">
        <f>IF(VLOOKUP(A66,Database!$A:$AS,MATCH($B$1,Database!$A$1:$AS$1,0),FALSE)=0,#N/A,VLOOKUP(A66,Database!$A:$AS,MATCH($B$1,Database!$A$1:$AS$1,0),FALSE))</f>
        <v/>
      </c>
      <c r="C66" s="76">
        <f>IF(VLOOKUP(A66,Database!$A:$AS,MATCH($C$1,Database!$A$1:$AS$1,0),FALSE)=0,#N/A,VLOOKUP(A66,Database!$A:$AS,MATCH($C$1,Database!$A$1:$AS$1,0),FALSE))</f>
        <v/>
      </c>
      <c r="D66" s="76">
        <f>IF(VLOOKUP(A66,Database!$A:$AS,MATCH($D$1,Database!$A$1:$AS$1,0),FALSE)=0,#N/A,VLOOKUP(A66,Database!$A:$AS,MATCH($D$1,Database!$A$1:$AS$1,0),FALSE))</f>
        <v/>
      </c>
      <c r="E66" s="76">
        <f>IF(VLOOKUP(A66,Database!$A:$AS,MATCH($E$1,Database!$A$1:$AS$1,0),FALSE)=0,#N/A,VLOOKUP(A66,Database!$A:$AS,MATCH($E$1,Database!$A$1:$AS$1,0),FALSE))</f>
        <v/>
      </c>
      <c r="F66" s="76">
        <f>IF(VLOOKUP(A66,Database!$A:$AS,MATCH($F$1,Database!$A$1:$AS$1,0),FALSE)=0,#N/A,VLOOKUP(A66,Database!$A:$AS,MATCH($F$1,Database!$A$1:$AS$1,0),FALSE))</f>
        <v/>
      </c>
      <c r="G66" s="76">
        <f>IF(VLOOKUP(A66,Database!$A:$AS,MATCH($G$1,Database!$A$1:$AS$1,0),FALSE)=0,#N/A,VLOOKUP(A66,Database!$A:$AS,MATCH($G$1,Database!$A$1:$AS$1,0),FALSE))</f>
        <v/>
      </c>
      <c r="H66" s="76">
        <f>(((Table134567891011121314151617343[[#This Row],[ITA]]-VLOOKUP($U$1,A:B,2,))/VLOOKUP($U$1,A:B,2,))*100)+100</f>
        <v/>
      </c>
      <c r="I66" s="76">
        <f>(((Table134567891011121314151617343[[#This Row],[FRA]]-VLOOKUP($U$1,A:C,3,))/VLOOKUP($U$1,A:C,3,))*100)+100</f>
        <v/>
      </c>
      <c r="J66" s="76">
        <f>(((Table134567891011121314151617343[[#This Row],[DEU]]-VLOOKUP($U$1,A:D,4,))/VLOOKUP($U$1,A:D,4,))*100)+100</f>
        <v/>
      </c>
      <c r="K66" s="76">
        <f>(((Table134567891011121314151617343[[#This Row],[ESP]]-VLOOKUP($U$1,A:E,5,))/VLOOKUP($U$1,A:E,5,))*100)+100</f>
        <v/>
      </c>
      <c r="L66" s="76">
        <f>(((Table134567891011121314151617343[[#This Row],[EA19]]-VLOOKUP($U$1,A:F,6,))/VLOOKUP($U$1,A:F,6,))*100)+100</f>
        <v/>
      </c>
      <c r="M66" s="76">
        <f>(((Table134567891011121314151617343[[#This Row],[GBR]]-VLOOKUP($U$1,A:G,7,))/VLOOKUP($U$1,A:G,7,))*100)+100</f>
        <v/>
      </c>
      <c r="N66" s="76">
        <f>IF(VLOOKUP(A66,Database!$A:$AU,MATCH($N$1,Database!$A$1:$AU$1,0),FALSE)=0,#N/A,VLOOKUP(A66,Database!$A:$AU,MATCH($N$1,Database!$A$1:$AU$1,0),FALSE))</f>
        <v/>
      </c>
      <c r="O66" s="76">
        <f>(((Table134567891011121314151617343[[#This Row],[USA]]-VLOOKUP($U$1,A:N,14,))/VLOOKUP($U$1,A:N,14,))*100)+100</f>
        <v/>
      </c>
      <c r="P66" s="76">
        <f>IF(VLOOKUP(A66,Database!$A:$AS,MATCH($P$1,Database!$A$1:$AS$1,0),FALSE)=0,#N/A,VLOOKUP(A66,Database!$A:$AS,MATCH($P$1,Database!$A$1:$AS$1,0),FALSE))</f>
        <v/>
      </c>
      <c r="Q66" s="76">
        <f>(((Table134567891011121314151617343[[#This Row],[JPN]]-VLOOKUP($U$1,A:Q,16,))/VLOOKUP($U$1,A:Q,16,))*100)+100</f>
        <v/>
      </c>
    </row>
    <row r="67" customFormat="1" s="86">
      <c r="A67" s="21" t="n">
        <v>34851</v>
      </c>
      <c r="B67" s="76">
        <f>IF(VLOOKUP(A67,Database!$A:$AS,MATCH($B$1,Database!$A$1:$AS$1,0),FALSE)=0,#N/A,VLOOKUP(A67,Database!$A:$AS,MATCH($B$1,Database!$A$1:$AS$1,0),FALSE))</f>
        <v/>
      </c>
      <c r="C67" s="76">
        <f>IF(VLOOKUP(A67,Database!$A:$AS,MATCH($C$1,Database!$A$1:$AS$1,0),FALSE)=0,#N/A,VLOOKUP(A67,Database!$A:$AS,MATCH($C$1,Database!$A$1:$AS$1,0),FALSE))</f>
        <v/>
      </c>
      <c r="D67" s="76">
        <f>IF(VLOOKUP(A67,Database!$A:$AS,MATCH($D$1,Database!$A$1:$AS$1,0),FALSE)=0,#N/A,VLOOKUP(A67,Database!$A:$AS,MATCH($D$1,Database!$A$1:$AS$1,0),FALSE))</f>
        <v/>
      </c>
      <c r="E67" s="76">
        <f>IF(VLOOKUP(A67,Database!$A:$AS,MATCH($E$1,Database!$A$1:$AS$1,0),FALSE)=0,#N/A,VLOOKUP(A67,Database!$A:$AS,MATCH($E$1,Database!$A$1:$AS$1,0),FALSE))</f>
        <v/>
      </c>
      <c r="F67" s="76">
        <f>IF(VLOOKUP(A67,Database!$A:$AS,MATCH($F$1,Database!$A$1:$AS$1,0),FALSE)=0,#N/A,VLOOKUP(A67,Database!$A:$AS,MATCH($F$1,Database!$A$1:$AS$1,0),FALSE))</f>
        <v/>
      </c>
      <c r="G67" s="76">
        <f>IF(VLOOKUP(A67,Database!$A:$AS,MATCH($G$1,Database!$A$1:$AS$1,0),FALSE)=0,#N/A,VLOOKUP(A67,Database!$A:$AS,MATCH($G$1,Database!$A$1:$AS$1,0),FALSE))</f>
        <v/>
      </c>
      <c r="H67" s="76">
        <f>(((Table134567891011121314151617343[[#This Row],[ITA]]-VLOOKUP($U$1,A:B,2,))/VLOOKUP($U$1,A:B,2,))*100)+100</f>
        <v/>
      </c>
      <c r="I67" s="76">
        <f>(((Table134567891011121314151617343[[#This Row],[FRA]]-VLOOKUP($U$1,A:C,3,))/VLOOKUP($U$1,A:C,3,))*100)+100</f>
        <v/>
      </c>
      <c r="J67" s="76">
        <f>(((Table134567891011121314151617343[[#This Row],[DEU]]-VLOOKUP($U$1,A:D,4,))/VLOOKUP($U$1,A:D,4,))*100)+100</f>
        <v/>
      </c>
      <c r="K67" s="76">
        <f>(((Table134567891011121314151617343[[#This Row],[ESP]]-VLOOKUP($U$1,A:E,5,))/VLOOKUP($U$1,A:E,5,))*100)+100</f>
        <v/>
      </c>
      <c r="L67" s="76">
        <f>(((Table134567891011121314151617343[[#This Row],[EA19]]-VLOOKUP($U$1,A:F,6,))/VLOOKUP($U$1,A:F,6,))*100)+100</f>
        <v/>
      </c>
      <c r="M67" s="76">
        <f>(((Table134567891011121314151617343[[#This Row],[GBR]]-VLOOKUP($U$1,A:G,7,))/VLOOKUP($U$1,A:G,7,))*100)+100</f>
        <v/>
      </c>
      <c r="N67" s="76">
        <f>IF(VLOOKUP(A67,Database!$A:$AU,MATCH($N$1,Database!$A$1:$AU$1,0),FALSE)=0,#N/A,VLOOKUP(A67,Database!$A:$AU,MATCH($N$1,Database!$A$1:$AU$1,0),FALSE))</f>
        <v/>
      </c>
      <c r="O67" s="76">
        <f>(((Table134567891011121314151617343[[#This Row],[USA]]-VLOOKUP($U$1,A:N,14,))/VLOOKUP($U$1,A:N,14,))*100)+100</f>
        <v/>
      </c>
      <c r="P67" s="76">
        <f>IF(VLOOKUP(A67,Database!$A:$AS,MATCH($P$1,Database!$A$1:$AS$1,0),FALSE)=0,#N/A,VLOOKUP(A67,Database!$A:$AS,MATCH($P$1,Database!$A$1:$AS$1,0),FALSE))</f>
        <v/>
      </c>
      <c r="Q67" s="76">
        <f>(((Table134567891011121314151617343[[#This Row],[JPN]]-VLOOKUP($U$1,A:Q,16,))/VLOOKUP($U$1,A:Q,16,))*100)+100</f>
        <v/>
      </c>
    </row>
    <row r="68" customFormat="1" s="86">
      <c r="A68" s="21" t="n">
        <v>34881</v>
      </c>
      <c r="B68" s="76">
        <f>IF(VLOOKUP(A68,Database!$A:$AS,MATCH($B$1,Database!$A$1:$AS$1,0),FALSE)=0,#N/A,VLOOKUP(A68,Database!$A:$AS,MATCH($B$1,Database!$A$1:$AS$1,0),FALSE))</f>
        <v/>
      </c>
      <c r="C68" s="76">
        <f>IF(VLOOKUP(A68,Database!$A:$AS,MATCH($C$1,Database!$A$1:$AS$1,0),FALSE)=0,#N/A,VLOOKUP(A68,Database!$A:$AS,MATCH($C$1,Database!$A$1:$AS$1,0),FALSE))</f>
        <v/>
      </c>
      <c r="D68" s="76">
        <f>IF(VLOOKUP(A68,Database!$A:$AS,MATCH($D$1,Database!$A$1:$AS$1,0),FALSE)=0,#N/A,VLOOKUP(A68,Database!$A:$AS,MATCH($D$1,Database!$A$1:$AS$1,0),FALSE))</f>
        <v/>
      </c>
      <c r="E68" s="76">
        <f>IF(VLOOKUP(A68,Database!$A:$AS,MATCH($E$1,Database!$A$1:$AS$1,0),FALSE)=0,#N/A,VLOOKUP(A68,Database!$A:$AS,MATCH($E$1,Database!$A$1:$AS$1,0),FALSE))</f>
        <v/>
      </c>
      <c r="F68" s="76">
        <f>IF(VLOOKUP(A68,Database!$A:$AS,MATCH($F$1,Database!$A$1:$AS$1,0),FALSE)=0,#N/A,VLOOKUP(A68,Database!$A:$AS,MATCH($F$1,Database!$A$1:$AS$1,0),FALSE))</f>
        <v/>
      </c>
      <c r="G68" s="76">
        <f>IF(VLOOKUP(A68,Database!$A:$AS,MATCH($G$1,Database!$A$1:$AS$1,0),FALSE)=0,#N/A,VLOOKUP(A68,Database!$A:$AS,MATCH($G$1,Database!$A$1:$AS$1,0),FALSE))</f>
        <v/>
      </c>
      <c r="H68" s="76">
        <f>(((Table134567891011121314151617343[[#This Row],[ITA]]-VLOOKUP($U$1,A:B,2,))/VLOOKUP($U$1,A:B,2,))*100)+100</f>
        <v/>
      </c>
      <c r="I68" s="76">
        <f>(((Table134567891011121314151617343[[#This Row],[FRA]]-VLOOKUP($U$1,A:C,3,))/VLOOKUP($U$1,A:C,3,))*100)+100</f>
        <v/>
      </c>
      <c r="J68" s="76">
        <f>(((Table134567891011121314151617343[[#This Row],[DEU]]-VLOOKUP($U$1,A:D,4,))/VLOOKUP($U$1,A:D,4,))*100)+100</f>
        <v/>
      </c>
      <c r="K68" s="76">
        <f>(((Table134567891011121314151617343[[#This Row],[ESP]]-VLOOKUP($U$1,A:E,5,))/VLOOKUP($U$1,A:E,5,))*100)+100</f>
        <v/>
      </c>
      <c r="L68" s="76">
        <f>(((Table134567891011121314151617343[[#This Row],[EA19]]-VLOOKUP($U$1,A:F,6,))/VLOOKUP($U$1,A:F,6,))*100)+100</f>
        <v/>
      </c>
      <c r="M68" s="76">
        <f>(((Table134567891011121314151617343[[#This Row],[GBR]]-VLOOKUP($U$1,A:G,7,))/VLOOKUP($U$1,A:G,7,))*100)+100</f>
        <v/>
      </c>
      <c r="N68" s="76">
        <f>IF(VLOOKUP(A68,Database!$A:$AU,MATCH($N$1,Database!$A$1:$AU$1,0),FALSE)=0,#N/A,VLOOKUP(A68,Database!$A:$AU,MATCH($N$1,Database!$A$1:$AU$1,0),FALSE))</f>
        <v/>
      </c>
      <c r="O68" s="76">
        <f>(((Table134567891011121314151617343[[#This Row],[USA]]-VLOOKUP($U$1,A:N,14,))/VLOOKUP($U$1,A:N,14,))*100)+100</f>
        <v/>
      </c>
      <c r="P68" s="76">
        <f>IF(VLOOKUP(A68,Database!$A:$AS,MATCH($P$1,Database!$A$1:$AS$1,0),FALSE)=0,#N/A,VLOOKUP(A68,Database!$A:$AS,MATCH($P$1,Database!$A$1:$AS$1,0),FALSE))</f>
        <v/>
      </c>
      <c r="Q68" s="76">
        <f>(((Table134567891011121314151617343[[#This Row],[JPN]]-VLOOKUP($U$1,A:Q,16,))/VLOOKUP($U$1,A:Q,16,))*100)+100</f>
        <v/>
      </c>
    </row>
    <row r="69" customFormat="1" s="86">
      <c r="A69" s="21" t="n">
        <v>34912</v>
      </c>
      <c r="B69" s="76">
        <f>IF(VLOOKUP(A69,Database!$A:$AS,MATCH($B$1,Database!$A$1:$AS$1,0),FALSE)=0,#N/A,VLOOKUP(A69,Database!$A:$AS,MATCH($B$1,Database!$A$1:$AS$1,0),FALSE))</f>
        <v/>
      </c>
      <c r="C69" s="76">
        <f>IF(VLOOKUP(A69,Database!$A:$AS,MATCH($C$1,Database!$A$1:$AS$1,0),FALSE)=0,#N/A,VLOOKUP(A69,Database!$A:$AS,MATCH($C$1,Database!$A$1:$AS$1,0),FALSE))</f>
        <v/>
      </c>
      <c r="D69" s="76">
        <f>IF(VLOOKUP(A69,Database!$A:$AS,MATCH($D$1,Database!$A$1:$AS$1,0),FALSE)=0,#N/A,VLOOKUP(A69,Database!$A:$AS,MATCH($D$1,Database!$A$1:$AS$1,0),FALSE))</f>
        <v/>
      </c>
      <c r="E69" s="76">
        <f>IF(VLOOKUP(A69,Database!$A:$AS,MATCH($E$1,Database!$A$1:$AS$1,0),FALSE)=0,#N/A,VLOOKUP(A69,Database!$A:$AS,MATCH($E$1,Database!$A$1:$AS$1,0),FALSE))</f>
        <v/>
      </c>
      <c r="F69" s="76">
        <f>IF(VLOOKUP(A69,Database!$A:$AS,MATCH($F$1,Database!$A$1:$AS$1,0),FALSE)=0,#N/A,VLOOKUP(A69,Database!$A:$AS,MATCH($F$1,Database!$A$1:$AS$1,0),FALSE))</f>
        <v/>
      </c>
      <c r="G69" s="76">
        <f>IF(VLOOKUP(A69,Database!$A:$AS,MATCH($G$1,Database!$A$1:$AS$1,0),FALSE)=0,#N/A,VLOOKUP(A69,Database!$A:$AS,MATCH($G$1,Database!$A$1:$AS$1,0),FALSE))</f>
        <v/>
      </c>
      <c r="H69" s="76">
        <f>(((Table134567891011121314151617343[[#This Row],[ITA]]-VLOOKUP($U$1,A:B,2,))/VLOOKUP($U$1,A:B,2,))*100)+100</f>
        <v/>
      </c>
      <c r="I69" s="76">
        <f>(((Table134567891011121314151617343[[#This Row],[FRA]]-VLOOKUP($U$1,A:C,3,))/VLOOKUP($U$1,A:C,3,))*100)+100</f>
        <v/>
      </c>
      <c r="J69" s="76">
        <f>(((Table134567891011121314151617343[[#This Row],[DEU]]-VLOOKUP($U$1,A:D,4,))/VLOOKUP($U$1,A:D,4,))*100)+100</f>
        <v/>
      </c>
      <c r="K69" s="76">
        <f>(((Table134567891011121314151617343[[#This Row],[ESP]]-VLOOKUP($U$1,A:E,5,))/VLOOKUP($U$1,A:E,5,))*100)+100</f>
        <v/>
      </c>
      <c r="L69" s="76">
        <f>(((Table134567891011121314151617343[[#This Row],[EA19]]-VLOOKUP($U$1,A:F,6,))/VLOOKUP($U$1,A:F,6,))*100)+100</f>
        <v/>
      </c>
      <c r="M69" s="76">
        <f>(((Table134567891011121314151617343[[#This Row],[GBR]]-VLOOKUP($U$1,A:G,7,))/VLOOKUP($U$1,A:G,7,))*100)+100</f>
        <v/>
      </c>
      <c r="N69" s="76">
        <f>IF(VLOOKUP(A69,Database!$A:$AU,MATCH($N$1,Database!$A$1:$AU$1,0),FALSE)=0,#N/A,VLOOKUP(A69,Database!$A:$AU,MATCH($N$1,Database!$A$1:$AU$1,0),FALSE))</f>
        <v/>
      </c>
      <c r="O69" s="76">
        <f>(((Table134567891011121314151617343[[#This Row],[USA]]-VLOOKUP($U$1,A:N,14,))/VLOOKUP($U$1,A:N,14,))*100)+100</f>
        <v/>
      </c>
      <c r="P69" s="76">
        <f>IF(VLOOKUP(A69,Database!$A:$AS,MATCH($P$1,Database!$A$1:$AS$1,0),FALSE)=0,#N/A,VLOOKUP(A69,Database!$A:$AS,MATCH($P$1,Database!$A$1:$AS$1,0),FALSE))</f>
        <v/>
      </c>
      <c r="Q69" s="76">
        <f>(((Table134567891011121314151617343[[#This Row],[JPN]]-VLOOKUP($U$1,A:Q,16,))/VLOOKUP($U$1,A:Q,16,))*100)+100</f>
        <v/>
      </c>
    </row>
    <row r="70" customFormat="1" s="86">
      <c r="A70" s="21" t="n">
        <v>34943</v>
      </c>
      <c r="B70" s="76">
        <f>IF(VLOOKUP(A70,Database!$A:$AS,MATCH($B$1,Database!$A$1:$AS$1,0),FALSE)=0,#N/A,VLOOKUP(A70,Database!$A:$AS,MATCH($B$1,Database!$A$1:$AS$1,0),FALSE))</f>
        <v/>
      </c>
      <c r="C70" s="76">
        <f>IF(VLOOKUP(A70,Database!$A:$AS,MATCH($C$1,Database!$A$1:$AS$1,0),FALSE)=0,#N/A,VLOOKUP(A70,Database!$A:$AS,MATCH($C$1,Database!$A$1:$AS$1,0),FALSE))</f>
        <v/>
      </c>
      <c r="D70" s="76">
        <f>IF(VLOOKUP(A70,Database!$A:$AS,MATCH($D$1,Database!$A$1:$AS$1,0),FALSE)=0,#N/A,VLOOKUP(A70,Database!$A:$AS,MATCH($D$1,Database!$A$1:$AS$1,0),FALSE))</f>
        <v/>
      </c>
      <c r="E70" s="76">
        <f>IF(VLOOKUP(A70,Database!$A:$AS,MATCH($E$1,Database!$A$1:$AS$1,0),FALSE)=0,#N/A,VLOOKUP(A70,Database!$A:$AS,MATCH($E$1,Database!$A$1:$AS$1,0),FALSE))</f>
        <v/>
      </c>
      <c r="F70" s="76">
        <f>IF(VLOOKUP(A70,Database!$A:$AS,MATCH($F$1,Database!$A$1:$AS$1,0),FALSE)=0,#N/A,VLOOKUP(A70,Database!$A:$AS,MATCH($F$1,Database!$A$1:$AS$1,0),FALSE))</f>
        <v/>
      </c>
      <c r="G70" s="76">
        <f>IF(VLOOKUP(A70,Database!$A:$AS,MATCH($G$1,Database!$A$1:$AS$1,0),FALSE)=0,#N/A,VLOOKUP(A70,Database!$A:$AS,MATCH($G$1,Database!$A$1:$AS$1,0),FALSE))</f>
        <v/>
      </c>
      <c r="H70" s="76">
        <f>(((Table134567891011121314151617343[[#This Row],[ITA]]-VLOOKUP($U$1,A:B,2,))/VLOOKUP($U$1,A:B,2,))*100)+100</f>
        <v/>
      </c>
      <c r="I70" s="76">
        <f>(((Table134567891011121314151617343[[#This Row],[FRA]]-VLOOKUP($U$1,A:C,3,))/VLOOKUP($U$1,A:C,3,))*100)+100</f>
        <v/>
      </c>
      <c r="J70" s="76">
        <f>(((Table134567891011121314151617343[[#This Row],[DEU]]-VLOOKUP($U$1,A:D,4,))/VLOOKUP($U$1,A:D,4,))*100)+100</f>
        <v/>
      </c>
      <c r="K70" s="76">
        <f>(((Table134567891011121314151617343[[#This Row],[ESP]]-VLOOKUP($U$1,A:E,5,))/VLOOKUP($U$1,A:E,5,))*100)+100</f>
        <v/>
      </c>
      <c r="L70" s="76">
        <f>(((Table134567891011121314151617343[[#This Row],[EA19]]-VLOOKUP($U$1,A:F,6,))/VLOOKUP($U$1,A:F,6,))*100)+100</f>
        <v/>
      </c>
      <c r="M70" s="76">
        <f>(((Table134567891011121314151617343[[#This Row],[GBR]]-VLOOKUP($U$1,A:G,7,))/VLOOKUP($U$1,A:G,7,))*100)+100</f>
        <v/>
      </c>
      <c r="N70" s="76">
        <f>IF(VLOOKUP(A70,Database!$A:$AU,MATCH($N$1,Database!$A$1:$AU$1,0),FALSE)=0,#N/A,VLOOKUP(A70,Database!$A:$AU,MATCH($N$1,Database!$A$1:$AU$1,0),FALSE))</f>
        <v/>
      </c>
      <c r="O70" s="76">
        <f>(((Table134567891011121314151617343[[#This Row],[USA]]-VLOOKUP($U$1,A:N,14,))/VLOOKUP($U$1,A:N,14,))*100)+100</f>
        <v/>
      </c>
      <c r="P70" s="76">
        <f>IF(VLOOKUP(A70,Database!$A:$AS,MATCH($P$1,Database!$A$1:$AS$1,0),FALSE)=0,#N/A,VLOOKUP(A70,Database!$A:$AS,MATCH($P$1,Database!$A$1:$AS$1,0),FALSE))</f>
        <v/>
      </c>
      <c r="Q70" s="76">
        <f>(((Table134567891011121314151617343[[#This Row],[JPN]]-VLOOKUP($U$1,A:Q,16,))/VLOOKUP($U$1,A:Q,16,))*100)+100</f>
        <v/>
      </c>
    </row>
    <row r="71" customFormat="1" s="86">
      <c r="A71" s="21" t="n">
        <v>34973</v>
      </c>
      <c r="B71" s="76">
        <f>IF(VLOOKUP(A71,Database!$A:$AS,MATCH($B$1,Database!$A$1:$AS$1,0),FALSE)=0,#N/A,VLOOKUP(A71,Database!$A:$AS,MATCH($B$1,Database!$A$1:$AS$1,0),FALSE))</f>
        <v/>
      </c>
      <c r="C71" s="76">
        <f>IF(VLOOKUP(A71,Database!$A:$AS,MATCH($C$1,Database!$A$1:$AS$1,0),FALSE)=0,#N/A,VLOOKUP(A71,Database!$A:$AS,MATCH($C$1,Database!$A$1:$AS$1,0),FALSE))</f>
        <v/>
      </c>
      <c r="D71" s="76">
        <f>IF(VLOOKUP(A71,Database!$A:$AS,MATCH($D$1,Database!$A$1:$AS$1,0),FALSE)=0,#N/A,VLOOKUP(A71,Database!$A:$AS,MATCH($D$1,Database!$A$1:$AS$1,0),FALSE))</f>
        <v/>
      </c>
      <c r="E71" s="76">
        <f>IF(VLOOKUP(A71,Database!$A:$AS,MATCH($E$1,Database!$A$1:$AS$1,0),FALSE)=0,#N/A,VLOOKUP(A71,Database!$A:$AS,MATCH($E$1,Database!$A$1:$AS$1,0),FALSE))</f>
        <v/>
      </c>
      <c r="F71" s="76">
        <f>IF(VLOOKUP(A71,Database!$A:$AS,MATCH($F$1,Database!$A$1:$AS$1,0),FALSE)=0,#N/A,VLOOKUP(A71,Database!$A:$AS,MATCH($F$1,Database!$A$1:$AS$1,0),FALSE))</f>
        <v/>
      </c>
      <c r="G71" s="76">
        <f>IF(VLOOKUP(A71,Database!$A:$AS,MATCH($G$1,Database!$A$1:$AS$1,0),FALSE)=0,#N/A,VLOOKUP(A71,Database!$A:$AS,MATCH($G$1,Database!$A$1:$AS$1,0),FALSE))</f>
        <v/>
      </c>
      <c r="H71" s="76">
        <f>(((Table134567891011121314151617343[[#This Row],[ITA]]-VLOOKUP($U$1,A:B,2,))/VLOOKUP($U$1,A:B,2,))*100)+100</f>
        <v/>
      </c>
      <c r="I71" s="76">
        <f>(((Table134567891011121314151617343[[#This Row],[FRA]]-VLOOKUP($U$1,A:C,3,))/VLOOKUP($U$1,A:C,3,))*100)+100</f>
        <v/>
      </c>
      <c r="J71" s="76">
        <f>(((Table134567891011121314151617343[[#This Row],[DEU]]-VLOOKUP($U$1,A:D,4,))/VLOOKUP($U$1,A:D,4,))*100)+100</f>
        <v/>
      </c>
      <c r="K71" s="76">
        <f>(((Table134567891011121314151617343[[#This Row],[ESP]]-VLOOKUP($U$1,A:E,5,))/VLOOKUP($U$1,A:E,5,))*100)+100</f>
        <v/>
      </c>
      <c r="L71" s="76">
        <f>(((Table134567891011121314151617343[[#This Row],[EA19]]-VLOOKUP($U$1,A:F,6,))/VLOOKUP($U$1,A:F,6,))*100)+100</f>
        <v/>
      </c>
      <c r="M71" s="76">
        <f>(((Table134567891011121314151617343[[#This Row],[GBR]]-VLOOKUP($U$1,A:G,7,))/VLOOKUP($U$1,A:G,7,))*100)+100</f>
        <v/>
      </c>
      <c r="N71" s="76">
        <f>IF(VLOOKUP(A71,Database!$A:$AU,MATCH($N$1,Database!$A$1:$AU$1,0),FALSE)=0,#N/A,VLOOKUP(A71,Database!$A:$AU,MATCH($N$1,Database!$A$1:$AU$1,0),FALSE))</f>
        <v/>
      </c>
      <c r="O71" s="76">
        <f>(((Table134567891011121314151617343[[#This Row],[USA]]-VLOOKUP($U$1,A:N,14,))/VLOOKUP($U$1,A:N,14,))*100)+100</f>
        <v/>
      </c>
      <c r="P71" s="76">
        <f>IF(VLOOKUP(A71,Database!$A:$AS,MATCH($P$1,Database!$A$1:$AS$1,0),FALSE)=0,#N/A,VLOOKUP(A71,Database!$A:$AS,MATCH($P$1,Database!$A$1:$AS$1,0),FALSE))</f>
        <v/>
      </c>
      <c r="Q71" s="76">
        <f>(((Table134567891011121314151617343[[#This Row],[JPN]]-VLOOKUP($U$1,A:Q,16,))/VLOOKUP($U$1,A:Q,16,))*100)+100</f>
        <v/>
      </c>
    </row>
    <row r="72" customFormat="1" s="86">
      <c r="A72" s="21" t="n">
        <v>35004</v>
      </c>
      <c r="B72" s="76">
        <f>IF(VLOOKUP(A72,Database!$A:$AS,MATCH($B$1,Database!$A$1:$AS$1,0),FALSE)=0,#N/A,VLOOKUP(A72,Database!$A:$AS,MATCH($B$1,Database!$A$1:$AS$1,0),FALSE))</f>
        <v/>
      </c>
      <c r="C72" s="76">
        <f>IF(VLOOKUP(A72,Database!$A:$AS,MATCH($C$1,Database!$A$1:$AS$1,0),FALSE)=0,#N/A,VLOOKUP(A72,Database!$A:$AS,MATCH($C$1,Database!$A$1:$AS$1,0),FALSE))</f>
        <v/>
      </c>
      <c r="D72" s="76">
        <f>IF(VLOOKUP(A72,Database!$A:$AS,MATCH($D$1,Database!$A$1:$AS$1,0),FALSE)=0,#N/A,VLOOKUP(A72,Database!$A:$AS,MATCH($D$1,Database!$A$1:$AS$1,0),FALSE))</f>
        <v/>
      </c>
      <c r="E72" s="76">
        <f>IF(VLOOKUP(A72,Database!$A:$AS,MATCH($E$1,Database!$A$1:$AS$1,0),FALSE)=0,#N/A,VLOOKUP(A72,Database!$A:$AS,MATCH($E$1,Database!$A$1:$AS$1,0),FALSE))</f>
        <v/>
      </c>
      <c r="F72" s="76">
        <f>IF(VLOOKUP(A72,Database!$A:$AS,MATCH($F$1,Database!$A$1:$AS$1,0),FALSE)=0,#N/A,VLOOKUP(A72,Database!$A:$AS,MATCH($F$1,Database!$A$1:$AS$1,0),FALSE))</f>
        <v/>
      </c>
      <c r="G72" s="76">
        <f>IF(VLOOKUP(A72,Database!$A:$AS,MATCH($G$1,Database!$A$1:$AS$1,0),FALSE)=0,#N/A,VLOOKUP(A72,Database!$A:$AS,MATCH($G$1,Database!$A$1:$AS$1,0),FALSE))</f>
        <v/>
      </c>
      <c r="H72" s="76">
        <f>(((Table134567891011121314151617343[[#This Row],[ITA]]-VLOOKUP($U$1,A:B,2,))/VLOOKUP($U$1,A:B,2,))*100)+100</f>
        <v/>
      </c>
      <c r="I72" s="76">
        <f>(((Table134567891011121314151617343[[#This Row],[FRA]]-VLOOKUP($U$1,A:C,3,))/VLOOKUP($U$1,A:C,3,))*100)+100</f>
        <v/>
      </c>
      <c r="J72" s="76">
        <f>(((Table134567891011121314151617343[[#This Row],[DEU]]-VLOOKUP($U$1,A:D,4,))/VLOOKUP($U$1,A:D,4,))*100)+100</f>
        <v/>
      </c>
      <c r="K72" s="76">
        <f>(((Table134567891011121314151617343[[#This Row],[ESP]]-VLOOKUP($U$1,A:E,5,))/VLOOKUP($U$1,A:E,5,))*100)+100</f>
        <v/>
      </c>
      <c r="L72" s="76">
        <f>(((Table134567891011121314151617343[[#This Row],[EA19]]-VLOOKUP($U$1,A:F,6,))/VLOOKUP($U$1,A:F,6,))*100)+100</f>
        <v/>
      </c>
      <c r="M72" s="76">
        <f>(((Table134567891011121314151617343[[#This Row],[GBR]]-VLOOKUP($U$1,A:G,7,))/VLOOKUP($U$1,A:G,7,))*100)+100</f>
        <v/>
      </c>
      <c r="N72" s="76">
        <f>IF(VLOOKUP(A72,Database!$A:$AU,MATCH($N$1,Database!$A$1:$AU$1,0),FALSE)=0,#N/A,VLOOKUP(A72,Database!$A:$AU,MATCH($N$1,Database!$A$1:$AU$1,0),FALSE))</f>
        <v/>
      </c>
      <c r="O72" s="76">
        <f>(((Table134567891011121314151617343[[#This Row],[USA]]-VLOOKUP($U$1,A:N,14,))/VLOOKUP($U$1,A:N,14,))*100)+100</f>
        <v/>
      </c>
      <c r="P72" s="76">
        <f>IF(VLOOKUP(A72,Database!$A:$AS,MATCH($P$1,Database!$A$1:$AS$1,0),FALSE)=0,#N/A,VLOOKUP(A72,Database!$A:$AS,MATCH($P$1,Database!$A$1:$AS$1,0),FALSE))</f>
        <v/>
      </c>
      <c r="Q72" s="76">
        <f>(((Table134567891011121314151617343[[#This Row],[JPN]]-VLOOKUP($U$1,A:Q,16,))/VLOOKUP($U$1,A:Q,16,))*100)+100</f>
        <v/>
      </c>
    </row>
    <row r="73" customFormat="1" s="86">
      <c r="A73" s="21" t="n">
        <v>35034</v>
      </c>
      <c r="B73" s="76">
        <f>IF(VLOOKUP(A73,Database!$A:$AS,MATCH($B$1,Database!$A$1:$AS$1,0),FALSE)=0,#N/A,VLOOKUP(A73,Database!$A:$AS,MATCH($B$1,Database!$A$1:$AS$1,0),FALSE))</f>
        <v/>
      </c>
      <c r="C73" s="76">
        <f>IF(VLOOKUP(A73,Database!$A:$AS,MATCH($C$1,Database!$A$1:$AS$1,0),FALSE)=0,#N/A,VLOOKUP(A73,Database!$A:$AS,MATCH($C$1,Database!$A$1:$AS$1,0),FALSE))</f>
        <v/>
      </c>
      <c r="D73" s="76">
        <f>IF(VLOOKUP(A73,Database!$A:$AS,MATCH($D$1,Database!$A$1:$AS$1,0),FALSE)=0,#N/A,VLOOKUP(A73,Database!$A:$AS,MATCH($D$1,Database!$A$1:$AS$1,0),FALSE))</f>
        <v/>
      </c>
      <c r="E73" s="76">
        <f>IF(VLOOKUP(A73,Database!$A:$AS,MATCH($E$1,Database!$A$1:$AS$1,0),FALSE)=0,#N/A,VLOOKUP(A73,Database!$A:$AS,MATCH($E$1,Database!$A$1:$AS$1,0),FALSE))</f>
        <v/>
      </c>
      <c r="F73" s="76">
        <f>IF(VLOOKUP(A73,Database!$A:$AS,MATCH($F$1,Database!$A$1:$AS$1,0),FALSE)=0,#N/A,VLOOKUP(A73,Database!$A:$AS,MATCH($F$1,Database!$A$1:$AS$1,0),FALSE))</f>
        <v/>
      </c>
      <c r="G73" s="76">
        <f>IF(VLOOKUP(A73,Database!$A:$AS,MATCH($G$1,Database!$A$1:$AS$1,0),FALSE)=0,#N/A,VLOOKUP(A73,Database!$A:$AS,MATCH($G$1,Database!$A$1:$AS$1,0),FALSE))</f>
        <v/>
      </c>
      <c r="H73" s="76">
        <f>(((Table134567891011121314151617343[[#This Row],[ITA]]-VLOOKUP($U$1,A:B,2,))/VLOOKUP($U$1,A:B,2,))*100)+100</f>
        <v/>
      </c>
      <c r="I73" s="76">
        <f>(((Table134567891011121314151617343[[#This Row],[FRA]]-VLOOKUP($U$1,A:C,3,))/VLOOKUP($U$1,A:C,3,))*100)+100</f>
        <v/>
      </c>
      <c r="J73" s="76">
        <f>(((Table134567891011121314151617343[[#This Row],[DEU]]-VLOOKUP($U$1,A:D,4,))/VLOOKUP($U$1,A:D,4,))*100)+100</f>
        <v/>
      </c>
      <c r="K73" s="76">
        <f>(((Table134567891011121314151617343[[#This Row],[ESP]]-VLOOKUP($U$1,A:E,5,))/VLOOKUP($U$1,A:E,5,))*100)+100</f>
        <v/>
      </c>
      <c r="L73" s="76">
        <f>(((Table134567891011121314151617343[[#This Row],[EA19]]-VLOOKUP($U$1,A:F,6,))/VLOOKUP($U$1,A:F,6,))*100)+100</f>
        <v/>
      </c>
      <c r="M73" s="76">
        <f>(((Table134567891011121314151617343[[#This Row],[GBR]]-VLOOKUP($U$1,A:G,7,))/VLOOKUP($U$1,A:G,7,))*100)+100</f>
        <v/>
      </c>
      <c r="N73" s="76">
        <f>IF(VLOOKUP(A73,Database!$A:$AU,MATCH($N$1,Database!$A$1:$AU$1,0),FALSE)=0,#N/A,VLOOKUP(A73,Database!$A:$AU,MATCH($N$1,Database!$A$1:$AU$1,0),FALSE))</f>
        <v/>
      </c>
      <c r="O73" s="76">
        <f>(((Table134567891011121314151617343[[#This Row],[USA]]-VLOOKUP($U$1,A:N,14,))/VLOOKUP($U$1,A:N,14,))*100)+100</f>
        <v/>
      </c>
      <c r="P73" s="76">
        <f>IF(VLOOKUP(A73,Database!$A:$AS,MATCH($P$1,Database!$A$1:$AS$1,0),FALSE)=0,#N/A,VLOOKUP(A73,Database!$A:$AS,MATCH($P$1,Database!$A$1:$AS$1,0),FALSE))</f>
        <v/>
      </c>
      <c r="Q73" s="76">
        <f>(((Table134567891011121314151617343[[#This Row],[JPN]]-VLOOKUP($U$1,A:Q,16,))/VLOOKUP($U$1,A:Q,16,))*100)+100</f>
        <v/>
      </c>
    </row>
    <row r="74" customFormat="1" s="86">
      <c r="A74" s="21" t="n">
        <v>35065</v>
      </c>
      <c r="B74" s="76">
        <f>IF(VLOOKUP(A74,Database!$A:$AS,MATCH($B$1,Database!$A$1:$AS$1,0),FALSE)=0,#N/A,VLOOKUP(A74,Database!$A:$AS,MATCH($B$1,Database!$A$1:$AS$1,0),FALSE))</f>
        <v/>
      </c>
      <c r="C74" s="76">
        <f>IF(VLOOKUP(A74,Database!$A:$AS,MATCH($C$1,Database!$A$1:$AS$1,0),FALSE)=0,#N/A,VLOOKUP(A74,Database!$A:$AS,MATCH($C$1,Database!$A$1:$AS$1,0),FALSE))</f>
        <v/>
      </c>
      <c r="D74" s="76">
        <f>IF(VLOOKUP(A74,Database!$A:$AS,MATCH($D$1,Database!$A$1:$AS$1,0),FALSE)=0,#N/A,VLOOKUP(A74,Database!$A:$AS,MATCH($D$1,Database!$A$1:$AS$1,0),FALSE))</f>
        <v/>
      </c>
      <c r="E74" s="76">
        <f>IF(VLOOKUP(A74,Database!$A:$AS,MATCH($E$1,Database!$A$1:$AS$1,0),FALSE)=0,#N/A,VLOOKUP(A74,Database!$A:$AS,MATCH($E$1,Database!$A$1:$AS$1,0),FALSE))</f>
        <v/>
      </c>
      <c r="F74" s="76">
        <f>IF(VLOOKUP(A74,Database!$A:$AS,MATCH($F$1,Database!$A$1:$AS$1,0),FALSE)=0,#N/A,VLOOKUP(A74,Database!$A:$AS,MATCH($F$1,Database!$A$1:$AS$1,0),FALSE))</f>
        <v/>
      </c>
      <c r="G74" s="76">
        <f>IF(VLOOKUP(A74,Database!$A:$AS,MATCH($G$1,Database!$A$1:$AS$1,0),FALSE)=0,#N/A,VLOOKUP(A74,Database!$A:$AS,MATCH($G$1,Database!$A$1:$AS$1,0),FALSE))</f>
        <v/>
      </c>
      <c r="H74" s="76">
        <f>(((Table134567891011121314151617343[[#This Row],[ITA]]-VLOOKUP($U$1,A:B,2,))/VLOOKUP($U$1,A:B,2,))*100)+100</f>
        <v/>
      </c>
      <c r="I74" s="76">
        <f>(((Table134567891011121314151617343[[#This Row],[FRA]]-VLOOKUP($U$1,A:C,3,))/VLOOKUP($U$1,A:C,3,))*100)+100</f>
        <v/>
      </c>
      <c r="J74" s="76">
        <f>(((Table134567891011121314151617343[[#This Row],[DEU]]-VLOOKUP($U$1,A:D,4,))/VLOOKUP($U$1,A:D,4,))*100)+100</f>
        <v/>
      </c>
      <c r="K74" s="76">
        <f>(((Table134567891011121314151617343[[#This Row],[ESP]]-VLOOKUP($U$1,A:E,5,))/VLOOKUP($U$1,A:E,5,))*100)+100</f>
        <v/>
      </c>
      <c r="L74" s="76">
        <f>(((Table134567891011121314151617343[[#This Row],[EA19]]-VLOOKUP($U$1,A:F,6,))/VLOOKUP($U$1,A:F,6,))*100)+100</f>
        <v/>
      </c>
      <c r="M74" s="76">
        <f>(((Table134567891011121314151617343[[#This Row],[GBR]]-VLOOKUP($U$1,A:G,7,))/VLOOKUP($U$1,A:G,7,))*100)+100</f>
        <v/>
      </c>
      <c r="N74" s="76">
        <f>IF(VLOOKUP(A74,Database!$A:$AU,MATCH($N$1,Database!$A$1:$AU$1,0),FALSE)=0,#N/A,VLOOKUP(A74,Database!$A:$AU,MATCH($N$1,Database!$A$1:$AU$1,0),FALSE))</f>
        <v/>
      </c>
      <c r="O74" s="76">
        <f>(((Table134567891011121314151617343[[#This Row],[USA]]-VLOOKUP($U$1,A:N,14,))/VLOOKUP($U$1,A:N,14,))*100)+100</f>
        <v/>
      </c>
      <c r="P74" s="76">
        <f>IF(VLOOKUP(A74,Database!$A:$AS,MATCH($P$1,Database!$A$1:$AS$1,0),FALSE)=0,#N/A,VLOOKUP(A74,Database!$A:$AS,MATCH($P$1,Database!$A$1:$AS$1,0),FALSE))</f>
        <v/>
      </c>
      <c r="Q74" s="76">
        <f>(((Table134567891011121314151617343[[#This Row],[JPN]]-VLOOKUP($U$1,A:Q,16,))/VLOOKUP($U$1,A:Q,16,))*100)+100</f>
        <v/>
      </c>
    </row>
    <row r="75" customFormat="1" s="86">
      <c r="A75" s="21" t="n">
        <v>35096</v>
      </c>
      <c r="B75" s="76">
        <f>IF(VLOOKUP(A75,Database!$A:$AS,MATCH($B$1,Database!$A$1:$AS$1,0),FALSE)=0,#N/A,VLOOKUP(A75,Database!$A:$AS,MATCH($B$1,Database!$A$1:$AS$1,0),FALSE))</f>
        <v/>
      </c>
      <c r="C75" s="76">
        <f>IF(VLOOKUP(A75,Database!$A:$AS,MATCH($C$1,Database!$A$1:$AS$1,0),FALSE)=0,#N/A,VLOOKUP(A75,Database!$A:$AS,MATCH($C$1,Database!$A$1:$AS$1,0),FALSE))</f>
        <v/>
      </c>
      <c r="D75" s="76">
        <f>IF(VLOOKUP(A75,Database!$A:$AS,MATCH($D$1,Database!$A$1:$AS$1,0),FALSE)=0,#N/A,VLOOKUP(A75,Database!$A:$AS,MATCH($D$1,Database!$A$1:$AS$1,0),FALSE))</f>
        <v/>
      </c>
      <c r="E75" s="76">
        <f>IF(VLOOKUP(A75,Database!$A:$AS,MATCH($E$1,Database!$A$1:$AS$1,0),FALSE)=0,#N/A,VLOOKUP(A75,Database!$A:$AS,MATCH($E$1,Database!$A$1:$AS$1,0),FALSE))</f>
        <v/>
      </c>
      <c r="F75" s="76">
        <f>IF(VLOOKUP(A75,Database!$A:$AS,MATCH($F$1,Database!$A$1:$AS$1,0),FALSE)=0,#N/A,VLOOKUP(A75,Database!$A:$AS,MATCH($F$1,Database!$A$1:$AS$1,0),FALSE))</f>
        <v/>
      </c>
      <c r="G75" s="76">
        <f>IF(VLOOKUP(A75,Database!$A:$AS,MATCH($G$1,Database!$A$1:$AS$1,0),FALSE)=0,#N/A,VLOOKUP(A75,Database!$A:$AS,MATCH($G$1,Database!$A$1:$AS$1,0),FALSE))</f>
        <v/>
      </c>
      <c r="H75" s="76">
        <f>(((Table134567891011121314151617343[[#This Row],[ITA]]-VLOOKUP($U$1,A:B,2,))/VLOOKUP($U$1,A:B,2,))*100)+100</f>
        <v/>
      </c>
      <c r="I75" s="76">
        <f>(((Table134567891011121314151617343[[#This Row],[FRA]]-VLOOKUP($U$1,A:C,3,))/VLOOKUP($U$1,A:C,3,))*100)+100</f>
        <v/>
      </c>
      <c r="J75" s="76">
        <f>(((Table134567891011121314151617343[[#This Row],[DEU]]-VLOOKUP($U$1,A:D,4,))/VLOOKUP($U$1,A:D,4,))*100)+100</f>
        <v/>
      </c>
      <c r="K75" s="76">
        <f>(((Table134567891011121314151617343[[#This Row],[ESP]]-VLOOKUP($U$1,A:E,5,))/VLOOKUP($U$1,A:E,5,))*100)+100</f>
        <v/>
      </c>
      <c r="L75" s="76">
        <f>(((Table134567891011121314151617343[[#This Row],[EA19]]-VLOOKUP($U$1,A:F,6,))/VLOOKUP($U$1,A:F,6,))*100)+100</f>
        <v/>
      </c>
      <c r="M75" s="76">
        <f>(((Table134567891011121314151617343[[#This Row],[GBR]]-VLOOKUP($U$1,A:G,7,))/VLOOKUP($U$1,A:G,7,))*100)+100</f>
        <v/>
      </c>
      <c r="N75" s="76">
        <f>IF(VLOOKUP(A75,Database!$A:$AU,MATCH($N$1,Database!$A$1:$AU$1,0),FALSE)=0,#N/A,VLOOKUP(A75,Database!$A:$AU,MATCH($N$1,Database!$A$1:$AU$1,0),FALSE))</f>
        <v/>
      </c>
      <c r="O75" s="76">
        <f>(((Table134567891011121314151617343[[#This Row],[USA]]-VLOOKUP($U$1,A:N,14,))/VLOOKUP($U$1,A:N,14,))*100)+100</f>
        <v/>
      </c>
      <c r="P75" s="76">
        <f>IF(VLOOKUP(A75,Database!$A:$AS,MATCH($P$1,Database!$A$1:$AS$1,0),FALSE)=0,#N/A,VLOOKUP(A75,Database!$A:$AS,MATCH($P$1,Database!$A$1:$AS$1,0),FALSE))</f>
        <v/>
      </c>
      <c r="Q75" s="76">
        <f>(((Table134567891011121314151617343[[#This Row],[JPN]]-VLOOKUP($U$1,A:Q,16,))/VLOOKUP($U$1,A:Q,16,))*100)+100</f>
        <v/>
      </c>
    </row>
    <row r="76" customFormat="1" s="86">
      <c r="A76" s="21" t="n">
        <v>35125</v>
      </c>
      <c r="B76" s="76">
        <f>IF(VLOOKUP(A76,Database!$A:$AS,MATCH($B$1,Database!$A$1:$AS$1,0),FALSE)=0,#N/A,VLOOKUP(A76,Database!$A:$AS,MATCH($B$1,Database!$A$1:$AS$1,0),FALSE))</f>
        <v/>
      </c>
      <c r="C76" s="76">
        <f>IF(VLOOKUP(A76,Database!$A:$AS,MATCH($C$1,Database!$A$1:$AS$1,0),FALSE)=0,#N/A,VLOOKUP(A76,Database!$A:$AS,MATCH($C$1,Database!$A$1:$AS$1,0),FALSE))</f>
        <v/>
      </c>
      <c r="D76" s="76">
        <f>IF(VLOOKUP(A76,Database!$A:$AS,MATCH($D$1,Database!$A$1:$AS$1,0),FALSE)=0,#N/A,VLOOKUP(A76,Database!$A:$AS,MATCH($D$1,Database!$A$1:$AS$1,0),FALSE))</f>
        <v/>
      </c>
      <c r="E76" s="76">
        <f>IF(VLOOKUP(A76,Database!$A:$AS,MATCH($E$1,Database!$A$1:$AS$1,0),FALSE)=0,#N/A,VLOOKUP(A76,Database!$A:$AS,MATCH($E$1,Database!$A$1:$AS$1,0),FALSE))</f>
        <v/>
      </c>
      <c r="F76" s="76">
        <f>IF(VLOOKUP(A76,Database!$A:$AS,MATCH($F$1,Database!$A$1:$AS$1,0),FALSE)=0,#N/A,VLOOKUP(A76,Database!$A:$AS,MATCH($F$1,Database!$A$1:$AS$1,0),FALSE))</f>
        <v/>
      </c>
      <c r="G76" s="76">
        <f>IF(VLOOKUP(A76,Database!$A:$AS,MATCH($G$1,Database!$A$1:$AS$1,0),FALSE)=0,#N/A,VLOOKUP(A76,Database!$A:$AS,MATCH($G$1,Database!$A$1:$AS$1,0),FALSE))</f>
        <v/>
      </c>
      <c r="H76" s="76">
        <f>(((Table134567891011121314151617343[[#This Row],[ITA]]-VLOOKUP($U$1,A:B,2,))/VLOOKUP($U$1,A:B,2,))*100)+100</f>
        <v/>
      </c>
      <c r="I76" s="76">
        <f>(((Table134567891011121314151617343[[#This Row],[FRA]]-VLOOKUP($U$1,A:C,3,))/VLOOKUP($U$1,A:C,3,))*100)+100</f>
        <v/>
      </c>
      <c r="J76" s="76">
        <f>(((Table134567891011121314151617343[[#This Row],[DEU]]-VLOOKUP($U$1,A:D,4,))/VLOOKUP($U$1,A:D,4,))*100)+100</f>
        <v/>
      </c>
      <c r="K76" s="76">
        <f>(((Table134567891011121314151617343[[#This Row],[ESP]]-VLOOKUP($U$1,A:E,5,))/VLOOKUP($U$1,A:E,5,))*100)+100</f>
        <v/>
      </c>
      <c r="L76" s="76">
        <f>(((Table134567891011121314151617343[[#This Row],[EA19]]-VLOOKUP($U$1,A:F,6,))/VLOOKUP($U$1,A:F,6,))*100)+100</f>
        <v/>
      </c>
      <c r="M76" s="76">
        <f>(((Table134567891011121314151617343[[#This Row],[GBR]]-VLOOKUP($U$1,A:G,7,))/VLOOKUP($U$1,A:G,7,))*100)+100</f>
        <v/>
      </c>
      <c r="N76" s="76">
        <f>IF(VLOOKUP(A76,Database!$A:$AU,MATCH($N$1,Database!$A$1:$AU$1,0),FALSE)=0,#N/A,VLOOKUP(A76,Database!$A:$AU,MATCH($N$1,Database!$A$1:$AU$1,0),FALSE))</f>
        <v/>
      </c>
      <c r="O76" s="76">
        <f>(((Table134567891011121314151617343[[#This Row],[USA]]-VLOOKUP($U$1,A:N,14,))/VLOOKUP($U$1,A:N,14,))*100)+100</f>
        <v/>
      </c>
      <c r="P76" s="76">
        <f>IF(VLOOKUP(A76,Database!$A:$AS,MATCH($P$1,Database!$A$1:$AS$1,0),FALSE)=0,#N/A,VLOOKUP(A76,Database!$A:$AS,MATCH($P$1,Database!$A$1:$AS$1,0),FALSE))</f>
        <v/>
      </c>
      <c r="Q76" s="76">
        <f>(((Table134567891011121314151617343[[#This Row],[JPN]]-VLOOKUP($U$1,A:Q,16,))/VLOOKUP($U$1,A:Q,16,))*100)+100</f>
        <v/>
      </c>
    </row>
    <row r="77" customFormat="1" s="86">
      <c r="A77" s="21" t="n">
        <v>35156</v>
      </c>
      <c r="B77" s="76">
        <f>IF(VLOOKUP(A77,Database!$A:$AS,MATCH($B$1,Database!$A$1:$AS$1,0),FALSE)=0,#N/A,VLOOKUP(A77,Database!$A:$AS,MATCH($B$1,Database!$A$1:$AS$1,0),FALSE))</f>
        <v/>
      </c>
      <c r="C77" s="76">
        <f>IF(VLOOKUP(A77,Database!$A:$AS,MATCH($C$1,Database!$A$1:$AS$1,0),FALSE)=0,#N/A,VLOOKUP(A77,Database!$A:$AS,MATCH($C$1,Database!$A$1:$AS$1,0),FALSE))</f>
        <v/>
      </c>
      <c r="D77" s="76">
        <f>IF(VLOOKUP(A77,Database!$A:$AS,MATCH($D$1,Database!$A$1:$AS$1,0),FALSE)=0,#N/A,VLOOKUP(A77,Database!$A:$AS,MATCH($D$1,Database!$A$1:$AS$1,0),FALSE))</f>
        <v/>
      </c>
      <c r="E77" s="76">
        <f>IF(VLOOKUP(A77,Database!$A:$AS,MATCH($E$1,Database!$A$1:$AS$1,0),FALSE)=0,#N/A,VLOOKUP(A77,Database!$A:$AS,MATCH($E$1,Database!$A$1:$AS$1,0),FALSE))</f>
        <v/>
      </c>
      <c r="F77" s="76">
        <f>IF(VLOOKUP(A77,Database!$A:$AS,MATCH($F$1,Database!$A$1:$AS$1,0),FALSE)=0,#N/A,VLOOKUP(A77,Database!$A:$AS,MATCH($F$1,Database!$A$1:$AS$1,0),FALSE))</f>
        <v/>
      </c>
      <c r="G77" s="76">
        <f>IF(VLOOKUP(A77,Database!$A:$AS,MATCH($G$1,Database!$A$1:$AS$1,0),FALSE)=0,#N/A,VLOOKUP(A77,Database!$A:$AS,MATCH($G$1,Database!$A$1:$AS$1,0),FALSE))</f>
        <v/>
      </c>
      <c r="H77" s="76">
        <f>(((Table134567891011121314151617343[[#This Row],[ITA]]-VLOOKUP($U$1,A:B,2,))/VLOOKUP($U$1,A:B,2,))*100)+100</f>
        <v/>
      </c>
      <c r="I77" s="76">
        <f>(((Table134567891011121314151617343[[#This Row],[FRA]]-VLOOKUP($U$1,A:C,3,))/VLOOKUP($U$1,A:C,3,))*100)+100</f>
        <v/>
      </c>
      <c r="J77" s="76">
        <f>(((Table134567891011121314151617343[[#This Row],[DEU]]-VLOOKUP($U$1,A:D,4,))/VLOOKUP($U$1,A:D,4,))*100)+100</f>
        <v/>
      </c>
      <c r="K77" s="76">
        <f>(((Table134567891011121314151617343[[#This Row],[ESP]]-VLOOKUP($U$1,A:E,5,))/VLOOKUP($U$1,A:E,5,))*100)+100</f>
        <v/>
      </c>
      <c r="L77" s="76">
        <f>(((Table134567891011121314151617343[[#This Row],[EA19]]-VLOOKUP($U$1,A:F,6,))/VLOOKUP($U$1,A:F,6,))*100)+100</f>
        <v/>
      </c>
      <c r="M77" s="76">
        <f>(((Table134567891011121314151617343[[#This Row],[GBR]]-VLOOKUP($U$1,A:G,7,))/VLOOKUP($U$1,A:G,7,))*100)+100</f>
        <v/>
      </c>
      <c r="N77" s="76">
        <f>IF(VLOOKUP(A77,Database!$A:$AU,MATCH($N$1,Database!$A$1:$AU$1,0),FALSE)=0,#N/A,VLOOKUP(A77,Database!$A:$AU,MATCH($N$1,Database!$A$1:$AU$1,0),FALSE))</f>
        <v/>
      </c>
      <c r="O77" s="76">
        <f>(((Table134567891011121314151617343[[#This Row],[USA]]-VLOOKUP($U$1,A:N,14,))/VLOOKUP($U$1,A:N,14,))*100)+100</f>
        <v/>
      </c>
      <c r="P77" s="76">
        <f>IF(VLOOKUP(A77,Database!$A:$AS,MATCH($P$1,Database!$A$1:$AS$1,0),FALSE)=0,#N/A,VLOOKUP(A77,Database!$A:$AS,MATCH($P$1,Database!$A$1:$AS$1,0),FALSE))</f>
        <v/>
      </c>
      <c r="Q77" s="76">
        <f>(((Table134567891011121314151617343[[#This Row],[JPN]]-VLOOKUP($U$1,A:Q,16,))/VLOOKUP($U$1,A:Q,16,))*100)+100</f>
        <v/>
      </c>
    </row>
    <row r="78" customFormat="1" s="86">
      <c r="A78" s="21" t="n">
        <v>35186</v>
      </c>
      <c r="B78" s="76">
        <f>IF(VLOOKUP(A78,Database!$A:$AS,MATCH($B$1,Database!$A$1:$AS$1,0),FALSE)=0,#N/A,VLOOKUP(A78,Database!$A:$AS,MATCH($B$1,Database!$A$1:$AS$1,0),FALSE))</f>
        <v/>
      </c>
      <c r="C78" s="76">
        <f>IF(VLOOKUP(A78,Database!$A:$AS,MATCH($C$1,Database!$A$1:$AS$1,0),FALSE)=0,#N/A,VLOOKUP(A78,Database!$A:$AS,MATCH($C$1,Database!$A$1:$AS$1,0),FALSE))</f>
        <v/>
      </c>
      <c r="D78" s="76">
        <f>IF(VLOOKUP(A78,Database!$A:$AS,MATCH($D$1,Database!$A$1:$AS$1,0),FALSE)=0,#N/A,VLOOKUP(A78,Database!$A:$AS,MATCH($D$1,Database!$A$1:$AS$1,0),FALSE))</f>
        <v/>
      </c>
      <c r="E78" s="76">
        <f>IF(VLOOKUP(A78,Database!$A:$AS,MATCH($E$1,Database!$A$1:$AS$1,0),FALSE)=0,#N/A,VLOOKUP(A78,Database!$A:$AS,MATCH($E$1,Database!$A$1:$AS$1,0),FALSE))</f>
        <v/>
      </c>
      <c r="F78" s="76">
        <f>IF(VLOOKUP(A78,Database!$A:$AS,MATCH($F$1,Database!$A$1:$AS$1,0),FALSE)=0,#N/A,VLOOKUP(A78,Database!$A:$AS,MATCH($F$1,Database!$A$1:$AS$1,0),FALSE))</f>
        <v/>
      </c>
      <c r="G78" s="76">
        <f>IF(VLOOKUP(A78,Database!$A:$AS,MATCH($G$1,Database!$A$1:$AS$1,0),FALSE)=0,#N/A,VLOOKUP(A78,Database!$A:$AS,MATCH($G$1,Database!$A$1:$AS$1,0),FALSE))</f>
        <v/>
      </c>
      <c r="H78" s="76">
        <f>(((Table134567891011121314151617343[[#This Row],[ITA]]-VLOOKUP($U$1,A:B,2,))/VLOOKUP($U$1,A:B,2,))*100)+100</f>
        <v/>
      </c>
      <c r="I78" s="76">
        <f>(((Table134567891011121314151617343[[#This Row],[FRA]]-VLOOKUP($U$1,A:C,3,))/VLOOKUP($U$1,A:C,3,))*100)+100</f>
        <v/>
      </c>
      <c r="J78" s="76">
        <f>(((Table134567891011121314151617343[[#This Row],[DEU]]-VLOOKUP($U$1,A:D,4,))/VLOOKUP($U$1,A:D,4,))*100)+100</f>
        <v/>
      </c>
      <c r="K78" s="76">
        <f>(((Table134567891011121314151617343[[#This Row],[ESP]]-VLOOKUP($U$1,A:E,5,))/VLOOKUP($U$1,A:E,5,))*100)+100</f>
        <v/>
      </c>
      <c r="L78" s="76">
        <f>(((Table134567891011121314151617343[[#This Row],[EA19]]-VLOOKUP($U$1,A:F,6,))/VLOOKUP($U$1,A:F,6,))*100)+100</f>
        <v/>
      </c>
      <c r="M78" s="76">
        <f>(((Table134567891011121314151617343[[#This Row],[GBR]]-VLOOKUP($U$1,A:G,7,))/VLOOKUP($U$1,A:G,7,))*100)+100</f>
        <v/>
      </c>
      <c r="N78" s="76">
        <f>IF(VLOOKUP(A78,Database!$A:$AU,MATCH($N$1,Database!$A$1:$AU$1,0),FALSE)=0,#N/A,VLOOKUP(A78,Database!$A:$AU,MATCH($N$1,Database!$A$1:$AU$1,0),FALSE))</f>
        <v/>
      </c>
      <c r="O78" s="76">
        <f>(((Table134567891011121314151617343[[#This Row],[USA]]-VLOOKUP($U$1,A:N,14,))/VLOOKUP($U$1,A:N,14,))*100)+100</f>
        <v/>
      </c>
      <c r="P78" s="76">
        <f>IF(VLOOKUP(A78,Database!$A:$AS,MATCH($P$1,Database!$A$1:$AS$1,0),FALSE)=0,#N/A,VLOOKUP(A78,Database!$A:$AS,MATCH($P$1,Database!$A$1:$AS$1,0),FALSE))</f>
        <v/>
      </c>
      <c r="Q78" s="76">
        <f>(((Table134567891011121314151617343[[#This Row],[JPN]]-VLOOKUP($U$1,A:Q,16,))/VLOOKUP($U$1,A:Q,16,))*100)+100</f>
        <v/>
      </c>
    </row>
    <row r="79" customFormat="1" s="86">
      <c r="A79" s="21" t="n">
        <v>35217</v>
      </c>
      <c r="B79" s="76">
        <f>IF(VLOOKUP(A79,Database!$A:$AS,MATCH($B$1,Database!$A$1:$AS$1,0),FALSE)=0,#N/A,VLOOKUP(A79,Database!$A:$AS,MATCH($B$1,Database!$A$1:$AS$1,0),FALSE))</f>
        <v/>
      </c>
      <c r="C79" s="76">
        <f>IF(VLOOKUP(A79,Database!$A:$AS,MATCH($C$1,Database!$A$1:$AS$1,0),FALSE)=0,#N/A,VLOOKUP(A79,Database!$A:$AS,MATCH($C$1,Database!$A$1:$AS$1,0),FALSE))</f>
        <v/>
      </c>
      <c r="D79" s="76">
        <f>IF(VLOOKUP(A79,Database!$A:$AS,MATCH($D$1,Database!$A$1:$AS$1,0),FALSE)=0,#N/A,VLOOKUP(A79,Database!$A:$AS,MATCH($D$1,Database!$A$1:$AS$1,0),FALSE))</f>
        <v/>
      </c>
      <c r="E79" s="76">
        <f>IF(VLOOKUP(A79,Database!$A:$AS,MATCH($E$1,Database!$A$1:$AS$1,0),FALSE)=0,#N/A,VLOOKUP(A79,Database!$A:$AS,MATCH($E$1,Database!$A$1:$AS$1,0),FALSE))</f>
        <v/>
      </c>
      <c r="F79" s="76">
        <f>IF(VLOOKUP(A79,Database!$A:$AS,MATCH($F$1,Database!$A$1:$AS$1,0),FALSE)=0,#N/A,VLOOKUP(A79,Database!$A:$AS,MATCH($F$1,Database!$A$1:$AS$1,0),FALSE))</f>
        <v/>
      </c>
      <c r="G79" s="76">
        <f>IF(VLOOKUP(A79,Database!$A:$AS,MATCH($G$1,Database!$A$1:$AS$1,0),FALSE)=0,#N/A,VLOOKUP(A79,Database!$A:$AS,MATCH($G$1,Database!$A$1:$AS$1,0),FALSE))</f>
        <v/>
      </c>
      <c r="H79" s="76">
        <f>(((Table134567891011121314151617343[[#This Row],[ITA]]-VLOOKUP($U$1,A:B,2,))/VLOOKUP($U$1,A:B,2,))*100)+100</f>
        <v/>
      </c>
      <c r="I79" s="76">
        <f>(((Table134567891011121314151617343[[#This Row],[FRA]]-VLOOKUP($U$1,A:C,3,))/VLOOKUP($U$1,A:C,3,))*100)+100</f>
        <v/>
      </c>
      <c r="J79" s="76">
        <f>(((Table134567891011121314151617343[[#This Row],[DEU]]-VLOOKUP($U$1,A:D,4,))/VLOOKUP($U$1,A:D,4,))*100)+100</f>
        <v/>
      </c>
      <c r="K79" s="76">
        <f>(((Table134567891011121314151617343[[#This Row],[ESP]]-VLOOKUP($U$1,A:E,5,))/VLOOKUP($U$1,A:E,5,))*100)+100</f>
        <v/>
      </c>
      <c r="L79" s="76">
        <f>(((Table134567891011121314151617343[[#This Row],[EA19]]-VLOOKUP($U$1,A:F,6,))/VLOOKUP($U$1,A:F,6,))*100)+100</f>
        <v/>
      </c>
      <c r="M79" s="76">
        <f>(((Table134567891011121314151617343[[#This Row],[GBR]]-VLOOKUP($U$1,A:G,7,))/VLOOKUP($U$1,A:G,7,))*100)+100</f>
        <v/>
      </c>
      <c r="N79" s="76">
        <f>IF(VLOOKUP(A79,Database!$A:$AU,MATCH($N$1,Database!$A$1:$AU$1,0),FALSE)=0,#N/A,VLOOKUP(A79,Database!$A:$AU,MATCH($N$1,Database!$A$1:$AU$1,0),FALSE))</f>
        <v/>
      </c>
      <c r="O79" s="76">
        <f>(((Table134567891011121314151617343[[#This Row],[USA]]-VLOOKUP($U$1,A:N,14,))/VLOOKUP($U$1,A:N,14,))*100)+100</f>
        <v/>
      </c>
      <c r="P79" s="76">
        <f>IF(VLOOKUP(A79,Database!$A:$AS,MATCH($P$1,Database!$A$1:$AS$1,0),FALSE)=0,#N/A,VLOOKUP(A79,Database!$A:$AS,MATCH($P$1,Database!$A$1:$AS$1,0),FALSE))</f>
        <v/>
      </c>
      <c r="Q79" s="76">
        <f>(((Table134567891011121314151617343[[#This Row],[JPN]]-VLOOKUP($U$1,A:Q,16,))/VLOOKUP($U$1,A:Q,16,))*100)+100</f>
        <v/>
      </c>
    </row>
    <row r="80" customFormat="1" s="86">
      <c r="A80" s="21" t="n">
        <v>35247</v>
      </c>
      <c r="B80" s="76">
        <f>IF(VLOOKUP(A80,Database!$A:$AS,MATCH($B$1,Database!$A$1:$AS$1,0),FALSE)=0,#N/A,VLOOKUP(A80,Database!$A:$AS,MATCH($B$1,Database!$A$1:$AS$1,0),FALSE))</f>
        <v/>
      </c>
      <c r="C80" s="76">
        <f>IF(VLOOKUP(A80,Database!$A:$AS,MATCH($C$1,Database!$A$1:$AS$1,0),FALSE)=0,#N/A,VLOOKUP(A80,Database!$A:$AS,MATCH($C$1,Database!$A$1:$AS$1,0),FALSE))</f>
        <v/>
      </c>
      <c r="D80" s="76">
        <f>IF(VLOOKUP(A80,Database!$A:$AS,MATCH($D$1,Database!$A$1:$AS$1,0),FALSE)=0,#N/A,VLOOKUP(A80,Database!$A:$AS,MATCH($D$1,Database!$A$1:$AS$1,0),FALSE))</f>
        <v/>
      </c>
      <c r="E80" s="76">
        <f>IF(VLOOKUP(A80,Database!$A:$AS,MATCH($E$1,Database!$A$1:$AS$1,0),FALSE)=0,#N/A,VLOOKUP(A80,Database!$A:$AS,MATCH($E$1,Database!$A$1:$AS$1,0),FALSE))</f>
        <v/>
      </c>
      <c r="F80" s="76">
        <f>IF(VLOOKUP(A80,Database!$A:$AS,MATCH($F$1,Database!$A$1:$AS$1,0),FALSE)=0,#N/A,VLOOKUP(A80,Database!$A:$AS,MATCH($F$1,Database!$A$1:$AS$1,0),FALSE))</f>
        <v/>
      </c>
      <c r="G80" s="76">
        <f>IF(VLOOKUP(A80,Database!$A:$AS,MATCH($G$1,Database!$A$1:$AS$1,0),FALSE)=0,#N/A,VLOOKUP(A80,Database!$A:$AS,MATCH($G$1,Database!$A$1:$AS$1,0),FALSE))</f>
        <v/>
      </c>
      <c r="H80" s="76">
        <f>(((Table134567891011121314151617343[[#This Row],[ITA]]-VLOOKUP($U$1,A:B,2,))/VLOOKUP($U$1,A:B,2,))*100)+100</f>
        <v/>
      </c>
      <c r="I80" s="76">
        <f>(((Table134567891011121314151617343[[#This Row],[FRA]]-VLOOKUP($U$1,A:C,3,))/VLOOKUP($U$1,A:C,3,))*100)+100</f>
        <v/>
      </c>
      <c r="J80" s="76">
        <f>(((Table134567891011121314151617343[[#This Row],[DEU]]-VLOOKUP($U$1,A:D,4,))/VLOOKUP($U$1,A:D,4,))*100)+100</f>
        <v/>
      </c>
      <c r="K80" s="76">
        <f>(((Table134567891011121314151617343[[#This Row],[ESP]]-VLOOKUP($U$1,A:E,5,))/VLOOKUP($U$1,A:E,5,))*100)+100</f>
        <v/>
      </c>
      <c r="L80" s="76">
        <f>(((Table134567891011121314151617343[[#This Row],[EA19]]-VLOOKUP($U$1,A:F,6,))/VLOOKUP($U$1,A:F,6,))*100)+100</f>
        <v/>
      </c>
      <c r="M80" s="76">
        <f>(((Table134567891011121314151617343[[#This Row],[GBR]]-VLOOKUP($U$1,A:G,7,))/VLOOKUP($U$1,A:G,7,))*100)+100</f>
        <v/>
      </c>
      <c r="N80" s="76">
        <f>IF(VLOOKUP(A80,Database!$A:$AU,MATCH($N$1,Database!$A$1:$AU$1,0),FALSE)=0,#N/A,VLOOKUP(A80,Database!$A:$AU,MATCH($N$1,Database!$A$1:$AU$1,0),FALSE))</f>
        <v/>
      </c>
      <c r="O80" s="76">
        <f>(((Table134567891011121314151617343[[#This Row],[USA]]-VLOOKUP($U$1,A:N,14,))/VLOOKUP($U$1,A:N,14,))*100)+100</f>
        <v/>
      </c>
      <c r="P80" s="76">
        <f>IF(VLOOKUP(A80,Database!$A:$AS,MATCH($P$1,Database!$A$1:$AS$1,0),FALSE)=0,#N/A,VLOOKUP(A80,Database!$A:$AS,MATCH($P$1,Database!$A$1:$AS$1,0),FALSE))</f>
        <v/>
      </c>
      <c r="Q80" s="76">
        <f>(((Table134567891011121314151617343[[#This Row],[JPN]]-VLOOKUP($U$1,A:Q,16,))/VLOOKUP($U$1,A:Q,16,))*100)+100</f>
        <v/>
      </c>
    </row>
    <row r="81" customFormat="1" s="86">
      <c r="A81" s="21" t="n">
        <v>35278</v>
      </c>
      <c r="B81" s="76">
        <f>IF(VLOOKUP(A81,Database!$A:$AS,MATCH($B$1,Database!$A$1:$AS$1,0),FALSE)=0,#N/A,VLOOKUP(A81,Database!$A:$AS,MATCH($B$1,Database!$A$1:$AS$1,0),FALSE))</f>
        <v/>
      </c>
      <c r="C81" s="76">
        <f>IF(VLOOKUP(A81,Database!$A:$AS,MATCH($C$1,Database!$A$1:$AS$1,0),FALSE)=0,#N/A,VLOOKUP(A81,Database!$A:$AS,MATCH($C$1,Database!$A$1:$AS$1,0),FALSE))</f>
        <v/>
      </c>
      <c r="D81" s="76">
        <f>IF(VLOOKUP(A81,Database!$A:$AS,MATCH($D$1,Database!$A$1:$AS$1,0),FALSE)=0,#N/A,VLOOKUP(A81,Database!$A:$AS,MATCH($D$1,Database!$A$1:$AS$1,0),FALSE))</f>
        <v/>
      </c>
      <c r="E81" s="76">
        <f>IF(VLOOKUP(A81,Database!$A:$AS,MATCH($E$1,Database!$A$1:$AS$1,0),FALSE)=0,#N/A,VLOOKUP(A81,Database!$A:$AS,MATCH($E$1,Database!$A$1:$AS$1,0),FALSE))</f>
        <v/>
      </c>
      <c r="F81" s="76">
        <f>IF(VLOOKUP(A81,Database!$A:$AS,MATCH($F$1,Database!$A$1:$AS$1,0),FALSE)=0,#N/A,VLOOKUP(A81,Database!$A:$AS,MATCH($F$1,Database!$A$1:$AS$1,0),FALSE))</f>
        <v/>
      </c>
      <c r="G81" s="76">
        <f>IF(VLOOKUP(A81,Database!$A:$AS,MATCH($G$1,Database!$A$1:$AS$1,0),FALSE)=0,#N/A,VLOOKUP(A81,Database!$A:$AS,MATCH($G$1,Database!$A$1:$AS$1,0),FALSE))</f>
        <v/>
      </c>
      <c r="H81" s="76">
        <f>(((Table134567891011121314151617343[[#This Row],[ITA]]-VLOOKUP($U$1,A:B,2,))/VLOOKUP($U$1,A:B,2,))*100)+100</f>
        <v/>
      </c>
      <c r="I81" s="76">
        <f>(((Table134567891011121314151617343[[#This Row],[FRA]]-VLOOKUP($U$1,A:C,3,))/VLOOKUP($U$1,A:C,3,))*100)+100</f>
        <v/>
      </c>
      <c r="J81" s="76">
        <f>(((Table134567891011121314151617343[[#This Row],[DEU]]-VLOOKUP($U$1,A:D,4,))/VLOOKUP($U$1,A:D,4,))*100)+100</f>
        <v/>
      </c>
      <c r="K81" s="76">
        <f>(((Table134567891011121314151617343[[#This Row],[ESP]]-VLOOKUP($U$1,A:E,5,))/VLOOKUP($U$1,A:E,5,))*100)+100</f>
        <v/>
      </c>
      <c r="L81" s="76">
        <f>(((Table134567891011121314151617343[[#This Row],[EA19]]-VLOOKUP($U$1,A:F,6,))/VLOOKUP($U$1,A:F,6,))*100)+100</f>
        <v/>
      </c>
      <c r="M81" s="76">
        <f>(((Table134567891011121314151617343[[#This Row],[GBR]]-VLOOKUP($U$1,A:G,7,))/VLOOKUP($U$1,A:G,7,))*100)+100</f>
        <v/>
      </c>
      <c r="N81" s="76">
        <f>IF(VLOOKUP(A81,Database!$A:$AU,MATCH($N$1,Database!$A$1:$AU$1,0),FALSE)=0,#N/A,VLOOKUP(A81,Database!$A:$AU,MATCH($N$1,Database!$A$1:$AU$1,0),FALSE))</f>
        <v/>
      </c>
      <c r="O81" s="76">
        <f>(((Table134567891011121314151617343[[#This Row],[USA]]-VLOOKUP($U$1,A:N,14,))/VLOOKUP($U$1,A:N,14,))*100)+100</f>
        <v/>
      </c>
      <c r="P81" s="76">
        <f>IF(VLOOKUP(A81,Database!$A:$AS,MATCH($P$1,Database!$A$1:$AS$1,0),FALSE)=0,#N/A,VLOOKUP(A81,Database!$A:$AS,MATCH($P$1,Database!$A$1:$AS$1,0),FALSE))</f>
        <v/>
      </c>
      <c r="Q81" s="76">
        <f>(((Table134567891011121314151617343[[#This Row],[JPN]]-VLOOKUP($U$1,A:Q,16,))/VLOOKUP($U$1,A:Q,16,))*100)+100</f>
        <v/>
      </c>
    </row>
    <row r="82" customFormat="1" s="86">
      <c r="A82" s="21" t="n">
        <v>35309</v>
      </c>
      <c r="B82" s="76">
        <f>IF(VLOOKUP(A82,Database!$A:$AS,MATCH($B$1,Database!$A$1:$AS$1,0),FALSE)=0,#N/A,VLOOKUP(A82,Database!$A:$AS,MATCH($B$1,Database!$A$1:$AS$1,0),FALSE))</f>
        <v/>
      </c>
      <c r="C82" s="76">
        <f>IF(VLOOKUP(A82,Database!$A:$AS,MATCH($C$1,Database!$A$1:$AS$1,0),FALSE)=0,#N/A,VLOOKUP(A82,Database!$A:$AS,MATCH($C$1,Database!$A$1:$AS$1,0),FALSE))</f>
        <v/>
      </c>
      <c r="D82" s="76">
        <f>IF(VLOOKUP(A82,Database!$A:$AS,MATCH($D$1,Database!$A$1:$AS$1,0),FALSE)=0,#N/A,VLOOKUP(A82,Database!$A:$AS,MATCH($D$1,Database!$A$1:$AS$1,0),FALSE))</f>
        <v/>
      </c>
      <c r="E82" s="76">
        <f>IF(VLOOKUP(A82,Database!$A:$AS,MATCH($E$1,Database!$A$1:$AS$1,0),FALSE)=0,#N/A,VLOOKUP(A82,Database!$A:$AS,MATCH($E$1,Database!$A$1:$AS$1,0),FALSE))</f>
        <v/>
      </c>
      <c r="F82" s="76">
        <f>IF(VLOOKUP(A82,Database!$A:$AS,MATCH($F$1,Database!$A$1:$AS$1,0),FALSE)=0,#N/A,VLOOKUP(A82,Database!$A:$AS,MATCH($F$1,Database!$A$1:$AS$1,0),FALSE))</f>
        <v/>
      </c>
      <c r="G82" s="76">
        <f>IF(VLOOKUP(A82,Database!$A:$AS,MATCH($G$1,Database!$A$1:$AS$1,0),FALSE)=0,#N/A,VLOOKUP(A82,Database!$A:$AS,MATCH($G$1,Database!$A$1:$AS$1,0),FALSE))</f>
        <v/>
      </c>
      <c r="H82" s="76">
        <f>(((Table134567891011121314151617343[[#This Row],[ITA]]-VLOOKUP($U$1,A:B,2,))/VLOOKUP($U$1,A:B,2,))*100)+100</f>
        <v/>
      </c>
      <c r="I82" s="76">
        <f>(((Table134567891011121314151617343[[#This Row],[FRA]]-VLOOKUP($U$1,A:C,3,))/VLOOKUP($U$1,A:C,3,))*100)+100</f>
        <v/>
      </c>
      <c r="J82" s="76">
        <f>(((Table134567891011121314151617343[[#This Row],[DEU]]-VLOOKUP($U$1,A:D,4,))/VLOOKUP($U$1,A:D,4,))*100)+100</f>
        <v/>
      </c>
      <c r="K82" s="76">
        <f>(((Table134567891011121314151617343[[#This Row],[ESP]]-VLOOKUP($U$1,A:E,5,))/VLOOKUP($U$1,A:E,5,))*100)+100</f>
        <v/>
      </c>
      <c r="L82" s="76">
        <f>(((Table134567891011121314151617343[[#This Row],[EA19]]-VLOOKUP($U$1,A:F,6,))/VLOOKUP($U$1,A:F,6,))*100)+100</f>
        <v/>
      </c>
      <c r="M82" s="76">
        <f>(((Table134567891011121314151617343[[#This Row],[GBR]]-VLOOKUP($U$1,A:G,7,))/VLOOKUP($U$1,A:G,7,))*100)+100</f>
        <v/>
      </c>
      <c r="N82" s="76">
        <f>IF(VLOOKUP(A82,Database!$A:$AU,MATCH($N$1,Database!$A$1:$AU$1,0),FALSE)=0,#N/A,VLOOKUP(A82,Database!$A:$AU,MATCH($N$1,Database!$A$1:$AU$1,0),FALSE))</f>
        <v/>
      </c>
      <c r="O82" s="76">
        <f>(((Table134567891011121314151617343[[#This Row],[USA]]-VLOOKUP($U$1,A:N,14,))/VLOOKUP($U$1,A:N,14,))*100)+100</f>
        <v/>
      </c>
      <c r="P82" s="76">
        <f>IF(VLOOKUP(A82,Database!$A:$AS,MATCH($P$1,Database!$A$1:$AS$1,0),FALSE)=0,#N/A,VLOOKUP(A82,Database!$A:$AS,MATCH($P$1,Database!$A$1:$AS$1,0),FALSE))</f>
        <v/>
      </c>
      <c r="Q82" s="76">
        <f>(((Table134567891011121314151617343[[#This Row],[JPN]]-VLOOKUP($U$1,A:Q,16,))/VLOOKUP($U$1,A:Q,16,))*100)+100</f>
        <v/>
      </c>
    </row>
    <row r="83" customFormat="1" s="86">
      <c r="A83" s="21" t="n">
        <v>35339</v>
      </c>
      <c r="B83" s="76">
        <f>IF(VLOOKUP(A83,Database!$A:$AS,MATCH($B$1,Database!$A$1:$AS$1,0),FALSE)=0,#N/A,VLOOKUP(A83,Database!$A:$AS,MATCH($B$1,Database!$A$1:$AS$1,0),FALSE))</f>
        <v/>
      </c>
      <c r="C83" s="76">
        <f>IF(VLOOKUP(A83,Database!$A:$AS,MATCH($C$1,Database!$A$1:$AS$1,0),FALSE)=0,#N/A,VLOOKUP(A83,Database!$A:$AS,MATCH($C$1,Database!$A$1:$AS$1,0),FALSE))</f>
        <v/>
      </c>
      <c r="D83" s="76">
        <f>IF(VLOOKUP(A83,Database!$A:$AS,MATCH($D$1,Database!$A$1:$AS$1,0),FALSE)=0,#N/A,VLOOKUP(A83,Database!$A:$AS,MATCH($D$1,Database!$A$1:$AS$1,0),FALSE))</f>
        <v/>
      </c>
      <c r="E83" s="76">
        <f>IF(VLOOKUP(A83,Database!$A:$AS,MATCH($E$1,Database!$A$1:$AS$1,0),FALSE)=0,#N/A,VLOOKUP(A83,Database!$A:$AS,MATCH($E$1,Database!$A$1:$AS$1,0),FALSE))</f>
        <v/>
      </c>
      <c r="F83" s="76">
        <f>IF(VLOOKUP(A83,Database!$A:$AS,MATCH($F$1,Database!$A$1:$AS$1,0),FALSE)=0,#N/A,VLOOKUP(A83,Database!$A:$AS,MATCH($F$1,Database!$A$1:$AS$1,0),FALSE))</f>
        <v/>
      </c>
      <c r="G83" s="76">
        <f>IF(VLOOKUP(A83,Database!$A:$AS,MATCH($G$1,Database!$A$1:$AS$1,0),FALSE)=0,#N/A,VLOOKUP(A83,Database!$A:$AS,MATCH($G$1,Database!$A$1:$AS$1,0),FALSE))</f>
        <v/>
      </c>
      <c r="H83" s="76">
        <f>(((Table134567891011121314151617343[[#This Row],[ITA]]-VLOOKUP($U$1,A:B,2,))/VLOOKUP($U$1,A:B,2,))*100)+100</f>
        <v/>
      </c>
      <c r="I83" s="76">
        <f>(((Table134567891011121314151617343[[#This Row],[FRA]]-VLOOKUP($U$1,A:C,3,))/VLOOKUP($U$1,A:C,3,))*100)+100</f>
        <v/>
      </c>
      <c r="J83" s="76">
        <f>(((Table134567891011121314151617343[[#This Row],[DEU]]-VLOOKUP($U$1,A:D,4,))/VLOOKUP($U$1,A:D,4,))*100)+100</f>
        <v/>
      </c>
      <c r="K83" s="76">
        <f>(((Table134567891011121314151617343[[#This Row],[ESP]]-VLOOKUP($U$1,A:E,5,))/VLOOKUP($U$1,A:E,5,))*100)+100</f>
        <v/>
      </c>
      <c r="L83" s="76">
        <f>(((Table134567891011121314151617343[[#This Row],[EA19]]-VLOOKUP($U$1,A:F,6,))/VLOOKUP($U$1,A:F,6,))*100)+100</f>
        <v/>
      </c>
      <c r="M83" s="76">
        <f>(((Table134567891011121314151617343[[#This Row],[GBR]]-VLOOKUP($U$1,A:G,7,))/VLOOKUP($U$1,A:G,7,))*100)+100</f>
        <v/>
      </c>
      <c r="N83" s="76">
        <f>IF(VLOOKUP(A83,Database!$A:$AU,MATCH($N$1,Database!$A$1:$AU$1,0),FALSE)=0,#N/A,VLOOKUP(A83,Database!$A:$AU,MATCH($N$1,Database!$A$1:$AU$1,0),FALSE))</f>
        <v/>
      </c>
      <c r="O83" s="76">
        <f>(((Table134567891011121314151617343[[#This Row],[USA]]-VLOOKUP($U$1,A:N,14,))/VLOOKUP($U$1,A:N,14,))*100)+100</f>
        <v/>
      </c>
      <c r="P83" s="76">
        <f>IF(VLOOKUP(A83,Database!$A:$AS,MATCH($P$1,Database!$A$1:$AS$1,0),FALSE)=0,#N/A,VLOOKUP(A83,Database!$A:$AS,MATCH($P$1,Database!$A$1:$AS$1,0),FALSE))</f>
        <v/>
      </c>
      <c r="Q83" s="76">
        <f>(((Table134567891011121314151617343[[#This Row],[JPN]]-VLOOKUP($U$1,A:Q,16,))/VLOOKUP($U$1,A:Q,16,))*100)+100</f>
        <v/>
      </c>
    </row>
    <row r="84" customFormat="1" s="86">
      <c r="A84" s="21" t="n">
        <v>35370</v>
      </c>
      <c r="B84" s="76">
        <f>IF(VLOOKUP(A84,Database!$A:$AS,MATCH($B$1,Database!$A$1:$AS$1,0),FALSE)=0,#N/A,VLOOKUP(A84,Database!$A:$AS,MATCH($B$1,Database!$A$1:$AS$1,0),FALSE))</f>
        <v/>
      </c>
      <c r="C84" s="76">
        <f>IF(VLOOKUP(A84,Database!$A:$AS,MATCH($C$1,Database!$A$1:$AS$1,0),FALSE)=0,#N/A,VLOOKUP(A84,Database!$A:$AS,MATCH($C$1,Database!$A$1:$AS$1,0),FALSE))</f>
        <v/>
      </c>
      <c r="D84" s="76">
        <f>IF(VLOOKUP(A84,Database!$A:$AS,MATCH($D$1,Database!$A$1:$AS$1,0),FALSE)=0,#N/A,VLOOKUP(A84,Database!$A:$AS,MATCH($D$1,Database!$A$1:$AS$1,0),FALSE))</f>
        <v/>
      </c>
      <c r="E84" s="76">
        <f>IF(VLOOKUP(A84,Database!$A:$AS,MATCH($E$1,Database!$A$1:$AS$1,0),FALSE)=0,#N/A,VLOOKUP(A84,Database!$A:$AS,MATCH($E$1,Database!$A$1:$AS$1,0),FALSE))</f>
        <v/>
      </c>
      <c r="F84" s="76">
        <f>IF(VLOOKUP(A84,Database!$A:$AS,MATCH($F$1,Database!$A$1:$AS$1,0),FALSE)=0,#N/A,VLOOKUP(A84,Database!$A:$AS,MATCH($F$1,Database!$A$1:$AS$1,0),FALSE))</f>
        <v/>
      </c>
      <c r="G84" s="76">
        <f>IF(VLOOKUP(A84,Database!$A:$AS,MATCH($G$1,Database!$A$1:$AS$1,0),FALSE)=0,#N/A,VLOOKUP(A84,Database!$A:$AS,MATCH($G$1,Database!$A$1:$AS$1,0),FALSE))</f>
        <v/>
      </c>
      <c r="H84" s="76">
        <f>(((Table134567891011121314151617343[[#This Row],[ITA]]-VLOOKUP($U$1,A:B,2,))/VLOOKUP($U$1,A:B,2,))*100)+100</f>
        <v/>
      </c>
      <c r="I84" s="76">
        <f>(((Table134567891011121314151617343[[#This Row],[FRA]]-VLOOKUP($U$1,A:C,3,))/VLOOKUP($U$1,A:C,3,))*100)+100</f>
        <v/>
      </c>
      <c r="J84" s="76">
        <f>(((Table134567891011121314151617343[[#This Row],[DEU]]-VLOOKUP($U$1,A:D,4,))/VLOOKUP($U$1,A:D,4,))*100)+100</f>
        <v/>
      </c>
      <c r="K84" s="76">
        <f>(((Table134567891011121314151617343[[#This Row],[ESP]]-VLOOKUP($U$1,A:E,5,))/VLOOKUP($U$1,A:E,5,))*100)+100</f>
        <v/>
      </c>
      <c r="L84" s="76">
        <f>(((Table134567891011121314151617343[[#This Row],[EA19]]-VLOOKUP($U$1,A:F,6,))/VLOOKUP($U$1,A:F,6,))*100)+100</f>
        <v/>
      </c>
      <c r="M84" s="76">
        <f>(((Table134567891011121314151617343[[#This Row],[GBR]]-VLOOKUP($U$1,A:G,7,))/VLOOKUP($U$1,A:G,7,))*100)+100</f>
        <v/>
      </c>
      <c r="N84" s="76">
        <f>IF(VLOOKUP(A84,Database!$A:$AU,MATCH($N$1,Database!$A$1:$AU$1,0),FALSE)=0,#N/A,VLOOKUP(A84,Database!$A:$AU,MATCH($N$1,Database!$A$1:$AU$1,0),FALSE))</f>
        <v/>
      </c>
      <c r="O84" s="76">
        <f>(((Table134567891011121314151617343[[#This Row],[USA]]-VLOOKUP($U$1,A:N,14,))/VLOOKUP($U$1,A:N,14,))*100)+100</f>
        <v/>
      </c>
      <c r="P84" s="76">
        <f>IF(VLOOKUP(A84,Database!$A:$AS,MATCH($P$1,Database!$A$1:$AS$1,0),FALSE)=0,#N/A,VLOOKUP(A84,Database!$A:$AS,MATCH($P$1,Database!$A$1:$AS$1,0),FALSE))</f>
        <v/>
      </c>
      <c r="Q84" s="76">
        <f>(((Table134567891011121314151617343[[#This Row],[JPN]]-VLOOKUP($U$1,A:Q,16,))/VLOOKUP($U$1,A:Q,16,))*100)+100</f>
        <v/>
      </c>
    </row>
    <row r="85" customFormat="1" s="86">
      <c r="A85" s="21" t="n">
        <v>35400</v>
      </c>
      <c r="B85" s="76">
        <f>IF(VLOOKUP(A85,Database!$A:$AS,MATCH($B$1,Database!$A$1:$AS$1,0),FALSE)=0,#N/A,VLOOKUP(A85,Database!$A:$AS,MATCH($B$1,Database!$A$1:$AS$1,0),FALSE))</f>
        <v/>
      </c>
      <c r="C85" s="76">
        <f>IF(VLOOKUP(A85,Database!$A:$AS,MATCH($C$1,Database!$A$1:$AS$1,0),FALSE)=0,#N/A,VLOOKUP(A85,Database!$A:$AS,MATCH($C$1,Database!$A$1:$AS$1,0),FALSE))</f>
        <v/>
      </c>
      <c r="D85" s="76">
        <f>IF(VLOOKUP(A85,Database!$A:$AS,MATCH($D$1,Database!$A$1:$AS$1,0),FALSE)=0,#N/A,VLOOKUP(A85,Database!$A:$AS,MATCH($D$1,Database!$A$1:$AS$1,0),FALSE))</f>
        <v/>
      </c>
      <c r="E85" s="76">
        <f>IF(VLOOKUP(A85,Database!$A:$AS,MATCH($E$1,Database!$A$1:$AS$1,0),FALSE)=0,#N/A,VLOOKUP(A85,Database!$A:$AS,MATCH($E$1,Database!$A$1:$AS$1,0),FALSE))</f>
        <v/>
      </c>
      <c r="F85" s="76">
        <f>IF(VLOOKUP(A85,Database!$A:$AS,MATCH($F$1,Database!$A$1:$AS$1,0),FALSE)=0,#N/A,VLOOKUP(A85,Database!$A:$AS,MATCH($F$1,Database!$A$1:$AS$1,0),FALSE))</f>
        <v/>
      </c>
      <c r="G85" s="76">
        <f>IF(VLOOKUP(A85,Database!$A:$AS,MATCH($G$1,Database!$A$1:$AS$1,0),FALSE)=0,#N/A,VLOOKUP(A85,Database!$A:$AS,MATCH($G$1,Database!$A$1:$AS$1,0),FALSE))</f>
        <v/>
      </c>
      <c r="H85" s="76">
        <f>(((Table134567891011121314151617343[[#This Row],[ITA]]-VLOOKUP($U$1,A:B,2,))/VLOOKUP($U$1,A:B,2,))*100)+100</f>
        <v/>
      </c>
      <c r="I85" s="76">
        <f>(((Table134567891011121314151617343[[#This Row],[FRA]]-VLOOKUP($U$1,A:C,3,))/VLOOKUP($U$1,A:C,3,))*100)+100</f>
        <v/>
      </c>
      <c r="J85" s="76">
        <f>(((Table134567891011121314151617343[[#This Row],[DEU]]-VLOOKUP($U$1,A:D,4,))/VLOOKUP($U$1,A:D,4,))*100)+100</f>
        <v/>
      </c>
      <c r="K85" s="76">
        <f>(((Table134567891011121314151617343[[#This Row],[ESP]]-VLOOKUP($U$1,A:E,5,))/VLOOKUP($U$1,A:E,5,))*100)+100</f>
        <v/>
      </c>
      <c r="L85" s="76">
        <f>(((Table134567891011121314151617343[[#This Row],[EA19]]-VLOOKUP($U$1,A:F,6,))/VLOOKUP($U$1,A:F,6,))*100)+100</f>
        <v/>
      </c>
      <c r="M85" s="76">
        <f>(((Table134567891011121314151617343[[#This Row],[GBR]]-VLOOKUP($U$1,A:G,7,))/VLOOKUP($U$1,A:G,7,))*100)+100</f>
        <v/>
      </c>
      <c r="N85" s="76">
        <f>IF(VLOOKUP(A85,Database!$A:$AU,MATCH($N$1,Database!$A$1:$AU$1,0),FALSE)=0,#N/A,VLOOKUP(A85,Database!$A:$AU,MATCH($N$1,Database!$A$1:$AU$1,0),FALSE))</f>
        <v/>
      </c>
      <c r="O85" s="76">
        <f>(((Table134567891011121314151617343[[#This Row],[USA]]-VLOOKUP($U$1,A:N,14,))/VLOOKUP($U$1,A:N,14,))*100)+100</f>
        <v/>
      </c>
      <c r="P85" s="76">
        <f>IF(VLOOKUP(A85,Database!$A:$AS,MATCH($P$1,Database!$A$1:$AS$1,0),FALSE)=0,#N/A,VLOOKUP(A85,Database!$A:$AS,MATCH($P$1,Database!$A$1:$AS$1,0),FALSE))</f>
        <v/>
      </c>
      <c r="Q85" s="76">
        <f>(((Table134567891011121314151617343[[#This Row],[JPN]]-VLOOKUP($U$1,A:Q,16,))/VLOOKUP($U$1,A:Q,16,))*100)+100</f>
        <v/>
      </c>
    </row>
    <row r="86" customFormat="1" s="86">
      <c r="A86" s="21" t="n">
        <v>35431</v>
      </c>
      <c r="B86" s="76">
        <f>IF(VLOOKUP(A86,Database!$A:$AS,MATCH($B$1,Database!$A$1:$AS$1,0),FALSE)=0,#N/A,VLOOKUP(A86,Database!$A:$AS,MATCH($B$1,Database!$A$1:$AS$1,0),FALSE))</f>
        <v/>
      </c>
      <c r="C86" s="76">
        <f>IF(VLOOKUP(A86,Database!$A:$AS,MATCH($C$1,Database!$A$1:$AS$1,0),FALSE)=0,#N/A,VLOOKUP(A86,Database!$A:$AS,MATCH($C$1,Database!$A$1:$AS$1,0),FALSE))</f>
        <v/>
      </c>
      <c r="D86" s="76">
        <f>IF(VLOOKUP(A86,Database!$A:$AS,MATCH($D$1,Database!$A$1:$AS$1,0),FALSE)=0,#N/A,VLOOKUP(A86,Database!$A:$AS,MATCH($D$1,Database!$A$1:$AS$1,0),FALSE))</f>
        <v/>
      </c>
      <c r="E86" s="76">
        <f>IF(VLOOKUP(A86,Database!$A:$AS,MATCH($E$1,Database!$A$1:$AS$1,0),FALSE)=0,#N/A,VLOOKUP(A86,Database!$A:$AS,MATCH($E$1,Database!$A$1:$AS$1,0),FALSE))</f>
        <v/>
      </c>
      <c r="F86" s="76">
        <f>IF(VLOOKUP(A86,Database!$A:$AS,MATCH($F$1,Database!$A$1:$AS$1,0),FALSE)=0,#N/A,VLOOKUP(A86,Database!$A:$AS,MATCH($F$1,Database!$A$1:$AS$1,0),FALSE))</f>
        <v/>
      </c>
      <c r="G86" s="76">
        <f>IF(VLOOKUP(A86,Database!$A:$AS,MATCH($G$1,Database!$A$1:$AS$1,0),FALSE)=0,#N/A,VLOOKUP(A86,Database!$A:$AS,MATCH($G$1,Database!$A$1:$AS$1,0),FALSE))</f>
        <v/>
      </c>
      <c r="H86" s="76">
        <f>(((Table134567891011121314151617343[[#This Row],[ITA]]-VLOOKUP($U$1,A:B,2,))/VLOOKUP($U$1,A:B,2,))*100)+100</f>
        <v/>
      </c>
      <c r="I86" s="76">
        <f>(((Table134567891011121314151617343[[#This Row],[FRA]]-VLOOKUP($U$1,A:C,3,))/VLOOKUP($U$1,A:C,3,))*100)+100</f>
        <v/>
      </c>
      <c r="J86" s="76">
        <f>(((Table134567891011121314151617343[[#This Row],[DEU]]-VLOOKUP($U$1,A:D,4,))/VLOOKUP($U$1,A:D,4,))*100)+100</f>
        <v/>
      </c>
      <c r="K86" s="76">
        <f>(((Table134567891011121314151617343[[#This Row],[ESP]]-VLOOKUP($U$1,A:E,5,))/VLOOKUP($U$1,A:E,5,))*100)+100</f>
        <v/>
      </c>
      <c r="L86" s="76">
        <f>(((Table134567891011121314151617343[[#This Row],[EA19]]-VLOOKUP($U$1,A:F,6,))/VLOOKUP($U$1,A:F,6,))*100)+100</f>
        <v/>
      </c>
      <c r="M86" s="76">
        <f>(((Table134567891011121314151617343[[#This Row],[GBR]]-VLOOKUP($U$1,A:G,7,))/VLOOKUP($U$1,A:G,7,))*100)+100</f>
        <v/>
      </c>
      <c r="N86" s="76">
        <f>IF(VLOOKUP(A86,Database!$A:$AU,MATCH($N$1,Database!$A$1:$AU$1,0),FALSE)=0,#N/A,VLOOKUP(A86,Database!$A:$AU,MATCH($N$1,Database!$A$1:$AU$1,0),FALSE))</f>
        <v/>
      </c>
      <c r="O86" s="76">
        <f>(((Table134567891011121314151617343[[#This Row],[USA]]-VLOOKUP($U$1,A:N,14,))/VLOOKUP($U$1,A:N,14,))*100)+100</f>
        <v/>
      </c>
      <c r="P86" s="76">
        <f>IF(VLOOKUP(A86,Database!$A:$AS,MATCH($P$1,Database!$A$1:$AS$1,0),FALSE)=0,#N/A,VLOOKUP(A86,Database!$A:$AS,MATCH($P$1,Database!$A$1:$AS$1,0),FALSE))</f>
        <v/>
      </c>
      <c r="Q86" s="76">
        <f>(((Table134567891011121314151617343[[#This Row],[JPN]]-VLOOKUP($U$1,A:Q,16,))/VLOOKUP($U$1,A:Q,16,))*100)+100</f>
        <v/>
      </c>
    </row>
    <row r="87" customFormat="1" s="86">
      <c r="A87" s="21" t="n">
        <v>35462</v>
      </c>
      <c r="B87" s="76">
        <f>IF(VLOOKUP(A87,Database!$A:$AS,MATCH($B$1,Database!$A$1:$AS$1,0),FALSE)=0,#N/A,VLOOKUP(A87,Database!$A:$AS,MATCH($B$1,Database!$A$1:$AS$1,0),FALSE))</f>
        <v/>
      </c>
      <c r="C87" s="76">
        <f>IF(VLOOKUP(A87,Database!$A:$AS,MATCH($C$1,Database!$A$1:$AS$1,0),FALSE)=0,#N/A,VLOOKUP(A87,Database!$A:$AS,MATCH($C$1,Database!$A$1:$AS$1,0),FALSE))</f>
        <v/>
      </c>
      <c r="D87" s="76">
        <f>IF(VLOOKUP(A87,Database!$A:$AS,MATCH($D$1,Database!$A$1:$AS$1,0),FALSE)=0,#N/A,VLOOKUP(A87,Database!$A:$AS,MATCH($D$1,Database!$A$1:$AS$1,0),FALSE))</f>
        <v/>
      </c>
      <c r="E87" s="76">
        <f>IF(VLOOKUP(A87,Database!$A:$AS,MATCH($E$1,Database!$A$1:$AS$1,0),FALSE)=0,#N/A,VLOOKUP(A87,Database!$A:$AS,MATCH($E$1,Database!$A$1:$AS$1,0),FALSE))</f>
        <v/>
      </c>
      <c r="F87" s="76">
        <f>IF(VLOOKUP(A87,Database!$A:$AS,MATCH($F$1,Database!$A$1:$AS$1,0),FALSE)=0,#N/A,VLOOKUP(A87,Database!$A:$AS,MATCH($F$1,Database!$A$1:$AS$1,0),FALSE))</f>
        <v/>
      </c>
      <c r="G87" s="76">
        <f>IF(VLOOKUP(A87,Database!$A:$AS,MATCH($G$1,Database!$A$1:$AS$1,0),FALSE)=0,#N/A,VLOOKUP(A87,Database!$A:$AS,MATCH($G$1,Database!$A$1:$AS$1,0),FALSE))</f>
        <v/>
      </c>
      <c r="H87" s="76">
        <f>(((Table134567891011121314151617343[[#This Row],[ITA]]-VLOOKUP($U$1,A:B,2,))/VLOOKUP($U$1,A:B,2,))*100)+100</f>
        <v/>
      </c>
      <c r="I87" s="76">
        <f>(((Table134567891011121314151617343[[#This Row],[FRA]]-VLOOKUP($U$1,A:C,3,))/VLOOKUP($U$1,A:C,3,))*100)+100</f>
        <v/>
      </c>
      <c r="J87" s="76">
        <f>(((Table134567891011121314151617343[[#This Row],[DEU]]-VLOOKUP($U$1,A:D,4,))/VLOOKUP($U$1,A:D,4,))*100)+100</f>
        <v/>
      </c>
      <c r="K87" s="76">
        <f>(((Table134567891011121314151617343[[#This Row],[ESP]]-VLOOKUP($U$1,A:E,5,))/VLOOKUP($U$1,A:E,5,))*100)+100</f>
        <v/>
      </c>
      <c r="L87" s="76">
        <f>(((Table134567891011121314151617343[[#This Row],[EA19]]-VLOOKUP($U$1,A:F,6,))/VLOOKUP($U$1,A:F,6,))*100)+100</f>
        <v/>
      </c>
      <c r="M87" s="76">
        <f>(((Table134567891011121314151617343[[#This Row],[GBR]]-VLOOKUP($U$1,A:G,7,))/VLOOKUP($U$1,A:G,7,))*100)+100</f>
        <v/>
      </c>
      <c r="N87" s="76">
        <f>IF(VLOOKUP(A87,Database!$A:$AU,MATCH($N$1,Database!$A$1:$AU$1,0),FALSE)=0,#N/A,VLOOKUP(A87,Database!$A:$AU,MATCH($N$1,Database!$A$1:$AU$1,0),FALSE))</f>
        <v/>
      </c>
      <c r="O87" s="76">
        <f>(((Table134567891011121314151617343[[#This Row],[USA]]-VLOOKUP($U$1,A:N,14,))/VLOOKUP($U$1,A:N,14,))*100)+100</f>
        <v/>
      </c>
      <c r="P87" s="76">
        <f>IF(VLOOKUP(A87,Database!$A:$AS,MATCH($P$1,Database!$A$1:$AS$1,0),FALSE)=0,#N/A,VLOOKUP(A87,Database!$A:$AS,MATCH($P$1,Database!$A$1:$AS$1,0),FALSE))</f>
        <v/>
      </c>
      <c r="Q87" s="76">
        <f>(((Table134567891011121314151617343[[#This Row],[JPN]]-VLOOKUP($U$1,A:Q,16,))/VLOOKUP($U$1,A:Q,16,))*100)+100</f>
        <v/>
      </c>
    </row>
    <row r="88" customFormat="1" s="86">
      <c r="A88" s="21" t="n">
        <v>35490</v>
      </c>
      <c r="B88" s="76">
        <f>IF(VLOOKUP(A88,Database!$A:$AS,MATCH($B$1,Database!$A$1:$AS$1,0),FALSE)=0,#N/A,VLOOKUP(A88,Database!$A:$AS,MATCH($B$1,Database!$A$1:$AS$1,0),FALSE))</f>
        <v/>
      </c>
      <c r="C88" s="76">
        <f>IF(VLOOKUP(A88,Database!$A:$AS,MATCH($C$1,Database!$A$1:$AS$1,0),FALSE)=0,#N/A,VLOOKUP(A88,Database!$A:$AS,MATCH($C$1,Database!$A$1:$AS$1,0),FALSE))</f>
        <v/>
      </c>
      <c r="D88" s="76">
        <f>IF(VLOOKUP(A88,Database!$A:$AS,MATCH($D$1,Database!$A$1:$AS$1,0),FALSE)=0,#N/A,VLOOKUP(A88,Database!$A:$AS,MATCH($D$1,Database!$A$1:$AS$1,0),FALSE))</f>
        <v/>
      </c>
      <c r="E88" s="76">
        <f>IF(VLOOKUP(A88,Database!$A:$AS,MATCH($E$1,Database!$A$1:$AS$1,0),FALSE)=0,#N/A,VLOOKUP(A88,Database!$A:$AS,MATCH($E$1,Database!$A$1:$AS$1,0),FALSE))</f>
        <v/>
      </c>
      <c r="F88" s="76">
        <f>IF(VLOOKUP(A88,Database!$A:$AS,MATCH($F$1,Database!$A$1:$AS$1,0),FALSE)=0,#N/A,VLOOKUP(A88,Database!$A:$AS,MATCH($F$1,Database!$A$1:$AS$1,0),FALSE))</f>
        <v/>
      </c>
      <c r="G88" s="76">
        <f>IF(VLOOKUP(A88,Database!$A:$AS,MATCH($G$1,Database!$A$1:$AS$1,0),FALSE)=0,#N/A,VLOOKUP(A88,Database!$A:$AS,MATCH($G$1,Database!$A$1:$AS$1,0),FALSE))</f>
        <v/>
      </c>
      <c r="H88" s="76">
        <f>(((Table134567891011121314151617343[[#This Row],[ITA]]-VLOOKUP($U$1,A:B,2,))/VLOOKUP($U$1,A:B,2,))*100)+100</f>
        <v/>
      </c>
      <c r="I88" s="76">
        <f>(((Table134567891011121314151617343[[#This Row],[FRA]]-VLOOKUP($U$1,A:C,3,))/VLOOKUP($U$1,A:C,3,))*100)+100</f>
        <v/>
      </c>
      <c r="J88" s="76">
        <f>(((Table134567891011121314151617343[[#This Row],[DEU]]-VLOOKUP($U$1,A:D,4,))/VLOOKUP($U$1,A:D,4,))*100)+100</f>
        <v/>
      </c>
      <c r="K88" s="76">
        <f>(((Table134567891011121314151617343[[#This Row],[ESP]]-VLOOKUP($U$1,A:E,5,))/VLOOKUP($U$1,A:E,5,))*100)+100</f>
        <v/>
      </c>
      <c r="L88" s="76">
        <f>(((Table134567891011121314151617343[[#This Row],[EA19]]-VLOOKUP($U$1,A:F,6,))/VLOOKUP($U$1,A:F,6,))*100)+100</f>
        <v/>
      </c>
      <c r="M88" s="76">
        <f>(((Table134567891011121314151617343[[#This Row],[GBR]]-VLOOKUP($U$1,A:G,7,))/VLOOKUP($U$1,A:G,7,))*100)+100</f>
        <v/>
      </c>
      <c r="N88" s="76">
        <f>IF(VLOOKUP(A88,Database!$A:$AU,MATCH($N$1,Database!$A$1:$AU$1,0),FALSE)=0,#N/A,VLOOKUP(A88,Database!$A:$AU,MATCH($N$1,Database!$A$1:$AU$1,0),FALSE))</f>
        <v/>
      </c>
      <c r="O88" s="76">
        <f>(((Table134567891011121314151617343[[#This Row],[USA]]-VLOOKUP($U$1,A:N,14,))/VLOOKUP($U$1,A:N,14,))*100)+100</f>
        <v/>
      </c>
      <c r="P88" s="76">
        <f>IF(VLOOKUP(A88,Database!$A:$AS,MATCH($P$1,Database!$A$1:$AS$1,0),FALSE)=0,#N/A,VLOOKUP(A88,Database!$A:$AS,MATCH($P$1,Database!$A$1:$AS$1,0),FALSE))</f>
        <v/>
      </c>
      <c r="Q88" s="76">
        <f>(((Table134567891011121314151617343[[#This Row],[JPN]]-VLOOKUP($U$1,A:Q,16,))/VLOOKUP($U$1,A:Q,16,))*100)+100</f>
        <v/>
      </c>
    </row>
    <row r="89" customFormat="1" s="86">
      <c r="A89" s="21" t="n">
        <v>35521</v>
      </c>
      <c r="B89" s="76">
        <f>IF(VLOOKUP(A89,Database!$A:$AS,MATCH($B$1,Database!$A$1:$AS$1,0),FALSE)=0,#N/A,VLOOKUP(A89,Database!$A:$AS,MATCH($B$1,Database!$A$1:$AS$1,0),FALSE))</f>
        <v/>
      </c>
      <c r="C89" s="76">
        <f>IF(VLOOKUP(A89,Database!$A:$AS,MATCH($C$1,Database!$A$1:$AS$1,0),FALSE)=0,#N/A,VLOOKUP(A89,Database!$A:$AS,MATCH($C$1,Database!$A$1:$AS$1,0),FALSE))</f>
        <v/>
      </c>
      <c r="D89" s="76">
        <f>IF(VLOOKUP(A89,Database!$A:$AS,MATCH($D$1,Database!$A$1:$AS$1,0),FALSE)=0,#N/A,VLOOKUP(A89,Database!$A:$AS,MATCH($D$1,Database!$A$1:$AS$1,0),FALSE))</f>
        <v/>
      </c>
      <c r="E89" s="76">
        <f>IF(VLOOKUP(A89,Database!$A:$AS,MATCH($E$1,Database!$A$1:$AS$1,0),FALSE)=0,#N/A,VLOOKUP(A89,Database!$A:$AS,MATCH($E$1,Database!$A$1:$AS$1,0),FALSE))</f>
        <v/>
      </c>
      <c r="F89" s="76">
        <f>IF(VLOOKUP(A89,Database!$A:$AS,MATCH($F$1,Database!$A$1:$AS$1,0),FALSE)=0,#N/A,VLOOKUP(A89,Database!$A:$AS,MATCH($F$1,Database!$A$1:$AS$1,0),FALSE))</f>
        <v/>
      </c>
      <c r="G89" s="76">
        <f>IF(VLOOKUP(A89,Database!$A:$AS,MATCH($G$1,Database!$A$1:$AS$1,0),FALSE)=0,#N/A,VLOOKUP(A89,Database!$A:$AS,MATCH($G$1,Database!$A$1:$AS$1,0),FALSE))</f>
        <v/>
      </c>
      <c r="H89" s="76">
        <f>(((Table134567891011121314151617343[[#This Row],[ITA]]-VLOOKUP($U$1,A:B,2,))/VLOOKUP($U$1,A:B,2,))*100)+100</f>
        <v/>
      </c>
      <c r="I89" s="76">
        <f>(((Table134567891011121314151617343[[#This Row],[FRA]]-VLOOKUP($U$1,A:C,3,))/VLOOKUP($U$1,A:C,3,))*100)+100</f>
        <v/>
      </c>
      <c r="J89" s="76">
        <f>(((Table134567891011121314151617343[[#This Row],[DEU]]-VLOOKUP($U$1,A:D,4,))/VLOOKUP($U$1,A:D,4,))*100)+100</f>
        <v/>
      </c>
      <c r="K89" s="76">
        <f>(((Table134567891011121314151617343[[#This Row],[ESP]]-VLOOKUP($U$1,A:E,5,))/VLOOKUP($U$1,A:E,5,))*100)+100</f>
        <v/>
      </c>
      <c r="L89" s="76">
        <f>(((Table134567891011121314151617343[[#This Row],[EA19]]-VLOOKUP($U$1,A:F,6,))/VLOOKUP($U$1,A:F,6,))*100)+100</f>
        <v/>
      </c>
      <c r="M89" s="76">
        <f>(((Table134567891011121314151617343[[#This Row],[GBR]]-VLOOKUP($U$1,A:G,7,))/VLOOKUP($U$1,A:G,7,))*100)+100</f>
        <v/>
      </c>
      <c r="N89" s="76">
        <f>IF(VLOOKUP(A89,Database!$A:$AU,MATCH($N$1,Database!$A$1:$AU$1,0),FALSE)=0,#N/A,VLOOKUP(A89,Database!$A:$AU,MATCH($N$1,Database!$A$1:$AU$1,0),FALSE))</f>
        <v/>
      </c>
      <c r="O89" s="76">
        <f>(((Table134567891011121314151617343[[#This Row],[USA]]-VLOOKUP($U$1,A:N,14,))/VLOOKUP($U$1,A:N,14,))*100)+100</f>
        <v/>
      </c>
      <c r="P89" s="76">
        <f>IF(VLOOKUP(A89,Database!$A:$AS,MATCH($P$1,Database!$A$1:$AS$1,0),FALSE)=0,#N/A,VLOOKUP(A89,Database!$A:$AS,MATCH($P$1,Database!$A$1:$AS$1,0),FALSE))</f>
        <v/>
      </c>
      <c r="Q89" s="76">
        <f>(((Table134567891011121314151617343[[#This Row],[JPN]]-VLOOKUP($U$1,A:Q,16,))/VLOOKUP($U$1,A:Q,16,))*100)+100</f>
        <v/>
      </c>
    </row>
    <row r="90" customFormat="1" s="86">
      <c r="A90" s="21" t="n">
        <v>35551</v>
      </c>
      <c r="B90" s="76">
        <f>IF(VLOOKUP(A90,Database!$A:$AS,MATCH($B$1,Database!$A$1:$AS$1,0),FALSE)=0,#N/A,VLOOKUP(A90,Database!$A:$AS,MATCH($B$1,Database!$A$1:$AS$1,0),FALSE))</f>
        <v/>
      </c>
      <c r="C90" s="76">
        <f>IF(VLOOKUP(A90,Database!$A:$AS,MATCH($C$1,Database!$A$1:$AS$1,0),FALSE)=0,#N/A,VLOOKUP(A90,Database!$A:$AS,MATCH($C$1,Database!$A$1:$AS$1,0),FALSE))</f>
        <v/>
      </c>
      <c r="D90" s="76">
        <f>IF(VLOOKUP(A90,Database!$A:$AS,MATCH($D$1,Database!$A$1:$AS$1,0),FALSE)=0,#N/A,VLOOKUP(A90,Database!$A:$AS,MATCH($D$1,Database!$A$1:$AS$1,0),FALSE))</f>
        <v/>
      </c>
      <c r="E90" s="76">
        <f>IF(VLOOKUP(A90,Database!$A:$AS,MATCH($E$1,Database!$A$1:$AS$1,0),FALSE)=0,#N/A,VLOOKUP(A90,Database!$A:$AS,MATCH($E$1,Database!$A$1:$AS$1,0),FALSE))</f>
        <v/>
      </c>
      <c r="F90" s="76">
        <f>IF(VLOOKUP(A90,Database!$A:$AS,MATCH($F$1,Database!$A$1:$AS$1,0),FALSE)=0,#N/A,VLOOKUP(A90,Database!$A:$AS,MATCH($F$1,Database!$A$1:$AS$1,0),FALSE))</f>
        <v/>
      </c>
      <c r="G90" s="76">
        <f>IF(VLOOKUP(A90,Database!$A:$AS,MATCH($G$1,Database!$A$1:$AS$1,0),FALSE)=0,#N/A,VLOOKUP(A90,Database!$A:$AS,MATCH($G$1,Database!$A$1:$AS$1,0),FALSE))</f>
        <v/>
      </c>
      <c r="H90" s="76">
        <f>(((Table134567891011121314151617343[[#This Row],[ITA]]-VLOOKUP($U$1,A:B,2,))/VLOOKUP($U$1,A:B,2,))*100)+100</f>
        <v/>
      </c>
      <c r="I90" s="76">
        <f>(((Table134567891011121314151617343[[#This Row],[FRA]]-VLOOKUP($U$1,A:C,3,))/VLOOKUP($U$1,A:C,3,))*100)+100</f>
        <v/>
      </c>
      <c r="J90" s="76">
        <f>(((Table134567891011121314151617343[[#This Row],[DEU]]-VLOOKUP($U$1,A:D,4,))/VLOOKUP($U$1,A:D,4,))*100)+100</f>
        <v/>
      </c>
      <c r="K90" s="76">
        <f>(((Table134567891011121314151617343[[#This Row],[ESP]]-VLOOKUP($U$1,A:E,5,))/VLOOKUP($U$1,A:E,5,))*100)+100</f>
        <v/>
      </c>
      <c r="L90" s="76">
        <f>(((Table134567891011121314151617343[[#This Row],[EA19]]-VLOOKUP($U$1,A:F,6,))/VLOOKUP($U$1,A:F,6,))*100)+100</f>
        <v/>
      </c>
      <c r="M90" s="76">
        <f>(((Table134567891011121314151617343[[#This Row],[GBR]]-VLOOKUP($U$1,A:G,7,))/VLOOKUP($U$1,A:G,7,))*100)+100</f>
        <v/>
      </c>
      <c r="N90" s="76">
        <f>IF(VLOOKUP(A90,Database!$A:$AU,MATCH($N$1,Database!$A$1:$AU$1,0),FALSE)=0,#N/A,VLOOKUP(A90,Database!$A:$AU,MATCH($N$1,Database!$A$1:$AU$1,0),FALSE))</f>
        <v/>
      </c>
      <c r="O90" s="76">
        <f>(((Table134567891011121314151617343[[#This Row],[USA]]-VLOOKUP($U$1,A:N,14,))/VLOOKUP($U$1,A:N,14,))*100)+100</f>
        <v/>
      </c>
      <c r="P90" s="76">
        <f>IF(VLOOKUP(A90,Database!$A:$AS,MATCH($P$1,Database!$A$1:$AS$1,0),FALSE)=0,#N/A,VLOOKUP(A90,Database!$A:$AS,MATCH($P$1,Database!$A$1:$AS$1,0),FALSE))</f>
        <v/>
      </c>
      <c r="Q90" s="76">
        <f>(((Table134567891011121314151617343[[#This Row],[JPN]]-VLOOKUP($U$1,A:Q,16,))/VLOOKUP($U$1,A:Q,16,))*100)+100</f>
        <v/>
      </c>
    </row>
    <row r="91" customFormat="1" s="86">
      <c r="A91" s="21" t="n">
        <v>35582</v>
      </c>
      <c r="B91" s="76">
        <f>IF(VLOOKUP(A91,Database!$A:$AS,MATCH($B$1,Database!$A$1:$AS$1,0),FALSE)=0,#N/A,VLOOKUP(A91,Database!$A:$AS,MATCH($B$1,Database!$A$1:$AS$1,0),FALSE))</f>
        <v/>
      </c>
      <c r="C91" s="76">
        <f>IF(VLOOKUP(A91,Database!$A:$AS,MATCH($C$1,Database!$A$1:$AS$1,0),FALSE)=0,#N/A,VLOOKUP(A91,Database!$A:$AS,MATCH($C$1,Database!$A$1:$AS$1,0),FALSE))</f>
        <v/>
      </c>
      <c r="D91" s="76">
        <f>IF(VLOOKUP(A91,Database!$A:$AS,MATCH($D$1,Database!$A$1:$AS$1,0),FALSE)=0,#N/A,VLOOKUP(A91,Database!$A:$AS,MATCH($D$1,Database!$A$1:$AS$1,0),FALSE))</f>
        <v/>
      </c>
      <c r="E91" s="76">
        <f>IF(VLOOKUP(A91,Database!$A:$AS,MATCH($E$1,Database!$A$1:$AS$1,0),FALSE)=0,#N/A,VLOOKUP(A91,Database!$A:$AS,MATCH($E$1,Database!$A$1:$AS$1,0),FALSE))</f>
        <v/>
      </c>
      <c r="F91" s="76">
        <f>IF(VLOOKUP(A91,Database!$A:$AS,MATCH($F$1,Database!$A$1:$AS$1,0),FALSE)=0,#N/A,VLOOKUP(A91,Database!$A:$AS,MATCH($F$1,Database!$A$1:$AS$1,0),FALSE))</f>
        <v/>
      </c>
      <c r="G91" s="76">
        <f>IF(VLOOKUP(A91,Database!$A:$AS,MATCH($G$1,Database!$A$1:$AS$1,0),FALSE)=0,#N/A,VLOOKUP(A91,Database!$A:$AS,MATCH($G$1,Database!$A$1:$AS$1,0),FALSE))</f>
        <v/>
      </c>
      <c r="H91" s="76">
        <f>(((Table134567891011121314151617343[[#This Row],[ITA]]-VLOOKUP($U$1,A:B,2,))/VLOOKUP($U$1,A:B,2,))*100)+100</f>
        <v/>
      </c>
      <c r="I91" s="76">
        <f>(((Table134567891011121314151617343[[#This Row],[FRA]]-VLOOKUP($U$1,A:C,3,))/VLOOKUP($U$1,A:C,3,))*100)+100</f>
        <v/>
      </c>
      <c r="J91" s="76">
        <f>(((Table134567891011121314151617343[[#This Row],[DEU]]-VLOOKUP($U$1,A:D,4,))/VLOOKUP($U$1,A:D,4,))*100)+100</f>
        <v/>
      </c>
      <c r="K91" s="76">
        <f>(((Table134567891011121314151617343[[#This Row],[ESP]]-VLOOKUP($U$1,A:E,5,))/VLOOKUP($U$1,A:E,5,))*100)+100</f>
        <v/>
      </c>
      <c r="L91" s="76">
        <f>(((Table134567891011121314151617343[[#This Row],[EA19]]-VLOOKUP($U$1,A:F,6,))/VLOOKUP($U$1,A:F,6,))*100)+100</f>
        <v/>
      </c>
      <c r="M91" s="76">
        <f>(((Table134567891011121314151617343[[#This Row],[GBR]]-VLOOKUP($U$1,A:G,7,))/VLOOKUP($U$1,A:G,7,))*100)+100</f>
        <v/>
      </c>
      <c r="N91" s="76">
        <f>IF(VLOOKUP(A91,Database!$A:$AU,MATCH($N$1,Database!$A$1:$AU$1,0),FALSE)=0,#N/A,VLOOKUP(A91,Database!$A:$AU,MATCH($N$1,Database!$A$1:$AU$1,0),FALSE))</f>
        <v/>
      </c>
      <c r="O91" s="76">
        <f>(((Table134567891011121314151617343[[#This Row],[USA]]-VLOOKUP($U$1,A:N,14,))/VLOOKUP($U$1,A:N,14,))*100)+100</f>
        <v/>
      </c>
      <c r="P91" s="76">
        <f>IF(VLOOKUP(A91,Database!$A:$AS,MATCH($P$1,Database!$A$1:$AS$1,0),FALSE)=0,#N/A,VLOOKUP(A91,Database!$A:$AS,MATCH($P$1,Database!$A$1:$AS$1,0),FALSE))</f>
        <v/>
      </c>
      <c r="Q91" s="76">
        <f>(((Table134567891011121314151617343[[#This Row],[JPN]]-VLOOKUP($U$1,A:Q,16,))/VLOOKUP($U$1,A:Q,16,))*100)+100</f>
        <v/>
      </c>
    </row>
    <row r="92" customFormat="1" s="86">
      <c r="A92" s="21" t="n">
        <v>35612</v>
      </c>
      <c r="B92" s="76">
        <f>IF(VLOOKUP(A92,Database!$A:$AS,MATCH($B$1,Database!$A$1:$AS$1,0),FALSE)=0,#N/A,VLOOKUP(A92,Database!$A:$AS,MATCH($B$1,Database!$A$1:$AS$1,0),FALSE))</f>
        <v/>
      </c>
      <c r="C92" s="76">
        <f>IF(VLOOKUP(A92,Database!$A:$AS,MATCH($C$1,Database!$A$1:$AS$1,0),FALSE)=0,#N/A,VLOOKUP(A92,Database!$A:$AS,MATCH($C$1,Database!$A$1:$AS$1,0),FALSE))</f>
        <v/>
      </c>
      <c r="D92" s="76">
        <f>IF(VLOOKUP(A92,Database!$A:$AS,MATCH($D$1,Database!$A$1:$AS$1,0),FALSE)=0,#N/A,VLOOKUP(A92,Database!$A:$AS,MATCH($D$1,Database!$A$1:$AS$1,0),FALSE))</f>
        <v/>
      </c>
      <c r="E92" s="76">
        <f>IF(VLOOKUP(A92,Database!$A:$AS,MATCH($E$1,Database!$A$1:$AS$1,0),FALSE)=0,#N/A,VLOOKUP(A92,Database!$A:$AS,MATCH($E$1,Database!$A$1:$AS$1,0),FALSE))</f>
        <v/>
      </c>
      <c r="F92" s="76">
        <f>IF(VLOOKUP(A92,Database!$A:$AS,MATCH($F$1,Database!$A$1:$AS$1,0),FALSE)=0,#N/A,VLOOKUP(A92,Database!$A:$AS,MATCH($F$1,Database!$A$1:$AS$1,0),FALSE))</f>
        <v/>
      </c>
      <c r="G92" s="76">
        <f>IF(VLOOKUP(A92,Database!$A:$AS,MATCH($G$1,Database!$A$1:$AS$1,0),FALSE)=0,#N/A,VLOOKUP(A92,Database!$A:$AS,MATCH($G$1,Database!$A$1:$AS$1,0),FALSE))</f>
        <v/>
      </c>
      <c r="H92" s="76">
        <f>(((Table134567891011121314151617343[[#This Row],[ITA]]-VLOOKUP($U$1,A:B,2,))/VLOOKUP($U$1,A:B,2,))*100)+100</f>
        <v/>
      </c>
      <c r="I92" s="76">
        <f>(((Table134567891011121314151617343[[#This Row],[FRA]]-VLOOKUP($U$1,A:C,3,))/VLOOKUP($U$1,A:C,3,))*100)+100</f>
        <v/>
      </c>
      <c r="J92" s="76">
        <f>(((Table134567891011121314151617343[[#This Row],[DEU]]-VLOOKUP($U$1,A:D,4,))/VLOOKUP($U$1,A:D,4,))*100)+100</f>
        <v/>
      </c>
      <c r="K92" s="76">
        <f>(((Table134567891011121314151617343[[#This Row],[ESP]]-VLOOKUP($U$1,A:E,5,))/VLOOKUP($U$1,A:E,5,))*100)+100</f>
        <v/>
      </c>
      <c r="L92" s="76">
        <f>(((Table134567891011121314151617343[[#This Row],[EA19]]-VLOOKUP($U$1,A:F,6,))/VLOOKUP($U$1,A:F,6,))*100)+100</f>
        <v/>
      </c>
      <c r="M92" s="76">
        <f>(((Table134567891011121314151617343[[#This Row],[GBR]]-VLOOKUP($U$1,A:G,7,))/VLOOKUP($U$1,A:G,7,))*100)+100</f>
        <v/>
      </c>
      <c r="N92" s="76">
        <f>IF(VLOOKUP(A92,Database!$A:$AU,MATCH($N$1,Database!$A$1:$AU$1,0),FALSE)=0,#N/A,VLOOKUP(A92,Database!$A:$AU,MATCH($N$1,Database!$A$1:$AU$1,0),FALSE))</f>
        <v/>
      </c>
      <c r="O92" s="76">
        <f>(((Table134567891011121314151617343[[#This Row],[USA]]-VLOOKUP($U$1,A:N,14,))/VLOOKUP($U$1,A:N,14,))*100)+100</f>
        <v/>
      </c>
      <c r="P92" s="76">
        <f>IF(VLOOKUP(A92,Database!$A:$AS,MATCH($P$1,Database!$A$1:$AS$1,0),FALSE)=0,#N/A,VLOOKUP(A92,Database!$A:$AS,MATCH($P$1,Database!$A$1:$AS$1,0),FALSE))</f>
        <v/>
      </c>
      <c r="Q92" s="76">
        <f>(((Table134567891011121314151617343[[#This Row],[JPN]]-VLOOKUP($U$1,A:Q,16,))/VLOOKUP($U$1,A:Q,16,))*100)+100</f>
        <v/>
      </c>
    </row>
    <row r="93" customFormat="1" s="86">
      <c r="A93" s="21" t="n">
        <v>35643</v>
      </c>
      <c r="B93" s="76">
        <f>IF(VLOOKUP(A93,Database!$A:$AS,MATCH($B$1,Database!$A$1:$AS$1,0),FALSE)=0,#N/A,VLOOKUP(A93,Database!$A:$AS,MATCH($B$1,Database!$A$1:$AS$1,0),FALSE))</f>
        <v/>
      </c>
      <c r="C93" s="76">
        <f>IF(VLOOKUP(A93,Database!$A:$AS,MATCH($C$1,Database!$A$1:$AS$1,0),FALSE)=0,#N/A,VLOOKUP(A93,Database!$A:$AS,MATCH($C$1,Database!$A$1:$AS$1,0),FALSE))</f>
        <v/>
      </c>
      <c r="D93" s="76">
        <f>IF(VLOOKUP(A93,Database!$A:$AS,MATCH($D$1,Database!$A$1:$AS$1,0),FALSE)=0,#N/A,VLOOKUP(A93,Database!$A:$AS,MATCH($D$1,Database!$A$1:$AS$1,0),FALSE))</f>
        <v/>
      </c>
      <c r="E93" s="76">
        <f>IF(VLOOKUP(A93,Database!$A:$AS,MATCH($E$1,Database!$A$1:$AS$1,0),FALSE)=0,#N/A,VLOOKUP(A93,Database!$A:$AS,MATCH($E$1,Database!$A$1:$AS$1,0),FALSE))</f>
        <v/>
      </c>
      <c r="F93" s="76">
        <f>IF(VLOOKUP(A93,Database!$A:$AS,MATCH($F$1,Database!$A$1:$AS$1,0),FALSE)=0,#N/A,VLOOKUP(A93,Database!$A:$AS,MATCH($F$1,Database!$A$1:$AS$1,0),FALSE))</f>
        <v/>
      </c>
      <c r="G93" s="76">
        <f>IF(VLOOKUP(A93,Database!$A:$AS,MATCH($G$1,Database!$A$1:$AS$1,0),FALSE)=0,#N/A,VLOOKUP(A93,Database!$A:$AS,MATCH($G$1,Database!$A$1:$AS$1,0),FALSE))</f>
        <v/>
      </c>
      <c r="H93" s="76">
        <f>(((Table134567891011121314151617343[[#This Row],[ITA]]-VLOOKUP($U$1,A:B,2,))/VLOOKUP($U$1,A:B,2,))*100)+100</f>
        <v/>
      </c>
      <c r="I93" s="76">
        <f>(((Table134567891011121314151617343[[#This Row],[FRA]]-VLOOKUP($U$1,A:C,3,))/VLOOKUP($U$1,A:C,3,))*100)+100</f>
        <v/>
      </c>
      <c r="J93" s="76">
        <f>(((Table134567891011121314151617343[[#This Row],[DEU]]-VLOOKUP($U$1,A:D,4,))/VLOOKUP($U$1,A:D,4,))*100)+100</f>
        <v/>
      </c>
      <c r="K93" s="76">
        <f>(((Table134567891011121314151617343[[#This Row],[ESP]]-VLOOKUP($U$1,A:E,5,))/VLOOKUP($U$1,A:E,5,))*100)+100</f>
        <v/>
      </c>
      <c r="L93" s="76">
        <f>(((Table134567891011121314151617343[[#This Row],[EA19]]-VLOOKUP($U$1,A:F,6,))/VLOOKUP($U$1,A:F,6,))*100)+100</f>
        <v/>
      </c>
      <c r="M93" s="76">
        <f>(((Table134567891011121314151617343[[#This Row],[GBR]]-VLOOKUP($U$1,A:G,7,))/VLOOKUP($U$1,A:G,7,))*100)+100</f>
        <v/>
      </c>
      <c r="N93" s="76">
        <f>IF(VLOOKUP(A93,Database!$A:$AU,MATCH($N$1,Database!$A$1:$AU$1,0),FALSE)=0,#N/A,VLOOKUP(A93,Database!$A:$AU,MATCH($N$1,Database!$A$1:$AU$1,0),FALSE))</f>
        <v/>
      </c>
      <c r="O93" s="76">
        <f>(((Table134567891011121314151617343[[#This Row],[USA]]-VLOOKUP($U$1,A:N,14,))/VLOOKUP($U$1,A:N,14,))*100)+100</f>
        <v/>
      </c>
      <c r="P93" s="76">
        <f>IF(VLOOKUP(A93,Database!$A:$AS,MATCH($P$1,Database!$A$1:$AS$1,0),FALSE)=0,#N/A,VLOOKUP(A93,Database!$A:$AS,MATCH($P$1,Database!$A$1:$AS$1,0),FALSE))</f>
        <v/>
      </c>
      <c r="Q93" s="76">
        <f>(((Table134567891011121314151617343[[#This Row],[JPN]]-VLOOKUP($U$1,A:Q,16,))/VLOOKUP($U$1,A:Q,16,))*100)+100</f>
        <v/>
      </c>
    </row>
    <row r="94" customFormat="1" s="86">
      <c r="A94" s="21" t="n">
        <v>35674</v>
      </c>
      <c r="B94" s="76">
        <f>IF(VLOOKUP(A94,Database!$A:$AS,MATCH($B$1,Database!$A$1:$AS$1,0),FALSE)=0,#N/A,VLOOKUP(A94,Database!$A:$AS,MATCH($B$1,Database!$A$1:$AS$1,0),FALSE))</f>
        <v/>
      </c>
      <c r="C94" s="76">
        <f>IF(VLOOKUP(A94,Database!$A:$AS,MATCH($C$1,Database!$A$1:$AS$1,0),FALSE)=0,#N/A,VLOOKUP(A94,Database!$A:$AS,MATCH($C$1,Database!$A$1:$AS$1,0),FALSE))</f>
        <v/>
      </c>
      <c r="D94" s="76">
        <f>IF(VLOOKUP(A94,Database!$A:$AS,MATCH($D$1,Database!$A$1:$AS$1,0),FALSE)=0,#N/A,VLOOKUP(A94,Database!$A:$AS,MATCH($D$1,Database!$A$1:$AS$1,0),FALSE))</f>
        <v/>
      </c>
      <c r="E94" s="76">
        <f>IF(VLOOKUP(A94,Database!$A:$AS,MATCH($E$1,Database!$A$1:$AS$1,0),FALSE)=0,#N/A,VLOOKUP(A94,Database!$A:$AS,MATCH($E$1,Database!$A$1:$AS$1,0),FALSE))</f>
        <v/>
      </c>
      <c r="F94" s="76">
        <f>IF(VLOOKUP(A94,Database!$A:$AS,MATCH($F$1,Database!$A$1:$AS$1,0),FALSE)=0,#N/A,VLOOKUP(A94,Database!$A:$AS,MATCH($F$1,Database!$A$1:$AS$1,0),FALSE))</f>
        <v/>
      </c>
      <c r="G94" s="76">
        <f>IF(VLOOKUP(A94,Database!$A:$AS,MATCH($G$1,Database!$A$1:$AS$1,0),FALSE)=0,#N/A,VLOOKUP(A94,Database!$A:$AS,MATCH($G$1,Database!$A$1:$AS$1,0),FALSE))</f>
        <v/>
      </c>
      <c r="H94" s="76">
        <f>(((Table134567891011121314151617343[[#This Row],[ITA]]-VLOOKUP($U$1,A:B,2,))/VLOOKUP($U$1,A:B,2,))*100)+100</f>
        <v/>
      </c>
      <c r="I94" s="76">
        <f>(((Table134567891011121314151617343[[#This Row],[FRA]]-VLOOKUP($U$1,A:C,3,))/VLOOKUP($U$1,A:C,3,))*100)+100</f>
        <v/>
      </c>
      <c r="J94" s="76">
        <f>(((Table134567891011121314151617343[[#This Row],[DEU]]-VLOOKUP($U$1,A:D,4,))/VLOOKUP($U$1,A:D,4,))*100)+100</f>
        <v/>
      </c>
      <c r="K94" s="76">
        <f>(((Table134567891011121314151617343[[#This Row],[ESP]]-VLOOKUP($U$1,A:E,5,))/VLOOKUP($U$1,A:E,5,))*100)+100</f>
        <v/>
      </c>
      <c r="L94" s="76">
        <f>(((Table134567891011121314151617343[[#This Row],[EA19]]-VLOOKUP($U$1,A:F,6,))/VLOOKUP($U$1,A:F,6,))*100)+100</f>
        <v/>
      </c>
      <c r="M94" s="76">
        <f>(((Table134567891011121314151617343[[#This Row],[GBR]]-VLOOKUP($U$1,A:G,7,))/VLOOKUP($U$1,A:G,7,))*100)+100</f>
        <v/>
      </c>
      <c r="N94" s="76">
        <f>IF(VLOOKUP(A94,Database!$A:$AU,MATCH($N$1,Database!$A$1:$AU$1,0),FALSE)=0,#N/A,VLOOKUP(A94,Database!$A:$AU,MATCH($N$1,Database!$A$1:$AU$1,0),FALSE))</f>
        <v/>
      </c>
      <c r="O94" s="76">
        <f>(((Table134567891011121314151617343[[#This Row],[USA]]-VLOOKUP($U$1,A:N,14,))/VLOOKUP($U$1,A:N,14,))*100)+100</f>
        <v/>
      </c>
      <c r="P94" s="76">
        <f>IF(VLOOKUP(A94,Database!$A:$AS,MATCH($P$1,Database!$A$1:$AS$1,0),FALSE)=0,#N/A,VLOOKUP(A94,Database!$A:$AS,MATCH($P$1,Database!$A$1:$AS$1,0),FALSE))</f>
        <v/>
      </c>
      <c r="Q94" s="76">
        <f>(((Table134567891011121314151617343[[#This Row],[JPN]]-VLOOKUP($U$1,A:Q,16,))/VLOOKUP($U$1,A:Q,16,))*100)+100</f>
        <v/>
      </c>
    </row>
    <row r="95" customFormat="1" s="86">
      <c r="A95" s="21" t="n">
        <v>35704</v>
      </c>
      <c r="B95" s="76">
        <f>IF(VLOOKUP(A95,Database!$A:$AS,MATCH($B$1,Database!$A$1:$AS$1,0),FALSE)=0,#N/A,VLOOKUP(A95,Database!$A:$AS,MATCH($B$1,Database!$A$1:$AS$1,0),FALSE))</f>
        <v/>
      </c>
      <c r="C95" s="76">
        <f>IF(VLOOKUP(A95,Database!$A:$AS,MATCH($C$1,Database!$A$1:$AS$1,0),FALSE)=0,#N/A,VLOOKUP(A95,Database!$A:$AS,MATCH($C$1,Database!$A$1:$AS$1,0),FALSE))</f>
        <v/>
      </c>
      <c r="D95" s="76">
        <f>IF(VLOOKUP(A95,Database!$A:$AS,MATCH($D$1,Database!$A$1:$AS$1,0),FALSE)=0,#N/A,VLOOKUP(A95,Database!$A:$AS,MATCH($D$1,Database!$A$1:$AS$1,0),FALSE))</f>
        <v/>
      </c>
      <c r="E95" s="76">
        <f>IF(VLOOKUP(A95,Database!$A:$AS,MATCH($E$1,Database!$A$1:$AS$1,0),FALSE)=0,#N/A,VLOOKUP(A95,Database!$A:$AS,MATCH($E$1,Database!$A$1:$AS$1,0),FALSE))</f>
        <v/>
      </c>
      <c r="F95" s="76">
        <f>IF(VLOOKUP(A95,Database!$A:$AS,MATCH($F$1,Database!$A$1:$AS$1,0),FALSE)=0,#N/A,VLOOKUP(A95,Database!$A:$AS,MATCH($F$1,Database!$A$1:$AS$1,0),FALSE))</f>
        <v/>
      </c>
      <c r="G95" s="76">
        <f>IF(VLOOKUP(A95,Database!$A:$AS,MATCH($G$1,Database!$A$1:$AS$1,0),FALSE)=0,#N/A,VLOOKUP(A95,Database!$A:$AS,MATCH($G$1,Database!$A$1:$AS$1,0),FALSE))</f>
        <v/>
      </c>
      <c r="H95" s="76">
        <f>(((Table134567891011121314151617343[[#This Row],[ITA]]-VLOOKUP($U$1,A:B,2,))/VLOOKUP($U$1,A:B,2,))*100)+100</f>
        <v/>
      </c>
      <c r="I95" s="76">
        <f>(((Table134567891011121314151617343[[#This Row],[FRA]]-VLOOKUP($U$1,A:C,3,))/VLOOKUP($U$1,A:C,3,))*100)+100</f>
        <v/>
      </c>
      <c r="J95" s="76">
        <f>(((Table134567891011121314151617343[[#This Row],[DEU]]-VLOOKUP($U$1,A:D,4,))/VLOOKUP($U$1,A:D,4,))*100)+100</f>
        <v/>
      </c>
      <c r="K95" s="76">
        <f>(((Table134567891011121314151617343[[#This Row],[ESP]]-VLOOKUP($U$1,A:E,5,))/VLOOKUP($U$1,A:E,5,))*100)+100</f>
        <v/>
      </c>
      <c r="L95" s="76">
        <f>(((Table134567891011121314151617343[[#This Row],[EA19]]-VLOOKUP($U$1,A:F,6,))/VLOOKUP($U$1,A:F,6,))*100)+100</f>
        <v/>
      </c>
      <c r="M95" s="76">
        <f>(((Table134567891011121314151617343[[#This Row],[GBR]]-VLOOKUP($U$1,A:G,7,))/VLOOKUP($U$1,A:G,7,))*100)+100</f>
        <v/>
      </c>
      <c r="N95" s="76">
        <f>IF(VLOOKUP(A95,Database!$A:$AU,MATCH($N$1,Database!$A$1:$AU$1,0),FALSE)=0,#N/A,VLOOKUP(A95,Database!$A:$AU,MATCH($N$1,Database!$A$1:$AU$1,0),FALSE))</f>
        <v/>
      </c>
      <c r="O95" s="76">
        <f>(((Table134567891011121314151617343[[#This Row],[USA]]-VLOOKUP($U$1,A:N,14,))/VLOOKUP($U$1,A:N,14,))*100)+100</f>
        <v/>
      </c>
      <c r="P95" s="76">
        <f>IF(VLOOKUP(A95,Database!$A:$AS,MATCH($P$1,Database!$A$1:$AS$1,0),FALSE)=0,#N/A,VLOOKUP(A95,Database!$A:$AS,MATCH($P$1,Database!$A$1:$AS$1,0),FALSE))</f>
        <v/>
      </c>
      <c r="Q95" s="76">
        <f>(((Table134567891011121314151617343[[#This Row],[JPN]]-VLOOKUP($U$1,A:Q,16,))/VLOOKUP($U$1,A:Q,16,))*100)+100</f>
        <v/>
      </c>
    </row>
    <row r="96" customFormat="1" s="86">
      <c r="A96" s="21" t="n">
        <v>35735</v>
      </c>
      <c r="B96" s="76">
        <f>IF(VLOOKUP(A96,Database!$A:$AS,MATCH($B$1,Database!$A$1:$AS$1,0),FALSE)=0,#N/A,VLOOKUP(A96,Database!$A:$AS,MATCH($B$1,Database!$A$1:$AS$1,0),FALSE))</f>
        <v/>
      </c>
      <c r="C96" s="76">
        <f>IF(VLOOKUP(A96,Database!$A:$AS,MATCH($C$1,Database!$A$1:$AS$1,0),FALSE)=0,#N/A,VLOOKUP(A96,Database!$A:$AS,MATCH($C$1,Database!$A$1:$AS$1,0),FALSE))</f>
        <v/>
      </c>
      <c r="D96" s="76">
        <f>IF(VLOOKUP(A96,Database!$A:$AS,MATCH($D$1,Database!$A$1:$AS$1,0),FALSE)=0,#N/A,VLOOKUP(A96,Database!$A:$AS,MATCH($D$1,Database!$A$1:$AS$1,0),FALSE))</f>
        <v/>
      </c>
      <c r="E96" s="76">
        <f>IF(VLOOKUP(A96,Database!$A:$AS,MATCH($E$1,Database!$A$1:$AS$1,0),FALSE)=0,#N/A,VLOOKUP(A96,Database!$A:$AS,MATCH($E$1,Database!$A$1:$AS$1,0),FALSE))</f>
        <v/>
      </c>
      <c r="F96" s="76">
        <f>IF(VLOOKUP(A96,Database!$A:$AS,MATCH($F$1,Database!$A$1:$AS$1,0),FALSE)=0,#N/A,VLOOKUP(A96,Database!$A:$AS,MATCH($F$1,Database!$A$1:$AS$1,0),FALSE))</f>
        <v/>
      </c>
      <c r="G96" s="76">
        <f>IF(VLOOKUP(A96,Database!$A:$AS,MATCH($G$1,Database!$A$1:$AS$1,0),FALSE)=0,#N/A,VLOOKUP(A96,Database!$A:$AS,MATCH($G$1,Database!$A$1:$AS$1,0),FALSE))</f>
        <v/>
      </c>
      <c r="H96" s="76">
        <f>(((Table134567891011121314151617343[[#This Row],[ITA]]-VLOOKUP($U$1,A:B,2,))/VLOOKUP($U$1,A:B,2,))*100)+100</f>
        <v/>
      </c>
      <c r="I96" s="76">
        <f>(((Table134567891011121314151617343[[#This Row],[FRA]]-VLOOKUP($U$1,A:C,3,))/VLOOKUP($U$1,A:C,3,))*100)+100</f>
        <v/>
      </c>
      <c r="J96" s="76">
        <f>(((Table134567891011121314151617343[[#This Row],[DEU]]-VLOOKUP($U$1,A:D,4,))/VLOOKUP($U$1,A:D,4,))*100)+100</f>
        <v/>
      </c>
      <c r="K96" s="76">
        <f>(((Table134567891011121314151617343[[#This Row],[ESP]]-VLOOKUP($U$1,A:E,5,))/VLOOKUP($U$1,A:E,5,))*100)+100</f>
        <v/>
      </c>
      <c r="L96" s="76">
        <f>(((Table134567891011121314151617343[[#This Row],[EA19]]-VLOOKUP($U$1,A:F,6,))/VLOOKUP($U$1,A:F,6,))*100)+100</f>
        <v/>
      </c>
      <c r="M96" s="76">
        <f>(((Table134567891011121314151617343[[#This Row],[GBR]]-VLOOKUP($U$1,A:G,7,))/VLOOKUP($U$1,A:G,7,))*100)+100</f>
        <v/>
      </c>
      <c r="N96" s="76">
        <f>IF(VLOOKUP(A96,Database!$A:$AU,MATCH($N$1,Database!$A$1:$AU$1,0),FALSE)=0,#N/A,VLOOKUP(A96,Database!$A:$AU,MATCH($N$1,Database!$A$1:$AU$1,0),FALSE))</f>
        <v/>
      </c>
      <c r="O96" s="76">
        <f>(((Table134567891011121314151617343[[#This Row],[USA]]-VLOOKUP($U$1,A:N,14,))/VLOOKUP($U$1,A:N,14,))*100)+100</f>
        <v/>
      </c>
      <c r="P96" s="76">
        <f>IF(VLOOKUP(A96,Database!$A:$AS,MATCH($P$1,Database!$A$1:$AS$1,0),FALSE)=0,#N/A,VLOOKUP(A96,Database!$A:$AS,MATCH($P$1,Database!$A$1:$AS$1,0),FALSE))</f>
        <v/>
      </c>
      <c r="Q96" s="76">
        <f>(((Table134567891011121314151617343[[#This Row],[JPN]]-VLOOKUP($U$1,A:Q,16,))/VLOOKUP($U$1,A:Q,16,))*100)+100</f>
        <v/>
      </c>
    </row>
    <row r="97" customFormat="1" s="86">
      <c r="A97" s="21" t="n">
        <v>35765</v>
      </c>
      <c r="B97" s="76">
        <f>IF(VLOOKUP(A97,Database!$A:$AS,MATCH($B$1,Database!$A$1:$AS$1,0),FALSE)=0,#N/A,VLOOKUP(A97,Database!$A:$AS,MATCH($B$1,Database!$A$1:$AS$1,0),FALSE))</f>
        <v/>
      </c>
      <c r="C97" s="76">
        <f>IF(VLOOKUP(A97,Database!$A:$AS,MATCH($C$1,Database!$A$1:$AS$1,0),FALSE)=0,#N/A,VLOOKUP(A97,Database!$A:$AS,MATCH($C$1,Database!$A$1:$AS$1,0),FALSE))</f>
        <v/>
      </c>
      <c r="D97" s="76">
        <f>IF(VLOOKUP(A97,Database!$A:$AS,MATCH($D$1,Database!$A$1:$AS$1,0),FALSE)=0,#N/A,VLOOKUP(A97,Database!$A:$AS,MATCH($D$1,Database!$A$1:$AS$1,0),FALSE))</f>
        <v/>
      </c>
      <c r="E97" s="76">
        <f>IF(VLOOKUP(A97,Database!$A:$AS,MATCH($E$1,Database!$A$1:$AS$1,0),FALSE)=0,#N/A,VLOOKUP(A97,Database!$A:$AS,MATCH($E$1,Database!$A$1:$AS$1,0),FALSE))</f>
        <v/>
      </c>
      <c r="F97" s="76">
        <f>IF(VLOOKUP(A97,Database!$A:$AS,MATCH($F$1,Database!$A$1:$AS$1,0),FALSE)=0,#N/A,VLOOKUP(A97,Database!$A:$AS,MATCH($F$1,Database!$A$1:$AS$1,0),FALSE))</f>
        <v/>
      </c>
      <c r="G97" s="76">
        <f>IF(VLOOKUP(A97,Database!$A:$AS,MATCH($G$1,Database!$A$1:$AS$1,0),FALSE)=0,#N/A,VLOOKUP(A97,Database!$A:$AS,MATCH($G$1,Database!$A$1:$AS$1,0),FALSE))</f>
        <v/>
      </c>
      <c r="H97" s="76">
        <f>(((Table134567891011121314151617343[[#This Row],[ITA]]-VLOOKUP($U$1,A:B,2,))/VLOOKUP($U$1,A:B,2,))*100)+100</f>
        <v/>
      </c>
      <c r="I97" s="76">
        <f>(((Table134567891011121314151617343[[#This Row],[FRA]]-VLOOKUP($U$1,A:C,3,))/VLOOKUP($U$1,A:C,3,))*100)+100</f>
        <v/>
      </c>
      <c r="J97" s="76">
        <f>(((Table134567891011121314151617343[[#This Row],[DEU]]-VLOOKUP($U$1,A:D,4,))/VLOOKUP($U$1,A:D,4,))*100)+100</f>
        <v/>
      </c>
      <c r="K97" s="76">
        <f>(((Table134567891011121314151617343[[#This Row],[ESP]]-VLOOKUP($U$1,A:E,5,))/VLOOKUP($U$1,A:E,5,))*100)+100</f>
        <v/>
      </c>
      <c r="L97" s="76">
        <f>(((Table134567891011121314151617343[[#This Row],[EA19]]-VLOOKUP($U$1,A:F,6,))/VLOOKUP($U$1,A:F,6,))*100)+100</f>
        <v/>
      </c>
      <c r="M97" s="76">
        <f>(((Table134567891011121314151617343[[#This Row],[GBR]]-VLOOKUP($U$1,A:G,7,))/VLOOKUP($U$1,A:G,7,))*100)+100</f>
        <v/>
      </c>
      <c r="N97" s="76">
        <f>IF(VLOOKUP(A97,Database!$A:$AU,MATCH($N$1,Database!$A$1:$AU$1,0),FALSE)=0,#N/A,VLOOKUP(A97,Database!$A:$AU,MATCH($N$1,Database!$A$1:$AU$1,0),FALSE))</f>
        <v/>
      </c>
      <c r="O97" s="76">
        <f>(((Table134567891011121314151617343[[#This Row],[USA]]-VLOOKUP($U$1,A:N,14,))/VLOOKUP($U$1,A:N,14,))*100)+100</f>
        <v/>
      </c>
      <c r="P97" s="76">
        <f>IF(VLOOKUP(A97,Database!$A:$AS,MATCH($P$1,Database!$A$1:$AS$1,0),FALSE)=0,#N/A,VLOOKUP(A97,Database!$A:$AS,MATCH($P$1,Database!$A$1:$AS$1,0),FALSE))</f>
        <v/>
      </c>
      <c r="Q97" s="76">
        <f>(((Table134567891011121314151617343[[#This Row],[JPN]]-VLOOKUP($U$1,A:Q,16,))/VLOOKUP($U$1,A:Q,16,))*100)+100</f>
        <v/>
      </c>
    </row>
    <row r="98" customFormat="1" s="86">
      <c r="A98" s="21" t="n">
        <v>35796</v>
      </c>
      <c r="B98" s="76">
        <f>IF(VLOOKUP(A98,Database!$A:$AS,MATCH($B$1,Database!$A$1:$AS$1,0),FALSE)=0,#N/A,VLOOKUP(A98,Database!$A:$AS,MATCH($B$1,Database!$A$1:$AS$1,0),FALSE))</f>
        <v/>
      </c>
      <c r="C98" s="76">
        <f>IF(VLOOKUP(A98,Database!$A:$AS,MATCH($C$1,Database!$A$1:$AS$1,0),FALSE)=0,#N/A,VLOOKUP(A98,Database!$A:$AS,MATCH($C$1,Database!$A$1:$AS$1,0),FALSE))</f>
        <v/>
      </c>
      <c r="D98" s="76">
        <f>IF(VLOOKUP(A98,Database!$A:$AS,MATCH($D$1,Database!$A$1:$AS$1,0),FALSE)=0,#N/A,VLOOKUP(A98,Database!$A:$AS,MATCH($D$1,Database!$A$1:$AS$1,0),FALSE))</f>
        <v/>
      </c>
      <c r="E98" s="76">
        <f>IF(VLOOKUP(A98,Database!$A:$AS,MATCH($E$1,Database!$A$1:$AS$1,0),FALSE)=0,#N/A,VLOOKUP(A98,Database!$A:$AS,MATCH($E$1,Database!$A$1:$AS$1,0),FALSE))</f>
        <v/>
      </c>
      <c r="F98" s="76">
        <f>IF(VLOOKUP(A98,Database!$A:$AS,MATCH($F$1,Database!$A$1:$AS$1,0),FALSE)=0,#N/A,VLOOKUP(A98,Database!$A:$AS,MATCH($F$1,Database!$A$1:$AS$1,0),FALSE))</f>
        <v/>
      </c>
      <c r="G98" s="76">
        <f>IF(VLOOKUP(A98,Database!$A:$AS,MATCH($G$1,Database!$A$1:$AS$1,0),FALSE)=0,#N/A,VLOOKUP(A98,Database!$A:$AS,MATCH($G$1,Database!$A$1:$AS$1,0),FALSE))</f>
        <v/>
      </c>
      <c r="H98" s="76">
        <f>(((Table134567891011121314151617343[[#This Row],[ITA]]-VLOOKUP($U$1,A:B,2,))/VLOOKUP($U$1,A:B,2,))*100)+100</f>
        <v/>
      </c>
      <c r="I98" s="76">
        <f>(((Table134567891011121314151617343[[#This Row],[FRA]]-VLOOKUP($U$1,A:C,3,))/VLOOKUP($U$1,A:C,3,))*100)+100</f>
        <v/>
      </c>
      <c r="J98" s="76">
        <f>(((Table134567891011121314151617343[[#This Row],[DEU]]-VLOOKUP($U$1,A:D,4,))/VLOOKUP($U$1,A:D,4,))*100)+100</f>
        <v/>
      </c>
      <c r="K98" s="76">
        <f>(((Table134567891011121314151617343[[#This Row],[ESP]]-VLOOKUP($U$1,A:E,5,))/VLOOKUP($U$1,A:E,5,))*100)+100</f>
        <v/>
      </c>
      <c r="L98" s="76">
        <f>(((Table134567891011121314151617343[[#This Row],[EA19]]-VLOOKUP($U$1,A:F,6,))/VLOOKUP($U$1,A:F,6,))*100)+100</f>
        <v/>
      </c>
      <c r="M98" s="76">
        <f>(((Table134567891011121314151617343[[#This Row],[GBR]]-VLOOKUP($U$1,A:G,7,))/VLOOKUP($U$1,A:G,7,))*100)+100</f>
        <v/>
      </c>
      <c r="N98" s="76">
        <f>IF(VLOOKUP(A98,Database!$A:$AU,MATCH($N$1,Database!$A$1:$AU$1,0),FALSE)=0,#N/A,VLOOKUP(A98,Database!$A:$AU,MATCH($N$1,Database!$A$1:$AU$1,0),FALSE))</f>
        <v/>
      </c>
      <c r="O98" s="76">
        <f>(((Table134567891011121314151617343[[#This Row],[USA]]-VLOOKUP($U$1,A:N,14,))/VLOOKUP($U$1,A:N,14,))*100)+100</f>
        <v/>
      </c>
      <c r="P98" s="76">
        <f>IF(VLOOKUP(A98,Database!$A:$AS,MATCH($P$1,Database!$A$1:$AS$1,0),FALSE)=0,#N/A,VLOOKUP(A98,Database!$A:$AS,MATCH($P$1,Database!$A$1:$AS$1,0),FALSE))</f>
        <v/>
      </c>
      <c r="Q98" s="76">
        <f>(((Table134567891011121314151617343[[#This Row],[JPN]]-VLOOKUP($U$1,A:Q,16,))/VLOOKUP($U$1,A:Q,16,))*100)+100</f>
        <v/>
      </c>
    </row>
    <row r="99" customFormat="1" s="86">
      <c r="A99" s="21" t="n">
        <v>35827</v>
      </c>
      <c r="B99" s="76">
        <f>IF(VLOOKUP(A99,Database!$A:$AS,MATCH($B$1,Database!$A$1:$AS$1,0),FALSE)=0,#N/A,VLOOKUP(A99,Database!$A:$AS,MATCH($B$1,Database!$A$1:$AS$1,0),FALSE))</f>
        <v/>
      </c>
      <c r="C99" s="76">
        <f>IF(VLOOKUP(A99,Database!$A:$AS,MATCH($C$1,Database!$A$1:$AS$1,0),FALSE)=0,#N/A,VLOOKUP(A99,Database!$A:$AS,MATCH($C$1,Database!$A$1:$AS$1,0),FALSE))</f>
        <v/>
      </c>
      <c r="D99" s="76">
        <f>IF(VLOOKUP(A99,Database!$A:$AS,MATCH($D$1,Database!$A$1:$AS$1,0),FALSE)=0,#N/A,VLOOKUP(A99,Database!$A:$AS,MATCH($D$1,Database!$A$1:$AS$1,0),FALSE))</f>
        <v/>
      </c>
      <c r="E99" s="76">
        <f>IF(VLOOKUP(A99,Database!$A:$AS,MATCH($E$1,Database!$A$1:$AS$1,0),FALSE)=0,#N/A,VLOOKUP(A99,Database!$A:$AS,MATCH($E$1,Database!$A$1:$AS$1,0),FALSE))</f>
        <v/>
      </c>
      <c r="F99" s="76">
        <f>IF(VLOOKUP(A99,Database!$A:$AS,MATCH($F$1,Database!$A$1:$AS$1,0),FALSE)=0,#N/A,VLOOKUP(A99,Database!$A:$AS,MATCH($F$1,Database!$A$1:$AS$1,0),FALSE))</f>
        <v/>
      </c>
      <c r="G99" s="76">
        <f>IF(VLOOKUP(A99,Database!$A:$AS,MATCH($G$1,Database!$A$1:$AS$1,0),FALSE)=0,#N/A,VLOOKUP(A99,Database!$A:$AS,MATCH($G$1,Database!$A$1:$AS$1,0),FALSE))</f>
        <v/>
      </c>
      <c r="H99" s="76">
        <f>(((Table134567891011121314151617343[[#This Row],[ITA]]-VLOOKUP($U$1,A:B,2,))/VLOOKUP($U$1,A:B,2,))*100)+100</f>
        <v/>
      </c>
      <c r="I99" s="76">
        <f>(((Table134567891011121314151617343[[#This Row],[FRA]]-VLOOKUP($U$1,A:C,3,))/VLOOKUP($U$1,A:C,3,))*100)+100</f>
        <v/>
      </c>
      <c r="J99" s="76">
        <f>(((Table134567891011121314151617343[[#This Row],[DEU]]-VLOOKUP($U$1,A:D,4,))/VLOOKUP($U$1,A:D,4,))*100)+100</f>
        <v/>
      </c>
      <c r="K99" s="76">
        <f>(((Table134567891011121314151617343[[#This Row],[ESP]]-VLOOKUP($U$1,A:E,5,))/VLOOKUP($U$1,A:E,5,))*100)+100</f>
        <v/>
      </c>
      <c r="L99" s="76">
        <f>(((Table134567891011121314151617343[[#This Row],[EA19]]-VLOOKUP($U$1,A:F,6,))/VLOOKUP($U$1,A:F,6,))*100)+100</f>
        <v/>
      </c>
      <c r="M99" s="76">
        <f>(((Table134567891011121314151617343[[#This Row],[GBR]]-VLOOKUP($U$1,A:G,7,))/VLOOKUP($U$1,A:G,7,))*100)+100</f>
        <v/>
      </c>
      <c r="N99" s="76">
        <f>IF(VLOOKUP(A99,Database!$A:$AU,MATCH($N$1,Database!$A$1:$AU$1,0),FALSE)=0,#N/A,VLOOKUP(A99,Database!$A:$AU,MATCH($N$1,Database!$A$1:$AU$1,0),FALSE))</f>
        <v/>
      </c>
      <c r="O99" s="76">
        <f>(((Table134567891011121314151617343[[#This Row],[USA]]-VLOOKUP($U$1,A:N,14,))/VLOOKUP($U$1,A:N,14,))*100)+100</f>
        <v/>
      </c>
      <c r="P99" s="76">
        <f>IF(VLOOKUP(A99,Database!$A:$AS,MATCH($P$1,Database!$A$1:$AS$1,0),FALSE)=0,#N/A,VLOOKUP(A99,Database!$A:$AS,MATCH($P$1,Database!$A$1:$AS$1,0),FALSE))</f>
        <v/>
      </c>
      <c r="Q99" s="76">
        <f>(((Table134567891011121314151617343[[#This Row],[JPN]]-VLOOKUP($U$1,A:Q,16,))/VLOOKUP($U$1,A:Q,16,))*100)+100</f>
        <v/>
      </c>
    </row>
    <row r="100" customFormat="1" s="86">
      <c r="A100" s="21" t="n">
        <v>35855</v>
      </c>
      <c r="B100" s="76">
        <f>IF(VLOOKUP(A100,Database!$A:$AS,MATCH($B$1,Database!$A$1:$AS$1,0),FALSE)=0,#N/A,VLOOKUP(A100,Database!$A:$AS,MATCH($B$1,Database!$A$1:$AS$1,0),FALSE))</f>
        <v/>
      </c>
      <c r="C100" s="76">
        <f>IF(VLOOKUP(A100,Database!$A:$AS,MATCH($C$1,Database!$A$1:$AS$1,0),FALSE)=0,#N/A,VLOOKUP(A100,Database!$A:$AS,MATCH($C$1,Database!$A$1:$AS$1,0),FALSE))</f>
        <v/>
      </c>
      <c r="D100" s="76">
        <f>IF(VLOOKUP(A100,Database!$A:$AS,MATCH($D$1,Database!$A$1:$AS$1,0),FALSE)=0,#N/A,VLOOKUP(A100,Database!$A:$AS,MATCH($D$1,Database!$A$1:$AS$1,0),FALSE))</f>
        <v/>
      </c>
      <c r="E100" s="76">
        <f>IF(VLOOKUP(A100,Database!$A:$AS,MATCH($E$1,Database!$A$1:$AS$1,0),FALSE)=0,#N/A,VLOOKUP(A100,Database!$A:$AS,MATCH($E$1,Database!$A$1:$AS$1,0),FALSE))</f>
        <v/>
      </c>
      <c r="F100" s="76">
        <f>IF(VLOOKUP(A100,Database!$A:$AS,MATCH($F$1,Database!$A$1:$AS$1,0),FALSE)=0,#N/A,VLOOKUP(A100,Database!$A:$AS,MATCH($F$1,Database!$A$1:$AS$1,0),FALSE))</f>
        <v/>
      </c>
      <c r="G100" s="76">
        <f>IF(VLOOKUP(A100,Database!$A:$AS,MATCH($G$1,Database!$A$1:$AS$1,0),FALSE)=0,#N/A,VLOOKUP(A100,Database!$A:$AS,MATCH($G$1,Database!$A$1:$AS$1,0),FALSE))</f>
        <v/>
      </c>
      <c r="H100" s="76">
        <f>(((Table134567891011121314151617343[[#This Row],[ITA]]-VLOOKUP($U$1,A:B,2,))/VLOOKUP($U$1,A:B,2,))*100)+100</f>
        <v/>
      </c>
      <c r="I100" s="76">
        <f>(((Table134567891011121314151617343[[#This Row],[FRA]]-VLOOKUP($U$1,A:C,3,))/VLOOKUP($U$1,A:C,3,))*100)+100</f>
        <v/>
      </c>
      <c r="J100" s="76">
        <f>(((Table134567891011121314151617343[[#This Row],[DEU]]-VLOOKUP($U$1,A:D,4,))/VLOOKUP($U$1,A:D,4,))*100)+100</f>
        <v/>
      </c>
      <c r="K100" s="76">
        <f>(((Table134567891011121314151617343[[#This Row],[ESP]]-VLOOKUP($U$1,A:E,5,))/VLOOKUP($U$1,A:E,5,))*100)+100</f>
        <v/>
      </c>
      <c r="L100" s="76">
        <f>(((Table134567891011121314151617343[[#This Row],[EA19]]-VLOOKUP($U$1,A:F,6,))/VLOOKUP($U$1,A:F,6,))*100)+100</f>
        <v/>
      </c>
      <c r="M100" s="76">
        <f>(((Table134567891011121314151617343[[#This Row],[GBR]]-VLOOKUP($U$1,A:G,7,))/VLOOKUP($U$1,A:G,7,))*100)+100</f>
        <v/>
      </c>
      <c r="N100" s="76">
        <f>IF(VLOOKUP(A100,Database!$A:$AU,MATCH($N$1,Database!$A$1:$AU$1,0),FALSE)=0,#N/A,VLOOKUP(A100,Database!$A:$AU,MATCH($N$1,Database!$A$1:$AU$1,0),FALSE))</f>
        <v/>
      </c>
      <c r="O100" s="76">
        <f>(((Table134567891011121314151617343[[#This Row],[USA]]-VLOOKUP($U$1,A:N,14,))/VLOOKUP($U$1,A:N,14,))*100)+100</f>
        <v/>
      </c>
      <c r="P100" s="76">
        <f>IF(VLOOKUP(A100,Database!$A:$AS,MATCH($P$1,Database!$A$1:$AS$1,0),FALSE)=0,#N/A,VLOOKUP(A100,Database!$A:$AS,MATCH($P$1,Database!$A$1:$AS$1,0),FALSE))</f>
        <v/>
      </c>
      <c r="Q100" s="76">
        <f>(((Table134567891011121314151617343[[#This Row],[JPN]]-VLOOKUP($U$1,A:Q,16,))/VLOOKUP($U$1,A:Q,16,))*100)+100</f>
        <v/>
      </c>
    </row>
    <row r="101" customFormat="1" s="86">
      <c r="A101" s="21" t="n">
        <v>35886</v>
      </c>
      <c r="B101" s="76">
        <f>IF(VLOOKUP(A101,Database!$A:$AS,MATCH($B$1,Database!$A$1:$AS$1,0),FALSE)=0,#N/A,VLOOKUP(A101,Database!$A:$AS,MATCH($B$1,Database!$A$1:$AS$1,0),FALSE))</f>
        <v/>
      </c>
      <c r="C101" s="76">
        <f>IF(VLOOKUP(A101,Database!$A:$AS,MATCH($C$1,Database!$A$1:$AS$1,0),FALSE)=0,#N/A,VLOOKUP(A101,Database!$A:$AS,MATCH($C$1,Database!$A$1:$AS$1,0),FALSE))</f>
        <v/>
      </c>
      <c r="D101" s="76">
        <f>IF(VLOOKUP(A101,Database!$A:$AS,MATCH($D$1,Database!$A$1:$AS$1,0),FALSE)=0,#N/A,VLOOKUP(A101,Database!$A:$AS,MATCH($D$1,Database!$A$1:$AS$1,0),FALSE))</f>
        <v/>
      </c>
      <c r="E101" s="76">
        <f>IF(VLOOKUP(A101,Database!$A:$AS,MATCH($E$1,Database!$A$1:$AS$1,0),FALSE)=0,#N/A,VLOOKUP(A101,Database!$A:$AS,MATCH($E$1,Database!$A$1:$AS$1,0),FALSE))</f>
        <v/>
      </c>
      <c r="F101" s="76">
        <f>IF(VLOOKUP(A101,Database!$A:$AS,MATCH($F$1,Database!$A$1:$AS$1,0),FALSE)=0,#N/A,VLOOKUP(A101,Database!$A:$AS,MATCH($F$1,Database!$A$1:$AS$1,0),FALSE))</f>
        <v/>
      </c>
      <c r="G101" s="76">
        <f>IF(VLOOKUP(A101,Database!$A:$AS,MATCH($G$1,Database!$A$1:$AS$1,0),FALSE)=0,#N/A,VLOOKUP(A101,Database!$A:$AS,MATCH($G$1,Database!$A$1:$AS$1,0),FALSE))</f>
        <v/>
      </c>
      <c r="H101" s="76">
        <f>(((Table134567891011121314151617343[[#This Row],[ITA]]-VLOOKUP($U$1,A:B,2,))/VLOOKUP($U$1,A:B,2,))*100)+100</f>
        <v/>
      </c>
      <c r="I101" s="76">
        <f>(((Table134567891011121314151617343[[#This Row],[FRA]]-VLOOKUP($U$1,A:C,3,))/VLOOKUP($U$1,A:C,3,))*100)+100</f>
        <v/>
      </c>
      <c r="J101" s="76">
        <f>(((Table134567891011121314151617343[[#This Row],[DEU]]-VLOOKUP($U$1,A:D,4,))/VLOOKUP($U$1,A:D,4,))*100)+100</f>
        <v/>
      </c>
      <c r="K101" s="76">
        <f>(((Table134567891011121314151617343[[#This Row],[ESP]]-VLOOKUP($U$1,A:E,5,))/VLOOKUP($U$1,A:E,5,))*100)+100</f>
        <v/>
      </c>
      <c r="L101" s="76">
        <f>(((Table134567891011121314151617343[[#This Row],[EA19]]-VLOOKUP($U$1,A:F,6,))/VLOOKUP($U$1,A:F,6,))*100)+100</f>
        <v/>
      </c>
      <c r="M101" s="76">
        <f>(((Table134567891011121314151617343[[#This Row],[GBR]]-VLOOKUP($U$1,A:G,7,))/VLOOKUP($U$1,A:G,7,))*100)+100</f>
        <v/>
      </c>
      <c r="N101" s="76">
        <f>IF(VLOOKUP(A101,Database!$A:$AU,MATCH($N$1,Database!$A$1:$AU$1,0),FALSE)=0,#N/A,VLOOKUP(A101,Database!$A:$AU,MATCH($N$1,Database!$A$1:$AU$1,0),FALSE))</f>
        <v/>
      </c>
      <c r="O101" s="76">
        <f>(((Table134567891011121314151617343[[#This Row],[USA]]-VLOOKUP($U$1,A:N,14,))/VLOOKUP($U$1,A:N,14,))*100)+100</f>
        <v/>
      </c>
      <c r="P101" s="76">
        <f>IF(VLOOKUP(A101,Database!$A:$AS,MATCH($P$1,Database!$A$1:$AS$1,0),FALSE)=0,#N/A,VLOOKUP(A101,Database!$A:$AS,MATCH($P$1,Database!$A$1:$AS$1,0),FALSE))</f>
        <v/>
      </c>
      <c r="Q101" s="76">
        <f>(((Table134567891011121314151617343[[#This Row],[JPN]]-VLOOKUP($U$1,A:Q,16,))/VLOOKUP($U$1,A:Q,16,))*100)+100</f>
        <v/>
      </c>
    </row>
    <row r="102" customFormat="1" s="86">
      <c r="A102" s="21" t="n">
        <v>35916</v>
      </c>
      <c r="B102" s="76">
        <f>IF(VLOOKUP(A102,Database!$A:$AS,MATCH($B$1,Database!$A$1:$AS$1,0),FALSE)=0,#N/A,VLOOKUP(A102,Database!$A:$AS,MATCH($B$1,Database!$A$1:$AS$1,0),FALSE))</f>
        <v/>
      </c>
      <c r="C102" s="76">
        <f>IF(VLOOKUP(A102,Database!$A:$AS,MATCH($C$1,Database!$A$1:$AS$1,0),FALSE)=0,#N/A,VLOOKUP(A102,Database!$A:$AS,MATCH($C$1,Database!$A$1:$AS$1,0),FALSE))</f>
        <v/>
      </c>
      <c r="D102" s="76">
        <f>IF(VLOOKUP(A102,Database!$A:$AS,MATCH($D$1,Database!$A$1:$AS$1,0),FALSE)=0,#N/A,VLOOKUP(A102,Database!$A:$AS,MATCH($D$1,Database!$A$1:$AS$1,0),FALSE))</f>
        <v/>
      </c>
      <c r="E102" s="76">
        <f>IF(VLOOKUP(A102,Database!$A:$AS,MATCH($E$1,Database!$A$1:$AS$1,0),FALSE)=0,#N/A,VLOOKUP(A102,Database!$A:$AS,MATCH($E$1,Database!$A$1:$AS$1,0),FALSE))</f>
        <v/>
      </c>
      <c r="F102" s="76">
        <f>IF(VLOOKUP(A102,Database!$A:$AS,MATCH($F$1,Database!$A$1:$AS$1,0),FALSE)=0,#N/A,VLOOKUP(A102,Database!$A:$AS,MATCH($F$1,Database!$A$1:$AS$1,0),FALSE))</f>
        <v/>
      </c>
      <c r="G102" s="76">
        <f>IF(VLOOKUP(A102,Database!$A:$AS,MATCH($G$1,Database!$A$1:$AS$1,0),FALSE)=0,#N/A,VLOOKUP(A102,Database!$A:$AS,MATCH($G$1,Database!$A$1:$AS$1,0),FALSE))</f>
        <v/>
      </c>
      <c r="H102" s="76">
        <f>(((Table134567891011121314151617343[[#This Row],[ITA]]-VLOOKUP($U$1,A:B,2,))/VLOOKUP($U$1,A:B,2,))*100)+100</f>
        <v/>
      </c>
      <c r="I102" s="76">
        <f>(((Table134567891011121314151617343[[#This Row],[FRA]]-VLOOKUP($U$1,A:C,3,))/VLOOKUP($U$1,A:C,3,))*100)+100</f>
        <v/>
      </c>
      <c r="J102" s="76">
        <f>(((Table134567891011121314151617343[[#This Row],[DEU]]-VLOOKUP($U$1,A:D,4,))/VLOOKUP($U$1,A:D,4,))*100)+100</f>
        <v/>
      </c>
      <c r="K102" s="76">
        <f>(((Table134567891011121314151617343[[#This Row],[ESP]]-VLOOKUP($U$1,A:E,5,))/VLOOKUP($U$1,A:E,5,))*100)+100</f>
        <v/>
      </c>
      <c r="L102" s="76">
        <f>(((Table134567891011121314151617343[[#This Row],[EA19]]-VLOOKUP($U$1,A:F,6,))/VLOOKUP($U$1,A:F,6,))*100)+100</f>
        <v/>
      </c>
      <c r="M102" s="76">
        <f>(((Table134567891011121314151617343[[#This Row],[GBR]]-VLOOKUP($U$1,A:G,7,))/VLOOKUP($U$1,A:G,7,))*100)+100</f>
        <v/>
      </c>
      <c r="N102" s="76">
        <f>IF(VLOOKUP(A102,Database!$A:$AU,MATCH($N$1,Database!$A$1:$AU$1,0),FALSE)=0,#N/A,VLOOKUP(A102,Database!$A:$AU,MATCH($N$1,Database!$A$1:$AU$1,0),FALSE))</f>
        <v/>
      </c>
      <c r="O102" s="76">
        <f>(((Table134567891011121314151617343[[#This Row],[USA]]-VLOOKUP($U$1,A:N,14,))/VLOOKUP($U$1,A:N,14,))*100)+100</f>
        <v/>
      </c>
      <c r="P102" s="76">
        <f>IF(VLOOKUP(A102,Database!$A:$AS,MATCH($P$1,Database!$A$1:$AS$1,0),FALSE)=0,#N/A,VLOOKUP(A102,Database!$A:$AS,MATCH($P$1,Database!$A$1:$AS$1,0),FALSE))</f>
        <v/>
      </c>
      <c r="Q102" s="76">
        <f>(((Table134567891011121314151617343[[#This Row],[JPN]]-VLOOKUP($U$1,A:Q,16,))/VLOOKUP($U$1,A:Q,16,))*100)+100</f>
        <v/>
      </c>
    </row>
    <row r="103" customFormat="1" s="86">
      <c r="A103" s="21" t="n">
        <v>35947</v>
      </c>
      <c r="B103" s="76">
        <f>IF(VLOOKUP(A103,Database!$A:$AS,MATCH($B$1,Database!$A$1:$AS$1,0),FALSE)=0,#N/A,VLOOKUP(A103,Database!$A:$AS,MATCH($B$1,Database!$A$1:$AS$1,0),FALSE))</f>
        <v/>
      </c>
      <c r="C103" s="76">
        <f>IF(VLOOKUP(A103,Database!$A:$AS,MATCH($C$1,Database!$A$1:$AS$1,0),FALSE)=0,#N/A,VLOOKUP(A103,Database!$A:$AS,MATCH($C$1,Database!$A$1:$AS$1,0),FALSE))</f>
        <v/>
      </c>
      <c r="D103" s="76">
        <f>IF(VLOOKUP(A103,Database!$A:$AS,MATCH($D$1,Database!$A$1:$AS$1,0),FALSE)=0,#N/A,VLOOKUP(A103,Database!$A:$AS,MATCH($D$1,Database!$A$1:$AS$1,0),FALSE))</f>
        <v/>
      </c>
      <c r="E103" s="76">
        <f>IF(VLOOKUP(A103,Database!$A:$AS,MATCH($E$1,Database!$A$1:$AS$1,0),FALSE)=0,#N/A,VLOOKUP(A103,Database!$A:$AS,MATCH($E$1,Database!$A$1:$AS$1,0),FALSE))</f>
        <v/>
      </c>
      <c r="F103" s="76">
        <f>IF(VLOOKUP(A103,Database!$A:$AS,MATCH($F$1,Database!$A$1:$AS$1,0),FALSE)=0,#N/A,VLOOKUP(A103,Database!$A:$AS,MATCH($F$1,Database!$A$1:$AS$1,0),FALSE))</f>
        <v/>
      </c>
      <c r="G103" s="76">
        <f>IF(VLOOKUP(A103,Database!$A:$AS,MATCH($G$1,Database!$A$1:$AS$1,0),FALSE)=0,#N/A,VLOOKUP(A103,Database!$A:$AS,MATCH($G$1,Database!$A$1:$AS$1,0),FALSE))</f>
        <v/>
      </c>
      <c r="H103" s="76">
        <f>(((Table134567891011121314151617343[[#This Row],[ITA]]-VLOOKUP($U$1,A:B,2,))/VLOOKUP($U$1,A:B,2,))*100)+100</f>
        <v/>
      </c>
      <c r="I103" s="76">
        <f>(((Table134567891011121314151617343[[#This Row],[FRA]]-VLOOKUP($U$1,A:C,3,))/VLOOKUP($U$1,A:C,3,))*100)+100</f>
        <v/>
      </c>
      <c r="J103" s="76">
        <f>(((Table134567891011121314151617343[[#This Row],[DEU]]-VLOOKUP($U$1,A:D,4,))/VLOOKUP($U$1,A:D,4,))*100)+100</f>
        <v/>
      </c>
      <c r="K103" s="76">
        <f>(((Table134567891011121314151617343[[#This Row],[ESP]]-VLOOKUP($U$1,A:E,5,))/VLOOKUP($U$1,A:E,5,))*100)+100</f>
        <v/>
      </c>
      <c r="L103" s="76">
        <f>(((Table134567891011121314151617343[[#This Row],[EA19]]-VLOOKUP($U$1,A:F,6,))/VLOOKUP($U$1,A:F,6,))*100)+100</f>
        <v/>
      </c>
      <c r="M103" s="76">
        <f>(((Table134567891011121314151617343[[#This Row],[GBR]]-VLOOKUP($U$1,A:G,7,))/VLOOKUP($U$1,A:G,7,))*100)+100</f>
        <v/>
      </c>
      <c r="N103" s="76">
        <f>IF(VLOOKUP(A103,Database!$A:$AU,MATCH($N$1,Database!$A$1:$AU$1,0),FALSE)=0,#N/A,VLOOKUP(A103,Database!$A:$AU,MATCH($N$1,Database!$A$1:$AU$1,0),FALSE))</f>
        <v/>
      </c>
      <c r="O103" s="76">
        <f>(((Table134567891011121314151617343[[#This Row],[USA]]-VLOOKUP($U$1,A:N,14,))/VLOOKUP($U$1,A:N,14,))*100)+100</f>
        <v/>
      </c>
      <c r="P103" s="76">
        <f>IF(VLOOKUP(A103,Database!$A:$AS,MATCH($P$1,Database!$A$1:$AS$1,0),FALSE)=0,#N/A,VLOOKUP(A103,Database!$A:$AS,MATCH($P$1,Database!$A$1:$AS$1,0),FALSE))</f>
        <v/>
      </c>
      <c r="Q103" s="76">
        <f>(((Table134567891011121314151617343[[#This Row],[JPN]]-VLOOKUP($U$1,A:Q,16,))/VLOOKUP($U$1,A:Q,16,))*100)+100</f>
        <v/>
      </c>
    </row>
    <row r="104" customFormat="1" s="86">
      <c r="A104" s="21" t="n">
        <v>35977</v>
      </c>
      <c r="B104" s="76">
        <f>IF(VLOOKUP(A104,Database!$A:$AS,MATCH($B$1,Database!$A$1:$AS$1,0),FALSE)=0,#N/A,VLOOKUP(A104,Database!$A:$AS,MATCH($B$1,Database!$A$1:$AS$1,0),FALSE))</f>
        <v/>
      </c>
      <c r="C104" s="76">
        <f>IF(VLOOKUP(A104,Database!$A:$AS,MATCH($C$1,Database!$A$1:$AS$1,0),FALSE)=0,#N/A,VLOOKUP(A104,Database!$A:$AS,MATCH($C$1,Database!$A$1:$AS$1,0),FALSE))</f>
        <v/>
      </c>
      <c r="D104" s="76">
        <f>IF(VLOOKUP(A104,Database!$A:$AS,MATCH($D$1,Database!$A$1:$AS$1,0),FALSE)=0,#N/A,VLOOKUP(A104,Database!$A:$AS,MATCH($D$1,Database!$A$1:$AS$1,0),FALSE))</f>
        <v/>
      </c>
      <c r="E104" s="76">
        <f>IF(VLOOKUP(A104,Database!$A:$AS,MATCH($E$1,Database!$A$1:$AS$1,0),FALSE)=0,#N/A,VLOOKUP(A104,Database!$A:$AS,MATCH($E$1,Database!$A$1:$AS$1,0),FALSE))</f>
        <v/>
      </c>
      <c r="F104" s="76">
        <f>IF(VLOOKUP(A104,Database!$A:$AS,MATCH($F$1,Database!$A$1:$AS$1,0),FALSE)=0,#N/A,VLOOKUP(A104,Database!$A:$AS,MATCH($F$1,Database!$A$1:$AS$1,0),FALSE))</f>
        <v/>
      </c>
      <c r="G104" s="76">
        <f>IF(VLOOKUP(A104,Database!$A:$AS,MATCH($G$1,Database!$A$1:$AS$1,0),FALSE)=0,#N/A,VLOOKUP(A104,Database!$A:$AS,MATCH($G$1,Database!$A$1:$AS$1,0),FALSE))</f>
        <v/>
      </c>
      <c r="H104" s="76">
        <f>(((Table134567891011121314151617343[[#This Row],[ITA]]-VLOOKUP($U$1,A:B,2,))/VLOOKUP($U$1,A:B,2,))*100)+100</f>
        <v/>
      </c>
      <c r="I104" s="76">
        <f>(((Table134567891011121314151617343[[#This Row],[FRA]]-VLOOKUP($U$1,A:C,3,))/VLOOKUP($U$1,A:C,3,))*100)+100</f>
        <v/>
      </c>
      <c r="J104" s="76">
        <f>(((Table134567891011121314151617343[[#This Row],[DEU]]-VLOOKUP($U$1,A:D,4,))/VLOOKUP($U$1,A:D,4,))*100)+100</f>
        <v/>
      </c>
      <c r="K104" s="76">
        <f>(((Table134567891011121314151617343[[#This Row],[ESP]]-VLOOKUP($U$1,A:E,5,))/VLOOKUP($U$1,A:E,5,))*100)+100</f>
        <v/>
      </c>
      <c r="L104" s="76">
        <f>(((Table134567891011121314151617343[[#This Row],[EA19]]-VLOOKUP($U$1,A:F,6,))/VLOOKUP($U$1,A:F,6,))*100)+100</f>
        <v/>
      </c>
      <c r="M104" s="76">
        <f>(((Table134567891011121314151617343[[#This Row],[GBR]]-VLOOKUP($U$1,A:G,7,))/VLOOKUP($U$1,A:G,7,))*100)+100</f>
        <v/>
      </c>
      <c r="N104" s="76">
        <f>IF(VLOOKUP(A104,Database!$A:$AU,MATCH($N$1,Database!$A$1:$AU$1,0),FALSE)=0,#N/A,VLOOKUP(A104,Database!$A:$AU,MATCH($N$1,Database!$A$1:$AU$1,0),FALSE))</f>
        <v/>
      </c>
      <c r="O104" s="76">
        <f>(((Table134567891011121314151617343[[#This Row],[USA]]-VLOOKUP($U$1,A:N,14,))/VLOOKUP($U$1,A:N,14,))*100)+100</f>
        <v/>
      </c>
      <c r="P104" s="76">
        <f>IF(VLOOKUP(A104,Database!$A:$AS,MATCH($P$1,Database!$A$1:$AS$1,0),FALSE)=0,#N/A,VLOOKUP(A104,Database!$A:$AS,MATCH($P$1,Database!$A$1:$AS$1,0),FALSE))</f>
        <v/>
      </c>
      <c r="Q104" s="76">
        <f>(((Table134567891011121314151617343[[#This Row],[JPN]]-VLOOKUP($U$1,A:Q,16,))/VLOOKUP($U$1,A:Q,16,))*100)+100</f>
        <v/>
      </c>
    </row>
    <row r="105" customFormat="1" s="86">
      <c r="A105" s="21" t="n">
        <v>36008</v>
      </c>
      <c r="B105" s="76">
        <f>IF(VLOOKUP(A105,Database!$A:$AS,MATCH($B$1,Database!$A$1:$AS$1,0),FALSE)=0,#N/A,VLOOKUP(A105,Database!$A:$AS,MATCH($B$1,Database!$A$1:$AS$1,0),FALSE))</f>
        <v/>
      </c>
      <c r="C105" s="76">
        <f>IF(VLOOKUP(A105,Database!$A:$AS,MATCH($C$1,Database!$A$1:$AS$1,0),FALSE)=0,#N/A,VLOOKUP(A105,Database!$A:$AS,MATCH($C$1,Database!$A$1:$AS$1,0),FALSE))</f>
        <v/>
      </c>
      <c r="D105" s="76">
        <f>IF(VLOOKUP(A105,Database!$A:$AS,MATCH($D$1,Database!$A$1:$AS$1,0),FALSE)=0,#N/A,VLOOKUP(A105,Database!$A:$AS,MATCH($D$1,Database!$A$1:$AS$1,0),FALSE))</f>
        <v/>
      </c>
      <c r="E105" s="76">
        <f>IF(VLOOKUP(A105,Database!$A:$AS,MATCH($E$1,Database!$A$1:$AS$1,0),FALSE)=0,#N/A,VLOOKUP(A105,Database!$A:$AS,MATCH($E$1,Database!$A$1:$AS$1,0),FALSE))</f>
        <v/>
      </c>
      <c r="F105" s="76">
        <f>IF(VLOOKUP(A105,Database!$A:$AS,MATCH($F$1,Database!$A$1:$AS$1,0),FALSE)=0,#N/A,VLOOKUP(A105,Database!$A:$AS,MATCH($F$1,Database!$A$1:$AS$1,0),FALSE))</f>
        <v/>
      </c>
      <c r="G105" s="76">
        <f>IF(VLOOKUP(A105,Database!$A:$AS,MATCH($G$1,Database!$A$1:$AS$1,0),FALSE)=0,#N/A,VLOOKUP(A105,Database!$A:$AS,MATCH($G$1,Database!$A$1:$AS$1,0),FALSE))</f>
        <v/>
      </c>
      <c r="H105" s="76">
        <f>(((Table134567891011121314151617343[[#This Row],[ITA]]-VLOOKUP($U$1,A:B,2,))/VLOOKUP($U$1,A:B,2,))*100)+100</f>
        <v/>
      </c>
      <c r="I105" s="76">
        <f>(((Table134567891011121314151617343[[#This Row],[FRA]]-VLOOKUP($U$1,A:C,3,))/VLOOKUP($U$1,A:C,3,))*100)+100</f>
        <v/>
      </c>
      <c r="J105" s="76">
        <f>(((Table134567891011121314151617343[[#This Row],[DEU]]-VLOOKUP($U$1,A:D,4,))/VLOOKUP($U$1,A:D,4,))*100)+100</f>
        <v/>
      </c>
      <c r="K105" s="76">
        <f>(((Table134567891011121314151617343[[#This Row],[ESP]]-VLOOKUP($U$1,A:E,5,))/VLOOKUP($U$1,A:E,5,))*100)+100</f>
        <v/>
      </c>
      <c r="L105" s="76">
        <f>(((Table134567891011121314151617343[[#This Row],[EA19]]-VLOOKUP($U$1,A:F,6,))/VLOOKUP($U$1,A:F,6,))*100)+100</f>
        <v/>
      </c>
      <c r="M105" s="76">
        <f>(((Table134567891011121314151617343[[#This Row],[GBR]]-VLOOKUP($U$1,A:G,7,))/VLOOKUP($U$1,A:G,7,))*100)+100</f>
        <v/>
      </c>
      <c r="N105" s="76">
        <f>IF(VLOOKUP(A105,Database!$A:$AU,MATCH($N$1,Database!$A$1:$AU$1,0),FALSE)=0,#N/A,VLOOKUP(A105,Database!$A:$AU,MATCH($N$1,Database!$A$1:$AU$1,0),FALSE))</f>
        <v/>
      </c>
      <c r="O105" s="76">
        <f>(((Table134567891011121314151617343[[#This Row],[USA]]-VLOOKUP($U$1,A:N,14,))/VLOOKUP($U$1,A:N,14,))*100)+100</f>
        <v/>
      </c>
      <c r="P105" s="76">
        <f>IF(VLOOKUP(A105,Database!$A:$AS,MATCH($P$1,Database!$A$1:$AS$1,0),FALSE)=0,#N/A,VLOOKUP(A105,Database!$A:$AS,MATCH($P$1,Database!$A$1:$AS$1,0),FALSE))</f>
        <v/>
      </c>
      <c r="Q105" s="76">
        <f>(((Table134567891011121314151617343[[#This Row],[JPN]]-VLOOKUP($U$1,A:Q,16,))/VLOOKUP($U$1,A:Q,16,))*100)+100</f>
        <v/>
      </c>
    </row>
    <row r="106" customFormat="1" s="86">
      <c r="A106" s="21" t="n">
        <v>36039</v>
      </c>
      <c r="B106" s="76">
        <f>IF(VLOOKUP(A106,Database!$A:$AS,MATCH($B$1,Database!$A$1:$AS$1,0),FALSE)=0,#N/A,VLOOKUP(A106,Database!$A:$AS,MATCH($B$1,Database!$A$1:$AS$1,0),FALSE))</f>
        <v/>
      </c>
      <c r="C106" s="76">
        <f>IF(VLOOKUP(A106,Database!$A:$AS,MATCH($C$1,Database!$A$1:$AS$1,0),FALSE)=0,#N/A,VLOOKUP(A106,Database!$A:$AS,MATCH($C$1,Database!$A$1:$AS$1,0),FALSE))</f>
        <v/>
      </c>
      <c r="D106" s="76">
        <f>IF(VLOOKUP(A106,Database!$A:$AS,MATCH($D$1,Database!$A$1:$AS$1,0),FALSE)=0,#N/A,VLOOKUP(A106,Database!$A:$AS,MATCH($D$1,Database!$A$1:$AS$1,0),FALSE))</f>
        <v/>
      </c>
      <c r="E106" s="76">
        <f>IF(VLOOKUP(A106,Database!$A:$AS,MATCH($E$1,Database!$A$1:$AS$1,0),FALSE)=0,#N/A,VLOOKUP(A106,Database!$A:$AS,MATCH($E$1,Database!$A$1:$AS$1,0),FALSE))</f>
        <v/>
      </c>
      <c r="F106" s="76">
        <f>IF(VLOOKUP(A106,Database!$A:$AS,MATCH($F$1,Database!$A$1:$AS$1,0),FALSE)=0,#N/A,VLOOKUP(A106,Database!$A:$AS,MATCH($F$1,Database!$A$1:$AS$1,0),FALSE))</f>
        <v/>
      </c>
      <c r="G106" s="76">
        <f>IF(VLOOKUP(A106,Database!$A:$AS,MATCH($G$1,Database!$A$1:$AS$1,0),FALSE)=0,#N/A,VLOOKUP(A106,Database!$A:$AS,MATCH($G$1,Database!$A$1:$AS$1,0),FALSE))</f>
        <v/>
      </c>
      <c r="H106" s="76">
        <f>(((Table134567891011121314151617343[[#This Row],[ITA]]-VLOOKUP($U$1,A:B,2,))/VLOOKUP($U$1,A:B,2,))*100)+100</f>
        <v/>
      </c>
      <c r="I106" s="76">
        <f>(((Table134567891011121314151617343[[#This Row],[FRA]]-VLOOKUP($U$1,A:C,3,))/VLOOKUP($U$1,A:C,3,))*100)+100</f>
        <v/>
      </c>
      <c r="J106" s="76">
        <f>(((Table134567891011121314151617343[[#This Row],[DEU]]-VLOOKUP($U$1,A:D,4,))/VLOOKUP($U$1,A:D,4,))*100)+100</f>
        <v/>
      </c>
      <c r="K106" s="76">
        <f>(((Table134567891011121314151617343[[#This Row],[ESP]]-VLOOKUP($U$1,A:E,5,))/VLOOKUP($U$1,A:E,5,))*100)+100</f>
        <v/>
      </c>
      <c r="L106" s="76">
        <f>(((Table134567891011121314151617343[[#This Row],[EA19]]-VLOOKUP($U$1,A:F,6,))/VLOOKUP($U$1,A:F,6,))*100)+100</f>
        <v/>
      </c>
      <c r="M106" s="76">
        <f>(((Table134567891011121314151617343[[#This Row],[GBR]]-VLOOKUP($U$1,A:G,7,))/VLOOKUP($U$1,A:G,7,))*100)+100</f>
        <v/>
      </c>
      <c r="N106" s="76">
        <f>IF(VLOOKUP(A106,Database!$A:$AU,MATCH($N$1,Database!$A$1:$AU$1,0),FALSE)=0,#N/A,VLOOKUP(A106,Database!$A:$AU,MATCH($N$1,Database!$A$1:$AU$1,0),FALSE))</f>
        <v/>
      </c>
      <c r="O106" s="76">
        <f>(((Table134567891011121314151617343[[#This Row],[USA]]-VLOOKUP($U$1,A:N,14,))/VLOOKUP($U$1,A:N,14,))*100)+100</f>
        <v/>
      </c>
      <c r="P106" s="76">
        <f>IF(VLOOKUP(A106,Database!$A:$AS,MATCH($P$1,Database!$A$1:$AS$1,0),FALSE)=0,#N/A,VLOOKUP(A106,Database!$A:$AS,MATCH($P$1,Database!$A$1:$AS$1,0),FALSE))</f>
        <v/>
      </c>
      <c r="Q106" s="76">
        <f>(((Table134567891011121314151617343[[#This Row],[JPN]]-VLOOKUP($U$1,A:Q,16,))/VLOOKUP($U$1,A:Q,16,))*100)+100</f>
        <v/>
      </c>
    </row>
    <row r="107" customFormat="1" s="86">
      <c r="A107" s="21" t="n">
        <v>36069</v>
      </c>
      <c r="B107" s="76">
        <f>IF(VLOOKUP(A107,Database!$A:$AS,MATCH($B$1,Database!$A$1:$AS$1,0),FALSE)=0,#N/A,VLOOKUP(A107,Database!$A:$AS,MATCH($B$1,Database!$A$1:$AS$1,0),FALSE))</f>
        <v/>
      </c>
      <c r="C107" s="76">
        <f>IF(VLOOKUP(A107,Database!$A:$AS,MATCH($C$1,Database!$A$1:$AS$1,0),FALSE)=0,#N/A,VLOOKUP(A107,Database!$A:$AS,MATCH($C$1,Database!$A$1:$AS$1,0),FALSE))</f>
        <v/>
      </c>
      <c r="D107" s="76">
        <f>IF(VLOOKUP(A107,Database!$A:$AS,MATCH($D$1,Database!$A$1:$AS$1,0),FALSE)=0,#N/A,VLOOKUP(A107,Database!$A:$AS,MATCH($D$1,Database!$A$1:$AS$1,0),FALSE))</f>
        <v/>
      </c>
      <c r="E107" s="76">
        <f>IF(VLOOKUP(A107,Database!$A:$AS,MATCH($E$1,Database!$A$1:$AS$1,0),FALSE)=0,#N/A,VLOOKUP(A107,Database!$A:$AS,MATCH($E$1,Database!$A$1:$AS$1,0),FALSE))</f>
        <v/>
      </c>
      <c r="F107" s="76">
        <f>IF(VLOOKUP(A107,Database!$A:$AS,MATCH($F$1,Database!$A$1:$AS$1,0),FALSE)=0,#N/A,VLOOKUP(A107,Database!$A:$AS,MATCH($F$1,Database!$A$1:$AS$1,0),FALSE))</f>
        <v/>
      </c>
      <c r="G107" s="76">
        <f>IF(VLOOKUP(A107,Database!$A:$AS,MATCH($G$1,Database!$A$1:$AS$1,0),FALSE)=0,#N/A,VLOOKUP(A107,Database!$A:$AS,MATCH($G$1,Database!$A$1:$AS$1,0),FALSE))</f>
        <v/>
      </c>
      <c r="H107" s="76">
        <f>(((Table134567891011121314151617343[[#This Row],[ITA]]-VLOOKUP($U$1,A:B,2,))/VLOOKUP($U$1,A:B,2,))*100)+100</f>
        <v/>
      </c>
      <c r="I107" s="76">
        <f>(((Table134567891011121314151617343[[#This Row],[FRA]]-VLOOKUP($U$1,A:C,3,))/VLOOKUP($U$1,A:C,3,))*100)+100</f>
        <v/>
      </c>
      <c r="J107" s="76">
        <f>(((Table134567891011121314151617343[[#This Row],[DEU]]-VLOOKUP($U$1,A:D,4,))/VLOOKUP($U$1,A:D,4,))*100)+100</f>
        <v/>
      </c>
      <c r="K107" s="76">
        <f>(((Table134567891011121314151617343[[#This Row],[ESP]]-VLOOKUP($U$1,A:E,5,))/VLOOKUP($U$1,A:E,5,))*100)+100</f>
        <v/>
      </c>
      <c r="L107" s="76">
        <f>(((Table134567891011121314151617343[[#This Row],[EA19]]-VLOOKUP($U$1,A:F,6,))/VLOOKUP($U$1,A:F,6,))*100)+100</f>
        <v/>
      </c>
      <c r="M107" s="76">
        <f>(((Table134567891011121314151617343[[#This Row],[GBR]]-VLOOKUP($U$1,A:G,7,))/VLOOKUP($U$1,A:G,7,))*100)+100</f>
        <v/>
      </c>
      <c r="N107" s="76">
        <f>IF(VLOOKUP(A107,Database!$A:$AU,MATCH($N$1,Database!$A$1:$AU$1,0),FALSE)=0,#N/A,VLOOKUP(A107,Database!$A:$AU,MATCH($N$1,Database!$A$1:$AU$1,0),FALSE))</f>
        <v/>
      </c>
      <c r="O107" s="76">
        <f>(((Table134567891011121314151617343[[#This Row],[USA]]-VLOOKUP($U$1,A:N,14,))/VLOOKUP($U$1,A:N,14,))*100)+100</f>
        <v/>
      </c>
      <c r="P107" s="76">
        <f>IF(VLOOKUP(A107,Database!$A:$AS,MATCH($P$1,Database!$A$1:$AS$1,0),FALSE)=0,#N/A,VLOOKUP(A107,Database!$A:$AS,MATCH($P$1,Database!$A$1:$AS$1,0),FALSE))</f>
        <v/>
      </c>
      <c r="Q107" s="76">
        <f>(((Table134567891011121314151617343[[#This Row],[JPN]]-VLOOKUP($U$1,A:Q,16,))/VLOOKUP($U$1,A:Q,16,))*100)+100</f>
        <v/>
      </c>
    </row>
    <row r="108" customFormat="1" s="86">
      <c r="A108" s="21" t="n">
        <v>36100</v>
      </c>
      <c r="B108" s="76">
        <f>IF(VLOOKUP(A108,Database!$A:$AS,MATCH($B$1,Database!$A$1:$AS$1,0),FALSE)=0,#N/A,VLOOKUP(A108,Database!$A:$AS,MATCH($B$1,Database!$A$1:$AS$1,0),FALSE))</f>
        <v/>
      </c>
      <c r="C108" s="76">
        <f>IF(VLOOKUP(A108,Database!$A:$AS,MATCH($C$1,Database!$A$1:$AS$1,0),FALSE)=0,#N/A,VLOOKUP(A108,Database!$A:$AS,MATCH($C$1,Database!$A$1:$AS$1,0),FALSE))</f>
        <v/>
      </c>
      <c r="D108" s="76">
        <f>IF(VLOOKUP(A108,Database!$A:$AS,MATCH($D$1,Database!$A$1:$AS$1,0),FALSE)=0,#N/A,VLOOKUP(A108,Database!$A:$AS,MATCH($D$1,Database!$A$1:$AS$1,0),FALSE))</f>
        <v/>
      </c>
      <c r="E108" s="76">
        <f>IF(VLOOKUP(A108,Database!$A:$AS,MATCH($E$1,Database!$A$1:$AS$1,0),FALSE)=0,#N/A,VLOOKUP(A108,Database!$A:$AS,MATCH($E$1,Database!$A$1:$AS$1,0),FALSE))</f>
        <v/>
      </c>
      <c r="F108" s="76">
        <f>IF(VLOOKUP(A108,Database!$A:$AS,MATCH($F$1,Database!$A$1:$AS$1,0),FALSE)=0,#N/A,VLOOKUP(A108,Database!$A:$AS,MATCH($F$1,Database!$A$1:$AS$1,0),FALSE))</f>
        <v/>
      </c>
      <c r="G108" s="76">
        <f>IF(VLOOKUP(A108,Database!$A:$AS,MATCH($G$1,Database!$A$1:$AS$1,0),FALSE)=0,#N/A,VLOOKUP(A108,Database!$A:$AS,MATCH($G$1,Database!$A$1:$AS$1,0),FALSE))</f>
        <v/>
      </c>
      <c r="H108" s="76">
        <f>(((Table134567891011121314151617343[[#This Row],[ITA]]-VLOOKUP($U$1,A:B,2,))/VLOOKUP($U$1,A:B,2,))*100)+100</f>
        <v/>
      </c>
      <c r="I108" s="76">
        <f>(((Table134567891011121314151617343[[#This Row],[FRA]]-VLOOKUP($U$1,A:C,3,))/VLOOKUP($U$1,A:C,3,))*100)+100</f>
        <v/>
      </c>
      <c r="J108" s="76">
        <f>(((Table134567891011121314151617343[[#This Row],[DEU]]-VLOOKUP($U$1,A:D,4,))/VLOOKUP($U$1,A:D,4,))*100)+100</f>
        <v/>
      </c>
      <c r="K108" s="76">
        <f>(((Table134567891011121314151617343[[#This Row],[ESP]]-VLOOKUP($U$1,A:E,5,))/VLOOKUP($U$1,A:E,5,))*100)+100</f>
        <v/>
      </c>
      <c r="L108" s="76">
        <f>(((Table134567891011121314151617343[[#This Row],[EA19]]-VLOOKUP($U$1,A:F,6,))/VLOOKUP($U$1,A:F,6,))*100)+100</f>
        <v/>
      </c>
      <c r="M108" s="76">
        <f>(((Table134567891011121314151617343[[#This Row],[GBR]]-VLOOKUP($U$1,A:G,7,))/VLOOKUP($U$1,A:G,7,))*100)+100</f>
        <v/>
      </c>
      <c r="N108" s="76">
        <f>IF(VLOOKUP(A108,Database!$A:$AU,MATCH($N$1,Database!$A$1:$AU$1,0),FALSE)=0,#N/A,VLOOKUP(A108,Database!$A:$AU,MATCH($N$1,Database!$A$1:$AU$1,0),FALSE))</f>
        <v/>
      </c>
      <c r="O108" s="76">
        <f>(((Table134567891011121314151617343[[#This Row],[USA]]-VLOOKUP($U$1,A:N,14,))/VLOOKUP($U$1,A:N,14,))*100)+100</f>
        <v/>
      </c>
      <c r="P108" s="76">
        <f>IF(VLOOKUP(A108,Database!$A:$AS,MATCH($P$1,Database!$A$1:$AS$1,0),FALSE)=0,#N/A,VLOOKUP(A108,Database!$A:$AS,MATCH($P$1,Database!$A$1:$AS$1,0),FALSE))</f>
        <v/>
      </c>
      <c r="Q108" s="76">
        <f>(((Table134567891011121314151617343[[#This Row],[JPN]]-VLOOKUP($U$1,A:Q,16,))/VLOOKUP($U$1,A:Q,16,))*100)+100</f>
        <v/>
      </c>
    </row>
    <row r="109" customFormat="1" s="86">
      <c r="A109" s="21" t="n">
        <v>36130</v>
      </c>
      <c r="B109" s="76">
        <f>IF(VLOOKUP(A109,Database!$A:$AS,MATCH($B$1,Database!$A$1:$AS$1,0),FALSE)=0,#N/A,VLOOKUP(A109,Database!$A:$AS,MATCH($B$1,Database!$A$1:$AS$1,0),FALSE))</f>
        <v/>
      </c>
      <c r="C109" s="76">
        <f>IF(VLOOKUP(A109,Database!$A:$AS,MATCH($C$1,Database!$A$1:$AS$1,0),FALSE)=0,#N/A,VLOOKUP(A109,Database!$A:$AS,MATCH($C$1,Database!$A$1:$AS$1,0),FALSE))</f>
        <v/>
      </c>
      <c r="D109" s="76">
        <f>IF(VLOOKUP(A109,Database!$A:$AS,MATCH($D$1,Database!$A$1:$AS$1,0),FALSE)=0,#N/A,VLOOKUP(A109,Database!$A:$AS,MATCH($D$1,Database!$A$1:$AS$1,0),FALSE))</f>
        <v/>
      </c>
      <c r="E109" s="76">
        <f>IF(VLOOKUP(A109,Database!$A:$AS,MATCH($E$1,Database!$A$1:$AS$1,0),FALSE)=0,#N/A,VLOOKUP(A109,Database!$A:$AS,MATCH($E$1,Database!$A$1:$AS$1,0),FALSE))</f>
        <v/>
      </c>
      <c r="F109" s="76">
        <f>IF(VLOOKUP(A109,Database!$A:$AS,MATCH($F$1,Database!$A$1:$AS$1,0),FALSE)=0,#N/A,VLOOKUP(A109,Database!$A:$AS,MATCH($F$1,Database!$A$1:$AS$1,0),FALSE))</f>
        <v/>
      </c>
      <c r="G109" s="76">
        <f>IF(VLOOKUP(A109,Database!$A:$AS,MATCH($G$1,Database!$A$1:$AS$1,0),FALSE)=0,#N/A,VLOOKUP(A109,Database!$A:$AS,MATCH($G$1,Database!$A$1:$AS$1,0),FALSE))</f>
        <v/>
      </c>
      <c r="H109" s="76">
        <f>(((Table134567891011121314151617343[[#This Row],[ITA]]-VLOOKUP($U$1,A:B,2,))/VLOOKUP($U$1,A:B,2,))*100)+100</f>
        <v/>
      </c>
      <c r="I109" s="76">
        <f>(((Table134567891011121314151617343[[#This Row],[FRA]]-VLOOKUP($U$1,A:C,3,))/VLOOKUP($U$1,A:C,3,))*100)+100</f>
        <v/>
      </c>
      <c r="J109" s="76">
        <f>(((Table134567891011121314151617343[[#This Row],[DEU]]-VLOOKUP($U$1,A:D,4,))/VLOOKUP($U$1,A:D,4,))*100)+100</f>
        <v/>
      </c>
      <c r="K109" s="76">
        <f>(((Table134567891011121314151617343[[#This Row],[ESP]]-VLOOKUP($U$1,A:E,5,))/VLOOKUP($U$1,A:E,5,))*100)+100</f>
        <v/>
      </c>
      <c r="L109" s="76">
        <f>(((Table134567891011121314151617343[[#This Row],[EA19]]-VLOOKUP($U$1,A:F,6,))/VLOOKUP($U$1,A:F,6,))*100)+100</f>
        <v/>
      </c>
      <c r="M109" s="76">
        <f>(((Table134567891011121314151617343[[#This Row],[GBR]]-VLOOKUP($U$1,A:G,7,))/VLOOKUP($U$1,A:G,7,))*100)+100</f>
        <v/>
      </c>
      <c r="N109" s="76">
        <f>IF(VLOOKUP(A109,Database!$A:$AU,MATCH($N$1,Database!$A$1:$AU$1,0),FALSE)=0,#N/A,VLOOKUP(A109,Database!$A:$AU,MATCH($N$1,Database!$A$1:$AU$1,0),FALSE))</f>
        <v/>
      </c>
      <c r="O109" s="76">
        <f>(((Table134567891011121314151617343[[#This Row],[USA]]-VLOOKUP($U$1,A:N,14,))/VLOOKUP($U$1,A:N,14,))*100)+100</f>
        <v/>
      </c>
      <c r="P109" s="76">
        <f>IF(VLOOKUP(A109,Database!$A:$AS,MATCH($P$1,Database!$A$1:$AS$1,0),FALSE)=0,#N/A,VLOOKUP(A109,Database!$A:$AS,MATCH($P$1,Database!$A$1:$AS$1,0),FALSE))</f>
        <v/>
      </c>
      <c r="Q109" s="76">
        <f>(((Table134567891011121314151617343[[#This Row],[JPN]]-VLOOKUP($U$1,A:Q,16,))/VLOOKUP($U$1,A:Q,16,))*100)+100</f>
        <v/>
      </c>
    </row>
    <row r="110" customFormat="1" s="86">
      <c r="A110" s="21" t="n">
        <v>36161</v>
      </c>
      <c r="B110" s="76">
        <f>IF(VLOOKUP(A110,Database!$A:$AS,MATCH($B$1,Database!$A$1:$AS$1,0),FALSE)=0,#N/A,VLOOKUP(A110,Database!$A:$AS,MATCH($B$1,Database!$A$1:$AS$1,0),FALSE))</f>
        <v/>
      </c>
      <c r="C110" s="76">
        <f>IF(VLOOKUP(A110,Database!$A:$AS,MATCH($C$1,Database!$A$1:$AS$1,0),FALSE)=0,#N/A,VLOOKUP(A110,Database!$A:$AS,MATCH($C$1,Database!$A$1:$AS$1,0),FALSE))</f>
        <v/>
      </c>
      <c r="D110" s="76">
        <f>IF(VLOOKUP(A110,Database!$A:$AS,MATCH($D$1,Database!$A$1:$AS$1,0),FALSE)=0,#N/A,VLOOKUP(A110,Database!$A:$AS,MATCH($D$1,Database!$A$1:$AS$1,0),FALSE))</f>
        <v/>
      </c>
      <c r="E110" s="76">
        <f>IF(VLOOKUP(A110,Database!$A:$AS,MATCH($E$1,Database!$A$1:$AS$1,0),FALSE)=0,#N/A,VLOOKUP(A110,Database!$A:$AS,MATCH($E$1,Database!$A$1:$AS$1,0),FALSE))</f>
        <v/>
      </c>
      <c r="F110" s="76">
        <f>IF(VLOOKUP(A110,Database!$A:$AS,MATCH($F$1,Database!$A$1:$AS$1,0),FALSE)=0,#N/A,VLOOKUP(A110,Database!$A:$AS,MATCH($F$1,Database!$A$1:$AS$1,0),FALSE))</f>
        <v/>
      </c>
      <c r="G110" s="76">
        <f>IF(VLOOKUP(A110,Database!$A:$AS,MATCH($G$1,Database!$A$1:$AS$1,0),FALSE)=0,#N/A,VLOOKUP(A110,Database!$A:$AS,MATCH($G$1,Database!$A$1:$AS$1,0),FALSE))</f>
        <v/>
      </c>
      <c r="H110" s="76">
        <f>(((Table134567891011121314151617343[[#This Row],[ITA]]-VLOOKUP($U$1,A:B,2,))/VLOOKUP($U$1,A:B,2,))*100)+100</f>
        <v/>
      </c>
      <c r="I110" s="76">
        <f>(((Table134567891011121314151617343[[#This Row],[FRA]]-VLOOKUP($U$1,A:C,3,))/VLOOKUP($U$1,A:C,3,))*100)+100</f>
        <v/>
      </c>
      <c r="J110" s="76">
        <f>(((Table134567891011121314151617343[[#This Row],[DEU]]-VLOOKUP($U$1,A:D,4,))/VLOOKUP($U$1,A:D,4,))*100)+100</f>
        <v/>
      </c>
      <c r="K110" s="76">
        <f>(((Table134567891011121314151617343[[#This Row],[ESP]]-VLOOKUP($U$1,A:E,5,))/VLOOKUP($U$1,A:E,5,))*100)+100</f>
        <v/>
      </c>
      <c r="L110" s="76">
        <f>(((Table134567891011121314151617343[[#This Row],[EA19]]-VLOOKUP($U$1,A:F,6,))/VLOOKUP($U$1,A:F,6,))*100)+100</f>
        <v/>
      </c>
      <c r="M110" s="76">
        <f>(((Table134567891011121314151617343[[#This Row],[GBR]]-VLOOKUP($U$1,A:G,7,))/VLOOKUP($U$1,A:G,7,))*100)+100</f>
        <v/>
      </c>
      <c r="N110" s="76">
        <f>IF(VLOOKUP(A110,Database!$A:$AU,MATCH($N$1,Database!$A$1:$AU$1,0),FALSE)=0,#N/A,VLOOKUP(A110,Database!$A:$AU,MATCH($N$1,Database!$A$1:$AU$1,0),FALSE))</f>
        <v/>
      </c>
      <c r="O110" s="76">
        <f>(((Table134567891011121314151617343[[#This Row],[USA]]-VLOOKUP($U$1,A:N,14,))/VLOOKUP($U$1,A:N,14,))*100)+100</f>
        <v/>
      </c>
      <c r="P110" s="76">
        <f>IF(VLOOKUP(A110,Database!$A:$AS,MATCH($P$1,Database!$A$1:$AS$1,0),FALSE)=0,#N/A,VLOOKUP(A110,Database!$A:$AS,MATCH($P$1,Database!$A$1:$AS$1,0),FALSE))</f>
        <v/>
      </c>
      <c r="Q110" s="76">
        <f>(((Table134567891011121314151617343[[#This Row],[JPN]]-VLOOKUP($U$1,A:Q,16,))/VLOOKUP($U$1,A:Q,16,))*100)+100</f>
        <v/>
      </c>
    </row>
    <row r="111" customFormat="1" s="86">
      <c r="A111" s="21" t="n">
        <v>36192</v>
      </c>
      <c r="B111" s="76">
        <f>IF(VLOOKUP(A111,Database!$A:$AS,MATCH($B$1,Database!$A$1:$AS$1,0),FALSE)=0,#N/A,VLOOKUP(A111,Database!$A:$AS,MATCH($B$1,Database!$A$1:$AS$1,0),FALSE))</f>
        <v/>
      </c>
      <c r="C111" s="76">
        <f>IF(VLOOKUP(A111,Database!$A:$AS,MATCH($C$1,Database!$A$1:$AS$1,0),FALSE)=0,#N/A,VLOOKUP(A111,Database!$A:$AS,MATCH($C$1,Database!$A$1:$AS$1,0),FALSE))</f>
        <v/>
      </c>
      <c r="D111" s="76">
        <f>IF(VLOOKUP(A111,Database!$A:$AS,MATCH($D$1,Database!$A$1:$AS$1,0),FALSE)=0,#N/A,VLOOKUP(A111,Database!$A:$AS,MATCH($D$1,Database!$A$1:$AS$1,0),FALSE))</f>
        <v/>
      </c>
      <c r="E111" s="76">
        <f>IF(VLOOKUP(A111,Database!$A:$AS,MATCH($E$1,Database!$A$1:$AS$1,0),FALSE)=0,#N/A,VLOOKUP(A111,Database!$A:$AS,MATCH($E$1,Database!$A$1:$AS$1,0),FALSE))</f>
        <v/>
      </c>
      <c r="F111" s="76">
        <f>IF(VLOOKUP(A111,Database!$A:$AS,MATCH($F$1,Database!$A$1:$AS$1,0),FALSE)=0,#N/A,VLOOKUP(A111,Database!$A:$AS,MATCH($F$1,Database!$A$1:$AS$1,0),FALSE))</f>
        <v/>
      </c>
      <c r="G111" s="76">
        <f>IF(VLOOKUP(A111,Database!$A:$AS,MATCH($G$1,Database!$A$1:$AS$1,0),FALSE)=0,#N/A,VLOOKUP(A111,Database!$A:$AS,MATCH($G$1,Database!$A$1:$AS$1,0),FALSE))</f>
        <v/>
      </c>
      <c r="H111" s="42">
        <f>(((Table134567891011121314151617343[[#This Row],[ITA]]-VLOOKUP($U$1,A:B,2,))/VLOOKUP($U$1,A:B,2,))*100)+100</f>
        <v/>
      </c>
      <c r="I111" s="76">
        <f>(((Table134567891011121314151617343[[#This Row],[FRA]]-VLOOKUP($U$1,A:C,3,))/VLOOKUP($U$1,A:C,3,))*100)+100</f>
        <v/>
      </c>
      <c r="J111" s="76">
        <f>(((Table134567891011121314151617343[[#This Row],[DEU]]-VLOOKUP($U$1,A:D,4,))/VLOOKUP($U$1,A:D,4,))*100)+100</f>
        <v/>
      </c>
      <c r="K111" s="76">
        <f>(((Table134567891011121314151617343[[#This Row],[ESP]]-VLOOKUP($U$1,A:E,5,))/VLOOKUP($U$1,A:E,5,))*100)+100</f>
        <v/>
      </c>
      <c r="L111" s="76">
        <f>(((Table134567891011121314151617343[[#This Row],[EA19]]-VLOOKUP($U$1,A:F,6,))/VLOOKUP($U$1,A:F,6,))*100)+100</f>
        <v/>
      </c>
      <c r="M111" s="76">
        <f>(((Table134567891011121314151617343[[#This Row],[GBR]]-VLOOKUP($U$1,A:G,7,))/VLOOKUP($U$1,A:G,7,))*100)+100</f>
        <v/>
      </c>
      <c r="N111" s="76">
        <f>IF(VLOOKUP(A111,Database!$A:$AU,MATCH($N$1,Database!$A$1:$AU$1,0),FALSE)=0,#N/A,VLOOKUP(A111,Database!$A:$AU,MATCH($N$1,Database!$A$1:$AU$1,0),FALSE))</f>
        <v/>
      </c>
      <c r="O111" s="76">
        <f>(((Table134567891011121314151617343[[#This Row],[USA]]-VLOOKUP($U$1,A:N,14,))/VLOOKUP($U$1,A:N,14,))*100)+100</f>
        <v/>
      </c>
      <c r="P111" s="76">
        <f>IF(VLOOKUP(A111,Database!$A:$AS,MATCH($P$1,Database!$A$1:$AS$1,0),FALSE)=0,#N/A,VLOOKUP(A111,Database!$A:$AS,MATCH($P$1,Database!$A$1:$AS$1,0),FALSE))</f>
        <v/>
      </c>
      <c r="Q111" s="76">
        <f>(((Table134567891011121314151617343[[#This Row],[JPN]]-VLOOKUP($U$1,A:Q,16,))/VLOOKUP($U$1,A:Q,16,))*100)+100</f>
        <v/>
      </c>
    </row>
    <row r="112" customFormat="1" s="86">
      <c r="A112" s="21" t="n">
        <v>36220</v>
      </c>
      <c r="B112" s="76">
        <f>IF(VLOOKUP(A112,Database!$A:$AS,MATCH($B$1,Database!$A$1:$AS$1,0),FALSE)=0,#N/A,VLOOKUP(A112,Database!$A:$AS,MATCH($B$1,Database!$A$1:$AS$1,0),FALSE))</f>
        <v/>
      </c>
      <c r="C112" s="76">
        <f>IF(VLOOKUP(A112,Database!$A:$AS,MATCH($C$1,Database!$A$1:$AS$1,0),FALSE)=0,#N/A,VLOOKUP(A112,Database!$A:$AS,MATCH($C$1,Database!$A$1:$AS$1,0),FALSE))</f>
        <v/>
      </c>
      <c r="D112" s="76">
        <f>IF(VLOOKUP(A112,Database!$A:$AS,MATCH($D$1,Database!$A$1:$AS$1,0),FALSE)=0,#N/A,VLOOKUP(A112,Database!$A:$AS,MATCH($D$1,Database!$A$1:$AS$1,0),FALSE))</f>
        <v/>
      </c>
      <c r="E112" s="76">
        <f>IF(VLOOKUP(A112,Database!$A:$AS,MATCH($E$1,Database!$A$1:$AS$1,0),FALSE)=0,#N/A,VLOOKUP(A112,Database!$A:$AS,MATCH($E$1,Database!$A$1:$AS$1,0),FALSE))</f>
        <v/>
      </c>
      <c r="F112" s="76">
        <f>IF(VLOOKUP(A112,Database!$A:$AS,MATCH($F$1,Database!$A$1:$AS$1,0),FALSE)=0,#N/A,VLOOKUP(A112,Database!$A:$AS,MATCH($F$1,Database!$A$1:$AS$1,0),FALSE))</f>
        <v/>
      </c>
      <c r="G112" s="76">
        <f>IF(VLOOKUP(A112,Database!$A:$AS,MATCH($G$1,Database!$A$1:$AS$1,0),FALSE)=0,#N/A,VLOOKUP(A112,Database!$A:$AS,MATCH($G$1,Database!$A$1:$AS$1,0),FALSE))</f>
        <v/>
      </c>
      <c r="H112" s="76">
        <f>(((Table134567891011121314151617343[[#This Row],[ITA]]-VLOOKUP($U$1,A:B,2,))/VLOOKUP($U$1,A:B,2,))*100)+100</f>
        <v/>
      </c>
      <c r="I112" s="76">
        <f>(((Table134567891011121314151617343[[#This Row],[FRA]]-VLOOKUP($U$1,A:C,3,))/VLOOKUP($U$1,A:C,3,))*100)+100</f>
        <v/>
      </c>
      <c r="J112" s="76">
        <f>(((Table134567891011121314151617343[[#This Row],[DEU]]-VLOOKUP($U$1,A:D,4,))/VLOOKUP($U$1,A:D,4,))*100)+100</f>
        <v/>
      </c>
      <c r="K112" s="76">
        <f>(((Table134567891011121314151617343[[#This Row],[ESP]]-VLOOKUP($U$1,A:E,5,))/VLOOKUP($U$1,A:E,5,))*100)+100</f>
        <v/>
      </c>
      <c r="L112" s="76">
        <f>(((Table134567891011121314151617343[[#This Row],[EA19]]-VLOOKUP($U$1,A:F,6,))/VLOOKUP($U$1,A:F,6,))*100)+100</f>
        <v/>
      </c>
      <c r="M112" s="76">
        <f>(((Table134567891011121314151617343[[#This Row],[GBR]]-VLOOKUP($U$1,A:G,7,))/VLOOKUP($U$1,A:G,7,))*100)+100</f>
        <v/>
      </c>
      <c r="N112" s="76">
        <f>IF(VLOOKUP(A112,Database!$A:$AU,MATCH($N$1,Database!$A$1:$AU$1,0),FALSE)=0,#N/A,VLOOKUP(A112,Database!$A:$AU,MATCH($N$1,Database!$A$1:$AU$1,0),FALSE))</f>
        <v/>
      </c>
      <c r="O112" s="76">
        <f>(((Table134567891011121314151617343[[#This Row],[USA]]-VLOOKUP($U$1,A:N,14,))/VLOOKUP($U$1,A:N,14,))*100)+100</f>
        <v/>
      </c>
      <c r="P112" s="76">
        <f>IF(VLOOKUP(A112,Database!$A:$AS,MATCH($P$1,Database!$A$1:$AS$1,0),FALSE)=0,#N/A,VLOOKUP(A112,Database!$A:$AS,MATCH($P$1,Database!$A$1:$AS$1,0),FALSE))</f>
        <v/>
      </c>
      <c r="Q112" s="76">
        <f>(((Table134567891011121314151617343[[#This Row],[JPN]]-VLOOKUP($U$1,A:Q,16,))/VLOOKUP($U$1,A:Q,16,))*100)+100</f>
        <v/>
      </c>
    </row>
    <row r="113" customFormat="1" s="86">
      <c r="A113" s="21" t="n">
        <v>36251</v>
      </c>
      <c r="B113" s="76">
        <f>IF(VLOOKUP(A113,Database!$A:$AS,MATCH($B$1,Database!$A$1:$AS$1,0),FALSE)=0,#N/A,VLOOKUP(A113,Database!$A:$AS,MATCH($B$1,Database!$A$1:$AS$1,0),FALSE))</f>
        <v/>
      </c>
      <c r="C113" s="76">
        <f>IF(VLOOKUP(A113,Database!$A:$AS,MATCH($C$1,Database!$A$1:$AS$1,0),FALSE)=0,#N/A,VLOOKUP(A113,Database!$A:$AS,MATCH($C$1,Database!$A$1:$AS$1,0),FALSE))</f>
        <v/>
      </c>
      <c r="D113" s="76">
        <f>IF(VLOOKUP(A113,Database!$A:$AS,MATCH($D$1,Database!$A$1:$AS$1,0),FALSE)=0,#N/A,VLOOKUP(A113,Database!$A:$AS,MATCH($D$1,Database!$A$1:$AS$1,0),FALSE))</f>
        <v/>
      </c>
      <c r="E113" s="76">
        <f>IF(VLOOKUP(A113,Database!$A:$AS,MATCH($E$1,Database!$A$1:$AS$1,0),FALSE)=0,#N/A,VLOOKUP(A113,Database!$A:$AS,MATCH($E$1,Database!$A$1:$AS$1,0),FALSE))</f>
        <v/>
      </c>
      <c r="F113" s="76">
        <f>IF(VLOOKUP(A113,Database!$A:$AS,MATCH($F$1,Database!$A$1:$AS$1,0),FALSE)=0,#N/A,VLOOKUP(A113,Database!$A:$AS,MATCH($F$1,Database!$A$1:$AS$1,0),FALSE))</f>
        <v/>
      </c>
      <c r="G113" s="76">
        <f>IF(VLOOKUP(A113,Database!$A:$AS,MATCH($G$1,Database!$A$1:$AS$1,0),FALSE)=0,#N/A,VLOOKUP(A113,Database!$A:$AS,MATCH($G$1,Database!$A$1:$AS$1,0),FALSE))</f>
        <v/>
      </c>
      <c r="H113" s="76">
        <f>(((Table134567891011121314151617343[[#This Row],[ITA]]-VLOOKUP($U$1,A:B,2,))/VLOOKUP($U$1,A:B,2,))*100)+100</f>
        <v/>
      </c>
      <c r="I113" s="76">
        <f>(((Table134567891011121314151617343[[#This Row],[FRA]]-VLOOKUP($U$1,A:C,3,))/VLOOKUP($U$1,A:C,3,))*100)+100</f>
        <v/>
      </c>
      <c r="J113" s="76">
        <f>(((Table134567891011121314151617343[[#This Row],[DEU]]-VLOOKUP($U$1,A:D,4,))/VLOOKUP($U$1,A:D,4,))*100)+100</f>
        <v/>
      </c>
      <c r="K113" s="76">
        <f>(((Table134567891011121314151617343[[#This Row],[ESP]]-VLOOKUP($U$1,A:E,5,))/VLOOKUP($U$1,A:E,5,))*100)+100</f>
        <v/>
      </c>
      <c r="L113" s="76">
        <f>(((Table134567891011121314151617343[[#This Row],[EA19]]-VLOOKUP($U$1,A:F,6,))/VLOOKUP($U$1,A:F,6,))*100)+100</f>
        <v/>
      </c>
      <c r="M113" s="76">
        <f>(((Table134567891011121314151617343[[#This Row],[GBR]]-VLOOKUP($U$1,A:G,7,))/VLOOKUP($U$1,A:G,7,))*100)+100</f>
        <v/>
      </c>
      <c r="N113" s="76">
        <f>IF(VLOOKUP(A113,Database!$A:$AU,MATCH($N$1,Database!$A$1:$AU$1,0),FALSE)=0,#N/A,VLOOKUP(A113,Database!$A:$AU,MATCH($N$1,Database!$A$1:$AU$1,0),FALSE))</f>
        <v/>
      </c>
      <c r="O113" s="76">
        <f>(((Table134567891011121314151617343[[#This Row],[USA]]-VLOOKUP($U$1,A:N,14,))/VLOOKUP($U$1,A:N,14,))*100)+100</f>
        <v/>
      </c>
      <c r="P113" s="76">
        <f>IF(VLOOKUP(A113,Database!$A:$AS,MATCH($P$1,Database!$A$1:$AS$1,0),FALSE)=0,#N/A,VLOOKUP(A113,Database!$A:$AS,MATCH($P$1,Database!$A$1:$AS$1,0),FALSE))</f>
        <v/>
      </c>
      <c r="Q113" s="76">
        <f>(((Table134567891011121314151617343[[#This Row],[JPN]]-VLOOKUP($U$1,A:Q,16,))/VLOOKUP($U$1,A:Q,16,))*100)+100</f>
        <v/>
      </c>
    </row>
    <row r="114" customFormat="1" s="86">
      <c r="A114" s="21" t="n">
        <v>36281</v>
      </c>
      <c r="B114" s="76">
        <f>IF(VLOOKUP(A114,Database!$A:$AS,MATCH($B$1,Database!$A$1:$AS$1,0),FALSE)=0,#N/A,VLOOKUP(A114,Database!$A:$AS,MATCH($B$1,Database!$A$1:$AS$1,0),FALSE))</f>
        <v/>
      </c>
      <c r="C114" s="76">
        <f>IF(VLOOKUP(A114,Database!$A:$AS,MATCH($C$1,Database!$A$1:$AS$1,0),FALSE)=0,#N/A,VLOOKUP(A114,Database!$A:$AS,MATCH($C$1,Database!$A$1:$AS$1,0),FALSE))</f>
        <v/>
      </c>
      <c r="D114" s="76">
        <f>IF(VLOOKUP(A114,Database!$A:$AS,MATCH($D$1,Database!$A$1:$AS$1,0),FALSE)=0,#N/A,VLOOKUP(A114,Database!$A:$AS,MATCH($D$1,Database!$A$1:$AS$1,0),FALSE))</f>
        <v/>
      </c>
      <c r="E114" s="76">
        <f>IF(VLOOKUP(A114,Database!$A:$AS,MATCH($E$1,Database!$A$1:$AS$1,0),FALSE)=0,#N/A,VLOOKUP(A114,Database!$A:$AS,MATCH($E$1,Database!$A$1:$AS$1,0),FALSE))</f>
        <v/>
      </c>
      <c r="F114" s="76">
        <f>IF(VLOOKUP(A114,Database!$A:$AS,MATCH($F$1,Database!$A$1:$AS$1,0),FALSE)=0,#N/A,VLOOKUP(A114,Database!$A:$AS,MATCH($F$1,Database!$A$1:$AS$1,0),FALSE))</f>
        <v/>
      </c>
      <c r="G114" s="76">
        <f>IF(VLOOKUP(A114,Database!$A:$AS,MATCH($G$1,Database!$A$1:$AS$1,0),FALSE)=0,#N/A,VLOOKUP(A114,Database!$A:$AS,MATCH($G$1,Database!$A$1:$AS$1,0),FALSE))</f>
        <v/>
      </c>
      <c r="H114" s="76">
        <f>(((Table134567891011121314151617343[[#This Row],[ITA]]-VLOOKUP($U$1,A:B,2,))/VLOOKUP($U$1,A:B,2,))*100)+100</f>
        <v/>
      </c>
      <c r="I114" s="76">
        <f>(((Table134567891011121314151617343[[#This Row],[FRA]]-VLOOKUP($U$1,A:C,3,))/VLOOKUP($U$1,A:C,3,))*100)+100</f>
        <v/>
      </c>
      <c r="J114" s="76">
        <f>(((Table134567891011121314151617343[[#This Row],[DEU]]-VLOOKUP($U$1,A:D,4,))/VLOOKUP($U$1,A:D,4,))*100)+100</f>
        <v/>
      </c>
      <c r="K114" s="76">
        <f>(((Table134567891011121314151617343[[#This Row],[ESP]]-VLOOKUP($U$1,A:E,5,))/VLOOKUP($U$1,A:E,5,))*100)+100</f>
        <v/>
      </c>
      <c r="L114" s="76">
        <f>(((Table134567891011121314151617343[[#This Row],[EA19]]-VLOOKUP($U$1,A:F,6,))/VLOOKUP($U$1,A:F,6,))*100)+100</f>
        <v/>
      </c>
      <c r="M114" s="76">
        <f>(((Table134567891011121314151617343[[#This Row],[GBR]]-VLOOKUP($U$1,A:G,7,))/VLOOKUP($U$1,A:G,7,))*100)+100</f>
        <v/>
      </c>
      <c r="N114" s="76">
        <f>IF(VLOOKUP(A114,Database!$A:$AU,MATCH($N$1,Database!$A$1:$AU$1,0),FALSE)=0,#N/A,VLOOKUP(A114,Database!$A:$AU,MATCH($N$1,Database!$A$1:$AU$1,0),FALSE))</f>
        <v/>
      </c>
      <c r="O114" s="76">
        <f>(((Table134567891011121314151617343[[#This Row],[USA]]-VLOOKUP($U$1,A:N,14,))/VLOOKUP($U$1,A:N,14,))*100)+100</f>
        <v/>
      </c>
      <c r="P114" s="76">
        <f>IF(VLOOKUP(A114,Database!$A:$AS,MATCH($P$1,Database!$A$1:$AS$1,0),FALSE)=0,#N/A,VLOOKUP(A114,Database!$A:$AS,MATCH($P$1,Database!$A$1:$AS$1,0),FALSE))</f>
        <v/>
      </c>
      <c r="Q114" s="76">
        <f>(((Table134567891011121314151617343[[#This Row],[JPN]]-VLOOKUP($U$1,A:Q,16,))/VLOOKUP($U$1,A:Q,16,))*100)+100</f>
        <v/>
      </c>
    </row>
    <row r="115" customFormat="1" s="86">
      <c r="A115" s="21" t="n">
        <v>36312</v>
      </c>
      <c r="B115" s="76">
        <f>IF(VLOOKUP(A115,Database!$A:$AS,MATCH($B$1,Database!$A$1:$AS$1,0),FALSE)=0,#N/A,VLOOKUP(A115,Database!$A:$AS,MATCH($B$1,Database!$A$1:$AS$1,0),FALSE))</f>
        <v/>
      </c>
      <c r="C115" s="76">
        <f>IF(VLOOKUP(A115,Database!$A:$AS,MATCH($C$1,Database!$A$1:$AS$1,0),FALSE)=0,#N/A,VLOOKUP(A115,Database!$A:$AS,MATCH($C$1,Database!$A$1:$AS$1,0),FALSE))</f>
        <v/>
      </c>
      <c r="D115" s="76">
        <f>IF(VLOOKUP(A115,Database!$A:$AS,MATCH($D$1,Database!$A$1:$AS$1,0),FALSE)=0,#N/A,VLOOKUP(A115,Database!$A:$AS,MATCH($D$1,Database!$A$1:$AS$1,0),FALSE))</f>
        <v/>
      </c>
      <c r="E115" s="76">
        <f>IF(VLOOKUP(A115,Database!$A:$AS,MATCH($E$1,Database!$A$1:$AS$1,0),FALSE)=0,#N/A,VLOOKUP(A115,Database!$A:$AS,MATCH($E$1,Database!$A$1:$AS$1,0),FALSE))</f>
        <v/>
      </c>
      <c r="F115" s="76">
        <f>IF(VLOOKUP(A115,Database!$A:$AS,MATCH($F$1,Database!$A$1:$AS$1,0),FALSE)=0,#N/A,VLOOKUP(A115,Database!$A:$AS,MATCH($F$1,Database!$A$1:$AS$1,0),FALSE))</f>
        <v/>
      </c>
      <c r="G115" s="76">
        <f>IF(VLOOKUP(A115,Database!$A:$AS,MATCH($G$1,Database!$A$1:$AS$1,0),FALSE)=0,#N/A,VLOOKUP(A115,Database!$A:$AS,MATCH($G$1,Database!$A$1:$AS$1,0),FALSE))</f>
        <v/>
      </c>
      <c r="H115" s="76">
        <f>(((Table134567891011121314151617343[[#This Row],[ITA]]-VLOOKUP($U$1,A:B,2,))/VLOOKUP($U$1,A:B,2,))*100)+100</f>
        <v/>
      </c>
      <c r="I115" s="76">
        <f>(((Table134567891011121314151617343[[#This Row],[FRA]]-VLOOKUP($U$1,A:C,3,))/VLOOKUP($U$1,A:C,3,))*100)+100</f>
        <v/>
      </c>
      <c r="J115" s="76">
        <f>(((Table134567891011121314151617343[[#This Row],[DEU]]-VLOOKUP($U$1,A:D,4,))/VLOOKUP($U$1,A:D,4,))*100)+100</f>
        <v/>
      </c>
      <c r="K115" s="76">
        <f>(((Table134567891011121314151617343[[#This Row],[ESP]]-VLOOKUP($U$1,A:E,5,))/VLOOKUP($U$1,A:E,5,))*100)+100</f>
        <v/>
      </c>
      <c r="L115" s="76">
        <f>(((Table134567891011121314151617343[[#This Row],[EA19]]-VLOOKUP($U$1,A:F,6,))/VLOOKUP($U$1,A:F,6,))*100)+100</f>
        <v/>
      </c>
      <c r="M115" s="76">
        <f>(((Table134567891011121314151617343[[#This Row],[GBR]]-VLOOKUP($U$1,A:G,7,))/VLOOKUP($U$1,A:G,7,))*100)+100</f>
        <v/>
      </c>
      <c r="N115" s="76">
        <f>IF(VLOOKUP(A115,Database!$A:$AU,MATCH($N$1,Database!$A$1:$AU$1,0),FALSE)=0,#N/A,VLOOKUP(A115,Database!$A:$AU,MATCH($N$1,Database!$A$1:$AU$1,0),FALSE))</f>
        <v/>
      </c>
      <c r="O115" s="76">
        <f>(((Table134567891011121314151617343[[#This Row],[USA]]-VLOOKUP($U$1,A:N,14,))/VLOOKUP($U$1,A:N,14,))*100)+100</f>
        <v/>
      </c>
      <c r="P115" s="76">
        <f>IF(VLOOKUP(A115,Database!$A:$AS,MATCH($P$1,Database!$A$1:$AS$1,0),FALSE)=0,#N/A,VLOOKUP(A115,Database!$A:$AS,MATCH($P$1,Database!$A$1:$AS$1,0),FALSE))</f>
        <v/>
      </c>
      <c r="Q115" s="76">
        <f>(((Table134567891011121314151617343[[#This Row],[JPN]]-VLOOKUP($U$1,A:Q,16,))/VLOOKUP($U$1,A:Q,16,))*100)+100</f>
        <v/>
      </c>
    </row>
    <row r="116" customFormat="1" s="86">
      <c r="A116" s="21" t="n">
        <v>36342</v>
      </c>
      <c r="B116" s="76">
        <f>IF(VLOOKUP(A116,Database!$A:$AS,MATCH($B$1,Database!$A$1:$AS$1,0),FALSE)=0,#N/A,VLOOKUP(A116,Database!$A:$AS,MATCH($B$1,Database!$A$1:$AS$1,0),FALSE))</f>
        <v/>
      </c>
      <c r="C116" s="76">
        <f>IF(VLOOKUP(A116,Database!$A:$AS,MATCH($C$1,Database!$A$1:$AS$1,0),FALSE)=0,#N/A,VLOOKUP(A116,Database!$A:$AS,MATCH($C$1,Database!$A$1:$AS$1,0),FALSE))</f>
        <v/>
      </c>
      <c r="D116" s="76">
        <f>IF(VLOOKUP(A116,Database!$A:$AS,MATCH($D$1,Database!$A$1:$AS$1,0),FALSE)=0,#N/A,VLOOKUP(A116,Database!$A:$AS,MATCH($D$1,Database!$A$1:$AS$1,0),FALSE))</f>
        <v/>
      </c>
      <c r="E116" s="76">
        <f>IF(VLOOKUP(A116,Database!$A:$AS,MATCH($E$1,Database!$A$1:$AS$1,0),FALSE)=0,#N/A,VLOOKUP(A116,Database!$A:$AS,MATCH($E$1,Database!$A$1:$AS$1,0),FALSE))</f>
        <v/>
      </c>
      <c r="F116" s="76">
        <f>IF(VLOOKUP(A116,Database!$A:$AS,MATCH($F$1,Database!$A$1:$AS$1,0),FALSE)=0,#N/A,VLOOKUP(A116,Database!$A:$AS,MATCH($F$1,Database!$A$1:$AS$1,0),FALSE))</f>
        <v/>
      </c>
      <c r="G116" s="76">
        <f>IF(VLOOKUP(A116,Database!$A:$AS,MATCH($G$1,Database!$A$1:$AS$1,0),FALSE)=0,#N/A,VLOOKUP(A116,Database!$A:$AS,MATCH($G$1,Database!$A$1:$AS$1,0),FALSE))</f>
        <v/>
      </c>
      <c r="H116" s="76">
        <f>(((Table134567891011121314151617343[[#This Row],[ITA]]-VLOOKUP($U$1,A:B,2,))/VLOOKUP($U$1,A:B,2,))*100)+100</f>
        <v/>
      </c>
      <c r="I116" s="76">
        <f>(((Table134567891011121314151617343[[#This Row],[FRA]]-VLOOKUP($U$1,A:C,3,))/VLOOKUP($U$1,A:C,3,))*100)+100</f>
        <v/>
      </c>
      <c r="J116" s="76">
        <f>(((Table134567891011121314151617343[[#This Row],[DEU]]-VLOOKUP($U$1,A:D,4,))/VLOOKUP($U$1,A:D,4,))*100)+100</f>
        <v/>
      </c>
      <c r="K116" s="76">
        <f>(((Table134567891011121314151617343[[#This Row],[ESP]]-VLOOKUP($U$1,A:E,5,))/VLOOKUP($U$1,A:E,5,))*100)+100</f>
        <v/>
      </c>
      <c r="L116" s="76">
        <f>(((Table134567891011121314151617343[[#This Row],[EA19]]-VLOOKUP($U$1,A:F,6,))/VLOOKUP($U$1,A:F,6,))*100)+100</f>
        <v/>
      </c>
      <c r="M116" s="76">
        <f>(((Table134567891011121314151617343[[#This Row],[GBR]]-VLOOKUP($U$1,A:G,7,))/VLOOKUP($U$1,A:G,7,))*100)+100</f>
        <v/>
      </c>
      <c r="N116" s="76">
        <f>IF(VLOOKUP(A116,Database!$A:$AU,MATCH($N$1,Database!$A$1:$AU$1,0),FALSE)=0,#N/A,VLOOKUP(A116,Database!$A:$AU,MATCH($N$1,Database!$A$1:$AU$1,0),FALSE))</f>
        <v/>
      </c>
      <c r="O116" s="76">
        <f>(((Table134567891011121314151617343[[#This Row],[USA]]-VLOOKUP($U$1,A:N,14,))/VLOOKUP($U$1,A:N,14,))*100)+100</f>
        <v/>
      </c>
      <c r="P116" s="76">
        <f>IF(VLOOKUP(A116,Database!$A:$AS,MATCH($P$1,Database!$A$1:$AS$1,0),FALSE)=0,#N/A,VLOOKUP(A116,Database!$A:$AS,MATCH($P$1,Database!$A$1:$AS$1,0),FALSE))</f>
        <v/>
      </c>
      <c r="Q116" s="76">
        <f>(((Table134567891011121314151617343[[#This Row],[JPN]]-VLOOKUP($U$1,A:Q,16,))/VLOOKUP($U$1,A:Q,16,))*100)+100</f>
        <v/>
      </c>
    </row>
    <row r="117" customFormat="1" s="86">
      <c r="A117" s="21" t="n">
        <v>36373</v>
      </c>
      <c r="B117" s="76">
        <f>IF(VLOOKUP(A117,Database!$A:$AS,MATCH($B$1,Database!$A$1:$AS$1,0),FALSE)=0,#N/A,VLOOKUP(A117,Database!$A:$AS,MATCH($B$1,Database!$A$1:$AS$1,0),FALSE))</f>
        <v/>
      </c>
      <c r="C117" s="76">
        <f>IF(VLOOKUP(A117,Database!$A:$AS,MATCH($C$1,Database!$A$1:$AS$1,0),FALSE)=0,#N/A,VLOOKUP(A117,Database!$A:$AS,MATCH($C$1,Database!$A$1:$AS$1,0),FALSE))</f>
        <v/>
      </c>
      <c r="D117" s="76">
        <f>IF(VLOOKUP(A117,Database!$A:$AS,MATCH($D$1,Database!$A$1:$AS$1,0),FALSE)=0,#N/A,VLOOKUP(A117,Database!$A:$AS,MATCH($D$1,Database!$A$1:$AS$1,0),FALSE))</f>
        <v/>
      </c>
      <c r="E117" s="76">
        <f>IF(VLOOKUP(A117,Database!$A:$AS,MATCH($E$1,Database!$A$1:$AS$1,0),FALSE)=0,#N/A,VLOOKUP(A117,Database!$A:$AS,MATCH($E$1,Database!$A$1:$AS$1,0),FALSE))</f>
        <v/>
      </c>
      <c r="F117" s="76">
        <f>IF(VLOOKUP(A117,Database!$A:$AS,MATCH($F$1,Database!$A$1:$AS$1,0),FALSE)=0,#N/A,VLOOKUP(A117,Database!$A:$AS,MATCH($F$1,Database!$A$1:$AS$1,0),FALSE))</f>
        <v/>
      </c>
      <c r="G117" s="76">
        <f>IF(VLOOKUP(A117,Database!$A:$AS,MATCH($G$1,Database!$A$1:$AS$1,0),FALSE)=0,#N/A,VLOOKUP(A117,Database!$A:$AS,MATCH($G$1,Database!$A$1:$AS$1,0),FALSE))</f>
        <v/>
      </c>
      <c r="H117" s="76">
        <f>(((Table134567891011121314151617343[[#This Row],[ITA]]-VLOOKUP($U$1,A:B,2,))/VLOOKUP($U$1,A:B,2,))*100)+100</f>
        <v/>
      </c>
      <c r="I117" s="76">
        <f>(((Table134567891011121314151617343[[#This Row],[FRA]]-VLOOKUP($U$1,A:C,3,))/VLOOKUP($U$1,A:C,3,))*100)+100</f>
        <v/>
      </c>
      <c r="J117" s="76">
        <f>(((Table134567891011121314151617343[[#This Row],[DEU]]-VLOOKUP($U$1,A:D,4,))/VLOOKUP($U$1,A:D,4,))*100)+100</f>
        <v/>
      </c>
      <c r="K117" s="76">
        <f>(((Table134567891011121314151617343[[#This Row],[ESP]]-VLOOKUP($U$1,A:E,5,))/VLOOKUP($U$1,A:E,5,))*100)+100</f>
        <v/>
      </c>
      <c r="L117" s="76">
        <f>(((Table134567891011121314151617343[[#This Row],[EA19]]-VLOOKUP($U$1,A:F,6,))/VLOOKUP($U$1,A:F,6,))*100)+100</f>
        <v/>
      </c>
      <c r="M117" s="76">
        <f>(((Table134567891011121314151617343[[#This Row],[GBR]]-VLOOKUP($U$1,A:G,7,))/VLOOKUP($U$1,A:G,7,))*100)+100</f>
        <v/>
      </c>
      <c r="N117" s="76">
        <f>IF(VLOOKUP(A117,Database!$A:$AU,MATCH($N$1,Database!$A$1:$AU$1,0),FALSE)=0,#N/A,VLOOKUP(A117,Database!$A:$AU,MATCH($N$1,Database!$A$1:$AU$1,0),FALSE))</f>
        <v/>
      </c>
      <c r="O117" s="76">
        <f>(((Table134567891011121314151617343[[#This Row],[USA]]-VLOOKUP($U$1,A:N,14,))/VLOOKUP($U$1,A:N,14,))*100)+100</f>
        <v/>
      </c>
      <c r="P117" s="76">
        <f>IF(VLOOKUP(A117,Database!$A:$AS,MATCH($P$1,Database!$A$1:$AS$1,0),FALSE)=0,#N/A,VLOOKUP(A117,Database!$A:$AS,MATCH($P$1,Database!$A$1:$AS$1,0),FALSE))</f>
        <v/>
      </c>
      <c r="Q117" s="76">
        <f>(((Table134567891011121314151617343[[#This Row],[JPN]]-VLOOKUP($U$1,A:Q,16,))/VLOOKUP($U$1,A:Q,16,))*100)+100</f>
        <v/>
      </c>
    </row>
    <row r="118" customFormat="1" s="86">
      <c r="A118" s="21" t="n">
        <v>36404</v>
      </c>
      <c r="B118" s="76">
        <f>IF(VLOOKUP(A118,Database!$A:$AS,MATCH($B$1,Database!$A$1:$AS$1,0),FALSE)=0,#N/A,VLOOKUP(A118,Database!$A:$AS,MATCH($B$1,Database!$A$1:$AS$1,0),FALSE))</f>
        <v/>
      </c>
      <c r="C118" s="76">
        <f>IF(VLOOKUP(A118,Database!$A:$AS,MATCH($C$1,Database!$A$1:$AS$1,0),FALSE)=0,#N/A,VLOOKUP(A118,Database!$A:$AS,MATCH($C$1,Database!$A$1:$AS$1,0),FALSE))</f>
        <v/>
      </c>
      <c r="D118" s="76">
        <f>IF(VLOOKUP(A118,Database!$A:$AS,MATCH($D$1,Database!$A$1:$AS$1,0),FALSE)=0,#N/A,VLOOKUP(A118,Database!$A:$AS,MATCH($D$1,Database!$A$1:$AS$1,0),FALSE))</f>
        <v/>
      </c>
      <c r="E118" s="76">
        <f>IF(VLOOKUP(A118,Database!$A:$AS,MATCH($E$1,Database!$A$1:$AS$1,0),FALSE)=0,#N/A,VLOOKUP(A118,Database!$A:$AS,MATCH($E$1,Database!$A$1:$AS$1,0),FALSE))</f>
        <v/>
      </c>
      <c r="F118" s="76">
        <f>IF(VLOOKUP(A118,Database!$A:$AS,MATCH($F$1,Database!$A$1:$AS$1,0),FALSE)=0,#N/A,VLOOKUP(A118,Database!$A:$AS,MATCH($F$1,Database!$A$1:$AS$1,0),FALSE))</f>
        <v/>
      </c>
      <c r="G118" s="76">
        <f>IF(VLOOKUP(A118,Database!$A:$AS,MATCH($G$1,Database!$A$1:$AS$1,0),FALSE)=0,#N/A,VLOOKUP(A118,Database!$A:$AS,MATCH($G$1,Database!$A$1:$AS$1,0),FALSE))</f>
        <v/>
      </c>
      <c r="H118" s="76">
        <f>(((Table134567891011121314151617343[[#This Row],[ITA]]-VLOOKUP($U$1,A:B,2,))/VLOOKUP($U$1,A:B,2,))*100)+100</f>
        <v/>
      </c>
      <c r="I118" s="76">
        <f>(((Table134567891011121314151617343[[#This Row],[FRA]]-VLOOKUP($U$1,A:C,3,))/VLOOKUP($U$1,A:C,3,))*100)+100</f>
        <v/>
      </c>
      <c r="J118" s="76">
        <f>(((Table134567891011121314151617343[[#This Row],[DEU]]-VLOOKUP($U$1,A:D,4,))/VLOOKUP($U$1,A:D,4,))*100)+100</f>
        <v/>
      </c>
      <c r="K118" s="76">
        <f>(((Table134567891011121314151617343[[#This Row],[ESP]]-VLOOKUP($U$1,A:E,5,))/VLOOKUP($U$1,A:E,5,))*100)+100</f>
        <v/>
      </c>
      <c r="L118" s="76">
        <f>(((Table134567891011121314151617343[[#This Row],[EA19]]-VLOOKUP($U$1,A:F,6,))/VLOOKUP($U$1,A:F,6,))*100)+100</f>
        <v/>
      </c>
      <c r="M118" s="76">
        <f>(((Table134567891011121314151617343[[#This Row],[GBR]]-VLOOKUP($U$1,A:G,7,))/VLOOKUP($U$1,A:G,7,))*100)+100</f>
        <v/>
      </c>
      <c r="N118" s="76">
        <f>IF(VLOOKUP(A118,Database!$A:$AU,MATCH($N$1,Database!$A$1:$AU$1,0),FALSE)=0,#N/A,VLOOKUP(A118,Database!$A:$AU,MATCH($N$1,Database!$A$1:$AU$1,0),FALSE))</f>
        <v/>
      </c>
      <c r="O118" s="76">
        <f>(((Table134567891011121314151617343[[#This Row],[USA]]-VLOOKUP($U$1,A:N,14,))/VLOOKUP($U$1,A:N,14,))*100)+100</f>
        <v/>
      </c>
      <c r="P118" s="76">
        <f>IF(VLOOKUP(A118,Database!$A:$AS,MATCH($P$1,Database!$A$1:$AS$1,0),FALSE)=0,#N/A,VLOOKUP(A118,Database!$A:$AS,MATCH($P$1,Database!$A$1:$AS$1,0),FALSE))</f>
        <v/>
      </c>
      <c r="Q118" s="76">
        <f>(((Table134567891011121314151617343[[#This Row],[JPN]]-VLOOKUP($U$1,A:Q,16,))/VLOOKUP($U$1,A:Q,16,))*100)+100</f>
        <v/>
      </c>
    </row>
    <row r="119" customFormat="1" s="86">
      <c r="A119" s="21" t="n">
        <v>36434</v>
      </c>
      <c r="B119" s="76">
        <f>IF(VLOOKUP(A119,Database!$A:$AS,MATCH($B$1,Database!$A$1:$AS$1,0),FALSE)=0,#N/A,VLOOKUP(A119,Database!$A:$AS,MATCH($B$1,Database!$A$1:$AS$1,0),FALSE))</f>
        <v/>
      </c>
      <c r="C119" s="76">
        <f>IF(VLOOKUP(A119,Database!$A:$AS,MATCH($C$1,Database!$A$1:$AS$1,0),FALSE)=0,#N/A,VLOOKUP(A119,Database!$A:$AS,MATCH($C$1,Database!$A$1:$AS$1,0),FALSE))</f>
        <v/>
      </c>
      <c r="D119" s="76">
        <f>IF(VLOOKUP(A119,Database!$A:$AS,MATCH($D$1,Database!$A$1:$AS$1,0),FALSE)=0,#N/A,VLOOKUP(A119,Database!$A:$AS,MATCH($D$1,Database!$A$1:$AS$1,0),FALSE))</f>
        <v/>
      </c>
      <c r="E119" s="76">
        <f>IF(VLOOKUP(A119,Database!$A:$AS,MATCH($E$1,Database!$A$1:$AS$1,0),FALSE)=0,#N/A,VLOOKUP(A119,Database!$A:$AS,MATCH($E$1,Database!$A$1:$AS$1,0),FALSE))</f>
        <v/>
      </c>
      <c r="F119" s="76">
        <f>IF(VLOOKUP(A119,Database!$A:$AS,MATCH($F$1,Database!$A$1:$AS$1,0),FALSE)=0,#N/A,VLOOKUP(A119,Database!$A:$AS,MATCH($F$1,Database!$A$1:$AS$1,0),FALSE))</f>
        <v/>
      </c>
      <c r="G119" s="76">
        <f>IF(VLOOKUP(A119,Database!$A:$AS,MATCH($G$1,Database!$A$1:$AS$1,0),FALSE)=0,#N/A,VLOOKUP(A119,Database!$A:$AS,MATCH($G$1,Database!$A$1:$AS$1,0),FALSE))</f>
        <v/>
      </c>
      <c r="H119" s="76">
        <f>(((Table134567891011121314151617343[[#This Row],[ITA]]-VLOOKUP($U$1,A:B,2,))/VLOOKUP($U$1,A:B,2,))*100)+100</f>
        <v/>
      </c>
      <c r="I119" s="76">
        <f>(((Table134567891011121314151617343[[#This Row],[FRA]]-VLOOKUP($U$1,A:C,3,))/VLOOKUP($U$1,A:C,3,))*100)+100</f>
        <v/>
      </c>
      <c r="J119" s="76">
        <f>(((Table134567891011121314151617343[[#This Row],[DEU]]-VLOOKUP($U$1,A:D,4,))/VLOOKUP($U$1,A:D,4,))*100)+100</f>
        <v/>
      </c>
      <c r="K119" s="76">
        <f>(((Table134567891011121314151617343[[#This Row],[ESP]]-VLOOKUP($U$1,A:E,5,))/VLOOKUP($U$1,A:E,5,))*100)+100</f>
        <v/>
      </c>
      <c r="L119" s="76">
        <f>(((Table134567891011121314151617343[[#This Row],[EA19]]-VLOOKUP($U$1,A:F,6,))/VLOOKUP($U$1,A:F,6,))*100)+100</f>
        <v/>
      </c>
      <c r="M119" s="76">
        <f>(((Table134567891011121314151617343[[#This Row],[GBR]]-VLOOKUP($U$1,A:G,7,))/VLOOKUP($U$1,A:G,7,))*100)+100</f>
        <v/>
      </c>
      <c r="N119" s="76">
        <f>IF(VLOOKUP(A119,Database!$A:$AU,MATCH($N$1,Database!$A$1:$AU$1,0),FALSE)=0,#N/A,VLOOKUP(A119,Database!$A:$AU,MATCH($N$1,Database!$A$1:$AU$1,0),FALSE))</f>
        <v/>
      </c>
      <c r="O119" s="76">
        <f>(((Table134567891011121314151617343[[#This Row],[USA]]-VLOOKUP($U$1,A:N,14,))/VLOOKUP($U$1,A:N,14,))*100)+100</f>
        <v/>
      </c>
      <c r="P119" s="76">
        <f>IF(VLOOKUP(A119,Database!$A:$AS,MATCH($P$1,Database!$A$1:$AS$1,0),FALSE)=0,#N/A,VLOOKUP(A119,Database!$A:$AS,MATCH($P$1,Database!$A$1:$AS$1,0),FALSE))</f>
        <v/>
      </c>
      <c r="Q119" s="76">
        <f>(((Table134567891011121314151617343[[#This Row],[JPN]]-VLOOKUP($U$1,A:Q,16,))/VLOOKUP($U$1,A:Q,16,))*100)+100</f>
        <v/>
      </c>
    </row>
    <row r="120" customFormat="1" s="86">
      <c r="A120" s="21" t="n">
        <v>36465</v>
      </c>
      <c r="B120" s="76">
        <f>IF(VLOOKUP(A120,Database!$A:$AS,MATCH($B$1,Database!$A$1:$AS$1,0),FALSE)=0,#N/A,VLOOKUP(A120,Database!$A:$AS,MATCH($B$1,Database!$A$1:$AS$1,0),FALSE))</f>
        <v/>
      </c>
      <c r="C120" s="76">
        <f>IF(VLOOKUP(A120,Database!$A:$AS,MATCH($C$1,Database!$A$1:$AS$1,0),FALSE)=0,#N/A,VLOOKUP(A120,Database!$A:$AS,MATCH($C$1,Database!$A$1:$AS$1,0),FALSE))</f>
        <v/>
      </c>
      <c r="D120" s="76">
        <f>IF(VLOOKUP(A120,Database!$A:$AS,MATCH($D$1,Database!$A$1:$AS$1,0),FALSE)=0,#N/A,VLOOKUP(A120,Database!$A:$AS,MATCH($D$1,Database!$A$1:$AS$1,0),FALSE))</f>
        <v/>
      </c>
      <c r="E120" s="76">
        <f>IF(VLOOKUP(A120,Database!$A:$AS,MATCH($E$1,Database!$A$1:$AS$1,0),FALSE)=0,#N/A,VLOOKUP(A120,Database!$A:$AS,MATCH($E$1,Database!$A$1:$AS$1,0),FALSE))</f>
        <v/>
      </c>
      <c r="F120" s="76">
        <f>IF(VLOOKUP(A120,Database!$A:$AS,MATCH($F$1,Database!$A$1:$AS$1,0),FALSE)=0,#N/A,VLOOKUP(A120,Database!$A:$AS,MATCH($F$1,Database!$A$1:$AS$1,0),FALSE))</f>
        <v/>
      </c>
      <c r="G120" s="76">
        <f>IF(VLOOKUP(A120,Database!$A:$AS,MATCH($G$1,Database!$A$1:$AS$1,0),FALSE)=0,#N/A,VLOOKUP(A120,Database!$A:$AS,MATCH($G$1,Database!$A$1:$AS$1,0),FALSE))</f>
        <v/>
      </c>
      <c r="H120" s="76">
        <f>(((Table134567891011121314151617343[[#This Row],[ITA]]-VLOOKUP($U$1,A:B,2,))/VLOOKUP($U$1,A:B,2,))*100)+100</f>
        <v/>
      </c>
      <c r="I120" s="76">
        <f>(((Table134567891011121314151617343[[#This Row],[FRA]]-VLOOKUP($U$1,A:C,3,))/VLOOKUP($U$1,A:C,3,))*100)+100</f>
        <v/>
      </c>
      <c r="J120" s="76">
        <f>(((Table134567891011121314151617343[[#This Row],[DEU]]-VLOOKUP($U$1,A:D,4,))/VLOOKUP($U$1,A:D,4,))*100)+100</f>
        <v/>
      </c>
      <c r="K120" s="76">
        <f>(((Table134567891011121314151617343[[#This Row],[ESP]]-VLOOKUP($U$1,A:E,5,))/VLOOKUP($U$1,A:E,5,))*100)+100</f>
        <v/>
      </c>
      <c r="L120" s="76">
        <f>(((Table134567891011121314151617343[[#This Row],[EA19]]-VLOOKUP($U$1,A:F,6,))/VLOOKUP($U$1,A:F,6,))*100)+100</f>
        <v/>
      </c>
      <c r="M120" s="76">
        <f>(((Table134567891011121314151617343[[#This Row],[GBR]]-VLOOKUP($U$1,A:G,7,))/VLOOKUP($U$1,A:G,7,))*100)+100</f>
        <v/>
      </c>
      <c r="N120" s="76">
        <f>IF(VLOOKUP(A120,Database!$A:$AU,MATCH($N$1,Database!$A$1:$AU$1,0),FALSE)=0,#N/A,VLOOKUP(A120,Database!$A:$AU,MATCH($N$1,Database!$A$1:$AU$1,0),FALSE))</f>
        <v/>
      </c>
      <c r="O120" s="76">
        <f>(((Table134567891011121314151617343[[#This Row],[USA]]-VLOOKUP($U$1,A:N,14,))/VLOOKUP($U$1,A:N,14,))*100)+100</f>
        <v/>
      </c>
      <c r="P120" s="76">
        <f>IF(VLOOKUP(A120,Database!$A:$AS,MATCH($P$1,Database!$A$1:$AS$1,0),FALSE)=0,#N/A,VLOOKUP(A120,Database!$A:$AS,MATCH($P$1,Database!$A$1:$AS$1,0),FALSE))</f>
        <v/>
      </c>
      <c r="Q120" s="76">
        <f>(((Table134567891011121314151617343[[#This Row],[JPN]]-VLOOKUP($U$1,A:Q,16,))/VLOOKUP($U$1,A:Q,16,))*100)+100</f>
        <v/>
      </c>
    </row>
    <row r="121" customFormat="1" s="86">
      <c r="A121" s="21" t="n">
        <v>36495</v>
      </c>
      <c r="B121" s="76">
        <f>IF(VLOOKUP(A121,Database!$A:$AS,MATCH($B$1,Database!$A$1:$AS$1,0),FALSE)=0,#N/A,VLOOKUP(A121,Database!$A:$AS,MATCH($B$1,Database!$A$1:$AS$1,0),FALSE))</f>
        <v/>
      </c>
      <c r="C121" s="76">
        <f>IF(VLOOKUP(A121,Database!$A:$AS,MATCH($C$1,Database!$A$1:$AS$1,0),FALSE)=0,#N/A,VLOOKUP(A121,Database!$A:$AS,MATCH($C$1,Database!$A$1:$AS$1,0),FALSE))</f>
        <v/>
      </c>
      <c r="D121" s="76">
        <f>IF(VLOOKUP(A121,Database!$A:$AS,MATCH($D$1,Database!$A$1:$AS$1,0),FALSE)=0,#N/A,VLOOKUP(A121,Database!$A:$AS,MATCH($D$1,Database!$A$1:$AS$1,0),FALSE))</f>
        <v/>
      </c>
      <c r="E121" s="76">
        <f>IF(VLOOKUP(A121,Database!$A:$AS,MATCH($E$1,Database!$A$1:$AS$1,0),FALSE)=0,#N/A,VLOOKUP(A121,Database!$A:$AS,MATCH($E$1,Database!$A$1:$AS$1,0),FALSE))</f>
        <v/>
      </c>
      <c r="F121" s="76">
        <f>IF(VLOOKUP(A121,Database!$A:$AS,MATCH($F$1,Database!$A$1:$AS$1,0),FALSE)=0,#N/A,VLOOKUP(A121,Database!$A:$AS,MATCH($F$1,Database!$A$1:$AS$1,0),FALSE))</f>
        <v/>
      </c>
      <c r="G121" s="76">
        <f>IF(VLOOKUP(A121,Database!$A:$AS,MATCH($G$1,Database!$A$1:$AS$1,0),FALSE)=0,#N/A,VLOOKUP(A121,Database!$A:$AS,MATCH($G$1,Database!$A$1:$AS$1,0),FALSE))</f>
        <v/>
      </c>
      <c r="H121" s="76">
        <f>(((Table134567891011121314151617343[[#This Row],[ITA]]-VLOOKUP($U$1,A:B,2,))/VLOOKUP($U$1,A:B,2,))*100)+100</f>
        <v/>
      </c>
      <c r="I121" s="76">
        <f>(((Table134567891011121314151617343[[#This Row],[FRA]]-VLOOKUP($U$1,A:C,3,))/VLOOKUP($U$1,A:C,3,))*100)+100</f>
        <v/>
      </c>
      <c r="J121" s="76">
        <f>(((Table134567891011121314151617343[[#This Row],[DEU]]-VLOOKUP($U$1,A:D,4,))/VLOOKUP($U$1,A:D,4,))*100)+100</f>
        <v/>
      </c>
      <c r="K121" s="76">
        <f>(((Table134567891011121314151617343[[#This Row],[ESP]]-VLOOKUP($U$1,A:E,5,))/VLOOKUP($U$1,A:E,5,))*100)+100</f>
        <v/>
      </c>
      <c r="L121" s="76">
        <f>(((Table134567891011121314151617343[[#This Row],[EA19]]-VLOOKUP($U$1,A:F,6,))/VLOOKUP($U$1,A:F,6,))*100)+100</f>
        <v/>
      </c>
      <c r="M121" s="76">
        <f>(((Table134567891011121314151617343[[#This Row],[GBR]]-VLOOKUP($U$1,A:G,7,))/VLOOKUP($U$1,A:G,7,))*100)+100</f>
        <v/>
      </c>
      <c r="N121" s="76">
        <f>IF(VLOOKUP(A121,Database!$A:$AU,MATCH($N$1,Database!$A$1:$AU$1,0),FALSE)=0,#N/A,VLOOKUP(A121,Database!$A:$AU,MATCH($N$1,Database!$A$1:$AU$1,0),FALSE))</f>
        <v/>
      </c>
      <c r="O121" s="76">
        <f>(((Table134567891011121314151617343[[#This Row],[USA]]-VLOOKUP($U$1,A:N,14,))/VLOOKUP($U$1,A:N,14,))*100)+100</f>
        <v/>
      </c>
      <c r="P121" s="76">
        <f>IF(VLOOKUP(A121,Database!$A:$AS,MATCH($P$1,Database!$A$1:$AS$1,0),FALSE)=0,#N/A,VLOOKUP(A121,Database!$A:$AS,MATCH($P$1,Database!$A$1:$AS$1,0),FALSE))</f>
        <v/>
      </c>
      <c r="Q121" s="76">
        <f>(((Table134567891011121314151617343[[#This Row],[JPN]]-VLOOKUP($U$1,A:Q,16,))/VLOOKUP($U$1,A:Q,16,))*100)+100</f>
        <v/>
      </c>
    </row>
    <row r="122" customFormat="1" s="86">
      <c r="A122" s="21" t="n">
        <v>36526</v>
      </c>
      <c r="B122" s="76">
        <f>IF(VLOOKUP(A122,Database!$A:$AS,MATCH($B$1,Database!$A$1:$AS$1,0),FALSE)=0,#N/A,VLOOKUP(A122,Database!$A:$AS,MATCH($B$1,Database!$A$1:$AS$1,0),FALSE))</f>
        <v/>
      </c>
      <c r="C122" s="76">
        <f>IF(VLOOKUP(A122,Database!$A:$AS,MATCH($C$1,Database!$A$1:$AS$1,0),FALSE)=0,#N/A,VLOOKUP(A122,Database!$A:$AS,MATCH($C$1,Database!$A$1:$AS$1,0),FALSE))</f>
        <v/>
      </c>
      <c r="D122" s="76">
        <f>IF(VLOOKUP(A122,Database!$A:$AS,MATCH($D$1,Database!$A$1:$AS$1,0),FALSE)=0,#N/A,VLOOKUP(A122,Database!$A:$AS,MATCH($D$1,Database!$A$1:$AS$1,0),FALSE))</f>
        <v/>
      </c>
      <c r="E122" s="76">
        <f>IF(VLOOKUP(A122,Database!$A:$AS,MATCH($E$1,Database!$A$1:$AS$1,0),FALSE)=0,#N/A,VLOOKUP(A122,Database!$A:$AS,MATCH($E$1,Database!$A$1:$AS$1,0),FALSE))</f>
        <v/>
      </c>
      <c r="F122" s="76">
        <f>IF(VLOOKUP(A122,Database!$A:$AS,MATCH($F$1,Database!$A$1:$AS$1,0),FALSE)=0,#N/A,VLOOKUP(A122,Database!$A:$AS,MATCH($F$1,Database!$A$1:$AS$1,0),FALSE))</f>
        <v/>
      </c>
      <c r="G122" s="76">
        <f>IF(VLOOKUP(A122,Database!$A:$AS,MATCH($G$1,Database!$A$1:$AS$1,0),FALSE)=0,#N/A,VLOOKUP(A122,Database!$A:$AS,MATCH($G$1,Database!$A$1:$AS$1,0),FALSE))</f>
        <v/>
      </c>
      <c r="H122" s="76">
        <f>(((Table134567891011121314151617343[[#This Row],[ITA]]-VLOOKUP($U$1,A:B,2,))/VLOOKUP($U$1,A:B,2,))*100)+100</f>
        <v/>
      </c>
      <c r="I122" s="76">
        <f>(((Table134567891011121314151617343[[#This Row],[FRA]]-VLOOKUP($U$1,A:C,3,))/VLOOKUP($U$1,A:C,3,))*100)+100</f>
        <v/>
      </c>
      <c r="J122" s="76">
        <f>(((Table134567891011121314151617343[[#This Row],[DEU]]-VLOOKUP($U$1,A:D,4,))/VLOOKUP($U$1,A:D,4,))*100)+100</f>
        <v/>
      </c>
      <c r="K122" s="76">
        <f>(((Table134567891011121314151617343[[#This Row],[ESP]]-VLOOKUP($U$1,A:E,5,))/VLOOKUP($U$1,A:E,5,))*100)+100</f>
        <v/>
      </c>
      <c r="L122" s="76">
        <f>(((Table134567891011121314151617343[[#This Row],[EA19]]-VLOOKUP($U$1,A:F,6,))/VLOOKUP($U$1,A:F,6,))*100)+100</f>
        <v/>
      </c>
      <c r="M122" s="76">
        <f>(((Table134567891011121314151617343[[#This Row],[GBR]]-VLOOKUP($U$1,A:G,7,))/VLOOKUP($U$1,A:G,7,))*100)+100</f>
        <v/>
      </c>
      <c r="N122" s="76">
        <f>IF(VLOOKUP(A122,Database!$A:$AU,MATCH($N$1,Database!$A$1:$AU$1,0),FALSE)=0,#N/A,VLOOKUP(A122,Database!$A:$AU,MATCH($N$1,Database!$A$1:$AU$1,0),FALSE))</f>
        <v/>
      </c>
      <c r="O122" s="76">
        <f>(((Table134567891011121314151617343[[#This Row],[USA]]-VLOOKUP($U$1,A:N,14,))/VLOOKUP($U$1,A:N,14,))*100)+100</f>
        <v/>
      </c>
      <c r="P122" s="76">
        <f>IF(VLOOKUP(A122,Database!$A:$AS,MATCH($P$1,Database!$A$1:$AS$1,0),FALSE)=0,#N/A,VLOOKUP(A122,Database!$A:$AS,MATCH($P$1,Database!$A$1:$AS$1,0),FALSE))</f>
        <v/>
      </c>
      <c r="Q122" s="76">
        <f>(((Table134567891011121314151617343[[#This Row],[JPN]]-VLOOKUP($U$1,A:Q,16,))/VLOOKUP($U$1,A:Q,16,))*100)+100</f>
        <v/>
      </c>
    </row>
    <row r="123" customFormat="1" s="86">
      <c r="A123" s="21" t="n">
        <v>36557</v>
      </c>
      <c r="B123" s="76">
        <f>IF(VLOOKUP(A123,Database!$A:$AS,MATCH($B$1,Database!$A$1:$AS$1,0),FALSE)=0,#N/A,VLOOKUP(A123,Database!$A:$AS,MATCH($B$1,Database!$A$1:$AS$1,0),FALSE))</f>
        <v/>
      </c>
      <c r="C123" s="76">
        <f>IF(VLOOKUP(A123,Database!$A:$AS,MATCH($C$1,Database!$A$1:$AS$1,0),FALSE)=0,#N/A,VLOOKUP(A123,Database!$A:$AS,MATCH($C$1,Database!$A$1:$AS$1,0),FALSE))</f>
        <v/>
      </c>
      <c r="D123" s="76">
        <f>IF(VLOOKUP(A123,Database!$A:$AS,MATCH($D$1,Database!$A$1:$AS$1,0),FALSE)=0,#N/A,VLOOKUP(A123,Database!$A:$AS,MATCH($D$1,Database!$A$1:$AS$1,0),FALSE))</f>
        <v/>
      </c>
      <c r="E123" s="76">
        <f>IF(VLOOKUP(A123,Database!$A:$AS,MATCH($E$1,Database!$A$1:$AS$1,0),FALSE)=0,#N/A,VLOOKUP(A123,Database!$A:$AS,MATCH($E$1,Database!$A$1:$AS$1,0),FALSE))</f>
        <v/>
      </c>
      <c r="F123" s="76">
        <f>IF(VLOOKUP(A123,Database!$A:$AS,MATCH($F$1,Database!$A$1:$AS$1,0),FALSE)=0,#N/A,VLOOKUP(A123,Database!$A:$AS,MATCH($F$1,Database!$A$1:$AS$1,0),FALSE))</f>
        <v/>
      </c>
      <c r="G123" s="76">
        <f>IF(VLOOKUP(A123,Database!$A:$AS,MATCH($G$1,Database!$A$1:$AS$1,0),FALSE)=0,#N/A,VLOOKUP(A123,Database!$A:$AS,MATCH($G$1,Database!$A$1:$AS$1,0),FALSE))</f>
        <v/>
      </c>
      <c r="H123" s="76">
        <f>(((Table134567891011121314151617343[[#This Row],[ITA]]-VLOOKUP($U$1,A:B,2,))/VLOOKUP($U$1,A:B,2,))*100)+100</f>
        <v/>
      </c>
      <c r="I123" s="76">
        <f>(((Table134567891011121314151617343[[#This Row],[FRA]]-VLOOKUP($U$1,A:C,3,))/VLOOKUP($U$1,A:C,3,))*100)+100</f>
        <v/>
      </c>
      <c r="J123" s="76">
        <f>(((Table134567891011121314151617343[[#This Row],[DEU]]-VLOOKUP($U$1,A:D,4,))/VLOOKUP($U$1,A:D,4,))*100)+100</f>
        <v/>
      </c>
      <c r="K123" s="76">
        <f>(((Table134567891011121314151617343[[#This Row],[ESP]]-VLOOKUP($U$1,A:E,5,))/VLOOKUP($U$1,A:E,5,))*100)+100</f>
        <v/>
      </c>
      <c r="L123" s="76">
        <f>(((Table134567891011121314151617343[[#This Row],[EA19]]-VLOOKUP($U$1,A:F,6,))/VLOOKUP($U$1,A:F,6,))*100)+100</f>
        <v/>
      </c>
      <c r="M123" s="76">
        <f>(((Table134567891011121314151617343[[#This Row],[GBR]]-VLOOKUP($U$1,A:G,7,))/VLOOKUP($U$1,A:G,7,))*100)+100</f>
        <v/>
      </c>
      <c r="N123" s="76">
        <f>IF(VLOOKUP(A123,Database!$A:$AU,MATCH($N$1,Database!$A$1:$AU$1,0),FALSE)=0,#N/A,VLOOKUP(A123,Database!$A:$AU,MATCH($N$1,Database!$A$1:$AU$1,0),FALSE))</f>
        <v/>
      </c>
      <c r="O123" s="76">
        <f>(((Table134567891011121314151617343[[#This Row],[USA]]-VLOOKUP($U$1,A:N,14,))/VLOOKUP($U$1,A:N,14,))*100)+100</f>
        <v/>
      </c>
      <c r="P123" s="76">
        <f>IF(VLOOKUP(A123,Database!$A:$AS,MATCH($P$1,Database!$A$1:$AS$1,0),FALSE)=0,#N/A,VLOOKUP(A123,Database!$A:$AS,MATCH($P$1,Database!$A$1:$AS$1,0),FALSE))</f>
        <v/>
      </c>
      <c r="Q123" s="76">
        <f>(((Table134567891011121314151617343[[#This Row],[JPN]]-VLOOKUP($U$1,A:Q,16,))/VLOOKUP($U$1,A:Q,16,))*100)+100</f>
        <v/>
      </c>
    </row>
    <row r="124" customFormat="1" s="86">
      <c r="A124" s="21" t="n">
        <v>36586</v>
      </c>
      <c r="B124" s="76">
        <f>IF(VLOOKUP(A124,Database!$A:$AS,MATCH($B$1,Database!$A$1:$AS$1,0),FALSE)=0,#N/A,VLOOKUP(A124,Database!$A:$AS,MATCH($B$1,Database!$A$1:$AS$1,0),FALSE))</f>
        <v/>
      </c>
      <c r="C124" s="76">
        <f>IF(VLOOKUP(A124,Database!$A:$AS,MATCH($C$1,Database!$A$1:$AS$1,0),FALSE)=0,#N/A,VLOOKUP(A124,Database!$A:$AS,MATCH($C$1,Database!$A$1:$AS$1,0),FALSE))</f>
        <v/>
      </c>
      <c r="D124" s="76">
        <f>IF(VLOOKUP(A124,Database!$A:$AS,MATCH($D$1,Database!$A$1:$AS$1,0),FALSE)=0,#N/A,VLOOKUP(A124,Database!$A:$AS,MATCH($D$1,Database!$A$1:$AS$1,0),FALSE))</f>
        <v/>
      </c>
      <c r="E124" s="76">
        <f>IF(VLOOKUP(A124,Database!$A:$AS,MATCH($E$1,Database!$A$1:$AS$1,0),FALSE)=0,#N/A,VLOOKUP(A124,Database!$A:$AS,MATCH($E$1,Database!$A$1:$AS$1,0),FALSE))</f>
        <v/>
      </c>
      <c r="F124" s="76">
        <f>IF(VLOOKUP(A124,Database!$A:$AS,MATCH($F$1,Database!$A$1:$AS$1,0),FALSE)=0,#N/A,VLOOKUP(A124,Database!$A:$AS,MATCH($F$1,Database!$A$1:$AS$1,0),FALSE))</f>
        <v/>
      </c>
      <c r="G124" s="76">
        <f>IF(VLOOKUP(A124,Database!$A:$AS,MATCH($G$1,Database!$A$1:$AS$1,0),FALSE)=0,#N/A,VLOOKUP(A124,Database!$A:$AS,MATCH($G$1,Database!$A$1:$AS$1,0),FALSE))</f>
        <v/>
      </c>
      <c r="H124" s="76">
        <f>(((Table134567891011121314151617343[[#This Row],[ITA]]-VLOOKUP($U$1,A:B,2,))/VLOOKUP($U$1,A:B,2,))*100)+100</f>
        <v/>
      </c>
      <c r="I124" s="76">
        <f>(((Table134567891011121314151617343[[#This Row],[FRA]]-VLOOKUP($U$1,A:C,3,))/VLOOKUP($U$1,A:C,3,))*100)+100</f>
        <v/>
      </c>
      <c r="J124" s="76">
        <f>(((Table134567891011121314151617343[[#This Row],[DEU]]-VLOOKUP($U$1,A:D,4,))/VLOOKUP($U$1,A:D,4,))*100)+100</f>
        <v/>
      </c>
      <c r="K124" s="76">
        <f>(((Table134567891011121314151617343[[#This Row],[ESP]]-VLOOKUP($U$1,A:E,5,))/VLOOKUP($U$1,A:E,5,))*100)+100</f>
        <v/>
      </c>
      <c r="L124" s="76">
        <f>(((Table134567891011121314151617343[[#This Row],[EA19]]-VLOOKUP($U$1,A:F,6,))/VLOOKUP($U$1,A:F,6,))*100)+100</f>
        <v/>
      </c>
      <c r="M124" s="76">
        <f>(((Table134567891011121314151617343[[#This Row],[GBR]]-VLOOKUP($U$1,A:G,7,))/VLOOKUP($U$1,A:G,7,))*100)+100</f>
        <v/>
      </c>
      <c r="N124" s="76">
        <f>IF(VLOOKUP(A124,Database!$A:$AU,MATCH($N$1,Database!$A$1:$AU$1,0),FALSE)=0,#N/A,VLOOKUP(A124,Database!$A:$AU,MATCH($N$1,Database!$A$1:$AU$1,0),FALSE))</f>
        <v/>
      </c>
      <c r="O124" s="76">
        <f>(((Table134567891011121314151617343[[#This Row],[USA]]-VLOOKUP($U$1,A:N,14,))/VLOOKUP($U$1,A:N,14,))*100)+100</f>
        <v/>
      </c>
      <c r="P124" s="76">
        <f>IF(VLOOKUP(A124,Database!$A:$AS,MATCH($P$1,Database!$A$1:$AS$1,0),FALSE)=0,#N/A,VLOOKUP(A124,Database!$A:$AS,MATCH($P$1,Database!$A$1:$AS$1,0),FALSE))</f>
        <v/>
      </c>
      <c r="Q124" s="76">
        <f>(((Table134567891011121314151617343[[#This Row],[JPN]]-VLOOKUP($U$1,A:Q,16,))/VLOOKUP($U$1,A:Q,16,))*100)+100</f>
        <v/>
      </c>
    </row>
    <row r="125" customFormat="1" s="86">
      <c r="A125" s="21" t="n">
        <v>36617</v>
      </c>
      <c r="B125" s="76">
        <f>IF(VLOOKUP(A125,Database!$A:$AS,MATCH($B$1,Database!$A$1:$AS$1,0),FALSE)=0,#N/A,VLOOKUP(A125,Database!$A:$AS,MATCH($B$1,Database!$A$1:$AS$1,0),FALSE))</f>
        <v/>
      </c>
      <c r="C125" s="76">
        <f>IF(VLOOKUP(A125,Database!$A:$AS,MATCH($C$1,Database!$A$1:$AS$1,0),FALSE)=0,#N/A,VLOOKUP(A125,Database!$A:$AS,MATCH($C$1,Database!$A$1:$AS$1,0),FALSE))</f>
        <v/>
      </c>
      <c r="D125" s="76">
        <f>IF(VLOOKUP(A125,Database!$A:$AS,MATCH($D$1,Database!$A$1:$AS$1,0),FALSE)=0,#N/A,VLOOKUP(A125,Database!$A:$AS,MATCH($D$1,Database!$A$1:$AS$1,0),FALSE))</f>
        <v/>
      </c>
      <c r="E125" s="76">
        <f>IF(VLOOKUP(A125,Database!$A:$AS,MATCH($E$1,Database!$A$1:$AS$1,0),FALSE)=0,#N/A,VLOOKUP(A125,Database!$A:$AS,MATCH($E$1,Database!$A$1:$AS$1,0),FALSE))</f>
        <v/>
      </c>
      <c r="F125" s="76">
        <f>IF(VLOOKUP(A125,Database!$A:$AS,MATCH($F$1,Database!$A$1:$AS$1,0),FALSE)=0,#N/A,VLOOKUP(A125,Database!$A:$AS,MATCH($F$1,Database!$A$1:$AS$1,0),FALSE))</f>
        <v/>
      </c>
      <c r="G125" s="76">
        <f>IF(VLOOKUP(A125,Database!$A:$AS,MATCH($G$1,Database!$A$1:$AS$1,0),FALSE)=0,#N/A,VLOOKUP(A125,Database!$A:$AS,MATCH($G$1,Database!$A$1:$AS$1,0),FALSE))</f>
        <v/>
      </c>
      <c r="H125" s="76">
        <f>(((Table134567891011121314151617343[[#This Row],[ITA]]-VLOOKUP($U$1,A:B,2,))/VLOOKUP($U$1,A:B,2,))*100)+100</f>
        <v/>
      </c>
      <c r="I125" s="76">
        <f>(((Table134567891011121314151617343[[#This Row],[FRA]]-VLOOKUP($U$1,A:C,3,))/VLOOKUP($U$1,A:C,3,))*100)+100</f>
        <v/>
      </c>
      <c r="J125" s="76">
        <f>(((Table134567891011121314151617343[[#This Row],[DEU]]-VLOOKUP($U$1,A:D,4,))/VLOOKUP($U$1,A:D,4,))*100)+100</f>
        <v/>
      </c>
      <c r="K125" s="76">
        <f>(((Table134567891011121314151617343[[#This Row],[ESP]]-VLOOKUP($U$1,A:E,5,))/VLOOKUP($U$1,A:E,5,))*100)+100</f>
        <v/>
      </c>
      <c r="L125" s="76">
        <f>(((Table134567891011121314151617343[[#This Row],[EA19]]-VLOOKUP($U$1,A:F,6,))/VLOOKUP($U$1,A:F,6,))*100)+100</f>
        <v/>
      </c>
      <c r="M125" s="76">
        <f>(((Table134567891011121314151617343[[#This Row],[GBR]]-VLOOKUP($U$1,A:G,7,))/VLOOKUP($U$1,A:G,7,))*100)+100</f>
        <v/>
      </c>
      <c r="N125" s="76">
        <f>IF(VLOOKUP(A125,Database!$A:$AU,MATCH($N$1,Database!$A$1:$AU$1,0),FALSE)=0,#N/A,VLOOKUP(A125,Database!$A:$AU,MATCH($N$1,Database!$A$1:$AU$1,0),FALSE))</f>
        <v/>
      </c>
      <c r="O125" s="76">
        <f>(((Table134567891011121314151617343[[#This Row],[USA]]-VLOOKUP($U$1,A:N,14,))/VLOOKUP($U$1,A:N,14,))*100)+100</f>
        <v/>
      </c>
      <c r="P125" s="76">
        <f>IF(VLOOKUP(A125,Database!$A:$AS,MATCH($P$1,Database!$A$1:$AS$1,0),FALSE)=0,#N/A,VLOOKUP(A125,Database!$A:$AS,MATCH($P$1,Database!$A$1:$AS$1,0),FALSE))</f>
        <v/>
      </c>
      <c r="Q125" s="76">
        <f>(((Table134567891011121314151617343[[#This Row],[JPN]]-VLOOKUP($U$1,A:Q,16,))/VLOOKUP($U$1,A:Q,16,))*100)+100</f>
        <v/>
      </c>
    </row>
    <row r="126" customFormat="1" s="86">
      <c r="A126" s="21" t="n">
        <v>36647</v>
      </c>
      <c r="B126" s="76">
        <f>IF(VLOOKUP(A126,Database!$A:$AS,MATCH($B$1,Database!$A$1:$AS$1,0),FALSE)=0,#N/A,VLOOKUP(A126,Database!$A:$AS,MATCH($B$1,Database!$A$1:$AS$1,0),FALSE))</f>
        <v/>
      </c>
      <c r="C126" s="76">
        <f>IF(VLOOKUP(A126,Database!$A:$AS,MATCH($C$1,Database!$A$1:$AS$1,0),FALSE)=0,#N/A,VLOOKUP(A126,Database!$A:$AS,MATCH($C$1,Database!$A$1:$AS$1,0),FALSE))</f>
        <v/>
      </c>
      <c r="D126" s="76">
        <f>IF(VLOOKUP(A126,Database!$A:$AS,MATCH($D$1,Database!$A$1:$AS$1,0),FALSE)=0,#N/A,VLOOKUP(A126,Database!$A:$AS,MATCH($D$1,Database!$A$1:$AS$1,0),FALSE))</f>
        <v/>
      </c>
      <c r="E126" s="76">
        <f>IF(VLOOKUP(A126,Database!$A:$AS,MATCH($E$1,Database!$A$1:$AS$1,0),FALSE)=0,#N/A,VLOOKUP(A126,Database!$A:$AS,MATCH($E$1,Database!$A$1:$AS$1,0),FALSE))</f>
        <v/>
      </c>
      <c r="F126" s="76">
        <f>IF(VLOOKUP(A126,Database!$A:$AS,MATCH($F$1,Database!$A$1:$AS$1,0),FALSE)=0,#N/A,VLOOKUP(A126,Database!$A:$AS,MATCH($F$1,Database!$A$1:$AS$1,0),FALSE))</f>
        <v/>
      </c>
      <c r="G126" s="76">
        <f>IF(VLOOKUP(A126,Database!$A:$AS,MATCH($G$1,Database!$A$1:$AS$1,0),FALSE)=0,#N/A,VLOOKUP(A126,Database!$A:$AS,MATCH($G$1,Database!$A$1:$AS$1,0),FALSE))</f>
        <v/>
      </c>
      <c r="H126" s="76">
        <f>(((Table134567891011121314151617343[[#This Row],[ITA]]-VLOOKUP($U$1,A:B,2,))/VLOOKUP($U$1,A:B,2,))*100)+100</f>
        <v/>
      </c>
      <c r="I126" s="76">
        <f>(((Table134567891011121314151617343[[#This Row],[FRA]]-VLOOKUP($U$1,A:C,3,))/VLOOKUP($U$1,A:C,3,))*100)+100</f>
        <v/>
      </c>
      <c r="J126" s="76">
        <f>(((Table134567891011121314151617343[[#This Row],[DEU]]-VLOOKUP($U$1,A:D,4,))/VLOOKUP($U$1,A:D,4,))*100)+100</f>
        <v/>
      </c>
      <c r="K126" s="76">
        <f>(((Table134567891011121314151617343[[#This Row],[ESP]]-VLOOKUP($U$1,A:E,5,))/VLOOKUP($U$1,A:E,5,))*100)+100</f>
        <v/>
      </c>
      <c r="L126" s="76">
        <f>(((Table134567891011121314151617343[[#This Row],[EA19]]-VLOOKUP($U$1,A:F,6,))/VLOOKUP($U$1,A:F,6,))*100)+100</f>
        <v/>
      </c>
      <c r="M126" s="76">
        <f>(((Table134567891011121314151617343[[#This Row],[GBR]]-VLOOKUP($U$1,A:G,7,))/VLOOKUP($U$1,A:G,7,))*100)+100</f>
        <v/>
      </c>
      <c r="N126" s="76">
        <f>IF(VLOOKUP(A126,Database!$A:$AU,MATCH($N$1,Database!$A$1:$AU$1,0),FALSE)=0,#N/A,VLOOKUP(A126,Database!$A:$AU,MATCH($N$1,Database!$A$1:$AU$1,0),FALSE))</f>
        <v/>
      </c>
      <c r="O126" s="76">
        <f>(((Table134567891011121314151617343[[#This Row],[USA]]-VLOOKUP($U$1,A:N,14,))/VLOOKUP($U$1,A:N,14,))*100)+100</f>
        <v/>
      </c>
      <c r="P126" s="76">
        <f>IF(VLOOKUP(A126,Database!$A:$AS,MATCH($P$1,Database!$A$1:$AS$1,0),FALSE)=0,#N/A,VLOOKUP(A126,Database!$A:$AS,MATCH($P$1,Database!$A$1:$AS$1,0),FALSE))</f>
        <v/>
      </c>
      <c r="Q126" s="76">
        <f>(((Table134567891011121314151617343[[#This Row],[JPN]]-VLOOKUP($U$1,A:Q,16,))/VLOOKUP($U$1,A:Q,16,))*100)+100</f>
        <v/>
      </c>
    </row>
    <row r="127" customFormat="1" s="86">
      <c r="A127" s="21" t="n">
        <v>36678</v>
      </c>
      <c r="B127" s="76">
        <f>IF(VLOOKUP(A127,Database!$A:$AS,MATCH($B$1,Database!$A$1:$AS$1,0),FALSE)=0,#N/A,VLOOKUP(A127,Database!$A:$AS,MATCH($B$1,Database!$A$1:$AS$1,0),FALSE))</f>
        <v/>
      </c>
      <c r="C127" s="76">
        <f>IF(VLOOKUP(A127,Database!$A:$AS,MATCH($C$1,Database!$A$1:$AS$1,0),FALSE)=0,#N/A,VLOOKUP(A127,Database!$A:$AS,MATCH($C$1,Database!$A$1:$AS$1,0),FALSE))</f>
        <v/>
      </c>
      <c r="D127" s="76">
        <f>IF(VLOOKUP(A127,Database!$A:$AS,MATCH($D$1,Database!$A$1:$AS$1,0),FALSE)=0,#N/A,VLOOKUP(A127,Database!$A:$AS,MATCH($D$1,Database!$A$1:$AS$1,0),FALSE))</f>
        <v/>
      </c>
      <c r="E127" s="76">
        <f>IF(VLOOKUP(A127,Database!$A:$AS,MATCH($E$1,Database!$A$1:$AS$1,0),FALSE)=0,#N/A,VLOOKUP(A127,Database!$A:$AS,MATCH($E$1,Database!$A$1:$AS$1,0),FALSE))</f>
        <v/>
      </c>
      <c r="F127" s="76">
        <f>IF(VLOOKUP(A127,Database!$A:$AS,MATCH($F$1,Database!$A$1:$AS$1,0),FALSE)=0,#N/A,VLOOKUP(A127,Database!$A:$AS,MATCH($F$1,Database!$A$1:$AS$1,0),FALSE))</f>
        <v/>
      </c>
      <c r="G127" s="76">
        <f>IF(VLOOKUP(A127,Database!$A:$AS,MATCH($G$1,Database!$A$1:$AS$1,0),FALSE)=0,#N/A,VLOOKUP(A127,Database!$A:$AS,MATCH($G$1,Database!$A$1:$AS$1,0),FALSE))</f>
        <v/>
      </c>
      <c r="H127" s="76">
        <f>(((Table134567891011121314151617343[[#This Row],[ITA]]-VLOOKUP($U$1,A:B,2,))/VLOOKUP($U$1,A:B,2,))*100)+100</f>
        <v/>
      </c>
      <c r="I127" s="76">
        <f>(((Table134567891011121314151617343[[#This Row],[FRA]]-VLOOKUP($U$1,A:C,3,))/VLOOKUP($U$1,A:C,3,))*100)+100</f>
        <v/>
      </c>
      <c r="J127" s="76">
        <f>(((Table134567891011121314151617343[[#This Row],[DEU]]-VLOOKUP($U$1,A:D,4,))/VLOOKUP($U$1,A:D,4,))*100)+100</f>
        <v/>
      </c>
      <c r="K127" s="76">
        <f>(((Table134567891011121314151617343[[#This Row],[ESP]]-VLOOKUP($U$1,A:E,5,))/VLOOKUP($U$1,A:E,5,))*100)+100</f>
        <v/>
      </c>
      <c r="L127" s="76">
        <f>(((Table134567891011121314151617343[[#This Row],[EA19]]-VLOOKUP($U$1,A:F,6,))/VLOOKUP($U$1,A:F,6,))*100)+100</f>
        <v/>
      </c>
      <c r="M127" s="76">
        <f>(((Table134567891011121314151617343[[#This Row],[GBR]]-VLOOKUP($U$1,A:G,7,))/VLOOKUP($U$1,A:G,7,))*100)+100</f>
        <v/>
      </c>
      <c r="N127" s="76">
        <f>IF(VLOOKUP(A127,Database!$A:$AU,MATCH($N$1,Database!$A$1:$AU$1,0),FALSE)=0,#N/A,VLOOKUP(A127,Database!$A:$AU,MATCH($N$1,Database!$A$1:$AU$1,0),FALSE))</f>
        <v/>
      </c>
      <c r="O127" s="76">
        <f>(((Table134567891011121314151617343[[#This Row],[USA]]-VLOOKUP($U$1,A:N,14,))/VLOOKUP($U$1,A:N,14,))*100)+100</f>
        <v/>
      </c>
      <c r="P127" s="76">
        <f>IF(VLOOKUP(A127,Database!$A:$AS,MATCH($P$1,Database!$A$1:$AS$1,0),FALSE)=0,#N/A,VLOOKUP(A127,Database!$A:$AS,MATCH($P$1,Database!$A$1:$AS$1,0),FALSE))</f>
        <v/>
      </c>
      <c r="Q127" s="76">
        <f>(((Table134567891011121314151617343[[#This Row],[JPN]]-VLOOKUP($U$1,A:Q,16,))/VLOOKUP($U$1,A:Q,16,))*100)+100</f>
        <v/>
      </c>
    </row>
    <row r="128" customFormat="1" s="86">
      <c r="A128" s="21" t="n">
        <v>36708</v>
      </c>
      <c r="B128" s="76">
        <f>IF(VLOOKUP(A128,Database!$A:$AS,MATCH($B$1,Database!$A$1:$AS$1,0),FALSE)=0,#N/A,VLOOKUP(A128,Database!$A:$AS,MATCH($B$1,Database!$A$1:$AS$1,0),FALSE))</f>
        <v/>
      </c>
      <c r="C128" s="76">
        <f>IF(VLOOKUP(A128,Database!$A:$AS,MATCH($C$1,Database!$A$1:$AS$1,0),FALSE)=0,#N/A,VLOOKUP(A128,Database!$A:$AS,MATCH($C$1,Database!$A$1:$AS$1,0),FALSE))</f>
        <v/>
      </c>
      <c r="D128" s="76">
        <f>IF(VLOOKUP(A128,Database!$A:$AS,MATCH($D$1,Database!$A$1:$AS$1,0),FALSE)=0,#N/A,VLOOKUP(A128,Database!$A:$AS,MATCH($D$1,Database!$A$1:$AS$1,0),FALSE))</f>
        <v/>
      </c>
      <c r="E128" s="76">
        <f>IF(VLOOKUP(A128,Database!$A:$AS,MATCH($E$1,Database!$A$1:$AS$1,0),FALSE)=0,#N/A,VLOOKUP(A128,Database!$A:$AS,MATCH($E$1,Database!$A$1:$AS$1,0),FALSE))</f>
        <v/>
      </c>
      <c r="F128" s="76">
        <f>IF(VLOOKUP(A128,Database!$A:$AS,MATCH($F$1,Database!$A$1:$AS$1,0),FALSE)=0,#N/A,VLOOKUP(A128,Database!$A:$AS,MATCH($F$1,Database!$A$1:$AS$1,0),FALSE))</f>
        <v/>
      </c>
      <c r="G128" s="76">
        <f>IF(VLOOKUP(A128,Database!$A:$AS,MATCH($G$1,Database!$A$1:$AS$1,0),FALSE)=0,#N/A,VLOOKUP(A128,Database!$A:$AS,MATCH($G$1,Database!$A$1:$AS$1,0),FALSE))</f>
        <v/>
      </c>
      <c r="H128" s="76">
        <f>(((Table134567891011121314151617343[[#This Row],[ITA]]-VLOOKUP($U$1,A:B,2,))/VLOOKUP($U$1,A:B,2,))*100)+100</f>
        <v/>
      </c>
      <c r="I128" s="76">
        <f>(((Table134567891011121314151617343[[#This Row],[FRA]]-VLOOKUP($U$1,A:C,3,))/VLOOKUP($U$1,A:C,3,))*100)+100</f>
        <v/>
      </c>
      <c r="J128" s="76">
        <f>(((Table134567891011121314151617343[[#This Row],[DEU]]-VLOOKUP($U$1,A:D,4,))/VLOOKUP($U$1,A:D,4,))*100)+100</f>
        <v/>
      </c>
      <c r="K128" s="76">
        <f>(((Table134567891011121314151617343[[#This Row],[ESP]]-VLOOKUP($U$1,A:E,5,))/VLOOKUP($U$1,A:E,5,))*100)+100</f>
        <v/>
      </c>
      <c r="L128" s="76">
        <f>(((Table134567891011121314151617343[[#This Row],[EA19]]-VLOOKUP($U$1,A:F,6,))/VLOOKUP($U$1,A:F,6,))*100)+100</f>
        <v/>
      </c>
      <c r="M128" s="76">
        <f>(((Table134567891011121314151617343[[#This Row],[GBR]]-VLOOKUP($U$1,A:G,7,))/VLOOKUP($U$1,A:G,7,))*100)+100</f>
        <v/>
      </c>
      <c r="N128" s="76">
        <f>IF(VLOOKUP(A128,Database!$A:$AU,MATCH($N$1,Database!$A$1:$AU$1,0),FALSE)=0,#N/A,VLOOKUP(A128,Database!$A:$AU,MATCH($N$1,Database!$A$1:$AU$1,0),FALSE))</f>
        <v/>
      </c>
      <c r="O128" s="76">
        <f>(((Table134567891011121314151617343[[#This Row],[USA]]-VLOOKUP($U$1,A:N,14,))/VLOOKUP($U$1,A:N,14,))*100)+100</f>
        <v/>
      </c>
      <c r="P128" s="76">
        <f>IF(VLOOKUP(A128,Database!$A:$AS,MATCH($P$1,Database!$A$1:$AS$1,0),FALSE)=0,#N/A,VLOOKUP(A128,Database!$A:$AS,MATCH($P$1,Database!$A$1:$AS$1,0),FALSE))</f>
        <v/>
      </c>
      <c r="Q128" s="76">
        <f>(((Table134567891011121314151617343[[#This Row],[JPN]]-VLOOKUP($U$1,A:Q,16,))/VLOOKUP($U$1,A:Q,16,))*100)+100</f>
        <v/>
      </c>
    </row>
    <row r="129" customFormat="1" s="86">
      <c r="A129" s="21" t="n">
        <v>36739</v>
      </c>
      <c r="B129" s="76">
        <f>IF(VLOOKUP(A129,Database!$A:$AS,MATCH($B$1,Database!$A$1:$AS$1,0),FALSE)=0,#N/A,VLOOKUP(A129,Database!$A:$AS,MATCH($B$1,Database!$A$1:$AS$1,0),FALSE))</f>
        <v/>
      </c>
      <c r="C129" s="76">
        <f>IF(VLOOKUP(A129,Database!$A:$AS,MATCH($C$1,Database!$A$1:$AS$1,0),FALSE)=0,#N/A,VLOOKUP(A129,Database!$A:$AS,MATCH($C$1,Database!$A$1:$AS$1,0),FALSE))</f>
        <v/>
      </c>
      <c r="D129" s="76">
        <f>IF(VLOOKUP(A129,Database!$A:$AS,MATCH($D$1,Database!$A$1:$AS$1,0),FALSE)=0,#N/A,VLOOKUP(A129,Database!$A:$AS,MATCH($D$1,Database!$A$1:$AS$1,0),FALSE))</f>
        <v/>
      </c>
      <c r="E129" s="76">
        <f>IF(VLOOKUP(A129,Database!$A:$AS,MATCH($E$1,Database!$A$1:$AS$1,0),FALSE)=0,#N/A,VLOOKUP(A129,Database!$A:$AS,MATCH($E$1,Database!$A$1:$AS$1,0),FALSE))</f>
        <v/>
      </c>
      <c r="F129" s="76">
        <f>IF(VLOOKUP(A129,Database!$A:$AS,MATCH($F$1,Database!$A$1:$AS$1,0),FALSE)=0,#N/A,VLOOKUP(A129,Database!$A:$AS,MATCH($F$1,Database!$A$1:$AS$1,0),FALSE))</f>
        <v/>
      </c>
      <c r="G129" s="76">
        <f>IF(VLOOKUP(A129,Database!$A:$AS,MATCH($G$1,Database!$A$1:$AS$1,0),FALSE)=0,#N/A,VLOOKUP(A129,Database!$A:$AS,MATCH($G$1,Database!$A$1:$AS$1,0),FALSE))</f>
        <v/>
      </c>
      <c r="H129" s="76">
        <f>(((Table134567891011121314151617343[[#This Row],[ITA]]-VLOOKUP($U$1,A:B,2,))/VLOOKUP($U$1,A:B,2,))*100)+100</f>
        <v/>
      </c>
      <c r="I129" s="76">
        <f>(((Table134567891011121314151617343[[#This Row],[FRA]]-VLOOKUP($U$1,A:C,3,))/VLOOKUP($U$1,A:C,3,))*100)+100</f>
        <v/>
      </c>
      <c r="J129" s="76">
        <f>(((Table134567891011121314151617343[[#This Row],[DEU]]-VLOOKUP($U$1,A:D,4,))/VLOOKUP($U$1,A:D,4,))*100)+100</f>
        <v/>
      </c>
      <c r="K129" s="76">
        <f>(((Table134567891011121314151617343[[#This Row],[ESP]]-VLOOKUP($U$1,A:E,5,))/VLOOKUP($U$1,A:E,5,))*100)+100</f>
        <v/>
      </c>
      <c r="L129" s="76">
        <f>(((Table134567891011121314151617343[[#This Row],[EA19]]-VLOOKUP($U$1,A:F,6,))/VLOOKUP($U$1,A:F,6,))*100)+100</f>
        <v/>
      </c>
      <c r="M129" s="76">
        <f>(((Table134567891011121314151617343[[#This Row],[GBR]]-VLOOKUP($U$1,A:G,7,))/VLOOKUP($U$1,A:G,7,))*100)+100</f>
        <v/>
      </c>
      <c r="N129" s="76">
        <f>IF(VLOOKUP(A129,Database!$A:$AU,MATCH($N$1,Database!$A$1:$AU$1,0),FALSE)=0,#N/A,VLOOKUP(A129,Database!$A:$AU,MATCH($N$1,Database!$A$1:$AU$1,0),FALSE))</f>
        <v/>
      </c>
      <c r="O129" s="76">
        <f>(((Table134567891011121314151617343[[#This Row],[USA]]-VLOOKUP($U$1,A:N,14,))/VLOOKUP($U$1,A:N,14,))*100)+100</f>
        <v/>
      </c>
      <c r="P129" s="76">
        <f>IF(VLOOKUP(A129,Database!$A:$AS,MATCH($P$1,Database!$A$1:$AS$1,0),FALSE)=0,#N/A,VLOOKUP(A129,Database!$A:$AS,MATCH($P$1,Database!$A$1:$AS$1,0),FALSE))</f>
        <v/>
      </c>
      <c r="Q129" s="76">
        <f>(((Table134567891011121314151617343[[#This Row],[JPN]]-VLOOKUP($U$1,A:Q,16,))/VLOOKUP($U$1,A:Q,16,))*100)+100</f>
        <v/>
      </c>
    </row>
    <row r="130" customFormat="1" s="86">
      <c r="A130" s="21" t="n">
        <v>36770</v>
      </c>
      <c r="B130" s="76">
        <f>IF(VLOOKUP(A130,Database!$A:$AS,MATCH($B$1,Database!$A$1:$AS$1,0),FALSE)=0,#N/A,VLOOKUP(A130,Database!$A:$AS,MATCH($B$1,Database!$A$1:$AS$1,0),FALSE))</f>
        <v/>
      </c>
      <c r="C130" s="76">
        <f>IF(VLOOKUP(A130,Database!$A:$AS,MATCH($C$1,Database!$A$1:$AS$1,0),FALSE)=0,#N/A,VLOOKUP(A130,Database!$A:$AS,MATCH($C$1,Database!$A$1:$AS$1,0),FALSE))</f>
        <v/>
      </c>
      <c r="D130" s="76">
        <f>IF(VLOOKUP(A130,Database!$A:$AS,MATCH($D$1,Database!$A$1:$AS$1,0),FALSE)=0,#N/A,VLOOKUP(A130,Database!$A:$AS,MATCH($D$1,Database!$A$1:$AS$1,0),FALSE))</f>
        <v/>
      </c>
      <c r="E130" s="76">
        <f>IF(VLOOKUP(A130,Database!$A:$AS,MATCH($E$1,Database!$A$1:$AS$1,0),FALSE)=0,#N/A,VLOOKUP(A130,Database!$A:$AS,MATCH($E$1,Database!$A$1:$AS$1,0),FALSE))</f>
        <v/>
      </c>
      <c r="F130" s="76">
        <f>IF(VLOOKUP(A130,Database!$A:$AS,MATCH($F$1,Database!$A$1:$AS$1,0),FALSE)=0,#N/A,VLOOKUP(A130,Database!$A:$AS,MATCH($F$1,Database!$A$1:$AS$1,0),FALSE))</f>
        <v/>
      </c>
      <c r="G130" s="76">
        <f>IF(VLOOKUP(A130,Database!$A:$AS,MATCH($G$1,Database!$A$1:$AS$1,0),FALSE)=0,#N/A,VLOOKUP(A130,Database!$A:$AS,MATCH($G$1,Database!$A$1:$AS$1,0),FALSE))</f>
        <v/>
      </c>
      <c r="H130" s="76">
        <f>(((Table134567891011121314151617343[[#This Row],[ITA]]-VLOOKUP($U$1,A:B,2,))/VLOOKUP($U$1,A:B,2,))*100)+100</f>
        <v/>
      </c>
      <c r="I130" s="76">
        <f>(((Table134567891011121314151617343[[#This Row],[FRA]]-VLOOKUP($U$1,A:C,3,))/VLOOKUP($U$1,A:C,3,))*100)+100</f>
        <v/>
      </c>
      <c r="J130" s="76">
        <f>(((Table134567891011121314151617343[[#This Row],[DEU]]-VLOOKUP($U$1,A:D,4,))/VLOOKUP($U$1,A:D,4,))*100)+100</f>
        <v/>
      </c>
      <c r="K130" s="76">
        <f>(((Table134567891011121314151617343[[#This Row],[ESP]]-VLOOKUP($U$1,A:E,5,))/VLOOKUP($U$1,A:E,5,))*100)+100</f>
        <v/>
      </c>
      <c r="L130" s="76">
        <f>(((Table134567891011121314151617343[[#This Row],[EA19]]-VLOOKUP($U$1,A:F,6,))/VLOOKUP($U$1,A:F,6,))*100)+100</f>
        <v/>
      </c>
      <c r="M130" s="76">
        <f>(((Table134567891011121314151617343[[#This Row],[GBR]]-VLOOKUP($U$1,A:G,7,))/VLOOKUP($U$1,A:G,7,))*100)+100</f>
        <v/>
      </c>
      <c r="N130" s="76">
        <f>IF(VLOOKUP(A130,Database!$A:$AU,MATCH($N$1,Database!$A$1:$AU$1,0),FALSE)=0,#N/A,VLOOKUP(A130,Database!$A:$AU,MATCH($N$1,Database!$A$1:$AU$1,0),FALSE))</f>
        <v/>
      </c>
      <c r="O130" s="76">
        <f>(((Table134567891011121314151617343[[#This Row],[USA]]-VLOOKUP($U$1,A:N,14,))/VLOOKUP($U$1,A:N,14,))*100)+100</f>
        <v/>
      </c>
      <c r="P130" s="76">
        <f>IF(VLOOKUP(A130,Database!$A:$AS,MATCH($P$1,Database!$A$1:$AS$1,0),FALSE)=0,#N/A,VLOOKUP(A130,Database!$A:$AS,MATCH($P$1,Database!$A$1:$AS$1,0),FALSE))</f>
        <v/>
      </c>
      <c r="Q130" s="76">
        <f>(((Table134567891011121314151617343[[#This Row],[JPN]]-VLOOKUP($U$1,A:Q,16,))/VLOOKUP($U$1,A:Q,16,))*100)+100</f>
        <v/>
      </c>
    </row>
    <row r="131" customFormat="1" s="86">
      <c r="A131" s="21" t="n">
        <v>36800</v>
      </c>
      <c r="B131" s="76">
        <f>IF(VLOOKUP(A131,Database!$A:$AS,MATCH($B$1,Database!$A$1:$AS$1,0),FALSE)=0,#N/A,VLOOKUP(A131,Database!$A:$AS,MATCH($B$1,Database!$A$1:$AS$1,0),FALSE))</f>
        <v/>
      </c>
      <c r="C131" s="76">
        <f>IF(VLOOKUP(A131,Database!$A:$AS,MATCH($C$1,Database!$A$1:$AS$1,0),FALSE)=0,#N/A,VLOOKUP(A131,Database!$A:$AS,MATCH($C$1,Database!$A$1:$AS$1,0),FALSE))</f>
        <v/>
      </c>
      <c r="D131" s="76">
        <f>IF(VLOOKUP(A131,Database!$A:$AS,MATCH($D$1,Database!$A$1:$AS$1,0),FALSE)=0,#N/A,VLOOKUP(A131,Database!$A:$AS,MATCH($D$1,Database!$A$1:$AS$1,0),FALSE))</f>
        <v/>
      </c>
      <c r="E131" s="76">
        <f>IF(VLOOKUP(A131,Database!$A:$AS,MATCH($E$1,Database!$A$1:$AS$1,0),FALSE)=0,#N/A,VLOOKUP(A131,Database!$A:$AS,MATCH($E$1,Database!$A$1:$AS$1,0),FALSE))</f>
        <v/>
      </c>
      <c r="F131" s="76">
        <f>IF(VLOOKUP(A131,Database!$A:$AS,MATCH($F$1,Database!$A$1:$AS$1,0),FALSE)=0,#N/A,VLOOKUP(A131,Database!$A:$AS,MATCH($F$1,Database!$A$1:$AS$1,0),FALSE))</f>
        <v/>
      </c>
      <c r="G131" s="76">
        <f>IF(VLOOKUP(A131,Database!$A:$AS,MATCH($G$1,Database!$A$1:$AS$1,0),FALSE)=0,#N/A,VLOOKUP(A131,Database!$A:$AS,MATCH($G$1,Database!$A$1:$AS$1,0),FALSE))</f>
        <v/>
      </c>
      <c r="H131" s="76">
        <f>(((Table134567891011121314151617343[[#This Row],[ITA]]-VLOOKUP($U$1,A:B,2,))/VLOOKUP($U$1,A:B,2,))*100)+100</f>
        <v/>
      </c>
      <c r="I131" s="76">
        <f>(((Table134567891011121314151617343[[#This Row],[FRA]]-VLOOKUP($U$1,A:C,3,))/VLOOKUP($U$1,A:C,3,))*100)+100</f>
        <v/>
      </c>
      <c r="J131" s="76">
        <f>(((Table134567891011121314151617343[[#This Row],[DEU]]-VLOOKUP($U$1,A:D,4,))/VLOOKUP($U$1,A:D,4,))*100)+100</f>
        <v/>
      </c>
      <c r="K131" s="76">
        <f>(((Table134567891011121314151617343[[#This Row],[ESP]]-VLOOKUP($U$1,A:E,5,))/VLOOKUP($U$1,A:E,5,))*100)+100</f>
        <v/>
      </c>
      <c r="L131" s="76">
        <f>(((Table134567891011121314151617343[[#This Row],[EA19]]-VLOOKUP($U$1,A:F,6,))/VLOOKUP($U$1,A:F,6,))*100)+100</f>
        <v/>
      </c>
      <c r="M131" s="76">
        <f>(((Table134567891011121314151617343[[#This Row],[GBR]]-VLOOKUP($U$1,A:G,7,))/VLOOKUP($U$1,A:G,7,))*100)+100</f>
        <v/>
      </c>
      <c r="N131" s="76">
        <f>IF(VLOOKUP(A131,Database!$A:$AU,MATCH($N$1,Database!$A$1:$AU$1,0),FALSE)=0,#N/A,VLOOKUP(A131,Database!$A:$AU,MATCH($N$1,Database!$A$1:$AU$1,0),FALSE))</f>
        <v/>
      </c>
      <c r="O131" s="76">
        <f>(((Table134567891011121314151617343[[#This Row],[USA]]-VLOOKUP($U$1,A:N,14,))/VLOOKUP($U$1,A:N,14,))*100)+100</f>
        <v/>
      </c>
      <c r="P131" s="76">
        <f>IF(VLOOKUP(A131,Database!$A:$AS,MATCH($P$1,Database!$A$1:$AS$1,0),FALSE)=0,#N/A,VLOOKUP(A131,Database!$A:$AS,MATCH($P$1,Database!$A$1:$AS$1,0),FALSE))</f>
        <v/>
      </c>
      <c r="Q131" s="76">
        <f>(((Table134567891011121314151617343[[#This Row],[JPN]]-VLOOKUP($U$1,A:Q,16,))/VLOOKUP($U$1,A:Q,16,))*100)+100</f>
        <v/>
      </c>
    </row>
    <row r="132" customFormat="1" s="86">
      <c r="A132" s="21" t="n">
        <v>36831</v>
      </c>
      <c r="B132" s="76">
        <f>IF(VLOOKUP(A132,Database!$A:$AS,MATCH($B$1,Database!$A$1:$AS$1,0),FALSE)=0,#N/A,VLOOKUP(A132,Database!$A:$AS,MATCH($B$1,Database!$A$1:$AS$1,0),FALSE))</f>
        <v/>
      </c>
      <c r="C132" s="76">
        <f>IF(VLOOKUP(A132,Database!$A:$AS,MATCH($C$1,Database!$A$1:$AS$1,0),FALSE)=0,#N/A,VLOOKUP(A132,Database!$A:$AS,MATCH($C$1,Database!$A$1:$AS$1,0),FALSE))</f>
        <v/>
      </c>
      <c r="D132" s="76">
        <f>IF(VLOOKUP(A132,Database!$A:$AS,MATCH($D$1,Database!$A$1:$AS$1,0),FALSE)=0,#N/A,VLOOKUP(A132,Database!$A:$AS,MATCH($D$1,Database!$A$1:$AS$1,0),FALSE))</f>
        <v/>
      </c>
      <c r="E132" s="76">
        <f>IF(VLOOKUP(A132,Database!$A:$AS,MATCH($E$1,Database!$A$1:$AS$1,0),FALSE)=0,#N/A,VLOOKUP(A132,Database!$A:$AS,MATCH($E$1,Database!$A$1:$AS$1,0),FALSE))</f>
        <v/>
      </c>
      <c r="F132" s="76">
        <f>IF(VLOOKUP(A132,Database!$A:$AS,MATCH($F$1,Database!$A$1:$AS$1,0),FALSE)=0,#N/A,VLOOKUP(A132,Database!$A:$AS,MATCH($F$1,Database!$A$1:$AS$1,0),FALSE))</f>
        <v/>
      </c>
      <c r="G132" s="76">
        <f>IF(VLOOKUP(A132,Database!$A:$AS,MATCH($G$1,Database!$A$1:$AS$1,0),FALSE)=0,#N/A,VLOOKUP(A132,Database!$A:$AS,MATCH($G$1,Database!$A$1:$AS$1,0),FALSE))</f>
        <v/>
      </c>
      <c r="H132" s="76">
        <f>(((Table134567891011121314151617343[[#This Row],[ITA]]-VLOOKUP($U$1,A:B,2,))/VLOOKUP($U$1,A:B,2,))*100)+100</f>
        <v/>
      </c>
      <c r="I132" s="76">
        <f>(((Table134567891011121314151617343[[#This Row],[FRA]]-VLOOKUP($U$1,A:C,3,))/VLOOKUP($U$1,A:C,3,))*100)+100</f>
        <v/>
      </c>
      <c r="J132" s="76">
        <f>(((Table134567891011121314151617343[[#This Row],[DEU]]-VLOOKUP($U$1,A:D,4,))/VLOOKUP($U$1,A:D,4,))*100)+100</f>
        <v/>
      </c>
      <c r="K132" s="76">
        <f>(((Table134567891011121314151617343[[#This Row],[ESP]]-VLOOKUP($U$1,A:E,5,))/VLOOKUP($U$1,A:E,5,))*100)+100</f>
        <v/>
      </c>
      <c r="L132" s="76">
        <f>(((Table134567891011121314151617343[[#This Row],[EA19]]-VLOOKUP($U$1,A:F,6,))/VLOOKUP($U$1,A:F,6,))*100)+100</f>
        <v/>
      </c>
      <c r="M132" s="76">
        <f>(((Table134567891011121314151617343[[#This Row],[GBR]]-VLOOKUP($U$1,A:G,7,))/VLOOKUP($U$1,A:G,7,))*100)+100</f>
        <v/>
      </c>
      <c r="N132" s="76">
        <f>IF(VLOOKUP(A132,Database!$A:$AU,MATCH($N$1,Database!$A$1:$AU$1,0),FALSE)=0,#N/A,VLOOKUP(A132,Database!$A:$AU,MATCH($N$1,Database!$A$1:$AU$1,0),FALSE))</f>
        <v/>
      </c>
      <c r="O132" s="76">
        <f>(((Table134567891011121314151617343[[#This Row],[USA]]-VLOOKUP($U$1,A:N,14,))/VLOOKUP($U$1,A:N,14,))*100)+100</f>
        <v/>
      </c>
      <c r="P132" s="76">
        <f>IF(VLOOKUP(A132,Database!$A:$AS,MATCH($P$1,Database!$A$1:$AS$1,0),FALSE)=0,#N/A,VLOOKUP(A132,Database!$A:$AS,MATCH($P$1,Database!$A$1:$AS$1,0),FALSE))</f>
        <v/>
      </c>
      <c r="Q132" s="76">
        <f>(((Table134567891011121314151617343[[#This Row],[JPN]]-VLOOKUP($U$1,A:Q,16,))/VLOOKUP($U$1,A:Q,16,))*100)+100</f>
        <v/>
      </c>
    </row>
    <row r="133" customFormat="1" s="86">
      <c r="A133" s="21" t="n">
        <v>36861</v>
      </c>
      <c r="B133" s="76">
        <f>IF(VLOOKUP(A133,Database!$A:$AS,MATCH($B$1,Database!$A$1:$AS$1,0),FALSE)=0,#N/A,VLOOKUP(A133,Database!$A:$AS,MATCH($B$1,Database!$A$1:$AS$1,0),FALSE))</f>
        <v/>
      </c>
      <c r="C133" s="76">
        <f>IF(VLOOKUP(A133,Database!$A:$AS,MATCH($C$1,Database!$A$1:$AS$1,0),FALSE)=0,#N/A,VLOOKUP(A133,Database!$A:$AS,MATCH($C$1,Database!$A$1:$AS$1,0),FALSE))</f>
        <v/>
      </c>
      <c r="D133" s="76">
        <f>IF(VLOOKUP(A133,Database!$A:$AS,MATCH($D$1,Database!$A$1:$AS$1,0),FALSE)=0,#N/A,VLOOKUP(A133,Database!$A:$AS,MATCH($D$1,Database!$A$1:$AS$1,0),FALSE))</f>
        <v/>
      </c>
      <c r="E133" s="76">
        <f>IF(VLOOKUP(A133,Database!$A:$AS,MATCH($E$1,Database!$A$1:$AS$1,0),FALSE)=0,#N/A,VLOOKUP(A133,Database!$A:$AS,MATCH($E$1,Database!$A$1:$AS$1,0),FALSE))</f>
        <v/>
      </c>
      <c r="F133" s="76">
        <f>IF(VLOOKUP(A133,Database!$A:$AS,MATCH($F$1,Database!$A$1:$AS$1,0),FALSE)=0,#N/A,VLOOKUP(A133,Database!$A:$AS,MATCH($F$1,Database!$A$1:$AS$1,0),FALSE))</f>
        <v/>
      </c>
      <c r="G133" s="76">
        <f>IF(VLOOKUP(A133,Database!$A:$AS,MATCH($G$1,Database!$A$1:$AS$1,0),FALSE)=0,#N/A,VLOOKUP(A133,Database!$A:$AS,MATCH($G$1,Database!$A$1:$AS$1,0),FALSE))</f>
        <v/>
      </c>
      <c r="H133" s="76">
        <f>(((Table134567891011121314151617343[[#This Row],[ITA]]-VLOOKUP($U$1,A:B,2,))/VLOOKUP($U$1,A:B,2,))*100)+100</f>
        <v/>
      </c>
      <c r="I133" s="76">
        <f>(((Table134567891011121314151617343[[#This Row],[FRA]]-VLOOKUP($U$1,A:C,3,))/VLOOKUP($U$1,A:C,3,))*100)+100</f>
        <v/>
      </c>
      <c r="J133" s="76">
        <f>(((Table134567891011121314151617343[[#This Row],[DEU]]-VLOOKUP($U$1,A:D,4,))/VLOOKUP($U$1,A:D,4,))*100)+100</f>
        <v/>
      </c>
      <c r="K133" s="76">
        <f>(((Table134567891011121314151617343[[#This Row],[ESP]]-VLOOKUP($U$1,A:E,5,))/VLOOKUP($U$1,A:E,5,))*100)+100</f>
        <v/>
      </c>
      <c r="L133" s="76">
        <f>(((Table134567891011121314151617343[[#This Row],[EA19]]-VLOOKUP($U$1,A:F,6,))/VLOOKUP($U$1,A:F,6,))*100)+100</f>
        <v/>
      </c>
      <c r="M133" s="76">
        <f>(((Table134567891011121314151617343[[#This Row],[GBR]]-VLOOKUP($U$1,A:G,7,))/VLOOKUP($U$1,A:G,7,))*100)+100</f>
        <v/>
      </c>
      <c r="N133" s="76">
        <f>IF(VLOOKUP(A133,Database!$A:$AU,MATCH($N$1,Database!$A$1:$AU$1,0),FALSE)=0,#N/A,VLOOKUP(A133,Database!$A:$AU,MATCH($N$1,Database!$A$1:$AU$1,0),FALSE))</f>
        <v/>
      </c>
      <c r="O133" s="76">
        <f>(((Table134567891011121314151617343[[#This Row],[USA]]-VLOOKUP($U$1,A:N,14,))/VLOOKUP($U$1,A:N,14,))*100)+100</f>
        <v/>
      </c>
      <c r="P133" s="76">
        <f>IF(VLOOKUP(A133,Database!$A:$AS,MATCH($P$1,Database!$A$1:$AS$1,0),FALSE)=0,#N/A,VLOOKUP(A133,Database!$A:$AS,MATCH($P$1,Database!$A$1:$AS$1,0),FALSE))</f>
        <v/>
      </c>
      <c r="Q133" s="76">
        <f>(((Table134567891011121314151617343[[#This Row],[JPN]]-VLOOKUP($U$1,A:Q,16,))/VLOOKUP($U$1,A:Q,16,))*100)+100</f>
        <v/>
      </c>
    </row>
    <row r="134" customFormat="1" s="86">
      <c r="A134" s="21" t="n">
        <v>36892</v>
      </c>
      <c r="B134" s="76">
        <f>IF(VLOOKUP(A134,Database!$A:$AS,MATCH($B$1,Database!$A$1:$AS$1,0),FALSE)=0,#N/A,VLOOKUP(A134,Database!$A:$AS,MATCH($B$1,Database!$A$1:$AS$1,0),FALSE))</f>
        <v/>
      </c>
      <c r="C134" s="76">
        <f>IF(VLOOKUP(A134,Database!$A:$AS,MATCH($C$1,Database!$A$1:$AS$1,0),FALSE)=0,#N/A,VLOOKUP(A134,Database!$A:$AS,MATCH($C$1,Database!$A$1:$AS$1,0),FALSE))</f>
        <v/>
      </c>
      <c r="D134" s="76">
        <f>IF(VLOOKUP(A134,Database!$A:$AS,MATCH($D$1,Database!$A$1:$AS$1,0),FALSE)=0,#N/A,VLOOKUP(A134,Database!$A:$AS,MATCH($D$1,Database!$A$1:$AS$1,0),FALSE))</f>
        <v/>
      </c>
      <c r="E134" s="76">
        <f>IF(VLOOKUP(A134,Database!$A:$AS,MATCH($E$1,Database!$A$1:$AS$1,0),FALSE)=0,#N/A,VLOOKUP(A134,Database!$A:$AS,MATCH($E$1,Database!$A$1:$AS$1,0),FALSE))</f>
        <v/>
      </c>
      <c r="F134" s="76">
        <f>IF(VLOOKUP(A134,Database!$A:$AS,MATCH($F$1,Database!$A$1:$AS$1,0),FALSE)=0,#N/A,VLOOKUP(A134,Database!$A:$AS,MATCH($F$1,Database!$A$1:$AS$1,0),FALSE))</f>
        <v/>
      </c>
      <c r="G134" s="76">
        <f>IF(VLOOKUP(A134,Database!$A:$AS,MATCH($G$1,Database!$A$1:$AS$1,0),FALSE)=0,#N/A,VLOOKUP(A134,Database!$A:$AS,MATCH($G$1,Database!$A$1:$AS$1,0),FALSE))</f>
        <v/>
      </c>
      <c r="H134" s="76">
        <f>(((Table134567891011121314151617343[[#This Row],[ITA]]-VLOOKUP($U$1,A:B,2,))/VLOOKUP($U$1,A:B,2,))*100)+100</f>
        <v/>
      </c>
      <c r="I134" s="76">
        <f>(((Table134567891011121314151617343[[#This Row],[FRA]]-VLOOKUP($U$1,A:C,3,))/VLOOKUP($U$1,A:C,3,))*100)+100</f>
        <v/>
      </c>
      <c r="J134" s="76">
        <f>(((Table134567891011121314151617343[[#This Row],[DEU]]-VLOOKUP($U$1,A:D,4,))/VLOOKUP($U$1,A:D,4,))*100)+100</f>
        <v/>
      </c>
      <c r="K134" s="76">
        <f>(((Table134567891011121314151617343[[#This Row],[ESP]]-VLOOKUP($U$1,A:E,5,))/VLOOKUP($U$1,A:E,5,))*100)+100</f>
        <v/>
      </c>
      <c r="L134" s="76">
        <f>(((Table134567891011121314151617343[[#This Row],[EA19]]-VLOOKUP($U$1,A:F,6,))/VLOOKUP($U$1,A:F,6,))*100)+100</f>
        <v/>
      </c>
      <c r="M134" s="76">
        <f>(((Table134567891011121314151617343[[#This Row],[GBR]]-VLOOKUP($U$1,A:G,7,))/VLOOKUP($U$1,A:G,7,))*100)+100</f>
        <v/>
      </c>
      <c r="N134" s="76">
        <f>IF(VLOOKUP(A134,Database!$A:$AU,MATCH($N$1,Database!$A$1:$AU$1,0),FALSE)=0,#N/A,VLOOKUP(A134,Database!$A:$AU,MATCH($N$1,Database!$A$1:$AU$1,0),FALSE))</f>
        <v/>
      </c>
      <c r="O134" s="76">
        <f>(((Table134567891011121314151617343[[#This Row],[USA]]-VLOOKUP($U$1,A:N,14,))/VLOOKUP($U$1,A:N,14,))*100)+100</f>
        <v/>
      </c>
      <c r="P134" s="76">
        <f>IF(VLOOKUP(A134,Database!$A:$AS,MATCH($P$1,Database!$A$1:$AS$1,0),FALSE)=0,#N/A,VLOOKUP(A134,Database!$A:$AS,MATCH($P$1,Database!$A$1:$AS$1,0),FALSE))</f>
        <v/>
      </c>
      <c r="Q134" s="76">
        <f>(((Table134567891011121314151617343[[#This Row],[JPN]]-VLOOKUP($U$1,A:Q,16,))/VLOOKUP($U$1,A:Q,16,))*100)+100</f>
        <v/>
      </c>
    </row>
    <row r="135" customFormat="1" s="86">
      <c r="A135" s="21" t="n">
        <v>36923</v>
      </c>
      <c r="B135" s="76">
        <f>IF(VLOOKUP(A135,Database!$A:$AS,MATCH($B$1,Database!$A$1:$AS$1,0),FALSE)=0,#N/A,VLOOKUP(A135,Database!$A:$AS,MATCH($B$1,Database!$A$1:$AS$1,0),FALSE))</f>
        <v/>
      </c>
      <c r="C135" s="76">
        <f>IF(VLOOKUP(A135,Database!$A:$AS,MATCH($C$1,Database!$A$1:$AS$1,0),FALSE)=0,#N/A,VLOOKUP(A135,Database!$A:$AS,MATCH($C$1,Database!$A$1:$AS$1,0),FALSE))</f>
        <v/>
      </c>
      <c r="D135" s="76">
        <f>IF(VLOOKUP(A135,Database!$A:$AS,MATCH($D$1,Database!$A$1:$AS$1,0),FALSE)=0,#N/A,VLOOKUP(A135,Database!$A:$AS,MATCH($D$1,Database!$A$1:$AS$1,0),FALSE))</f>
        <v/>
      </c>
      <c r="E135" s="76">
        <f>IF(VLOOKUP(A135,Database!$A:$AS,MATCH($E$1,Database!$A$1:$AS$1,0),FALSE)=0,#N/A,VLOOKUP(A135,Database!$A:$AS,MATCH($E$1,Database!$A$1:$AS$1,0),FALSE))</f>
        <v/>
      </c>
      <c r="F135" s="76">
        <f>IF(VLOOKUP(A135,Database!$A:$AS,MATCH($F$1,Database!$A$1:$AS$1,0),FALSE)=0,#N/A,VLOOKUP(A135,Database!$A:$AS,MATCH($F$1,Database!$A$1:$AS$1,0),FALSE))</f>
        <v/>
      </c>
      <c r="G135" s="76">
        <f>IF(VLOOKUP(A135,Database!$A:$AS,MATCH($G$1,Database!$A$1:$AS$1,0),FALSE)=0,#N/A,VLOOKUP(A135,Database!$A:$AS,MATCH($G$1,Database!$A$1:$AS$1,0),FALSE))</f>
        <v/>
      </c>
      <c r="H135" s="76">
        <f>(((Table134567891011121314151617343[[#This Row],[ITA]]-VLOOKUP($U$1,A:B,2,))/VLOOKUP($U$1,A:B,2,))*100)+100</f>
        <v/>
      </c>
      <c r="I135" s="76">
        <f>(((Table134567891011121314151617343[[#This Row],[FRA]]-VLOOKUP($U$1,A:C,3,))/VLOOKUP($U$1,A:C,3,))*100)+100</f>
        <v/>
      </c>
      <c r="J135" s="76">
        <f>(((Table134567891011121314151617343[[#This Row],[DEU]]-VLOOKUP($U$1,A:D,4,))/VLOOKUP($U$1,A:D,4,))*100)+100</f>
        <v/>
      </c>
      <c r="K135" s="76">
        <f>(((Table134567891011121314151617343[[#This Row],[ESP]]-VLOOKUP($U$1,A:E,5,))/VLOOKUP($U$1,A:E,5,))*100)+100</f>
        <v/>
      </c>
      <c r="L135" s="76">
        <f>(((Table134567891011121314151617343[[#This Row],[EA19]]-VLOOKUP($U$1,A:F,6,))/VLOOKUP($U$1,A:F,6,))*100)+100</f>
        <v/>
      </c>
      <c r="M135" s="76">
        <f>(((Table134567891011121314151617343[[#This Row],[GBR]]-VLOOKUP($U$1,A:G,7,))/VLOOKUP($U$1,A:G,7,))*100)+100</f>
        <v/>
      </c>
      <c r="N135" s="76">
        <f>IF(VLOOKUP(A135,Database!$A:$AU,MATCH($N$1,Database!$A$1:$AU$1,0),FALSE)=0,#N/A,VLOOKUP(A135,Database!$A:$AU,MATCH($N$1,Database!$A$1:$AU$1,0),FALSE))</f>
        <v/>
      </c>
      <c r="O135" s="76">
        <f>(((Table134567891011121314151617343[[#This Row],[USA]]-VLOOKUP($U$1,A:N,14,))/VLOOKUP($U$1,A:N,14,))*100)+100</f>
        <v/>
      </c>
      <c r="P135" s="76">
        <f>IF(VLOOKUP(A135,Database!$A:$AS,MATCH($P$1,Database!$A$1:$AS$1,0),FALSE)=0,#N/A,VLOOKUP(A135,Database!$A:$AS,MATCH($P$1,Database!$A$1:$AS$1,0),FALSE))</f>
        <v/>
      </c>
      <c r="Q135" s="76">
        <f>(((Table134567891011121314151617343[[#This Row],[JPN]]-VLOOKUP($U$1,A:Q,16,))/VLOOKUP($U$1,A:Q,16,))*100)+100</f>
        <v/>
      </c>
    </row>
    <row r="136" customFormat="1" s="86">
      <c r="A136" s="21" t="n">
        <v>36951</v>
      </c>
      <c r="B136" s="76">
        <f>IF(VLOOKUP(A136,Database!$A:$AS,MATCH($B$1,Database!$A$1:$AS$1,0),FALSE)=0,#N/A,VLOOKUP(A136,Database!$A:$AS,MATCH($B$1,Database!$A$1:$AS$1,0),FALSE))</f>
        <v/>
      </c>
      <c r="C136" s="76">
        <f>IF(VLOOKUP(A136,Database!$A:$AS,MATCH($C$1,Database!$A$1:$AS$1,0),FALSE)=0,#N/A,VLOOKUP(A136,Database!$A:$AS,MATCH($C$1,Database!$A$1:$AS$1,0),FALSE))</f>
        <v/>
      </c>
      <c r="D136" s="76">
        <f>IF(VLOOKUP(A136,Database!$A:$AS,MATCH($D$1,Database!$A$1:$AS$1,0),FALSE)=0,#N/A,VLOOKUP(A136,Database!$A:$AS,MATCH($D$1,Database!$A$1:$AS$1,0),FALSE))</f>
        <v/>
      </c>
      <c r="E136" s="76">
        <f>IF(VLOOKUP(A136,Database!$A:$AS,MATCH($E$1,Database!$A$1:$AS$1,0),FALSE)=0,#N/A,VLOOKUP(A136,Database!$A:$AS,MATCH($E$1,Database!$A$1:$AS$1,0),FALSE))</f>
        <v/>
      </c>
      <c r="F136" s="76">
        <f>IF(VLOOKUP(A136,Database!$A:$AS,MATCH($F$1,Database!$A$1:$AS$1,0),FALSE)=0,#N/A,VLOOKUP(A136,Database!$A:$AS,MATCH($F$1,Database!$A$1:$AS$1,0),FALSE))</f>
        <v/>
      </c>
      <c r="G136" s="76">
        <f>IF(VLOOKUP(A136,Database!$A:$AS,MATCH($G$1,Database!$A$1:$AS$1,0),FALSE)=0,#N/A,VLOOKUP(A136,Database!$A:$AS,MATCH($G$1,Database!$A$1:$AS$1,0),FALSE))</f>
        <v/>
      </c>
      <c r="H136" s="76">
        <f>(((Table134567891011121314151617343[[#This Row],[ITA]]-VLOOKUP($U$1,A:B,2,))/VLOOKUP($U$1,A:B,2,))*100)+100</f>
        <v/>
      </c>
      <c r="I136" s="76">
        <f>(((Table134567891011121314151617343[[#This Row],[FRA]]-VLOOKUP($U$1,A:C,3,))/VLOOKUP($U$1,A:C,3,))*100)+100</f>
        <v/>
      </c>
      <c r="J136" s="76">
        <f>(((Table134567891011121314151617343[[#This Row],[DEU]]-VLOOKUP($U$1,A:D,4,))/VLOOKUP($U$1,A:D,4,))*100)+100</f>
        <v/>
      </c>
      <c r="K136" s="76">
        <f>(((Table134567891011121314151617343[[#This Row],[ESP]]-VLOOKUP($U$1,A:E,5,))/VLOOKUP($U$1,A:E,5,))*100)+100</f>
        <v/>
      </c>
      <c r="L136" s="76">
        <f>(((Table134567891011121314151617343[[#This Row],[EA19]]-VLOOKUP($U$1,A:F,6,))/VLOOKUP($U$1,A:F,6,))*100)+100</f>
        <v/>
      </c>
      <c r="M136" s="76">
        <f>(((Table134567891011121314151617343[[#This Row],[GBR]]-VLOOKUP($U$1,A:G,7,))/VLOOKUP($U$1,A:G,7,))*100)+100</f>
        <v/>
      </c>
      <c r="N136" s="76">
        <f>IF(VLOOKUP(A136,Database!$A:$AU,MATCH($N$1,Database!$A$1:$AU$1,0),FALSE)=0,#N/A,VLOOKUP(A136,Database!$A:$AU,MATCH($N$1,Database!$A$1:$AU$1,0),FALSE))</f>
        <v/>
      </c>
      <c r="O136" s="76">
        <f>(((Table134567891011121314151617343[[#This Row],[USA]]-VLOOKUP($U$1,A:N,14,))/VLOOKUP($U$1,A:N,14,))*100)+100</f>
        <v/>
      </c>
      <c r="P136" s="76">
        <f>IF(VLOOKUP(A136,Database!$A:$AS,MATCH($P$1,Database!$A$1:$AS$1,0),FALSE)=0,#N/A,VLOOKUP(A136,Database!$A:$AS,MATCH($P$1,Database!$A$1:$AS$1,0),FALSE))</f>
        <v/>
      </c>
      <c r="Q136" s="76">
        <f>(((Table134567891011121314151617343[[#This Row],[JPN]]-VLOOKUP($U$1,A:Q,16,))/VLOOKUP($U$1,A:Q,16,))*100)+100</f>
        <v/>
      </c>
    </row>
    <row r="137" customFormat="1" s="86">
      <c r="A137" s="21" t="n">
        <v>36982</v>
      </c>
      <c r="B137" s="76">
        <f>IF(VLOOKUP(A137,Database!$A:$AS,MATCH($B$1,Database!$A$1:$AS$1,0),FALSE)=0,#N/A,VLOOKUP(A137,Database!$A:$AS,MATCH($B$1,Database!$A$1:$AS$1,0),FALSE))</f>
        <v/>
      </c>
      <c r="C137" s="76">
        <f>IF(VLOOKUP(A137,Database!$A:$AS,MATCH($C$1,Database!$A$1:$AS$1,0),FALSE)=0,#N/A,VLOOKUP(A137,Database!$A:$AS,MATCH($C$1,Database!$A$1:$AS$1,0),FALSE))</f>
        <v/>
      </c>
      <c r="D137" s="76">
        <f>IF(VLOOKUP(A137,Database!$A:$AS,MATCH($D$1,Database!$A$1:$AS$1,0),FALSE)=0,#N/A,VLOOKUP(A137,Database!$A:$AS,MATCH($D$1,Database!$A$1:$AS$1,0),FALSE))</f>
        <v/>
      </c>
      <c r="E137" s="76">
        <f>IF(VLOOKUP(A137,Database!$A:$AS,MATCH($E$1,Database!$A$1:$AS$1,0),FALSE)=0,#N/A,VLOOKUP(A137,Database!$A:$AS,MATCH($E$1,Database!$A$1:$AS$1,0),FALSE))</f>
        <v/>
      </c>
      <c r="F137" s="76">
        <f>IF(VLOOKUP(A137,Database!$A:$AS,MATCH($F$1,Database!$A$1:$AS$1,0),FALSE)=0,#N/A,VLOOKUP(A137,Database!$A:$AS,MATCH($F$1,Database!$A$1:$AS$1,0),FALSE))</f>
        <v/>
      </c>
      <c r="G137" s="76">
        <f>IF(VLOOKUP(A137,Database!$A:$AS,MATCH($G$1,Database!$A$1:$AS$1,0),FALSE)=0,#N/A,VLOOKUP(A137,Database!$A:$AS,MATCH($G$1,Database!$A$1:$AS$1,0),FALSE))</f>
        <v/>
      </c>
      <c r="H137" s="76">
        <f>(((Table134567891011121314151617343[[#This Row],[ITA]]-VLOOKUP($U$1,A:B,2,))/VLOOKUP($U$1,A:B,2,))*100)+100</f>
        <v/>
      </c>
      <c r="I137" s="76">
        <f>(((Table134567891011121314151617343[[#This Row],[FRA]]-VLOOKUP($U$1,A:C,3,))/VLOOKUP($U$1,A:C,3,))*100)+100</f>
        <v/>
      </c>
      <c r="J137" s="76">
        <f>(((Table134567891011121314151617343[[#This Row],[DEU]]-VLOOKUP($U$1,A:D,4,))/VLOOKUP($U$1,A:D,4,))*100)+100</f>
        <v/>
      </c>
      <c r="K137" s="76">
        <f>(((Table134567891011121314151617343[[#This Row],[ESP]]-VLOOKUP($U$1,A:E,5,))/VLOOKUP($U$1,A:E,5,))*100)+100</f>
        <v/>
      </c>
      <c r="L137" s="76">
        <f>(((Table134567891011121314151617343[[#This Row],[EA19]]-VLOOKUP($U$1,A:F,6,))/VLOOKUP($U$1,A:F,6,))*100)+100</f>
        <v/>
      </c>
      <c r="M137" s="76">
        <f>(((Table134567891011121314151617343[[#This Row],[GBR]]-VLOOKUP($U$1,A:G,7,))/VLOOKUP($U$1,A:G,7,))*100)+100</f>
        <v/>
      </c>
      <c r="N137" s="76">
        <f>IF(VLOOKUP(A137,Database!$A:$AU,MATCH($N$1,Database!$A$1:$AU$1,0),FALSE)=0,#N/A,VLOOKUP(A137,Database!$A:$AU,MATCH($N$1,Database!$A$1:$AU$1,0),FALSE))</f>
        <v/>
      </c>
      <c r="O137" s="76">
        <f>(((Table134567891011121314151617343[[#This Row],[USA]]-VLOOKUP($U$1,A:N,14,))/VLOOKUP($U$1,A:N,14,))*100)+100</f>
        <v/>
      </c>
      <c r="P137" s="76">
        <f>IF(VLOOKUP(A137,Database!$A:$AS,MATCH($P$1,Database!$A$1:$AS$1,0),FALSE)=0,#N/A,VLOOKUP(A137,Database!$A:$AS,MATCH($P$1,Database!$A$1:$AS$1,0),FALSE))</f>
        <v/>
      </c>
      <c r="Q137" s="76">
        <f>(((Table134567891011121314151617343[[#This Row],[JPN]]-VLOOKUP($U$1,A:Q,16,))/VLOOKUP($U$1,A:Q,16,))*100)+100</f>
        <v/>
      </c>
    </row>
    <row r="138" customFormat="1" s="86">
      <c r="A138" s="21" t="n">
        <v>37012</v>
      </c>
      <c r="B138" s="76">
        <f>IF(VLOOKUP(A138,Database!$A:$AS,MATCH($B$1,Database!$A$1:$AS$1,0),FALSE)=0,#N/A,VLOOKUP(A138,Database!$A:$AS,MATCH($B$1,Database!$A$1:$AS$1,0),FALSE))</f>
        <v/>
      </c>
      <c r="C138" s="76">
        <f>IF(VLOOKUP(A138,Database!$A:$AS,MATCH($C$1,Database!$A$1:$AS$1,0),FALSE)=0,#N/A,VLOOKUP(A138,Database!$A:$AS,MATCH($C$1,Database!$A$1:$AS$1,0),FALSE))</f>
        <v/>
      </c>
      <c r="D138" s="76">
        <f>IF(VLOOKUP(A138,Database!$A:$AS,MATCH($D$1,Database!$A$1:$AS$1,0),FALSE)=0,#N/A,VLOOKUP(A138,Database!$A:$AS,MATCH($D$1,Database!$A$1:$AS$1,0),FALSE))</f>
        <v/>
      </c>
      <c r="E138" s="76">
        <f>IF(VLOOKUP(A138,Database!$A:$AS,MATCH($E$1,Database!$A$1:$AS$1,0),FALSE)=0,#N/A,VLOOKUP(A138,Database!$A:$AS,MATCH($E$1,Database!$A$1:$AS$1,0),FALSE))</f>
        <v/>
      </c>
      <c r="F138" s="76">
        <f>IF(VLOOKUP(A138,Database!$A:$AS,MATCH($F$1,Database!$A$1:$AS$1,0),FALSE)=0,#N/A,VLOOKUP(A138,Database!$A:$AS,MATCH($F$1,Database!$A$1:$AS$1,0),FALSE))</f>
        <v/>
      </c>
      <c r="G138" s="76">
        <f>IF(VLOOKUP(A138,Database!$A:$AS,MATCH($G$1,Database!$A$1:$AS$1,0),FALSE)=0,#N/A,VLOOKUP(A138,Database!$A:$AS,MATCH($G$1,Database!$A$1:$AS$1,0),FALSE))</f>
        <v/>
      </c>
      <c r="H138" s="76">
        <f>(((Table134567891011121314151617343[[#This Row],[ITA]]-VLOOKUP($U$1,A:B,2,))/VLOOKUP($U$1,A:B,2,))*100)+100</f>
        <v/>
      </c>
      <c r="I138" s="76">
        <f>(((Table134567891011121314151617343[[#This Row],[FRA]]-VLOOKUP($U$1,A:C,3,))/VLOOKUP($U$1,A:C,3,))*100)+100</f>
        <v/>
      </c>
      <c r="J138" s="76">
        <f>(((Table134567891011121314151617343[[#This Row],[DEU]]-VLOOKUP($U$1,A:D,4,))/VLOOKUP($U$1,A:D,4,))*100)+100</f>
        <v/>
      </c>
      <c r="K138" s="76">
        <f>(((Table134567891011121314151617343[[#This Row],[ESP]]-VLOOKUP($U$1,A:E,5,))/VLOOKUP($U$1,A:E,5,))*100)+100</f>
        <v/>
      </c>
      <c r="L138" s="76">
        <f>(((Table134567891011121314151617343[[#This Row],[EA19]]-VLOOKUP($U$1,A:F,6,))/VLOOKUP($U$1,A:F,6,))*100)+100</f>
        <v/>
      </c>
      <c r="M138" s="76">
        <f>(((Table134567891011121314151617343[[#This Row],[GBR]]-VLOOKUP($U$1,A:G,7,))/VLOOKUP($U$1,A:G,7,))*100)+100</f>
        <v/>
      </c>
      <c r="N138" s="76">
        <f>IF(VLOOKUP(A138,Database!$A:$AU,MATCH($N$1,Database!$A$1:$AU$1,0),FALSE)=0,#N/A,VLOOKUP(A138,Database!$A:$AU,MATCH($N$1,Database!$A$1:$AU$1,0),FALSE))</f>
        <v/>
      </c>
      <c r="O138" s="76">
        <f>(((Table134567891011121314151617343[[#This Row],[USA]]-VLOOKUP($U$1,A:N,14,))/VLOOKUP($U$1,A:N,14,))*100)+100</f>
        <v/>
      </c>
      <c r="P138" s="76">
        <f>IF(VLOOKUP(A138,Database!$A:$AS,MATCH($P$1,Database!$A$1:$AS$1,0),FALSE)=0,#N/A,VLOOKUP(A138,Database!$A:$AS,MATCH($P$1,Database!$A$1:$AS$1,0),FALSE))</f>
        <v/>
      </c>
      <c r="Q138" s="76">
        <f>(((Table134567891011121314151617343[[#This Row],[JPN]]-VLOOKUP($U$1,A:Q,16,))/VLOOKUP($U$1,A:Q,16,))*100)+100</f>
        <v/>
      </c>
    </row>
    <row r="139" customFormat="1" s="86">
      <c r="A139" s="21" t="n">
        <v>37043</v>
      </c>
      <c r="B139" s="76">
        <f>IF(VLOOKUP(A139,Database!$A:$AS,MATCH($B$1,Database!$A$1:$AS$1,0),FALSE)=0,#N/A,VLOOKUP(A139,Database!$A:$AS,MATCH($B$1,Database!$A$1:$AS$1,0),FALSE))</f>
        <v/>
      </c>
      <c r="C139" s="76">
        <f>IF(VLOOKUP(A139,Database!$A:$AS,MATCH($C$1,Database!$A$1:$AS$1,0),FALSE)=0,#N/A,VLOOKUP(A139,Database!$A:$AS,MATCH($C$1,Database!$A$1:$AS$1,0),FALSE))</f>
        <v/>
      </c>
      <c r="D139" s="76">
        <f>IF(VLOOKUP(A139,Database!$A:$AS,MATCH($D$1,Database!$A$1:$AS$1,0),FALSE)=0,#N/A,VLOOKUP(A139,Database!$A:$AS,MATCH($D$1,Database!$A$1:$AS$1,0),FALSE))</f>
        <v/>
      </c>
      <c r="E139" s="76">
        <f>IF(VLOOKUP(A139,Database!$A:$AS,MATCH($E$1,Database!$A$1:$AS$1,0),FALSE)=0,#N/A,VLOOKUP(A139,Database!$A:$AS,MATCH($E$1,Database!$A$1:$AS$1,0),FALSE))</f>
        <v/>
      </c>
      <c r="F139" s="76">
        <f>IF(VLOOKUP(A139,Database!$A:$AS,MATCH($F$1,Database!$A$1:$AS$1,0),FALSE)=0,#N/A,VLOOKUP(A139,Database!$A:$AS,MATCH($F$1,Database!$A$1:$AS$1,0),FALSE))</f>
        <v/>
      </c>
      <c r="G139" s="76">
        <f>IF(VLOOKUP(A139,Database!$A:$AS,MATCH($G$1,Database!$A$1:$AS$1,0),FALSE)=0,#N/A,VLOOKUP(A139,Database!$A:$AS,MATCH($G$1,Database!$A$1:$AS$1,0),FALSE))</f>
        <v/>
      </c>
      <c r="H139" s="76">
        <f>(((Table134567891011121314151617343[[#This Row],[ITA]]-VLOOKUP($U$1,A:B,2,))/VLOOKUP($U$1,A:B,2,))*100)+100</f>
        <v/>
      </c>
      <c r="I139" s="76">
        <f>(((Table134567891011121314151617343[[#This Row],[FRA]]-VLOOKUP($U$1,A:C,3,))/VLOOKUP($U$1,A:C,3,))*100)+100</f>
        <v/>
      </c>
      <c r="J139" s="76">
        <f>(((Table134567891011121314151617343[[#This Row],[DEU]]-VLOOKUP($U$1,A:D,4,))/VLOOKUP($U$1,A:D,4,))*100)+100</f>
        <v/>
      </c>
      <c r="K139" s="76">
        <f>(((Table134567891011121314151617343[[#This Row],[ESP]]-VLOOKUP($U$1,A:E,5,))/VLOOKUP($U$1,A:E,5,))*100)+100</f>
        <v/>
      </c>
      <c r="L139" s="76">
        <f>(((Table134567891011121314151617343[[#This Row],[EA19]]-VLOOKUP($U$1,A:F,6,))/VLOOKUP($U$1,A:F,6,))*100)+100</f>
        <v/>
      </c>
      <c r="M139" s="76">
        <f>(((Table134567891011121314151617343[[#This Row],[GBR]]-VLOOKUP($U$1,A:G,7,))/VLOOKUP($U$1,A:G,7,))*100)+100</f>
        <v/>
      </c>
      <c r="N139" s="76">
        <f>IF(VLOOKUP(A139,Database!$A:$AU,MATCH($N$1,Database!$A$1:$AU$1,0),FALSE)=0,#N/A,VLOOKUP(A139,Database!$A:$AU,MATCH($N$1,Database!$A$1:$AU$1,0),FALSE))</f>
        <v/>
      </c>
      <c r="O139" s="76">
        <f>(((Table134567891011121314151617343[[#This Row],[USA]]-VLOOKUP($U$1,A:N,14,))/VLOOKUP($U$1,A:N,14,))*100)+100</f>
        <v/>
      </c>
      <c r="P139" s="76">
        <f>IF(VLOOKUP(A139,Database!$A:$AS,MATCH($P$1,Database!$A$1:$AS$1,0),FALSE)=0,#N/A,VLOOKUP(A139,Database!$A:$AS,MATCH($P$1,Database!$A$1:$AS$1,0),FALSE))</f>
        <v/>
      </c>
      <c r="Q139" s="76">
        <f>(((Table134567891011121314151617343[[#This Row],[JPN]]-VLOOKUP($U$1,A:Q,16,))/VLOOKUP($U$1,A:Q,16,))*100)+100</f>
        <v/>
      </c>
    </row>
    <row r="140" customFormat="1" s="86">
      <c r="A140" s="21" t="n">
        <v>37073</v>
      </c>
      <c r="B140" s="76">
        <f>IF(VLOOKUP(A140,Database!$A:$AS,MATCH($B$1,Database!$A$1:$AS$1,0),FALSE)=0,#N/A,VLOOKUP(A140,Database!$A:$AS,MATCH($B$1,Database!$A$1:$AS$1,0),FALSE))</f>
        <v/>
      </c>
      <c r="C140" s="76">
        <f>IF(VLOOKUP(A140,Database!$A:$AS,MATCH($C$1,Database!$A$1:$AS$1,0),FALSE)=0,#N/A,VLOOKUP(A140,Database!$A:$AS,MATCH($C$1,Database!$A$1:$AS$1,0),FALSE))</f>
        <v/>
      </c>
      <c r="D140" s="76">
        <f>IF(VLOOKUP(A140,Database!$A:$AS,MATCH($D$1,Database!$A$1:$AS$1,0),FALSE)=0,#N/A,VLOOKUP(A140,Database!$A:$AS,MATCH($D$1,Database!$A$1:$AS$1,0),FALSE))</f>
        <v/>
      </c>
      <c r="E140" s="76">
        <f>IF(VLOOKUP(A140,Database!$A:$AS,MATCH($E$1,Database!$A$1:$AS$1,0),FALSE)=0,#N/A,VLOOKUP(A140,Database!$A:$AS,MATCH($E$1,Database!$A$1:$AS$1,0),FALSE))</f>
        <v/>
      </c>
      <c r="F140" s="76">
        <f>IF(VLOOKUP(A140,Database!$A:$AS,MATCH($F$1,Database!$A$1:$AS$1,0),FALSE)=0,#N/A,VLOOKUP(A140,Database!$A:$AS,MATCH($F$1,Database!$A$1:$AS$1,0),FALSE))</f>
        <v/>
      </c>
      <c r="G140" s="76">
        <f>IF(VLOOKUP(A140,Database!$A:$AS,MATCH($G$1,Database!$A$1:$AS$1,0),FALSE)=0,#N/A,VLOOKUP(A140,Database!$A:$AS,MATCH($G$1,Database!$A$1:$AS$1,0),FALSE))</f>
        <v/>
      </c>
      <c r="H140" s="76">
        <f>(((Table134567891011121314151617343[[#This Row],[ITA]]-VLOOKUP($U$1,A:B,2,))/VLOOKUP($U$1,A:B,2,))*100)+100</f>
        <v/>
      </c>
      <c r="I140" s="76">
        <f>(((Table134567891011121314151617343[[#This Row],[FRA]]-VLOOKUP($U$1,A:C,3,))/VLOOKUP($U$1,A:C,3,))*100)+100</f>
        <v/>
      </c>
      <c r="J140" s="76">
        <f>(((Table134567891011121314151617343[[#This Row],[DEU]]-VLOOKUP($U$1,A:D,4,))/VLOOKUP($U$1,A:D,4,))*100)+100</f>
        <v/>
      </c>
      <c r="K140" s="76">
        <f>(((Table134567891011121314151617343[[#This Row],[ESP]]-VLOOKUP($U$1,A:E,5,))/VLOOKUP($U$1,A:E,5,))*100)+100</f>
        <v/>
      </c>
      <c r="L140" s="76">
        <f>(((Table134567891011121314151617343[[#This Row],[EA19]]-VLOOKUP($U$1,A:F,6,))/VLOOKUP($U$1,A:F,6,))*100)+100</f>
        <v/>
      </c>
      <c r="M140" s="76">
        <f>(((Table134567891011121314151617343[[#This Row],[GBR]]-VLOOKUP($U$1,A:G,7,))/VLOOKUP($U$1,A:G,7,))*100)+100</f>
        <v/>
      </c>
      <c r="N140" s="76">
        <f>IF(VLOOKUP(A140,Database!$A:$AU,MATCH($N$1,Database!$A$1:$AU$1,0),FALSE)=0,#N/A,VLOOKUP(A140,Database!$A:$AU,MATCH($N$1,Database!$A$1:$AU$1,0),FALSE))</f>
        <v/>
      </c>
      <c r="O140" s="76">
        <f>(((Table134567891011121314151617343[[#This Row],[USA]]-VLOOKUP($U$1,A:N,14,))/VLOOKUP($U$1,A:N,14,))*100)+100</f>
        <v/>
      </c>
      <c r="P140" s="76">
        <f>IF(VLOOKUP(A140,Database!$A:$AS,MATCH($P$1,Database!$A$1:$AS$1,0),FALSE)=0,#N/A,VLOOKUP(A140,Database!$A:$AS,MATCH($P$1,Database!$A$1:$AS$1,0),FALSE))</f>
        <v/>
      </c>
      <c r="Q140" s="76">
        <f>(((Table134567891011121314151617343[[#This Row],[JPN]]-VLOOKUP($U$1,A:Q,16,))/VLOOKUP($U$1,A:Q,16,))*100)+100</f>
        <v/>
      </c>
    </row>
    <row r="141" customFormat="1" s="86">
      <c r="A141" s="21" t="n">
        <v>37104</v>
      </c>
      <c r="B141" s="76">
        <f>IF(VLOOKUP(A141,Database!$A:$AS,MATCH($B$1,Database!$A$1:$AS$1,0),FALSE)=0,#N/A,VLOOKUP(A141,Database!$A:$AS,MATCH($B$1,Database!$A$1:$AS$1,0),FALSE))</f>
        <v/>
      </c>
      <c r="C141" s="76">
        <f>IF(VLOOKUP(A141,Database!$A:$AS,MATCH($C$1,Database!$A$1:$AS$1,0),FALSE)=0,#N/A,VLOOKUP(A141,Database!$A:$AS,MATCH($C$1,Database!$A$1:$AS$1,0),FALSE))</f>
        <v/>
      </c>
      <c r="D141" s="76">
        <f>IF(VLOOKUP(A141,Database!$A:$AS,MATCH($D$1,Database!$A$1:$AS$1,0),FALSE)=0,#N/A,VLOOKUP(A141,Database!$A:$AS,MATCH($D$1,Database!$A$1:$AS$1,0),FALSE))</f>
        <v/>
      </c>
      <c r="E141" s="76">
        <f>IF(VLOOKUP(A141,Database!$A:$AS,MATCH($E$1,Database!$A$1:$AS$1,0),FALSE)=0,#N/A,VLOOKUP(A141,Database!$A:$AS,MATCH($E$1,Database!$A$1:$AS$1,0),FALSE))</f>
        <v/>
      </c>
      <c r="F141" s="76">
        <f>IF(VLOOKUP(A141,Database!$A:$AS,MATCH($F$1,Database!$A$1:$AS$1,0),FALSE)=0,#N/A,VLOOKUP(A141,Database!$A:$AS,MATCH($F$1,Database!$A$1:$AS$1,0),FALSE))</f>
        <v/>
      </c>
      <c r="G141" s="76">
        <f>IF(VLOOKUP(A141,Database!$A:$AS,MATCH($G$1,Database!$A$1:$AS$1,0),FALSE)=0,#N/A,VLOOKUP(A141,Database!$A:$AS,MATCH($G$1,Database!$A$1:$AS$1,0),FALSE))</f>
        <v/>
      </c>
      <c r="H141" s="76">
        <f>(((Table134567891011121314151617343[[#This Row],[ITA]]-VLOOKUP($U$1,A:B,2,))/VLOOKUP($U$1,A:B,2,))*100)+100</f>
        <v/>
      </c>
      <c r="I141" s="76">
        <f>(((Table134567891011121314151617343[[#This Row],[FRA]]-VLOOKUP($U$1,A:C,3,))/VLOOKUP($U$1,A:C,3,))*100)+100</f>
        <v/>
      </c>
      <c r="J141" s="76">
        <f>(((Table134567891011121314151617343[[#This Row],[DEU]]-VLOOKUP($U$1,A:D,4,))/VLOOKUP($U$1,A:D,4,))*100)+100</f>
        <v/>
      </c>
      <c r="K141" s="76">
        <f>(((Table134567891011121314151617343[[#This Row],[ESP]]-VLOOKUP($U$1,A:E,5,))/VLOOKUP($U$1,A:E,5,))*100)+100</f>
        <v/>
      </c>
      <c r="L141" s="76">
        <f>(((Table134567891011121314151617343[[#This Row],[EA19]]-VLOOKUP($U$1,A:F,6,))/VLOOKUP($U$1,A:F,6,))*100)+100</f>
        <v/>
      </c>
      <c r="M141" s="76">
        <f>(((Table134567891011121314151617343[[#This Row],[GBR]]-VLOOKUP($U$1,A:G,7,))/VLOOKUP($U$1,A:G,7,))*100)+100</f>
        <v/>
      </c>
      <c r="N141" s="76">
        <f>IF(VLOOKUP(A141,Database!$A:$AU,MATCH($N$1,Database!$A$1:$AU$1,0),FALSE)=0,#N/A,VLOOKUP(A141,Database!$A:$AU,MATCH($N$1,Database!$A$1:$AU$1,0),FALSE))</f>
        <v/>
      </c>
      <c r="O141" s="76">
        <f>(((Table134567891011121314151617343[[#This Row],[USA]]-VLOOKUP($U$1,A:N,14,))/VLOOKUP($U$1,A:N,14,))*100)+100</f>
        <v/>
      </c>
      <c r="P141" s="76">
        <f>IF(VLOOKUP(A141,Database!$A:$AS,MATCH($P$1,Database!$A$1:$AS$1,0),FALSE)=0,#N/A,VLOOKUP(A141,Database!$A:$AS,MATCH($P$1,Database!$A$1:$AS$1,0),FALSE))</f>
        <v/>
      </c>
      <c r="Q141" s="76">
        <f>(((Table134567891011121314151617343[[#This Row],[JPN]]-VLOOKUP($U$1,A:Q,16,))/VLOOKUP($U$1,A:Q,16,))*100)+100</f>
        <v/>
      </c>
    </row>
    <row r="142" customFormat="1" s="86">
      <c r="A142" s="21" t="n">
        <v>37135</v>
      </c>
      <c r="B142" s="76">
        <f>IF(VLOOKUP(A142,Database!$A:$AS,MATCH($B$1,Database!$A$1:$AS$1,0),FALSE)=0,#N/A,VLOOKUP(A142,Database!$A:$AS,MATCH($B$1,Database!$A$1:$AS$1,0),FALSE))</f>
        <v/>
      </c>
      <c r="C142" s="76">
        <f>IF(VLOOKUP(A142,Database!$A:$AS,MATCH($C$1,Database!$A$1:$AS$1,0),FALSE)=0,#N/A,VLOOKUP(A142,Database!$A:$AS,MATCH($C$1,Database!$A$1:$AS$1,0),FALSE))</f>
        <v/>
      </c>
      <c r="D142" s="76">
        <f>IF(VLOOKUP(A142,Database!$A:$AS,MATCH($D$1,Database!$A$1:$AS$1,0),FALSE)=0,#N/A,VLOOKUP(A142,Database!$A:$AS,MATCH($D$1,Database!$A$1:$AS$1,0),FALSE))</f>
        <v/>
      </c>
      <c r="E142" s="76">
        <f>IF(VLOOKUP(A142,Database!$A:$AS,MATCH($E$1,Database!$A$1:$AS$1,0),FALSE)=0,#N/A,VLOOKUP(A142,Database!$A:$AS,MATCH($E$1,Database!$A$1:$AS$1,0),FALSE))</f>
        <v/>
      </c>
      <c r="F142" s="76">
        <f>IF(VLOOKUP(A142,Database!$A:$AS,MATCH($F$1,Database!$A$1:$AS$1,0),FALSE)=0,#N/A,VLOOKUP(A142,Database!$A:$AS,MATCH($F$1,Database!$A$1:$AS$1,0),FALSE))</f>
        <v/>
      </c>
      <c r="G142" s="76">
        <f>IF(VLOOKUP(A142,Database!$A:$AS,MATCH($G$1,Database!$A$1:$AS$1,0),FALSE)=0,#N/A,VLOOKUP(A142,Database!$A:$AS,MATCH($G$1,Database!$A$1:$AS$1,0),FALSE))</f>
        <v/>
      </c>
      <c r="H142" s="76">
        <f>(((Table134567891011121314151617343[[#This Row],[ITA]]-VLOOKUP($U$1,A:B,2,))/VLOOKUP($U$1,A:B,2,))*100)+100</f>
        <v/>
      </c>
      <c r="I142" s="76">
        <f>(((Table134567891011121314151617343[[#This Row],[FRA]]-VLOOKUP($U$1,A:C,3,))/VLOOKUP($U$1,A:C,3,))*100)+100</f>
        <v/>
      </c>
      <c r="J142" s="76">
        <f>(((Table134567891011121314151617343[[#This Row],[DEU]]-VLOOKUP($U$1,A:D,4,))/VLOOKUP($U$1,A:D,4,))*100)+100</f>
        <v/>
      </c>
      <c r="K142" s="76">
        <f>(((Table134567891011121314151617343[[#This Row],[ESP]]-VLOOKUP($U$1,A:E,5,))/VLOOKUP($U$1,A:E,5,))*100)+100</f>
        <v/>
      </c>
      <c r="L142" s="76">
        <f>(((Table134567891011121314151617343[[#This Row],[EA19]]-VLOOKUP($U$1,A:F,6,))/VLOOKUP($U$1,A:F,6,))*100)+100</f>
        <v/>
      </c>
      <c r="M142" s="76">
        <f>(((Table134567891011121314151617343[[#This Row],[GBR]]-VLOOKUP($U$1,A:G,7,))/VLOOKUP($U$1,A:G,7,))*100)+100</f>
        <v/>
      </c>
      <c r="N142" s="76">
        <f>IF(VLOOKUP(A142,Database!$A:$AU,MATCH($N$1,Database!$A$1:$AU$1,0),FALSE)=0,#N/A,VLOOKUP(A142,Database!$A:$AU,MATCH($N$1,Database!$A$1:$AU$1,0),FALSE))</f>
        <v/>
      </c>
      <c r="O142" s="76">
        <f>(((Table134567891011121314151617343[[#This Row],[USA]]-VLOOKUP($U$1,A:N,14,))/VLOOKUP($U$1,A:N,14,))*100)+100</f>
        <v/>
      </c>
      <c r="P142" s="76">
        <f>IF(VLOOKUP(A142,Database!$A:$AS,MATCH($P$1,Database!$A$1:$AS$1,0),FALSE)=0,#N/A,VLOOKUP(A142,Database!$A:$AS,MATCH($P$1,Database!$A$1:$AS$1,0),FALSE))</f>
        <v/>
      </c>
      <c r="Q142" s="76">
        <f>(((Table134567891011121314151617343[[#This Row],[JPN]]-VLOOKUP($U$1,A:Q,16,))/VLOOKUP($U$1,A:Q,16,))*100)+100</f>
        <v/>
      </c>
    </row>
    <row r="143" customFormat="1" s="86">
      <c r="A143" s="21" t="n">
        <v>37165</v>
      </c>
      <c r="B143" s="76">
        <f>IF(VLOOKUP(A143,Database!$A:$AS,MATCH($B$1,Database!$A$1:$AS$1,0),FALSE)=0,#N/A,VLOOKUP(A143,Database!$A:$AS,MATCH($B$1,Database!$A$1:$AS$1,0),FALSE))</f>
        <v/>
      </c>
      <c r="C143" s="76">
        <f>IF(VLOOKUP(A143,Database!$A:$AS,MATCH($C$1,Database!$A$1:$AS$1,0),FALSE)=0,#N/A,VLOOKUP(A143,Database!$A:$AS,MATCH($C$1,Database!$A$1:$AS$1,0),FALSE))</f>
        <v/>
      </c>
      <c r="D143" s="76">
        <f>IF(VLOOKUP(A143,Database!$A:$AS,MATCH($D$1,Database!$A$1:$AS$1,0),FALSE)=0,#N/A,VLOOKUP(A143,Database!$A:$AS,MATCH($D$1,Database!$A$1:$AS$1,0),FALSE))</f>
        <v/>
      </c>
      <c r="E143" s="76">
        <f>IF(VLOOKUP(A143,Database!$A:$AS,MATCH($E$1,Database!$A$1:$AS$1,0),FALSE)=0,#N/A,VLOOKUP(A143,Database!$A:$AS,MATCH($E$1,Database!$A$1:$AS$1,0),FALSE))</f>
        <v/>
      </c>
      <c r="F143" s="76">
        <f>IF(VLOOKUP(A143,Database!$A:$AS,MATCH($F$1,Database!$A$1:$AS$1,0),FALSE)=0,#N/A,VLOOKUP(A143,Database!$A:$AS,MATCH($F$1,Database!$A$1:$AS$1,0),FALSE))</f>
        <v/>
      </c>
      <c r="G143" s="76">
        <f>IF(VLOOKUP(A143,Database!$A:$AS,MATCH($G$1,Database!$A$1:$AS$1,0),FALSE)=0,#N/A,VLOOKUP(A143,Database!$A:$AS,MATCH($G$1,Database!$A$1:$AS$1,0),FALSE))</f>
        <v/>
      </c>
      <c r="H143" s="76">
        <f>(((Table134567891011121314151617343[[#This Row],[ITA]]-VLOOKUP($U$1,A:B,2,))/VLOOKUP($U$1,A:B,2,))*100)+100</f>
        <v/>
      </c>
      <c r="I143" s="76">
        <f>(((Table134567891011121314151617343[[#This Row],[FRA]]-VLOOKUP($U$1,A:C,3,))/VLOOKUP($U$1,A:C,3,))*100)+100</f>
        <v/>
      </c>
      <c r="J143" s="76">
        <f>(((Table134567891011121314151617343[[#This Row],[DEU]]-VLOOKUP($U$1,A:D,4,))/VLOOKUP($U$1,A:D,4,))*100)+100</f>
        <v/>
      </c>
      <c r="K143" s="76">
        <f>(((Table134567891011121314151617343[[#This Row],[ESP]]-VLOOKUP($U$1,A:E,5,))/VLOOKUP($U$1,A:E,5,))*100)+100</f>
        <v/>
      </c>
      <c r="L143" s="76">
        <f>(((Table134567891011121314151617343[[#This Row],[EA19]]-VLOOKUP($U$1,A:F,6,))/VLOOKUP($U$1,A:F,6,))*100)+100</f>
        <v/>
      </c>
      <c r="M143" s="76">
        <f>(((Table134567891011121314151617343[[#This Row],[GBR]]-VLOOKUP($U$1,A:G,7,))/VLOOKUP($U$1,A:G,7,))*100)+100</f>
        <v/>
      </c>
      <c r="N143" s="76">
        <f>IF(VLOOKUP(A143,Database!$A:$AU,MATCH($N$1,Database!$A$1:$AU$1,0),FALSE)=0,#N/A,VLOOKUP(A143,Database!$A:$AU,MATCH($N$1,Database!$A$1:$AU$1,0),FALSE))</f>
        <v/>
      </c>
      <c r="O143" s="76">
        <f>(((Table134567891011121314151617343[[#This Row],[USA]]-VLOOKUP($U$1,A:N,14,))/VLOOKUP($U$1,A:N,14,))*100)+100</f>
        <v/>
      </c>
      <c r="P143" s="76">
        <f>IF(VLOOKUP(A143,Database!$A:$AS,MATCH($P$1,Database!$A$1:$AS$1,0),FALSE)=0,#N/A,VLOOKUP(A143,Database!$A:$AS,MATCH($P$1,Database!$A$1:$AS$1,0),FALSE))</f>
        <v/>
      </c>
      <c r="Q143" s="76">
        <f>(((Table134567891011121314151617343[[#This Row],[JPN]]-VLOOKUP($U$1,A:Q,16,))/VLOOKUP($U$1,A:Q,16,))*100)+100</f>
        <v/>
      </c>
    </row>
    <row r="144" customFormat="1" s="86">
      <c r="A144" s="21" t="n">
        <v>37196</v>
      </c>
      <c r="B144" s="76">
        <f>IF(VLOOKUP(A144,Database!$A:$AS,MATCH($B$1,Database!$A$1:$AS$1,0),FALSE)=0,#N/A,VLOOKUP(A144,Database!$A:$AS,MATCH($B$1,Database!$A$1:$AS$1,0),FALSE))</f>
        <v/>
      </c>
      <c r="C144" s="76">
        <f>IF(VLOOKUP(A144,Database!$A:$AS,MATCH($C$1,Database!$A$1:$AS$1,0),FALSE)=0,#N/A,VLOOKUP(A144,Database!$A:$AS,MATCH($C$1,Database!$A$1:$AS$1,0),FALSE))</f>
        <v/>
      </c>
      <c r="D144" s="76">
        <f>IF(VLOOKUP(A144,Database!$A:$AS,MATCH($D$1,Database!$A$1:$AS$1,0),FALSE)=0,#N/A,VLOOKUP(A144,Database!$A:$AS,MATCH($D$1,Database!$A$1:$AS$1,0),FALSE))</f>
        <v/>
      </c>
      <c r="E144" s="76">
        <f>IF(VLOOKUP(A144,Database!$A:$AS,MATCH($E$1,Database!$A$1:$AS$1,0),FALSE)=0,#N/A,VLOOKUP(A144,Database!$A:$AS,MATCH($E$1,Database!$A$1:$AS$1,0),FALSE))</f>
        <v/>
      </c>
      <c r="F144" s="76">
        <f>IF(VLOOKUP(A144,Database!$A:$AS,MATCH($F$1,Database!$A$1:$AS$1,0),FALSE)=0,#N/A,VLOOKUP(A144,Database!$A:$AS,MATCH($F$1,Database!$A$1:$AS$1,0),FALSE))</f>
        <v/>
      </c>
      <c r="G144" s="76">
        <f>IF(VLOOKUP(A144,Database!$A:$AS,MATCH($G$1,Database!$A$1:$AS$1,0),FALSE)=0,#N/A,VLOOKUP(A144,Database!$A:$AS,MATCH($G$1,Database!$A$1:$AS$1,0),FALSE))</f>
        <v/>
      </c>
      <c r="H144" s="76">
        <f>(((Table134567891011121314151617343[[#This Row],[ITA]]-VLOOKUP($U$1,A:B,2,))/VLOOKUP($U$1,A:B,2,))*100)+100</f>
        <v/>
      </c>
      <c r="I144" s="76">
        <f>(((Table134567891011121314151617343[[#This Row],[FRA]]-VLOOKUP($U$1,A:C,3,))/VLOOKUP($U$1,A:C,3,))*100)+100</f>
        <v/>
      </c>
      <c r="J144" s="76">
        <f>(((Table134567891011121314151617343[[#This Row],[DEU]]-VLOOKUP($U$1,A:D,4,))/VLOOKUP($U$1,A:D,4,))*100)+100</f>
        <v/>
      </c>
      <c r="K144" s="76">
        <f>(((Table134567891011121314151617343[[#This Row],[ESP]]-VLOOKUP($U$1,A:E,5,))/VLOOKUP($U$1,A:E,5,))*100)+100</f>
        <v/>
      </c>
      <c r="L144" s="76">
        <f>(((Table134567891011121314151617343[[#This Row],[EA19]]-VLOOKUP($U$1,A:F,6,))/VLOOKUP($U$1,A:F,6,))*100)+100</f>
        <v/>
      </c>
      <c r="M144" s="76">
        <f>(((Table134567891011121314151617343[[#This Row],[GBR]]-VLOOKUP($U$1,A:G,7,))/VLOOKUP($U$1,A:G,7,))*100)+100</f>
        <v/>
      </c>
      <c r="N144" s="76">
        <f>IF(VLOOKUP(A144,Database!$A:$AU,MATCH($N$1,Database!$A$1:$AU$1,0),FALSE)=0,#N/A,VLOOKUP(A144,Database!$A:$AU,MATCH($N$1,Database!$A$1:$AU$1,0),FALSE))</f>
        <v/>
      </c>
      <c r="O144" s="76">
        <f>(((Table134567891011121314151617343[[#This Row],[USA]]-VLOOKUP($U$1,A:N,14,))/VLOOKUP($U$1,A:N,14,))*100)+100</f>
        <v/>
      </c>
      <c r="P144" s="76">
        <f>IF(VLOOKUP(A144,Database!$A:$AS,MATCH($P$1,Database!$A$1:$AS$1,0),FALSE)=0,#N/A,VLOOKUP(A144,Database!$A:$AS,MATCH($P$1,Database!$A$1:$AS$1,0),FALSE))</f>
        <v/>
      </c>
      <c r="Q144" s="76">
        <f>(((Table134567891011121314151617343[[#This Row],[JPN]]-VLOOKUP($U$1,A:Q,16,))/VLOOKUP($U$1,A:Q,16,))*100)+100</f>
        <v/>
      </c>
    </row>
    <row r="145" customFormat="1" s="86">
      <c r="A145" s="21" t="n">
        <v>37226</v>
      </c>
      <c r="B145" s="76">
        <f>IF(VLOOKUP(A145,Database!$A:$AS,MATCH($B$1,Database!$A$1:$AS$1,0),FALSE)=0,#N/A,VLOOKUP(A145,Database!$A:$AS,MATCH($B$1,Database!$A$1:$AS$1,0),FALSE))</f>
        <v/>
      </c>
      <c r="C145" s="76">
        <f>IF(VLOOKUP(A145,Database!$A:$AS,MATCH($C$1,Database!$A$1:$AS$1,0),FALSE)=0,#N/A,VLOOKUP(A145,Database!$A:$AS,MATCH($C$1,Database!$A$1:$AS$1,0),FALSE))</f>
        <v/>
      </c>
      <c r="D145" s="76">
        <f>IF(VLOOKUP(A145,Database!$A:$AS,MATCH($D$1,Database!$A$1:$AS$1,0),FALSE)=0,#N/A,VLOOKUP(A145,Database!$A:$AS,MATCH($D$1,Database!$A$1:$AS$1,0),FALSE))</f>
        <v/>
      </c>
      <c r="E145" s="76">
        <f>IF(VLOOKUP(A145,Database!$A:$AS,MATCH($E$1,Database!$A$1:$AS$1,0),FALSE)=0,#N/A,VLOOKUP(A145,Database!$A:$AS,MATCH($E$1,Database!$A$1:$AS$1,0),FALSE))</f>
        <v/>
      </c>
      <c r="F145" s="76">
        <f>IF(VLOOKUP(A145,Database!$A:$AS,MATCH($F$1,Database!$A$1:$AS$1,0),FALSE)=0,#N/A,VLOOKUP(A145,Database!$A:$AS,MATCH($F$1,Database!$A$1:$AS$1,0),FALSE))</f>
        <v/>
      </c>
      <c r="G145" s="76">
        <f>IF(VLOOKUP(A145,Database!$A:$AS,MATCH($G$1,Database!$A$1:$AS$1,0),FALSE)=0,#N/A,VLOOKUP(A145,Database!$A:$AS,MATCH($G$1,Database!$A$1:$AS$1,0),FALSE))</f>
        <v/>
      </c>
      <c r="H145" s="76">
        <f>(((Table134567891011121314151617343[[#This Row],[ITA]]-VLOOKUP($U$1,A:B,2,))/VLOOKUP($U$1,A:B,2,))*100)+100</f>
        <v/>
      </c>
      <c r="I145" s="76">
        <f>(((Table134567891011121314151617343[[#This Row],[FRA]]-VLOOKUP($U$1,A:C,3,))/VLOOKUP($U$1,A:C,3,))*100)+100</f>
        <v/>
      </c>
      <c r="J145" s="76">
        <f>(((Table134567891011121314151617343[[#This Row],[DEU]]-VLOOKUP($U$1,A:D,4,))/VLOOKUP($U$1,A:D,4,))*100)+100</f>
        <v/>
      </c>
      <c r="K145" s="76">
        <f>(((Table134567891011121314151617343[[#This Row],[ESP]]-VLOOKUP($U$1,A:E,5,))/VLOOKUP($U$1,A:E,5,))*100)+100</f>
        <v/>
      </c>
      <c r="L145" s="76">
        <f>(((Table134567891011121314151617343[[#This Row],[EA19]]-VLOOKUP($U$1,A:F,6,))/VLOOKUP($U$1,A:F,6,))*100)+100</f>
        <v/>
      </c>
      <c r="M145" s="76">
        <f>(((Table134567891011121314151617343[[#This Row],[GBR]]-VLOOKUP($U$1,A:G,7,))/VLOOKUP($U$1,A:G,7,))*100)+100</f>
        <v/>
      </c>
      <c r="N145" s="76">
        <f>IF(VLOOKUP(A145,Database!$A:$AU,MATCH($N$1,Database!$A$1:$AU$1,0),FALSE)=0,#N/A,VLOOKUP(A145,Database!$A:$AU,MATCH($N$1,Database!$A$1:$AU$1,0),FALSE))</f>
        <v/>
      </c>
      <c r="O145" s="76">
        <f>(((Table134567891011121314151617343[[#This Row],[USA]]-VLOOKUP($U$1,A:N,14,))/VLOOKUP($U$1,A:N,14,))*100)+100</f>
        <v/>
      </c>
      <c r="P145" s="76">
        <f>IF(VLOOKUP(A145,Database!$A:$AS,MATCH($P$1,Database!$A$1:$AS$1,0),FALSE)=0,#N/A,VLOOKUP(A145,Database!$A:$AS,MATCH($P$1,Database!$A$1:$AS$1,0),FALSE))</f>
        <v/>
      </c>
      <c r="Q145" s="76">
        <f>(((Table134567891011121314151617343[[#This Row],[JPN]]-VLOOKUP($U$1,A:Q,16,))/VLOOKUP($U$1,A:Q,16,))*100)+100</f>
        <v/>
      </c>
    </row>
    <row r="146" customFormat="1" s="86">
      <c r="A146" s="21" t="n">
        <v>37257</v>
      </c>
      <c r="B146" s="76">
        <f>IF(VLOOKUP(A146,Database!$A:$AS,MATCH($B$1,Database!$A$1:$AS$1,0),FALSE)=0,#N/A,VLOOKUP(A146,Database!$A:$AS,MATCH($B$1,Database!$A$1:$AS$1,0),FALSE))</f>
        <v/>
      </c>
      <c r="C146" s="76">
        <f>IF(VLOOKUP(A146,Database!$A:$AS,MATCH($C$1,Database!$A$1:$AS$1,0),FALSE)=0,#N/A,VLOOKUP(A146,Database!$A:$AS,MATCH($C$1,Database!$A$1:$AS$1,0),FALSE))</f>
        <v/>
      </c>
      <c r="D146" s="76">
        <f>IF(VLOOKUP(A146,Database!$A:$AS,MATCH($D$1,Database!$A$1:$AS$1,0),FALSE)=0,#N/A,VLOOKUP(A146,Database!$A:$AS,MATCH($D$1,Database!$A$1:$AS$1,0),FALSE))</f>
        <v/>
      </c>
      <c r="E146" s="76">
        <f>IF(VLOOKUP(A146,Database!$A:$AS,MATCH($E$1,Database!$A$1:$AS$1,0),FALSE)=0,#N/A,VLOOKUP(A146,Database!$A:$AS,MATCH($E$1,Database!$A$1:$AS$1,0),FALSE))</f>
        <v/>
      </c>
      <c r="F146" s="76">
        <f>IF(VLOOKUP(A146,Database!$A:$AS,MATCH($F$1,Database!$A$1:$AS$1,0),FALSE)=0,#N/A,VLOOKUP(A146,Database!$A:$AS,MATCH($F$1,Database!$A$1:$AS$1,0),FALSE))</f>
        <v/>
      </c>
      <c r="G146" s="76">
        <f>IF(VLOOKUP(A146,Database!$A:$AS,MATCH($G$1,Database!$A$1:$AS$1,0),FALSE)=0,#N/A,VLOOKUP(A146,Database!$A:$AS,MATCH($G$1,Database!$A$1:$AS$1,0),FALSE))</f>
        <v/>
      </c>
      <c r="H146" s="76">
        <f>(((Table134567891011121314151617343[[#This Row],[ITA]]-VLOOKUP($U$1,A:B,2,))/VLOOKUP($U$1,A:B,2,))*100)+100</f>
        <v/>
      </c>
      <c r="I146" s="76">
        <f>(((Table134567891011121314151617343[[#This Row],[FRA]]-VLOOKUP($U$1,A:C,3,))/VLOOKUP($U$1,A:C,3,))*100)+100</f>
        <v/>
      </c>
      <c r="J146" s="76">
        <f>(((Table134567891011121314151617343[[#This Row],[DEU]]-VLOOKUP($U$1,A:D,4,))/VLOOKUP($U$1,A:D,4,))*100)+100</f>
        <v/>
      </c>
      <c r="K146" s="76">
        <f>(((Table134567891011121314151617343[[#This Row],[ESP]]-VLOOKUP($U$1,A:E,5,))/VLOOKUP($U$1,A:E,5,))*100)+100</f>
        <v/>
      </c>
      <c r="L146" s="76">
        <f>(((Table134567891011121314151617343[[#This Row],[EA19]]-VLOOKUP($U$1,A:F,6,))/VLOOKUP($U$1,A:F,6,))*100)+100</f>
        <v/>
      </c>
      <c r="M146" s="76">
        <f>(((Table134567891011121314151617343[[#This Row],[GBR]]-VLOOKUP($U$1,A:G,7,))/VLOOKUP($U$1,A:G,7,))*100)+100</f>
        <v/>
      </c>
      <c r="N146" s="76">
        <f>IF(VLOOKUP(A146,Database!$A:$AU,MATCH($N$1,Database!$A$1:$AU$1,0),FALSE)=0,#N/A,VLOOKUP(A146,Database!$A:$AU,MATCH($N$1,Database!$A$1:$AU$1,0),FALSE))</f>
        <v/>
      </c>
      <c r="O146" s="76">
        <f>(((Table134567891011121314151617343[[#This Row],[USA]]-VLOOKUP($U$1,A:N,14,))/VLOOKUP($U$1,A:N,14,))*100)+100</f>
        <v/>
      </c>
      <c r="P146" s="76">
        <f>IF(VLOOKUP(A146,Database!$A:$AS,MATCH($P$1,Database!$A$1:$AS$1,0),FALSE)=0,#N/A,VLOOKUP(A146,Database!$A:$AS,MATCH($P$1,Database!$A$1:$AS$1,0),FALSE))</f>
        <v/>
      </c>
      <c r="Q146" s="76">
        <f>(((Table134567891011121314151617343[[#This Row],[JPN]]-VLOOKUP($U$1,A:Q,16,))/VLOOKUP($U$1,A:Q,16,))*100)+100</f>
        <v/>
      </c>
    </row>
    <row r="147" customFormat="1" s="86">
      <c r="A147" s="21" t="n">
        <v>37288</v>
      </c>
      <c r="B147" s="76">
        <f>IF(VLOOKUP(A147,Database!$A:$AS,MATCH($B$1,Database!$A$1:$AS$1,0),FALSE)=0,#N/A,VLOOKUP(A147,Database!$A:$AS,MATCH($B$1,Database!$A$1:$AS$1,0),FALSE))</f>
        <v/>
      </c>
      <c r="C147" s="76">
        <f>IF(VLOOKUP(A147,Database!$A:$AS,MATCH($C$1,Database!$A$1:$AS$1,0),FALSE)=0,#N/A,VLOOKUP(A147,Database!$A:$AS,MATCH($C$1,Database!$A$1:$AS$1,0),FALSE))</f>
        <v/>
      </c>
      <c r="D147" s="76">
        <f>IF(VLOOKUP(A147,Database!$A:$AS,MATCH($D$1,Database!$A$1:$AS$1,0),FALSE)=0,#N/A,VLOOKUP(A147,Database!$A:$AS,MATCH($D$1,Database!$A$1:$AS$1,0),FALSE))</f>
        <v/>
      </c>
      <c r="E147" s="76">
        <f>IF(VLOOKUP(A147,Database!$A:$AS,MATCH($E$1,Database!$A$1:$AS$1,0),FALSE)=0,#N/A,VLOOKUP(A147,Database!$A:$AS,MATCH($E$1,Database!$A$1:$AS$1,0),FALSE))</f>
        <v/>
      </c>
      <c r="F147" s="76">
        <f>IF(VLOOKUP(A147,Database!$A:$AS,MATCH($F$1,Database!$A$1:$AS$1,0),FALSE)=0,#N/A,VLOOKUP(A147,Database!$A:$AS,MATCH($F$1,Database!$A$1:$AS$1,0),FALSE))</f>
        <v/>
      </c>
      <c r="G147" s="76">
        <f>IF(VLOOKUP(A147,Database!$A:$AS,MATCH($G$1,Database!$A$1:$AS$1,0),FALSE)=0,#N/A,VLOOKUP(A147,Database!$A:$AS,MATCH($G$1,Database!$A$1:$AS$1,0),FALSE))</f>
        <v/>
      </c>
      <c r="H147" s="76">
        <f>(((Table134567891011121314151617343[[#This Row],[ITA]]-VLOOKUP($U$1,A:B,2,))/VLOOKUP($U$1,A:B,2,))*100)+100</f>
        <v/>
      </c>
      <c r="I147" s="76">
        <f>(((Table134567891011121314151617343[[#This Row],[FRA]]-VLOOKUP($U$1,A:C,3,))/VLOOKUP($U$1,A:C,3,))*100)+100</f>
        <v/>
      </c>
      <c r="J147" s="76">
        <f>(((Table134567891011121314151617343[[#This Row],[DEU]]-VLOOKUP($U$1,A:D,4,))/VLOOKUP($U$1,A:D,4,))*100)+100</f>
        <v/>
      </c>
      <c r="K147" s="76">
        <f>(((Table134567891011121314151617343[[#This Row],[ESP]]-VLOOKUP($U$1,A:E,5,))/VLOOKUP($U$1,A:E,5,))*100)+100</f>
        <v/>
      </c>
      <c r="L147" s="76">
        <f>(((Table134567891011121314151617343[[#This Row],[EA19]]-VLOOKUP($U$1,A:F,6,))/VLOOKUP($U$1,A:F,6,))*100)+100</f>
        <v/>
      </c>
      <c r="M147" s="76">
        <f>(((Table134567891011121314151617343[[#This Row],[GBR]]-VLOOKUP($U$1,A:G,7,))/VLOOKUP($U$1,A:G,7,))*100)+100</f>
        <v/>
      </c>
      <c r="N147" s="76">
        <f>IF(VLOOKUP(A147,Database!$A:$AU,MATCH($N$1,Database!$A$1:$AU$1,0),FALSE)=0,#N/A,VLOOKUP(A147,Database!$A:$AU,MATCH($N$1,Database!$A$1:$AU$1,0),FALSE))</f>
        <v/>
      </c>
      <c r="O147" s="76">
        <f>(((Table134567891011121314151617343[[#This Row],[USA]]-VLOOKUP($U$1,A:N,14,))/VLOOKUP($U$1,A:N,14,))*100)+100</f>
        <v/>
      </c>
      <c r="P147" s="76">
        <f>IF(VLOOKUP(A147,Database!$A:$AS,MATCH($P$1,Database!$A$1:$AS$1,0),FALSE)=0,#N/A,VLOOKUP(A147,Database!$A:$AS,MATCH($P$1,Database!$A$1:$AS$1,0),FALSE))</f>
        <v/>
      </c>
      <c r="Q147" s="76">
        <f>(((Table134567891011121314151617343[[#This Row],[JPN]]-VLOOKUP($U$1,A:Q,16,))/VLOOKUP($U$1,A:Q,16,))*100)+100</f>
        <v/>
      </c>
    </row>
    <row r="148" customFormat="1" s="86">
      <c r="A148" s="21" t="n">
        <v>37316</v>
      </c>
      <c r="B148" s="76">
        <f>IF(VLOOKUP(A148,Database!$A:$AS,MATCH($B$1,Database!$A$1:$AS$1,0),FALSE)=0,#N/A,VLOOKUP(A148,Database!$A:$AS,MATCH($B$1,Database!$A$1:$AS$1,0),FALSE))</f>
        <v/>
      </c>
      <c r="C148" s="76">
        <f>IF(VLOOKUP(A148,Database!$A:$AS,MATCH($C$1,Database!$A$1:$AS$1,0),FALSE)=0,#N/A,VLOOKUP(A148,Database!$A:$AS,MATCH($C$1,Database!$A$1:$AS$1,0),FALSE))</f>
        <v/>
      </c>
      <c r="D148" s="76">
        <f>IF(VLOOKUP(A148,Database!$A:$AS,MATCH($D$1,Database!$A$1:$AS$1,0),FALSE)=0,#N/A,VLOOKUP(A148,Database!$A:$AS,MATCH($D$1,Database!$A$1:$AS$1,0),FALSE))</f>
        <v/>
      </c>
      <c r="E148" s="76">
        <f>IF(VLOOKUP(A148,Database!$A:$AS,MATCH($E$1,Database!$A$1:$AS$1,0),FALSE)=0,#N/A,VLOOKUP(A148,Database!$A:$AS,MATCH($E$1,Database!$A$1:$AS$1,0),FALSE))</f>
        <v/>
      </c>
      <c r="F148" s="76">
        <f>IF(VLOOKUP(A148,Database!$A:$AS,MATCH($F$1,Database!$A$1:$AS$1,0),FALSE)=0,#N/A,VLOOKUP(A148,Database!$A:$AS,MATCH($F$1,Database!$A$1:$AS$1,0),FALSE))</f>
        <v/>
      </c>
      <c r="G148" s="76">
        <f>IF(VLOOKUP(A148,Database!$A:$AS,MATCH($G$1,Database!$A$1:$AS$1,0),FALSE)=0,#N/A,VLOOKUP(A148,Database!$A:$AS,MATCH($G$1,Database!$A$1:$AS$1,0),FALSE))</f>
        <v/>
      </c>
      <c r="H148" s="76">
        <f>(((Table134567891011121314151617343[[#This Row],[ITA]]-VLOOKUP($U$1,A:B,2,))/VLOOKUP($U$1,A:B,2,))*100)+100</f>
        <v/>
      </c>
      <c r="I148" s="76">
        <f>(((Table134567891011121314151617343[[#This Row],[FRA]]-VLOOKUP($U$1,A:C,3,))/VLOOKUP($U$1,A:C,3,))*100)+100</f>
        <v/>
      </c>
      <c r="J148" s="76">
        <f>(((Table134567891011121314151617343[[#This Row],[DEU]]-VLOOKUP($U$1,A:D,4,))/VLOOKUP($U$1,A:D,4,))*100)+100</f>
        <v/>
      </c>
      <c r="K148" s="76">
        <f>(((Table134567891011121314151617343[[#This Row],[ESP]]-VLOOKUP($U$1,A:E,5,))/VLOOKUP($U$1,A:E,5,))*100)+100</f>
        <v/>
      </c>
      <c r="L148" s="76">
        <f>(((Table134567891011121314151617343[[#This Row],[EA19]]-VLOOKUP($U$1,A:F,6,))/VLOOKUP($U$1,A:F,6,))*100)+100</f>
        <v/>
      </c>
      <c r="M148" s="76">
        <f>(((Table134567891011121314151617343[[#This Row],[GBR]]-VLOOKUP($U$1,A:G,7,))/VLOOKUP($U$1,A:G,7,))*100)+100</f>
        <v/>
      </c>
      <c r="N148" s="76">
        <f>IF(VLOOKUP(A148,Database!$A:$AU,MATCH($N$1,Database!$A$1:$AU$1,0),FALSE)=0,#N/A,VLOOKUP(A148,Database!$A:$AU,MATCH($N$1,Database!$A$1:$AU$1,0),FALSE))</f>
        <v/>
      </c>
      <c r="O148" s="76">
        <f>(((Table134567891011121314151617343[[#This Row],[USA]]-VLOOKUP($U$1,A:N,14,))/VLOOKUP($U$1,A:N,14,))*100)+100</f>
        <v/>
      </c>
      <c r="P148" s="76">
        <f>IF(VLOOKUP(A148,Database!$A:$AS,MATCH($P$1,Database!$A$1:$AS$1,0),FALSE)=0,#N/A,VLOOKUP(A148,Database!$A:$AS,MATCH($P$1,Database!$A$1:$AS$1,0),FALSE))</f>
        <v/>
      </c>
      <c r="Q148" s="76">
        <f>(((Table134567891011121314151617343[[#This Row],[JPN]]-VLOOKUP($U$1,A:Q,16,))/VLOOKUP($U$1,A:Q,16,))*100)+100</f>
        <v/>
      </c>
    </row>
    <row r="149" customFormat="1" s="86">
      <c r="A149" s="21" t="n">
        <v>37347</v>
      </c>
      <c r="B149" s="76">
        <f>IF(VLOOKUP(A149,Database!$A:$AS,MATCH($B$1,Database!$A$1:$AS$1,0),FALSE)=0,#N/A,VLOOKUP(A149,Database!$A:$AS,MATCH($B$1,Database!$A$1:$AS$1,0),FALSE))</f>
        <v/>
      </c>
      <c r="C149" s="76">
        <f>IF(VLOOKUP(A149,Database!$A:$AS,MATCH($C$1,Database!$A$1:$AS$1,0),FALSE)=0,#N/A,VLOOKUP(A149,Database!$A:$AS,MATCH($C$1,Database!$A$1:$AS$1,0),FALSE))</f>
        <v/>
      </c>
      <c r="D149" s="76">
        <f>IF(VLOOKUP(A149,Database!$A:$AS,MATCH($D$1,Database!$A$1:$AS$1,0),FALSE)=0,#N/A,VLOOKUP(A149,Database!$A:$AS,MATCH($D$1,Database!$A$1:$AS$1,0),FALSE))</f>
        <v/>
      </c>
      <c r="E149" s="76">
        <f>IF(VLOOKUP(A149,Database!$A:$AS,MATCH($E$1,Database!$A$1:$AS$1,0),FALSE)=0,#N/A,VLOOKUP(A149,Database!$A:$AS,MATCH($E$1,Database!$A$1:$AS$1,0),FALSE))</f>
        <v/>
      </c>
      <c r="F149" s="76">
        <f>IF(VLOOKUP(A149,Database!$A:$AS,MATCH($F$1,Database!$A$1:$AS$1,0),FALSE)=0,#N/A,VLOOKUP(A149,Database!$A:$AS,MATCH($F$1,Database!$A$1:$AS$1,0),FALSE))</f>
        <v/>
      </c>
      <c r="G149" s="76">
        <f>IF(VLOOKUP(A149,Database!$A:$AS,MATCH($G$1,Database!$A$1:$AS$1,0),FALSE)=0,#N/A,VLOOKUP(A149,Database!$A:$AS,MATCH($G$1,Database!$A$1:$AS$1,0),FALSE))</f>
        <v/>
      </c>
      <c r="H149" s="76">
        <f>(((Table134567891011121314151617343[[#This Row],[ITA]]-VLOOKUP($U$1,A:B,2,))/VLOOKUP($U$1,A:B,2,))*100)+100</f>
        <v/>
      </c>
      <c r="I149" s="76">
        <f>(((Table134567891011121314151617343[[#This Row],[FRA]]-VLOOKUP($U$1,A:C,3,))/VLOOKUP($U$1,A:C,3,))*100)+100</f>
        <v/>
      </c>
      <c r="J149" s="76">
        <f>(((Table134567891011121314151617343[[#This Row],[DEU]]-VLOOKUP($U$1,A:D,4,))/VLOOKUP($U$1,A:D,4,))*100)+100</f>
        <v/>
      </c>
      <c r="K149" s="76">
        <f>(((Table134567891011121314151617343[[#This Row],[ESP]]-VLOOKUP($U$1,A:E,5,))/VLOOKUP($U$1,A:E,5,))*100)+100</f>
        <v/>
      </c>
      <c r="L149" s="76">
        <f>(((Table134567891011121314151617343[[#This Row],[EA19]]-VLOOKUP($U$1,A:F,6,))/VLOOKUP($U$1,A:F,6,))*100)+100</f>
        <v/>
      </c>
      <c r="M149" s="76">
        <f>(((Table134567891011121314151617343[[#This Row],[GBR]]-VLOOKUP($U$1,A:G,7,))/VLOOKUP($U$1,A:G,7,))*100)+100</f>
        <v/>
      </c>
      <c r="N149" s="76">
        <f>IF(VLOOKUP(A149,Database!$A:$AU,MATCH($N$1,Database!$A$1:$AU$1,0),FALSE)=0,#N/A,VLOOKUP(A149,Database!$A:$AU,MATCH($N$1,Database!$A$1:$AU$1,0),FALSE))</f>
        <v/>
      </c>
      <c r="O149" s="76">
        <f>(((Table134567891011121314151617343[[#This Row],[USA]]-VLOOKUP($U$1,A:N,14,))/VLOOKUP($U$1,A:N,14,))*100)+100</f>
        <v/>
      </c>
      <c r="P149" s="76">
        <f>IF(VLOOKUP(A149,Database!$A:$AS,MATCH($P$1,Database!$A$1:$AS$1,0),FALSE)=0,#N/A,VLOOKUP(A149,Database!$A:$AS,MATCH($P$1,Database!$A$1:$AS$1,0),FALSE))</f>
        <v/>
      </c>
      <c r="Q149" s="76">
        <f>(((Table134567891011121314151617343[[#This Row],[JPN]]-VLOOKUP($U$1,A:Q,16,))/VLOOKUP($U$1,A:Q,16,))*100)+100</f>
        <v/>
      </c>
    </row>
    <row r="150" customFormat="1" s="86">
      <c r="A150" s="21" t="n">
        <v>37377</v>
      </c>
      <c r="B150" s="76">
        <f>IF(VLOOKUP(A150,Database!$A:$AS,MATCH($B$1,Database!$A$1:$AS$1,0),FALSE)=0,#N/A,VLOOKUP(A150,Database!$A:$AS,MATCH($B$1,Database!$A$1:$AS$1,0),FALSE))</f>
        <v/>
      </c>
      <c r="C150" s="76">
        <f>IF(VLOOKUP(A150,Database!$A:$AS,MATCH($C$1,Database!$A$1:$AS$1,0),FALSE)=0,#N/A,VLOOKUP(A150,Database!$A:$AS,MATCH($C$1,Database!$A$1:$AS$1,0),FALSE))</f>
        <v/>
      </c>
      <c r="D150" s="76">
        <f>IF(VLOOKUP(A150,Database!$A:$AS,MATCH($D$1,Database!$A$1:$AS$1,0),FALSE)=0,#N/A,VLOOKUP(A150,Database!$A:$AS,MATCH($D$1,Database!$A$1:$AS$1,0),FALSE))</f>
        <v/>
      </c>
      <c r="E150" s="76">
        <f>IF(VLOOKUP(A150,Database!$A:$AS,MATCH($E$1,Database!$A$1:$AS$1,0),FALSE)=0,#N/A,VLOOKUP(A150,Database!$A:$AS,MATCH($E$1,Database!$A$1:$AS$1,0),FALSE))</f>
        <v/>
      </c>
      <c r="F150" s="76">
        <f>IF(VLOOKUP(A150,Database!$A:$AS,MATCH($F$1,Database!$A$1:$AS$1,0),FALSE)=0,#N/A,VLOOKUP(A150,Database!$A:$AS,MATCH($F$1,Database!$A$1:$AS$1,0),FALSE))</f>
        <v/>
      </c>
      <c r="G150" s="76">
        <f>IF(VLOOKUP(A150,Database!$A:$AS,MATCH($G$1,Database!$A$1:$AS$1,0),FALSE)=0,#N/A,VLOOKUP(A150,Database!$A:$AS,MATCH($G$1,Database!$A$1:$AS$1,0),FALSE))</f>
        <v/>
      </c>
      <c r="H150" s="76">
        <f>(((Table134567891011121314151617343[[#This Row],[ITA]]-VLOOKUP($U$1,A:B,2,))/VLOOKUP($U$1,A:B,2,))*100)+100</f>
        <v/>
      </c>
      <c r="I150" s="76">
        <f>(((Table134567891011121314151617343[[#This Row],[FRA]]-VLOOKUP($U$1,A:C,3,))/VLOOKUP($U$1,A:C,3,))*100)+100</f>
        <v/>
      </c>
      <c r="J150" s="76">
        <f>(((Table134567891011121314151617343[[#This Row],[DEU]]-VLOOKUP($U$1,A:D,4,))/VLOOKUP($U$1,A:D,4,))*100)+100</f>
        <v/>
      </c>
      <c r="K150" s="76">
        <f>(((Table134567891011121314151617343[[#This Row],[ESP]]-VLOOKUP($U$1,A:E,5,))/VLOOKUP($U$1,A:E,5,))*100)+100</f>
        <v/>
      </c>
      <c r="L150" s="76">
        <f>(((Table134567891011121314151617343[[#This Row],[EA19]]-VLOOKUP($U$1,A:F,6,))/VLOOKUP($U$1,A:F,6,))*100)+100</f>
        <v/>
      </c>
      <c r="M150" s="76">
        <f>(((Table134567891011121314151617343[[#This Row],[GBR]]-VLOOKUP($U$1,A:G,7,))/VLOOKUP($U$1,A:G,7,))*100)+100</f>
        <v/>
      </c>
      <c r="N150" s="76">
        <f>IF(VLOOKUP(A150,Database!$A:$AU,MATCH($N$1,Database!$A$1:$AU$1,0),FALSE)=0,#N/A,VLOOKUP(A150,Database!$A:$AU,MATCH($N$1,Database!$A$1:$AU$1,0),FALSE))</f>
        <v/>
      </c>
      <c r="O150" s="76">
        <f>(((Table134567891011121314151617343[[#This Row],[USA]]-VLOOKUP($U$1,A:N,14,))/VLOOKUP($U$1,A:N,14,))*100)+100</f>
        <v/>
      </c>
      <c r="P150" s="76">
        <f>IF(VLOOKUP(A150,Database!$A:$AS,MATCH($P$1,Database!$A$1:$AS$1,0),FALSE)=0,#N/A,VLOOKUP(A150,Database!$A:$AS,MATCH($P$1,Database!$A$1:$AS$1,0),FALSE))</f>
        <v/>
      </c>
      <c r="Q150" s="76">
        <f>(((Table134567891011121314151617343[[#This Row],[JPN]]-VLOOKUP($U$1,A:Q,16,))/VLOOKUP($U$1,A:Q,16,))*100)+100</f>
        <v/>
      </c>
    </row>
    <row r="151" customFormat="1" s="86">
      <c r="A151" s="21" t="n">
        <v>37408</v>
      </c>
      <c r="B151" s="76">
        <f>IF(VLOOKUP(A151,Database!$A:$AS,MATCH($B$1,Database!$A$1:$AS$1,0),FALSE)=0,#N/A,VLOOKUP(A151,Database!$A:$AS,MATCH($B$1,Database!$A$1:$AS$1,0),FALSE))</f>
        <v/>
      </c>
      <c r="C151" s="76">
        <f>IF(VLOOKUP(A151,Database!$A:$AS,MATCH($C$1,Database!$A$1:$AS$1,0),FALSE)=0,#N/A,VLOOKUP(A151,Database!$A:$AS,MATCH($C$1,Database!$A$1:$AS$1,0),FALSE))</f>
        <v/>
      </c>
      <c r="D151" s="76">
        <f>IF(VLOOKUP(A151,Database!$A:$AS,MATCH($D$1,Database!$A$1:$AS$1,0),FALSE)=0,#N/A,VLOOKUP(A151,Database!$A:$AS,MATCH($D$1,Database!$A$1:$AS$1,0),FALSE))</f>
        <v/>
      </c>
      <c r="E151" s="76">
        <f>IF(VLOOKUP(A151,Database!$A:$AS,MATCH($E$1,Database!$A$1:$AS$1,0),FALSE)=0,#N/A,VLOOKUP(A151,Database!$A:$AS,MATCH($E$1,Database!$A$1:$AS$1,0),FALSE))</f>
        <v/>
      </c>
      <c r="F151" s="76">
        <f>IF(VLOOKUP(A151,Database!$A:$AS,MATCH($F$1,Database!$A$1:$AS$1,0),FALSE)=0,#N/A,VLOOKUP(A151,Database!$A:$AS,MATCH($F$1,Database!$A$1:$AS$1,0),FALSE))</f>
        <v/>
      </c>
      <c r="G151" s="76">
        <f>IF(VLOOKUP(A151,Database!$A:$AS,MATCH($G$1,Database!$A$1:$AS$1,0),FALSE)=0,#N/A,VLOOKUP(A151,Database!$A:$AS,MATCH($G$1,Database!$A$1:$AS$1,0),FALSE))</f>
        <v/>
      </c>
      <c r="H151" s="76">
        <f>(((Table134567891011121314151617343[[#This Row],[ITA]]-VLOOKUP($U$1,A:B,2,))/VLOOKUP($U$1,A:B,2,))*100)+100</f>
        <v/>
      </c>
      <c r="I151" s="76">
        <f>(((Table134567891011121314151617343[[#This Row],[FRA]]-VLOOKUP($U$1,A:C,3,))/VLOOKUP($U$1,A:C,3,))*100)+100</f>
        <v/>
      </c>
      <c r="J151" s="76">
        <f>(((Table134567891011121314151617343[[#This Row],[DEU]]-VLOOKUP($U$1,A:D,4,))/VLOOKUP($U$1,A:D,4,))*100)+100</f>
        <v/>
      </c>
      <c r="K151" s="76">
        <f>(((Table134567891011121314151617343[[#This Row],[ESP]]-VLOOKUP($U$1,A:E,5,))/VLOOKUP($U$1,A:E,5,))*100)+100</f>
        <v/>
      </c>
      <c r="L151" s="76">
        <f>(((Table134567891011121314151617343[[#This Row],[EA19]]-VLOOKUP($U$1,A:F,6,))/VLOOKUP($U$1,A:F,6,))*100)+100</f>
        <v/>
      </c>
      <c r="M151" s="76">
        <f>(((Table134567891011121314151617343[[#This Row],[GBR]]-VLOOKUP($U$1,A:G,7,))/VLOOKUP($U$1,A:G,7,))*100)+100</f>
        <v/>
      </c>
      <c r="N151" s="76">
        <f>IF(VLOOKUP(A151,Database!$A:$AU,MATCH($N$1,Database!$A$1:$AU$1,0),FALSE)=0,#N/A,VLOOKUP(A151,Database!$A:$AU,MATCH($N$1,Database!$A$1:$AU$1,0),FALSE))</f>
        <v/>
      </c>
      <c r="O151" s="76">
        <f>(((Table134567891011121314151617343[[#This Row],[USA]]-VLOOKUP($U$1,A:N,14,))/VLOOKUP($U$1,A:N,14,))*100)+100</f>
        <v/>
      </c>
      <c r="P151" s="76">
        <f>IF(VLOOKUP(A151,Database!$A:$AS,MATCH($P$1,Database!$A$1:$AS$1,0),FALSE)=0,#N/A,VLOOKUP(A151,Database!$A:$AS,MATCH($P$1,Database!$A$1:$AS$1,0),FALSE))</f>
        <v/>
      </c>
      <c r="Q151" s="76">
        <f>(((Table134567891011121314151617343[[#This Row],[JPN]]-VLOOKUP($U$1,A:Q,16,))/VLOOKUP($U$1,A:Q,16,))*100)+100</f>
        <v/>
      </c>
    </row>
    <row r="152" customFormat="1" s="86">
      <c r="A152" s="21" t="n">
        <v>37438</v>
      </c>
      <c r="B152" s="76">
        <f>IF(VLOOKUP(A152,Database!$A:$AS,MATCH($B$1,Database!$A$1:$AS$1,0),FALSE)=0,#N/A,VLOOKUP(A152,Database!$A:$AS,MATCH($B$1,Database!$A$1:$AS$1,0),FALSE))</f>
        <v/>
      </c>
      <c r="C152" s="76">
        <f>IF(VLOOKUP(A152,Database!$A:$AS,MATCH($C$1,Database!$A$1:$AS$1,0),FALSE)=0,#N/A,VLOOKUP(A152,Database!$A:$AS,MATCH($C$1,Database!$A$1:$AS$1,0),FALSE))</f>
        <v/>
      </c>
      <c r="D152" s="76">
        <f>IF(VLOOKUP(A152,Database!$A:$AS,MATCH($D$1,Database!$A$1:$AS$1,0),FALSE)=0,#N/A,VLOOKUP(A152,Database!$A:$AS,MATCH($D$1,Database!$A$1:$AS$1,0),FALSE))</f>
        <v/>
      </c>
      <c r="E152" s="76">
        <f>IF(VLOOKUP(A152,Database!$A:$AS,MATCH($E$1,Database!$A$1:$AS$1,0),FALSE)=0,#N/A,VLOOKUP(A152,Database!$A:$AS,MATCH($E$1,Database!$A$1:$AS$1,0),FALSE))</f>
        <v/>
      </c>
      <c r="F152" s="76">
        <f>IF(VLOOKUP(A152,Database!$A:$AS,MATCH($F$1,Database!$A$1:$AS$1,0),FALSE)=0,#N/A,VLOOKUP(A152,Database!$A:$AS,MATCH($F$1,Database!$A$1:$AS$1,0),FALSE))</f>
        <v/>
      </c>
      <c r="G152" s="76">
        <f>IF(VLOOKUP(A152,Database!$A:$AS,MATCH($G$1,Database!$A$1:$AS$1,0),FALSE)=0,#N/A,VLOOKUP(A152,Database!$A:$AS,MATCH($G$1,Database!$A$1:$AS$1,0),FALSE))</f>
        <v/>
      </c>
      <c r="H152" s="76">
        <f>(((Table134567891011121314151617343[[#This Row],[ITA]]-VLOOKUP($U$1,A:B,2,))/VLOOKUP($U$1,A:B,2,))*100)+100</f>
        <v/>
      </c>
      <c r="I152" s="76">
        <f>(((Table134567891011121314151617343[[#This Row],[FRA]]-VLOOKUP($U$1,A:C,3,))/VLOOKUP($U$1,A:C,3,))*100)+100</f>
        <v/>
      </c>
      <c r="J152" s="76">
        <f>(((Table134567891011121314151617343[[#This Row],[DEU]]-VLOOKUP($U$1,A:D,4,))/VLOOKUP($U$1,A:D,4,))*100)+100</f>
        <v/>
      </c>
      <c r="K152" s="76">
        <f>(((Table134567891011121314151617343[[#This Row],[ESP]]-VLOOKUP($U$1,A:E,5,))/VLOOKUP($U$1,A:E,5,))*100)+100</f>
        <v/>
      </c>
      <c r="L152" s="76">
        <f>(((Table134567891011121314151617343[[#This Row],[EA19]]-VLOOKUP($U$1,A:F,6,))/VLOOKUP($U$1,A:F,6,))*100)+100</f>
        <v/>
      </c>
      <c r="M152" s="76">
        <f>(((Table134567891011121314151617343[[#This Row],[GBR]]-VLOOKUP($U$1,A:G,7,))/VLOOKUP($U$1,A:G,7,))*100)+100</f>
        <v/>
      </c>
      <c r="N152" s="76">
        <f>IF(VLOOKUP(A152,Database!$A:$AU,MATCH($N$1,Database!$A$1:$AU$1,0),FALSE)=0,#N/A,VLOOKUP(A152,Database!$A:$AU,MATCH($N$1,Database!$A$1:$AU$1,0),FALSE))</f>
        <v/>
      </c>
      <c r="O152" s="76">
        <f>(((Table134567891011121314151617343[[#This Row],[USA]]-VLOOKUP($U$1,A:N,14,))/VLOOKUP($U$1,A:N,14,))*100)+100</f>
        <v/>
      </c>
      <c r="P152" s="76">
        <f>IF(VLOOKUP(A152,Database!$A:$AS,MATCH($P$1,Database!$A$1:$AS$1,0),FALSE)=0,#N/A,VLOOKUP(A152,Database!$A:$AS,MATCH($P$1,Database!$A$1:$AS$1,0),FALSE))</f>
        <v/>
      </c>
      <c r="Q152" s="76">
        <f>(((Table134567891011121314151617343[[#This Row],[JPN]]-VLOOKUP($U$1,A:Q,16,))/VLOOKUP($U$1,A:Q,16,))*100)+100</f>
        <v/>
      </c>
    </row>
    <row r="153" customFormat="1" s="86">
      <c r="A153" s="21" t="n">
        <v>37469</v>
      </c>
      <c r="B153" s="76">
        <f>IF(VLOOKUP(A153,Database!$A:$AS,MATCH($B$1,Database!$A$1:$AS$1,0),FALSE)=0,#N/A,VLOOKUP(A153,Database!$A:$AS,MATCH($B$1,Database!$A$1:$AS$1,0),FALSE))</f>
        <v/>
      </c>
      <c r="C153" s="76">
        <f>IF(VLOOKUP(A153,Database!$A:$AS,MATCH($C$1,Database!$A$1:$AS$1,0),FALSE)=0,#N/A,VLOOKUP(A153,Database!$A:$AS,MATCH($C$1,Database!$A$1:$AS$1,0),FALSE))</f>
        <v/>
      </c>
      <c r="D153" s="76">
        <f>IF(VLOOKUP(A153,Database!$A:$AS,MATCH($D$1,Database!$A$1:$AS$1,0),FALSE)=0,#N/A,VLOOKUP(A153,Database!$A:$AS,MATCH($D$1,Database!$A$1:$AS$1,0),FALSE))</f>
        <v/>
      </c>
      <c r="E153" s="76">
        <f>IF(VLOOKUP(A153,Database!$A:$AS,MATCH($E$1,Database!$A$1:$AS$1,0),FALSE)=0,#N/A,VLOOKUP(A153,Database!$A:$AS,MATCH($E$1,Database!$A$1:$AS$1,0),FALSE))</f>
        <v/>
      </c>
      <c r="F153" s="76">
        <f>IF(VLOOKUP(A153,Database!$A:$AS,MATCH($F$1,Database!$A$1:$AS$1,0),FALSE)=0,#N/A,VLOOKUP(A153,Database!$A:$AS,MATCH($F$1,Database!$A$1:$AS$1,0),FALSE))</f>
        <v/>
      </c>
      <c r="G153" s="76">
        <f>IF(VLOOKUP(A153,Database!$A:$AS,MATCH($G$1,Database!$A$1:$AS$1,0),FALSE)=0,#N/A,VLOOKUP(A153,Database!$A:$AS,MATCH($G$1,Database!$A$1:$AS$1,0),FALSE))</f>
        <v/>
      </c>
      <c r="H153" s="76">
        <f>(((Table134567891011121314151617343[[#This Row],[ITA]]-VLOOKUP($U$1,A:B,2,))/VLOOKUP($U$1,A:B,2,))*100)+100</f>
        <v/>
      </c>
      <c r="I153" s="76">
        <f>(((Table134567891011121314151617343[[#This Row],[FRA]]-VLOOKUP($U$1,A:C,3,))/VLOOKUP($U$1,A:C,3,))*100)+100</f>
        <v/>
      </c>
      <c r="J153" s="76">
        <f>(((Table134567891011121314151617343[[#This Row],[DEU]]-VLOOKUP($U$1,A:D,4,))/VLOOKUP($U$1,A:D,4,))*100)+100</f>
        <v/>
      </c>
      <c r="K153" s="76">
        <f>(((Table134567891011121314151617343[[#This Row],[ESP]]-VLOOKUP($U$1,A:E,5,))/VLOOKUP($U$1,A:E,5,))*100)+100</f>
        <v/>
      </c>
      <c r="L153" s="76">
        <f>(((Table134567891011121314151617343[[#This Row],[EA19]]-VLOOKUP($U$1,A:F,6,))/VLOOKUP($U$1,A:F,6,))*100)+100</f>
        <v/>
      </c>
      <c r="M153" s="76">
        <f>(((Table134567891011121314151617343[[#This Row],[GBR]]-VLOOKUP($U$1,A:G,7,))/VLOOKUP($U$1,A:G,7,))*100)+100</f>
        <v/>
      </c>
      <c r="N153" s="76">
        <f>IF(VLOOKUP(A153,Database!$A:$AU,MATCH($N$1,Database!$A$1:$AU$1,0),FALSE)=0,#N/A,VLOOKUP(A153,Database!$A:$AU,MATCH($N$1,Database!$A$1:$AU$1,0),FALSE))</f>
        <v/>
      </c>
      <c r="O153" s="76">
        <f>(((Table134567891011121314151617343[[#This Row],[USA]]-VLOOKUP($U$1,A:N,14,))/VLOOKUP($U$1,A:N,14,))*100)+100</f>
        <v/>
      </c>
      <c r="P153" s="76">
        <f>IF(VLOOKUP(A153,Database!$A:$AS,MATCH($P$1,Database!$A$1:$AS$1,0),FALSE)=0,#N/A,VLOOKUP(A153,Database!$A:$AS,MATCH($P$1,Database!$A$1:$AS$1,0),FALSE))</f>
        <v/>
      </c>
      <c r="Q153" s="76">
        <f>(((Table134567891011121314151617343[[#This Row],[JPN]]-VLOOKUP($U$1,A:Q,16,))/VLOOKUP($U$1,A:Q,16,))*100)+100</f>
        <v/>
      </c>
    </row>
    <row r="154" customFormat="1" s="86">
      <c r="A154" s="21" t="n">
        <v>37500</v>
      </c>
      <c r="B154" s="76">
        <f>IF(VLOOKUP(A154,Database!$A:$AS,MATCH($B$1,Database!$A$1:$AS$1,0),FALSE)=0,#N/A,VLOOKUP(A154,Database!$A:$AS,MATCH($B$1,Database!$A$1:$AS$1,0),FALSE))</f>
        <v/>
      </c>
      <c r="C154" s="76">
        <f>IF(VLOOKUP(A154,Database!$A:$AS,MATCH($C$1,Database!$A$1:$AS$1,0),FALSE)=0,#N/A,VLOOKUP(A154,Database!$A:$AS,MATCH($C$1,Database!$A$1:$AS$1,0),FALSE))</f>
        <v/>
      </c>
      <c r="D154" s="76">
        <f>IF(VLOOKUP(A154,Database!$A:$AS,MATCH($D$1,Database!$A$1:$AS$1,0),FALSE)=0,#N/A,VLOOKUP(A154,Database!$A:$AS,MATCH($D$1,Database!$A$1:$AS$1,0),FALSE))</f>
        <v/>
      </c>
      <c r="E154" s="76">
        <f>IF(VLOOKUP(A154,Database!$A:$AS,MATCH($E$1,Database!$A$1:$AS$1,0),FALSE)=0,#N/A,VLOOKUP(A154,Database!$A:$AS,MATCH($E$1,Database!$A$1:$AS$1,0),FALSE))</f>
        <v/>
      </c>
      <c r="F154" s="76">
        <f>IF(VLOOKUP(A154,Database!$A:$AS,MATCH($F$1,Database!$A$1:$AS$1,0),FALSE)=0,#N/A,VLOOKUP(A154,Database!$A:$AS,MATCH($F$1,Database!$A$1:$AS$1,0),FALSE))</f>
        <v/>
      </c>
      <c r="G154" s="76">
        <f>IF(VLOOKUP(A154,Database!$A:$AS,MATCH($G$1,Database!$A$1:$AS$1,0),FALSE)=0,#N/A,VLOOKUP(A154,Database!$A:$AS,MATCH($G$1,Database!$A$1:$AS$1,0),FALSE))</f>
        <v/>
      </c>
      <c r="H154" s="76">
        <f>(((Table134567891011121314151617343[[#This Row],[ITA]]-VLOOKUP($U$1,A:B,2,))/VLOOKUP($U$1,A:B,2,))*100)+100</f>
        <v/>
      </c>
      <c r="I154" s="76">
        <f>(((Table134567891011121314151617343[[#This Row],[FRA]]-VLOOKUP($U$1,A:C,3,))/VLOOKUP($U$1,A:C,3,))*100)+100</f>
        <v/>
      </c>
      <c r="J154" s="76">
        <f>(((Table134567891011121314151617343[[#This Row],[DEU]]-VLOOKUP($U$1,A:D,4,))/VLOOKUP($U$1,A:D,4,))*100)+100</f>
        <v/>
      </c>
      <c r="K154" s="76">
        <f>(((Table134567891011121314151617343[[#This Row],[ESP]]-VLOOKUP($U$1,A:E,5,))/VLOOKUP($U$1,A:E,5,))*100)+100</f>
        <v/>
      </c>
      <c r="L154" s="76">
        <f>(((Table134567891011121314151617343[[#This Row],[EA19]]-VLOOKUP($U$1,A:F,6,))/VLOOKUP($U$1,A:F,6,))*100)+100</f>
        <v/>
      </c>
      <c r="M154" s="76">
        <f>(((Table134567891011121314151617343[[#This Row],[GBR]]-VLOOKUP($U$1,A:G,7,))/VLOOKUP($U$1,A:G,7,))*100)+100</f>
        <v/>
      </c>
      <c r="N154" s="76">
        <f>IF(VLOOKUP(A154,Database!$A:$AU,MATCH($N$1,Database!$A$1:$AU$1,0),FALSE)=0,#N/A,VLOOKUP(A154,Database!$A:$AU,MATCH($N$1,Database!$A$1:$AU$1,0),FALSE))</f>
        <v/>
      </c>
      <c r="O154" s="76">
        <f>(((Table134567891011121314151617343[[#This Row],[USA]]-VLOOKUP($U$1,A:N,14,))/VLOOKUP($U$1,A:N,14,))*100)+100</f>
        <v/>
      </c>
      <c r="P154" s="76">
        <f>IF(VLOOKUP(A154,Database!$A:$AS,MATCH($P$1,Database!$A$1:$AS$1,0),FALSE)=0,#N/A,VLOOKUP(A154,Database!$A:$AS,MATCH($P$1,Database!$A$1:$AS$1,0),FALSE))</f>
        <v/>
      </c>
      <c r="Q154" s="76">
        <f>(((Table134567891011121314151617343[[#This Row],[JPN]]-VLOOKUP($U$1,A:Q,16,))/VLOOKUP($U$1,A:Q,16,))*100)+100</f>
        <v/>
      </c>
    </row>
    <row r="155" customFormat="1" s="86">
      <c r="A155" s="21" t="n">
        <v>37530</v>
      </c>
      <c r="B155" s="76">
        <f>IF(VLOOKUP(A155,Database!$A:$AS,MATCH($B$1,Database!$A$1:$AS$1,0),FALSE)=0,#N/A,VLOOKUP(A155,Database!$A:$AS,MATCH($B$1,Database!$A$1:$AS$1,0),FALSE))</f>
        <v/>
      </c>
      <c r="C155" s="76">
        <f>IF(VLOOKUP(A155,Database!$A:$AS,MATCH($C$1,Database!$A$1:$AS$1,0),FALSE)=0,#N/A,VLOOKUP(A155,Database!$A:$AS,MATCH($C$1,Database!$A$1:$AS$1,0),FALSE))</f>
        <v/>
      </c>
      <c r="D155" s="76">
        <f>IF(VLOOKUP(A155,Database!$A:$AS,MATCH($D$1,Database!$A$1:$AS$1,0),FALSE)=0,#N/A,VLOOKUP(A155,Database!$A:$AS,MATCH($D$1,Database!$A$1:$AS$1,0),FALSE))</f>
        <v/>
      </c>
      <c r="E155" s="76">
        <f>IF(VLOOKUP(A155,Database!$A:$AS,MATCH($E$1,Database!$A$1:$AS$1,0),FALSE)=0,#N/A,VLOOKUP(A155,Database!$A:$AS,MATCH($E$1,Database!$A$1:$AS$1,0),FALSE))</f>
        <v/>
      </c>
      <c r="F155" s="76">
        <f>IF(VLOOKUP(A155,Database!$A:$AS,MATCH($F$1,Database!$A$1:$AS$1,0),FALSE)=0,#N/A,VLOOKUP(A155,Database!$A:$AS,MATCH($F$1,Database!$A$1:$AS$1,0),FALSE))</f>
        <v/>
      </c>
      <c r="G155" s="76">
        <f>IF(VLOOKUP(A155,Database!$A:$AS,MATCH($G$1,Database!$A$1:$AS$1,0),FALSE)=0,#N/A,VLOOKUP(A155,Database!$A:$AS,MATCH($G$1,Database!$A$1:$AS$1,0),FALSE))</f>
        <v/>
      </c>
      <c r="H155" s="76">
        <f>(((Table134567891011121314151617343[[#This Row],[ITA]]-VLOOKUP($U$1,A:B,2,))/VLOOKUP($U$1,A:B,2,))*100)+100</f>
        <v/>
      </c>
      <c r="I155" s="76">
        <f>(((Table134567891011121314151617343[[#This Row],[FRA]]-VLOOKUP($U$1,A:C,3,))/VLOOKUP($U$1,A:C,3,))*100)+100</f>
        <v/>
      </c>
      <c r="J155" s="76">
        <f>(((Table134567891011121314151617343[[#This Row],[DEU]]-VLOOKUP($U$1,A:D,4,))/VLOOKUP($U$1,A:D,4,))*100)+100</f>
        <v/>
      </c>
      <c r="K155" s="76">
        <f>(((Table134567891011121314151617343[[#This Row],[ESP]]-VLOOKUP($U$1,A:E,5,))/VLOOKUP($U$1,A:E,5,))*100)+100</f>
        <v/>
      </c>
      <c r="L155" s="76">
        <f>(((Table134567891011121314151617343[[#This Row],[EA19]]-VLOOKUP($U$1,A:F,6,))/VLOOKUP($U$1,A:F,6,))*100)+100</f>
        <v/>
      </c>
      <c r="M155" s="76">
        <f>(((Table134567891011121314151617343[[#This Row],[GBR]]-VLOOKUP($U$1,A:G,7,))/VLOOKUP($U$1,A:G,7,))*100)+100</f>
        <v/>
      </c>
      <c r="N155" s="76">
        <f>IF(VLOOKUP(A155,Database!$A:$AU,MATCH($N$1,Database!$A$1:$AU$1,0),FALSE)=0,#N/A,VLOOKUP(A155,Database!$A:$AU,MATCH($N$1,Database!$A$1:$AU$1,0),FALSE))</f>
        <v/>
      </c>
      <c r="O155" s="76">
        <f>(((Table134567891011121314151617343[[#This Row],[USA]]-VLOOKUP($U$1,A:N,14,))/VLOOKUP($U$1,A:N,14,))*100)+100</f>
        <v/>
      </c>
      <c r="P155" s="76">
        <f>IF(VLOOKUP(A155,Database!$A:$AS,MATCH($P$1,Database!$A$1:$AS$1,0),FALSE)=0,#N/A,VLOOKUP(A155,Database!$A:$AS,MATCH($P$1,Database!$A$1:$AS$1,0),FALSE))</f>
        <v/>
      </c>
      <c r="Q155" s="76">
        <f>(((Table134567891011121314151617343[[#This Row],[JPN]]-VLOOKUP($U$1,A:Q,16,))/VLOOKUP($U$1,A:Q,16,))*100)+100</f>
        <v/>
      </c>
    </row>
    <row r="156" customFormat="1" s="86">
      <c r="A156" s="21" t="n">
        <v>37561</v>
      </c>
      <c r="B156" s="76">
        <f>IF(VLOOKUP(A156,Database!$A:$AS,MATCH($B$1,Database!$A$1:$AS$1,0),FALSE)=0,#N/A,VLOOKUP(A156,Database!$A:$AS,MATCH($B$1,Database!$A$1:$AS$1,0),FALSE))</f>
        <v/>
      </c>
      <c r="C156" s="76">
        <f>IF(VLOOKUP(A156,Database!$A:$AS,MATCH($C$1,Database!$A$1:$AS$1,0),FALSE)=0,#N/A,VLOOKUP(A156,Database!$A:$AS,MATCH($C$1,Database!$A$1:$AS$1,0),FALSE))</f>
        <v/>
      </c>
      <c r="D156" s="76">
        <f>IF(VLOOKUP(A156,Database!$A:$AS,MATCH($D$1,Database!$A$1:$AS$1,0),FALSE)=0,#N/A,VLOOKUP(A156,Database!$A:$AS,MATCH($D$1,Database!$A$1:$AS$1,0),FALSE))</f>
        <v/>
      </c>
      <c r="E156" s="76">
        <f>IF(VLOOKUP(A156,Database!$A:$AS,MATCH($E$1,Database!$A$1:$AS$1,0),FALSE)=0,#N/A,VLOOKUP(A156,Database!$A:$AS,MATCH($E$1,Database!$A$1:$AS$1,0),FALSE))</f>
        <v/>
      </c>
      <c r="F156" s="76">
        <f>IF(VLOOKUP(A156,Database!$A:$AS,MATCH($F$1,Database!$A$1:$AS$1,0),FALSE)=0,#N/A,VLOOKUP(A156,Database!$A:$AS,MATCH($F$1,Database!$A$1:$AS$1,0),FALSE))</f>
        <v/>
      </c>
      <c r="G156" s="76">
        <f>IF(VLOOKUP(A156,Database!$A:$AS,MATCH($G$1,Database!$A$1:$AS$1,0),FALSE)=0,#N/A,VLOOKUP(A156,Database!$A:$AS,MATCH($G$1,Database!$A$1:$AS$1,0),FALSE))</f>
        <v/>
      </c>
      <c r="H156" s="76">
        <f>(((Table134567891011121314151617343[[#This Row],[ITA]]-VLOOKUP($U$1,A:B,2,))/VLOOKUP($U$1,A:B,2,))*100)+100</f>
        <v/>
      </c>
      <c r="I156" s="76">
        <f>(((Table134567891011121314151617343[[#This Row],[FRA]]-VLOOKUP($U$1,A:C,3,))/VLOOKUP($U$1,A:C,3,))*100)+100</f>
        <v/>
      </c>
      <c r="J156" s="76">
        <f>(((Table134567891011121314151617343[[#This Row],[DEU]]-VLOOKUP($U$1,A:D,4,))/VLOOKUP($U$1,A:D,4,))*100)+100</f>
        <v/>
      </c>
      <c r="K156" s="76">
        <f>(((Table134567891011121314151617343[[#This Row],[ESP]]-VLOOKUP($U$1,A:E,5,))/VLOOKUP($U$1,A:E,5,))*100)+100</f>
        <v/>
      </c>
      <c r="L156" s="76">
        <f>(((Table134567891011121314151617343[[#This Row],[EA19]]-VLOOKUP($U$1,A:F,6,))/VLOOKUP($U$1,A:F,6,))*100)+100</f>
        <v/>
      </c>
      <c r="M156" s="76">
        <f>(((Table134567891011121314151617343[[#This Row],[GBR]]-VLOOKUP($U$1,A:G,7,))/VLOOKUP($U$1,A:G,7,))*100)+100</f>
        <v/>
      </c>
      <c r="N156" s="76">
        <f>IF(VLOOKUP(A156,Database!$A:$AU,MATCH($N$1,Database!$A$1:$AU$1,0),FALSE)=0,#N/A,VLOOKUP(A156,Database!$A:$AU,MATCH($N$1,Database!$A$1:$AU$1,0),FALSE))</f>
        <v/>
      </c>
      <c r="O156" s="76">
        <f>(((Table134567891011121314151617343[[#This Row],[USA]]-VLOOKUP($U$1,A:N,14,))/VLOOKUP($U$1,A:N,14,))*100)+100</f>
        <v/>
      </c>
      <c r="P156" s="76">
        <f>IF(VLOOKUP(A156,Database!$A:$AS,MATCH($P$1,Database!$A$1:$AS$1,0),FALSE)=0,#N/A,VLOOKUP(A156,Database!$A:$AS,MATCH($P$1,Database!$A$1:$AS$1,0),FALSE))</f>
        <v/>
      </c>
      <c r="Q156" s="76">
        <f>(((Table134567891011121314151617343[[#This Row],[JPN]]-VLOOKUP($U$1,A:Q,16,))/VLOOKUP($U$1,A:Q,16,))*100)+100</f>
        <v/>
      </c>
    </row>
    <row r="157" customFormat="1" s="86">
      <c r="A157" s="21" t="n">
        <v>37591</v>
      </c>
      <c r="B157" s="76">
        <f>IF(VLOOKUP(A157,Database!$A:$AS,MATCH($B$1,Database!$A$1:$AS$1,0),FALSE)=0,#N/A,VLOOKUP(A157,Database!$A:$AS,MATCH($B$1,Database!$A$1:$AS$1,0),FALSE))</f>
        <v/>
      </c>
      <c r="C157" s="76">
        <f>IF(VLOOKUP(A157,Database!$A:$AS,MATCH($C$1,Database!$A$1:$AS$1,0),FALSE)=0,#N/A,VLOOKUP(A157,Database!$A:$AS,MATCH($C$1,Database!$A$1:$AS$1,0),FALSE))</f>
        <v/>
      </c>
      <c r="D157" s="76">
        <f>IF(VLOOKUP(A157,Database!$A:$AS,MATCH($D$1,Database!$A$1:$AS$1,0),FALSE)=0,#N/A,VLOOKUP(A157,Database!$A:$AS,MATCH($D$1,Database!$A$1:$AS$1,0),FALSE))</f>
        <v/>
      </c>
      <c r="E157" s="76">
        <f>IF(VLOOKUP(A157,Database!$A:$AS,MATCH($E$1,Database!$A$1:$AS$1,0),FALSE)=0,#N/A,VLOOKUP(A157,Database!$A:$AS,MATCH($E$1,Database!$A$1:$AS$1,0),FALSE))</f>
        <v/>
      </c>
      <c r="F157" s="76">
        <f>IF(VLOOKUP(A157,Database!$A:$AS,MATCH($F$1,Database!$A$1:$AS$1,0),FALSE)=0,#N/A,VLOOKUP(A157,Database!$A:$AS,MATCH($F$1,Database!$A$1:$AS$1,0),FALSE))</f>
        <v/>
      </c>
      <c r="G157" s="76">
        <f>IF(VLOOKUP(A157,Database!$A:$AS,MATCH($G$1,Database!$A$1:$AS$1,0),FALSE)=0,#N/A,VLOOKUP(A157,Database!$A:$AS,MATCH($G$1,Database!$A$1:$AS$1,0),FALSE))</f>
        <v/>
      </c>
      <c r="H157" s="76">
        <f>(((Table134567891011121314151617343[[#This Row],[ITA]]-VLOOKUP($U$1,A:B,2,))/VLOOKUP($U$1,A:B,2,))*100)+100</f>
        <v/>
      </c>
      <c r="I157" s="76">
        <f>(((Table134567891011121314151617343[[#This Row],[FRA]]-VLOOKUP($U$1,A:C,3,))/VLOOKUP($U$1,A:C,3,))*100)+100</f>
        <v/>
      </c>
      <c r="J157" s="76">
        <f>(((Table134567891011121314151617343[[#This Row],[DEU]]-VLOOKUP($U$1,A:D,4,))/VLOOKUP($U$1,A:D,4,))*100)+100</f>
        <v/>
      </c>
      <c r="K157" s="76">
        <f>(((Table134567891011121314151617343[[#This Row],[ESP]]-VLOOKUP($U$1,A:E,5,))/VLOOKUP($U$1,A:E,5,))*100)+100</f>
        <v/>
      </c>
      <c r="L157" s="76">
        <f>(((Table134567891011121314151617343[[#This Row],[EA19]]-VLOOKUP($U$1,A:F,6,))/VLOOKUP($U$1,A:F,6,))*100)+100</f>
        <v/>
      </c>
      <c r="M157" s="76">
        <f>(((Table134567891011121314151617343[[#This Row],[GBR]]-VLOOKUP($U$1,A:G,7,))/VLOOKUP($U$1,A:G,7,))*100)+100</f>
        <v/>
      </c>
      <c r="N157" s="76">
        <f>IF(VLOOKUP(A157,Database!$A:$AU,MATCH($N$1,Database!$A$1:$AU$1,0),FALSE)=0,#N/A,VLOOKUP(A157,Database!$A:$AU,MATCH($N$1,Database!$A$1:$AU$1,0),FALSE))</f>
        <v/>
      </c>
      <c r="O157" s="76">
        <f>(((Table134567891011121314151617343[[#This Row],[USA]]-VLOOKUP($U$1,A:N,14,))/VLOOKUP($U$1,A:N,14,))*100)+100</f>
        <v/>
      </c>
      <c r="P157" s="76">
        <f>IF(VLOOKUP(A157,Database!$A:$AS,MATCH($P$1,Database!$A$1:$AS$1,0),FALSE)=0,#N/A,VLOOKUP(A157,Database!$A:$AS,MATCH($P$1,Database!$A$1:$AS$1,0),FALSE))</f>
        <v/>
      </c>
      <c r="Q157" s="76">
        <f>(((Table134567891011121314151617343[[#This Row],[JPN]]-VLOOKUP($U$1,A:Q,16,))/VLOOKUP($U$1,A:Q,16,))*100)+100</f>
        <v/>
      </c>
    </row>
    <row r="158" customFormat="1" s="86">
      <c r="A158" s="21" t="n">
        <v>37622</v>
      </c>
      <c r="B158" s="76">
        <f>IF(VLOOKUP(A158,Database!$A:$AS,MATCH($B$1,Database!$A$1:$AS$1,0),FALSE)=0,#N/A,VLOOKUP(A158,Database!$A:$AS,MATCH($B$1,Database!$A$1:$AS$1,0),FALSE))</f>
        <v/>
      </c>
      <c r="C158" s="76">
        <f>IF(VLOOKUP(A158,Database!$A:$AS,MATCH($C$1,Database!$A$1:$AS$1,0),FALSE)=0,#N/A,VLOOKUP(A158,Database!$A:$AS,MATCH($C$1,Database!$A$1:$AS$1,0),FALSE))</f>
        <v/>
      </c>
      <c r="D158" s="76">
        <f>IF(VLOOKUP(A158,Database!$A:$AS,MATCH($D$1,Database!$A$1:$AS$1,0),FALSE)=0,#N/A,VLOOKUP(A158,Database!$A:$AS,MATCH($D$1,Database!$A$1:$AS$1,0),FALSE))</f>
        <v/>
      </c>
      <c r="E158" s="76">
        <f>IF(VLOOKUP(A158,Database!$A:$AS,MATCH($E$1,Database!$A$1:$AS$1,0),FALSE)=0,#N/A,VLOOKUP(A158,Database!$A:$AS,MATCH($E$1,Database!$A$1:$AS$1,0),FALSE))</f>
        <v/>
      </c>
      <c r="F158" s="76">
        <f>IF(VLOOKUP(A158,Database!$A:$AS,MATCH($F$1,Database!$A$1:$AS$1,0),FALSE)=0,#N/A,VLOOKUP(A158,Database!$A:$AS,MATCH($F$1,Database!$A$1:$AS$1,0),FALSE))</f>
        <v/>
      </c>
      <c r="G158" s="76">
        <f>IF(VLOOKUP(A158,Database!$A:$AS,MATCH($G$1,Database!$A$1:$AS$1,0),FALSE)=0,#N/A,VLOOKUP(A158,Database!$A:$AS,MATCH($G$1,Database!$A$1:$AS$1,0),FALSE))</f>
        <v/>
      </c>
      <c r="H158" s="76">
        <f>(((Table134567891011121314151617343[[#This Row],[ITA]]-VLOOKUP($U$1,A:B,2,))/VLOOKUP($U$1,A:B,2,))*100)+100</f>
        <v/>
      </c>
      <c r="I158" s="76">
        <f>(((Table134567891011121314151617343[[#This Row],[FRA]]-VLOOKUP($U$1,A:C,3,))/VLOOKUP($U$1,A:C,3,))*100)+100</f>
        <v/>
      </c>
      <c r="J158" s="76">
        <f>(((Table134567891011121314151617343[[#This Row],[DEU]]-VLOOKUP($U$1,A:D,4,))/VLOOKUP($U$1,A:D,4,))*100)+100</f>
        <v/>
      </c>
      <c r="K158" s="76">
        <f>(((Table134567891011121314151617343[[#This Row],[ESP]]-VLOOKUP($U$1,A:E,5,))/VLOOKUP($U$1,A:E,5,))*100)+100</f>
        <v/>
      </c>
      <c r="L158" s="76">
        <f>(((Table134567891011121314151617343[[#This Row],[EA19]]-VLOOKUP($U$1,A:F,6,))/VLOOKUP($U$1,A:F,6,))*100)+100</f>
        <v/>
      </c>
      <c r="M158" s="76">
        <f>(((Table134567891011121314151617343[[#This Row],[GBR]]-VLOOKUP($U$1,A:G,7,))/VLOOKUP($U$1,A:G,7,))*100)+100</f>
        <v/>
      </c>
      <c r="N158" s="76">
        <f>IF(VLOOKUP(A158,Database!$A:$AU,MATCH($N$1,Database!$A$1:$AU$1,0),FALSE)=0,#N/A,VLOOKUP(A158,Database!$A:$AU,MATCH($N$1,Database!$A$1:$AU$1,0),FALSE))</f>
        <v/>
      </c>
      <c r="O158" s="76">
        <f>(((Table134567891011121314151617343[[#This Row],[USA]]-VLOOKUP($U$1,A:N,14,))/VLOOKUP($U$1,A:N,14,))*100)+100</f>
        <v/>
      </c>
      <c r="P158" s="76">
        <f>IF(VLOOKUP(A158,Database!$A:$AS,MATCH($P$1,Database!$A$1:$AS$1,0),FALSE)=0,#N/A,VLOOKUP(A158,Database!$A:$AS,MATCH($P$1,Database!$A$1:$AS$1,0),FALSE))</f>
        <v/>
      </c>
      <c r="Q158" s="76">
        <f>(((Table134567891011121314151617343[[#This Row],[JPN]]-VLOOKUP($U$1,A:Q,16,))/VLOOKUP($U$1,A:Q,16,))*100)+100</f>
        <v/>
      </c>
    </row>
    <row r="159" customFormat="1" s="86">
      <c r="A159" s="21" t="n">
        <v>37653</v>
      </c>
      <c r="B159" s="76">
        <f>IF(VLOOKUP(A159,Database!$A:$AS,MATCH($B$1,Database!$A$1:$AS$1,0),FALSE)=0,#N/A,VLOOKUP(A159,Database!$A:$AS,MATCH($B$1,Database!$A$1:$AS$1,0),FALSE))</f>
        <v/>
      </c>
      <c r="C159" s="76">
        <f>IF(VLOOKUP(A159,Database!$A:$AS,MATCH($C$1,Database!$A$1:$AS$1,0),FALSE)=0,#N/A,VLOOKUP(A159,Database!$A:$AS,MATCH($C$1,Database!$A$1:$AS$1,0),FALSE))</f>
        <v/>
      </c>
      <c r="D159" s="76">
        <f>IF(VLOOKUP(A159,Database!$A:$AS,MATCH($D$1,Database!$A$1:$AS$1,0),FALSE)=0,#N/A,VLOOKUP(A159,Database!$A:$AS,MATCH($D$1,Database!$A$1:$AS$1,0),FALSE))</f>
        <v/>
      </c>
      <c r="E159" s="76">
        <f>IF(VLOOKUP(A159,Database!$A:$AS,MATCH($E$1,Database!$A$1:$AS$1,0),FALSE)=0,#N/A,VLOOKUP(A159,Database!$A:$AS,MATCH($E$1,Database!$A$1:$AS$1,0),FALSE))</f>
        <v/>
      </c>
      <c r="F159" s="76">
        <f>IF(VLOOKUP(A159,Database!$A:$AS,MATCH($F$1,Database!$A$1:$AS$1,0),FALSE)=0,#N/A,VLOOKUP(A159,Database!$A:$AS,MATCH($F$1,Database!$A$1:$AS$1,0),FALSE))</f>
        <v/>
      </c>
      <c r="G159" s="76">
        <f>IF(VLOOKUP(A159,Database!$A:$AS,MATCH($G$1,Database!$A$1:$AS$1,0),FALSE)=0,#N/A,VLOOKUP(A159,Database!$A:$AS,MATCH($G$1,Database!$A$1:$AS$1,0),FALSE))</f>
        <v/>
      </c>
      <c r="H159" s="76">
        <f>(((Table134567891011121314151617343[[#This Row],[ITA]]-VLOOKUP($U$1,A:B,2,))/VLOOKUP($U$1,A:B,2,))*100)+100</f>
        <v/>
      </c>
      <c r="I159" s="76">
        <f>(((Table134567891011121314151617343[[#This Row],[FRA]]-VLOOKUP($U$1,A:C,3,))/VLOOKUP($U$1,A:C,3,))*100)+100</f>
        <v/>
      </c>
      <c r="J159" s="76">
        <f>(((Table134567891011121314151617343[[#This Row],[DEU]]-VLOOKUP($U$1,A:D,4,))/VLOOKUP($U$1,A:D,4,))*100)+100</f>
        <v/>
      </c>
      <c r="K159" s="76">
        <f>(((Table134567891011121314151617343[[#This Row],[ESP]]-VLOOKUP($U$1,A:E,5,))/VLOOKUP($U$1,A:E,5,))*100)+100</f>
        <v/>
      </c>
      <c r="L159" s="76">
        <f>(((Table134567891011121314151617343[[#This Row],[EA19]]-VLOOKUP($U$1,A:F,6,))/VLOOKUP($U$1,A:F,6,))*100)+100</f>
        <v/>
      </c>
      <c r="M159" s="76">
        <f>(((Table134567891011121314151617343[[#This Row],[GBR]]-VLOOKUP($U$1,A:G,7,))/VLOOKUP($U$1,A:G,7,))*100)+100</f>
        <v/>
      </c>
      <c r="N159" s="76">
        <f>IF(VLOOKUP(A159,Database!$A:$AU,MATCH($N$1,Database!$A$1:$AU$1,0),FALSE)=0,#N/A,VLOOKUP(A159,Database!$A:$AU,MATCH($N$1,Database!$A$1:$AU$1,0),FALSE))</f>
        <v/>
      </c>
      <c r="O159" s="76">
        <f>(((Table134567891011121314151617343[[#This Row],[USA]]-VLOOKUP($U$1,A:N,14,))/VLOOKUP($U$1,A:N,14,))*100)+100</f>
        <v/>
      </c>
      <c r="P159" s="76">
        <f>IF(VLOOKUP(A159,Database!$A:$AS,MATCH($P$1,Database!$A$1:$AS$1,0),FALSE)=0,#N/A,VLOOKUP(A159,Database!$A:$AS,MATCH($P$1,Database!$A$1:$AS$1,0),FALSE))</f>
        <v/>
      </c>
      <c r="Q159" s="76">
        <f>(((Table134567891011121314151617343[[#This Row],[JPN]]-VLOOKUP($U$1,A:Q,16,))/VLOOKUP($U$1,A:Q,16,))*100)+100</f>
        <v/>
      </c>
    </row>
    <row r="160" customFormat="1" s="86">
      <c r="A160" s="21" t="n">
        <v>37681</v>
      </c>
      <c r="B160" s="76">
        <f>IF(VLOOKUP(A160,Database!$A:$AS,MATCH($B$1,Database!$A$1:$AS$1,0),FALSE)=0,#N/A,VLOOKUP(A160,Database!$A:$AS,MATCH($B$1,Database!$A$1:$AS$1,0),FALSE))</f>
        <v/>
      </c>
      <c r="C160" s="76">
        <f>IF(VLOOKUP(A160,Database!$A:$AS,MATCH($C$1,Database!$A$1:$AS$1,0),FALSE)=0,#N/A,VLOOKUP(A160,Database!$A:$AS,MATCH($C$1,Database!$A$1:$AS$1,0),FALSE))</f>
        <v/>
      </c>
      <c r="D160" s="76">
        <f>IF(VLOOKUP(A160,Database!$A:$AS,MATCH($D$1,Database!$A$1:$AS$1,0),FALSE)=0,#N/A,VLOOKUP(A160,Database!$A:$AS,MATCH($D$1,Database!$A$1:$AS$1,0),FALSE))</f>
        <v/>
      </c>
      <c r="E160" s="76">
        <f>IF(VLOOKUP(A160,Database!$A:$AS,MATCH($E$1,Database!$A$1:$AS$1,0),FALSE)=0,#N/A,VLOOKUP(A160,Database!$A:$AS,MATCH($E$1,Database!$A$1:$AS$1,0),FALSE))</f>
        <v/>
      </c>
      <c r="F160" s="76">
        <f>IF(VLOOKUP(A160,Database!$A:$AS,MATCH($F$1,Database!$A$1:$AS$1,0),FALSE)=0,#N/A,VLOOKUP(A160,Database!$A:$AS,MATCH($F$1,Database!$A$1:$AS$1,0),FALSE))</f>
        <v/>
      </c>
      <c r="G160" s="76">
        <f>IF(VLOOKUP(A160,Database!$A:$AS,MATCH($G$1,Database!$A$1:$AS$1,0),FALSE)=0,#N/A,VLOOKUP(A160,Database!$A:$AS,MATCH($G$1,Database!$A$1:$AS$1,0),FALSE))</f>
        <v/>
      </c>
      <c r="H160" s="76">
        <f>(((Table134567891011121314151617343[[#This Row],[ITA]]-VLOOKUP($U$1,A:B,2,))/VLOOKUP($U$1,A:B,2,))*100)+100</f>
        <v/>
      </c>
      <c r="I160" s="76">
        <f>(((Table134567891011121314151617343[[#This Row],[FRA]]-VLOOKUP($U$1,A:C,3,))/VLOOKUP($U$1,A:C,3,))*100)+100</f>
        <v/>
      </c>
      <c r="J160" s="76">
        <f>(((Table134567891011121314151617343[[#This Row],[DEU]]-VLOOKUP($U$1,A:D,4,))/VLOOKUP($U$1,A:D,4,))*100)+100</f>
        <v/>
      </c>
      <c r="K160" s="76">
        <f>(((Table134567891011121314151617343[[#This Row],[ESP]]-VLOOKUP($U$1,A:E,5,))/VLOOKUP($U$1,A:E,5,))*100)+100</f>
        <v/>
      </c>
      <c r="L160" s="76">
        <f>(((Table134567891011121314151617343[[#This Row],[EA19]]-VLOOKUP($U$1,A:F,6,))/VLOOKUP($U$1,A:F,6,))*100)+100</f>
        <v/>
      </c>
      <c r="M160" s="76">
        <f>(((Table134567891011121314151617343[[#This Row],[GBR]]-VLOOKUP($U$1,A:G,7,))/VLOOKUP($U$1,A:G,7,))*100)+100</f>
        <v/>
      </c>
      <c r="N160" s="76">
        <f>IF(VLOOKUP(A160,Database!$A:$AU,MATCH($N$1,Database!$A$1:$AU$1,0),FALSE)=0,#N/A,VLOOKUP(A160,Database!$A:$AU,MATCH($N$1,Database!$A$1:$AU$1,0),FALSE))</f>
        <v/>
      </c>
      <c r="O160" s="76">
        <f>(((Table134567891011121314151617343[[#This Row],[USA]]-VLOOKUP($U$1,A:N,14,))/VLOOKUP($U$1,A:N,14,))*100)+100</f>
        <v/>
      </c>
      <c r="P160" s="76">
        <f>IF(VLOOKUP(A160,Database!$A:$AS,MATCH($P$1,Database!$A$1:$AS$1,0),FALSE)=0,#N/A,VLOOKUP(A160,Database!$A:$AS,MATCH($P$1,Database!$A$1:$AS$1,0),FALSE))</f>
        <v/>
      </c>
      <c r="Q160" s="76">
        <f>(((Table134567891011121314151617343[[#This Row],[JPN]]-VLOOKUP($U$1,A:Q,16,))/VLOOKUP($U$1,A:Q,16,))*100)+100</f>
        <v/>
      </c>
    </row>
    <row r="161" customFormat="1" s="86">
      <c r="A161" s="21" t="n">
        <v>37712</v>
      </c>
      <c r="B161" s="76">
        <f>IF(VLOOKUP(A161,Database!$A:$AS,MATCH($B$1,Database!$A$1:$AS$1,0),FALSE)=0,#N/A,VLOOKUP(A161,Database!$A:$AS,MATCH($B$1,Database!$A$1:$AS$1,0),FALSE))</f>
        <v/>
      </c>
      <c r="C161" s="76">
        <f>IF(VLOOKUP(A161,Database!$A:$AS,MATCH($C$1,Database!$A$1:$AS$1,0),FALSE)=0,#N/A,VLOOKUP(A161,Database!$A:$AS,MATCH($C$1,Database!$A$1:$AS$1,0),FALSE))</f>
        <v/>
      </c>
      <c r="D161" s="76">
        <f>IF(VLOOKUP(A161,Database!$A:$AS,MATCH($D$1,Database!$A$1:$AS$1,0),FALSE)=0,#N/A,VLOOKUP(A161,Database!$A:$AS,MATCH($D$1,Database!$A$1:$AS$1,0),FALSE))</f>
        <v/>
      </c>
      <c r="E161" s="76">
        <f>IF(VLOOKUP(A161,Database!$A:$AS,MATCH($E$1,Database!$A$1:$AS$1,0),FALSE)=0,#N/A,VLOOKUP(A161,Database!$A:$AS,MATCH($E$1,Database!$A$1:$AS$1,0),FALSE))</f>
        <v/>
      </c>
      <c r="F161" s="76">
        <f>IF(VLOOKUP(A161,Database!$A:$AS,MATCH($F$1,Database!$A$1:$AS$1,0),FALSE)=0,#N/A,VLOOKUP(A161,Database!$A:$AS,MATCH($F$1,Database!$A$1:$AS$1,0),FALSE))</f>
        <v/>
      </c>
      <c r="G161" s="76">
        <f>IF(VLOOKUP(A161,Database!$A:$AS,MATCH($G$1,Database!$A$1:$AS$1,0),FALSE)=0,#N/A,VLOOKUP(A161,Database!$A:$AS,MATCH($G$1,Database!$A$1:$AS$1,0),FALSE))</f>
        <v/>
      </c>
      <c r="H161" s="76">
        <f>(((Table134567891011121314151617343[[#This Row],[ITA]]-VLOOKUP($U$1,A:B,2,))/VLOOKUP($U$1,A:B,2,))*100)+100</f>
        <v/>
      </c>
      <c r="I161" s="76">
        <f>(((Table134567891011121314151617343[[#This Row],[FRA]]-VLOOKUP($U$1,A:C,3,))/VLOOKUP($U$1,A:C,3,))*100)+100</f>
        <v/>
      </c>
      <c r="J161" s="76">
        <f>(((Table134567891011121314151617343[[#This Row],[DEU]]-VLOOKUP($U$1,A:D,4,))/VLOOKUP($U$1,A:D,4,))*100)+100</f>
        <v/>
      </c>
      <c r="K161" s="76">
        <f>(((Table134567891011121314151617343[[#This Row],[ESP]]-VLOOKUP($U$1,A:E,5,))/VLOOKUP($U$1,A:E,5,))*100)+100</f>
        <v/>
      </c>
      <c r="L161" s="76">
        <f>(((Table134567891011121314151617343[[#This Row],[EA19]]-VLOOKUP($U$1,A:F,6,))/VLOOKUP($U$1,A:F,6,))*100)+100</f>
        <v/>
      </c>
      <c r="M161" s="76">
        <f>(((Table134567891011121314151617343[[#This Row],[GBR]]-VLOOKUP($U$1,A:G,7,))/VLOOKUP($U$1,A:G,7,))*100)+100</f>
        <v/>
      </c>
      <c r="N161" s="76">
        <f>IF(VLOOKUP(A161,Database!$A:$AU,MATCH($N$1,Database!$A$1:$AU$1,0),FALSE)=0,#N/A,VLOOKUP(A161,Database!$A:$AU,MATCH($N$1,Database!$A$1:$AU$1,0),FALSE))</f>
        <v/>
      </c>
      <c r="O161" s="76">
        <f>(((Table134567891011121314151617343[[#This Row],[USA]]-VLOOKUP($U$1,A:N,14,))/VLOOKUP($U$1,A:N,14,))*100)+100</f>
        <v/>
      </c>
      <c r="P161" s="76">
        <f>IF(VLOOKUP(A161,Database!$A:$AS,MATCH($P$1,Database!$A$1:$AS$1,0),FALSE)=0,#N/A,VLOOKUP(A161,Database!$A:$AS,MATCH($P$1,Database!$A$1:$AS$1,0),FALSE))</f>
        <v/>
      </c>
      <c r="Q161" s="76">
        <f>(((Table134567891011121314151617343[[#This Row],[JPN]]-VLOOKUP($U$1,A:Q,16,))/VLOOKUP($U$1,A:Q,16,))*100)+100</f>
        <v/>
      </c>
    </row>
    <row r="162" customFormat="1" s="86">
      <c r="A162" s="21" t="n">
        <v>37742</v>
      </c>
      <c r="B162" s="76">
        <f>IF(VLOOKUP(A162,Database!$A:$AS,MATCH($B$1,Database!$A$1:$AS$1,0),FALSE)=0,#N/A,VLOOKUP(A162,Database!$A:$AS,MATCH($B$1,Database!$A$1:$AS$1,0),FALSE))</f>
        <v/>
      </c>
      <c r="C162" s="76">
        <f>IF(VLOOKUP(A162,Database!$A:$AS,MATCH($C$1,Database!$A$1:$AS$1,0),FALSE)=0,#N/A,VLOOKUP(A162,Database!$A:$AS,MATCH($C$1,Database!$A$1:$AS$1,0),FALSE))</f>
        <v/>
      </c>
      <c r="D162" s="76">
        <f>IF(VLOOKUP(A162,Database!$A:$AS,MATCH($D$1,Database!$A$1:$AS$1,0),FALSE)=0,#N/A,VLOOKUP(A162,Database!$A:$AS,MATCH($D$1,Database!$A$1:$AS$1,0),FALSE))</f>
        <v/>
      </c>
      <c r="E162" s="76">
        <f>IF(VLOOKUP(A162,Database!$A:$AS,MATCH($E$1,Database!$A$1:$AS$1,0),FALSE)=0,#N/A,VLOOKUP(A162,Database!$A:$AS,MATCH($E$1,Database!$A$1:$AS$1,0),FALSE))</f>
        <v/>
      </c>
      <c r="F162" s="76">
        <f>IF(VLOOKUP(A162,Database!$A:$AS,MATCH($F$1,Database!$A$1:$AS$1,0),FALSE)=0,#N/A,VLOOKUP(A162,Database!$A:$AS,MATCH($F$1,Database!$A$1:$AS$1,0),FALSE))</f>
        <v/>
      </c>
      <c r="G162" s="76">
        <f>IF(VLOOKUP(A162,Database!$A:$AS,MATCH($G$1,Database!$A$1:$AS$1,0),FALSE)=0,#N/A,VLOOKUP(A162,Database!$A:$AS,MATCH($G$1,Database!$A$1:$AS$1,0),FALSE))</f>
        <v/>
      </c>
      <c r="H162" s="76">
        <f>(((Table134567891011121314151617343[[#This Row],[ITA]]-VLOOKUP($U$1,A:B,2,))/VLOOKUP($U$1,A:B,2,))*100)+100</f>
        <v/>
      </c>
      <c r="I162" s="76">
        <f>(((Table134567891011121314151617343[[#This Row],[FRA]]-VLOOKUP($U$1,A:C,3,))/VLOOKUP($U$1,A:C,3,))*100)+100</f>
        <v/>
      </c>
      <c r="J162" s="76">
        <f>(((Table134567891011121314151617343[[#This Row],[DEU]]-VLOOKUP($U$1,A:D,4,))/VLOOKUP($U$1,A:D,4,))*100)+100</f>
        <v/>
      </c>
      <c r="K162" s="76">
        <f>(((Table134567891011121314151617343[[#This Row],[ESP]]-VLOOKUP($U$1,A:E,5,))/VLOOKUP($U$1,A:E,5,))*100)+100</f>
        <v/>
      </c>
      <c r="L162" s="76">
        <f>(((Table134567891011121314151617343[[#This Row],[EA19]]-VLOOKUP($U$1,A:F,6,))/VLOOKUP($U$1,A:F,6,))*100)+100</f>
        <v/>
      </c>
      <c r="M162" s="76">
        <f>(((Table134567891011121314151617343[[#This Row],[GBR]]-VLOOKUP($U$1,A:G,7,))/VLOOKUP($U$1,A:G,7,))*100)+100</f>
        <v/>
      </c>
      <c r="N162" s="76">
        <f>IF(VLOOKUP(A162,Database!$A:$AU,MATCH($N$1,Database!$A$1:$AU$1,0),FALSE)=0,#N/A,VLOOKUP(A162,Database!$A:$AU,MATCH($N$1,Database!$A$1:$AU$1,0),FALSE))</f>
        <v/>
      </c>
      <c r="O162" s="76">
        <f>(((Table134567891011121314151617343[[#This Row],[USA]]-VLOOKUP($U$1,A:N,14,))/VLOOKUP($U$1,A:N,14,))*100)+100</f>
        <v/>
      </c>
      <c r="P162" s="76">
        <f>IF(VLOOKUP(A162,Database!$A:$AS,MATCH($P$1,Database!$A$1:$AS$1,0),FALSE)=0,#N/A,VLOOKUP(A162,Database!$A:$AS,MATCH($P$1,Database!$A$1:$AS$1,0),FALSE))</f>
        <v/>
      </c>
      <c r="Q162" s="76">
        <f>(((Table134567891011121314151617343[[#This Row],[JPN]]-VLOOKUP($U$1,A:Q,16,))/VLOOKUP($U$1,A:Q,16,))*100)+100</f>
        <v/>
      </c>
    </row>
    <row r="163" customFormat="1" s="86">
      <c r="A163" s="21" t="n">
        <v>37773</v>
      </c>
      <c r="B163" s="76">
        <f>IF(VLOOKUP(A163,Database!$A:$AS,MATCH($B$1,Database!$A$1:$AS$1,0),FALSE)=0,#N/A,VLOOKUP(A163,Database!$A:$AS,MATCH($B$1,Database!$A$1:$AS$1,0),FALSE))</f>
        <v/>
      </c>
      <c r="C163" s="76">
        <f>IF(VLOOKUP(A163,Database!$A:$AS,MATCH($C$1,Database!$A$1:$AS$1,0),FALSE)=0,#N/A,VLOOKUP(A163,Database!$A:$AS,MATCH($C$1,Database!$A$1:$AS$1,0),FALSE))</f>
        <v/>
      </c>
      <c r="D163" s="76">
        <f>IF(VLOOKUP(A163,Database!$A:$AS,MATCH($D$1,Database!$A$1:$AS$1,0),FALSE)=0,#N/A,VLOOKUP(A163,Database!$A:$AS,MATCH($D$1,Database!$A$1:$AS$1,0),FALSE))</f>
        <v/>
      </c>
      <c r="E163" s="76">
        <f>IF(VLOOKUP(A163,Database!$A:$AS,MATCH($E$1,Database!$A$1:$AS$1,0),FALSE)=0,#N/A,VLOOKUP(A163,Database!$A:$AS,MATCH($E$1,Database!$A$1:$AS$1,0),FALSE))</f>
        <v/>
      </c>
      <c r="F163" s="76">
        <f>IF(VLOOKUP(A163,Database!$A:$AS,MATCH($F$1,Database!$A$1:$AS$1,0),FALSE)=0,#N/A,VLOOKUP(A163,Database!$A:$AS,MATCH($F$1,Database!$A$1:$AS$1,0),FALSE))</f>
        <v/>
      </c>
      <c r="G163" s="76">
        <f>IF(VLOOKUP(A163,Database!$A:$AS,MATCH($G$1,Database!$A$1:$AS$1,0),FALSE)=0,#N/A,VLOOKUP(A163,Database!$A:$AS,MATCH($G$1,Database!$A$1:$AS$1,0),FALSE))</f>
        <v/>
      </c>
      <c r="H163" s="76">
        <f>(((Table134567891011121314151617343[[#This Row],[ITA]]-VLOOKUP($U$1,A:B,2,))/VLOOKUP($U$1,A:B,2,))*100)+100</f>
        <v/>
      </c>
      <c r="I163" s="76">
        <f>(((Table134567891011121314151617343[[#This Row],[FRA]]-VLOOKUP($U$1,A:C,3,))/VLOOKUP($U$1,A:C,3,))*100)+100</f>
        <v/>
      </c>
      <c r="J163" s="76">
        <f>(((Table134567891011121314151617343[[#This Row],[DEU]]-VLOOKUP($U$1,A:D,4,))/VLOOKUP($U$1,A:D,4,))*100)+100</f>
        <v/>
      </c>
      <c r="K163" s="76">
        <f>(((Table134567891011121314151617343[[#This Row],[ESP]]-VLOOKUP($U$1,A:E,5,))/VLOOKUP($U$1,A:E,5,))*100)+100</f>
        <v/>
      </c>
      <c r="L163" s="76">
        <f>(((Table134567891011121314151617343[[#This Row],[EA19]]-VLOOKUP($U$1,A:F,6,))/VLOOKUP($U$1,A:F,6,))*100)+100</f>
        <v/>
      </c>
      <c r="M163" s="76">
        <f>(((Table134567891011121314151617343[[#This Row],[GBR]]-VLOOKUP($U$1,A:G,7,))/VLOOKUP($U$1,A:G,7,))*100)+100</f>
        <v/>
      </c>
      <c r="N163" s="76">
        <f>IF(VLOOKUP(A163,Database!$A:$AU,MATCH($N$1,Database!$A$1:$AU$1,0),FALSE)=0,#N/A,VLOOKUP(A163,Database!$A:$AU,MATCH($N$1,Database!$A$1:$AU$1,0),FALSE))</f>
        <v/>
      </c>
      <c r="O163" s="76">
        <f>(((Table134567891011121314151617343[[#This Row],[USA]]-VLOOKUP($U$1,A:N,14,))/VLOOKUP($U$1,A:N,14,))*100)+100</f>
        <v/>
      </c>
      <c r="P163" s="76">
        <f>IF(VLOOKUP(A163,Database!$A:$AS,MATCH($P$1,Database!$A$1:$AS$1,0),FALSE)=0,#N/A,VLOOKUP(A163,Database!$A:$AS,MATCH($P$1,Database!$A$1:$AS$1,0),FALSE))</f>
        <v/>
      </c>
      <c r="Q163" s="76">
        <f>(((Table134567891011121314151617343[[#This Row],[JPN]]-VLOOKUP($U$1,A:Q,16,))/VLOOKUP($U$1,A:Q,16,))*100)+100</f>
        <v/>
      </c>
    </row>
    <row r="164" customFormat="1" s="86">
      <c r="A164" s="21" t="n">
        <v>37803</v>
      </c>
      <c r="B164" s="76">
        <f>IF(VLOOKUP(A164,Database!$A:$AS,MATCH($B$1,Database!$A$1:$AS$1,0),FALSE)=0,#N/A,VLOOKUP(A164,Database!$A:$AS,MATCH($B$1,Database!$A$1:$AS$1,0),FALSE))</f>
        <v/>
      </c>
      <c r="C164" s="76">
        <f>IF(VLOOKUP(A164,Database!$A:$AS,MATCH($C$1,Database!$A$1:$AS$1,0),FALSE)=0,#N/A,VLOOKUP(A164,Database!$A:$AS,MATCH($C$1,Database!$A$1:$AS$1,0),FALSE))</f>
        <v/>
      </c>
      <c r="D164" s="76">
        <f>IF(VLOOKUP(A164,Database!$A:$AS,MATCH($D$1,Database!$A$1:$AS$1,0),FALSE)=0,#N/A,VLOOKUP(A164,Database!$A:$AS,MATCH($D$1,Database!$A$1:$AS$1,0),FALSE))</f>
        <v/>
      </c>
      <c r="E164" s="76">
        <f>IF(VLOOKUP(A164,Database!$A:$AS,MATCH($E$1,Database!$A$1:$AS$1,0),FALSE)=0,#N/A,VLOOKUP(A164,Database!$A:$AS,MATCH($E$1,Database!$A$1:$AS$1,0),FALSE))</f>
        <v/>
      </c>
      <c r="F164" s="76">
        <f>IF(VLOOKUP(A164,Database!$A:$AS,MATCH($F$1,Database!$A$1:$AS$1,0),FALSE)=0,#N/A,VLOOKUP(A164,Database!$A:$AS,MATCH($F$1,Database!$A$1:$AS$1,0),FALSE))</f>
        <v/>
      </c>
      <c r="G164" s="76">
        <f>IF(VLOOKUP(A164,Database!$A:$AS,MATCH($G$1,Database!$A$1:$AS$1,0),FALSE)=0,#N/A,VLOOKUP(A164,Database!$A:$AS,MATCH($G$1,Database!$A$1:$AS$1,0),FALSE))</f>
        <v/>
      </c>
      <c r="H164" s="76">
        <f>(((Table134567891011121314151617343[[#This Row],[ITA]]-VLOOKUP($U$1,A:B,2,))/VLOOKUP($U$1,A:B,2,))*100)+100</f>
        <v/>
      </c>
      <c r="I164" s="76">
        <f>(((Table134567891011121314151617343[[#This Row],[FRA]]-VLOOKUP($U$1,A:C,3,))/VLOOKUP($U$1,A:C,3,))*100)+100</f>
        <v/>
      </c>
      <c r="J164" s="76">
        <f>(((Table134567891011121314151617343[[#This Row],[DEU]]-VLOOKUP($U$1,A:D,4,))/VLOOKUP($U$1,A:D,4,))*100)+100</f>
        <v/>
      </c>
      <c r="K164" s="76">
        <f>(((Table134567891011121314151617343[[#This Row],[ESP]]-VLOOKUP($U$1,A:E,5,))/VLOOKUP($U$1,A:E,5,))*100)+100</f>
        <v/>
      </c>
      <c r="L164" s="76">
        <f>(((Table134567891011121314151617343[[#This Row],[EA19]]-VLOOKUP($U$1,A:F,6,))/VLOOKUP($U$1,A:F,6,))*100)+100</f>
        <v/>
      </c>
      <c r="M164" s="76">
        <f>(((Table134567891011121314151617343[[#This Row],[GBR]]-VLOOKUP($U$1,A:G,7,))/VLOOKUP($U$1,A:G,7,))*100)+100</f>
        <v/>
      </c>
      <c r="N164" s="76">
        <f>IF(VLOOKUP(A164,Database!$A:$AU,MATCH($N$1,Database!$A$1:$AU$1,0),FALSE)=0,#N/A,VLOOKUP(A164,Database!$A:$AU,MATCH($N$1,Database!$A$1:$AU$1,0),FALSE))</f>
        <v/>
      </c>
      <c r="O164" s="76">
        <f>(((Table134567891011121314151617343[[#This Row],[USA]]-VLOOKUP($U$1,A:N,14,))/VLOOKUP($U$1,A:N,14,))*100)+100</f>
        <v/>
      </c>
      <c r="P164" s="76">
        <f>IF(VLOOKUP(A164,Database!$A:$AS,MATCH($P$1,Database!$A$1:$AS$1,0),FALSE)=0,#N/A,VLOOKUP(A164,Database!$A:$AS,MATCH($P$1,Database!$A$1:$AS$1,0),FALSE))</f>
        <v/>
      </c>
      <c r="Q164" s="76">
        <f>(((Table134567891011121314151617343[[#This Row],[JPN]]-VLOOKUP($U$1,A:Q,16,))/VLOOKUP($U$1,A:Q,16,))*100)+100</f>
        <v/>
      </c>
    </row>
    <row r="165" customFormat="1" s="86">
      <c r="A165" s="21" t="n">
        <v>37834</v>
      </c>
      <c r="B165" s="76">
        <f>IF(VLOOKUP(A165,Database!$A:$AS,MATCH($B$1,Database!$A$1:$AS$1,0),FALSE)=0,#N/A,VLOOKUP(A165,Database!$A:$AS,MATCH($B$1,Database!$A$1:$AS$1,0),FALSE))</f>
        <v/>
      </c>
      <c r="C165" s="76">
        <f>IF(VLOOKUP(A165,Database!$A:$AS,MATCH($C$1,Database!$A$1:$AS$1,0),FALSE)=0,#N/A,VLOOKUP(A165,Database!$A:$AS,MATCH($C$1,Database!$A$1:$AS$1,0),FALSE))</f>
        <v/>
      </c>
      <c r="D165" s="76">
        <f>IF(VLOOKUP(A165,Database!$A:$AS,MATCH($D$1,Database!$A$1:$AS$1,0),FALSE)=0,#N/A,VLOOKUP(A165,Database!$A:$AS,MATCH($D$1,Database!$A$1:$AS$1,0),FALSE))</f>
        <v/>
      </c>
      <c r="E165" s="76">
        <f>IF(VLOOKUP(A165,Database!$A:$AS,MATCH($E$1,Database!$A$1:$AS$1,0),FALSE)=0,#N/A,VLOOKUP(A165,Database!$A:$AS,MATCH($E$1,Database!$A$1:$AS$1,0),FALSE))</f>
        <v/>
      </c>
      <c r="F165" s="76">
        <f>IF(VLOOKUP(A165,Database!$A:$AS,MATCH($F$1,Database!$A$1:$AS$1,0),FALSE)=0,#N/A,VLOOKUP(A165,Database!$A:$AS,MATCH($F$1,Database!$A$1:$AS$1,0),FALSE))</f>
        <v/>
      </c>
      <c r="G165" s="76">
        <f>IF(VLOOKUP(A165,Database!$A:$AS,MATCH($G$1,Database!$A$1:$AS$1,0),FALSE)=0,#N/A,VLOOKUP(A165,Database!$A:$AS,MATCH($G$1,Database!$A$1:$AS$1,0),FALSE))</f>
        <v/>
      </c>
      <c r="H165" s="76">
        <f>(((Table134567891011121314151617343[[#This Row],[ITA]]-VLOOKUP($U$1,A:B,2,))/VLOOKUP($U$1,A:B,2,))*100)+100</f>
        <v/>
      </c>
      <c r="I165" s="76">
        <f>(((Table134567891011121314151617343[[#This Row],[FRA]]-VLOOKUP($U$1,A:C,3,))/VLOOKUP($U$1,A:C,3,))*100)+100</f>
        <v/>
      </c>
      <c r="J165" s="76">
        <f>(((Table134567891011121314151617343[[#This Row],[DEU]]-VLOOKUP($U$1,A:D,4,))/VLOOKUP($U$1,A:D,4,))*100)+100</f>
        <v/>
      </c>
      <c r="K165" s="76">
        <f>(((Table134567891011121314151617343[[#This Row],[ESP]]-VLOOKUP($U$1,A:E,5,))/VLOOKUP($U$1,A:E,5,))*100)+100</f>
        <v/>
      </c>
      <c r="L165" s="76">
        <f>(((Table134567891011121314151617343[[#This Row],[EA19]]-VLOOKUP($U$1,A:F,6,))/VLOOKUP($U$1,A:F,6,))*100)+100</f>
        <v/>
      </c>
      <c r="M165" s="76">
        <f>(((Table134567891011121314151617343[[#This Row],[GBR]]-VLOOKUP($U$1,A:G,7,))/VLOOKUP($U$1,A:G,7,))*100)+100</f>
        <v/>
      </c>
      <c r="N165" s="76">
        <f>IF(VLOOKUP(A165,Database!$A:$AU,MATCH($N$1,Database!$A$1:$AU$1,0),FALSE)=0,#N/A,VLOOKUP(A165,Database!$A:$AU,MATCH($N$1,Database!$A$1:$AU$1,0),FALSE))</f>
        <v/>
      </c>
      <c r="O165" s="76">
        <f>(((Table134567891011121314151617343[[#This Row],[USA]]-VLOOKUP($U$1,A:N,14,))/VLOOKUP($U$1,A:N,14,))*100)+100</f>
        <v/>
      </c>
      <c r="P165" s="76">
        <f>IF(VLOOKUP(A165,Database!$A:$AS,MATCH($P$1,Database!$A$1:$AS$1,0),FALSE)=0,#N/A,VLOOKUP(A165,Database!$A:$AS,MATCH($P$1,Database!$A$1:$AS$1,0),FALSE))</f>
        <v/>
      </c>
      <c r="Q165" s="76">
        <f>(((Table134567891011121314151617343[[#This Row],[JPN]]-VLOOKUP($U$1,A:Q,16,))/VLOOKUP($U$1,A:Q,16,))*100)+100</f>
        <v/>
      </c>
    </row>
    <row r="166" customFormat="1" s="86">
      <c r="A166" s="21" t="n">
        <v>37865</v>
      </c>
      <c r="B166" s="76">
        <f>IF(VLOOKUP(A166,Database!$A:$AS,MATCH($B$1,Database!$A$1:$AS$1,0),FALSE)=0,#N/A,VLOOKUP(A166,Database!$A:$AS,MATCH($B$1,Database!$A$1:$AS$1,0),FALSE))</f>
        <v/>
      </c>
      <c r="C166" s="76">
        <f>IF(VLOOKUP(A166,Database!$A:$AS,MATCH($C$1,Database!$A$1:$AS$1,0),FALSE)=0,#N/A,VLOOKUP(A166,Database!$A:$AS,MATCH($C$1,Database!$A$1:$AS$1,0),FALSE))</f>
        <v/>
      </c>
      <c r="D166" s="76">
        <f>IF(VLOOKUP(A166,Database!$A:$AS,MATCH($D$1,Database!$A$1:$AS$1,0),FALSE)=0,#N/A,VLOOKUP(A166,Database!$A:$AS,MATCH($D$1,Database!$A$1:$AS$1,0),FALSE))</f>
        <v/>
      </c>
      <c r="E166" s="76">
        <f>IF(VLOOKUP(A166,Database!$A:$AS,MATCH($E$1,Database!$A$1:$AS$1,0),FALSE)=0,#N/A,VLOOKUP(A166,Database!$A:$AS,MATCH($E$1,Database!$A$1:$AS$1,0),FALSE))</f>
        <v/>
      </c>
      <c r="F166" s="76">
        <f>IF(VLOOKUP(A166,Database!$A:$AS,MATCH($F$1,Database!$A$1:$AS$1,0),FALSE)=0,#N/A,VLOOKUP(A166,Database!$A:$AS,MATCH($F$1,Database!$A$1:$AS$1,0),FALSE))</f>
        <v/>
      </c>
      <c r="G166" s="76">
        <f>IF(VLOOKUP(A166,Database!$A:$AS,MATCH($G$1,Database!$A$1:$AS$1,0),FALSE)=0,#N/A,VLOOKUP(A166,Database!$A:$AS,MATCH($G$1,Database!$A$1:$AS$1,0),FALSE))</f>
        <v/>
      </c>
      <c r="H166" s="76">
        <f>(((Table134567891011121314151617343[[#This Row],[ITA]]-VLOOKUP($U$1,A:B,2,))/VLOOKUP($U$1,A:B,2,))*100)+100</f>
        <v/>
      </c>
      <c r="I166" s="76">
        <f>(((Table134567891011121314151617343[[#This Row],[FRA]]-VLOOKUP($U$1,A:C,3,))/VLOOKUP($U$1,A:C,3,))*100)+100</f>
        <v/>
      </c>
      <c r="J166" s="76">
        <f>(((Table134567891011121314151617343[[#This Row],[DEU]]-VLOOKUP($U$1,A:D,4,))/VLOOKUP($U$1,A:D,4,))*100)+100</f>
        <v/>
      </c>
      <c r="K166" s="76">
        <f>(((Table134567891011121314151617343[[#This Row],[ESP]]-VLOOKUP($U$1,A:E,5,))/VLOOKUP($U$1,A:E,5,))*100)+100</f>
        <v/>
      </c>
      <c r="L166" s="76">
        <f>(((Table134567891011121314151617343[[#This Row],[EA19]]-VLOOKUP($U$1,A:F,6,))/VLOOKUP($U$1,A:F,6,))*100)+100</f>
        <v/>
      </c>
      <c r="M166" s="76">
        <f>(((Table134567891011121314151617343[[#This Row],[GBR]]-VLOOKUP($U$1,A:G,7,))/VLOOKUP($U$1,A:G,7,))*100)+100</f>
        <v/>
      </c>
      <c r="N166" s="76">
        <f>IF(VLOOKUP(A166,Database!$A:$AU,MATCH($N$1,Database!$A$1:$AU$1,0),FALSE)=0,#N/A,VLOOKUP(A166,Database!$A:$AU,MATCH($N$1,Database!$A$1:$AU$1,0),FALSE))</f>
        <v/>
      </c>
      <c r="O166" s="76">
        <f>(((Table134567891011121314151617343[[#This Row],[USA]]-VLOOKUP($U$1,A:N,14,))/VLOOKUP($U$1,A:N,14,))*100)+100</f>
        <v/>
      </c>
      <c r="P166" s="76">
        <f>IF(VLOOKUP(A166,Database!$A:$AS,MATCH($P$1,Database!$A$1:$AS$1,0),FALSE)=0,#N/A,VLOOKUP(A166,Database!$A:$AS,MATCH($P$1,Database!$A$1:$AS$1,0),FALSE))</f>
        <v/>
      </c>
      <c r="Q166" s="76">
        <f>(((Table134567891011121314151617343[[#This Row],[JPN]]-VLOOKUP($U$1,A:Q,16,))/VLOOKUP($U$1,A:Q,16,))*100)+100</f>
        <v/>
      </c>
    </row>
    <row r="167" customFormat="1" s="86">
      <c r="A167" s="21" t="n">
        <v>37895</v>
      </c>
      <c r="B167" s="76">
        <f>IF(VLOOKUP(A167,Database!$A:$AS,MATCH($B$1,Database!$A$1:$AS$1,0),FALSE)=0,#N/A,VLOOKUP(A167,Database!$A:$AS,MATCH($B$1,Database!$A$1:$AS$1,0),FALSE))</f>
        <v/>
      </c>
      <c r="C167" s="76">
        <f>IF(VLOOKUP(A167,Database!$A:$AS,MATCH($C$1,Database!$A$1:$AS$1,0),FALSE)=0,#N/A,VLOOKUP(A167,Database!$A:$AS,MATCH($C$1,Database!$A$1:$AS$1,0),FALSE))</f>
        <v/>
      </c>
      <c r="D167" s="76">
        <f>IF(VLOOKUP(A167,Database!$A:$AS,MATCH($D$1,Database!$A$1:$AS$1,0),FALSE)=0,#N/A,VLOOKUP(A167,Database!$A:$AS,MATCH($D$1,Database!$A$1:$AS$1,0),FALSE))</f>
        <v/>
      </c>
      <c r="E167" s="76">
        <f>IF(VLOOKUP(A167,Database!$A:$AS,MATCH($E$1,Database!$A$1:$AS$1,0),FALSE)=0,#N/A,VLOOKUP(A167,Database!$A:$AS,MATCH($E$1,Database!$A$1:$AS$1,0),FALSE))</f>
        <v/>
      </c>
      <c r="F167" s="76">
        <f>IF(VLOOKUP(A167,Database!$A:$AS,MATCH($F$1,Database!$A$1:$AS$1,0),FALSE)=0,#N/A,VLOOKUP(A167,Database!$A:$AS,MATCH($F$1,Database!$A$1:$AS$1,0),FALSE))</f>
        <v/>
      </c>
      <c r="G167" s="76">
        <f>IF(VLOOKUP(A167,Database!$A:$AS,MATCH($G$1,Database!$A$1:$AS$1,0),FALSE)=0,#N/A,VLOOKUP(A167,Database!$A:$AS,MATCH($G$1,Database!$A$1:$AS$1,0),FALSE))</f>
        <v/>
      </c>
      <c r="H167" s="76">
        <f>(((Table134567891011121314151617343[[#This Row],[ITA]]-VLOOKUP($U$1,A:B,2,))/VLOOKUP($U$1,A:B,2,))*100)+100</f>
        <v/>
      </c>
      <c r="I167" s="76">
        <f>(((Table134567891011121314151617343[[#This Row],[FRA]]-VLOOKUP($U$1,A:C,3,))/VLOOKUP($U$1,A:C,3,))*100)+100</f>
        <v/>
      </c>
      <c r="J167" s="76">
        <f>(((Table134567891011121314151617343[[#This Row],[DEU]]-VLOOKUP($U$1,A:D,4,))/VLOOKUP($U$1,A:D,4,))*100)+100</f>
        <v/>
      </c>
      <c r="K167" s="76">
        <f>(((Table134567891011121314151617343[[#This Row],[ESP]]-VLOOKUP($U$1,A:E,5,))/VLOOKUP($U$1,A:E,5,))*100)+100</f>
        <v/>
      </c>
      <c r="L167" s="76">
        <f>(((Table134567891011121314151617343[[#This Row],[EA19]]-VLOOKUP($U$1,A:F,6,))/VLOOKUP($U$1,A:F,6,))*100)+100</f>
        <v/>
      </c>
      <c r="M167" s="76">
        <f>(((Table134567891011121314151617343[[#This Row],[GBR]]-VLOOKUP($U$1,A:G,7,))/VLOOKUP($U$1,A:G,7,))*100)+100</f>
        <v/>
      </c>
      <c r="N167" s="76">
        <f>IF(VLOOKUP(A167,Database!$A:$AU,MATCH($N$1,Database!$A$1:$AU$1,0),FALSE)=0,#N/A,VLOOKUP(A167,Database!$A:$AU,MATCH($N$1,Database!$A$1:$AU$1,0),FALSE))</f>
        <v/>
      </c>
      <c r="O167" s="76">
        <f>(((Table134567891011121314151617343[[#This Row],[USA]]-VLOOKUP($U$1,A:N,14,))/VLOOKUP($U$1,A:N,14,))*100)+100</f>
        <v/>
      </c>
      <c r="P167" s="76">
        <f>IF(VLOOKUP(A167,Database!$A:$AS,MATCH($P$1,Database!$A$1:$AS$1,0),FALSE)=0,#N/A,VLOOKUP(A167,Database!$A:$AS,MATCH($P$1,Database!$A$1:$AS$1,0),FALSE))</f>
        <v/>
      </c>
      <c r="Q167" s="76">
        <f>(((Table134567891011121314151617343[[#This Row],[JPN]]-VLOOKUP($U$1,A:Q,16,))/VLOOKUP($U$1,A:Q,16,))*100)+100</f>
        <v/>
      </c>
    </row>
    <row r="168" customFormat="1" s="86">
      <c r="A168" s="21" t="n">
        <v>37926</v>
      </c>
      <c r="B168" s="76">
        <f>IF(VLOOKUP(A168,Database!$A:$AS,MATCH($B$1,Database!$A$1:$AS$1,0),FALSE)=0,#N/A,VLOOKUP(A168,Database!$A:$AS,MATCH($B$1,Database!$A$1:$AS$1,0),FALSE))</f>
        <v/>
      </c>
      <c r="C168" s="76">
        <f>IF(VLOOKUP(A168,Database!$A:$AS,MATCH($C$1,Database!$A$1:$AS$1,0),FALSE)=0,#N/A,VLOOKUP(A168,Database!$A:$AS,MATCH($C$1,Database!$A$1:$AS$1,0),FALSE))</f>
        <v/>
      </c>
      <c r="D168" s="76">
        <f>IF(VLOOKUP(A168,Database!$A:$AS,MATCH($D$1,Database!$A$1:$AS$1,0),FALSE)=0,#N/A,VLOOKUP(A168,Database!$A:$AS,MATCH($D$1,Database!$A$1:$AS$1,0),FALSE))</f>
        <v/>
      </c>
      <c r="E168" s="76">
        <f>IF(VLOOKUP(A168,Database!$A:$AS,MATCH($E$1,Database!$A$1:$AS$1,0),FALSE)=0,#N/A,VLOOKUP(A168,Database!$A:$AS,MATCH($E$1,Database!$A$1:$AS$1,0),FALSE))</f>
        <v/>
      </c>
      <c r="F168" s="76">
        <f>IF(VLOOKUP(A168,Database!$A:$AS,MATCH($F$1,Database!$A$1:$AS$1,0),FALSE)=0,#N/A,VLOOKUP(A168,Database!$A:$AS,MATCH($F$1,Database!$A$1:$AS$1,0),FALSE))</f>
        <v/>
      </c>
      <c r="G168" s="76">
        <f>IF(VLOOKUP(A168,Database!$A:$AS,MATCH($G$1,Database!$A$1:$AS$1,0),FALSE)=0,#N/A,VLOOKUP(A168,Database!$A:$AS,MATCH($G$1,Database!$A$1:$AS$1,0),FALSE))</f>
        <v/>
      </c>
      <c r="H168" s="76">
        <f>(((Table134567891011121314151617343[[#This Row],[ITA]]-VLOOKUP($U$1,A:B,2,))/VLOOKUP($U$1,A:B,2,))*100)+100</f>
        <v/>
      </c>
      <c r="I168" s="76">
        <f>(((Table134567891011121314151617343[[#This Row],[FRA]]-VLOOKUP($U$1,A:C,3,))/VLOOKUP($U$1,A:C,3,))*100)+100</f>
        <v/>
      </c>
      <c r="J168" s="76">
        <f>(((Table134567891011121314151617343[[#This Row],[DEU]]-VLOOKUP($U$1,A:D,4,))/VLOOKUP($U$1,A:D,4,))*100)+100</f>
        <v/>
      </c>
      <c r="K168" s="76">
        <f>(((Table134567891011121314151617343[[#This Row],[ESP]]-VLOOKUP($U$1,A:E,5,))/VLOOKUP($U$1,A:E,5,))*100)+100</f>
        <v/>
      </c>
      <c r="L168" s="76">
        <f>(((Table134567891011121314151617343[[#This Row],[EA19]]-VLOOKUP($U$1,A:F,6,))/VLOOKUP($U$1,A:F,6,))*100)+100</f>
        <v/>
      </c>
      <c r="M168" s="76">
        <f>(((Table134567891011121314151617343[[#This Row],[GBR]]-VLOOKUP($U$1,A:G,7,))/VLOOKUP($U$1,A:G,7,))*100)+100</f>
        <v/>
      </c>
      <c r="N168" s="76">
        <f>IF(VLOOKUP(A168,Database!$A:$AU,MATCH($N$1,Database!$A$1:$AU$1,0),FALSE)=0,#N/A,VLOOKUP(A168,Database!$A:$AU,MATCH($N$1,Database!$A$1:$AU$1,0),FALSE))</f>
        <v/>
      </c>
      <c r="O168" s="76">
        <f>(((Table134567891011121314151617343[[#This Row],[USA]]-VLOOKUP($U$1,A:N,14,))/VLOOKUP($U$1,A:N,14,))*100)+100</f>
        <v/>
      </c>
      <c r="P168" s="76">
        <f>IF(VLOOKUP(A168,Database!$A:$AS,MATCH($P$1,Database!$A$1:$AS$1,0),FALSE)=0,#N/A,VLOOKUP(A168,Database!$A:$AS,MATCH($P$1,Database!$A$1:$AS$1,0),FALSE))</f>
        <v/>
      </c>
      <c r="Q168" s="76">
        <f>(((Table134567891011121314151617343[[#This Row],[JPN]]-VLOOKUP($U$1,A:Q,16,))/VLOOKUP($U$1,A:Q,16,))*100)+100</f>
        <v/>
      </c>
    </row>
    <row r="169" customFormat="1" s="86">
      <c r="A169" s="21" t="n">
        <v>37956</v>
      </c>
      <c r="B169" s="76">
        <f>IF(VLOOKUP(A169,Database!$A:$AS,MATCH($B$1,Database!$A$1:$AS$1,0),FALSE)=0,#N/A,VLOOKUP(A169,Database!$A:$AS,MATCH($B$1,Database!$A$1:$AS$1,0),FALSE))</f>
        <v/>
      </c>
      <c r="C169" s="76">
        <f>IF(VLOOKUP(A169,Database!$A:$AS,MATCH($C$1,Database!$A$1:$AS$1,0),FALSE)=0,#N/A,VLOOKUP(A169,Database!$A:$AS,MATCH($C$1,Database!$A$1:$AS$1,0),FALSE))</f>
        <v/>
      </c>
      <c r="D169" s="76">
        <f>IF(VLOOKUP(A169,Database!$A:$AS,MATCH($D$1,Database!$A$1:$AS$1,0),FALSE)=0,#N/A,VLOOKUP(A169,Database!$A:$AS,MATCH($D$1,Database!$A$1:$AS$1,0),FALSE))</f>
        <v/>
      </c>
      <c r="E169" s="76">
        <f>IF(VLOOKUP(A169,Database!$A:$AS,MATCH($E$1,Database!$A$1:$AS$1,0),FALSE)=0,#N/A,VLOOKUP(A169,Database!$A:$AS,MATCH($E$1,Database!$A$1:$AS$1,0),FALSE))</f>
        <v/>
      </c>
      <c r="F169" s="76">
        <f>IF(VLOOKUP(A169,Database!$A:$AS,MATCH($F$1,Database!$A$1:$AS$1,0),FALSE)=0,#N/A,VLOOKUP(A169,Database!$A:$AS,MATCH($F$1,Database!$A$1:$AS$1,0),FALSE))</f>
        <v/>
      </c>
      <c r="G169" s="76">
        <f>IF(VLOOKUP(A169,Database!$A:$AS,MATCH($G$1,Database!$A$1:$AS$1,0),FALSE)=0,#N/A,VLOOKUP(A169,Database!$A:$AS,MATCH($G$1,Database!$A$1:$AS$1,0),FALSE))</f>
        <v/>
      </c>
      <c r="H169" s="76">
        <f>(((Table134567891011121314151617343[[#This Row],[ITA]]-VLOOKUP($U$1,A:B,2,))/VLOOKUP($U$1,A:B,2,))*100)+100</f>
        <v/>
      </c>
      <c r="I169" s="76">
        <f>(((Table134567891011121314151617343[[#This Row],[FRA]]-VLOOKUP($U$1,A:C,3,))/VLOOKUP($U$1,A:C,3,))*100)+100</f>
        <v/>
      </c>
      <c r="J169" s="76">
        <f>(((Table134567891011121314151617343[[#This Row],[DEU]]-VLOOKUP($U$1,A:D,4,))/VLOOKUP($U$1,A:D,4,))*100)+100</f>
        <v/>
      </c>
      <c r="K169" s="76">
        <f>(((Table134567891011121314151617343[[#This Row],[ESP]]-VLOOKUP($U$1,A:E,5,))/VLOOKUP($U$1,A:E,5,))*100)+100</f>
        <v/>
      </c>
      <c r="L169" s="76">
        <f>(((Table134567891011121314151617343[[#This Row],[EA19]]-VLOOKUP($U$1,A:F,6,))/VLOOKUP($U$1,A:F,6,))*100)+100</f>
        <v/>
      </c>
      <c r="M169" s="76">
        <f>(((Table134567891011121314151617343[[#This Row],[GBR]]-VLOOKUP($U$1,A:G,7,))/VLOOKUP($U$1,A:G,7,))*100)+100</f>
        <v/>
      </c>
      <c r="N169" s="76">
        <f>IF(VLOOKUP(A169,Database!$A:$AU,MATCH($N$1,Database!$A$1:$AU$1,0),FALSE)=0,#N/A,VLOOKUP(A169,Database!$A:$AU,MATCH($N$1,Database!$A$1:$AU$1,0),FALSE))</f>
        <v/>
      </c>
      <c r="O169" s="76">
        <f>(((Table134567891011121314151617343[[#This Row],[USA]]-VLOOKUP($U$1,A:N,14,))/VLOOKUP($U$1,A:N,14,))*100)+100</f>
        <v/>
      </c>
      <c r="P169" s="76">
        <f>IF(VLOOKUP(A169,Database!$A:$AS,MATCH($P$1,Database!$A$1:$AS$1,0),FALSE)=0,#N/A,VLOOKUP(A169,Database!$A:$AS,MATCH($P$1,Database!$A$1:$AS$1,0),FALSE))</f>
        <v/>
      </c>
      <c r="Q169" s="76">
        <f>(((Table134567891011121314151617343[[#This Row],[JPN]]-VLOOKUP($U$1,A:Q,16,))/VLOOKUP($U$1,A:Q,16,))*100)+100</f>
        <v/>
      </c>
    </row>
    <row r="170" customFormat="1" s="86">
      <c r="A170" s="21" t="n">
        <v>37987</v>
      </c>
      <c r="B170" s="76">
        <f>IF(VLOOKUP(A170,Database!$A:$AS,MATCH($B$1,Database!$A$1:$AS$1,0),FALSE)=0,#N/A,VLOOKUP(A170,Database!$A:$AS,MATCH($B$1,Database!$A$1:$AS$1,0),FALSE))</f>
        <v/>
      </c>
      <c r="C170" s="76">
        <f>IF(VLOOKUP(A170,Database!$A:$AS,MATCH($C$1,Database!$A$1:$AS$1,0),FALSE)=0,#N/A,VLOOKUP(A170,Database!$A:$AS,MATCH($C$1,Database!$A$1:$AS$1,0),FALSE))</f>
        <v/>
      </c>
      <c r="D170" s="76">
        <f>IF(VLOOKUP(A170,Database!$A:$AS,MATCH($D$1,Database!$A$1:$AS$1,0),FALSE)=0,#N/A,VLOOKUP(A170,Database!$A:$AS,MATCH($D$1,Database!$A$1:$AS$1,0),FALSE))</f>
        <v/>
      </c>
      <c r="E170" s="76">
        <f>IF(VLOOKUP(A170,Database!$A:$AS,MATCH($E$1,Database!$A$1:$AS$1,0),FALSE)=0,#N/A,VLOOKUP(A170,Database!$A:$AS,MATCH($E$1,Database!$A$1:$AS$1,0),FALSE))</f>
        <v/>
      </c>
      <c r="F170" s="76">
        <f>IF(VLOOKUP(A170,Database!$A:$AS,MATCH($F$1,Database!$A$1:$AS$1,0),FALSE)=0,#N/A,VLOOKUP(A170,Database!$A:$AS,MATCH($F$1,Database!$A$1:$AS$1,0),FALSE))</f>
        <v/>
      </c>
      <c r="G170" s="76">
        <f>IF(VLOOKUP(A170,Database!$A:$AS,MATCH($G$1,Database!$A$1:$AS$1,0),FALSE)=0,#N/A,VLOOKUP(A170,Database!$A:$AS,MATCH($G$1,Database!$A$1:$AS$1,0),FALSE))</f>
        <v/>
      </c>
      <c r="H170" s="76">
        <f>(((Table134567891011121314151617343[[#This Row],[ITA]]-VLOOKUP($U$1,A:B,2,))/VLOOKUP($U$1,A:B,2,))*100)+100</f>
        <v/>
      </c>
      <c r="I170" s="76">
        <f>(((Table134567891011121314151617343[[#This Row],[FRA]]-VLOOKUP($U$1,A:C,3,))/VLOOKUP($U$1,A:C,3,))*100)+100</f>
        <v/>
      </c>
      <c r="J170" s="76">
        <f>(((Table134567891011121314151617343[[#This Row],[DEU]]-VLOOKUP($U$1,A:D,4,))/VLOOKUP($U$1,A:D,4,))*100)+100</f>
        <v/>
      </c>
      <c r="K170" s="76">
        <f>(((Table134567891011121314151617343[[#This Row],[ESP]]-VLOOKUP($U$1,A:E,5,))/VLOOKUP($U$1,A:E,5,))*100)+100</f>
        <v/>
      </c>
      <c r="L170" s="76">
        <f>(((Table134567891011121314151617343[[#This Row],[EA19]]-VLOOKUP($U$1,A:F,6,))/VLOOKUP($U$1,A:F,6,))*100)+100</f>
        <v/>
      </c>
      <c r="M170" s="76">
        <f>(((Table134567891011121314151617343[[#This Row],[GBR]]-VLOOKUP($U$1,A:G,7,))/VLOOKUP($U$1,A:G,7,))*100)+100</f>
        <v/>
      </c>
      <c r="N170" s="76">
        <f>IF(VLOOKUP(A170,Database!$A:$AU,MATCH($N$1,Database!$A$1:$AU$1,0),FALSE)=0,#N/A,VLOOKUP(A170,Database!$A:$AU,MATCH($N$1,Database!$A$1:$AU$1,0),FALSE))</f>
        <v/>
      </c>
      <c r="O170" s="76">
        <f>(((Table134567891011121314151617343[[#This Row],[USA]]-VLOOKUP($U$1,A:N,14,))/VLOOKUP($U$1,A:N,14,))*100)+100</f>
        <v/>
      </c>
      <c r="P170" s="76">
        <f>IF(VLOOKUP(A170,Database!$A:$AS,MATCH($P$1,Database!$A$1:$AS$1,0),FALSE)=0,#N/A,VLOOKUP(A170,Database!$A:$AS,MATCH($P$1,Database!$A$1:$AS$1,0),FALSE))</f>
        <v/>
      </c>
      <c r="Q170" s="76">
        <f>(((Table134567891011121314151617343[[#This Row],[JPN]]-VLOOKUP($U$1,A:Q,16,))/VLOOKUP($U$1,A:Q,16,))*100)+100</f>
        <v/>
      </c>
    </row>
    <row r="171" customFormat="1" s="86">
      <c r="A171" s="21" t="n">
        <v>38018</v>
      </c>
      <c r="B171" s="76">
        <f>IF(VLOOKUP(A171,Database!$A:$AS,MATCH($B$1,Database!$A$1:$AS$1,0),FALSE)=0,#N/A,VLOOKUP(A171,Database!$A:$AS,MATCH($B$1,Database!$A$1:$AS$1,0),FALSE))</f>
        <v/>
      </c>
      <c r="C171" s="76">
        <f>IF(VLOOKUP(A171,Database!$A:$AS,MATCH($C$1,Database!$A$1:$AS$1,0),FALSE)=0,#N/A,VLOOKUP(A171,Database!$A:$AS,MATCH($C$1,Database!$A$1:$AS$1,0),FALSE))</f>
        <v/>
      </c>
      <c r="D171" s="76">
        <f>IF(VLOOKUP(A171,Database!$A:$AS,MATCH($D$1,Database!$A$1:$AS$1,0),FALSE)=0,#N/A,VLOOKUP(A171,Database!$A:$AS,MATCH($D$1,Database!$A$1:$AS$1,0),FALSE))</f>
        <v/>
      </c>
      <c r="E171" s="76">
        <f>IF(VLOOKUP(A171,Database!$A:$AS,MATCH($E$1,Database!$A$1:$AS$1,0),FALSE)=0,#N/A,VLOOKUP(A171,Database!$A:$AS,MATCH($E$1,Database!$A$1:$AS$1,0),FALSE))</f>
        <v/>
      </c>
      <c r="F171" s="76">
        <f>IF(VLOOKUP(A171,Database!$A:$AS,MATCH($F$1,Database!$A$1:$AS$1,0),FALSE)=0,#N/A,VLOOKUP(A171,Database!$A:$AS,MATCH($F$1,Database!$A$1:$AS$1,0),FALSE))</f>
        <v/>
      </c>
      <c r="G171" s="76">
        <f>IF(VLOOKUP(A171,Database!$A:$AS,MATCH($G$1,Database!$A$1:$AS$1,0),FALSE)=0,#N/A,VLOOKUP(A171,Database!$A:$AS,MATCH($G$1,Database!$A$1:$AS$1,0),FALSE))</f>
        <v/>
      </c>
      <c r="H171" s="76">
        <f>(((Table134567891011121314151617343[[#This Row],[ITA]]-VLOOKUP($U$1,A:B,2,))/VLOOKUP($U$1,A:B,2,))*100)+100</f>
        <v/>
      </c>
      <c r="I171" s="76">
        <f>(((Table134567891011121314151617343[[#This Row],[FRA]]-VLOOKUP($U$1,A:C,3,))/VLOOKUP($U$1,A:C,3,))*100)+100</f>
        <v/>
      </c>
      <c r="J171" s="76">
        <f>(((Table134567891011121314151617343[[#This Row],[DEU]]-VLOOKUP($U$1,A:D,4,))/VLOOKUP($U$1,A:D,4,))*100)+100</f>
        <v/>
      </c>
      <c r="K171" s="76">
        <f>(((Table134567891011121314151617343[[#This Row],[ESP]]-VLOOKUP($U$1,A:E,5,))/VLOOKUP($U$1,A:E,5,))*100)+100</f>
        <v/>
      </c>
      <c r="L171" s="76">
        <f>(((Table134567891011121314151617343[[#This Row],[EA19]]-VLOOKUP($U$1,A:F,6,))/VLOOKUP($U$1,A:F,6,))*100)+100</f>
        <v/>
      </c>
      <c r="M171" s="76">
        <f>(((Table134567891011121314151617343[[#This Row],[GBR]]-VLOOKUP($U$1,A:G,7,))/VLOOKUP($U$1,A:G,7,))*100)+100</f>
        <v/>
      </c>
      <c r="N171" s="76">
        <f>IF(VLOOKUP(A171,Database!$A:$AU,MATCH($N$1,Database!$A$1:$AU$1,0),FALSE)=0,#N/A,VLOOKUP(A171,Database!$A:$AU,MATCH($N$1,Database!$A$1:$AU$1,0),FALSE))</f>
        <v/>
      </c>
      <c r="O171" s="76">
        <f>(((Table134567891011121314151617343[[#This Row],[USA]]-VLOOKUP($U$1,A:N,14,))/VLOOKUP($U$1,A:N,14,))*100)+100</f>
        <v/>
      </c>
      <c r="P171" s="76">
        <f>IF(VLOOKUP(A171,Database!$A:$AS,MATCH($P$1,Database!$A$1:$AS$1,0),FALSE)=0,#N/A,VLOOKUP(A171,Database!$A:$AS,MATCH($P$1,Database!$A$1:$AS$1,0),FALSE))</f>
        <v/>
      </c>
      <c r="Q171" s="76">
        <f>(((Table134567891011121314151617343[[#This Row],[JPN]]-VLOOKUP($U$1,A:Q,16,))/VLOOKUP($U$1,A:Q,16,))*100)+100</f>
        <v/>
      </c>
    </row>
    <row r="172" customFormat="1" s="86">
      <c r="A172" s="21" t="n">
        <v>38047</v>
      </c>
      <c r="B172" s="76">
        <f>IF(VLOOKUP(A172,Database!$A:$AS,MATCH($B$1,Database!$A$1:$AS$1,0),FALSE)=0,#N/A,VLOOKUP(A172,Database!$A:$AS,MATCH($B$1,Database!$A$1:$AS$1,0),FALSE))</f>
        <v/>
      </c>
      <c r="C172" s="76">
        <f>IF(VLOOKUP(A172,Database!$A:$AS,MATCH($C$1,Database!$A$1:$AS$1,0),FALSE)=0,#N/A,VLOOKUP(A172,Database!$A:$AS,MATCH($C$1,Database!$A$1:$AS$1,0),FALSE))</f>
        <v/>
      </c>
      <c r="D172" s="76">
        <f>IF(VLOOKUP(A172,Database!$A:$AS,MATCH($D$1,Database!$A$1:$AS$1,0),FALSE)=0,#N/A,VLOOKUP(A172,Database!$A:$AS,MATCH($D$1,Database!$A$1:$AS$1,0),FALSE))</f>
        <v/>
      </c>
      <c r="E172" s="76">
        <f>IF(VLOOKUP(A172,Database!$A:$AS,MATCH($E$1,Database!$A$1:$AS$1,0),FALSE)=0,#N/A,VLOOKUP(A172,Database!$A:$AS,MATCH($E$1,Database!$A$1:$AS$1,0),FALSE))</f>
        <v/>
      </c>
      <c r="F172" s="76">
        <f>IF(VLOOKUP(A172,Database!$A:$AS,MATCH($F$1,Database!$A$1:$AS$1,0),FALSE)=0,#N/A,VLOOKUP(A172,Database!$A:$AS,MATCH($F$1,Database!$A$1:$AS$1,0),FALSE))</f>
        <v/>
      </c>
      <c r="G172" s="76">
        <f>IF(VLOOKUP(A172,Database!$A:$AS,MATCH($G$1,Database!$A$1:$AS$1,0),FALSE)=0,#N/A,VLOOKUP(A172,Database!$A:$AS,MATCH($G$1,Database!$A$1:$AS$1,0),FALSE))</f>
        <v/>
      </c>
      <c r="H172" s="76">
        <f>(((Table134567891011121314151617343[[#This Row],[ITA]]-VLOOKUP($U$1,A:B,2,))/VLOOKUP($U$1,A:B,2,))*100)+100</f>
        <v/>
      </c>
      <c r="I172" s="76">
        <f>(((Table134567891011121314151617343[[#This Row],[FRA]]-VLOOKUP($U$1,A:C,3,))/VLOOKUP($U$1,A:C,3,))*100)+100</f>
        <v/>
      </c>
      <c r="J172" s="76">
        <f>(((Table134567891011121314151617343[[#This Row],[DEU]]-VLOOKUP($U$1,A:D,4,))/VLOOKUP($U$1,A:D,4,))*100)+100</f>
        <v/>
      </c>
      <c r="K172" s="76">
        <f>(((Table134567891011121314151617343[[#This Row],[ESP]]-VLOOKUP($U$1,A:E,5,))/VLOOKUP($U$1,A:E,5,))*100)+100</f>
        <v/>
      </c>
      <c r="L172" s="76">
        <f>(((Table134567891011121314151617343[[#This Row],[EA19]]-VLOOKUP($U$1,A:F,6,))/VLOOKUP($U$1,A:F,6,))*100)+100</f>
        <v/>
      </c>
      <c r="M172" s="76">
        <f>(((Table134567891011121314151617343[[#This Row],[GBR]]-VLOOKUP($U$1,A:G,7,))/VLOOKUP($U$1,A:G,7,))*100)+100</f>
        <v/>
      </c>
      <c r="N172" s="76">
        <f>IF(VLOOKUP(A172,Database!$A:$AU,MATCH($N$1,Database!$A$1:$AU$1,0),FALSE)=0,#N/A,VLOOKUP(A172,Database!$A:$AU,MATCH($N$1,Database!$A$1:$AU$1,0),FALSE))</f>
        <v/>
      </c>
      <c r="O172" s="76">
        <f>(((Table134567891011121314151617343[[#This Row],[USA]]-VLOOKUP($U$1,A:N,14,))/VLOOKUP($U$1,A:N,14,))*100)+100</f>
        <v/>
      </c>
      <c r="P172" s="76">
        <f>IF(VLOOKUP(A172,Database!$A:$AS,MATCH($P$1,Database!$A$1:$AS$1,0),FALSE)=0,#N/A,VLOOKUP(A172,Database!$A:$AS,MATCH($P$1,Database!$A$1:$AS$1,0),FALSE))</f>
        <v/>
      </c>
      <c r="Q172" s="76">
        <f>(((Table134567891011121314151617343[[#This Row],[JPN]]-VLOOKUP($U$1,A:Q,16,))/VLOOKUP($U$1,A:Q,16,))*100)+100</f>
        <v/>
      </c>
    </row>
    <row r="173" customFormat="1" s="86">
      <c r="A173" s="21" t="n">
        <v>38078</v>
      </c>
      <c r="B173" s="76">
        <f>IF(VLOOKUP(A173,Database!$A:$AS,MATCH($B$1,Database!$A$1:$AS$1,0),FALSE)=0,#N/A,VLOOKUP(A173,Database!$A:$AS,MATCH($B$1,Database!$A$1:$AS$1,0),FALSE))</f>
        <v/>
      </c>
      <c r="C173" s="76">
        <f>IF(VLOOKUP(A173,Database!$A:$AS,MATCH($C$1,Database!$A$1:$AS$1,0),FALSE)=0,#N/A,VLOOKUP(A173,Database!$A:$AS,MATCH($C$1,Database!$A$1:$AS$1,0),FALSE))</f>
        <v/>
      </c>
      <c r="D173" s="76">
        <f>IF(VLOOKUP(A173,Database!$A:$AS,MATCH($D$1,Database!$A$1:$AS$1,0),FALSE)=0,#N/A,VLOOKUP(A173,Database!$A:$AS,MATCH($D$1,Database!$A$1:$AS$1,0),FALSE))</f>
        <v/>
      </c>
      <c r="E173" s="76">
        <f>IF(VLOOKUP(A173,Database!$A:$AS,MATCH($E$1,Database!$A$1:$AS$1,0),FALSE)=0,#N/A,VLOOKUP(A173,Database!$A:$AS,MATCH($E$1,Database!$A$1:$AS$1,0),FALSE))</f>
        <v/>
      </c>
      <c r="F173" s="76">
        <f>IF(VLOOKUP(A173,Database!$A:$AS,MATCH($F$1,Database!$A$1:$AS$1,0),FALSE)=0,#N/A,VLOOKUP(A173,Database!$A:$AS,MATCH($F$1,Database!$A$1:$AS$1,0),FALSE))</f>
        <v/>
      </c>
      <c r="G173" s="76">
        <f>IF(VLOOKUP(A173,Database!$A:$AS,MATCH($G$1,Database!$A$1:$AS$1,0),FALSE)=0,#N/A,VLOOKUP(A173,Database!$A:$AS,MATCH($G$1,Database!$A$1:$AS$1,0),FALSE))</f>
        <v/>
      </c>
      <c r="H173" s="76">
        <f>(((Table134567891011121314151617343[[#This Row],[ITA]]-VLOOKUP($U$1,A:B,2,))/VLOOKUP($U$1,A:B,2,))*100)+100</f>
        <v/>
      </c>
      <c r="I173" s="76">
        <f>(((Table134567891011121314151617343[[#This Row],[FRA]]-VLOOKUP($U$1,A:C,3,))/VLOOKUP($U$1,A:C,3,))*100)+100</f>
        <v/>
      </c>
      <c r="J173" s="76">
        <f>(((Table134567891011121314151617343[[#This Row],[DEU]]-VLOOKUP($U$1,A:D,4,))/VLOOKUP($U$1,A:D,4,))*100)+100</f>
        <v/>
      </c>
      <c r="K173" s="76">
        <f>(((Table134567891011121314151617343[[#This Row],[ESP]]-VLOOKUP($U$1,A:E,5,))/VLOOKUP($U$1,A:E,5,))*100)+100</f>
        <v/>
      </c>
      <c r="L173" s="76">
        <f>(((Table134567891011121314151617343[[#This Row],[EA19]]-VLOOKUP($U$1,A:F,6,))/VLOOKUP($U$1,A:F,6,))*100)+100</f>
        <v/>
      </c>
      <c r="M173" s="76">
        <f>(((Table134567891011121314151617343[[#This Row],[GBR]]-VLOOKUP($U$1,A:G,7,))/VLOOKUP($U$1,A:G,7,))*100)+100</f>
        <v/>
      </c>
      <c r="N173" s="76">
        <f>IF(VLOOKUP(A173,Database!$A:$AU,MATCH($N$1,Database!$A$1:$AU$1,0),FALSE)=0,#N/A,VLOOKUP(A173,Database!$A:$AU,MATCH($N$1,Database!$A$1:$AU$1,0),FALSE))</f>
        <v/>
      </c>
      <c r="O173" s="76">
        <f>(((Table134567891011121314151617343[[#This Row],[USA]]-VLOOKUP($U$1,A:N,14,))/VLOOKUP($U$1,A:N,14,))*100)+100</f>
        <v/>
      </c>
      <c r="P173" s="76">
        <f>IF(VLOOKUP(A173,Database!$A:$AS,MATCH($P$1,Database!$A$1:$AS$1,0),FALSE)=0,#N/A,VLOOKUP(A173,Database!$A:$AS,MATCH($P$1,Database!$A$1:$AS$1,0),FALSE))</f>
        <v/>
      </c>
      <c r="Q173" s="76">
        <f>(((Table134567891011121314151617343[[#This Row],[JPN]]-VLOOKUP($U$1,A:Q,16,))/VLOOKUP($U$1,A:Q,16,))*100)+100</f>
        <v/>
      </c>
    </row>
    <row r="174" customFormat="1" s="86">
      <c r="A174" s="21" t="n">
        <v>38108</v>
      </c>
      <c r="B174" s="76">
        <f>IF(VLOOKUP(A174,Database!$A:$AS,MATCH($B$1,Database!$A$1:$AS$1,0),FALSE)=0,#N/A,VLOOKUP(A174,Database!$A:$AS,MATCH($B$1,Database!$A$1:$AS$1,0),FALSE))</f>
        <v/>
      </c>
      <c r="C174" s="76">
        <f>IF(VLOOKUP(A174,Database!$A:$AS,MATCH($C$1,Database!$A$1:$AS$1,0),FALSE)=0,#N/A,VLOOKUP(A174,Database!$A:$AS,MATCH($C$1,Database!$A$1:$AS$1,0),FALSE))</f>
        <v/>
      </c>
      <c r="D174" s="76">
        <f>IF(VLOOKUP(A174,Database!$A:$AS,MATCH($D$1,Database!$A$1:$AS$1,0),FALSE)=0,#N/A,VLOOKUP(A174,Database!$A:$AS,MATCH($D$1,Database!$A$1:$AS$1,0),FALSE))</f>
        <v/>
      </c>
      <c r="E174" s="76">
        <f>IF(VLOOKUP(A174,Database!$A:$AS,MATCH($E$1,Database!$A$1:$AS$1,0),FALSE)=0,#N/A,VLOOKUP(A174,Database!$A:$AS,MATCH($E$1,Database!$A$1:$AS$1,0),FALSE))</f>
        <v/>
      </c>
      <c r="F174" s="76">
        <f>IF(VLOOKUP(A174,Database!$A:$AS,MATCH($F$1,Database!$A$1:$AS$1,0),FALSE)=0,#N/A,VLOOKUP(A174,Database!$A:$AS,MATCH($F$1,Database!$A$1:$AS$1,0),FALSE))</f>
        <v/>
      </c>
      <c r="G174" s="76">
        <f>IF(VLOOKUP(A174,Database!$A:$AS,MATCH($G$1,Database!$A$1:$AS$1,0),FALSE)=0,#N/A,VLOOKUP(A174,Database!$A:$AS,MATCH($G$1,Database!$A$1:$AS$1,0),FALSE))</f>
        <v/>
      </c>
      <c r="H174" s="76">
        <f>(((Table134567891011121314151617343[[#This Row],[ITA]]-VLOOKUP($U$1,A:B,2,))/VLOOKUP($U$1,A:B,2,))*100)+100</f>
        <v/>
      </c>
      <c r="I174" s="76">
        <f>(((Table134567891011121314151617343[[#This Row],[FRA]]-VLOOKUP($U$1,A:C,3,))/VLOOKUP($U$1,A:C,3,))*100)+100</f>
        <v/>
      </c>
      <c r="J174" s="76">
        <f>(((Table134567891011121314151617343[[#This Row],[DEU]]-VLOOKUP($U$1,A:D,4,))/VLOOKUP($U$1,A:D,4,))*100)+100</f>
        <v/>
      </c>
      <c r="K174" s="76">
        <f>(((Table134567891011121314151617343[[#This Row],[ESP]]-VLOOKUP($U$1,A:E,5,))/VLOOKUP($U$1,A:E,5,))*100)+100</f>
        <v/>
      </c>
      <c r="L174" s="76">
        <f>(((Table134567891011121314151617343[[#This Row],[EA19]]-VLOOKUP($U$1,A:F,6,))/VLOOKUP($U$1,A:F,6,))*100)+100</f>
        <v/>
      </c>
      <c r="M174" s="76">
        <f>(((Table134567891011121314151617343[[#This Row],[GBR]]-VLOOKUP($U$1,A:G,7,))/VLOOKUP($U$1,A:G,7,))*100)+100</f>
        <v/>
      </c>
      <c r="N174" s="76">
        <f>IF(VLOOKUP(A174,Database!$A:$AU,MATCH($N$1,Database!$A$1:$AU$1,0),FALSE)=0,#N/A,VLOOKUP(A174,Database!$A:$AU,MATCH($N$1,Database!$A$1:$AU$1,0),FALSE))</f>
        <v/>
      </c>
      <c r="O174" s="76">
        <f>(((Table134567891011121314151617343[[#This Row],[USA]]-VLOOKUP($U$1,A:N,14,))/VLOOKUP($U$1,A:N,14,))*100)+100</f>
        <v/>
      </c>
      <c r="P174" s="76">
        <f>IF(VLOOKUP(A174,Database!$A:$AS,MATCH($P$1,Database!$A$1:$AS$1,0),FALSE)=0,#N/A,VLOOKUP(A174,Database!$A:$AS,MATCH($P$1,Database!$A$1:$AS$1,0),FALSE))</f>
        <v/>
      </c>
      <c r="Q174" s="76">
        <f>(((Table134567891011121314151617343[[#This Row],[JPN]]-VLOOKUP($U$1,A:Q,16,))/VLOOKUP($U$1,A:Q,16,))*100)+100</f>
        <v/>
      </c>
    </row>
    <row r="175" customFormat="1" s="86">
      <c r="A175" s="21" t="n">
        <v>38139</v>
      </c>
      <c r="B175" s="76">
        <f>IF(VLOOKUP(A175,Database!$A:$AS,MATCH($B$1,Database!$A$1:$AS$1,0),FALSE)=0,#N/A,VLOOKUP(A175,Database!$A:$AS,MATCH($B$1,Database!$A$1:$AS$1,0),FALSE))</f>
        <v/>
      </c>
      <c r="C175" s="76">
        <f>IF(VLOOKUP(A175,Database!$A:$AS,MATCH($C$1,Database!$A$1:$AS$1,0),FALSE)=0,#N/A,VLOOKUP(A175,Database!$A:$AS,MATCH($C$1,Database!$A$1:$AS$1,0),FALSE))</f>
        <v/>
      </c>
      <c r="D175" s="76">
        <f>IF(VLOOKUP(A175,Database!$A:$AS,MATCH($D$1,Database!$A$1:$AS$1,0),FALSE)=0,#N/A,VLOOKUP(A175,Database!$A:$AS,MATCH($D$1,Database!$A$1:$AS$1,0),FALSE))</f>
        <v/>
      </c>
      <c r="E175" s="76">
        <f>IF(VLOOKUP(A175,Database!$A:$AS,MATCH($E$1,Database!$A$1:$AS$1,0),FALSE)=0,#N/A,VLOOKUP(A175,Database!$A:$AS,MATCH($E$1,Database!$A$1:$AS$1,0),FALSE))</f>
        <v/>
      </c>
      <c r="F175" s="76">
        <f>IF(VLOOKUP(A175,Database!$A:$AS,MATCH($F$1,Database!$A$1:$AS$1,0),FALSE)=0,#N/A,VLOOKUP(A175,Database!$A:$AS,MATCH($F$1,Database!$A$1:$AS$1,0),FALSE))</f>
        <v/>
      </c>
      <c r="G175" s="76">
        <f>IF(VLOOKUP(A175,Database!$A:$AS,MATCH($G$1,Database!$A$1:$AS$1,0),FALSE)=0,#N/A,VLOOKUP(A175,Database!$A:$AS,MATCH($G$1,Database!$A$1:$AS$1,0),FALSE))</f>
        <v/>
      </c>
      <c r="H175" s="76">
        <f>(((Table134567891011121314151617343[[#This Row],[ITA]]-VLOOKUP($U$1,A:B,2,))/VLOOKUP($U$1,A:B,2,))*100)+100</f>
        <v/>
      </c>
      <c r="I175" s="76">
        <f>(((Table134567891011121314151617343[[#This Row],[FRA]]-VLOOKUP($U$1,A:C,3,))/VLOOKUP($U$1,A:C,3,))*100)+100</f>
        <v/>
      </c>
      <c r="J175" s="76">
        <f>(((Table134567891011121314151617343[[#This Row],[DEU]]-VLOOKUP($U$1,A:D,4,))/VLOOKUP($U$1,A:D,4,))*100)+100</f>
        <v/>
      </c>
      <c r="K175" s="76">
        <f>(((Table134567891011121314151617343[[#This Row],[ESP]]-VLOOKUP($U$1,A:E,5,))/VLOOKUP($U$1,A:E,5,))*100)+100</f>
        <v/>
      </c>
      <c r="L175" s="76">
        <f>(((Table134567891011121314151617343[[#This Row],[EA19]]-VLOOKUP($U$1,A:F,6,))/VLOOKUP($U$1,A:F,6,))*100)+100</f>
        <v/>
      </c>
      <c r="M175" s="76">
        <f>(((Table134567891011121314151617343[[#This Row],[GBR]]-VLOOKUP($U$1,A:G,7,))/VLOOKUP($U$1,A:G,7,))*100)+100</f>
        <v/>
      </c>
      <c r="N175" s="76">
        <f>IF(VLOOKUP(A175,Database!$A:$AU,MATCH($N$1,Database!$A$1:$AU$1,0),FALSE)=0,#N/A,VLOOKUP(A175,Database!$A:$AU,MATCH($N$1,Database!$A$1:$AU$1,0),FALSE))</f>
        <v/>
      </c>
      <c r="O175" s="76">
        <f>(((Table134567891011121314151617343[[#This Row],[USA]]-VLOOKUP($U$1,A:N,14,))/VLOOKUP($U$1,A:N,14,))*100)+100</f>
        <v/>
      </c>
      <c r="P175" s="76">
        <f>IF(VLOOKUP(A175,Database!$A:$AS,MATCH($P$1,Database!$A$1:$AS$1,0),FALSE)=0,#N/A,VLOOKUP(A175,Database!$A:$AS,MATCH($P$1,Database!$A$1:$AS$1,0),FALSE))</f>
        <v/>
      </c>
      <c r="Q175" s="76">
        <f>(((Table134567891011121314151617343[[#This Row],[JPN]]-VLOOKUP($U$1,A:Q,16,))/VLOOKUP($U$1,A:Q,16,))*100)+100</f>
        <v/>
      </c>
    </row>
    <row r="176" customFormat="1" s="86">
      <c r="A176" s="21" t="n">
        <v>38169</v>
      </c>
      <c r="B176" s="76">
        <f>IF(VLOOKUP(A176,Database!$A:$AS,MATCH($B$1,Database!$A$1:$AS$1,0),FALSE)=0,#N/A,VLOOKUP(A176,Database!$A:$AS,MATCH($B$1,Database!$A$1:$AS$1,0),FALSE))</f>
        <v/>
      </c>
      <c r="C176" s="76">
        <f>IF(VLOOKUP(A176,Database!$A:$AS,MATCH($C$1,Database!$A$1:$AS$1,0),FALSE)=0,#N/A,VLOOKUP(A176,Database!$A:$AS,MATCH($C$1,Database!$A$1:$AS$1,0),FALSE))</f>
        <v/>
      </c>
      <c r="D176" s="76">
        <f>IF(VLOOKUP(A176,Database!$A:$AS,MATCH($D$1,Database!$A$1:$AS$1,0),FALSE)=0,#N/A,VLOOKUP(A176,Database!$A:$AS,MATCH($D$1,Database!$A$1:$AS$1,0),FALSE))</f>
        <v/>
      </c>
      <c r="E176" s="76">
        <f>IF(VLOOKUP(A176,Database!$A:$AS,MATCH($E$1,Database!$A$1:$AS$1,0),FALSE)=0,#N/A,VLOOKUP(A176,Database!$A:$AS,MATCH($E$1,Database!$A$1:$AS$1,0),FALSE))</f>
        <v/>
      </c>
      <c r="F176" s="76">
        <f>IF(VLOOKUP(A176,Database!$A:$AS,MATCH($F$1,Database!$A$1:$AS$1,0),FALSE)=0,#N/A,VLOOKUP(A176,Database!$A:$AS,MATCH($F$1,Database!$A$1:$AS$1,0),FALSE))</f>
        <v/>
      </c>
      <c r="G176" s="76">
        <f>IF(VLOOKUP(A176,Database!$A:$AS,MATCH($G$1,Database!$A$1:$AS$1,0),FALSE)=0,#N/A,VLOOKUP(A176,Database!$A:$AS,MATCH($G$1,Database!$A$1:$AS$1,0),FALSE))</f>
        <v/>
      </c>
      <c r="H176" s="76">
        <f>(((Table134567891011121314151617343[[#This Row],[ITA]]-VLOOKUP($U$1,A:B,2,))/VLOOKUP($U$1,A:B,2,))*100)+100</f>
        <v/>
      </c>
      <c r="I176" s="76">
        <f>(((Table134567891011121314151617343[[#This Row],[FRA]]-VLOOKUP($U$1,A:C,3,))/VLOOKUP($U$1,A:C,3,))*100)+100</f>
        <v/>
      </c>
      <c r="J176" s="76">
        <f>(((Table134567891011121314151617343[[#This Row],[DEU]]-VLOOKUP($U$1,A:D,4,))/VLOOKUP($U$1,A:D,4,))*100)+100</f>
        <v/>
      </c>
      <c r="K176" s="76">
        <f>(((Table134567891011121314151617343[[#This Row],[ESP]]-VLOOKUP($U$1,A:E,5,))/VLOOKUP($U$1,A:E,5,))*100)+100</f>
        <v/>
      </c>
      <c r="L176" s="76">
        <f>(((Table134567891011121314151617343[[#This Row],[EA19]]-VLOOKUP($U$1,A:F,6,))/VLOOKUP($U$1,A:F,6,))*100)+100</f>
        <v/>
      </c>
      <c r="M176" s="76">
        <f>(((Table134567891011121314151617343[[#This Row],[GBR]]-VLOOKUP($U$1,A:G,7,))/VLOOKUP($U$1,A:G,7,))*100)+100</f>
        <v/>
      </c>
      <c r="N176" s="76">
        <f>IF(VLOOKUP(A176,Database!$A:$AU,MATCH($N$1,Database!$A$1:$AU$1,0),FALSE)=0,#N/A,VLOOKUP(A176,Database!$A:$AU,MATCH($N$1,Database!$A$1:$AU$1,0),FALSE))</f>
        <v/>
      </c>
      <c r="O176" s="76">
        <f>(((Table134567891011121314151617343[[#This Row],[USA]]-VLOOKUP($U$1,A:N,14,))/VLOOKUP($U$1,A:N,14,))*100)+100</f>
        <v/>
      </c>
      <c r="P176" s="76">
        <f>IF(VLOOKUP(A176,Database!$A:$AS,MATCH($P$1,Database!$A$1:$AS$1,0),FALSE)=0,#N/A,VLOOKUP(A176,Database!$A:$AS,MATCH($P$1,Database!$A$1:$AS$1,0),FALSE))</f>
        <v/>
      </c>
      <c r="Q176" s="76">
        <f>(((Table134567891011121314151617343[[#This Row],[JPN]]-VLOOKUP($U$1,A:Q,16,))/VLOOKUP($U$1,A:Q,16,))*100)+100</f>
        <v/>
      </c>
    </row>
    <row r="177" customFormat="1" s="86">
      <c r="A177" s="21" t="n">
        <v>38200</v>
      </c>
      <c r="B177" s="76">
        <f>IF(VLOOKUP(A177,Database!$A:$AS,MATCH($B$1,Database!$A$1:$AS$1,0),FALSE)=0,#N/A,VLOOKUP(A177,Database!$A:$AS,MATCH($B$1,Database!$A$1:$AS$1,0),FALSE))</f>
        <v/>
      </c>
      <c r="C177" s="76">
        <f>IF(VLOOKUP(A177,Database!$A:$AS,MATCH($C$1,Database!$A$1:$AS$1,0),FALSE)=0,#N/A,VLOOKUP(A177,Database!$A:$AS,MATCH($C$1,Database!$A$1:$AS$1,0),FALSE))</f>
        <v/>
      </c>
      <c r="D177" s="76">
        <f>IF(VLOOKUP(A177,Database!$A:$AS,MATCH($D$1,Database!$A$1:$AS$1,0),FALSE)=0,#N/A,VLOOKUP(A177,Database!$A:$AS,MATCH($D$1,Database!$A$1:$AS$1,0),FALSE))</f>
        <v/>
      </c>
      <c r="E177" s="76">
        <f>IF(VLOOKUP(A177,Database!$A:$AS,MATCH($E$1,Database!$A$1:$AS$1,0),FALSE)=0,#N/A,VLOOKUP(A177,Database!$A:$AS,MATCH($E$1,Database!$A$1:$AS$1,0),FALSE))</f>
        <v/>
      </c>
      <c r="F177" s="76">
        <f>IF(VLOOKUP(A177,Database!$A:$AS,MATCH($F$1,Database!$A$1:$AS$1,0),FALSE)=0,#N/A,VLOOKUP(A177,Database!$A:$AS,MATCH($F$1,Database!$A$1:$AS$1,0),FALSE))</f>
        <v/>
      </c>
      <c r="G177" s="76">
        <f>IF(VLOOKUP(A177,Database!$A:$AS,MATCH($G$1,Database!$A$1:$AS$1,0),FALSE)=0,#N/A,VLOOKUP(A177,Database!$A:$AS,MATCH($G$1,Database!$A$1:$AS$1,0),FALSE))</f>
        <v/>
      </c>
      <c r="H177" s="76">
        <f>(((Table134567891011121314151617343[[#This Row],[ITA]]-VLOOKUP($U$1,A:B,2,))/VLOOKUP($U$1,A:B,2,))*100)+100</f>
        <v/>
      </c>
      <c r="I177" s="76">
        <f>(((Table134567891011121314151617343[[#This Row],[FRA]]-VLOOKUP($U$1,A:C,3,))/VLOOKUP($U$1,A:C,3,))*100)+100</f>
        <v/>
      </c>
      <c r="J177" s="76">
        <f>(((Table134567891011121314151617343[[#This Row],[DEU]]-VLOOKUP($U$1,A:D,4,))/VLOOKUP($U$1,A:D,4,))*100)+100</f>
        <v/>
      </c>
      <c r="K177" s="76">
        <f>(((Table134567891011121314151617343[[#This Row],[ESP]]-VLOOKUP($U$1,A:E,5,))/VLOOKUP($U$1,A:E,5,))*100)+100</f>
        <v/>
      </c>
      <c r="L177" s="76">
        <f>(((Table134567891011121314151617343[[#This Row],[EA19]]-VLOOKUP($U$1,A:F,6,))/VLOOKUP($U$1,A:F,6,))*100)+100</f>
        <v/>
      </c>
      <c r="M177" s="76">
        <f>(((Table134567891011121314151617343[[#This Row],[GBR]]-VLOOKUP($U$1,A:G,7,))/VLOOKUP($U$1,A:G,7,))*100)+100</f>
        <v/>
      </c>
      <c r="N177" s="76">
        <f>IF(VLOOKUP(A177,Database!$A:$AU,MATCH($N$1,Database!$A$1:$AU$1,0),FALSE)=0,#N/A,VLOOKUP(A177,Database!$A:$AU,MATCH($N$1,Database!$A$1:$AU$1,0),FALSE))</f>
        <v/>
      </c>
      <c r="O177" s="76">
        <f>(((Table134567891011121314151617343[[#This Row],[USA]]-VLOOKUP($U$1,A:N,14,))/VLOOKUP($U$1,A:N,14,))*100)+100</f>
        <v/>
      </c>
      <c r="P177" s="76">
        <f>IF(VLOOKUP(A177,Database!$A:$AS,MATCH($P$1,Database!$A$1:$AS$1,0),FALSE)=0,#N/A,VLOOKUP(A177,Database!$A:$AS,MATCH($P$1,Database!$A$1:$AS$1,0),FALSE))</f>
        <v/>
      </c>
      <c r="Q177" s="76">
        <f>(((Table134567891011121314151617343[[#This Row],[JPN]]-VLOOKUP($U$1,A:Q,16,))/VLOOKUP($U$1,A:Q,16,))*100)+100</f>
        <v/>
      </c>
    </row>
    <row r="178" customFormat="1" s="86">
      <c r="A178" s="21" t="n">
        <v>38231</v>
      </c>
      <c r="B178" s="76">
        <f>IF(VLOOKUP(A178,Database!$A:$AS,MATCH($B$1,Database!$A$1:$AS$1,0),FALSE)=0,#N/A,VLOOKUP(A178,Database!$A:$AS,MATCH($B$1,Database!$A$1:$AS$1,0),FALSE))</f>
        <v/>
      </c>
      <c r="C178" s="76">
        <f>IF(VLOOKUP(A178,Database!$A:$AS,MATCH($C$1,Database!$A$1:$AS$1,0),FALSE)=0,#N/A,VLOOKUP(A178,Database!$A:$AS,MATCH($C$1,Database!$A$1:$AS$1,0),FALSE))</f>
        <v/>
      </c>
      <c r="D178" s="76">
        <f>IF(VLOOKUP(A178,Database!$A:$AS,MATCH($D$1,Database!$A$1:$AS$1,0),FALSE)=0,#N/A,VLOOKUP(A178,Database!$A:$AS,MATCH($D$1,Database!$A$1:$AS$1,0),FALSE))</f>
        <v/>
      </c>
      <c r="E178" s="76">
        <f>IF(VLOOKUP(A178,Database!$A:$AS,MATCH($E$1,Database!$A$1:$AS$1,0),FALSE)=0,#N/A,VLOOKUP(A178,Database!$A:$AS,MATCH($E$1,Database!$A$1:$AS$1,0),FALSE))</f>
        <v/>
      </c>
      <c r="F178" s="76">
        <f>IF(VLOOKUP(A178,Database!$A:$AS,MATCH($F$1,Database!$A$1:$AS$1,0),FALSE)=0,#N/A,VLOOKUP(A178,Database!$A:$AS,MATCH($F$1,Database!$A$1:$AS$1,0),FALSE))</f>
        <v/>
      </c>
      <c r="G178" s="76">
        <f>IF(VLOOKUP(A178,Database!$A:$AS,MATCH($G$1,Database!$A$1:$AS$1,0),FALSE)=0,#N/A,VLOOKUP(A178,Database!$A:$AS,MATCH($G$1,Database!$A$1:$AS$1,0),FALSE))</f>
        <v/>
      </c>
      <c r="H178" s="76">
        <f>(((Table134567891011121314151617343[[#This Row],[ITA]]-VLOOKUP($U$1,A:B,2,))/VLOOKUP($U$1,A:B,2,))*100)+100</f>
        <v/>
      </c>
      <c r="I178" s="76">
        <f>(((Table134567891011121314151617343[[#This Row],[FRA]]-VLOOKUP($U$1,A:C,3,))/VLOOKUP($U$1,A:C,3,))*100)+100</f>
        <v/>
      </c>
      <c r="J178" s="76">
        <f>(((Table134567891011121314151617343[[#This Row],[DEU]]-VLOOKUP($U$1,A:D,4,))/VLOOKUP($U$1,A:D,4,))*100)+100</f>
        <v/>
      </c>
      <c r="K178" s="76">
        <f>(((Table134567891011121314151617343[[#This Row],[ESP]]-VLOOKUP($U$1,A:E,5,))/VLOOKUP($U$1,A:E,5,))*100)+100</f>
        <v/>
      </c>
      <c r="L178" s="76">
        <f>(((Table134567891011121314151617343[[#This Row],[EA19]]-VLOOKUP($U$1,A:F,6,))/VLOOKUP($U$1,A:F,6,))*100)+100</f>
        <v/>
      </c>
      <c r="M178" s="76">
        <f>(((Table134567891011121314151617343[[#This Row],[GBR]]-VLOOKUP($U$1,A:G,7,))/VLOOKUP($U$1,A:G,7,))*100)+100</f>
        <v/>
      </c>
      <c r="N178" s="76">
        <f>IF(VLOOKUP(A178,Database!$A:$AU,MATCH($N$1,Database!$A$1:$AU$1,0),FALSE)=0,#N/A,VLOOKUP(A178,Database!$A:$AU,MATCH($N$1,Database!$A$1:$AU$1,0),FALSE))</f>
        <v/>
      </c>
      <c r="O178" s="76">
        <f>(((Table134567891011121314151617343[[#This Row],[USA]]-VLOOKUP($U$1,A:N,14,))/VLOOKUP($U$1,A:N,14,))*100)+100</f>
        <v/>
      </c>
      <c r="P178" s="76">
        <f>IF(VLOOKUP(A178,Database!$A:$AS,MATCH($P$1,Database!$A$1:$AS$1,0),FALSE)=0,#N/A,VLOOKUP(A178,Database!$A:$AS,MATCH($P$1,Database!$A$1:$AS$1,0),FALSE))</f>
        <v/>
      </c>
      <c r="Q178" s="76">
        <f>(((Table134567891011121314151617343[[#This Row],[JPN]]-VLOOKUP($U$1,A:Q,16,))/VLOOKUP($U$1,A:Q,16,))*100)+100</f>
        <v/>
      </c>
    </row>
    <row r="179" customFormat="1" s="86">
      <c r="A179" s="21" t="n">
        <v>38261</v>
      </c>
      <c r="B179" s="76">
        <f>IF(VLOOKUP(A179,Database!$A:$AS,MATCH($B$1,Database!$A$1:$AS$1,0),FALSE)=0,#N/A,VLOOKUP(A179,Database!$A:$AS,MATCH($B$1,Database!$A$1:$AS$1,0),FALSE))</f>
        <v/>
      </c>
      <c r="C179" s="76">
        <f>IF(VLOOKUP(A179,Database!$A:$AS,MATCH($C$1,Database!$A$1:$AS$1,0),FALSE)=0,#N/A,VLOOKUP(A179,Database!$A:$AS,MATCH($C$1,Database!$A$1:$AS$1,0),FALSE))</f>
        <v/>
      </c>
      <c r="D179" s="76">
        <f>IF(VLOOKUP(A179,Database!$A:$AS,MATCH($D$1,Database!$A$1:$AS$1,0),FALSE)=0,#N/A,VLOOKUP(A179,Database!$A:$AS,MATCH($D$1,Database!$A$1:$AS$1,0),FALSE))</f>
        <v/>
      </c>
      <c r="E179" s="76">
        <f>IF(VLOOKUP(A179,Database!$A:$AS,MATCH($E$1,Database!$A$1:$AS$1,0),FALSE)=0,#N/A,VLOOKUP(A179,Database!$A:$AS,MATCH($E$1,Database!$A$1:$AS$1,0),FALSE))</f>
        <v/>
      </c>
      <c r="F179" s="76">
        <f>IF(VLOOKUP(A179,Database!$A:$AS,MATCH($F$1,Database!$A$1:$AS$1,0),FALSE)=0,#N/A,VLOOKUP(A179,Database!$A:$AS,MATCH($F$1,Database!$A$1:$AS$1,0),FALSE))</f>
        <v/>
      </c>
      <c r="G179" s="76">
        <f>IF(VLOOKUP(A179,Database!$A:$AS,MATCH($G$1,Database!$A$1:$AS$1,0),FALSE)=0,#N/A,VLOOKUP(A179,Database!$A:$AS,MATCH($G$1,Database!$A$1:$AS$1,0),FALSE))</f>
        <v/>
      </c>
      <c r="H179" s="76">
        <f>(((Table134567891011121314151617343[[#This Row],[ITA]]-VLOOKUP($U$1,A:B,2,))/VLOOKUP($U$1,A:B,2,))*100)+100</f>
        <v/>
      </c>
      <c r="I179" s="76">
        <f>(((Table134567891011121314151617343[[#This Row],[FRA]]-VLOOKUP($U$1,A:C,3,))/VLOOKUP($U$1,A:C,3,))*100)+100</f>
        <v/>
      </c>
      <c r="J179" s="76">
        <f>(((Table134567891011121314151617343[[#This Row],[DEU]]-VLOOKUP($U$1,A:D,4,))/VLOOKUP($U$1,A:D,4,))*100)+100</f>
        <v/>
      </c>
      <c r="K179" s="76">
        <f>(((Table134567891011121314151617343[[#This Row],[ESP]]-VLOOKUP($U$1,A:E,5,))/VLOOKUP($U$1,A:E,5,))*100)+100</f>
        <v/>
      </c>
      <c r="L179" s="76">
        <f>(((Table134567891011121314151617343[[#This Row],[EA19]]-VLOOKUP($U$1,A:F,6,))/VLOOKUP($U$1,A:F,6,))*100)+100</f>
        <v/>
      </c>
      <c r="M179" s="76">
        <f>(((Table134567891011121314151617343[[#This Row],[GBR]]-VLOOKUP($U$1,A:G,7,))/VLOOKUP($U$1,A:G,7,))*100)+100</f>
        <v/>
      </c>
      <c r="N179" s="76">
        <f>IF(VLOOKUP(A179,Database!$A:$AU,MATCH($N$1,Database!$A$1:$AU$1,0),FALSE)=0,#N/A,VLOOKUP(A179,Database!$A:$AU,MATCH($N$1,Database!$A$1:$AU$1,0),FALSE))</f>
        <v/>
      </c>
      <c r="O179" s="76">
        <f>(((Table134567891011121314151617343[[#This Row],[USA]]-VLOOKUP($U$1,A:N,14,))/VLOOKUP($U$1,A:N,14,))*100)+100</f>
        <v/>
      </c>
      <c r="P179" s="76">
        <f>IF(VLOOKUP(A179,Database!$A:$AS,MATCH($P$1,Database!$A$1:$AS$1,0),FALSE)=0,#N/A,VLOOKUP(A179,Database!$A:$AS,MATCH($P$1,Database!$A$1:$AS$1,0),FALSE))</f>
        <v/>
      </c>
      <c r="Q179" s="76">
        <f>(((Table134567891011121314151617343[[#This Row],[JPN]]-VLOOKUP($U$1,A:Q,16,))/VLOOKUP($U$1,A:Q,16,))*100)+100</f>
        <v/>
      </c>
    </row>
    <row r="180" customFormat="1" s="86">
      <c r="A180" s="21" t="n">
        <v>38292</v>
      </c>
      <c r="B180" s="76">
        <f>IF(VLOOKUP(A180,Database!$A:$AS,MATCH($B$1,Database!$A$1:$AS$1,0),FALSE)=0,#N/A,VLOOKUP(A180,Database!$A:$AS,MATCH($B$1,Database!$A$1:$AS$1,0),FALSE))</f>
        <v/>
      </c>
      <c r="C180" s="76">
        <f>IF(VLOOKUP(A180,Database!$A:$AS,MATCH($C$1,Database!$A$1:$AS$1,0),FALSE)=0,#N/A,VLOOKUP(A180,Database!$A:$AS,MATCH($C$1,Database!$A$1:$AS$1,0),FALSE))</f>
        <v/>
      </c>
      <c r="D180" s="76">
        <f>IF(VLOOKUP(A180,Database!$A:$AS,MATCH($D$1,Database!$A$1:$AS$1,0),FALSE)=0,#N/A,VLOOKUP(A180,Database!$A:$AS,MATCH($D$1,Database!$A$1:$AS$1,0),FALSE))</f>
        <v/>
      </c>
      <c r="E180" s="76">
        <f>IF(VLOOKUP(A180,Database!$A:$AS,MATCH($E$1,Database!$A$1:$AS$1,0),FALSE)=0,#N/A,VLOOKUP(A180,Database!$A:$AS,MATCH($E$1,Database!$A$1:$AS$1,0),FALSE))</f>
        <v/>
      </c>
      <c r="F180" s="76">
        <f>IF(VLOOKUP(A180,Database!$A:$AS,MATCH($F$1,Database!$A$1:$AS$1,0),FALSE)=0,#N/A,VLOOKUP(A180,Database!$A:$AS,MATCH($F$1,Database!$A$1:$AS$1,0),FALSE))</f>
        <v/>
      </c>
      <c r="G180" s="76">
        <f>IF(VLOOKUP(A180,Database!$A:$AS,MATCH($G$1,Database!$A$1:$AS$1,0),FALSE)=0,#N/A,VLOOKUP(A180,Database!$A:$AS,MATCH($G$1,Database!$A$1:$AS$1,0),FALSE))</f>
        <v/>
      </c>
      <c r="H180" s="76">
        <f>(((Table134567891011121314151617343[[#This Row],[ITA]]-VLOOKUP($U$1,A:B,2,))/VLOOKUP($U$1,A:B,2,))*100)+100</f>
        <v/>
      </c>
      <c r="I180" s="76">
        <f>(((Table134567891011121314151617343[[#This Row],[FRA]]-VLOOKUP($U$1,A:C,3,))/VLOOKUP($U$1,A:C,3,))*100)+100</f>
        <v/>
      </c>
      <c r="J180" s="76">
        <f>(((Table134567891011121314151617343[[#This Row],[DEU]]-VLOOKUP($U$1,A:D,4,))/VLOOKUP($U$1,A:D,4,))*100)+100</f>
        <v/>
      </c>
      <c r="K180" s="76">
        <f>(((Table134567891011121314151617343[[#This Row],[ESP]]-VLOOKUP($U$1,A:E,5,))/VLOOKUP($U$1,A:E,5,))*100)+100</f>
        <v/>
      </c>
      <c r="L180" s="76">
        <f>(((Table134567891011121314151617343[[#This Row],[EA19]]-VLOOKUP($U$1,A:F,6,))/VLOOKUP($U$1,A:F,6,))*100)+100</f>
        <v/>
      </c>
      <c r="M180" s="76">
        <f>(((Table134567891011121314151617343[[#This Row],[GBR]]-VLOOKUP($U$1,A:G,7,))/VLOOKUP($U$1,A:G,7,))*100)+100</f>
        <v/>
      </c>
      <c r="N180" s="76">
        <f>IF(VLOOKUP(A180,Database!$A:$AU,MATCH($N$1,Database!$A$1:$AU$1,0),FALSE)=0,#N/A,VLOOKUP(A180,Database!$A:$AU,MATCH($N$1,Database!$A$1:$AU$1,0),FALSE))</f>
        <v/>
      </c>
      <c r="O180" s="76">
        <f>(((Table134567891011121314151617343[[#This Row],[USA]]-VLOOKUP($U$1,A:N,14,))/VLOOKUP($U$1,A:N,14,))*100)+100</f>
        <v/>
      </c>
      <c r="P180" s="76">
        <f>IF(VLOOKUP(A180,Database!$A:$AS,MATCH($P$1,Database!$A$1:$AS$1,0),FALSE)=0,#N/A,VLOOKUP(A180,Database!$A:$AS,MATCH($P$1,Database!$A$1:$AS$1,0),FALSE))</f>
        <v/>
      </c>
      <c r="Q180" s="76">
        <f>(((Table134567891011121314151617343[[#This Row],[JPN]]-VLOOKUP($U$1,A:Q,16,))/VLOOKUP($U$1,A:Q,16,))*100)+100</f>
        <v/>
      </c>
    </row>
    <row r="181" customFormat="1" s="86">
      <c r="A181" s="21" t="n">
        <v>38322</v>
      </c>
      <c r="B181" s="76">
        <f>IF(VLOOKUP(A181,Database!$A:$AS,MATCH($B$1,Database!$A$1:$AS$1,0),FALSE)=0,#N/A,VLOOKUP(A181,Database!$A:$AS,MATCH($B$1,Database!$A$1:$AS$1,0),FALSE))</f>
        <v/>
      </c>
      <c r="C181" s="76">
        <f>IF(VLOOKUP(A181,Database!$A:$AS,MATCH($C$1,Database!$A$1:$AS$1,0),FALSE)=0,#N/A,VLOOKUP(A181,Database!$A:$AS,MATCH($C$1,Database!$A$1:$AS$1,0),FALSE))</f>
        <v/>
      </c>
      <c r="D181" s="76">
        <f>IF(VLOOKUP(A181,Database!$A:$AS,MATCH($D$1,Database!$A$1:$AS$1,0),FALSE)=0,#N/A,VLOOKUP(A181,Database!$A:$AS,MATCH($D$1,Database!$A$1:$AS$1,0),FALSE))</f>
        <v/>
      </c>
      <c r="E181" s="76">
        <f>IF(VLOOKUP(A181,Database!$A:$AS,MATCH($E$1,Database!$A$1:$AS$1,0),FALSE)=0,#N/A,VLOOKUP(A181,Database!$A:$AS,MATCH($E$1,Database!$A$1:$AS$1,0),FALSE))</f>
        <v/>
      </c>
      <c r="F181" s="76">
        <f>IF(VLOOKUP(A181,Database!$A:$AS,MATCH($F$1,Database!$A$1:$AS$1,0),FALSE)=0,#N/A,VLOOKUP(A181,Database!$A:$AS,MATCH($F$1,Database!$A$1:$AS$1,0),FALSE))</f>
        <v/>
      </c>
      <c r="G181" s="76">
        <f>IF(VLOOKUP(A181,Database!$A:$AS,MATCH($G$1,Database!$A$1:$AS$1,0),FALSE)=0,#N/A,VLOOKUP(A181,Database!$A:$AS,MATCH($G$1,Database!$A$1:$AS$1,0),FALSE))</f>
        <v/>
      </c>
      <c r="H181" s="76">
        <f>(((Table134567891011121314151617343[[#This Row],[ITA]]-VLOOKUP($U$1,A:B,2,))/VLOOKUP($U$1,A:B,2,))*100)+100</f>
        <v/>
      </c>
      <c r="I181" s="76">
        <f>(((Table134567891011121314151617343[[#This Row],[FRA]]-VLOOKUP($U$1,A:C,3,))/VLOOKUP($U$1,A:C,3,))*100)+100</f>
        <v/>
      </c>
      <c r="J181" s="76">
        <f>(((Table134567891011121314151617343[[#This Row],[DEU]]-VLOOKUP($U$1,A:D,4,))/VLOOKUP($U$1,A:D,4,))*100)+100</f>
        <v/>
      </c>
      <c r="K181" s="76">
        <f>(((Table134567891011121314151617343[[#This Row],[ESP]]-VLOOKUP($U$1,A:E,5,))/VLOOKUP($U$1,A:E,5,))*100)+100</f>
        <v/>
      </c>
      <c r="L181" s="76">
        <f>(((Table134567891011121314151617343[[#This Row],[EA19]]-VLOOKUP($U$1,A:F,6,))/VLOOKUP($U$1,A:F,6,))*100)+100</f>
        <v/>
      </c>
      <c r="M181" s="76">
        <f>(((Table134567891011121314151617343[[#This Row],[GBR]]-VLOOKUP($U$1,A:G,7,))/VLOOKUP($U$1,A:G,7,))*100)+100</f>
        <v/>
      </c>
      <c r="N181" s="76">
        <f>IF(VLOOKUP(A181,Database!$A:$AU,MATCH($N$1,Database!$A$1:$AU$1,0),FALSE)=0,#N/A,VLOOKUP(A181,Database!$A:$AU,MATCH($N$1,Database!$A$1:$AU$1,0),FALSE))</f>
        <v/>
      </c>
      <c r="O181" s="76">
        <f>(((Table134567891011121314151617343[[#This Row],[USA]]-VLOOKUP($U$1,A:N,14,))/VLOOKUP($U$1,A:N,14,))*100)+100</f>
        <v/>
      </c>
      <c r="P181" s="76">
        <f>IF(VLOOKUP(A181,Database!$A:$AS,MATCH($P$1,Database!$A$1:$AS$1,0),FALSE)=0,#N/A,VLOOKUP(A181,Database!$A:$AS,MATCH($P$1,Database!$A$1:$AS$1,0),FALSE))</f>
        <v/>
      </c>
      <c r="Q181" s="76">
        <f>(((Table134567891011121314151617343[[#This Row],[JPN]]-VLOOKUP($U$1,A:Q,16,))/VLOOKUP($U$1,A:Q,16,))*100)+100</f>
        <v/>
      </c>
    </row>
    <row r="182" customFormat="1" s="86">
      <c r="A182" s="21" t="n">
        <v>38353</v>
      </c>
      <c r="B182" s="76">
        <f>IF(VLOOKUP(A182,Database!$A:$AS,MATCH($B$1,Database!$A$1:$AS$1,0),FALSE)=0,#N/A,VLOOKUP(A182,Database!$A:$AS,MATCH($B$1,Database!$A$1:$AS$1,0),FALSE))</f>
        <v/>
      </c>
      <c r="C182" s="76">
        <f>IF(VLOOKUP(A182,Database!$A:$AS,MATCH($C$1,Database!$A$1:$AS$1,0),FALSE)=0,#N/A,VLOOKUP(A182,Database!$A:$AS,MATCH($C$1,Database!$A$1:$AS$1,0),FALSE))</f>
        <v/>
      </c>
      <c r="D182" s="76">
        <f>IF(VLOOKUP(A182,Database!$A:$AS,MATCH($D$1,Database!$A$1:$AS$1,0),FALSE)=0,#N/A,VLOOKUP(A182,Database!$A:$AS,MATCH($D$1,Database!$A$1:$AS$1,0),FALSE))</f>
        <v/>
      </c>
      <c r="E182" s="76">
        <f>IF(VLOOKUP(A182,Database!$A:$AS,MATCH($E$1,Database!$A$1:$AS$1,0),FALSE)=0,#N/A,VLOOKUP(A182,Database!$A:$AS,MATCH($E$1,Database!$A$1:$AS$1,0),FALSE))</f>
        <v/>
      </c>
      <c r="F182" s="76">
        <f>IF(VLOOKUP(A182,Database!$A:$AS,MATCH($F$1,Database!$A$1:$AS$1,0),FALSE)=0,#N/A,VLOOKUP(A182,Database!$A:$AS,MATCH($F$1,Database!$A$1:$AS$1,0),FALSE))</f>
        <v/>
      </c>
      <c r="G182" s="76">
        <f>IF(VLOOKUP(A182,Database!$A:$AS,MATCH($G$1,Database!$A$1:$AS$1,0),FALSE)=0,#N/A,VLOOKUP(A182,Database!$A:$AS,MATCH($G$1,Database!$A$1:$AS$1,0),FALSE))</f>
        <v/>
      </c>
      <c r="H182" s="76">
        <f>(((Table134567891011121314151617343[[#This Row],[ITA]]-VLOOKUP($U$1,A:B,2,))/VLOOKUP($U$1,A:B,2,))*100)+100</f>
        <v/>
      </c>
      <c r="I182" s="76">
        <f>(((Table134567891011121314151617343[[#This Row],[FRA]]-VLOOKUP($U$1,A:C,3,))/VLOOKUP($U$1,A:C,3,))*100)+100</f>
        <v/>
      </c>
      <c r="J182" s="76">
        <f>(((Table134567891011121314151617343[[#This Row],[DEU]]-VLOOKUP($U$1,A:D,4,))/VLOOKUP($U$1,A:D,4,))*100)+100</f>
        <v/>
      </c>
      <c r="K182" s="76">
        <f>(((Table134567891011121314151617343[[#This Row],[ESP]]-VLOOKUP($U$1,A:E,5,))/VLOOKUP($U$1,A:E,5,))*100)+100</f>
        <v/>
      </c>
      <c r="L182" s="76">
        <f>(((Table134567891011121314151617343[[#This Row],[EA19]]-VLOOKUP($U$1,A:F,6,))/VLOOKUP($U$1,A:F,6,))*100)+100</f>
        <v/>
      </c>
      <c r="M182" s="76">
        <f>(((Table134567891011121314151617343[[#This Row],[GBR]]-VLOOKUP($U$1,A:G,7,))/VLOOKUP($U$1,A:G,7,))*100)+100</f>
        <v/>
      </c>
      <c r="N182" s="76">
        <f>IF(VLOOKUP(A182,Database!$A:$AU,MATCH($N$1,Database!$A$1:$AU$1,0),FALSE)=0,#N/A,VLOOKUP(A182,Database!$A:$AU,MATCH($N$1,Database!$A$1:$AU$1,0),FALSE))</f>
        <v/>
      </c>
      <c r="O182" s="76">
        <f>(((Table134567891011121314151617343[[#This Row],[USA]]-VLOOKUP($U$1,A:N,14,))/VLOOKUP($U$1,A:N,14,))*100)+100</f>
        <v/>
      </c>
      <c r="P182" s="76">
        <f>IF(VLOOKUP(A182,Database!$A:$AS,MATCH($P$1,Database!$A$1:$AS$1,0),FALSE)=0,#N/A,VLOOKUP(A182,Database!$A:$AS,MATCH($P$1,Database!$A$1:$AS$1,0),FALSE))</f>
        <v/>
      </c>
      <c r="Q182" s="76">
        <f>(((Table134567891011121314151617343[[#This Row],[JPN]]-VLOOKUP($U$1,A:Q,16,))/VLOOKUP($U$1,A:Q,16,))*100)+100</f>
        <v/>
      </c>
    </row>
    <row r="183" customFormat="1" s="86">
      <c r="A183" s="21" t="n">
        <v>38384</v>
      </c>
      <c r="B183" s="76">
        <f>IF(VLOOKUP(A183,Database!$A:$AS,MATCH($B$1,Database!$A$1:$AS$1,0),FALSE)=0,#N/A,VLOOKUP(A183,Database!$A:$AS,MATCH($B$1,Database!$A$1:$AS$1,0),FALSE))</f>
        <v/>
      </c>
      <c r="C183" s="76">
        <f>IF(VLOOKUP(A183,Database!$A:$AS,MATCH($C$1,Database!$A$1:$AS$1,0),FALSE)=0,#N/A,VLOOKUP(A183,Database!$A:$AS,MATCH($C$1,Database!$A$1:$AS$1,0),FALSE))</f>
        <v/>
      </c>
      <c r="D183" s="76">
        <f>IF(VLOOKUP(A183,Database!$A:$AS,MATCH($D$1,Database!$A$1:$AS$1,0),FALSE)=0,#N/A,VLOOKUP(A183,Database!$A:$AS,MATCH($D$1,Database!$A$1:$AS$1,0),FALSE))</f>
        <v/>
      </c>
      <c r="E183" s="76">
        <f>IF(VLOOKUP(A183,Database!$A:$AS,MATCH($E$1,Database!$A$1:$AS$1,0),FALSE)=0,#N/A,VLOOKUP(A183,Database!$A:$AS,MATCH($E$1,Database!$A$1:$AS$1,0),FALSE))</f>
        <v/>
      </c>
      <c r="F183" s="76">
        <f>IF(VLOOKUP(A183,Database!$A:$AS,MATCH($F$1,Database!$A$1:$AS$1,0),FALSE)=0,#N/A,VLOOKUP(A183,Database!$A:$AS,MATCH($F$1,Database!$A$1:$AS$1,0),FALSE))</f>
        <v/>
      </c>
      <c r="G183" s="76">
        <f>IF(VLOOKUP(A183,Database!$A:$AS,MATCH($G$1,Database!$A$1:$AS$1,0),FALSE)=0,#N/A,VLOOKUP(A183,Database!$A:$AS,MATCH($G$1,Database!$A$1:$AS$1,0),FALSE))</f>
        <v/>
      </c>
      <c r="H183" s="76">
        <f>(((Table134567891011121314151617343[[#This Row],[ITA]]-VLOOKUP($U$1,A:B,2,))/VLOOKUP($U$1,A:B,2,))*100)+100</f>
        <v/>
      </c>
      <c r="I183" s="76">
        <f>(((Table134567891011121314151617343[[#This Row],[FRA]]-VLOOKUP($U$1,A:C,3,))/VLOOKUP($U$1,A:C,3,))*100)+100</f>
        <v/>
      </c>
      <c r="J183" s="76">
        <f>(((Table134567891011121314151617343[[#This Row],[DEU]]-VLOOKUP($U$1,A:D,4,))/VLOOKUP($U$1,A:D,4,))*100)+100</f>
        <v/>
      </c>
      <c r="K183" s="76">
        <f>(((Table134567891011121314151617343[[#This Row],[ESP]]-VLOOKUP($U$1,A:E,5,))/VLOOKUP($U$1,A:E,5,))*100)+100</f>
        <v/>
      </c>
      <c r="L183" s="76">
        <f>(((Table134567891011121314151617343[[#This Row],[EA19]]-VLOOKUP($U$1,A:F,6,))/VLOOKUP($U$1,A:F,6,))*100)+100</f>
        <v/>
      </c>
      <c r="M183" s="76">
        <f>(((Table134567891011121314151617343[[#This Row],[GBR]]-VLOOKUP($U$1,A:G,7,))/VLOOKUP($U$1,A:G,7,))*100)+100</f>
        <v/>
      </c>
      <c r="N183" s="76">
        <f>IF(VLOOKUP(A183,Database!$A:$AU,MATCH($N$1,Database!$A$1:$AU$1,0),FALSE)=0,#N/A,VLOOKUP(A183,Database!$A:$AU,MATCH($N$1,Database!$A$1:$AU$1,0),FALSE))</f>
        <v/>
      </c>
      <c r="O183" s="76">
        <f>(((Table134567891011121314151617343[[#This Row],[USA]]-VLOOKUP($U$1,A:N,14,))/VLOOKUP($U$1,A:N,14,))*100)+100</f>
        <v/>
      </c>
      <c r="P183" s="76">
        <f>IF(VLOOKUP(A183,Database!$A:$AS,MATCH($P$1,Database!$A$1:$AS$1,0),FALSE)=0,#N/A,VLOOKUP(A183,Database!$A:$AS,MATCH($P$1,Database!$A$1:$AS$1,0),FALSE))</f>
        <v/>
      </c>
      <c r="Q183" s="76">
        <f>(((Table134567891011121314151617343[[#This Row],[JPN]]-VLOOKUP($U$1,A:Q,16,))/VLOOKUP($U$1,A:Q,16,))*100)+100</f>
        <v/>
      </c>
    </row>
    <row r="184" customFormat="1" s="86">
      <c r="A184" s="21" t="n">
        <v>38412</v>
      </c>
      <c r="B184" s="76">
        <f>IF(VLOOKUP(A184,Database!$A:$AS,MATCH($B$1,Database!$A$1:$AS$1,0),FALSE)=0,#N/A,VLOOKUP(A184,Database!$A:$AS,MATCH($B$1,Database!$A$1:$AS$1,0),FALSE))</f>
        <v/>
      </c>
      <c r="C184" s="76">
        <f>IF(VLOOKUP(A184,Database!$A:$AS,MATCH($C$1,Database!$A$1:$AS$1,0),FALSE)=0,#N/A,VLOOKUP(A184,Database!$A:$AS,MATCH($C$1,Database!$A$1:$AS$1,0),FALSE))</f>
        <v/>
      </c>
      <c r="D184" s="76">
        <f>IF(VLOOKUP(A184,Database!$A:$AS,MATCH($D$1,Database!$A$1:$AS$1,0),FALSE)=0,#N/A,VLOOKUP(A184,Database!$A:$AS,MATCH($D$1,Database!$A$1:$AS$1,0),FALSE))</f>
        <v/>
      </c>
      <c r="E184" s="76">
        <f>IF(VLOOKUP(A184,Database!$A:$AS,MATCH($E$1,Database!$A$1:$AS$1,0),FALSE)=0,#N/A,VLOOKUP(A184,Database!$A:$AS,MATCH($E$1,Database!$A$1:$AS$1,0),FALSE))</f>
        <v/>
      </c>
      <c r="F184" s="76">
        <f>IF(VLOOKUP(A184,Database!$A:$AS,MATCH($F$1,Database!$A$1:$AS$1,0),FALSE)=0,#N/A,VLOOKUP(A184,Database!$A:$AS,MATCH($F$1,Database!$A$1:$AS$1,0),FALSE))</f>
        <v/>
      </c>
      <c r="G184" s="76">
        <f>IF(VLOOKUP(A184,Database!$A:$AS,MATCH($G$1,Database!$A$1:$AS$1,0),FALSE)=0,#N/A,VLOOKUP(A184,Database!$A:$AS,MATCH($G$1,Database!$A$1:$AS$1,0),FALSE))</f>
        <v/>
      </c>
      <c r="H184" s="76">
        <f>(((Table134567891011121314151617343[[#This Row],[ITA]]-VLOOKUP($U$1,A:B,2,))/VLOOKUP($U$1,A:B,2,))*100)+100</f>
        <v/>
      </c>
      <c r="I184" s="76">
        <f>(((Table134567891011121314151617343[[#This Row],[FRA]]-VLOOKUP($U$1,A:C,3,))/VLOOKUP($U$1,A:C,3,))*100)+100</f>
        <v/>
      </c>
      <c r="J184" s="76">
        <f>(((Table134567891011121314151617343[[#This Row],[DEU]]-VLOOKUP($U$1,A:D,4,))/VLOOKUP($U$1,A:D,4,))*100)+100</f>
        <v/>
      </c>
      <c r="K184" s="76">
        <f>(((Table134567891011121314151617343[[#This Row],[ESP]]-VLOOKUP($U$1,A:E,5,))/VLOOKUP($U$1,A:E,5,))*100)+100</f>
        <v/>
      </c>
      <c r="L184" s="76">
        <f>(((Table134567891011121314151617343[[#This Row],[EA19]]-VLOOKUP($U$1,A:F,6,))/VLOOKUP($U$1,A:F,6,))*100)+100</f>
        <v/>
      </c>
      <c r="M184" s="76">
        <f>(((Table134567891011121314151617343[[#This Row],[GBR]]-VLOOKUP($U$1,A:G,7,))/VLOOKUP($U$1,A:G,7,))*100)+100</f>
        <v/>
      </c>
      <c r="N184" s="76">
        <f>IF(VLOOKUP(A184,Database!$A:$AU,MATCH($N$1,Database!$A$1:$AU$1,0),FALSE)=0,#N/A,VLOOKUP(A184,Database!$A:$AU,MATCH($N$1,Database!$A$1:$AU$1,0),FALSE))</f>
        <v/>
      </c>
      <c r="O184" s="76">
        <f>(((Table134567891011121314151617343[[#This Row],[USA]]-VLOOKUP($U$1,A:N,14,))/VLOOKUP($U$1,A:N,14,))*100)+100</f>
        <v/>
      </c>
      <c r="P184" s="76">
        <f>IF(VLOOKUP(A184,Database!$A:$AS,MATCH($P$1,Database!$A$1:$AS$1,0),FALSE)=0,#N/A,VLOOKUP(A184,Database!$A:$AS,MATCH($P$1,Database!$A$1:$AS$1,0),FALSE))</f>
        <v/>
      </c>
      <c r="Q184" s="76">
        <f>(((Table134567891011121314151617343[[#This Row],[JPN]]-VLOOKUP($U$1,A:Q,16,))/VLOOKUP($U$1,A:Q,16,))*100)+100</f>
        <v/>
      </c>
    </row>
    <row r="185" customFormat="1" s="86">
      <c r="A185" s="21" t="n">
        <v>38443</v>
      </c>
      <c r="B185" s="76">
        <f>IF(VLOOKUP(A185,Database!$A:$AS,MATCH($B$1,Database!$A$1:$AS$1,0),FALSE)=0,#N/A,VLOOKUP(A185,Database!$A:$AS,MATCH($B$1,Database!$A$1:$AS$1,0),FALSE))</f>
        <v/>
      </c>
      <c r="C185" s="76">
        <f>IF(VLOOKUP(A185,Database!$A:$AS,MATCH($C$1,Database!$A$1:$AS$1,0),FALSE)=0,#N/A,VLOOKUP(A185,Database!$A:$AS,MATCH($C$1,Database!$A$1:$AS$1,0),FALSE))</f>
        <v/>
      </c>
      <c r="D185" s="76">
        <f>IF(VLOOKUP(A185,Database!$A:$AS,MATCH($D$1,Database!$A$1:$AS$1,0),FALSE)=0,#N/A,VLOOKUP(A185,Database!$A:$AS,MATCH($D$1,Database!$A$1:$AS$1,0),FALSE))</f>
        <v/>
      </c>
      <c r="E185" s="76">
        <f>IF(VLOOKUP(A185,Database!$A:$AS,MATCH($E$1,Database!$A$1:$AS$1,0),FALSE)=0,#N/A,VLOOKUP(A185,Database!$A:$AS,MATCH($E$1,Database!$A$1:$AS$1,0),FALSE))</f>
        <v/>
      </c>
      <c r="F185" s="76">
        <f>IF(VLOOKUP(A185,Database!$A:$AS,MATCH($F$1,Database!$A$1:$AS$1,0),FALSE)=0,#N/A,VLOOKUP(A185,Database!$A:$AS,MATCH($F$1,Database!$A$1:$AS$1,0),FALSE))</f>
        <v/>
      </c>
      <c r="G185" s="76">
        <f>IF(VLOOKUP(A185,Database!$A:$AS,MATCH($G$1,Database!$A$1:$AS$1,0),FALSE)=0,#N/A,VLOOKUP(A185,Database!$A:$AS,MATCH($G$1,Database!$A$1:$AS$1,0),FALSE))</f>
        <v/>
      </c>
      <c r="H185" s="76">
        <f>(((Table134567891011121314151617343[[#This Row],[ITA]]-VLOOKUP($U$1,A:B,2,))/VLOOKUP($U$1,A:B,2,))*100)+100</f>
        <v/>
      </c>
      <c r="I185" s="76">
        <f>(((Table134567891011121314151617343[[#This Row],[FRA]]-VLOOKUP($U$1,A:C,3,))/VLOOKUP($U$1,A:C,3,))*100)+100</f>
        <v/>
      </c>
      <c r="J185" s="76">
        <f>(((Table134567891011121314151617343[[#This Row],[DEU]]-VLOOKUP($U$1,A:D,4,))/VLOOKUP($U$1,A:D,4,))*100)+100</f>
        <v/>
      </c>
      <c r="K185" s="76">
        <f>(((Table134567891011121314151617343[[#This Row],[ESP]]-VLOOKUP($U$1,A:E,5,))/VLOOKUP($U$1,A:E,5,))*100)+100</f>
        <v/>
      </c>
      <c r="L185" s="76">
        <f>(((Table134567891011121314151617343[[#This Row],[EA19]]-VLOOKUP($U$1,A:F,6,))/VLOOKUP($U$1,A:F,6,))*100)+100</f>
        <v/>
      </c>
      <c r="M185" s="76">
        <f>(((Table134567891011121314151617343[[#This Row],[GBR]]-VLOOKUP($U$1,A:G,7,))/VLOOKUP($U$1,A:G,7,))*100)+100</f>
        <v/>
      </c>
      <c r="N185" s="76">
        <f>IF(VLOOKUP(A185,Database!$A:$AU,MATCH($N$1,Database!$A$1:$AU$1,0),FALSE)=0,#N/A,VLOOKUP(A185,Database!$A:$AU,MATCH($N$1,Database!$A$1:$AU$1,0),FALSE))</f>
        <v/>
      </c>
      <c r="O185" s="76">
        <f>(((Table134567891011121314151617343[[#This Row],[USA]]-VLOOKUP($U$1,A:N,14,))/VLOOKUP($U$1,A:N,14,))*100)+100</f>
        <v/>
      </c>
      <c r="P185" s="76">
        <f>IF(VLOOKUP(A185,Database!$A:$AS,MATCH($P$1,Database!$A$1:$AS$1,0),FALSE)=0,#N/A,VLOOKUP(A185,Database!$A:$AS,MATCH($P$1,Database!$A$1:$AS$1,0),FALSE))</f>
        <v/>
      </c>
      <c r="Q185" s="76">
        <f>(((Table134567891011121314151617343[[#This Row],[JPN]]-VLOOKUP($U$1,A:Q,16,))/VLOOKUP($U$1,A:Q,16,))*100)+100</f>
        <v/>
      </c>
    </row>
    <row r="186" customFormat="1" s="86">
      <c r="A186" s="21" t="n">
        <v>38473</v>
      </c>
      <c r="B186" s="76">
        <f>IF(VLOOKUP(A186,Database!$A:$AS,MATCH($B$1,Database!$A$1:$AS$1,0),FALSE)=0,#N/A,VLOOKUP(A186,Database!$A:$AS,MATCH($B$1,Database!$A$1:$AS$1,0),FALSE))</f>
        <v/>
      </c>
      <c r="C186" s="76">
        <f>IF(VLOOKUP(A186,Database!$A:$AS,MATCH($C$1,Database!$A$1:$AS$1,0),FALSE)=0,#N/A,VLOOKUP(A186,Database!$A:$AS,MATCH($C$1,Database!$A$1:$AS$1,0),FALSE))</f>
        <v/>
      </c>
      <c r="D186" s="76">
        <f>IF(VLOOKUP(A186,Database!$A:$AS,MATCH($D$1,Database!$A$1:$AS$1,0),FALSE)=0,#N/A,VLOOKUP(A186,Database!$A:$AS,MATCH($D$1,Database!$A$1:$AS$1,0),FALSE))</f>
        <v/>
      </c>
      <c r="E186" s="76">
        <f>IF(VLOOKUP(A186,Database!$A:$AS,MATCH($E$1,Database!$A$1:$AS$1,0),FALSE)=0,#N/A,VLOOKUP(A186,Database!$A:$AS,MATCH($E$1,Database!$A$1:$AS$1,0),FALSE))</f>
        <v/>
      </c>
      <c r="F186" s="76">
        <f>IF(VLOOKUP(A186,Database!$A:$AS,MATCH($F$1,Database!$A$1:$AS$1,0),FALSE)=0,#N/A,VLOOKUP(A186,Database!$A:$AS,MATCH($F$1,Database!$A$1:$AS$1,0),FALSE))</f>
        <v/>
      </c>
      <c r="G186" s="76">
        <f>IF(VLOOKUP(A186,Database!$A:$AS,MATCH($G$1,Database!$A$1:$AS$1,0),FALSE)=0,#N/A,VLOOKUP(A186,Database!$A:$AS,MATCH($G$1,Database!$A$1:$AS$1,0),FALSE))</f>
        <v/>
      </c>
      <c r="H186" s="76">
        <f>(((Table134567891011121314151617343[[#This Row],[ITA]]-VLOOKUP($U$1,A:B,2,))/VLOOKUP($U$1,A:B,2,))*100)+100</f>
        <v/>
      </c>
      <c r="I186" s="76">
        <f>(((Table134567891011121314151617343[[#This Row],[FRA]]-VLOOKUP($U$1,A:C,3,))/VLOOKUP($U$1,A:C,3,))*100)+100</f>
        <v/>
      </c>
      <c r="J186" s="76">
        <f>(((Table134567891011121314151617343[[#This Row],[DEU]]-VLOOKUP($U$1,A:D,4,))/VLOOKUP($U$1,A:D,4,))*100)+100</f>
        <v/>
      </c>
      <c r="K186" s="76">
        <f>(((Table134567891011121314151617343[[#This Row],[ESP]]-VLOOKUP($U$1,A:E,5,))/VLOOKUP($U$1,A:E,5,))*100)+100</f>
        <v/>
      </c>
      <c r="L186" s="76">
        <f>(((Table134567891011121314151617343[[#This Row],[EA19]]-VLOOKUP($U$1,A:F,6,))/VLOOKUP($U$1,A:F,6,))*100)+100</f>
        <v/>
      </c>
      <c r="M186" s="76">
        <f>(((Table134567891011121314151617343[[#This Row],[GBR]]-VLOOKUP($U$1,A:G,7,))/VLOOKUP($U$1,A:G,7,))*100)+100</f>
        <v/>
      </c>
      <c r="N186" s="76">
        <f>IF(VLOOKUP(A186,Database!$A:$AU,MATCH($N$1,Database!$A$1:$AU$1,0),FALSE)=0,#N/A,VLOOKUP(A186,Database!$A:$AU,MATCH($N$1,Database!$A$1:$AU$1,0),FALSE))</f>
        <v/>
      </c>
      <c r="O186" s="76">
        <f>(((Table134567891011121314151617343[[#This Row],[USA]]-VLOOKUP($U$1,A:N,14,))/VLOOKUP($U$1,A:N,14,))*100)+100</f>
        <v/>
      </c>
      <c r="P186" s="76">
        <f>IF(VLOOKUP(A186,Database!$A:$AS,MATCH($P$1,Database!$A$1:$AS$1,0),FALSE)=0,#N/A,VLOOKUP(A186,Database!$A:$AS,MATCH($P$1,Database!$A$1:$AS$1,0),FALSE))</f>
        <v/>
      </c>
      <c r="Q186" s="76">
        <f>(((Table134567891011121314151617343[[#This Row],[JPN]]-VLOOKUP($U$1,A:Q,16,))/VLOOKUP($U$1,A:Q,16,))*100)+100</f>
        <v/>
      </c>
    </row>
    <row r="187" customFormat="1" s="86">
      <c r="A187" s="21" t="n">
        <v>38504</v>
      </c>
      <c r="B187" s="76">
        <f>IF(VLOOKUP(A187,Database!$A:$AS,MATCH($B$1,Database!$A$1:$AS$1,0),FALSE)=0,#N/A,VLOOKUP(A187,Database!$A:$AS,MATCH($B$1,Database!$A$1:$AS$1,0),FALSE))</f>
        <v/>
      </c>
      <c r="C187" s="76">
        <f>IF(VLOOKUP(A187,Database!$A:$AS,MATCH($C$1,Database!$A$1:$AS$1,0),FALSE)=0,#N/A,VLOOKUP(A187,Database!$A:$AS,MATCH($C$1,Database!$A$1:$AS$1,0),FALSE))</f>
        <v/>
      </c>
      <c r="D187" s="76">
        <f>IF(VLOOKUP(A187,Database!$A:$AS,MATCH($D$1,Database!$A$1:$AS$1,0),FALSE)=0,#N/A,VLOOKUP(A187,Database!$A:$AS,MATCH($D$1,Database!$A$1:$AS$1,0),FALSE))</f>
        <v/>
      </c>
      <c r="E187" s="76">
        <f>IF(VLOOKUP(A187,Database!$A:$AS,MATCH($E$1,Database!$A$1:$AS$1,0),FALSE)=0,#N/A,VLOOKUP(A187,Database!$A:$AS,MATCH($E$1,Database!$A$1:$AS$1,0),FALSE))</f>
        <v/>
      </c>
      <c r="F187" s="76">
        <f>IF(VLOOKUP(A187,Database!$A:$AS,MATCH($F$1,Database!$A$1:$AS$1,0),FALSE)=0,#N/A,VLOOKUP(A187,Database!$A:$AS,MATCH($F$1,Database!$A$1:$AS$1,0),FALSE))</f>
        <v/>
      </c>
      <c r="G187" s="76">
        <f>IF(VLOOKUP(A187,Database!$A:$AS,MATCH($G$1,Database!$A$1:$AS$1,0),FALSE)=0,#N/A,VLOOKUP(A187,Database!$A:$AS,MATCH($G$1,Database!$A$1:$AS$1,0),FALSE))</f>
        <v/>
      </c>
      <c r="H187" s="76">
        <f>(((Table134567891011121314151617343[[#This Row],[ITA]]-VLOOKUP($U$1,A:B,2,))/VLOOKUP($U$1,A:B,2,))*100)+100</f>
        <v/>
      </c>
      <c r="I187" s="76">
        <f>(((Table134567891011121314151617343[[#This Row],[FRA]]-VLOOKUP($U$1,A:C,3,))/VLOOKUP($U$1,A:C,3,))*100)+100</f>
        <v/>
      </c>
      <c r="J187" s="76">
        <f>(((Table134567891011121314151617343[[#This Row],[DEU]]-VLOOKUP($U$1,A:D,4,))/VLOOKUP($U$1,A:D,4,))*100)+100</f>
        <v/>
      </c>
      <c r="K187" s="76">
        <f>(((Table134567891011121314151617343[[#This Row],[ESP]]-VLOOKUP($U$1,A:E,5,))/VLOOKUP($U$1,A:E,5,))*100)+100</f>
        <v/>
      </c>
      <c r="L187" s="76">
        <f>(((Table134567891011121314151617343[[#This Row],[EA19]]-VLOOKUP($U$1,A:F,6,))/VLOOKUP($U$1,A:F,6,))*100)+100</f>
        <v/>
      </c>
      <c r="M187" s="76">
        <f>(((Table134567891011121314151617343[[#This Row],[GBR]]-VLOOKUP($U$1,A:G,7,))/VLOOKUP($U$1,A:G,7,))*100)+100</f>
        <v/>
      </c>
      <c r="N187" s="76">
        <f>IF(VLOOKUP(A187,Database!$A:$AU,MATCH($N$1,Database!$A$1:$AU$1,0),FALSE)=0,#N/A,VLOOKUP(A187,Database!$A:$AU,MATCH($N$1,Database!$A$1:$AU$1,0),FALSE))</f>
        <v/>
      </c>
      <c r="O187" s="76">
        <f>(((Table134567891011121314151617343[[#This Row],[USA]]-VLOOKUP($U$1,A:N,14,))/VLOOKUP($U$1,A:N,14,))*100)+100</f>
        <v/>
      </c>
      <c r="P187" s="76">
        <f>IF(VLOOKUP(A187,Database!$A:$AS,MATCH($P$1,Database!$A$1:$AS$1,0),FALSE)=0,#N/A,VLOOKUP(A187,Database!$A:$AS,MATCH($P$1,Database!$A$1:$AS$1,0),FALSE))</f>
        <v/>
      </c>
      <c r="Q187" s="76">
        <f>(((Table134567891011121314151617343[[#This Row],[JPN]]-VLOOKUP($U$1,A:Q,16,))/VLOOKUP($U$1,A:Q,16,))*100)+100</f>
        <v/>
      </c>
    </row>
    <row r="188" customFormat="1" s="86">
      <c r="A188" s="21" t="n">
        <v>38534</v>
      </c>
      <c r="B188" s="76">
        <f>IF(VLOOKUP(A188,Database!$A:$AS,MATCH($B$1,Database!$A$1:$AS$1,0),FALSE)=0,#N/A,VLOOKUP(A188,Database!$A:$AS,MATCH($B$1,Database!$A$1:$AS$1,0),FALSE))</f>
        <v/>
      </c>
      <c r="C188" s="76">
        <f>IF(VLOOKUP(A188,Database!$A:$AS,MATCH($C$1,Database!$A$1:$AS$1,0),FALSE)=0,#N/A,VLOOKUP(A188,Database!$A:$AS,MATCH($C$1,Database!$A$1:$AS$1,0),FALSE))</f>
        <v/>
      </c>
      <c r="D188" s="76">
        <f>IF(VLOOKUP(A188,Database!$A:$AS,MATCH($D$1,Database!$A$1:$AS$1,0),FALSE)=0,#N/A,VLOOKUP(A188,Database!$A:$AS,MATCH($D$1,Database!$A$1:$AS$1,0),FALSE))</f>
        <v/>
      </c>
      <c r="E188" s="76">
        <f>IF(VLOOKUP(A188,Database!$A:$AS,MATCH($E$1,Database!$A$1:$AS$1,0),FALSE)=0,#N/A,VLOOKUP(A188,Database!$A:$AS,MATCH($E$1,Database!$A$1:$AS$1,0),FALSE))</f>
        <v/>
      </c>
      <c r="F188" s="76">
        <f>IF(VLOOKUP(A188,Database!$A:$AS,MATCH($F$1,Database!$A$1:$AS$1,0),FALSE)=0,#N/A,VLOOKUP(A188,Database!$A:$AS,MATCH($F$1,Database!$A$1:$AS$1,0),FALSE))</f>
        <v/>
      </c>
      <c r="G188" s="76">
        <f>IF(VLOOKUP(A188,Database!$A:$AS,MATCH($G$1,Database!$A$1:$AS$1,0),FALSE)=0,#N/A,VLOOKUP(A188,Database!$A:$AS,MATCH($G$1,Database!$A$1:$AS$1,0),FALSE))</f>
        <v/>
      </c>
      <c r="H188" s="76">
        <f>(((Table134567891011121314151617343[[#This Row],[ITA]]-VLOOKUP($U$1,A:B,2,))/VLOOKUP($U$1,A:B,2,))*100)+100</f>
        <v/>
      </c>
      <c r="I188" s="76">
        <f>(((Table134567891011121314151617343[[#This Row],[FRA]]-VLOOKUP($U$1,A:C,3,))/VLOOKUP($U$1,A:C,3,))*100)+100</f>
        <v/>
      </c>
      <c r="J188" s="76">
        <f>(((Table134567891011121314151617343[[#This Row],[DEU]]-VLOOKUP($U$1,A:D,4,))/VLOOKUP($U$1,A:D,4,))*100)+100</f>
        <v/>
      </c>
      <c r="K188" s="76">
        <f>(((Table134567891011121314151617343[[#This Row],[ESP]]-VLOOKUP($U$1,A:E,5,))/VLOOKUP($U$1,A:E,5,))*100)+100</f>
        <v/>
      </c>
      <c r="L188" s="76">
        <f>(((Table134567891011121314151617343[[#This Row],[EA19]]-VLOOKUP($U$1,A:F,6,))/VLOOKUP($U$1,A:F,6,))*100)+100</f>
        <v/>
      </c>
      <c r="M188" s="76">
        <f>(((Table134567891011121314151617343[[#This Row],[GBR]]-VLOOKUP($U$1,A:G,7,))/VLOOKUP($U$1,A:G,7,))*100)+100</f>
        <v/>
      </c>
      <c r="N188" s="76">
        <f>IF(VLOOKUP(A188,Database!$A:$AU,MATCH($N$1,Database!$A$1:$AU$1,0),FALSE)=0,#N/A,VLOOKUP(A188,Database!$A:$AU,MATCH($N$1,Database!$A$1:$AU$1,0),FALSE))</f>
        <v/>
      </c>
      <c r="O188" s="76">
        <f>(((Table134567891011121314151617343[[#This Row],[USA]]-VLOOKUP($U$1,A:N,14,))/VLOOKUP($U$1,A:N,14,))*100)+100</f>
        <v/>
      </c>
      <c r="P188" s="76">
        <f>IF(VLOOKUP(A188,Database!$A:$AS,MATCH($P$1,Database!$A$1:$AS$1,0),FALSE)=0,#N/A,VLOOKUP(A188,Database!$A:$AS,MATCH($P$1,Database!$A$1:$AS$1,0),FALSE))</f>
        <v/>
      </c>
      <c r="Q188" s="76">
        <f>(((Table134567891011121314151617343[[#This Row],[JPN]]-VLOOKUP($U$1,A:Q,16,))/VLOOKUP($U$1,A:Q,16,))*100)+100</f>
        <v/>
      </c>
    </row>
    <row r="189" customFormat="1" s="86">
      <c r="A189" s="21" t="n">
        <v>38565</v>
      </c>
      <c r="B189" s="76">
        <f>IF(VLOOKUP(A189,Database!$A:$AS,MATCH($B$1,Database!$A$1:$AS$1,0),FALSE)=0,#N/A,VLOOKUP(A189,Database!$A:$AS,MATCH($B$1,Database!$A$1:$AS$1,0),FALSE))</f>
        <v/>
      </c>
      <c r="C189" s="76">
        <f>IF(VLOOKUP(A189,Database!$A:$AS,MATCH($C$1,Database!$A$1:$AS$1,0),FALSE)=0,#N/A,VLOOKUP(A189,Database!$A:$AS,MATCH($C$1,Database!$A$1:$AS$1,0),FALSE))</f>
        <v/>
      </c>
      <c r="D189" s="76">
        <f>IF(VLOOKUP(A189,Database!$A:$AS,MATCH($D$1,Database!$A$1:$AS$1,0),FALSE)=0,#N/A,VLOOKUP(A189,Database!$A:$AS,MATCH($D$1,Database!$A$1:$AS$1,0),FALSE))</f>
        <v/>
      </c>
      <c r="E189" s="76">
        <f>IF(VLOOKUP(A189,Database!$A:$AS,MATCH($E$1,Database!$A$1:$AS$1,0),FALSE)=0,#N/A,VLOOKUP(A189,Database!$A:$AS,MATCH($E$1,Database!$A$1:$AS$1,0),FALSE))</f>
        <v/>
      </c>
      <c r="F189" s="76">
        <f>IF(VLOOKUP(A189,Database!$A:$AS,MATCH($F$1,Database!$A$1:$AS$1,0),FALSE)=0,#N/A,VLOOKUP(A189,Database!$A:$AS,MATCH($F$1,Database!$A$1:$AS$1,0),FALSE))</f>
        <v/>
      </c>
      <c r="G189" s="76">
        <f>IF(VLOOKUP(A189,Database!$A:$AS,MATCH($G$1,Database!$A$1:$AS$1,0),FALSE)=0,#N/A,VLOOKUP(A189,Database!$A:$AS,MATCH($G$1,Database!$A$1:$AS$1,0),FALSE))</f>
        <v/>
      </c>
      <c r="H189" s="76">
        <f>(((Table134567891011121314151617343[[#This Row],[ITA]]-VLOOKUP($U$1,A:B,2,))/VLOOKUP($U$1,A:B,2,))*100)+100</f>
        <v/>
      </c>
      <c r="I189" s="76">
        <f>(((Table134567891011121314151617343[[#This Row],[FRA]]-VLOOKUP($U$1,A:C,3,))/VLOOKUP($U$1,A:C,3,))*100)+100</f>
        <v/>
      </c>
      <c r="J189" s="76">
        <f>(((Table134567891011121314151617343[[#This Row],[DEU]]-VLOOKUP($U$1,A:D,4,))/VLOOKUP($U$1,A:D,4,))*100)+100</f>
        <v/>
      </c>
      <c r="K189" s="76">
        <f>(((Table134567891011121314151617343[[#This Row],[ESP]]-VLOOKUP($U$1,A:E,5,))/VLOOKUP($U$1,A:E,5,))*100)+100</f>
        <v/>
      </c>
      <c r="L189" s="76">
        <f>(((Table134567891011121314151617343[[#This Row],[EA19]]-VLOOKUP($U$1,A:F,6,))/VLOOKUP($U$1,A:F,6,))*100)+100</f>
        <v/>
      </c>
      <c r="M189" s="76">
        <f>(((Table134567891011121314151617343[[#This Row],[GBR]]-VLOOKUP($U$1,A:G,7,))/VLOOKUP($U$1,A:G,7,))*100)+100</f>
        <v/>
      </c>
      <c r="N189" s="76">
        <f>IF(VLOOKUP(A189,Database!$A:$AU,MATCH($N$1,Database!$A$1:$AU$1,0),FALSE)=0,#N/A,VLOOKUP(A189,Database!$A:$AU,MATCH($N$1,Database!$A$1:$AU$1,0),FALSE))</f>
        <v/>
      </c>
      <c r="O189" s="76">
        <f>(((Table134567891011121314151617343[[#This Row],[USA]]-VLOOKUP($U$1,A:N,14,))/VLOOKUP($U$1,A:N,14,))*100)+100</f>
        <v/>
      </c>
      <c r="P189" s="76">
        <f>IF(VLOOKUP(A189,Database!$A:$AS,MATCH($P$1,Database!$A$1:$AS$1,0),FALSE)=0,#N/A,VLOOKUP(A189,Database!$A:$AS,MATCH($P$1,Database!$A$1:$AS$1,0),FALSE))</f>
        <v/>
      </c>
      <c r="Q189" s="76">
        <f>(((Table134567891011121314151617343[[#This Row],[JPN]]-VLOOKUP($U$1,A:Q,16,))/VLOOKUP($U$1,A:Q,16,))*100)+100</f>
        <v/>
      </c>
    </row>
    <row r="190" customFormat="1" s="86">
      <c r="A190" s="21" t="n">
        <v>38596</v>
      </c>
      <c r="B190" s="76">
        <f>IF(VLOOKUP(A190,Database!$A:$AS,MATCH($B$1,Database!$A$1:$AS$1,0),FALSE)=0,#N/A,VLOOKUP(A190,Database!$A:$AS,MATCH($B$1,Database!$A$1:$AS$1,0),FALSE))</f>
        <v/>
      </c>
      <c r="C190" s="76">
        <f>IF(VLOOKUP(A190,Database!$A:$AS,MATCH($C$1,Database!$A$1:$AS$1,0),FALSE)=0,#N/A,VLOOKUP(A190,Database!$A:$AS,MATCH($C$1,Database!$A$1:$AS$1,0),FALSE))</f>
        <v/>
      </c>
      <c r="D190" s="76">
        <f>IF(VLOOKUP(A190,Database!$A:$AS,MATCH($D$1,Database!$A$1:$AS$1,0),FALSE)=0,#N/A,VLOOKUP(A190,Database!$A:$AS,MATCH($D$1,Database!$A$1:$AS$1,0),FALSE))</f>
        <v/>
      </c>
      <c r="E190" s="76">
        <f>IF(VLOOKUP(A190,Database!$A:$AS,MATCH($E$1,Database!$A$1:$AS$1,0),FALSE)=0,#N/A,VLOOKUP(A190,Database!$A:$AS,MATCH($E$1,Database!$A$1:$AS$1,0),FALSE))</f>
        <v/>
      </c>
      <c r="F190" s="76">
        <f>IF(VLOOKUP(A190,Database!$A:$AS,MATCH($F$1,Database!$A$1:$AS$1,0),FALSE)=0,#N/A,VLOOKUP(A190,Database!$A:$AS,MATCH($F$1,Database!$A$1:$AS$1,0),FALSE))</f>
        <v/>
      </c>
      <c r="G190" s="76">
        <f>IF(VLOOKUP(A190,Database!$A:$AS,MATCH($G$1,Database!$A$1:$AS$1,0),FALSE)=0,#N/A,VLOOKUP(A190,Database!$A:$AS,MATCH($G$1,Database!$A$1:$AS$1,0),FALSE))</f>
        <v/>
      </c>
      <c r="H190" s="76">
        <f>(((Table134567891011121314151617343[[#This Row],[ITA]]-VLOOKUP($U$1,A:B,2,))/VLOOKUP($U$1,A:B,2,))*100)+100</f>
        <v/>
      </c>
      <c r="I190" s="76">
        <f>(((Table134567891011121314151617343[[#This Row],[FRA]]-VLOOKUP($U$1,A:C,3,))/VLOOKUP($U$1,A:C,3,))*100)+100</f>
        <v/>
      </c>
      <c r="J190" s="76">
        <f>(((Table134567891011121314151617343[[#This Row],[DEU]]-VLOOKUP($U$1,A:D,4,))/VLOOKUP($U$1,A:D,4,))*100)+100</f>
        <v/>
      </c>
      <c r="K190" s="76">
        <f>(((Table134567891011121314151617343[[#This Row],[ESP]]-VLOOKUP($U$1,A:E,5,))/VLOOKUP($U$1,A:E,5,))*100)+100</f>
        <v/>
      </c>
      <c r="L190" s="76">
        <f>(((Table134567891011121314151617343[[#This Row],[EA19]]-VLOOKUP($U$1,A:F,6,))/VLOOKUP($U$1,A:F,6,))*100)+100</f>
        <v/>
      </c>
      <c r="M190" s="76">
        <f>(((Table134567891011121314151617343[[#This Row],[GBR]]-VLOOKUP($U$1,A:G,7,))/VLOOKUP($U$1,A:G,7,))*100)+100</f>
        <v/>
      </c>
      <c r="N190" s="76">
        <f>IF(VLOOKUP(A190,Database!$A:$AU,MATCH($N$1,Database!$A$1:$AU$1,0),FALSE)=0,#N/A,VLOOKUP(A190,Database!$A:$AU,MATCH($N$1,Database!$A$1:$AU$1,0),FALSE))</f>
        <v/>
      </c>
      <c r="O190" s="76">
        <f>(((Table134567891011121314151617343[[#This Row],[USA]]-VLOOKUP($U$1,A:N,14,))/VLOOKUP($U$1,A:N,14,))*100)+100</f>
        <v/>
      </c>
      <c r="P190" s="76">
        <f>IF(VLOOKUP(A190,Database!$A:$AS,MATCH($P$1,Database!$A$1:$AS$1,0),FALSE)=0,#N/A,VLOOKUP(A190,Database!$A:$AS,MATCH($P$1,Database!$A$1:$AS$1,0),FALSE))</f>
        <v/>
      </c>
      <c r="Q190" s="76">
        <f>(((Table134567891011121314151617343[[#This Row],[JPN]]-VLOOKUP($U$1,A:Q,16,))/VLOOKUP($U$1,A:Q,16,))*100)+100</f>
        <v/>
      </c>
    </row>
    <row r="191" customFormat="1" s="86">
      <c r="A191" s="21" t="n">
        <v>38626</v>
      </c>
      <c r="B191" s="76">
        <f>IF(VLOOKUP(A191,Database!$A:$AS,MATCH($B$1,Database!$A$1:$AS$1,0),FALSE)=0,#N/A,VLOOKUP(A191,Database!$A:$AS,MATCH($B$1,Database!$A$1:$AS$1,0),FALSE))</f>
        <v/>
      </c>
      <c r="C191" s="76">
        <f>IF(VLOOKUP(A191,Database!$A:$AS,MATCH($C$1,Database!$A$1:$AS$1,0),FALSE)=0,#N/A,VLOOKUP(A191,Database!$A:$AS,MATCH($C$1,Database!$A$1:$AS$1,0),FALSE))</f>
        <v/>
      </c>
      <c r="D191" s="76">
        <f>IF(VLOOKUP(A191,Database!$A:$AS,MATCH($D$1,Database!$A$1:$AS$1,0),FALSE)=0,#N/A,VLOOKUP(A191,Database!$A:$AS,MATCH($D$1,Database!$A$1:$AS$1,0),FALSE))</f>
        <v/>
      </c>
      <c r="E191" s="76">
        <f>IF(VLOOKUP(A191,Database!$A:$AS,MATCH($E$1,Database!$A$1:$AS$1,0),FALSE)=0,#N/A,VLOOKUP(A191,Database!$A:$AS,MATCH($E$1,Database!$A$1:$AS$1,0),FALSE))</f>
        <v/>
      </c>
      <c r="F191" s="76">
        <f>IF(VLOOKUP(A191,Database!$A:$AS,MATCH($F$1,Database!$A$1:$AS$1,0),FALSE)=0,#N/A,VLOOKUP(A191,Database!$A:$AS,MATCH($F$1,Database!$A$1:$AS$1,0),FALSE))</f>
        <v/>
      </c>
      <c r="G191" s="76">
        <f>IF(VLOOKUP(A191,Database!$A:$AS,MATCH($G$1,Database!$A$1:$AS$1,0),FALSE)=0,#N/A,VLOOKUP(A191,Database!$A:$AS,MATCH($G$1,Database!$A$1:$AS$1,0),FALSE))</f>
        <v/>
      </c>
      <c r="H191" s="76">
        <f>(((Table134567891011121314151617343[[#This Row],[ITA]]-VLOOKUP($U$1,A:B,2,))/VLOOKUP($U$1,A:B,2,))*100)+100</f>
        <v/>
      </c>
      <c r="I191" s="76">
        <f>(((Table134567891011121314151617343[[#This Row],[FRA]]-VLOOKUP($U$1,A:C,3,))/VLOOKUP($U$1,A:C,3,))*100)+100</f>
        <v/>
      </c>
      <c r="J191" s="76">
        <f>(((Table134567891011121314151617343[[#This Row],[DEU]]-VLOOKUP($U$1,A:D,4,))/VLOOKUP($U$1,A:D,4,))*100)+100</f>
        <v/>
      </c>
      <c r="K191" s="76">
        <f>(((Table134567891011121314151617343[[#This Row],[ESP]]-VLOOKUP($U$1,A:E,5,))/VLOOKUP($U$1,A:E,5,))*100)+100</f>
        <v/>
      </c>
      <c r="L191" s="76">
        <f>(((Table134567891011121314151617343[[#This Row],[EA19]]-VLOOKUP($U$1,A:F,6,))/VLOOKUP($U$1,A:F,6,))*100)+100</f>
        <v/>
      </c>
      <c r="M191" s="76">
        <f>(((Table134567891011121314151617343[[#This Row],[GBR]]-VLOOKUP($U$1,A:G,7,))/VLOOKUP($U$1,A:G,7,))*100)+100</f>
        <v/>
      </c>
      <c r="N191" s="76">
        <f>IF(VLOOKUP(A191,Database!$A:$AU,MATCH($N$1,Database!$A$1:$AU$1,0),FALSE)=0,#N/A,VLOOKUP(A191,Database!$A:$AU,MATCH($N$1,Database!$A$1:$AU$1,0),FALSE))</f>
        <v/>
      </c>
      <c r="O191" s="76">
        <f>(((Table134567891011121314151617343[[#This Row],[USA]]-VLOOKUP($U$1,A:N,14,))/VLOOKUP($U$1,A:N,14,))*100)+100</f>
        <v/>
      </c>
      <c r="P191" s="76">
        <f>IF(VLOOKUP(A191,Database!$A:$AS,MATCH($P$1,Database!$A$1:$AS$1,0),FALSE)=0,#N/A,VLOOKUP(A191,Database!$A:$AS,MATCH($P$1,Database!$A$1:$AS$1,0),FALSE))</f>
        <v/>
      </c>
      <c r="Q191" s="76">
        <f>(((Table134567891011121314151617343[[#This Row],[JPN]]-VLOOKUP($U$1,A:Q,16,))/VLOOKUP($U$1,A:Q,16,))*100)+100</f>
        <v/>
      </c>
    </row>
    <row r="192" customFormat="1" s="86">
      <c r="A192" s="21" t="n">
        <v>38657</v>
      </c>
      <c r="B192" s="76">
        <f>IF(VLOOKUP(A192,Database!$A:$AS,MATCH($B$1,Database!$A$1:$AS$1,0),FALSE)=0,#N/A,VLOOKUP(A192,Database!$A:$AS,MATCH($B$1,Database!$A$1:$AS$1,0),FALSE))</f>
        <v/>
      </c>
      <c r="C192" s="76">
        <f>IF(VLOOKUP(A192,Database!$A:$AS,MATCH($C$1,Database!$A$1:$AS$1,0),FALSE)=0,#N/A,VLOOKUP(A192,Database!$A:$AS,MATCH($C$1,Database!$A$1:$AS$1,0),FALSE))</f>
        <v/>
      </c>
      <c r="D192" s="76">
        <f>IF(VLOOKUP(A192,Database!$A:$AS,MATCH($D$1,Database!$A$1:$AS$1,0),FALSE)=0,#N/A,VLOOKUP(A192,Database!$A:$AS,MATCH($D$1,Database!$A$1:$AS$1,0),FALSE))</f>
        <v/>
      </c>
      <c r="E192" s="76">
        <f>IF(VLOOKUP(A192,Database!$A:$AS,MATCH($E$1,Database!$A$1:$AS$1,0),FALSE)=0,#N/A,VLOOKUP(A192,Database!$A:$AS,MATCH($E$1,Database!$A$1:$AS$1,0),FALSE))</f>
        <v/>
      </c>
      <c r="F192" s="76">
        <f>IF(VLOOKUP(A192,Database!$A:$AS,MATCH($F$1,Database!$A$1:$AS$1,0),FALSE)=0,#N/A,VLOOKUP(A192,Database!$A:$AS,MATCH($F$1,Database!$A$1:$AS$1,0),FALSE))</f>
        <v/>
      </c>
      <c r="G192" s="76">
        <f>IF(VLOOKUP(A192,Database!$A:$AS,MATCH($G$1,Database!$A$1:$AS$1,0),FALSE)=0,#N/A,VLOOKUP(A192,Database!$A:$AS,MATCH($G$1,Database!$A$1:$AS$1,0),FALSE))</f>
        <v/>
      </c>
      <c r="H192" s="76">
        <f>(((Table134567891011121314151617343[[#This Row],[ITA]]-VLOOKUP($U$1,A:B,2,))/VLOOKUP($U$1,A:B,2,))*100)+100</f>
        <v/>
      </c>
      <c r="I192" s="76">
        <f>(((Table134567891011121314151617343[[#This Row],[FRA]]-VLOOKUP($U$1,A:C,3,))/VLOOKUP($U$1,A:C,3,))*100)+100</f>
        <v/>
      </c>
      <c r="J192" s="76">
        <f>(((Table134567891011121314151617343[[#This Row],[DEU]]-VLOOKUP($U$1,A:D,4,))/VLOOKUP($U$1,A:D,4,))*100)+100</f>
        <v/>
      </c>
      <c r="K192" s="76">
        <f>(((Table134567891011121314151617343[[#This Row],[ESP]]-VLOOKUP($U$1,A:E,5,))/VLOOKUP($U$1,A:E,5,))*100)+100</f>
        <v/>
      </c>
      <c r="L192" s="76">
        <f>(((Table134567891011121314151617343[[#This Row],[EA19]]-VLOOKUP($U$1,A:F,6,))/VLOOKUP($U$1,A:F,6,))*100)+100</f>
        <v/>
      </c>
      <c r="M192" s="76">
        <f>(((Table134567891011121314151617343[[#This Row],[GBR]]-VLOOKUP($U$1,A:G,7,))/VLOOKUP($U$1,A:G,7,))*100)+100</f>
        <v/>
      </c>
      <c r="N192" s="76">
        <f>IF(VLOOKUP(A192,Database!$A:$AU,MATCH($N$1,Database!$A$1:$AU$1,0),FALSE)=0,#N/A,VLOOKUP(A192,Database!$A:$AU,MATCH($N$1,Database!$A$1:$AU$1,0),FALSE))</f>
        <v/>
      </c>
      <c r="O192" s="76">
        <f>(((Table134567891011121314151617343[[#This Row],[USA]]-VLOOKUP($U$1,A:N,14,))/VLOOKUP($U$1,A:N,14,))*100)+100</f>
        <v/>
      </c>
      <c r="P192" s="76">
        <f>IF(VLOOKUP(A192,Database!$A:$AS,MATCH($P$1,Database!$A$1:$AS$1,0),FALSE)=0,#N/A,VLOOKUP(A192,Database!$A:$AS,MATCH($P$1,Database!$A$1:$AS$1,0),FALSE))</f>
        <v/>
      </c>
      <c r="Q192" s="76">
        <f>(((Table134567891011121314151617343[[#This Row],[JPN]]-VLOOKUP($U$1,A:Q,16,))/VLOOKUP($U$1,A:Q,16,))*100)+100</f>
        <v/>
      </c>
    </row>
    <row r="193" customFormat="1" s="86">
      <c r="A193" s="21" t="n">
        <v>38687</v>
      </c>
      <c r="B193" s="76">
        <f>IF(VLOOKUP(A193,Database!$A:$AS,MATCH($B$1,Database!$A$1:$AS$1,0),FALSE)=0,#N/A,VLOOKUP(A193,Database!$A:$AS,MATCH($B$1,Database!$A$1:$AS$1,0),FALSE))</f>
        <v/>
      </c>
      <c r="C193" s="76">
        <f>IF(VLOOKUP(A193,Database!$A:$AS,MATCH($C$1,Database!$A$1:$AS$1,0),FALSE)=0,#N/A,VLOOKUP(A193,Database!$A:$AS,MATCH($C$1,Database!$A$1:$AS$1,0),FALSE))</f>
        <v/>
      </c>
      <c r="D193" s="76">
        <f>IF(VLOOKUP(A193,Database!$A:$AS,MATCH($D$1,Database!$A$1:$AS$1,0),FALSE)=0,#N/A,VLOOKUP(A193,Database!$A:$AS,MATCH($D$1,Database!$A$1:$AS$1,0),FALSE))</f>
        <v/>
      </c>
      <c r="E193" s="76">
        <f>IF(VLOOKUP(A193,Database!$A:$AS,MATCH($E$1,Database!$A$1:$AS$1,0),FALSE)=0,#N/A,VLOOKUP(A193,Database!$A:$AS,MATCH($E$1,Database!$A$1:$AS$1,0),FALSE))</f>
        <v/>
      </c>
      <c r="F193" s="76">
        <f>IF(VLOOKUP(A193,Database!$A:$AS,MATCH($F$1,Database!$A$1:$AS$1,0),FALSE)=0,#N/A,VLOOKUP(A193,Database!$A:$AS,MATCH($F$1,Database!$A$1:$AS$1,0),FALSE))</f>
        <v/>
      </c>
      <c r="G193" s="76">
        <f>IF(VLOOKUP(A193,Database!$A:$AS,MATCH($G$1,Database!$A$1:$AS$1,0),FALSE)=0,#N/A,VLOOKUP(A193,Database!$A:$AS,MATCH($G$1,Database!$A$1:$AS$1,0),FALSE))</f>
        <v/>
      </c>
      <c r="H193" s="76">
        <f>(((Table134567891011121314151617343[[#This Row],[ITA]]-VLOOKUP($U$1,A:B,2,))/VLOOKUP($U$1,A:B,2,))*100)+100</f>
        <v/>
      </c>
      <c r="I193" s="76">
        <f>(((Table134567891011121314151617343[[#This Row],[FRA]]-VLOOKUP($U$1,A:C,3,))/VLOOKUP($U$1,A:C,3,))*100)+100</f>
        <v/>
      </c>
      <c r="J193" s="76">
        <f>(((Table134567891011121314151617343[[#This Row],[DEU]]-VLOOKUP($U$1,A:D,4,))/VLOOKUP($U$1,A:D,4,))*100)+100</f>
        <v/>
      </c>
      <c r="K193" s="76">
        <f>(((Table134567891011121314151617343[[#This Row],[ESP]]-VLOOKUP($U$1,A:E,5,))/VLOOKUP($U$1,A:E,5,))*100)+100</f>
        <v/>
      </c>
      <c r="L193" s="76">
        <f>(((Table134567891011121314151617343[[#This Row],[EA19]]-VLOOKUP($U$1,A:F,6,))/VLOOKUP($U$1,A:F,6,))*100)+100</f>
        <v/>
      </c>
      <c r="M193" s="76">
        <f>(((Table134567891011121314151617343[[#This Row],[GBR]]-VLOOKUP($U$1,A:G,7,))/VLOOKUP($U$1,A:G,7,))*100)+100</f>
        <v/>
      </c>
      <c r="N193" s="76">
        <f>IF(VLOOKUP(A193,Database!$A:$AU,MATCH($N$1,Database!$A$1:$AU$1,0),FALSE)=0,#N/A,VLOOKUP(A193,Database!$A:$AU,MATCH($N$1,Database!$A$1:$AU$1,0),FALSE))</f>
        <v/>
      </c>
      <c r="O193" s="76">
        <f>(((Table134567891011121314151617343[[#This Row],[USA]]-VLOOKUP($U$1,A:N,14,))/VLOOKUP($U$1,A:N,14,))*100)+100</f>
        <v/>
      </c>
      <c r="P193" s="76">
        <f>IF(VLOOKUP(A193,Database!$A:$AS,MATCH($P$1,Database!$A$1:$AS$1,0),FALSE)=0,#N/A,VLOOKUP(A193,Database!$A:$AS,MATCH($P$1,Database!$A$1:$AS$1,0),FALSE))</f>
        <v/>
      </c>
      <c r="Q193" s="76">
        <f>(((Table134567891011121314151617343[[#This Row],[JPN]]-VLOOKUP($U$1,A:Q,16,))/VLOOKUP($U$1,A:Q,16,))*100)+100</f>
        <v/>
      </c>
    </row>
    <row r="194" customFormat="1" s="86">
      <c r="A194" s="21" t="n">
        <v>38718</v>
      </c>
      <c r="B194" s="76">
        <f>IF(VLOOKUP(A194,Database!$A:$AS,MATCH($B$1,Database!$A$1:$AS$1,0),FALSE)=0,#N/A,VLOOKUP(A194,Database!$A:$AS,MATCH($B$1,Database!$A$1:$AS$1,0),FALSE))</f>
        <v/>
      </c>
      <c r="C194" s="76">
        <f>IF(VLOOKUP(A194,Database!$A:$AS,MATCH($C$1,Database!$A$1:$AS$1,0),FALSE)=0,#N/A,VLOOKUP(A194,Database!$A:$AS,MATCH($C$1,Database!$A$1:$AS$1,0),FALSE))</f>
        <v/>
      </c>
      <c r="D194" s="76">
        <f>IF(VLOOKUP(A194,Database!$A:$AS,MATCH($D$1,Database!$A$1:$AS$1,0),FALSE)=0,#N/A,VLOOKUP(A194,Database!$A:$AS,MATCH($D$1,Database!$A$1:$AS$1,0),FALSE))</f>
        <v/>
      </c>
      <c r="E194" s="76">
        <f>IF(VLOOKUP(A194,Database!$A:$AS,MATCH($E$1,Database!$A$1:$AS$1,0),FALSE)=0,#N/A,VLOOKUP(A194,Database!$A:$AS,MATCH($E$1,Database!$A$1:$AS$1,0),FALSE))</f>
        <v/>
      </c>
      <c r="F194" s="76">
        <f>IF(VLOOKUP(A194,Database!$A:$AS,MATCH($F$1,Database!$A$1:$AS$1,0),FALSE)=0,#N/A,VLOOKUP(A194,Database!$A:$AS,MATCH($F$1,Database!$A$1:$AS$1,0),FALSE))</f>
        <v/>
      </c>
      <c r="G194" s="76">
        <f>IF(VLOOKUP(A194,Database!$A:$AS,MATCH($G$1,Database!$A$1:$AS$1,0),FALSE)=0,#N/A,VLOOKUP(A194,Database!$A:$AS,MATCH($G$1,Database!$A$1:$AS$1,0),FALSE))</f>
        <v/>
      </c>
      <c r="H194" s="76">
        <f>(((Table134567891011121314151617343[[#This Row],[ITA]]-VLOOKUP($U$1,A:B,2,))/VLOOKUP($U$1,A:B,2,))*100)+100</f>
        <v/>
      </c>
      <c r="I194" s="76">
        <f>(((Table134567891011121314151617343[[#This Row],[FRA]]-VLOOKUP($U$1,A:C,3,))/VLOOKUP($U$1,A:C,3,))*100)+100</f>
        <v/>
      </c>
      <c r="J194" s="76">
        <f>(((Table134567891011121314151617343[[#This Row],[DEU]]-VLOOKUP($U$1,A:D,4,))/VLOOKUP($U$1,A:D,4,))*100)+100</f>
        <v/>
      </c>
      <c r="K194" s="76">
        <f>(((Table134567891011121314151617343[[#This Row],[ESP]]-VLOOKUP($U$1,A:E,5,))/VLOOKUP($U$1,A:E,5,))*100)+100</f>
        <v/>
      </c>
      <c r="L194" s="76">
        <f>(((Table134567891011121314151617343[[#This Row],[EA19]]-VLOOKUP($U$1,A:F,6,))/VLOOKUP($U$1,A:F,6,))*100)+100</f>
        <v/>
      </c>
      <c r="M194" s="76">
        <f>(((Table134567891011121314151617343[[#This Row],[GBR]]-VLOOKUP($U$1,A:G,7,))/VLOOKUP($U$1,A:G,7,))*100)+100</f>
        <v/>
      </c>
      <c r="N194" s="76">
        <f>IF(VLOOKUP(A194,Database!$A:$AU,MATCH($N$1,Database!$A$1:$AU$1,0),FALSE)=0,#N/A,VLOOKUP(A194,Database!$A:$AU,MATCH($N$1,Database!$A$1:$AU$1,0),FALSE))</f>
        <v/>
      </c>
      <c r="O194" s="76">
        <f>(((Table134567891011121314151617343[[#This Row],[USA]]-VLOOKUP($U$1,A:N,14,))/VLOOKUP($U$1,A:N,14,))*100)+100</f>
        <v/>
      </c>
      <c r="P194" s="76">
        <f>IF(VLOOKUP(A194,Database!$A:$AS,MATCH($P$1,Database!$A$1:$AS$1,0),FALSE)=0,#N/A,VLOOKUP(A194,Database!$A:$AS,MATCH($P$1,Database!$A$1:$AS$1,0),FALSE))</f>
        <v/>
      </c>
      <c r="Q194" s="76">
        <f>(((Table134567891011121314151617343[[#This Row],[JPN]]-VLOOKUP($U$1,A:Q,16,))/VLOOKUP($U$1,A:Q,16,))*100)+100</f>
        <v/>
      </c>
    </row>
    <row r="195" customFormat="1" s="86">
      <c r="A195" s="21" t="n">
        <v>38749</v>
      </c>
      <c r="B195" s="76">
        <f>IF(VLOOKUP(A195,Database!$A:$AS,MATCH($B$1,Database!$A$1:$AS$1,0),FALSE)=0,#N/A,VLOOKUP(A195,Database!$A:$AS,MATCH($B$1,Database!$A$1:$AS$1,0),FALSE))</f>
        <v/>
      </c>
      <c r="C195" s="76">
        <f>IF(VLOOKUP(A195,Database!$A:$AS,MATCH($C$1,Database!$A$1:$AS$1,0),FALSE)=0,#N/A,VLOOKUP(A195,Database!$A:$AS,MATCH($C$1,Database!$A$1:$AS$1,0),FALSE))</f>
        <v/>
      </c>
      <c r="D195" s="76">
        <f>IF(VLOOKUP(A195,Database!$A:$AS,MATCH($D$1,Database!$A$1:$AS$1,0),FALSE)=0,#N/A,VLOOKUP(A195,Database!$A:$AS,MATCH($D$1,Database!$A$1:$AS$1,0),FALSE))</f>
        <v/>
      </c>
      <c r="E195" s="76">
        <f>IF(VLOOKUP(A195,Database!$A:$AS,MATCH($E$1,Database!$A$1:$AS$1,0),FALSE)=0,#N/A,VLOOKUP(A195,Database!$A:$AS,MATCH($E$1,Database!$A$1:$AS$1,0),FALSE))</f>
        <v/>
      </c>
      <c r="F195" s="76">
        <f>IF(VLOOKUP(A195,Database!$A:$AS,MATCH($F$1,Database!$A$1:$AS$1,0),FALSE)=0,#N/A,VLOOKUP(A195,Database!$A:$AS,MATCH($F$1,Database!$A$1:$AS$1,0),FALSE))</f>
        <v/>
      </c>
      <c r="G195" s="76">
        <f>IF(VLOOKUP(A195,Database!$A:$AS,MATCH($G$1,Database!$A$1:$AS$1,0),FALSE)=0,#N/A,VLOOKUP(A195,Database!$A:$AS,MATCH($G$1,Database!$A$1:$AS$1,0),FALSE))</f>
        <v/>
      </c>
      <c r="H195" s="76">
        <f>(((Table134567891011121314151617343[[#This Row],[ITA]]-VLOOKUP($U$1,A:B,2,))/VLOOKUP($U$1,A:B,2,))*100)+100</f>
        <v/>
      </c>
      <c r="I195" s="76">
        <f>(((Table134567891011121314151617343[[#This Row],[FRA]]-VLOOKUP($U$1,A:C,3,))/VLOOKUP($U$1,A:C,3,))*100)+100</f>
        <v/>
      </c>
      <c r="J195" s="76">
        <f>(((Table134567891011121314151617343[[#This Row],[DEU]]-VLOOKUP($U$1,A:D,4,))/VLOOKUP($U$1,A:D,4,))*100)+100</f>
        <v/>
      </c>
      <c r="K195" s="76">
        <f>(((Table134567891011121314151617343[[#This Row],[ESP]]-VLOOKUP($U$1,A:E,5,))/VLOOKUP($U$1,A:E,5,))*100)+100</f>
        <v/>
      </c>
      <c r="L195" s="76">
        <f>(((Table134567891011121314151617343[[#This Row],[EA19]]-VLOOKUP($U$1,A:F,6,))/VLOOKUP($U$1,A:F,6,))*100)+100</f>
        <v/>
      </c>
      <c r="M195" s="76">
        <f>(((Table134567891011121314151617343[[#This Row],[GBR]]-VLOOKUP($U$1,A:G,7,))/VLOOKUP($U$1,A:G,7,))*100)+100</f>
        <v/>
      </c>
      <c r="N195" s="76">
        <f>IF(VLOOKUP(A195,Database!$A:$AU,MATCH($N$1,Database!$A$1:$AU$1,0),FALSE)=0,#N/A,VLOOKUP(A195,Database!$A:$AU,MATCH($N$1,Database!$A$1:$AU$1,0),FALSE))</f>
        <v/>
      </c>
      <c r="O195" s="76">
        <f>(((Table134567891011121314151617343[[#This Row],[USA]]-VLOOKUP($U$1,A:N,14,))/VLOOKUP($U$1,A:N,14,))*100)+100</f>
        <v/>
      </c>
      <c r="P195" s="76">
        <f>IF(VLOOKUP(A195,Database!$A:$AS,MATCH($P$1,Database!$A$1:$AS$1,0),FALSE)=0,#N/A,VLOOKUP(A195,Database!$A:$AS,MATCH($P$1,Database!$A$1:$AS$1,0),FALSE))</f>
        <v/>
      </c>
      <c r="Q195" s="76">
        <f>(((Table134567891011121314151617343[[#This Row],[JPN]]-VLOOKUP($U$1,A:Q,16,))/VLOOKUP($U$1,A:Q,16,))*100)+100</f>
        <v/>
      </c>
    </row>
    <row r="196" customFormat="1" s="86">
      <c r="A196" s="21" t="n">
        <v>38777</v>
      </c>
      <c r="B196" s="76">
        <f>IF(VLOOKUP(A196,Database!$A:$AS,MATCH($B$1,Database!$A$1:$AS$1,0),FALSE)=0,#N/A,VLOOKUP(A196,Database!$A:$AS,MATCH($B$1,Database!$A$1:$AS$1,0),FALSE))</f>
        <v/>
      </c>
      <c r="C196" s="76">
        <f>IF(VLOOKUP(A196,Database!$A:$AS,MATCH($C$1,Database!$A$1:$AS$1,0),FALSE)=0,#N/A,VLOOKUP(A196,Database!$A:$AS,MATCH($C$1,Database!$A$1:$AS$1,0),FALSE))</f>
        <v/>
      </c>
      <c r="D196" s="76">
        <f>IF(VLOOKUP(A196,Database!$A:$AS,MATCH($D$1,Database!$A$1:$AS$1,0),FALSE)=0,#N/A,VLOOKUP(A196,Database!$A:$AS,MATCH($D$1,Database!$A$1:$AS$1,0),FALSE))</f>
        <v/>
      </c>
      <c r="E196" s="76">
        <f>IF(VLOOKUP(A196,Database!$A:$AS,MATCH($E$1,Database!$A$1:$AS$1,0),FALSE)=0,#N/A,VLOOKUP(A196,Database!$A:$AS,MATCH($E$1,Database!$A$1:$AS$1,0),FALSE))</f>
        <v/>
      </c>
      <c r="F196" s="76">
        <f>IF(VLOOKUP(A196,Database!$A:$AS,MATCH($F$1,Database!$A$1:$AS$1,0),FALSE)=0,#N/A,VLOOKUP(A196,Database!$A:$AS,MATCH($F$1,Database!$A$1:$AS$1,0),FALSE))</f>
        <v/>
      </c>
      <c r="G196" s="76">
        <f>IF(VLOOKUP(A196,Database!$A:$AS,MATCH($G$1,Database!$A$1:$AS$1,0),FALSE)=0,#N/A,VLOOKUP(A196,Database!$A:$AS,MATCH($G$1,Database!$A$1:$AS$1,0),FALSE))</f>
        <v/>
      </c>
      <c r="H196" s="76">
        <f>(((Table134567891011121314151617343[[#This Row],[ITA]]-VLOOKUP($U$1,A:B,2,))/VLOOKUP($U$1,A:B,2,))*100)+100</f>
        <v/>
      </c>
      <c r="I196" s="76">
        <f>(((Table134567891011121314151617343[[#This Row],[FRA]]-VLOOKUP($U$1,A:C,3,))/VLOOKUP($U$1,A:C,3,))*100)+100</f>
        <v/>
      </c>
      <c r="J196" s="76">
        <f>(((Table134567891011121314151617343[[#This Row],[DEU]]-VLOOKUP($U$1,A:D,4,))/VLOOKUP($U$1,A:D,4,))*100)+100</f>
        <v/>
      </c>
      <c r="K196" s="76">
        <f>(((Table134567891011121314151617343[[#This Row],[ESP]]-VLOOKUP($U$1,A:E,5,))/VLOOKUP($U$1,A:E,5,))*100)+100</f>
        <v/>
      </c>
      <c r="L196" s="76">
        <f>(((Table134567891011121314151617343[[#This Row],[EA19]]-VLOOKUP($U$1,A:F,6,))/VLOOKUP($U$1,A:F,6,))*100)+100</f>
        <v/>
      </c>
      <c r="M196" s="76">
        <f>(((Table134567891011121314151617343[[#This Row],[GBR]]-VLOOKUP($U$1,A:G,7,))/VLOOKUP($U$1,A:G,7,))*100)+100</f>
        <v/>
      </c>
      <c r="N196" s="76">
        <f>IF(VLOOKUP(A196,Database!$A:$AU,MATCH($N$1,Database!$A$1:$AU$1,0),FALSE)=0,#N/A,VLOOKUP(A196,Database!$A:$AU,MATCH($N$1,Database!$A$1:$AU$1,0),FALSE))</f>
        <v/>
      </c>
      <c r="O196" s="76">
        <f>(((Table134567891011121314151617343[[#This Row],[USA]]-VLOOKUP($U$1,A:N,14,))/VLOOKUP($U$1,A:N,14,))*100)+100</f>
        <v/>
      </c>
      <c r="P196" s="76">
        <f>IF(VLOOKUP(A196,Database!$A:$AS,MATCH($P$1,Database!$A$1:$AS$1,0),FALSE)=0,#N/A,VLOOKUP(A196,Database!$A:$AS,MATCH($P$1,Database!$A$1:$AS$1,0),FALSE))</f>
        <v/>
      </c>
      <c r="Q196" s="76">
        <f>(((Table134567891011121314151617343[[#This Row],[JPN]]-VLOOKUP($U$1,A:Q,16,))/VLOOKUP($U$1,A:Q,16,))*100)+100</f>
        <v/>
      </c>
    </row>
    <row r="197" customFormat="1" s="86">
      <c r="A197" s="21" t="n">
        <v>38808</v>
      </c>
      <c r="B197" s="76">
        <f>IF(VLOOKUP(A197,Database!$A:$AS,MATCH($B$1,Database!$A$1:$AS$1,0),FALSE)=0,#N/A,VLOOKUP(A197,Database!$A:$AS,MATCH($B$1,Database!$A$1:$AS$1,0),FALSE))</f>
        <v/>
      </c>
      <c r="C197" s="76">
        <f>IF(VLOOKUP(A197,Database!$A:$AS,MATCH($C$1,Database!$A$1:$AS$1,0),FALSE)=0,#N/A,VLOOKUP(A197,Database!$A:$AS,MATCH($C$1,Database!$A$1:$AS$1,0),FALSE))</f>
        <v/>
      </c>
      <c r="D197" s="76">
        <f>IF(VLOOKUP(A197,Database!$A:$AS,MATCH($D$1,Database!$A$1:$AS$1,0),FALSE)=0,#N/A,VLOOKUP(A197,Database!$A:$AS,MATCH($D$1,Database!$A$1:$AS$1,0),FALSE))</f>
        <v/>
      </c>
      <c r="E197" s="76">
        <f>IF(VLOOKUP(A197,Database!$A:$AS,MATCH($E$1,Database!$A$1:$AS$1,0),FALSE)=0,#N/A,VLOOKUP(A197,Database!$A:$AS,MATCH($E$1,Database!$A$1:$AS$1,0),FALSE))</f>
        <v/>
      </c>
      <c r="F197" s="76">
        <f>IF(VLOOKUP(A197,Database!$A:$AS,MATCH($F$1,Database!$A$1:$AS$1,0),FALSE)=0,#N/A,VLOOKUP(A197,Database!$A:$AS,MATCH($F$1,Database!$A$1:$AS$1,0),FALSE))</f>
        <v/>
      </c>
      <c r="G197" s="76">
        <f>IF(VLOOKUP(A197,Database!$A:$AS,MATCH($G$1,Database!$A$1:$AS$1,0),FALSE)=0,#N/A,VLOOKUP(A197,Database!$A:$AS,MATCH($G$1,Database!$A$1:$AS$1,0),FALSE))</f>
        <v/>
      </c>
      <c r="H197" s="76">
        <f>(((Table134567891011121314151617343[[#This Row],[ITA]]-VLOOKUP($U$1,A:B,2,))/VLOOKUP($U$1,A:B,2,))*100)+100</f>
        <v/>
      </c>
      <c r="I197" s="76">
        <f>(((Table134567891011121314151617343[[#This Row],[FRA]]-VLOOKUP($U$1,A:C,3,))/VLOOKUP($U$1,A:C,3,))*100)+100</f>
        <v/>
      </c>
      <c r="J197" s="76">
        <f>(((Table134567891011121314151617343[[#This Row],[DEU]]-VLOOKUP($U$1,A:D,4,))/VLOOKUP($U$1,A:D,4,))*100)+100</f>
        <v/>
      </c>
      <c r="K197" s="76">
        <f>(((Table134567891011121314151617343[[#This Row],[ESP]]-VLOOKUP($U$1,A:E,5,))/VLOOKUP($U$1,A:E,5,))*100)+100</f>
        <v/>
      </c>
      <c r="L197" s="76">
        <f>(((Table134567891011121314151617343[[#This Row],[EA19]]-VLOOKUP($U$1,A:F,6,))/VLOOKUP($U$1,A:F,6,))*100)+100</f>
        <v/>
      </c>
      <c r="M197" s="76">
        <f>(((Table134567891011121314151617343[[#This Row],[GBR]]-VLOOKUP($U$1,A:G,7,))/VLOOKUP($U$1,A:G,7,))*100)+100</f>
        <v/>
      </c>
      <c r="N197" s="76">
        <f>IF(VLOOKUP(A197,Database!$A:$AU,MATCH($N$1,Database!$A$1:$AU$1,0),FALSE)=0,#N/A,VLOOKUP(A197,Database!$A:$AU,MATCH($N$1,Database!$A$1:$AU$1,0),FALSE))</f>
        <v/>
      </c>
      <c r="O197" s="76">
        <f>(((Table134567891011121314151617343[[#This Row],[USA]]-VLOOKUP($U$1,A:N,14,))/VLOOKUP($U$1,A:N,14,))*100)+100</f>
        <v/>
      </c>
      <c r="P197" s="76">
        <f>IF(VLOOKUP(A197,Database!$A:$AS,MATCH($P$1,Database!$A$1:$AS$1,0),FALSE)=0,#N/A,VLOOKUP(A197,Database!$A:$AS,MATCH($P$1,Database!$A$1:$AS$1,0),FALSE))</f>
        <v/>
      </c>
      <c r="Q197" s="76">
        <f>(((Table134567891011121314151617343[[#This Row],[JPN]]-VLOOKUP($U$1,A:Q,16,))/VLOOKUP($U$1,A:Q,16,))*100)+100</f>
        <v/>
      </c>
    </row>
    <row r="198" customFormat="1" s="86">
      <c r="A198" s="21" t="n">
        <v>38838</v>
      </c>
      <c r="B198" s="76">
        <f>IF(VLOOKUP(A198,Database!$A:$AS,MATCH($B$1,Database!$A$1:$AS$1,0),FALSE)=0,#N/A,VLOOKUP(A198,Database!$A:$AS,MATCH($B$1,Database!$A$1:$AS$1,0),FALSE))</f>
        <v/>
      </c>
      <c r="C198" s="76">
        <f>IF(VLOOKUP(A198,Database!$A:$AS,MATCH($C$1,Database!$A$1:$AS$1,0),FALSE)=0,#N/A,VLOOKUP(A198,Database!$A:$AS,MATCH($C$1,Database!$A$1:$AS$1,0),FALSE))</f>
        <v/>
      </c>
      <c r="D198" s="76">
        <f>IF(VLOOKUP(A198,Database!$A:$AS,MATCH($D$1,Database!$A$1:$AS$1,0),FALSE)=0,#N/A,VLOOKUP(A198,Database!$A:$AS,MATCH($D$1,Database!$A$1:$AS$1,0),FALSE))</f>
        <v/>
      </c>
      <c r="E198" s="76">
        <f>IF(VLOOKUP(A198,Database!$A:$AS,MATCH($E$1,Database!$A$1:$AS$1,0),FALSE)=0,#N/A,VLOOKUP(A198,Database!$A:$AS,MATCH($E$1,Database!$A$1:$AS$1,0),FALSE))</f>
        <v/>
      </c>
      <c r="F198" s="76">
        <f>IF(VLOOKUP(A198,Database!$A:$AS,MATCH($F$1,Database!$A$1:$AS$1,0),FALSE)=0,#N/A,VLOOKUP(A198,Database!$A:$AS,MATCH($F$1,Database!$A$1:$AS$1,0),FALSE))</f>
        <v/>
      </c>
      <c r="G198" s="76">
        <f>IF(VLOOKUP(A198,Database!$A:$AS,MATCH($G$1,Database!$A$1:$AS$1,0),FALSE)=0,#N/A,VLOOKUP(A198,Database!$A:$AS,MATCH($G$1,Database!$A$1:$AS$1,0),FALSE))</f>
        <v/>
      </c>
      <c r="H198" s="76">
        <f>(((Table134567891011121314151617343[[#This Row],[ITA]]-VLOOKUP($U$1,A:B,2,))/VLOOKUP($U$1,A:B,2,))*100)+100</f>
        <v/>
      </c>
      <c r="I198" s="76">
        <f>(((Table134567891011121314151617343[[#This Row],[FRA]]-VLOOKUP($U$1,A:C,3,))/VLOOKUP($U$1,A:C,3,))*100)+100</f>
        <v/>
      </c>
      <c r="J198" s="76">
        <f>(((Table134567891011121314151617343[[#This Row],[DEU]]-VLOOKUP($U$1,A:D,4,))/VLOOKUP($U$1,A:D,4,))*100)+100</f>
        <v/>
      </c>
      <c r="K198" s="76">
        <f>(((Table134567891011121314151617343[[#This Row],[ESP]]-VLOOKUP($U$1,A:E,5,))/VLOOKUP($U$1,A:E,5,))*100)+100</f>
        <v/>
      </c>
      <c r="L198" s="76">
        <f>(((Table134567891011121314151617343[[#This Row],[EA19]]-VLOOKUP($U$1,A:F,6,))/VLOOKUP($U$1,A:F,6,))*100)+100</f>
        <v/>
      </c>
      <c r="M198" s="76">
        <f>(((Table134567891011121314151617343[[#This Row],[GBR]]-VLOOKUP($U$1,A:G,7,))/VLOOKUP($U$1,A:G,7,))*100)+100</f>
        <v/>
      </c>
      <c r="N198" s="76">
        <f>IF(VLOOKUP(A198,Database!$A:$AU,MATCH($N$1,Database!$A$1:$AU$1,0),FALSE)=0,#N/A,VLOOKUP(A198,Database!$A:$AU,MATCH($N$1,Database!$A$1:$AU$1,0),FALSE))</f>
        <v/>
      </c>
      <c r="O198" s="76">
        <f>(((Table134567891011121314151617343[[#This Row],[USA]]-VLOOKUP($U$1,A:N,14,))/VLOOKUP($U$1,A:N,14,))*100)+100</f>
        <v/>
      </c>
      <c r="P198" s="76">
        <f>IF(VLOOKUP(A198,Database!$A:$AS,MATCH($P$1,Database!$A$1:$AS$1,0),FALSE)=0,#N/A,VLOOKUP(A198,Database!$A:$AS,MATCH($P$1,Database!$A$1:$AS$1,0),FALSE))</f>
        <v/>
      </c>
      <c r="Q198" s="76">
        <f>(((Table134567891011121314151617343[[#This Row],[JPN]]-VLOOKUP($U$1,A:Q,16,))/VLOOKUP($U$1,A:Q,16,))*100)+100</f>
        <v/>
      </c>
    </row>
    <row r="199" customFormat="1" s="86">
      <c r="A199" s="21" t="n">
        <v>38869</v>
      </c>
      <c r="B199" s="76">
        <f>IF(VLOOKUP(A199,Database!$A:$AS,MATCH($B$1,Database!$A$1:$AS$1,0),FALSE)=0,#N/A,VLOOKUP(A199,Database!$A:$AS,MATCH($B$1,Database!$A$1:$AS$1,0),FALSE))</f>
        <v/>
      </c>
      <c r="C199" s="76">
        <f>IF(VLOOKUP(A199,Database!$A:$AS,MATCH($C$1,Database!$A$1:$AS$1,0),FALSE)=0,#N/A,VLOOKUP(A199,Database!$A:$AS,MATCH($C$1,Database!$A$1:$AS$1,0),FALSE))</f>
        <v/>
      </c>
      <c r="D199" s="76">
        <f>IF(VLOOKUP(A199,Database!$A:$AS,MATCH($D$1,Database!$A$1:$AS$1,0),FALSE)=0,#N/A,VLOOKUP(A199,Database!$A:$AS,MATCH($D$1,Database!$A$1:$AS$1,0),FALSE))</f>
        <v/>
      </c>
      <c r="E199" s="76">
        <f>IF(VLOOKUP(A199,Database!$A:$AS,MATCH($E$1,Database!$A$1:$AS$1,0),FALSE)=0,#N/A,VLOOKUP(A199,Database!$A:$AS,MATCH($E$1,Database!$A$1:$AS$1,0),FALSE))</f>
        <v/>
      </c>
      <c r="F199" s="76">
        <f>IF(VLOOKUP(A199,Database!$A:$AS,MATCH($F$1,Database!$A$1:$AS$1,0),FALSE)=0,#N/A,VLOOKUP(A199,Database!$A:$AS,MATCH($F$1,Database!$A$1:$AS$1,0),FALSE))</f>
        <v/>
      </c>
      <c r="G199" s="76">
        <f>IF(VLOOKUP(A199,Database!$A:$AS,MATCH($G$1,Database!$A$1:$AS$1,0),FALSE)=0,#N/A,VLOOKUP(A199,Database!$A:$AS,MATCH($G$1,Database!$A$1:$AS$1,0),FALSE))</f>
        <v/>
      </c>
      <c r="H199" s="76">
        <f>(((Table134567891011121314151617343[[#This Row],[ITA]]-VLOOKUP($U$1,A:B,2,))/VLOOKUP($U$1,A:B,2,))*100)+100</f>
        <v/>
      </c>
      <c r="I199" s="76">
        <f>(((Table134567891011121314151617343[[#This Row],[FRA]]-VLOOKUP($U$1,A:C,3,))/VLOOKUP($U$1,A:C,3,))*100)+100</f>
        <v/>
      </c>
      <c r="J199" s="76">
        <f>(((Table134567891011121314151617343[[#This Row],[DEU]]-VLOOKUP($U$1,A:D,4,))/VLOOKUP($U$1,A:D,4,))*100)+100</f>
        <v/>
      </c>
      <c r="K199" s="76">
        <f>(((Table134567891011121314151617343[[#This Row],[ESP]]-VLOOKUP($U$1,A:E,5,))/VLOOKUP($U$1,A:E,5,))*100)+100</f>
        <v/>
      </c>
      <c r="L199" s="76">
        <f>(((Table134567891011121314151617343[[#This Row],[EA19]]-VLOOKUP($U$1,A:F,6,))/VLOOKUP($U$1,A:F,6,))*100)+100</f>
        <v/>
      </c>
      <c r="M199" s="76">
        <f>(((Table134567891011121314151617343[[#This Row],[GBR]]-VLOOKUP($U$1,A:G,7,))/VLOOKUP($U$1,A:G,7,))*100)+100</f>
        <v/>
      </c>
      <c r="N199" s="76">
        <f>IF(VLOOKUP(A199,Database!$A:$AU,MATCH($N$1,Database!$A$1:$AU$1,0),FALSE)=0,#N/A,VLOOKUP(A199,Database!$A:$AU,MATCH($N$1,Database!$A$1:$AU$1,0),FALSE))</f>
        <v/>
      </c>
      <c r="O199" s="76">
        <f>(((Table134567891011121314151617343[[#This Row],[USA]]-VLOOKUP($U$1,A:N,14,))/VLOOKUP($U$1,A:N,14,))*100)+100</f>
        <v/>
      </c>
      <c r="P199" s="76">
        <f>IF(VLOOKUP(A199,Database!$A:$AS,MATCH($P$1,Database!$A$1:$AS$1,0),FALSE)=0,#N/A,VLOOKUP(A199,Database!$A:$AS,MATCH($P$1,Database!$A$1:$AS$1,0),FALSE))</f>
        <v/>
      </c>
      <c r="Q199" s="76">
        <f>(((Table134567891011121314151617343[[#This Row],[JPN]]-VLOOKUP($U$1,A:Q,16,))/VLOOKUP($U$1,A:Q,16,))*100)+100</f>
        <v/>
      </c>
    </row>
    <row r="200" customFormat="1" s="86">
      <c r="A200" s="21" t="n">
        <v>38899</v>
      </c>
      <c r="B200" s="76">
        <f>IF(VLOOKUP(A200,Database!$A:$AS,MATCH($B$1,Database!$A$1:$AS$1,0),FALSE)=0,#N/A,VLOOKUP(A200,Database!$A:$AS,MATCH($B$1,Database!$A$1:$AS$1,0),FALSE))</f>
        <v/>
      </c>
      <c r="C200" s="76">
        <f>IF(VLOOKUP(A200,Database!$A:$AS,MATCH($C$1,Database!$A$1:$AS$1,0),FALSE)=0,#N/A,VLOOKUP(A200,Database!$A:$AS,MATCH($C$1,Database!$A$1:$AS$1,0),FALSE))</f>
        <v/>
      </c>
      <c r="D200" s="76">
        <f>IF(VLOOKUP(A200,Database!$A:$AS,MATCH($D$1,Database!$A$1:$AS$1,0),FALSE)=0,#N/A,VLOOKUP(A200,Database!$A:$AS,MATCH($D$1,Database!$A$1:$AS$1,0),FALSE))</f>
        <v/>
      </c>
      <c r="E200" s="76">
        <f>IF(VLOOKUP(A200,Database!$A:$AS,MATCH($E$1,Database!$A$1:$AS$1,0),FALSE)=0,#N/A,VLOOKUP(A200,Database!$A:$AS,MATCH($E$1,Database!$A$1:$AS$1,0),FALSE))</f>
        <v/>
      </c>
      <c r="F200" s="76">
        <f>IF(VLOOKUP(A200,Database!$A:$AS,MATCH($F$1,Database!$A$1:$AS$1,0),FALSE)=0,#N/A,VLOOKUP(A200,Database!$A:$AS,MATCH($F$1,Database!$A$1:$AS$1,0),FALSE))</f>
        <v/>
      </c>
      <c r="G200" s="76">
        <f>IF(VLOOKUP(A200,Database!$A:$AS,MATCH($G$1,Database!$A$1:$AS$1,0),FALSE)=0,#N/A,VLOOKUP(A200,Database!$A:$AS,MATCH($G$1,Database!$A$1:$AS$1,0),FALSE))</f>
        <v/>
      </c>
      <c r="H200" s="76">
        <f>(((Table134567891011121314151617343[[#This Row],[ITA]]-VLOOKUP($U$1,A:B,2,))/VLOOKUP($U$1,A:B,2,))*100)+100</f>
        <v/>
      </c>
      <c r="I200" s="76">
        <f>(((Table134567891011121314151617343[[#This Row],[FRA]]-VLOOKUP($U$1,A:C,3,))/VLOOKUP($U$1,A:C,3,))*100)+100</f>
        <v/>
      </c>
      <c r="J200" s="76">
        <f>(((Table134567891011121314151617343[[#This Row],[DEU]]-VLOOKUP($U$1,A:D,4,))/VLOOKUP($U$1,A:D,4,))*100)+100</f>
        <v/>
      </c>
      <c r="K200" s="76">
        <f>(((Table134567891011121314151617343[[#This Row],[ESP]]-VLOOKUP($U$1,A:E,5,))/VLOOKUP($U$1,A:E,5,))*100)+100</f>
        <v/>
      </c>
      <c r="L200" s="76">
        <f>(((Table134567891011121314151617343[[#This Row],[EA19]]-VLOOKUP($U$1,A:F,6,))/VLOOKUP($U$1,A:F,6,))*100)+100</f>
        <v/>
      </c>
      <c r="M200" s="76">
        <f>(((Table134567891011121314151617343[[#This Row],[GBR]]-VLOOKUP($U$1,A:G,7,))/VLOOKUP($U$1,A:G,7,))*100)+100</f>
        <v/>
      </c>
      <c r="N200" s="76">
        <f>IF(VLOOKUP(A200,Database!$A:$AU,MATCH($N$1,Database!$A$1:$AU$1,0),FALSE)=0,#N/A,VLOOKUP(A200,Database!$A:$AU,MATCH($N$1,Database!$A$1:$AU$1,0),FALSE))</f>
        <v/>
      </c>
      <c r="O200" s="76">
        <f>(((Table134567891011121314151617343[[#This Row],[USA]]-VLOOKUP($U$1,A:N,14,))/VLOOKUP($U$1,A:N,14,))*100)+100</f>
        <v/>
      </c>
      <c r="P200" s="76">
        <f>IF(VLOOKUP(A200,Database!$A:$AS,MATCH($P$1,Database!$A$1:$AS$1,0),FALSE)=0,#N/A,VLOOKUP(A200,Database!$A:$AS,MATCH($P$1,Database!$A$1:$AS$1,0),FALSE))</f>
        <v/>
      </c>
      <c r="Q200" s="76">
        <f>(((Table134567891011121314151617343[[#This Row],[JPN]]-VLOOKUP($U$1,A:Q,16,))/VLOOKUP($U$1,A:Q,16,))*100)+100</f>
        <v/>
      </c>
    </row>
    <row r="201" customFormat="1" s="86">
      <c r="A201" s="21" t="n">
        <v>38930</v>
      </c>
      <c r="B201" s="76">
        <f>IF(VLOOKUP(A201,Database!$A:$AS,MATCH($B$1,Database!$A$1:$AS$1,0),FALSE)=0,#N/A,VLOOKUP(A201,Database!$A:$AS,MATCH($B$1,Database!$A$1:$AS$1,0),FALSE))</f>
        <v/>
      </c>
      <c r="C201" s="76">
        <f>IF(VLOOKUP(A201,Database!$A:$AS,MATCH($C$1,Database!$A$1:$AS$1,0),FALSE)=0,#N/A,VLOOKUP(A201,Database!$A:$AS,MATCH($C$1,Database!$A$1:$AS$1,0),FALSE))</f>
        <v/>
      </c>
      <c r="D201" s="76">
        <f>IF(VLOOKUP(A201,Database!$A:$AS,MATCH($D$1,Database!$A$1:$AS$1,0),FALSE)=0,#N/A,VLOOKUP(A201,Database!$A:$AS,MATCH($D$1,Database!$A$1:$AS$1,0),FALSE))</f>
        <v/>
      </c>
      <c r="E201" s="76">
        <f>IF(VLOOKUP(A201,Database!$A:$AS,MATCH($E$1,Database!$A$1:$AS$1,0),FALSE)=0,#N/A,VLOOKUP(A201,Database!$A:$AS,MATCH($E$1,Database!$A$1:$AS$1,0),FALSE))</f>
        <v/>
      </c>
      <c r="F201" s="76">
        <f>IF(VLOOKUP(A201,Database!$A:$AS,MATCH($F$1,Database!$A$1:$AS$1,0),FALSE)=0,#N/A,VLOOKUP(A201,Database!$A:$AS,MATCH($F$1,Database!$A$1:$AS$1,0),FALSE))</f>
        <v/>
      </c>
      <c r="G201" s="76">
        <f>IF(VLOOKUP(A201,Database!$A:$AS,MATCH($G$1,Database!$A$1:$AS$1,0),FALSE)=0,#N/A,VLOOKUP(A201,Database!$A:$AS,MATCH($G$1,Database!$A$1:$AS$1,0),FALSE))</f>
        <v/>
      </c>
      <c r="H201" s="76">
        <f>(((Table134567891011121314151617343[[#This Row],[ITA]]-VLOOKUP($U$1,A:B,2,))/VLOOKUP($U$1,A:B,2,))*100)+100</f>
        <v/>
      </c>
      <c r="I201" s="76">
        <f>(((Table134567891011121314151617343[[#This Row],[FRA]]-VLOOKUP($U$1,A:C,3,))/VLOOKUP($U$1,A:C,3,))*100)+100</f>
        <v/>
      </c>
      <c r="J201" s="76">
        <f>(((Table134567891011121314151617343[[#This Row],[DEU]]-VLOOKUP($U$1,A:D,4,))/VLOOKUP($U$1,A:D,4,))*100)+100</f>
        <v/>
      </c>
      <c r="K201" s="76">
        <f>(((Table134567891011121314151617343[[#This Row],[ESP]]-VLOOKUP($U$1,A:E,5,))/VLOOKUP($U$1,A:E,5,))*100)+100</f>
        <v/>
      </c>
      <c r="L201" s="76">
        <f>(((Table134567891011121314151617343[[#This Row],[EA19]]-VLOOKUP($U$1,A:F,6,))/VLOOKUP($U$1,A:F,6,))*100)+100</f>
        <v/>
      </c>
      <c r="M201" s="76">
        <f>(((Table134567891011121314151617343[[#This Row],[GBR]]-VLOOKUP($U$1,A:G,7,))/VLOOKUP($U$1,A:G,7,))*100)+100</f>
        <v/>
      </c>
      <c r="N201" s="76">
        <f>IF(VLOOKUP(A201,Database!$A:$AU,MATCH($N$1,Database!$A$1:$AU$1,0),FALSE)=0,#N/A,VLOOKUP(A201,Database!$A:$AU,MATCH($N$1,Database!$A$1:$AU$1,0),FALSE))</f>
        <v/>
      </c>
      <c r="O201" s="76">
        <f>(((Table134567891011121314151617343[[#This Row],[USA]]-VLOOKUP($U$1,A:N,14,))/VLOOKUP($U$1,A:N,14,))*100)+100</f>
        <v/>
      </c>
      <c r="P201" s="76">
        <f>IF(VLOOKUP(A201,Database!$A:$AS,MATCH($P$1,Database!$A$1:$AS$1,0),FALSE)=0,#N/A,VLOOKUP(A201,Database!$A:$AS,MATCH($P$1,Database!$A$1:$AS$1,0),FALSE))</f>
        <v/>
      </c>
      <c r="Q201" s="76">
        <f>(((Table134567891011121314151617343[[#This Row],[JPN]]-VLOOKUP($U$1,A:Q,16,))/VLOOKUP($U$1,A:Q,16,))*100)+100</f>
        <v/>
      </c>
    </row>
    <row r="202" customFormat="1" s="86">
      <c r="A202" s="21" t="n">
        <v>38961</v>
      </c>
      <c r="B202" s="76">
        <f>IF(VLOOKUP(A202,Database!$A:$AS,MATCH($B$1,Database!$A$1:$AS$1,0),FALSE)=0,#N/A,VLOOKUP(A202,Database!$A:$AS,MATCH($B$1,Database!$A$1:$AS$1,0),FALSE))</f>
        <v/>
      </c>
      <c r="C202" s="76">
        <f>IF(VLOOKUP(A202,Database!$A:$AS,MATCH($C$1,Database!$A$1:$AS$1,0),FALSE)=0,#N/A,VLOOKUP(A202,Database!$A:$AS,MATCH($C$1,Database!$A$1:$AS$1,0),FALSE))</f>
        <v/>
      </c>
      <c r="D202" s="76">
        <f>IF(VLOOKUP(A202,Database!$A:$AS,MATCH($D$1,Database!$A$1:$AS$1,0),FALSE)=0,#N/A,VLOOKUP(A202,Database!$A:$AS,MATCH($D$1,Database!$A$1:$AS$1,0),FALSE))</f>
        <v/>
      </c>
      <c r="E202" s="76">
        <f>IF(VLOOKUP(A202,Database!$A:$AS,MATCH($E$1,Database!$A$1:$AS$1,0),FALSE)=0,#N/A,VLOOKUP(A202,Database!$A:$AS,MATCH($E$1,Database!$A$1:$AS$1,0),FALSE))</f>
        <v/>
      </c>
      <c r="F202" s="76">
        <f>IF(VLOOKUP(A202,Database!$A:$AS,MATCH($F$1,Database!$A$1:$AS$1,0),FALSE)=0,#N/A,VLOOKUP(A202,Database!$A:$AS,MATCH($F$1,Database!$A$1:$AS$1,0),FALSE))</f>
        <v/>
      </c>
      <c r="G202" s="76">
        <f>IF(VLOOKUP(A202,Database!$A:$AS,MATCH($G$1,Database!$A$1:$AS$1,0),FALSE)=0,#N/A,VLOOKUP(A202,Database!$A:$AS,MATCH($G$1,Database!$A$1:$AS$1,0),FALSE))</f>
        <v/>
      </c>
      <c r="H202" s="76">
        <f>(((Table134567891011121314151617343[[#This Row],[ITA]]-VLOOKUP($U$1,A:B,2,))/VLOOKUP($U$1,A:B,2,))*100)+100</f>
        <v/>
      </c>
      <c r="I202" s="76">
        <f>(((Table134567891011121314151617343[[#This Row],[FRA]]-VLOOKUP($U$1,A:C,3,))/VLOOKUP($U$1,A:C,3,))*100)+100</f>
        <v/>
      </c>
      <c r="J202" s="76">
        <f>(((Table134567891011121314151617343[[#This Row],[DEU]]-VLOOKUP($U$1,A:D,4,))/VLOOKUP($U$1,A:D,4,))*100)+100</f>
        <v/>
      </c>
      <c r="K202" s="76">
        <f>(((Table134567891011121314151617343[[#This Row],[ESP]]-VLOOKUP($U$1,A:E,5,))/VLOOKUP($U$1,A:E,5,))*100)+100</f>
        <v/>
      </c>
      <c r="L202" s="76">
        <f>(((Table134567891011121314151617343[[#This Row],[EA19]]-VLOOKUP($U$1,A:F,6,))/VLOOKUP($U$1,A:F,6,))*100)+100</f>
        <v/>
      </c>
      <c r="M202" s="76">
        <f>(((Table134567891011121314151617343[[#This Row],[GBR]]-VLOOKUP($U$1,A:G,7,))/VLOOKUP($U$1,A:G,7,))*100)+100</f>
        <v/>
      </c>
      <c r="N202" s="76">
        <f>IF(VLOOKUP(A202,Database!$A:$AU,MATCH($N$1,Database!$A$1:$AU$1,0),FALSE)=0,#N/A,VLOOKUP(A202,Database!$A:$AU,MATCH($N$1,Database!$A$1:$AU$1,0),FALSE))</f>
        <v/>
      </c>
      <c r="O202" s="76">
        <f>(((Table134567891011121314151617343[[#This Row],[USA]]-VLOOKUP($U$1,A:N,14,))/VLOOKUP($U$1,A:N,14,))*100)+100</f>
        <v/>
      </c>
      <c r="P202" s="76">
        <f>IF(VLOOKUP(A202,Database!$A:$AS,MATCH($P$1,Database!$A$1:$AS$1,0),FALSE)=0,#N/A,VLOOKUP(A202,Database!$A:$AS,MATCH($P$1,Database!$A$1:$AS$1,0),FALSE))</f>
        <v/>
      </c>
      <c r="Q202" s="76">
        <f>(((Table134567891011121314151617343[[#This Row],[JPN]]-VLOOKUP($U$1,A:Q,16,))/VLOOKUP($U$1,A:Q,16,))*100)+100</f>
        <v/>
      </c>
    </row>
    <row r="203" customFormat="1" s="86">
      <c r="A203" s="21" t="n">
        <v>38991</v>
      </c>
      <c r="B203" s="76">
        <f>IF(VLOOKUP(A203,Database!$A:$AS,MATCH($B$1,Database!$A$1:$AS$1,0),FALSE)=0,#N/A,VLOOKUP(A203,Database!$A:$AS,MATCH($B$1,Database!$A$1:$AS$1,0),FALSE))</f>
        <v/>
      </c>
      <c r="C203" s="76">
        <f>IF(VLOOKUP(A203,Database!$A:$AS,MATCH($C$1,Database!$A$1:$AS$1,0),FALSE)=0,#N/A,VLOOKUP(A203,Database!$A:$AS,MATCH($C$1,Database!$A$1:$AS$1,0),FALSE))</f>
        <v/>
      </c>
      <c r="D203" s="76">
        <f>IF(VLOOKUP(A203,Database!$A:$AS,MATCH($D$1,Database!$A$1:$AS$1,0),FALSE)=0,#N/A,VLOOKUP(A203,Database!$A:$AS,MATCH($D$1,Database!$A$1:$AS$1,0),FALSE))</f>
        <v/>
      </c>
      <c r="E203" s="76">
        <f>IF(VLOOKUP(A203,Database!$A:$AS,MATCH($E$1,Database!$A$1:$AS$1,0),FALSE)=0,#N/A,VLOOKUP(A203,Database!$A:$AS,MATCH($E$1,Database!$A$1:$AS$1,0),FALSE))</f>
        <v/>
      </c>
      <c r="F203" s="76">
        <f>IF(VLOOKUP(A203,Database!$A:$AS,MATCH($F$1,Database!$A$1:$AS$1,0),FALSE)=0,#N/A,VLOOKUP(A203,Database!$A:$AS,MATCH($F$1,Database!$A$1:$AS$1,0),FALSE))</f>
        <v/>
      </c>
      <c r="G203" s="76">
        <f>IF(VLOOKUP(A203,Database!$A:$AS,MATCH($G$1,Database!$A$1:$AS$1,0),FALSE)=0,#N/A,VLOOKUP(A203,Database!$A:$AS,MATCH($G$1,Database!$A$1:$AS$1,0),FALSE))</f>
        <v/>
      </c>
      <c r="H203" s="76">
        <f>(((Table134567891011121314151617343[[#This Row],[ITA]]-VLOOKUP($U$1,A:B,2,))/VLOOKUP($U$1,A:B,2,))*100)+100</f>
        <v/>
      </c>
      <c r="I203" s="76">
        <f>(((Table134567891011121314151617343[[#This Row],[FRA]]-VLOOKUP($U$1,A:C,3,))/VLOOKUP($U$1,A:C,3,))*100)+100</f>
        <v/>
      </c>
      <c r="J203" s="76">
        <f>(((Table134567891011121314151617343[[#This Row],[DEU]]-VLOOKUP($U$1,A:D,4,))/VLOOKUP($U$1,A:D,4,))*100)+100</f>
        <v/>
      </c>
      <c r="K203" s="76">
        <f>(((Table134567891011121314151617343[[#This Row],[ESP]]-VLOOKUP($U$1,A:E,5,))/VLOOKUP($U$1,A:E,5,))*100)+100</f>
        <v/>
      </c>
      <c r="L203" s="76">
        <f>(((Table134567891011121314151617343[[#This Row],[EA19]]-VLOOKUP($U$1,A:F,6,))/VLOOKUP($U$1,A:F,6,))*100)+100</f>
        <v/>
      </c>
      <c r="M203" s="76">
        <f>(((Table134567891011121314151617343[[#This Row],[GBR]]-VLOOKUP($U$1,A:G,7,))/VLOOKUP($U$1,A:G,7,))*100)+100</f>
        <v/>
      </c>
      <c r="N203" s="76">
        <f>IF(VLOOKUP(A203,Database!$A:$AU,MATCH($N$1,Database!$A$1:$AU$1,0),FALSE)=0,#N/A,VLOOKUP(A203,Database!$A:$AU,MATCH($N$1,Database!$A$1:$AU$1,0),FALSE))</f>
        <v/>
      </c>
      <c r="O203" s="76">
        <f>(((Table134567891011121314151617343[[#This Row],[USA]]-VLOOKUP($U$1,A:N,14,))/VLOOKUP($U$1,A:N,14,))*100)+100</f>
        <v/>
      </c>
      <c r="P203" s="76">
        <f>IF(VLOOKUP(A203,Database!$A:$AS,MATCH($P$1,Database!$A$1:$AS$1,0),FALSE)=0,#N/A,VLOOKUP(A203,Database!$A:$AS,MATCH($P$1,Database!$A$1:$AS$1,0),FALSE))</f>
        <v/>
      </c>
      <c r="Q203" s="76">
        <f>(((Table134567891011121314151617343[[#This Row],[JPN]]-VLOOKUP($U$1,A:Q,16,))/VLOOKUP($U$1,A:Q,16,))*100)+100</f>
        <v/>
      </c>
    </row>
    <row r="204" customFormat="1" s="86">
      <c r="A204" s="21" t="n">
        <v>39022</v>
      </c>
      <c r="B204" s="76">
        <f>IF(VLOOKUP(A204,Database!$A:$AS,MATCH($B$1,Database!$A$1:$AS$1,0),FALSE)=0,#N/A,VLOOKUP(A204,Database!$A:$AS,MATCH($B$1,Database!$A$1:$AS$1,0),FALSE))</f>
        <v/>
      </c>
      <c r="C204" s="76">
        <f>IF(VLOOKUP(A204,Database!$A:$AS,MATCH($C$1,Database!$A$1:$AS$1,0),FALSE)=0,#N/A,VLOOKUP(A204,Database!$A:$AS,MATCH($C$1,Database!$A$1:$AS$1,0),FALSE))</f>
        <v/>
      </c>
      <c r="D204" s="76">
        <f>IF(VLOOKUP(A204,Database!$A:$AS,MATCH($D$1,Database!$A$1:$AS$1,0),FALSE)=0,#N/A,VLOOKUP(A204,Database!$A:$AS,MATCH($D$1,Database!$A$1:$AS$1,0),FALSE))</f>
        <v/>
      </c>
      <c r="E204" s="76">
        <f>IF(VLOOKUP(A204,Database!$A:$AS,MATCH($E$1,Database!$A$1:$AS$1,0),FALSE)=0,#N/A,VLOOKUP(A204,Database!$A:$AS,MATCH($E$1,Database!$A$1:$AS$1,0),FALSE))</f>
        <v/>
      </c>
      <c r="F204" s="76">
        <f>IF(VLOOKUP(A204,Database!$A:$AS,MATCH($F$1,Database!$A$1:$AS$1,0),FALSE)=0,#N/A,VLOOKUP(A204,Database!$A:$AS,MATCH($F$1,Database!$A$1:$AS$1,0),FALSE))</f>
        <v/>
      </c>
      <c r="G204" s="76">
        <f>IF(VLOOKUP(A204,Database!$A:$AS,MATCH($G$1,Database!$A$1:$AS$1,0),FALSE)=0,#N/A,VLOOKUP(A204,Database!$A:$AS,MATCH($G$1,Database!$A$1:$AS$1,0),FALSE))</f>
        <v/>
      </c>
      <c r="H204" s="76">
        <f>(((Table134567891011121314151617343[[#This Row],[ITA]]-VLOOKUP($U$1,A:B,2,))/VLOOKUP($U$1,A:B,2,))*100)+100</f>
        <v/>
      </c>
      <c r="I204" s="76">
        <f>(((Table134567891011121314151617343[[#This Row],[FRA]]-VLOOKUP($U$1,A:C,3,))/VLOOKUP($U$1,A:C,3,))*100)+100</f>
        <v/>
      </c>
      <c r="J204" s="76">
        <f>(((Table134567891011121314151617343[[#This Row],[DEU]]-VLOOKUP($U$1,A:D,4,))/VLOOKUP($U$1,A:D,4,))*100)+100</f>
        <v/>
      </c>
      <c r="K204" s="76">
        <f>(((Table134567891011121314151617343[[#This Row],[ESP]]-VLOOKUP($U$1,A:E,5,))/VLOOKUP($U$1,A:E,5,))*100)+100</f>
        <v/>
      </c>
      <c r="L204" s="76">
        <f>(((Table134567891011121314151617343[[#This Row],[EA19]]-VLOOKUP($U$1,A:F,6,))/VLOOKUP($U$1,A:F,6,))*100)+100</f>
        <v/>
      </c>
      <c r="M204" s="76">
        <f>(((Table134567891011121314151617343[[#This Row],[GBR]]-VLOOKUP($U$1,A:G,7,))/VLOOKUP($U$1,A:G,7,))*100)+100</f>
        <v/>
      </c>
      <c r="N204" s="76">
        <f>IF(VLOOKUP(A204,Database!$A:$AU,MATCH($N$1,Database!$A$1:$AU$1,0),FALSE)=0,#N/A,VLOOKUP(A204,Database!$A:$AU,MATCH($N$1,Database!$A$1:$AU$1,0),FALSE))</f>
        <v/>
      </c>
      <c r="O204" s="76">
        <f>(((Table134567891011121314151617343[[#This Row],[USA]]-VLOOKUP($U$1,A:N,14,))/VLOOKUP($U$1,A:N,14,))*100)+100</f>
        <v/>
      </c>
      <c r="P204" s="76">
        <f>IF(VLOOKUP(A204,Database!$A:$AS,MATCH($P$1,Database!$A$1:$AS$1,0),FALSE)=0,#N/A,VLOOKUP(A204,Database!$A:$AS,MATCH($P$1,Database!$A$1:$AS$1,0),FALSE))</f>
        <v/>
      </c>
      <c r="Q204" s="76">
        <f>(((Table134567891011121314151617343[[#This Row],[JPN]]-VLOOKUP($U$1,A:Q,16,))/VLOOKUP($U$1,A:Q,16,))*100)+100</f>
        <v/>
      </c>
    </row>
    <row r="205" customFormat="1" s="86">
      <c r="A205" s="21" t="n">
        <v>39052</v>
      </c>
      <c r="B205" s="76">
        <f>IF(VLOOKUP(A205,Database!$A:$AS,MATCH($B$1,Database!$A$1:$AS$1,0),FALSE)=0,#N/A,VLOOKUP(A205,Database!$A:$AS,MATCH($B$1,Database!$A$1:$AS$1,0),FALSE))</f>
        <v/>
      </c>
      <c r="C205" s="76">
        <f>IF(VLOOKUP(A205,Database!$A:$AS,MATCH($C$1,Database!$A$1:$AS$1,0),FALSE)=0,#N/A,VLOOKUP(A205,Database!$A:$AS,MATCH($C$1,Database!$A$1:$AS$1,0),FALSE))</f>
        <v/>
      </c>
      <c r="D205" s="76">
        <f>IF(VLOOKUP(A205,Database!$A:$AS,MATCH($D$1,Database!$A$1:$AS$1,0),FALSE)=0,#N/A,VLOOKUP(A205,Database!$A:$AS,MATCH($D$1,Database!$A$1:$AS$1,0),FALSE))</f>
        <v/>
      </c>
      <c r="E205" s="76">
        <f>IF(VLOOKUP(A205,Database!$A:$AS,MATCH($E$1,Database!$A$1:$AS$1,0),FALSE)=0,#N/A,VLOOKUP(A205,Database!$A:$AS,MATCH($E$1,Database!$A$1:$AS$1,0),FALSE))</f>
        <v/>
      </c>
      <c r="F205" s="76">
        <f>IF(VLOOKUP(A205,Database!$A:$AS,MATCH($F$1,Database!$A$1:$AS$1,0),FALSE)=0,#N/A,VLOOKUP(A205,Database!$A:$AS,MATCH($F$1,Database!$A$1:$AS$1,0),FALSE))</f>
        <v/>
      </c>
      <c r="G205" s="76">
        <f>IF(VLOOKUP(A205,Database!$A:$AS,MATCH($G$1,Database!$A$1:$AS$1,0),FALSE)=0,#N/A,VLOOKUP(A205,Database!$A:$AS,MATCH($G$1,Database!$A$1:$AS$1,0),FALSE))</f>
        <v/>
      </c>
      <c r="H205" s="76">
        <f>(((Table134567891011121314151617343[[#This Row],[ITA]]-VLOOKUP($U$1,A:B,2,))/VLOOKUP($U$1,A:B,2,))*100)+100</f>
        <v/>
      </c>
      <c r="I205" s="76">
        <f>(((Table134567891011121314151617343[[#This Row],[FRA]]-VLOOKUP($U$1,A:C,3,))/VLOOKUP($U$1,A:C,3,))*100)+100</f>
        <v/>
      </c>
      <c r="J205" s="76">
        <f>(((Table134567891011121314151617343[[#This Row],[DEU]]-VLOOKUP($U$1,A:D,4,))/VLOOKUP($U$1,A:D,4,))*100)+100</f>
        <v/>
      </c>
      <c r="K205" s="76">
        <f>(((Table134567891011121314151617343[[#This Row],[ESP]]-VLOOKUP($U$1,A:E,5,))/VLOOKUP($U$1,A:E,5,))*100)+100</f>
        <v/>
      </c>
      <c r="L205" s="76">
        <f>(((Table134567891011121314151617343[[#This Row],[EA19]]-VLOOKUP($U$1,A:F,6,))/VLOOKUP($U$1,A:F,6,))*100)+100</f>
        <v/>
      </c>
      <c r="M205" s="76">
        <f>(((Table134567891011121314151617343[[#This Row],[GBR]]-VLOOKUP($U$1,A:G,7,))/VLOOKUP($U$1,A:G,7,))*100)+100</f>
        <v/>
      </c>
      <c r="N205" s="76">
        <f>IF(VLOOKUP(A205,Database!$A:$AU,MATCH($N$1,Database!$A$1:$AU$1,0),FALSE)=0,#N/A,VLOOKUP(A205,Database!$A:$AU,MATCH($N$1,Database!$A$1:$AU$1,0),FALSE))</f>
        <v/>
      </c>
      <c r="O205" s="76">
        <f>(((Table134567891011121314151617343[[#This Row],[USA]]-VLOOKUP($U$1,A:N,14,))/VLOOKUP($U$1,A:N,14,))*100)+100</f>
        <v/>
      </c>
      <c r="P205" s="76">
        <f>IF(VLOOKUP(A205,Database!$A:$AS,MATCH($P$1,Database!$A$1:$AS$1,0),FALSE)=0,#N/A,VLOOKUP(A205,Database!$A:$AS,MATCH($P$1,Database!$A$1:$AS$1,0),FALSE))</f>
        <v/>
      </c>
      <c r="Q205" s="76">
        <f>(((Table134567891011121314151617343[[#This Row],[JPN]]-VLOOKUP($U$1,A:Q,16,))/VLOOKUP($U$1,A:Q,16,))*100)+100</f>
        <v/>
      </c>
    </row>
    <row r="206" customFormat="1" s="86">
      <c r="A206" s="21" t="n">
        <v>39083</v>
      </c>
      <c r="B206" s="76">
        <f>IF(VLOOKUP(A206,Database!$A:$AS,MATCH($B$1,Database!$A$1:$AS$1,0),FALSE)=0,#N/A,VLOOKUP(A206,Database!$A:$AS,MATCH($B$1,Database!$A$1:$AS$1,0),FALSE))</f>
        <v/>
      </c>
      <c r="C206" s="76">
        <f>IF(VLOOKUP(A206,Database!$A:$AS,MATCH($C$1,Database!$A$1:$AS$1,0),FALSE)=0,#N/A,VLOOKUP(A206,Database!$A:$AS,MATCH($C$1,Database!$A$1:$AS$1,0),FALSE))</f>
        <v/>
      </c>
      <c r="D206" s="76">
        <f>IF(VLOOKUP(A206,Database!$A:$AS,MATCH($D$1,Database!$A$1:$AS$1,0),FALSE)=0,#N/A,VLOOKUP(A206,Database!$A:$AS,MATCH($D$1,Database!$A$1:$AS$1,0),FALSE))</f>
        <v/>
      </c>
      <c r="E206" s="76">
        <f>IF(VLOOKUP(A206,Database!$A:$AS,MATCH($E$1,Database!$A$1:$AS$1,0),FALSE)=0,#N/A,VLOOKUP(A206,Database!$A:$AS,MATCH($E$1,Database!$A$1:$AS$1,0),FALSE))</f>
        <v/>
      </c>
      <c r="F206" s="76">
        <f>IF(VLOOKUP(A206,Database!$A:$AS,MATCH($F$1,Database!$A$1:$AS$1,0),FALSE)=0,#N/A,VLOOKUP(A206,Database!$A:$AS,MATCH($F$1,Database!$A$1:$AS$1,0),FALSE))</f>
        <v/>
      </c>
      <c r="G206" s="76">
        <f>IF(VLOOKUP(A206,Database!$A:$AS,MATCH($G$1,Database!$A$1:$AS$1,0),FALSE)=0,#N/A,VLOOKUP(A206,Database!$A:$AS,MATCH($G$1,Database!$A$1:$AS$1,0),FALSE))</f>
        <v/>
      </c>
      <c r="H206" s="76">
        <f>(((Table134567891011121314151617343[[#This Row],[ITA]]-VLOOKUP($U$1,A:B,2,))/VLOOKUP($U$1,A:B,2,))*100)+100</f>
        <v/>
      </c>
      <c r="I206" s="76">
        <f>(((Table134567891011121314151617343[[#This Row],[FRA]]-VLOOKUP($U$1,A:C,3,))/VLOOKUP($U$1,A:C,3,))*100)+100</f>
        <v/>
      </c>
      <c r="J206" s="76">
        <f>(((Table134567891011121314151617343[[#This Row],[DEU]]-VLOOKUP($U$1,A:D,4,))/VLOOKUP($U$1,A:D,4,))*100)+100</f>
        <v/>
      </c>
      <c r="K206" s="76">
        <f>(((Table134567891011121314151617343[[#This Row],[ESP]]-VLOOKUP($U$1,A:E,5,))/VLOOKUP($U$1,A:E,5,))*100)+100</f>
        <v/>
      </c>
      <c r="L206" s="76">
        <f>(((Table134567891011121314151617343[[#This Row],[EA19]]-VLOOKUP($U$1,A:F,6,))/VLOOKUP($U$1,A:F,6,))*100)+100</f>
        <v/>
      </c>
      <c r="M206" s="76">
        <f>(((Table134567891011121314151617343[[#This Row],[GBR]]-VLOOKUP($U$1,A:G,7,))/VLOOKUP($U$1,A:G,7,))*100)+100</f>
        <v/>
      </c>
      <c r="N206" s="76">
        <f>IF(VLOOKUP(A206,Database!$A:$AU,MATCH($N$1,Database!$A$1:$AU$1,0),FALSE)=0,#N/A,VLOOKUP(A206,Database!$A:$AU,MATCH($N$1,Database!$A$1:$AU$1,0),FALSE))</f>
        <v/>
      </c>
      <c r="O206" s="76">
        <f>(((Table134567891011121314151617343[[#This Row],[USA]]-VLOOKUP($U$1,A:N,14,))/VLOOKUP($U$1,A:N,14,))*100)+100</f>
        <v/>
      </c>
      <c r="P206" s="76">
        <f>IF(VLOOKUP(A206,Database!$A:$AS,MATCH($P$1,Database!$A$1:$AS$1,0),FALSE)=0,#N/A,VLOOKUP(A206,Database!$A:$AS,MATCH($P$1,Database!$A$1:$AS$1,0),FALSE))</f>
        <v/>
      </c>
      <c r="Q206" s="76">
        <f>(((Table134567891011121314151617343[[#This Row],[JPN]]-VLOOKUP($U$1,A:Q,16,))/VLOOKUP($U$1,A:Q,16,))*100)+100</f>
        <v/>
      </c>
    </row>
    <row r="207" customFormat="1" s="86">
      <c r="A207" s="21" t="n">
        <v>39114</v>
      </c>
      <c r="B207" s="76">
        <f>IF(VLOOKUP(A207,Database!$A:$AS,MATCH($B$1,Database!$A$1:$AS$1,0),FALSE)=0,#N/A,VLOOKUP(A207,Database!$A:$AS,MATCH($B$1,Database!$A$1:$AS$1,0),FALSE))</f>
        <v/>
      </c>
      <c r="C207" s="76">
        <f>IF(VLOOKUP(A207,Database!$A:$AS,MATCH($C$1,Database!$A$1:$AS$1,0),FALSE)=0,#N/A,VLOOKUP(A207,Database!$A:$AS,MATCH($C$1,Database!$A$1:$AS$1,0),FALSE))</f>
        <v/>
      </c>
      <c r="D207" s="76">
        <f>IF(VLOOKUP(A207,Database!$A:$AS,MATCH($D$1,Database!$A$1:$AS$1,0),FALSE)=0,#N/A,VLOOKUP(A207,Database!$A:$AS,MATCH($D$1,Database!$A$1:$AS$1,0),FALSE))</f>
        <v/>
      </c>
      <c r="E207" s="76">
        <f>IF(VLOOKUP(A207,Database!$A:$AS,MATCH($E$1,Database!$A$1:$AS$1,0),FALSE)=0,#N/A,VLOOKUP(A207,Database!$A:$AS,MATCH($E$1,Database!$A$1:$AS$1,0),FALSE))</f>
        <v/>
      </c>
      <c r="F207" s="76">
        <f>IF(VLOOKUP(A207,Database!$A:$AS,MATCH($F$1,Database!$A$1:$AS$1,0),FALSE)=0,#N/A,VLOOKUP(A207,Database!$A:$AS,MATCH($F$1,Database!$A$1:$AS$1,0),FALSE))</f>
        <v/>
      </c>
      <c r="G207" s="76">
        <f>IF(VLOOKUP(A207,Database!$A:$AS,MATCH($G$1,Database!$A$1:$AS$1,0),FALSE)=0,#N/A,VLOOKUP(A207,Database!$A:$AS,MATCH($G$1,Database!$A$1:$AS$1,0),FALSE))</f>
        <v/>
      </c>
      <c r="H207" s="76">
        <f>(((Table134567891011121314151617343[[#This Row],[ITA]]-VLOOKUP($U$1,A:B,2,))/VLOOKUP($U$1,A:B,2,))*100)+100</f>
        <v/>
      </c>
      <c r="I207" s="76">
        <f>(((Table134567891011121314151617343[[#This Row],[FRA]]-VLOOKUP($U$1,A:C,3,))/VLOOKUP($U$1,A:C,3,))*100)+100</f>
        <v/>
      </c>
      <c r="J207" s="76">
        <f>(((Table134567891011121314151617343[[#This Row],[DEU]]-VLOOKUP($U$1,A:D,4,))/VLOOKUP($U$1,A:D,4,))*100)+100</f>
        <v/>
      </c>
      <c r="K207" s="76">
        <f>(((Table134567891011121314151617343[[#This Row],[ESP]]-VLOOKUP($U$1,A:E,5,))/VLOOKUP($U$1,A:E,5,))*100)+100</f>
        <v/>
      </c>
      <c r="L207" s="76">
        <f>(((Table134567891011121314151617343[[#This Row],[EA19]]-VLOOKUP($U$1,A:F,6,))/VLOOKUP($U$1,A:F,6,))*100)+100</f>
        <v/>
      </c>
      <c r="M207" s="76">
        <f>(((Table134567891011121314151617343[[#This Row],[GBR]]-VLOOKUP($U$1,A:G,7,))/VLOOKUP($U$1,A:G,7,))*100)+100</f>
        <v/>
      </c>
      <c r="N207" s="76">
        <f>IF(VLOOKUP(A207,Database!$A:$AU,MATCH($N$1,Database!$A$1:$AU$1,0),FALSE)=0,#N/A,VLOOKUP(A207,Database!$A:$AU,MATCH($N$1,Database!$A$1:$AU$1,0),FALSE))</f>
        <v/>
      </c>
      <c r="O207" s="76">
        <f>(((Table134567891011121314151617343[[#This Row],[USA]]-VLOOKUP($U$1,A:N,14,))/VLOOKUP($U$1,A:N,14,))*100)+100</f>
        <v/>
      </c>
      <c r="P207" s="76">
        <f>IF(VLOOKUP(A207,Database!$A:$AS,MATCH($P$1,Database!$A$1:$AS$1,0),FALSE)=0,#N/A,VLOOKUP(A207,Database!$A:$AS,MATCH($P$1,Database!$A$1:$AS$1,0),FALSE))</f>
        <v/>
      </c>
      <c r="Q207" s="76">
        <f>(((Table134567891011121314151617343[[#This Row],[JPN]]-VLOOKUP($U$1,A:Q,16,))/VLOOKUP($U$1,A:Q,16,))*100)+100</f>
        <v/>
      </c>
    </row>
    <row r="208" customFormat="1" s="86">
      <c r="A208" s="21" t="n">
        <v>39142</v>
      </c>
      <c r="B208" s="76">
        <f>IF(VLOOKUP(A208,Database!$A:$AS,MATCH($B$1,Database!$A$1:$AS$1,0),FALSE)=0,#N/A,VLOOKUP(A208,Database!$A:$AS,MATCH($B$1,Database!$A$1:$AS$1,0),FALSE))</f>
        <v/>
      </c>
      <c r="C208" s="76">
        <f>IF(VLOOKUP(A208,Database!$A:$AS,MATCH($C$1,Database!$A$1:$AS$1,0),FALSE)=0,#N/A,VLOOKUP(A208,Database!$A:$AS,MATCH($C$1,Database!$A$1:$AS$1,0),FALSE))</f>
        <v/>
      </c>
      <c r="D208" s="76">
        <f>IF(VLOOKUP(A208,Database!$A:$AS,MATCH($D$1,Database!$A$1:$AS$1,0),FALSE)=0,#N/A,VLOOKUP(A208,Database!$A:$AS,MATCH($D$1,Database!$A$1:$AS$1,0),FALSE))</f>
        <v/>
      </c>
      <c r="E208" s="76">
        <f>IF(VLOOKUP(A208,Database!$A:$AS,MATCH($E$1,Database!$A$1:$AS$1,0),FALSE)=0,#N/A,VLOOKUP(A208,Database!$A:$AS,MATCH($E$1,Database!$A$1:$AS$1,0),FALSE))</f>
        <v/>
      </c>
      <c r="F208" s="76">
        <f>IF(VLOOKUP(A208,Database!$A:$AS,MATCH($F$1,Database!$A$1:$AS$1,0),FALSE)=0,#N/A,VLOOKUP(A208,Database!$A:$AS,MATCH($F$1,Database!$A$1:$AS$1,0),FALSE))</f>
        <v/>
      </c>
      <c r="G208" s="76">
        <f>IF(VLOOKUP(A208,Database!$A:$AS,MATCH($G$1,Database!$A$1:$AS$1,0),FALSE)=0,#N/A,VLOOKUP(A208,Database!$A:$AS,MATCH($G$1,Database!$A$1:$AS$1,0),FALSE))</f>
        <v/>
      </c>
      <c r="H208" s="76">
        <f>(((Table134567891011121314151617343[[#This Row],[ITA]]-VLOOKUP($U$1,A:B,2,))/VLOOKUP($U$1,A:B,2,))*100)+100</f>
        <v/>
      </c>
      <c r="I208" s="76">
        <f>(((Table134567891011121314151617343[[#This Row],[FRA]]-VLOOKUP($U$1,A:C,3,))/VLOOKUP($U$1,A:C,3,))*100)+100</f>
        <v/>
      </c>
      <c r="J208" s="76">
        <f>(((Table134567891011121314151617343[[#This Row],[DEU]]-VLOOKUP($U$1,A:D,4,))/VLOOKUP($U$1,A:D,4,))*100)+100</f>
        <v/>
      </c>
      <c r="K208" s="76">
        <f>(((Table134567891011121314151617343[[#This Row],[ESP]]-VLOOKUP($U$1,A:E,5,))/VLOOKUP($U$1,A:E,5,))*100)+100</f>
        <v/>
      </c>
      <c r="L208" s="76">
        <f>(((Table134567891011121314151617343[[#This Row],[EA19]]-VLOOKUP($U$1,A:F,6,))/VLOOKUP($U$1,A:F,6,))*100)+100</f>
        <v/>
      </c>
      <c r="M208" s="76">
        <f>(((Table134567891011121314151617343[[#This Row],[GBR]]-VLOOKUP($U$1,A:G,7,))/VLOOKUP($U$1,A:G,7,))*100)+100</f>
        <v/>
      </c>
      <c r="N208" s="76">
        <f>IF(VLOOKUP(A208,Database!$A:$AU,MATCH($N$1,Database!$A$1:$AU$1,0),FALSE)=0,#N/A,VLOOKUP(A208,Database!$A:$AU,MATCH($N$1,Database!$A$1:$AU$1,0),FALSE))</f>
        <v/>
      </c>
      <c r="O208" s="76">
        <f>(((Table134567891011121314151617343[[#This Row],[USA]]-VLOOKUP($U$1,A:N,14,))/VLOOKUP($U$1,A:N,14,))*100)+100</f>
        <v/>
      </c>
      <c r="P208" s="76">
        <f>IF(VLOOKUP(A208,Database!$A:$AS,MATCH($P$1,Database!$A$1:$AS$1,0),FALSE)=0,#N/A,VLOOKUP(A208,Database!$A:$AS,MATCH($P$1,Database!$A$1:$AS$1,0),FALSE))</f>
        <v/>
      </c>
      <c r="Q208" s="76">
        <f>(((Table134567891011121314151617343[[#This Row],[JPN]]-VLOOKUP($U$1,A:Q,16,))/VLOOKUP($U$1,A:Q,16,))*100)+100</f>
        <v/>
      </c>
    </row>
    <row r="209" customFormat="1" s="86">
      <c r="A209" s="21" t="n">
        <v>39173</v>
      </c>
      <c r="B209" s="76">
        <f>IF(VLOOKUP(A209,Database!$A:$AS,MATCH($B$1,Database!$A$1:$AS$1,0),FALSE)=0,#N/A,VLOOKUP(A209,Database!$A:$AS,MATCH($B$1,Database!$A$1:$AS$1,0),FALSE))</f>
        <v/>
      </c>
      <c r="C209" s="76">
        <f>IF(VLOOKUP(A209,Database!$A:$AS,MATCH($C$1,Database!$A$1:$AS$1,0),FALSE)=0,#N/A,VLOOKUP(A209,Database!$A:$AS,MATCH($C$1,Database!$A$1:$AS$1,0),FALSE))</f>
        <v/>
      </c>
      <c r="D209" s="76">
        <f>IF(VLOOKUP(A209,Database!$A:$AS,MATCH($D$1,Database!$A$1:$AS$1,0),FALSE)=0,#N/A,VLOOKUP(A209,Database!$A:$AS,MATCH($D$1,Database!$A$1:$AS$1,0),FALSE))</f>
        <v/>
      </c>
      <c r="E209" s="76">
        <f>IF(VLOOKUP(A209,Database!$A:$AS,MATCH($E$1,Database!$A$1:$AS$1,0),FALSE)=0,#N/A,VLOOKUP(A209,Database!$A:$AS,MATCH($E$1,Database!$A$1:$AS$1,0),FALSE))</f>
        <v/>
      </c>
      <c r="F209" s="76">
        <f>IF(VLOOKUP(A209,Database!$A:$AS,MATCH($F$1,Database!$A$1:$AS$1,0),FALSE)=0,#N/A,VLOOKUP(A209,Database!$A:$AS,MATCH($F$1,Database!$A$1:$AS$1,0),FALSE))</f>
        <v/>
      </c>
      <c r="G209" s="76">
        <f>IF(VLOOKUP(A209,Database!$A:$AS,MATCH($G$1,Database!$A$1:$AS$1,0),FALSE)=0,#N/A,VLOOKUP(A209,Database!$A:$AS,MATCH($G$1,Database!$A$1:$AS$1,0),FALSE))</f>
        <v/>
      </c>
      <c r="H209" s="76">
        <f>(((Table134567891011121314151617343[[#This Row],[ITA]]-VLOOKUP($U$1,A:B,2,))/VLOOKUP($U$1,A:B,2,))*100)+100</f>
        <v/>
      </c>
      <c r="I209" s="76">
        <f>(((Table134567891011121314151617343[[#This Row],[FRA]]-VLOOKUP($U$1,A:C,3,))/VLOOKUP($U$1,A:C,3,))*100)+100</f>
        <v/>
      </c>
      <c r="J209" s="76">
        <f>(((Table134567891011121314151617343[[#This Row],[DEU]]-VLOOKUP($U$1,A:D,4,))/VLOOKUP($U$1,A:D,4,))*100)+100</f>
        <v/>
      </c>
      <c r="K209" s="76">
        <f>(((Table134567891011121314151617343[[#This Row],[ESP]]-VLOOKUP($U$1,A:E,5,))/VLOOKUP($U$1,A:E,5,))*100)+100</f>
        <v/>
      </c>
      <c r="L209" s="76">
        <f>(((Table134567891011121314151617343[[#This Row],[EA19]]-VLOOKUP($U$1,A:F,6,))/VLOOKUP($U$1,A:F,6,))*100)+100</f>
        <v/>
      </c>
      <c r="M209" s="76">
        <f>(((Table134567891011121314151617343[[#This Row],[GBR]]-VLOOKUP($U$1,A:G,7,))/VLOOKUP($U$1,A:G,7,))*100)+100</f>
        <v/>
      </c>
      <c r="N209" s="76">
        <f>IF(VLOOKUP(A209,Database!$A:$AU,MATCH($N$1,Database!$A$1:$AU$1,0),FALSE)=0,#N/A,VLOOKUP(A209,Database!$A:$AU,MATCH($N$1,Database!$A$1:$AU$1,0),FALSE))</f>
        <v/>
      </c>
      <c r="O209" s="76">
        <f>(((Table134567891011121314151617343[[#This Row],[USA]]-VLOOKUP($U$1,A:N,14,))/VLOOKUP($U$1,A:N,14,))*100)+100</f>
        <v/>
      </c>
      <c r="P209" s="76">
        <f>IF(VLOOKUP(A209,Database!$A:$AS,MATCH($P$1,Database!$A$1:$AS$1,0),FALSE)=0,#N/A,VLOOKUP(A209,Database!$A:$AS,MATCH($P$1,Database!$A$1:$AS$1,0),FALSE))</f>
        <v/>
      </c>
      <c r="Q209" s="76">
        <f>(((Table134567891011121314151617343[[#This Row],[JPN]]-VLOOKUP($U$1,A:Q,16,))/VLOOKUP($U$1,A:Q,16,))*100)+100</f>
        <v/>
      </c>
    </row>
    <row r="210" customFormat="1" s="86">
      <c r="A210" s="21" t="n">
        <v>39203</v>
      </c>
      <c r="B210" s="76">
        <f>IF(VLOOKUP(A210,Database!$A:$AS,MATCH($B$1,Database!$A$1:$AS$1,0),FALSE)=0,#N/A,VLOOKUP(A210,Database!$A:$AS,MATCH($B$1,Database!$A$1:$AS$1,0),FALSE))</f>
        <v/>
      </c>
      <c r="C210" s="76">
        <f>IF(VLOOKUP(A210,Database!$A:$AS,MATCH($C$1,Database!$A$1:$AS$1,0),FALSE)=0,#N/A,VLOOKUP(A210,Database!$A:$AS,MATCH($C$1,Database!$A$1:$AS$1,0),FALSE))</f>
        <v/>
      </c>
      <c r="D210" s="76">
        <f>IF(VLOOKUP(A210,Database!$A:$AS,MATCH($D$1,Database!$A$1:$AS$1,0),FALSE)=0,#N/A,VLOOKUP(A210,Database!$A:$AS,MATCH($D$1,Database!$A$1:$AS$1,0),FALSE))</f>
        <v/>
      </c>
      <c r="E210" s="76">
        <f>IF(VLOOKUP(A210,Database!$A:$AS,MATCH($E$1,Database!$A$1:$AS$1,0),FALSE)=0,#N/A,VLOOKUP(A210,Database!$A:$AS,MATCH($E$1,Database!$A$1:$AS$1,0),FALSE))</f>
        <v/>
      </c>
      <c r="F210" s="76">
        <f>IF(VLOOKUP(A210,Database!$A:$AS,MATCH($F$1,Database!$A$1:$AS$1,0),FALSE)=0,#N/A,VLOOKUP(A210,Database!$A:$AS,MATCH($F$1,Database!$A$1:$AS$1,0),FALSE))</f>
        <v/>
      </c>
      <c r="G210" s="76">
        <f>IF(VLOOKUP(A210,Database!$A:$AS,MATCH($G$1,Database!$A$1:$AS$1,0),FALSE)=0,#N/A,VLOOKUP(A210,Database!$A:$AS,MATCH($G$1,Database!$A$1:$AS$1,0),FALSE))</f>
        <v/>
      </c>
      <c r="H210" s="76">
        <f>(((Table134567891011121314151617343[[#This Row],[ITA]]-VLOOKUP($U$1,A:B,2,))/VLOOKUP($U$1,A:B,2,))*100)+100</f>
        <v/>
      </c>
      <c r="I210" s="76">
        <f>(((Table134567891011121314151617343[[#This Row],[FRA]]-VLOOKUP($U$1,A:C,3,))/VLOOKUP($U$1,A:C,3,))*100)+100</f>
        <v/>
      </c>
      <c r="J210" s="76">
        <f>(((Table134567891011121314151617343[[#This Row],[DEU]]-VLOOKUP($U$1,A:D,4,))/VLOOKUP($U$1,A:D,4,))*100)+100</f>
        <v/>
      </c>
      <c r="K210" s="76">
        <f>(((Table134567891011121314151617343[[#This Row],[ESP]]-VLOOKUP($U$1,A:E,5,))/VLOOKUP($U$1,A:E,5,))*100)+100</f>
        <v/>
      </c>
      <c r="L210" s="76">
        <f>(((Table134567891011121314151617343[[#This Row],[EA19]]-VLOOKUP($U$1,A:F,6,))/VLOOKUP($U$1,A:F,6,))*100)+100</f>
        <v/>
      </c>
      <c r="M210" s="76">
        <f>(((Table134567891011121314151617343[[#This Row],[GBR]]-VLOOKUP($U$1,A:G,7,))/VLOOKUP($U$1,A:G,7,))*100)+100</f>
        <v/>
      </c>
      <c r="N210" s="76">
        <f>IF(VLOOKUP(A210,Database!$A:$AU,MATCH($N$1,Database!$A$1:$AU$1,0),FALSE)=0,#N/A,VLOOKUP(A210,Database!$A:$AU,MATCH($N$1,Database!$A$1:$AU$1,0),FALSE))</f>
        <v/>
      </c>
      <c r="O210" s="76">
        <f>(((Table134567891011121314151617343[[#This Row],[USA]]-VLOOKUP($U$1,A:N,14,))/VLOOKUP($U$1,A:N,14,))*100)+100</f>
        <v/>
      </c>
      <c r="P210" s="76">
        <f>IF(VLOOKUP(A210,Database!$A:$AS,MATCH($P$1,Database!$A$1:$AS$1,0),FALSE)=0,#N/A,VLOOKUP(A210,Database!$A:$AS,MATCH($P$1,Database!$A$1:$AS$1,0),FALSE))</f>
        <v/>
      </c>
      <c r="Q210" s="76">
        <f>(((Table134567891011121314151617343[[#This Row],[JPN]]-VLOOKUP($U$1,A:Q,16,))/VLOOKUP($U$1,A:Q,16,))*100)+100</f>
        <v/>
      </c>
    </row>
    <row r="211" customFormat="1" s="86">
      <c r="A211" s="21" t="n">
        <v>39234</v>
      </c>
      <c r="B211" s="76">
        <f>IF(VLOOKUP(A211,Database!$A:$AS,MATCH($B$1,Database!$A$1:$AS$1,0),FALSE)=0,#N/A,VLOOKUP(A211,Database!$A:$AS,MATCH($B$1,Database!$A$1:$AS$1,0),FALSE))</f>
        <v/>
      </c>
      <c r="C211" s="76">
        <f>IF(VLOOKUP(A211,Database!$A:$AS,MATCH($C$1,Database!$A$1:$AS$1,0),FALSE)=0,#N/A,VLOOKUP(A211,Database!$A:$AS,MATCH($C$1,Database!$A$1:$AS$1,0),FALSE))</f>
        <v/>
      </c>
      <c r="D211" s="76">
        <f>IF(VLOOKUP(A211,Database!$A:$AS,MATCH($D$1,Database!$A$1:$AS$1,0),FALSE)=0,#N/A,VLOOKUP(A211,Database!$A:$AS,MATCH($D$1,Database!$A$1:$AS$1,0),FALSE))</f>
        <v/>
      </c>
      <c r="E211" s="76">
        <f>IF(VLOOKUP(A211,Database!$A:$AS,MATCH($E$1,Database!$A$1:$AS$1,0),FALSE)=0,#N/A,VLOOKUP(A211,Database!$A:$AS,MATCH($E$1,Database!$A$1:$AS$1,0),FALSE))</f>
        <v/>
      </c>
      <c r="F211" s="76">
        <f>IF(VLOOKUP(A211,Database!$A:$AS,MATCH($F$1,Database!$A$1:$AS$1,0),FALSE)=0,#N/A,VLOOKUP(A211,Database!$A:$AS,MATCH($F$1,Database!$A$1:$AS$1,0),FALSE))</f>
        <v/>
      </c>
      <c r="G211" s="76">
        <f>IF(VLOOKUP(A211,Database!$A:$AS,MATCH($G$1,Database!$A$1:$AS$1,0),FALSE)=0,#N/A,VLOOKUP(A211,Database!$A:$AS,MATCH($G$1,Database!$A$1:$AS$1,0),FALSE))</f>
        <v/>
      </c>
      <c r="H211" s="76">
        <f>(((Table134567891011121314151617343[[#This Row],[ITA]]-VLOOKUP($U$1,A:B,2,))/VLOOKUP($U$1,A:B,2,))*100)+100</f>
        <v/>
      </c>
      <c r="I211" s="76">
        <f>(((Table134567891011121314151617343[[#This Row],[FRA]]-VLOOKUP($U$1,A:C,3,))/VLOOKUP($U$1,A:C,3,))*100)+100</f>
        <v/>
      </c>
      <c r="J211" s="76">
        <f>(((Table134567891011121314151617343[[#This Row],[DEU]]-VLOOKUP($U$1,A:D,4,))/VLOOKUP($U$1,A:D,4,))*100)+100</f>
        <v/>
      </c>
      <c r="K211" s="76">
        <f>(((Table134567891011121314151617343[[#This Row],[ESP]]-VLOOKUP($U$1,A:E,5,))/VLOOKUP($U$1,A:E,5,))*100)+100</f>
        <v/>
      </c>
      <c r="L211" s="76">
        <f>(((Table134567891011121314151617343[[#This Row],[EA19]]-VLOOKUP($U$1,A:F,6,))/VLOOKUP($U$1,A:F,6,))*100)+100</f>
        <v/>
      </c>
      <c r="M211" s="76">
        <f>(((Table134567891011121314151617343[[#This Row],[GBR]]-VLOOKUP($U$1,A:G,7,))/VLOOKUP($U$1,A:G,7,))*100)+100</f>
        <v/>
      </c>
      <c r="N211" s="76">
        <f>IF(VLOOKUP(A211,Database!$A:$AU,MATCH($N$1,Database!$A$1:$AU$1,0),FALSE)=0,#N/A,VLOOKUP(A211,Database!$A:$AU,MATCH($N$1,Database!$A$1:$AU$1,0),FALSE))</f>
        <v/>
      </c>
      <c r="O211" s="76">
        <f>(((Table134567891011121314151617343[[#This Row],[USA]]-VLOOKUP($U$1,A:N,14,))/VLOOKUP($U$1,A:N,14,))*100)+100</f>
        <v/>
      </c>
      <c r="P211" s="76">
        <f>IF(VLOOKUP(A211,Database!$A:$AS,MATCH($P$1,Database!$A$1:$AS$1,0),FALSE)=0,#N/A,VLOOKUP(A211,Database!$A:$AS,MATCH($P$1,Database!$A$1:$AS$1,0),FALSE))</f>
        <v/>
      </c>
      <c r="Q211" s="76">
        <f>(((Table134567891011121314151617343[[#This Row],[JPN]]-VLOOKUP($U$1,A:Q,16,))/VLOOKUP($U$1,A:Q,16,))*100)+100</f>
        <v/>
      </c>
    </row>
    <row r="212" customFormat="1" s="86">
      <c r="A212" s="21" t="n">
        <v>39264</v>
      </c>
      <c r="B212" s="76">
        <f>IF(VLOOKUP(A212,Database!$A:$AS,MATCH($B$1,Database!$A$1:$AS$1,0),FALSE)=0,#N/A,VLOOKUP(A212,Database!$A:$AS,MATCH($B$1,Database!$A$1:$AS$1,0),FALSE))</f>
        <v/>
      </c>
      <c r="C212" s="76">
        <f>IF(VLOOKUP(A212,Database!$A:$AS,MATCH($C$1,Database!$A$1:$AS$1,0),FALSE)=0,#N/A,VLOOKUP(A212,Database!$A:$AS,MATCH($C$1,Database!$A$1:$AS$1,0),FALSE))</f>
        <v/>
      </c>
      <c r="D212" s="76">
        <f>IF(VLOOKUP(A212,Database!$A:$AS,MATCH($D$1,Database!$A$1:$AS$1,0),FALSE)=0,#N/A,VLOOKUP(A212,Database!$A:$AS,MATCH($D$1,Database!$A$1:$AS$1,0),FALSE))</f>
        <v/>
      </c>
      <c r="E212" s="76">
        <f>IF(VLOOKUP(A212,Database!$A:$AS,MATCH($E$1,Database!$A$1:$AS$1,0),FALSE)=0,#N/A,VLOOKUP(A212,Database!$A:$AS,MATCH($E$1,Database!$A$1:$AS$1,0),FALSE))</f>
        <v/>
      </c>
      <c r="F212" s="76">
        <f>IF(VLOOKUP(A212,Database!$A:$AS,MATCH($F$1,Database!$A$1:$AS$1,0),FALSE)=0,#N/A,VLOOKUP(A212,Database!$A:$AS,MATCH($F$1,Database!$A$1:$AS$1,0),FALSE))</f>
        <v/>
      </c>
      <c r="G212" s="76">
        <f>IF(VLOOKUP(A212,Database!$A:$AS,MATCH($G$1,Database!$A$1:$AS$1,0),FALSE)=0,#N/A,VLOOKUP(A212,Database!$A:$AS,MATCH($G$1,Database!$A$1:$AS$1,0),FALSE))</f>
        <v/>
      </c>
      <c r="H212" s="76">
        <f>(((Table134567891011121314151617343[[#This Row],[ITA]]-VLOOKUP($U$1,A:B,2,))/VLOOKUP($U$1,A:B,2,))*100)+100</f>
        <v/>
      </c>
      <c r="I212" s="76">
        <f>(((Table134567891011121314151617343[[#This Row],[FRA]]-VLOOKUP($U$1,A:C,3,))/VLOOKUP($U$1,A:C,3,))*100)+100</f>
        <v/>
      </c>
      <c r="J212" s="76">
        <f>(((Table134567891011121314151617343[[#This Row],[DEU]]-VLOOKUP($U$1,A:D,4,))/VLOOKUP($U$1,A:D,4,))*100)+100</f>
        <v/>
      </c>
      <c r="K212" s="76">
        <f>(((Table134567891011121314151617343[[#This Row],[ESP]]-VLOOKUP($U$1,A:E,5,))/VLOOKUP($U$1,A:E,5,))*100)+100</f>
        <v/>
      </c>
      <c r="L212" s="76">
        <f>(((Table134567891011121314151617343[[#This Row],[EA19]]-VLOOKUP($U$1,A:F,6,))/VLOOKUP($U$1,A:F,6,))*100)+100</f>
        <v/>
      </c>
      <c r="M212" s="76">
        <f>(((Table134567891011121314151617343[[#This Row],[GBR]]-VLOOKUP($U$1,A:G,7,))/VLOOKUP($U$1,A:G,7,))*100)+100</f>
        <v/>
      </c>
      <c r="N212" s="76">
        <f>IF(VLOOKUP(A212,Database!$A:$AU,MATCH($N$1,Database!$A$1:$AU$1,0),FALSE)=0,#N/A,VLOOKUP(A212,Database!$A:$AU,MATCH($N$1,Database!$A$1:$AU$1,0),FALSE))</f>
        <v/>
      </c>
      <c r="O212" s="76">
        <f>(((Table134567891011121314151617343[[#This Row],[USA]]-VLOOKUP($U$1,A:N,14,))/VLOOKUP($U$1,A:N,14,))*100)+100</f>
        <v/>
      </c>
      <c r="P212" s="76">
        <f>IF(VLOOKUP(A212,Database!$A:$AS,MATCH($P$1,Database!$A$1:$AS$1,0),FALSE)=0,#N/A,VLOOKUP(A212,Database!$A:$AS,MATCH($P$1,Database!$A$1:$AS$1,0),FALSE))</f>
        <v/>
      </c>
      <c r="Q212" s="76">
        <f>(((Table134567891011121314151617343[[#This Row],[JPN]]-VLOOKUP($U$1,A:Q,16,))/VLOOKUP($U$1,A:Q,16,))*100)+100</f>
        <v/>
      </c>
    </row>
    <row r="213" customFormat="1" s="86">
      <c r="A213" s="21" t="n">
        <v>39295</v>
      </c>
      <c r="B213" s="76">
        <f>IF(VLOOKUP(A213,Database!$A:$AS,MATCH($B$1,Database!$A$1:$AS$1,0),FALSE)=0,#N/A,VLOOKUP(A213,Database!$A:$AS,MATCH($B$1,Database!$A$1:$AS$1,0),FALSE))</f>
        <v/>
      </c>
      <c r="C213" s="76">
        <f>IF(VLOOKUP(A213,Database!$A:$AS,MATCH($C$1,Database!$A$1:$AS$1,0),FALSE)=0,#N/A,VLOOKUP(A213,Database!$A:$AS,MATCH($C$1,Database!$A$1:$AS$1,0),FALSE))</f>
        <v/>
      </c>
      <c r="D213" s="76">
        <f>IF(VLOOKUP(A213,Database!$A:$AS,MATCH($D$1,Database!$A$1:$AS$1,0),FALSE)=0,#N/A,VLOOKUP(A213,Database!$A:$AS,MATCH($D$1,Database!$A$1:$AS$1,0),FALSE))</f>
        <v/>
      </c>
      <c r="E213" s="76">
        <f>IF(VLOOKUP(A213,Database!$A:$AS,MATCH($E$1,Database!$A$1:$AS$1,0),FALSE)=0,#N/A,VLOOKUP(A213,Database!$A:$AS,MATCH($E$1,Database!$A$1:$AS$1,0),FALSE))</f>
        <v/>
      </c>
      <c r="F213" s="76">
        <f>IF(VLOOKUP(A213,Database!$A:$AS,MATCH($F$1,Database!$A$1:$AS$1,0),FALSE)=0,#N/A,VLOOKUP(A213,Database!$A:$AS,MATCH($F$1,Database!$A$1:$AS$1,0),FALSE))</f>
        <v/>
      </c>
      <c r="G213" s="76">
        <f>IF(VLOOKUP(A213,Database!$A:$AS,MATCH($G$1,Database!$A$1:$AS$1,0),FALSE)=0,#N/A,VLOOKUP(A213,Database!$A:$AS,MATCH($G$1,Database!$A$1:$AS$1,0),FALSE))</f>
        <v/>
      </c>
      <c r="H213" s="76">
        <f>(((Table134567891011121314151617343[[#This Row],[ITA]]-VLOOKUP($U$1,A:B,2,))/VLOOKUP($U$1,A:B,2,))*100)+100</f>
        <v/>
      </c>
      <c r="I213" s="76">
        <f>(((Table134567891011121314151617343[[#This Row],[FRA]]-VLOOKUP($U$1,A:C,3,))/VLOOKUP($U$1,A:C,3,))*100)+100</f>
        <v/>
      </c>
      <c r="J213" s="76">
        <f>(((Table134567891011121314151617343[[#This Row],[DEU]]-VLOOKUP($U$1,A:D,4,))/VLOOKUP($U$1,A:D,4,))*100)+100</f>
        <v/>
      </c>
      <c r="K213" s="76">
        <f>(((Table134567891011121314151617343[[#This Row],[ESP]]-VLOOKUP($U$1,A:E,5,))/VLOOKUP($U$1,A:E,5,))*100)+100</f>
        <v/>
      </c>
      <c r="L213" s="76">
        <f>(((Table134567891011121314151617343[[#This Row],[EA19]]-VLOOKUP($U$1,A:F,6,))/VLOOKUP($U$1,A:F,6,))*100)+100</f>
        <v/>
      </c>
      <c r="M213" s="76">
        <f>(((Table134567891011121314151617343[[#This Row],[GBR]]-VLOOKUP($U$1,A:G,7,))/VLOOKUP($U$1,A:G,7,))*100)+100</f>
        <v/>
      </c>
      <c r="N213" s="76">
        <f>IF(VLOOKUP(A213,Database!$A:$AU,MATCH($N$1,Database!$A$1:$AU$1,0),FALSE)=0,#N/A,VLOOKUP(A213,Database!$A:$AU,MATCH($N$1,Database!$A$1:$AU$1,0),FALSE))</f>
        <v/>
      </c>
      <c r="O213" s="76">
        <f>(((Table134567891011121314151617343[[#This Row],[USA]]-VLOOKUP($U$1,A:N,14,))/VLOOKUP($U$1,A:N,14,))*100)+100</f>
        <v/>
      </c>
      <c r="P213" s="76">
        <f>IF(VLOOKUP(A213,Database!$A:$AS,MATCH($P$1,Database!$A$1:$AS$1,0),FALSE)=0,#N/A,VLOOKUP(A213,Database!$A:$AS,MATCH($P$1,Database!$A$1:$AS$1,0),FALSE))</f>
        <v/>
      </c>
      <c r="Q213" s="76">
        <f>(((Table134567891011121314151617343[[#This Row],[JPN]]-VLOOKUP($U$1,A:Q,16,))/VLOOKUP($U$1,A:Q,16,))*100)+100</f>
        <v/>
      </c>
    </row>
    <row r="214" customFormat="1" s="86">
      <c r="A214" s="21" t="n">
        <v>39326</v>
      </c>
      <c r="B214" s="76">
        <f>IF(VLOOKUP(A214,Database!$A:$AS,MATCH($B$1,Database!$A$1:$AS$1,0),FALSE)=0,#N/A,VLOOKUP(A214,Database!$A:$AS,MATCH($B$1,Database!$A$1:$AS$1,0),FALSE))</f>
        <v/>
      </c>
      <c r="C214" s="76">
        <f>IF(VLOOKUP(A214,Database!$A:$AS,MATCH($C$1,Database!$A$1:$AS$1,0),FALSE)=0,#N/A,VLOOKUP(A214,Database!$A:$AS,MATCH($C$1,Database!$A$1:$AS$1,0),FALSE))</f>
        <v/>
      </c>
      <c r="D214" s="76">
        <f>IF(VLOOKUP(A214,Database!$A:$AS,MATCH($D$1,Database!$A$1:$AS$1,0),FALSE)=0,#N/A,VLOOKUP(A214,Database!$A:$AS,MATCH($D$1,Database!$A$1:$AS$1,0),FALSE))</f>
        <v/>
      </c>
      <c r="E214" s="76">
        <f>IF(VLOOKUP(A214,Database!$A:$AS,MATCH($E$1,Database!$A$1:$AS$1,0),FALSE)=0,#N/A,VLOOKUP(A214,Database!$A:$AS,MATCH($E$1,Database!$A$1:$AS$1,0),FALSE))</f>
        <v/>
      </c>
      <c r="F214" s="76">
        <f>IF(VLOOKUP(A214,Database!$A:$AS,MATCH($F$1,Database!$A$1:$AS$1,0),FALSE)=0,#N/A,VLOOKUP(A214,Database!$A:$AS,MATCH($F$1,Database!$A$1:$AS$1,0),FALSE))</f>
        <v/>
      </c>
      <c r="G214" s="76">
        <f>IF(VLOOKUP(A214,Database!$A:$AS,MATCH($G$1,Database!$A$1:$AS$1,0),FALSE)=0,#N/A,VLOOKUP(A214,Database!$A:$AS,MATCH($G$1,Database!$A$1:$AS$1,0),FALSE))</f>
        <v/>
      </c>
      <c r="H214" s="76">
        <f>(((Table134567891011121314151617343[[#This Row],[ITA]]-VLOOKUP($U$1,A:B,2,))/VLOOKUP($U$1,A:B,2,))*100)+100</f>
        <v/>
      </c>
      <c r="I214" s="76">
        <f>(((Table134567891011121314151617343[[#This Row],[FRA]]-VLOOKUP($U$1,A:C,3,))/VLOOKUP($U$1,A:C,3,))*100)+100</f>
        <v/>
      </c>
      <c r="J214" s="76">
        <f>(((Table134567891011121314151617343[[#This Row],[DEU]]-VLOOKUP($U$1,A:D,4,))/VLOOKUP($U$1,A:D,4,))*100)+100</f>
        <v/>
      </c>
      <c r="K214" s="76">
        <f>(((Table134567891011121314151617343[[#This Row],[ESP]]-VLOOKUP($U$1,A:E,5,))/VLOOKUP($U$1,A:E,5,))*100)+100</f>
        <v/>
      </c>
      <c r="L214" s="76">
        <f>(((Table134567891011121314151617343[[#This Row],[EA19]]-VLOOKUP($U$1,A:F,6,))/VLOOKUP($U$1,A:F,6,))*100)+100</f>
        <v/>
      </c>
      <c r="M214" s="76">
        <f>(((Table134567891011121314151617343[[#This Row],[GBR]]-VLOOKUP($U$1,A:G,7,))/VLOOKUP($U$1,A:G,7,))*100)+100</f>
        <v/>
      </c>
      <c r="N214" s="76">
        <f>IF(VLOOKUP(A214,Database!$A:$AU,MATCH($N$1,Database!$A$1:$AU$1,0),FALSE)=0,#N/A,VLOOKUP(A214,Database!$A:$AU,MATCH($N$1,Database!$A$1:$AU$1,0),FALSE))</f>
        <v/>
      </c>
      <c r="O214" s="76">
        <f>(((Table134567891011121314151617343[[#This Row],[USA]]-VLOOKUP($U$1,A:N,14,))/VLOOKUP($U$1,A:N,14,))*100)+100</f>
        <v/>
      </c>
      <c r="P214" s="76">
        <f>IF(VLOOKUP(A214,Database!$A:$AS,MATCH($P$1,Database!$A$1:$AS$1,0),FALSE)=0,#N/A,VLOOKUP(A214,Database!$A:$AS,MATCH($P$1,Database!$A$1:$AS$1,0),FALSE))</f>
        <v/>
      </c>
      <c r="Q214" s="76">
        <f>(((Table134567891011121314151617343[[#This Row],[JPN]]-VLOOKUP($U$1,A:Q,16,))/VLOOKUP($U$1,A:Q,16,))*100)+100</f>
        <v/>
      </c>
    </row>
    <row r="215" customFormat="1" s="86">
      <c r="A215" s="21" t="n">
        <v>39356</v>
      </c>
      <c r="B215" s="76">
        <f>IF(VLOOKUP(A215,Database!$A:$AS,MATCH($B$1,Database!$A$1:$AS$1,0),FALSE)=0,#N/A,VLOOKUP(A215,Database!$A:$AS,MATCH($B$1,Database!$A$1:$AS$1,0),FALSE))</f>
        <v/>
      </c>
      <c r="C215" s="76">
        <f>IF(VLOOKUP(A215,Database!$A:$AS,MATCH($C$1,Database!$A$1:$AS$1,0),FALSE)=0,#N/A,VLOOKUP(A215,Database!$A:$AS,MATCH($C$1,Database!$A$1:$AS$1,0),FALSE))</f>
        <v/>
      </c>
      <c r="D215" s="76">
        <f>IF(VLOOKUP(A215,Database!$A:$AS,MATCH($D$1,Database!$A$1:$AS$1,0),FALSE)=0,#N/A,VLOOKUP(A215,Database!$A:$AS,MATCH($D$1,Database!$A$1:$AS$1,0),FALSE))</f>
        <v/>
      </c>
      <c r="E215" s="76">
        <f>IF(VLOOKUP(A215,Database!$A:$AS,MATCH($E$1,Database!$A$1:$AS$1,0),FALSE)=0,#N/A,VLOOKUP(A215,Database!$A:$AS,MATCH($E$1,Database!$A$1:$AS$1,0),FALSE))</f>
        <v/>
      </c>
      <c r="F215" s="76">
        <f>IF(VLOOKUP(A215,Database!$A:$AS,MATCH($F$1,Database!$A$1:$AS$1,0),FALSE)=0,#N/A,VLOOKUP(A215,Database!$A:$AS,MATCH($F$1,Database!$A$1:$AS$1,0),FALSE))</f>
        <v/>
      </c>
      <c r="G215" s="76">
        <f>IF(VLOOKUP(A215,Database!$A:$AS,MATCH($G$1,Database!$A$1:$AS$1,0),FALSE)=0,#N/A,VLOOKUP(A215,Database!$A:$AS,MATCH($G$1,Database!$A$1:$AS$1,0),FALSE))</f>
        <v/>
      </c>
      <c r="H215" s="76">
        <f>(((Table134567891011121314151617343[[#This Row],[ITA]]-VLOOKUP($U$1,A:B,2,))/VLOOKUP($U$1,A:B,2,))*100)+100</f>
        <v/>
      </c>
      <c r="I215" s="76">
        <f>(((Table134567891011121314151617343[[#This Row],[FRA]]-VLOOKUP($U$1,A:C,3,))/VLOOKUP($U$1,A:C,3,))*100)+100</f>
        <v/>
      </c>
      <c r="J215" s="76">
        <f>(((Table134567891011121314151617343[[#This Row],[DEU]]-VLOOKUP($U$1,A:D,4,))/VLOOKUP($U$1,A:D,4,))*100)+100</f>
        <v/>
      </c>
      <c r="K215" s="76">
        <f>(((Table134567891011121314151617343[[#This Row],[ESP]]-VLOOKUP($U$1,A:E,5,))/VLOOKUP($U$1,A:E,5,))*100)+100</f>
        <v/>
      </c>
      <c r="L215" s="76">
        <f>(((Table134567891011121314151617343[[#This Row],[EA19]]-VLOOKUP($U$1,A:F,6,))/VLOOKUP($U$1,A:F,6,))*100)+100</f>
        <v/>
      </c>
      <c r="M215" s="76">
        <f>(((Table134567891011121314151617343[[#This Row],[GBR]]-VLOOKUP($U$1,A:G,7,))/VLOOKUP($U$1,A:G,7,))*100)+100</f>
        <v/>
      </c>
      <c r="N215" s="76">
        <f>IF(VLOOKUP(A215,Database!$A:$AU,MATCH($N$1,Database!$A$1:$AU$1,0),FALSE)=0,#N/A,VLOOKUP(A215,Database!$A:$AU,MATCH($N$1,Database!$A$1:$AU$1,0),FALSE))</f>
        <v/>
      </c>
      <c r="O215" s="76">
        <f>(((Table134567891011121314151617343[[#This Row],[USA]]-VLOOKUP($U$1,A:N,14,))/VLOOKUP($U$1,A:N,14,))*100)+100</f>
        <v/>
      </c>
      <c r="P215" s="76">
        <f>IF(VLOOKUP(A215,Database!$A:$AS,MATCH($P$1,Database!$A$1:$AS$1,0),FALSE)=0,#N/A,VLOOKUP(A215,Database!$A:$AS,MATCH($P$1,Database!$A$1:$AS$1,0),FALSE))</f>
        <v/>
      </c>
      <c r="Q215" s="76">
        <f>(((Table134567891011121314151617343[[#This Row],[JPN]]-VLOOKUP($U$1,A:Q,16,))/VLOOKUP($U$1,A:Q,16,))*100)+100</f>
        <v/>
      </c>
    </row>
    <row r="216" customFormat="1" s="86">
      <c r="A216" s="21" t="n">
        <v>39387</v>
      </c>
      <c r="B216" s="76">
        <f>IF(VLOOKUP(A216,Database!$A:$AS,MATCH($B$1,Database!$A$1:$AS$1,0),FALSE)=0,#N/A,VLOOKUP(A216,Database!$A:$AS,MATCH($B$1,Database!$A$1:$AS$1,0),FALSE))</f>
        <v/>
      </c>
      <c r="C216" s="76">
        <f>IF(VLOOKUP(A216,Database!$A:$AS,MATCH($C$1,Database!$A$1:$AS$1,0),FALSE)=0,#N/A,VLOOKUP(A216,Database!$A:$AS,MATCH($C$1,Database!$A$1:$AS$1,0),FALSE))</f>
        <v/>
      </c>
      <c r="D216" s="76">
        <f>IF(VLOOKUP(A216,Database!$A:$AS,MATCH($D$1,Database!$A$1:$AS$1,0),FALSE)=0,#N/A,VLOOKUP(A216,Database!$A:$AS,MATCH($D$1,Database!$A$1:$AS$1,0),FALSE))</f>
        <v/>
      </c>
      <c r="E216" s="76">
        <f>IF(VLOOKUP(A216,Database!$A:$AS,MATCH($E$1,Database!$A$1:$AS$1,0),FALSE)=0,#N/A,VLOOKUP(A216,Database!$A:$AS,MATCH($E$1,Database!$A$1:$AS$1,0),FALSE))</f>
        <v/>
      </c>
      <c r="F216" s="76">
        <f>IF(VLOOKUP(A216,Database!$A:$AS,MATCH($F$1,Database!$A$1:$AS$1,0),FALSE)=0,#N/A,VLOOKUP(A216,Database!$A:$AS,MATCH($F$1,Database!$A$1:$AS$1,0),FALSE))</f>
        <v/>
      </c>
      <c r="G216" s="76">
        <f>IF(VLOOKUP(A216,Database!$A:$AS,MATCH($G$1,Database!$A$1:$AS$1,0),FALSE)=0,#N/A,VLOOKUP(A216,Database!$A:$AS,MATCH($G$1,Database!$A$1:$AS$1,0),FALSE))</f>
        <v/>
      </c>
      <c r="H216" s="76">
        <f>(((Table134567891011121314151617343[[#This Row],[ITA]]-VLOOKUP($U$1,A:B,2,))/VLOOKUP($U$1,A:B,2,))*100)+100</f>
        <v/>
      </c>
      <c r="I216" s="76">
        <f>(((Table134567891011121314151617343[[#This Row],[FRA]]-VLOOKUP($U$1,A:C,3,))/VLOOKUP($U$1,A:C,3,))*100)+100</f>
        <v/>
      </c>
      <c r="J216" s="76">
        <f>(((Table134567891011121314151617343[[#This Row],[DEU]]-VLOOKUP($U$1,A:D,4,))/VLOOKUP($U$1,A:D,4,))*100)+100</f>
        <v/>
      </c>
      <c r="K216" s="76">
        <f>(((Table134567891011121314151617343[[#This Row],[ESP]]-VLOOKUP($U$1,A:E,5,))/VLOOKUP($U$1,A:E,5,))*100)+100</f>
        <v/>
      </c>
      <c r="L216" s="76">
        <f>(((Table134567891011121314151617343[[#This Row],[EA19]]-VLOOKUP($U$1,A:F,6,))/VLOOKUP($U$1,A:F,6,))*100)+100</f>
        <v/>
      </c>
      <c r="M216" s="76">
        <f>(((Table134567891011121314151617343[[#This Row],[GBR]]-VLOOKUP($U$1,A:G,7,))/VLOOKUP($U$1,A:G,7,))*100)+100</f>
        <v/>
      </c>
      <c r="N216" s="76">
        <f>IF(VLOOKUP(A216,Database!$A:$AU,MATCH($N$1,Database!$A$1:$AU$1,0),FALSE)=0,#N/A,VLOOKUP(A216,Database!$A:$AU,MATCH($N$1,Database!$A$1:$AU$1,0),FALSE))</f>
        <v/>
      </c>
      <c r="O216" s="76">
        <f>(((Table134567891011121314151617343[[#This Row],[USA]]-VLOOKUP($U$1,A:N,14,))/VLOOKUP($U$1,A:N,14,))*100)+100</f>
        <v/>
      </c>
      <c r="P216" s="76">
        <f>IF(VLOOKUP(A216,Database!$A:$AS,MATCH($P$1,Database!$A$1:$AS$1,0),FALSE)=0,#N/A,VLOOKUP(A216,Database!$A:$AS,MATCH($P$1,Database!$A$1:$AS$1,0),FALSE))</f>
        <v/>
      </c>
      <c r="Q216" s="76">
        <f>(((Table134567891011121314151617343[[#This Row],[JPN]]-VLOOKUP($U$1,A:Q,16,))/VLOOKUP($U$1,A:Q,16,))*100)+100</f>
        <v/>
      </c>
    </row>
    <row r="217" customFormat="1" s="86">
      <c r="A217" s="21" t="n">
        <v>39417</v>
      </c>
      <c r="B217" s="76">
        <f>IF(VLOOKUP(A217,Database!$A:$AS,MATCH($B$1,Database!$A$1:$AS$1,0),FALSE)=0,#N/A,VLOOKUP(A217,Database!$A:$AS,MATCH($B$1,Database!$A$1:$AS$1,0),FALSE))</f>
        <v/>
      </c>
      <c r="C217" s="76">
        <f>IF(VLOOKUP(A217,Database!$A:$AS,MATCH($C$1,Database!$A$1:$AS$1,0),FALSE)=0,#N/A,VLOOKUP(A217,Database!$A:$AS,MATCH($C$1,Database!$A$1:$AS$1,0),FALSE))</f>
        <v/>
      </c>
      <c r="D217" s="76">
        <f>IF(VLOOKUP(A217,Database!$A:$AS,MATCH($D$1,Database!$A$1:$AS$1,0),FALSE)=0,#N/A,VLOOKUP(A217,Database!$A:$AS,MATCH($D$1,Database!$A$1:$AS$1,0),FALSE))</f>
        <v/>
      </c>
      <c r="E217" s="76">
        <f>IF(VLOOKUP(A217,Database!$A:$AS,MATCH($E$1,Database!$A$1:$AS$1,0),FALSE)=0,#N/A,VLOOKUP(A217,Database!$A:$AS,MATCH($E$1,Database!$A$1:$AS$1,0),FALSE))</f>
        <v/>
      </c>
      <c r="F217" s="76">
        <f>IF(VLOOKUP(A217,Database!$A:$AS,MATCH($F$1,Database!$A$1:$AS$1,0),FALSE)=0,#N/A,VLOOKUP(A217,Database!$A:$AS,MATCH($F$1,Database!$A$1:$AS$1,0),FALSE))</f>
        <v/>
      </c>
      <c r="G217" s="76">
        <f>IF(VLOOKUP(A217,Database!$A:$AS,MATCH($G$1,Database!$A$1:$AS$1,0),FALSE)=0,#N/A,VLOOKUP(A217,Database!$A:$AS,MATCH($G$1,Database!$A$1:$AS$1,0),FALSE))</f>
        <v/>
      </c>
      <c r="H217" s="76">
        <f>(((Table134567891011121314151617343[[#This Row],[ITA]]-VLOOKUP($U$1,A:B,2,))/VLOOKUP($U$1,A:B,2,))*100)+100</f>
        <v/>
      </c>
      <c r="I217" s="76">
        <f>(((Table134567891011121314151617343[[#This Row],[FRA]]-VLOOKUP($U$1,A:C,3,))/VLOOKUP($U$1,A:C,3,))*100)+100</f>
        <v/>
      </c>
      <c r="J217" s="76">
        <f>(((Table134567891011121314151617343[[#This Row],[DEU]]-VLOOKUP($U$1,A:D,4,))/VLOOKUP($U$1,A:D,4,))*100)+100</f>
        <v/>
      </c>
      <c r="K217" s="76">
        <f>(((Table134567891011121314151617343[[#This Row],[ESP]]-VLOOKUP($U$1,A:E,5,))/VLOOKUP($U$1,A:E,5,))*100)+100</f>
        <v/>
      </c>
      <c r="L217" s="76">
        <f>(((Table134567891011121314151617343[[#This Row],[EA19]]-VLOOKUP($U$1,A:F,6,))/VLOOKUP($U$1,A:F,6,))*100)+100</f>
        <v/>
      </c>
      <c r="M217" s="76">
        <f>(((Table134567891011121314151617343[[#This Row],[GBR]]-VLOOKUP($U$1,A:G,7,))/VLOOKUP($U$1,A:G,7,))*100)+100</f>
        <v/>
      </c>
      <c r="N217" s="76">
        <f>IF(VLOOKUP(A217,Database!$A:$AU,MATCH($N$1,Database!$A$1:$AU$1,0),FALSE)=0,#N/A,VLOOKUP(A217,Database!$A:$AU,MATCH($N$1,Database!$A$1:$AU$1,0),FALSE))</f>
        <v/>
      </c>
      <c r="O217" s="76">
        <f>(((Table134567891011121314151617343[[#This Row],[USA]]-VLOOKUP($U$1,A:N,14,))/VLOOKUP($U$1,A:N,14,))*100)+100</f>
        <v/>
      </c>
      <c r="P217" s="76">
        <f>IF(VLOOKUP(A217,Database!$A:$AS,MATCH($P$1,Database!$A$1:$AS$1,0),FALSE)=0,#N/A,VLOOKUP(A217,Database!$A:$AS,MATCH($P$1,Database!$A$1:$AS$1,0),FALSE))</f>
        <v/>
      </c>
      <c r="Q217" s="76">
        <f>(((Table134567891011121314151617343[[#This Row],[JPN]]-VLOOKUP($U$1,A:Q,16,))/VLOOKUP($U$1,A:Q,16,))*100)+100</f>
        <v/>
      </c>
    </row>
    <row r="218" customFormat="1" s="86">
      <c r="A218" s="21" t="n">
        <v>39448</v>
      </c>
      <c r="B218" s="76">
        <f>IF(VLOOKUP(A218,Database!$A:$AS,MATCH($B$1,Database!$A$1:$AS$1,0),FALSE)=0,#N/A,VLOOKUP(A218,Database!$A:$AS,MATCH($B$1,Database!$A$1:$AS$1,0),FALSE))</f>
        <v/>
      </c>
      <c r="C218" s="76">
        <f>IF(VLOOKUP(A218,Database!$A:$AS,MATCH($C$1,Database!$A$1:$AS$1,0),FALSE)=0,#N/A,VLOOKUP(A218,Database!$A:$AS,MATCH($C$1,Database!$A$1:$AS$1,0),FALSE))</f>
        <v/>
      </c>
      <c r="D218" s="76">
        <f>IF(VLOOKUP(A218,Database!$A:$AS,MATCH($D$1,Database!$A$1:$AS$1,0),FALSE)=0,#N/A,VLOOKUP(A218,Database!$A:$AS,MATCH($D$1,Database!$A$1:$AS$1,0),FALSE))</f>
        <v/>
      </c>
      <c r="E218" s="76">
        <f>IF(VLOOKUP(A218,Database!$A:$AS,MATCH($E$1,Database!$A$1:$AS$1,0),FALSE)=0,#N/A,VLOOKUP(A218,Database!$A:$AS,MATCH($E$1,Database!$A$1:$AS$1,0),FALSE))</f>
        <v/>
      </c>
      <c r="F218" s="76">
        <f>IF(VLOOKUP(A218,Database!$A:$AS,MATCH($F$1,Database!$A$1:$AS$1,0),FALSE)=0,#N/A,VLOOKUP(A218,Database!$A:$AS,MATCH($F$1,Database!$A$1:$AS$1,0),FALSE))</f>
        <v/>
      </c>
      <c r="G218" s="76">
        <f>IF(VLOOKUP(A218,Database!$A:$AS,MATCH($G$1,Database!$A$1:$AS$1,0),FALSE)=0,#N/A,VLOOKUP(A218,Database!$A:$AS,MATCH($G$1,Database!$A$1:$AS$1,0),FALSE))</f>
        <v/>
      </c>
      <c r="H218" s="76">
        <f>(((Table134567891011121314151617343[[#This Row],[ITA]]-VLOOKUP($U$1,A:B,2,))/VLOOKUP($U$1,A:B,2,))*100)+100</f>
        <v/>
      </c>
      <c r="I218" s="76">
        <f>(((Table134567891011121314151617343[[#This Row],[FRA]]-VLOOKUP($U$1,A:C,3,))/VLOOKUP($U$1,A:C,3,))*100)+100</f>
        <v/>
      </c>
      <c r="J218" s="76">
        <f>(((Table134567891011121314151617343[[#This Row],[DEU]]-VLOOKUP($U$1,A:D,4,))/VLOOKUP($U$1,A:D,4,))*100)+100</f>
        <v/>
      </c>
      <c r="K218" s="76">
        <f>(((Table134567891011121314151617343[[#This Row],[ESP]]-VLOOKUP($U$1,A:E,5,))/VLOOKUP($U$1,A:E,5,))*100)+100</f>
        <v/>
      </c>
      <c r="L218" s="76">
        <f>(((Table134567891011121314151617343[[#This Row],[EA19]]-VLOOKUP($U$1,A:F,6,))/VLOOKUP($U$1,A:F,6,))*100)+100</f>
        <v/>
      </c>
      <c r="M218" s="76">
        <f>(((Table134567891011121314151617343[[#This Row],[GBR]]-VLOOKUP($U$1,A:G,7,))/VLOOKUP($U$1,A:G,7,))*100)+100</f>
        <v/>
      </c>
      <c r="N218" s="76">
        <f>IF(VLOOKUP(A218,Database!$A:$AU,MATCH($N$1,Database!$A$1:$AU$1,0),FALSE)=0,#N/A,VLOOKUP(A218,Database!$A:$AU,MATCH($N$1,Database!$A$1:$AU$1,0),FALSE))</f>
        <v/>
      </c>
      <c r="O218" s="76">
        <f>(((Table134567891011121314151617343[[#This Row],[USA]]-VLOOKUP($U$1,A:N,14,))/VLOOKUP($U$1,A:N,14,))*100)+100</f>
        <v/>
      </c>
      <c r="P218" s="76">
        <f>IF(VLOOKUP(A218,Database!$A:$AS,MATCH($P$1,Database!$A$1:$AS$1,0),FALSE)=0,#N/A,VLOOKUP(A218,Database!$A:$AS,MATCH($P$1,Database!$A$1:$AS$1,0),FALSE))</f>
        <v/>
      </c>
      <c r="Q218" s="76">
        <f>(((Table134567891011121314151617343[[#This Row],[JPN]]-VLOOKUP($U$1,A:Q,16,))/VLOOKUP($U$1,A:Q,16,))*100)+100</f>
        <v/>
      </c>
    </row>
    <row r="219" customFormat="1" s="86">
      <c r="A219" s="21" t="n">
        <v>39479</v>
      </c>
      <c r="B219" s="76">
        <f>IF(VLOOKUP(A219,Database!$A:$AS,MATCH($B$1,Database!$A$1:$AS$1,0),FALSE)=0,#N/A,VLOOKUP(A219,Database!$A:$AS,MATCH($B$1,Database!$A$1:$AS$1,0),FALSE))</f>
        <v/>
      </c>
      <c r="C219" s="76">
        <f>IF(VLOOKUP(A219,Database!$A:$AS,MATCH($C$1,Database!$A$1:$AS$1,0),FALSE)=0,#N/A,VLOOKUP(A219,Database!$A:$AS,MATCH($C$1,Database!$A$1:$AS$1,0),FALSE))</f>
        <v/>
      </c>
      <c r="D219" s="76">
        <f>IF(VLOOKUP(A219,Database!$A:$AS,MATCH($D$1,Database!$A$1:$AS$1,0),FALSE)=0,#N/A,VLOOKUP(A219,Database!$A:$AS,MATCH($D$1,Database!$A$1:$AS$1,0),FALSE))</f>
        <v/>
      </c>
      <c r="E219" s="76">
        <f>IF(VLOOKUP(A219,Database!$A:$AS,MATCH($E$1,Database!$A$1:$AS$1,0),FALSE)=0,#N/A,VLOOKUP(A219,Database!$A:$AS,MATCH($E$1,Database!$A$1:$AS$1,0),FALSE))</f>
        <v/>
      </c>
      <c r="F219" s="76">
        <f>IF(VLOOKUP(A219,Database!$A:$AS,MATCH($F$1,Database!$A$1:$AS$1,0),FALSE)=0,#N/A,VLOOKUP(A219,Database!$A:$AS,MATCH($F$1,Database!$A$1:$AS$1,0),FALSE))</f>
        <v/>
      </c>
      <c r="G219" s="76">
        <f>IF(VLOOKUP(A219,Database!$A:$AS,MATCH($G$1,Database!$A$1:$AS$1,0),FALSE)=0,#N/A,VLOOKUP(A219,Database!$A:$AS,MATCH($G$1,Database!$A$1:$AS$1,0),FALSE))</f>
        <v/>
      </c>
      <c r="H219" s="76">
        <f>(((Table134567891011121314151617343[[#This Row],[ITA]]-VLOOKUP($U$1,A:B,2,))/VLOOKUP($U$1,A:B,2,))*100)+100</f>
        <v/>
      </c>
      <c r="I219" s="76">
        <f>(((Table134567891011121314151617343[[#This Row],[FRA]]-VLOOKUP($U$1,A:C,3,))/VLOOKUP($U$1,A:C,3,))*100)+100</f>
        <v/>
      </c>
      <c r="J219" s="76">
        <f>(((Table134567891011121314151617343[[#This Row],[DEU]]-VLOOKUP($U$1,A:D,4,))/VLOOKUP($U$1,A:D,4,))*100)+100</f>
        <v/>
      </c>
      <c r="K219" s="76">
        <f>(((Table134567891011121314151617343[[#This Row],[ESP]]-VLOOKUP($U$1,A:E,5,))/VLOOKUP($U$1,A:E,5,))*100)+100</f>
        <v/>
      </c>
      <c r="L219" s="76">
        <f>(((Table134567891011121314151617343[[#This Row],[EA19]]-VLOOKUP($U$1,A:F,6,))/VLOOKUP($U$1,A:F,6,))*100)+100</f>
        <v/>
      </c>
      <c r="M219" s="76">
        <f>(((Table134567891011121314151617343[[#This Row],[GBR]]-VLOOKUP($U$1,A:G,7,))/VLOOKUP($U$1,A:G,7,))*100)+100</f>
        <v/>
      </c>
      <c r="N219" s="76">
        <f>IF(VLOOKUP(A219,Database!$A:$AU,MATCH($N$1,Database!$A$1:$AU$1,0),FALSE)=0,#N/A,VLOOKUP(A219,Database!$A:$AU,MATCH($N$1,Database!$A$1:$AU$1,0),FALSE))</f>
        <v/>
      </c>
      <c r="O219" s="76">
        <f>(((Table134567891011121314151617343[[#This Row],[USA]]-VLOOKUP($U$1,A:N,14,))/VLOOKUP($U$1,A:N,14,))*100)+100</f>
        <v/>
      </c>
      <c r="P219" s="76">
        <f>IF(VLOOKUP(A219,Database!$A:$AS,MATCH($P$1,Database!$A$1:$AS$1,0),FALSE)=0,#N/A,VLOOKUP(A219,Database!$A:$AS,MATCH($P$1,Database!$A$1:$AS$1,0),FALSE))</f>
        <v/>
      </c>
      <c r="Q219" s="76">
        <f>(((Table134567891011121314151617343[[#This Row],[JPN]]-VLOOKUP($U$1,A:Q,16,))/VLOOKUP($U$1,A:Q,16,))*100)+100</f>
        <v/>
      </c>
    </row>
    <row r="220" customFormat="1" s="86">
      <c r="A220" s="21" t="n">
        <v>39508</v>
      </c>
      <c r="B220" s="76">
        <f>IF(VLOOKUP(A220,Database!$A:$AS,MATCH($B$1,Database!$A$1:$AS$1,0),FALSE)=0,#N/A,VLOOKUP(A220,Database!$A:$AS,MATCH($B$1,Database!$A$1:$AS$1,0),FALSE))</f>
        <v/>
      </c>
      <c r="C220" s="76">
        <f>IF(VLOOKUP(A220,Database!$A:$AS,MATCH($C$1,Database!$A$1:$AS$1,0),FALSE)=0,#N/A,VLOOKUP(A220,Database!$A:$AS,MATCH($C$1,Database!$A$1:$AS$1,0),FALSE))</f>
        <v/>
      </c>
      <c r="D220" s="76">
        <f>IF(VLOOKUP(A220,Database!$A:$AS,MATCH($D$1,Database!$A$1:$AS$1,0),FALSE)=0,#N/A,VLOOKUP(A220,Database!$A:$AS,MATCH($D$1,Database!$A$1:$AS$1,0),FALSE))</f>
        <v/>
      </c>
      <c r="E220" s="76">
        <f>IF(VLOOKUP(A220,Database!$A:$AS,MATCH($E$1,Database!$A$1:$AS$1,0),FALSE)=0,#N/A,VLOOKUP(A220,Database!$A:$AS,MATCH($E$1,Database!$A$1:$AS$1,0),FALSE))</f>
        <v/>
      </c>
      <c r="F220" s="76">
        <f>IF(VLOOKUP(A220,Database!$A:$AS,MATCH($F$1,Database!$A$1:$AS$1,0),FALSE)=0,#N/A,VLOOKUP(A220,Database!$A:$AS,MATCH($F$1,Database!$A$1:$AS$1,0),FALSE))</f>
        <v/>
      </c>
      <c r="G220" s="76">
        <f>IF(VLOOKUP(A220,Database!$A:$AS,MATCH($G$1,Database!$A$1:$AS$1,0),FALSE)=0,#N/A,VLOOKUP(A220,Database!$A:$AS,MATCH($G$1,Database!$A$1:$AS$1,0),FALSE))</f>
        <v/>
      </c>
      <c r="H220" s="76">
        <f>(((Table134567891011121314151617343[[#This Row],[ITA]]-VLOOKUP($U$1,A:B,2,))/VLOOKUP($U$1,A:B,2,))*100)+100</f>
        <v/>
      </c>
      <c r="I220" s="76">
        <f>(((Table134567891011121314151617343[[#This Row],[FRA]]-VLOOKUP($U$1,A:C,3,))/VLOOKUP($U$1,A:C,3,))*100)+100</f>
        <v/>
      </c>
      <c r="J220" s="76">
        <f>(((Table134567891011121314151617343[[#This Row],[DEU]]-VLOOKUP($U$1,A:D,4,))/VLOOKUP($U$1,A:D,4,))*100)+100</f>
        <v/>
      </c>
      <c r="K220" s="76">
        <f>(((Table134567891011121314151617343[[#This Row],[ESP]]-VLOOKUP($U$1,A:E,5,))/VLOOKUP($U$1,A:E,5,))*100)+100</f>
        <v/>
      </c>
      <c r="L220" s="76">
        <f>(((Table134567891011121314151617343[[#This Row],[EA19]]-VLOOKUP($U$1,A:F,6,))/VLOOKUP($U$1,A:F,6,))*100)+100</f>
        <v/>
      </c>
      <c r="M220" s="76">
        <f>(((Table134567891011121314151617343[[#This Row],[GBR]]-VLOOKUP($U$1,A:G,7,))/VLOOKUP($U$1,A:G,7,))*100)+100</f>
        <v/>
      </c>
      <c r="N220" s="76">
        <f>IF(VLOOKUP(A220,Database!$A:$AU,MATCH($N$1,Database!$A$1:$AU$1,0),FALSE)=0,#N/A,VLOOKUP(A220,Database!$A:$AU,MATCH($N$1,Database!$A$1:$AU$1,0),FALSE))</f>
        <v/>
      </c>
      <c r="O220" s="76">
        <f>(((Table134567891011121314151617343[[#This Row],[USA]]-VLOOKUP($U$1,A:N,14,))/VLOOKUP($U$1,A:N,14,))*100)+100</f>
        <v/>
      </c>
      <c r="P220" s="76">
        <f>IF(VLOOKUP(A220,Database!$A:$AS,MATCH($P$1,Database!$A$1:$AS$1,0),FALSE)=0,#N/A,VLOOKUP(A220,Database!$A:$AS,MATCH($P$1,Database!$A$1:$AS$1,0),FALSE))</f>
        <v/>
      </c>
      <c r="Q220" s="76">
        <f>(((Table134567891011121314151617343[[#This Row],[JPN]]-VLOOKUP($U$1,A:Q,16,))/VLOOKUP($U$1,A:Q,16,))*100)+100</f>
        <v/>
      </c>
    </row>
    <row r="221" customFormat="1" s="86">
      <c r="A221" s="21" t="n">
        <v>39539</v>
      </c>
      <c r="B221" s="76">
        <f>IF(VLOOKUP(A221,Database!$A:$AS,MATCH($B$1,Database!$A$1:$AS$1,0),FALSE)=0,#N/A,VLOOKUP(A221,Database!$A:$AS,MATCH($B$1,Database!$A$1:$AS$1,0),FALSE))</f>
        <v/>
      </c>
      <c r="C221" s="76">
        <f>IF(VLOOKUP(A221,Database!$A:$AS,MATCH($C$1,Database!$A$1:$AS$1,0),FALSE)=0,#N/A,VLOOKUP(A221,Database!$A:$AS,MATCH($C$1,Database!$A$1:$AS$1,0),FALSE))</f>
        <v/>
      </c>
      <c r="D221" s="76">
        <f>IF(VLOOKUP(A221,Database!$A:$AS,MATCH($D$1,Database!$A$1:$AS$1,0),FALSE)=0,#N/A,VLOOKUP(A221,Database!$A:$AS,MATCH($D$1,Database!$A$1:$AS$1,0),FALSE))</f>
        <v/>
      </c>
      <c r="E221" s="76">
        <f>IF(VLOOKUP(A221,Database!$A:$AS,MATCH($E$1,Database!$A$1:$AS$1,0),FALSE)=0,#N/A,VLOOKUP(A221,Database!$A:$AS,MATCH($E$1,Database!$A$1:$AS$1,0),FALSE))</f>
        <v/>
      </c>
      <c r="F221" s="76">
        <f>IF(VLOOKUP(A221,Database!$A:$AS,MATCH($F$1,Database!$A$1:$AS$1,0),FALSE)=0,#N/A,VLOOKUP(A221,Database!$A:$AS,MATCH($F$1,Database!$A$1:$AS$1,0),FALSE))</f>
        <v/>
      </c>
      <c r="G221" s="76">
        <f>IF(VLOOKUP(A221,Database!$A:$AS,MATCH($G$1,Database!$A$1:$AS$1,0),FALSE)=0,#N/A,VLOOKUP(A221,Database!$A:$AS,MATCH($G$1,Database!$A$1:$AS$1,0),FALSE))</f>
        <v/>
      </c>
      <c r="H221" s="76">
        <f>(((Table134567891011121314151617343[[#This Row],[ITA]]-VLOOKUP($U$1,A:B,2,))/VLOOKUP($U$1,A:B,2,))*100)+100</f>
        <v/>
      </c>
      <c r="I221" s="76">
        <f>(((Table134567891011121314151617343[[#This Row],[FRA]]-VLOOKUP($U$1,A:C,3,))/VLOOKUP($U$1,A:C,3,))*100)+100</f>
        <v/>
      </c>
      <c r="J221" s="76">
        <f>(((Table134567891011121314151617343[[#This Row],[DEU]]-VLOOKUP($U$1,A:D,4,))/VLOOKUP($U$1,A:D,4,))*100)+100</f>
        <v/>
      </c>
      <c r="K221" s="76">
        <f>(((Table134567891011121314151617343[[#This Row],[ESP]]-VLOOKUP($U$1,A:E,5,))/VLOOKUP($U$1,A:E,5,))*100)+100</f>
        <v/>
      </c>
      <c r="L221" s="76">
        <f>(((Table134567891011121314151617343[[#This Row],[EA19]]-VLOOKUP($U$1,A:F,6,))/VLOOKUP($U$1,A:F,6,))*100)+100</f>
        <v/>
      </c>
      <c r="M221" s="76">
        <f>(((Table134567891011121314151617343[[#This Row],[GBR]]-VLOOKUP($U$1,A:G,7,))/VLOOKUP($U$1,A:G,7,))*100)+100</f>
        <v/>
      </c>
      <c r="N221" s="76">
        <f>IF(VLOOKUP(A221,Database!$A:$AU,MATCH($N$1,Database!$A$1:$AU$1,0),FALSE)=0,#N/A,VLOOKUP(A221,Database!$A:$AU,MATCH($N$1,Database!$A$1:$AU$1,0),FALSE))</f>
        <v/>
      </c>
      <c r="O221" s="76">
        <f>(((Table134567891011121314151617343[[#This Row],[USA]]-VLOOKUP($U$1,A:N,14,))/VLOOKUP($U$1,A:N,14,))*100)+100</f>
        <v/>
      </c>
      <c r="P221" s="76">
        <f>IF(VLOOKUP(A221,Database!$A:$AS,MATCH($P$1,Database!$A$1:$AS$1,0),FALSE)=0,#N/A,VLOOKUP(A221,Database!$A:$AS,MATCH($P$1,Database!$A$1:$AS$1,0),FALSE))</f>
        <v/>
      </c>
      <c r="Q221" s="76">
        <f>(((Table134567891011121314151617343[[#This Row],[JPN]]-VLOOKUP($U$1,A:Q,16,))/VLOOKUP($U$1,A:Q,16,))*100)+100</f>
        <v/>
      </c>
    </row>
    <row r="222" customFormat="1" s="86">
      <c r="A222" s="21" t="n">
        <v>39569</v>
      </c>
      <c r="B222" s="76">
        <f>IF(VLOOKUP(A222,Database!$A:$AS,MATCH($B$1,Database!$A$1:$AS$1,0),FALSE)=0,#N/A,VLOOKUP(A222,Database!$A:$AS,MATCH($B$1,Database!$A$1:$AS$1,0),FALSE))</f>
        <v/>
      </c>
      <c r="C222" s="76">
        <f>IF(VLOOKUP(A222,Database!$A:$AS,MATCH($C$1,Database!$A$1:$AS$1,0),FALSE)=0,#N/A,VLOOKUP(A222,Database!$A:$AS,MATCH($C$1,Database!$A$1:$AS$1,0),FALSE))</f>
        <v/>
      </c>
      <c r="D222" s="76">
        <f>IF(VLOOKUP(A222,Database!$A:$AS,MATCH($D$1,Database!$A$1:$AS$1,0),FALSE)=0,#N/A,VLOOKUP(A222,Database!$A:$AS,MATCH($D$1,Database!$A$1:$AS$1,0),FALSE))</f>
        <v/>
      </c>
      <c r="E222" s="76">
        <f>IF(VLOOKUP(A222,Database!$A:$AS,MATCH($E$1,Database!$A$1:$AS$1,0),FALSE)=0,#N/A,VLOOKUP(A222,Database!$A:$AS,MATCH($E$1,Database!$A$1:$AS$1,0),FALSE))</f>
        <v/>
      </c>
      <c r="F222" s="76">
        <f>IF(VLOOKUP(A222,Database!$A:$AS,MATCH($F$1,Database!$A$1:$AS$1,0),FALSE)=0,#N/A,VLOOKUP(A222,Database!$A:$AS,MATCH($F$1,Database!$A$1:$AS$1,0),FALSE))</f>
        <v/>
      </c>
      <c r="G222" s="76">
        <f>IF(VLOOKUP(A222,Database!$A:$AS,MATCH($G$1,Database!$A$1:$AS$1,0),FALSE)=0,#N/A,VLOOKUP(A222,Database!$A:$AS,MATCH($G$1,Database!$A$1:$AS$1,0),FALSE))</f>
        <v/>
      </c>
      <c r="H222" s="76">
        <f>(((Table134567891011121314151617343[[#This Row],[ITA]]-VLOOKUP($U$1,A:B,2,))/VLOOKUP($U$1,A:B,2,))*100)+100</f>
        <v/>
      </c>
      <c r="I222" s="76">
        <f>(((Table134567891011121314151617343[[#This Row],[FRA]]-VLOOKUP($U$1,A:C,3,))/VLOOKUP($U$1,A:C,3,))*100)+100</f>
        <v/>
      </c>
      <c r="J222" s="76">
        <f>(((Table134567891011121314151617343[[#This Row],[DEU]]-VLOOKUP($U$1,A:D,4,))/VLOOKUP($U$1,A:D,4,))*100)+100</f>
        <v/>
      </c>
      <c r="K222" s="76">
        <f>(((Table134567891011121314151617343[[#This Row],[ESP]]-VLOOKUP($U$1,A:E,5,))/VLOOKUP($U$1,A:E,5,))*100)+100</f>
        <v/>
      </c>
      <c r="L222" s="76">
        <f>(((Table134567891011121314151617343[[#This Row],[EA19]]-VLOOKUP($U$1,A:F,6,))/VLOOKUP($U$1,A:F,6,))*100)+100</f>
        <v/>
      </c>
      <c r="M222" s="76">
        <f>(((Table134567891011121314151617343[[#This Row],[GBR]]-VLOOKUP($U$1,A:G,7,))/VLOOKUP($U$1,A:G,7,))*100)+100</f>
        <v/>
      </c>
      <c r="N222" s="76">
        <f>IF(VLOOKUP(A222,Database!$A:$AU,MATCH($N$1,Database!$A$1:$AU$1,0),FALSE)=0,#N/A,VLOOKUP(A222,Database!$A:$AU,MATCH($N$1,Database!$A$1:$AU$1,0),FALSE))</f>
        <v/>
      </c>
      <c r="O222" s="76">
        <f>(((Table134567891011121314151617343[[#This Row],[USA]]-VLOOKUP($U$1,A:N,14,))/VLOOKUP($U$1,A:N,14,))*100)+100</f>
        <v/>
      </c>
      <c r="P222" s="76">
        <f>IF(VLOOKUP(A222,Database!$A:$AS,MATCH($P$1,Database!$A$1:$AS$1,0),FALSE)=0,#N/A,VLOOKUP(A222,Database!$A:$AS,MATCH($P$1,Database!$A$1:$AS$1,0),FALSE))</f>
        <v/>
      </c>
      <c r="Q222" s="76">
        <f>(((Table134567891011121314151617343[[#This Row],[JPN]]-VLOOKUP($U$1,A:Q,16,))/VLOOKUP($U$1,A:Q,16,))*100)+100</f>
        <v/>
      </c>
    </row>
    <row r="223" customFormat="1" s="86">
      <c r="A223" s="21" t="n">
        <v>39600</v>
      </c>
      <c r="B223" s="76">
        <f>IF(VLOOKUP(A223,Database!$A:$AS,MATCH($B$1,Database!$A$1:$AS$1,0),FALSE)=0,#N/A,VLOOKUP(A223,Database!$A:$AS,MATCH($B$1,Database!$A$1:$AS$1,0),FALSE))</f>
        <v/>
      </c>
      <c r="C223" s="76">
        <f>IF(VLOOKUP(A223,Database!$A:$AS,MATCH($C$1,Database!$A$1:$AS$1,0),FALSE)=0,#N/A,VLOOKUP(A223,Database!$A:$AS,MATCH($C$1,Database!$A$1:$AS$1,0),FALSE))</f>
        <v/>
      </c>
      <c r="D223" s="76">
        <f>IF(VLOOKUP(A223,Database!$A:$AS,MATCH($D$1,Database!$A$1:$AS$1,0),FALSE)=0,#N/A,VLOOKUP(A223,Database!$A:$AS,MATCH($D$1,Database!$A$1:$AS$1,0),FALSE))</f>
        <v/>
      </c>
      <c r="E223" s="76">
        <f>IF(VLOOKUP(A223,Database!$A:$AS,MATCH($E$1,Database!$A$1:$AS$1,0),FALSE)=0,#N/A,VLOOKUP(A223,Database!$A:$AS,MATCH($E$1,Database!$A$1:$AS$1,0),FALSE))</f>
        <v/>
      </c>
      <c r="F223" s="76">
        <f>IF(VLOOKUP(A223,Database!$A:$AS,MATCH($F$1,Database!$A$1:$AS$1,0),FALSE)=0,#N/A,VLOOKUP(A223,Database!$A:$AS,MATCH($F$1,Database!$A$1:$AS$1,0),FALSE))</f>
        <v/>
      </c>
      <c r="G223" s="76">
        <f>IF(VLOOKUP(A223,Database!$A:$AS,MATCH($G$1,Database!$A$1:$AS$1,0),FALSE)=0,#N/A,VLOOKUP(A223,Database!$A:$AS,MATCH($G$1,Database!$A$1:$AS$1,0),FALSE))</f>
        <v/>
      </c>
      <c r="H223" s="76">
        <f>(((Table134567891011121314151617343[[#This Row],[ITA]]-VLOOKUP($U$1,A:B,2,))/VLOOKUP($U$1,A:B,2,))*100)+100</f>
        <v/>
      </c>
      <c r="I223" s="76">
        <f>(((Table134567891011121314151617343[[#This Row],[FRA]]-VLOOKUP($U$1,A:C,3,))/VLOOKUP($U$1,A:C,3,))*100)+100</f>
        <v/>
      </c>
      <c r="J223" s="76">
        <f>(((Table134567891011121314151617343[[#This Row],[DEU]]-VLOOKUP($U$1,A:D,4,))/VLOOKUP($U$1,A:D,4,))*100)+100</f>
        <v/>
      </c>
      <c r="K223" s="76">
        <f>(((Table134567891011121314151617343[[#This Row],[ESP]]-VLOOKUP($U$1,A:E,5,))/VLOOKUP($U$1,A:E,5,))*100)+100</f>
        <v/>
      </c>
      <c r="L223" s="76">
        <f>(((Table134567891011121314151617343[[#This Row],[EA19]]-VLOOKUP($U$1,A:F,6,))/VLOOKUP($U$1,A:F,6,))*100)+100</f>
        <v/>
      </c>
      <c r="M223" s="76">
        <f>(((Table134567891011121314151617343[[#This Row],[GBR]]-VLOOKUP($U$1,A:G,7,))/VLOOKUP($U$1,A:G,7,))*100)+100</f>
        <v/>
      </c>
      <c r="N223" s="76">
        <f>IF(VLOOKUP(A223,Database!$A:$AU,MATCH($N$1,Database!$A$1:$AU$1,0),FALSE)=0,#N/A,VLOOKUP(A223,Database!$A:$AU,MATCH($N$1,Database!$A$1:$AU$1,0),FALSE))</f>
        <v/>
      </c>
      <c r="O223" s="76">
        <f>(((Table134567891011121314151617343[[#This Row],[USA]]-VLOOKUP($U$1,A:N,14,))/VLOOKUP($U$1,A:N,14,))*100)+100</f>
        <v/>
      </c>
      <c r="P223" s="76">
        <f>IF(VLOOKUP(A223,Database!$A:$AS,MATCH($P$1,Database!$A$1:$AS$1,0),FALSE)=0,#N/A,VLOOKUP(A223,Database!$A:$AS,MATCH($P$1,Database!$A$1:$AS$1,0),FALSE))</f>
        <v/>
      </c>
      <c r="Q223" s="76">
        <f>(((Table134567891011121314151617343[[#This Row],[JPN]]-VLOOKUP($U$1,A:Q,16,))/VLOOKUP($U$1,A:Q,16,))*100)+100</f>
        <v/>
      </c>
    </row>
    <row r="224" customFormat="1" s="86">
      <c r="A224" s="21" t="n">
        <v>39630</v>
      </c>
      <c r="B224" s="76">
        <f>IF(VLOOKUP(A224,Database!$A:$AS,MATCH($B$1,Database!$A$1:$AS$1,0),FALSE)=0,#N/A,VLOOKUP(A224,Database!$A:$AS,MATCH($B$1,Database!$A$1:$AS$1,0),FALSE))</f>
        <v/>
      </c>
      <c r="C224" s="76">
        <f>IF(VLOOKUP(A224,Database!$A:$AS,MATCH($C$1,Database!$A$1:$AS$1,0),FALSE)=0,#N/A,VLOOKUP(A224,Database!$A:$AS,MATCH($C$1,Database!$A$1:$AS$1,0),FALSE))</f>
        <v/>
      </c>
      <c r="D224" s="76">
        <f>IF(VLOOKUP(A224,Database!$A:$AS,MATCH($D$1,Database!$A$1:$AS$1,0),FALSE)=0,#N/A,VLOOKUP(A224,Database!$A:$AS,MATCH($D$1,Database!$A$1:$AS$1,0),FALSE))</f>
        <v/>
      </c>
      <c r="E224" s="76">
        <f>IF(VLOOKUP(A224,Database!$A:$AS,MATCH($E$1,Database!$A$1:$AS$1,0),FALSE)=0,#N/A,VLOOKUP(A224,Database!$A:$AS,MATCH($E$1,Database!$A$1:$AS$1,0),FALSE))</f>
        <v/>
      </c>
      <c r="F224" s="76">
        <f>IF(VLOOKUP(A224,Database!$A:$AS,MATCH($F$1,Database!$A$1:$AS$1,0),FALSE)=0,#N/A,VLOOKUP(A224,Database!$A:$AS,MATCH($F$1,Database!$A$1:$AS$1,0),FALSE))</f>
        <v/>
      </c>
      <c r="G224" s="76">
        <f>IF(VLOOKUP(A224,Database!$A:$AS,MATCH($G$1,Database!$A$1:$AS$1,0),FALSE)=0,#N/A,VLOOKUP(A224,Database!$A:$AS,MATCH($G$1,Database!$A$1:$AS$1,0),FALSE))</f>
        <v/>
      </c>
      <c r="H224" s="76">
        <f>(((Table134567891011121314151617343[[#This Row],[ITA]]-VLOOKUP($U$1,A:B,2,))/VLOOKUP($U$1,A:B,2,))*100)+100</f>
        <v/>
      </c>
      <c r="I224" s="76">
        <f>(((Table134567891011121314151617343[[#This Row],[FRA]]-VLOOKUP($U$1,A:C,3,))/VLOOKUP($U$1,A:C,3,))*100)+100</f>
        <v/>
      </c>
      <c r="J224" s="76">
        <f>(((Table134567891011121314151617343[[#This Row],[DEU]]-VLOOKUP($U$1,A:D,4,))/VLOOKUP($U$1,A:D,4,))*100)+100</f>
        <v/>
      </c>
      <c r="K224" s="76">
        <f>(((Table134567891011121314151617343[[#This Row],[ESP]]-VLOOKUP($U$1,A:E,5,))/VLOOKUP($U$1,A:E,5,))*100)+100</f>
        <v/>
      </c>
      <c r="L224" s="76">
        <f>(((Table134567891011121314151617343[[#This Row],[EA19]]-VLOOKUP($U$1,A:F,6,))/VLOOKUP($U$1,A:F,6,))*100)+100</f>
        <v/>
      </c>
      <c r="M224" s="76">
        <f>(((Table134567891011121314151617343[[#This Row],[GBR]]-VLOOKUP($U$1,A:G,7,))/VLOOKUP($U$1,A:G,7,))*100)+100</f>
        <v/>
      </c>
      <c r="N224" s="76">
        <f>IF(VLOOKUP(A224,Database!$A:$AU,MATCH($N$1,Database!$A$1:$AU$1,0),FALSE)=0,#N/A,VLOOKUP(A224,Database!$A:$AU,MATCH($N$1,Database!$A$1:$AU$1,0),FALSE))</f>
        <v/>
      </c>
      <c r="O224" s="76">
        <f>(((Table134567891011121314151617343[[#This Row],[USA]]-VLOOKUP($U$1,A:N,14,))/VLOOKUP($U$1,A:N,14,))*100)+100</f>
        <v/>
      </c>
      <c r="P224" s="76">
        <f>IF(VLOOKUP(A224,Database!$A:$AS,MATCH($P$1,Database!$A$1:$AS$1,0),FALSE)=0,#N/A,VLOOKUP(A224,Database!$A:$AS,MATCH($P$1,Database!$A$1:$AS$1,0),FALSE))</f>
        <v/>
      </c>
      <c r="Q224" s="76">
        <f>(((Table134567891011121314151617343[[#This Row],[JPN]]-VLOOKUP($U$1,A:Q,16,))/VLOOKUP($U$1,A:Q,16,))*100)+100</f>
        <v/>
      </c>
    </row>
    <row r="225" customFormat="1" s="86">
      <c r="A225" s="21" t="n">
        <v>39661</v>
      </c>
      <c r="B225" s="76">
        <f>IF(VLOOKUP(A225,Database!$A:$AS,MATCH($B$1,Database!$A$1:$AS$1,0),FALSE)=0,#N/A,VLOOKUP(A225,Database!$A:$AS,MATCH($B$1,Database!$A$1:$AS$1,0),FALSE))</f>
        <v/>
      </c>
      <c r="C225" s="76">
        <f>IF(VLOOKUP(A225,Database!$A:$AS,MATCH($C$1,Database!$A$1:$AS$1,0),FALSE)=0,#N/A,VLOOKUP(A225,Database!$A:$AS,MATCH($C$1,Database!$A$1:$AS$1,0),FALSE))</f>
        <v/>
      </c>
      <c r="D225" s="76">
        <f>IF(VLOOKUP(A225,Database!$A:$AS,MATCH($D$1,Database!$A$1:$AS$1,0),FALSE)=0,#N/A,VLOOKUP(A225,Database!$A:$AS,MATCH($D$1,Database!$A$1:$AS$1,0),FALSE))</f>
        <v/>
      </c>
      <c r="E225" s="76">
        <f>IF(VLOOKUP(A225,Database!$A:$AS,MATCH($E$1,Database!$A$1:$AS$1,0),FALSE)=0,#N/A,VLOOKUP(A225,Database!$A:$AS,MATCH($E$1,Database!$A$1:$AS$1,0),FALSE))</f>
        <v/>
      </c>
      <c r="F225" s="76">
        <f>IF(VLOOKUP(A225,Database!$A:$AS,MATCH($F$1,Database!$A$1:$AS$1,0),FALSE)=0,#N/A,VLOOKUP(A225,Database!$A:$AS,MATCH($F$1,Database!$A$1:$AS$1,0),FALSE))</f>
        <v/>
      </c>
      <c r="G225" s="76">
        <f>IF(VLOOKUP(A225,Database!$A:$AS,MATCH($G$1,Database!$A$1:$AS$1,0),FALSE)=0,#N/A,VLOOKUP(A225,Database!$A:$AS,MATCH($G$1,Database!$A$1:$AS$1,0),FALSE))</f>
        <v/>
      </c>
      <c r="H225" s="76">
        <f>(((Table134567891011121314151617343[[#This Row],[ITA]]-VLOOKUP($U$1,A:B,2,))/VLOOKUP($U$1,A:B,2,))*100)+100</f>
        <v/>
      </c>
      <c r="I225" s="76">
        <f>(((Table134567891011121314151617343[[#This Row],[FRA]]-VLOOKUP($U$1,A:C,3,))/VLOOKUP($U$1,A:C,3,))*100)+100</f>
        <v/>
      </c>
      <c r="J225" s="76">
        <f>(((Table134567891011121314151617343[[#This Row],[DEU]]-VLOOKUP($U$1,A:D,4,))/VLOOKUP($U$1,A:D,4,))*100)+100</f>
        <v/>
      </c>
      <c r="K225" s="76">
        <f>(((Table134567891011121314151617343[[#This Row],[ESP]]-VLOOKUP($U$1,A:E,5,))/VLOOKUP($U$1,A:E,5,))*100)+100</f>
        <v/>
      </c>
      <c r="L225" s="76">
        <f>(((Table134567891011121314151617343[[#This Row],[EA19]]-VLOOKUP($U$1,A:F,6,))/VLOOKUP($U$1,A:F,6,))*100)+100</f>
        <v/>
      </c>
      <c r="M225" s="76">
        <f>(((Table134567891011121314151617343[[#This Row],[GBR]]-VLOOKUP($U$1,A:G,7,))/VLOOKUP($U$1,A:G,7,))*100)+100</f>
        <v/>
      </c>
      <c r="N225" s="76">
        <f>IF(VLOOKUP(A225,Database!$A:$AU,MATCH($N$1,Database!$A$1:$AU$1,0),FALSE)=0,#N/A,VLOOKUP(A225,Database!$A:$AU,MATCH($N$1,Database!$A$1:$AU$1,0),FALSE))</f>
        <v/>
      </c>
      <c r="O225" s="76">
        <f>(((Table134567891011121314151617343[[#This Row],[USA]]-VLOOKUP($U$1,A:N,14,))/VLOOKUP($U$1,A:N,14,))*100)+100</f>
        <v/>
      </c>
      <c r="P225" s="76">
        <f>IF(VLOOKUP(A225,Database!$A:$AS,MATCH($P$1,Database!$A$1:$AS$1,0),FALSE)=0,#N/A,VLOOKUP(A225,Database!$A:$AS,MATCH($P$1,Database!$A$1:$AS$1,0),FALSE))</f>
        <v/>
      </c>
      <c r="Q225" s="76">
        <f>(((Table134567891011121314151617343[[#This Row],[JPN]]-VLOOKUP($U$1,A:Q,16,))/VLOOKUP($U$1,A:Q,16,))*100)+100</f>
        <v/>
      </c>
    </row>
    <row r="226" customFormat="1" s="86">
      <c r="A226" s="21" t="n">
        <v>39692</v>
      </c>
      <c r="B226" s="76">
        <f>IF(VLOOKUP(A226,Database!$A:$AS,MATCH($B$1,Database!$A$1:$AS$1,0),FALSE)=0,#N/A,VLOOKUP(A226,Database!$A:$AS,MATCH($B$1,Database!$A$1:$AS$1,0),FALSE))</f>
        <v/>
      </c>
      <c r="C226" s="76">
        <f>IF(VLOOKUP(A226,Database!$A:$AS,MATCH($C$1,Database!$A$1:$AS$1,0),FALSE)=0,#N/A,VLOOKUP(A226,Database!$A:$AS,MATCH($C$1,Database!$A$1:$AS$1,0),FALSE))</f>
        <v/>
      </c>
      <c r="D226" s="76">
        <f>IF(VLOOKUP(A226,Database!$A:$AS,MATCH($D$1,Database!$A$1:$AS$1,0),FALSE)=0,#N/A,VLOOKUP(A226,Database!$A:$AS,MATCH($D$1,Database!$A$1:$AS$1,0),FALSE))</f>
        <v/>
      </c>
      <c r="E226" s="76">
        <f>IF(VLOOKUP(A226,Database!$A:$AS,MATCH($E$1,Database!$A$1:$AS$1,0),FALSE)=0,#N/A,VLOOKUP(A226,Database!$A:$AS,MATCH($E$1,Database!$A$1:$AS$1,0),FALSE))</f>
        <v/>
      </c>
      <c r="F226" s="76">
        <f>IF(VLOOKUP(A226,Database!$A:$AS,MATCH($F$1,Database!$A$1:$AS$1,0),FALSE)=0,#N/A,VLOOKUP(A226,Database!$A:$AS,MATCH($F$1,Database!$A$1:$AS$1,0),FALSE))</f>
        <v/>
      </c>
      <c r="G226" s="76">
        <f>IF(VLOOKUP(A226,Database!$A:$AS,MATCH($G$1,Database!$A$1:$AS$1,0),FALSE)=0,#N/A,VLOOKUP(A226,Database!$A:$AS,MATCH($G$1,Database!$A$1:$AS$1,0),FALSE))</f>
        <v/>
      </c>
      <c r="H226" s="76">
        <f>(((Table134567891011121314151617343[[#This Row],[ITA]]-VLOOKUP($U$1,A:B,2,))/VLOOKUP($U$1,A:B,2,))*100)+100</f>
        <v/>
      </c>
      <c r="I226" s="76">
        <f>(((Table134567891011121314151617343[[#This Row],[FRA]]-VLOOKUP($U$1,A:C,3,))/VLOOKUP($U$1,A:C,3,))*100)+100</f>
        <v/>
      </c>
      <c r="J226" s="76">
        <f>(((Table134567891011121314151617343[[#This Row],[DEU]]-VLOOKUP($U$1,A:D,4,))/VLOOKUP($U$1,A:D,4,))*100)+100</f>
        <v/>
      </c>
      <c r="K226" s="76">
        <f>(((Table134567891011121314151617343[[#This Row],[ESP]]-VLOOKUP($U$1,A:E,5,))/VLOOKUP($U$1,A:E,5,))*100)+100</f>
        <v/>
      </c>
      <c r="L226" s="76">
        <f>(((Table134567891011121314151617343[[#This Row],[EA19]]-VLOOKUP($U$1,A:F,6,))/VLOOKUP($U$1,A:F,6,))*100)+100</f>
        <v/>
      </c>
      <c r="M226" s="76">
        <f>(((Table134567891011121314151617343[[#This Row],[GBR]]-VLOOKUP($U$1,A:G,7,))/VLOOKUP($U$1,A:G,7,))*100)+100</f>
        <v/>
      </c>
      <c r="N226" s="76">
        <f>IF(VLOOKUP(A226,Database!$A:$AU,MATCH($N$1,Database!$A$1:$AU$1,0),FALSE)=0,#N/A,VLOOKUP(A226,Database!$A:$AU,MATCH($N$1,Database!$A$1:$AU$1,0),FALSE))</f>
        <v/>
      </c>
      <c r="O226" s="76">
        <f>(((Table134567891011121314151617343[[#This Row],[USA]]-VLOOKUP($U$1,A:N,14,))/VLOOKUP($U$1,A:N,14,))*100)+100</f>
        <v/>
      </c>
      <c r="P226" s="76">
        <f>IF(VLOOKUP(A226,Database!$A:$AS,MATCH($P$1,Database!$A$1:$AS$1,0),FALSE)=0,#N/A,VLOOKUP(A226,Database!$A:$AS,MATCH($P$1,Database!$A$1:$AS$1,0),FALSE))</f>
        <v/>
      </c>
      <c r="Q226" s="76">
        <f>(((Table134567891011121314151617343[[#This Row],[JPN]]-VLOOKUP($U$1,A:Q,16,))/VLOOKUP($U$1,A:Q,16,))*100)+100</f>
        <v/>
      </c>
    </row>
    <row r="227" customFormat="1" s="86">
      <c r="A227" s="21" t="n">
        <v>39722</v>
      </c>
      <c r="B227" s="76">
        <f>IF(VLOOKUP(A227,Database!$A:$AS,MATCH($B$1,Database!$A$1:$AS$1,0),FALSE)=0,#N/A,VLOOKUP(A227,Database!$A:$AS,MATCH($B$1,Database!$A$1:$AS$1,0),FALSE))</f>
        <v/>
      </c>
      <c r="C227" s="76">
        <f>IF(VLOOKUP(A227,Database!$A:$AS,MATCH($C$1,Database!$A$1:$AS$1,0),FALSE)=0,#N/A,VLOOKUP(A227,Database!$A:$AS,MATCH($C$1,Database!$A$1:$AS$1,0),FALSE))</f>
        <v/>
      </c>
      <c r="D227" s="76">
        <f>IF(VLOOKUP(A227,Database!$A:$AS,MATCH($D$1,Database!$A$1:$AS$1,0),FALSE)=0,#N/A,VLOOKUP(A227,Database!$A:$AS,MATCH($D$1,Database!$A$1:$AS$1,0),FALSE))</f>
        <v/>
      </c>
      <c r="E227" s="76">
        <f>IF(VLOOKUP(A227,Database!$A:$AS,MATCH($E$1,Database!$A$1:$AS$1,0),FALSE)=0,#N/A,VLOOKUP(A227,Database!$A:$AS,MATCH($E$1,Database!$A$1:$AS$1,0),FALSE))</f>
        <v/>
      </c>
      <c r="F227" s="76">
        <f>IF(VLOOKUP(A227,Database!$A:$AS,MATCH($F$1,Database!$A$1:$AS$1,0),FALSE)=0,#N/A,VLOOKUP(A227,Database!$A:$AS,MATCH($F$1,Database!$A$1:$AS$1,0),FALSE))</f>
        <v/>
      </c>
      <c r="G227" s="76">
        <f>IF(VLOOKUP(A227,Database!$A:$AS,MATCH($G$1,Database!$A$1:$AS$1,0),FALSE)=0,#N/A,VLOOKUP(A227,Database!$A:$AS,MATCH($G$1,Database!$A$1:$AS$1,0),FALSE))</f>
        <v/>
      </c>
      <c r="H227" s="76">
        <f>(((Table134567891011121314151617343[[#This Row],[ITA]]-VLOOKUP($U$1,A:B,2,))/VLOOKUP($U$1,A:B,2,))*100)+100</f>
        <v/>
      </c>
      <c r="I227" s="76">
        <f>(((Table134567891011121314151617343[[#This Row],[FRA]]-VLOOKUP($U$1,A:C,3,))/VLOOKUP($U$1,A:C,3,))*100)+100</f>
        <v/>
      </c>
      <c r="J227" s="76">
        <f>(((Table134567891011121314151617343[[#This Row],[DEU]]-VLOOKUP($U$1,A:D,4,))/VLOOKUP($U$1,A:D,4,))*100)+100</f>
        <v/>
      </c>
      <c r="K227" s="76">
        <f>(((Table134567891011121314151617343[[#This Row],[ESP]]-VLOOKUP($U$1,A:E,5,))/VLOOKUP($U$1,A:E,5,))*100)+100</f>
        <v/>
      </c>
      <c r="L227" s="76">
        <f>(((Table134567891011121314151617343[[#This Row],[EA19]]-VLOOKUP($U$1,A:F,6,))/VLOOKUP($U$1,A:F,6,))*100)+100</f>
        <v/>
      </c>
      <c r="M227" s="76">
        <f>(((Table134567891011121314151617343[[#This Row],[GBR]]-VLOOKUP($U$1,A:G,7,))/VLOOKUP($U$1,A:G,7,))*100)+100</f>
        <v/>
      </c>
      <c r="N227" s="76">
        <f>IF(VLOOKUP(A227,Database!$A:$AU,MATCH($N$1,Database!$A$1:$AU$1,0),FALSE)=0,#N/A,VLOOKUP(A227,Database!$A:$AU,MATCH($N$1,Database!$A$1:$AU$1,0),FALSE))</f>
        <v/>
      </c>
      <c r="O227" s="76">
        <f>(((Table134567891011121314151617343[[#This Row],[USA]]-VLOOKUP($U$1,A:N,14,))/VLOOKUP($U$1,A:N,14,))*100)+100</f>
        <v/>
      </c>
      <c r="P227" s="76">
        <f>IF(VLOOKUP(A227,Database!$A:$AS,MATCH($P$1,Database!$A$1:$AS$1,0),FALSE)=0,#N/A,VLOOKUP(A227,Database!$A:$AS,MATCH($P$1,Database!$A$1:$AS$1,0),FALSE))</f>
        <v/>
      </c>
      <c r="Q227" s="76">
        <f>(((Table134567891011121314151617343[[#This Row],[JPN]]-VLOOKUP($U$1,A:Q,16,))/VLOOKUP($U$1,A:Q,16,))*100)+100</f>
        <v/>
      </c>
    </row>
    <row r="228" customFormat="1" s="86">
      <c r="A228" s="21" t="n">
        <v>39753</v>
      </c>
      <c r="B228" s="76">
        <f>IF(VLOOKUP(A228,Database!$A:$AS,MATCH($B$1,Database!$A$1:$AS$1,0),FALSE)=0,#N/A,VLOOKUP(A228,Database!$A:$AS,MATCH($B$1,Database!$A$1:$AS$1,0),FALSE))</f>
        <v/>
      </c>
      <c r="C228" s="76">
        <f>IF(VLOOKUP(A228,Database!$A:$AS,MATCH($C$1,Database!$A$1:$AS$1,0),FALSE)=0,#N/A,VLOOKUP(A228,Database!$A:$AS,MATCH($C$1,Database!$A$1:$AS$1,0),FALSE))</f>
        <v/>
      </c>
      <c r="D228" s="76">
        <f>IF(VLOOKUP(A228,Database!$A:$AS,MATCH($D$1,Database!$A$1:$AS$1,0),FALSE)=0,#N/A,VLOOKUP(A228,Database!$A:$AS,MATCH($D$1,Database!$A$1:$AS$1,0),FALSE))</f>
        <v/>
      </c>
      <c r="E228" s="76">
        <f>IF(VLOOKUP(A228,Database!$A:$AS,MATCH($E$1,Database!$A$1:$AS$1,0),FALSE)=0,#N/A,VLOOKUP(A228,Database!$A:$AS,MATCH($E$1,Database!$A$1:$AS$1,0),FALSE))</f>
        <v/>
      </c>
      <c r="F228" s="76">
        <f>IF(VLOOKUP(A228,Database!$A:$AS,MATCH($F$1,Database!$A$1:$AS$1,0),FALSE)=0,#N/A,VLOOKUP(A228,Database!$A:$AS,MATCH($F$1,Database!$A$1:$AS$1,0),FALSE))</f>
        <v/>
      </c>
      <c r="G228" s="76">
        <f>IF(VLOOKUP(A228,Database!$A:$AS,MATCH($G$1,Database!$A$1:$AS$1,0),FALSE)=0,#N/A,VLOOKUP(A228,Database!$A:$AS,MATCH($G$1,Database!$A$1:$AS$1,0),FALSE))</f>
        <v/>
      </c>
      <c r="H228" s="76">
        <f>(((Table134567891011121314151617343[[#This Row],[ITA]]-VLOOKUP($U$1,A:B,2,))/VLOOKUP($U$1,A:B,2,))*100)+100</f>
        <v/>
      </c>
      <c r="I228" s="76">
        <f>(((Table134567891011121314151617343[[#This Row],[FRA]]-VLOOKUP($U$1,A:C,3,))/VLOOKUP($U$1,A:C,3,))*100)+100</f>
        <v/>
      </c>
      <c r="J228" s="76">
        <f>(((Table134567891011121314151617343[[#This Row],[DEU]]-VLOOKUP($U$1,A:D,4,))/VLOOKUP($U$1,A:D,4,))*100)+100</f>
        <v/>
      </c>
      <c r="K228" s="76">
        <f>(((Table134567891011121314151617343[[#This Row],[ESP]]-VLOOKUP($U$1,A:E,5,))/VLOOKUP($U$1,A:E,5,))*100)+100</f>
        <v/>
      </c>
      <c r="L228" s="76">
        <f>(((Table134567891011121314151617343[[#This Row],[EA19]]-VLOOKUP($U$1,A:F,6,))/VLOOKUP($U$1,A:F,6,))*100)+100</f>
        <v/>
      </c>
      <c r="M228" s="76">
        <f>(((Table134567891011121314151617343[[#This Row],[GBR]]-VLOOKUP($U$1,A:G,7,))/VLOOKUP($U$1,A:G,7,))*100)+100</f>
        <v/>
      </c>
      <c r="N228" s="76">
        <f>IF(VLOOKUP(A228,Database!$A:$AU,MATCH($N$1,Database!$A$1:$AU$1,0),FALSE)=0,#N/A,VLOOKUP(A228,Database!$A:$AU,MATCH($N$1,Database!$A$1:$AU$1,0),FALSE))</f>
        <v/>
      </c>
      <c r="O228" s="76">
        <f>(((Table134567891011121314151617343[[#This Row],[USA]]-VLOOKUP($U$1,A:N,14,))/VLOOKUP($U$1,A:N,14,))*100)+100</f>
        <v/>
      </c>
      <c r="P228" s="76">
        <f>IF(VLOOKUP(A228,Database!$A:$AS,MATCH($P$1,Database!$A$1:$AS$1,0),FALSE)=0,#N/A,VLOOKUP(A228,Database!$A:$AS,MATCH($P$1,Database!$A$1:$AS$1,0),FALSE))</f>
        <v/>
      </c>
      <c r="Q228" s="76">
        <f>(((Table134567891011121314151617343[[#This Row],[JPN]]-VLOOKUP($U$1,A:Q,16,))/VLOOKUP($U$1,A:Q,16,))*100)+100</f>
        <v/>
      </c>
    </row>
    <row r="229" customFormat="1" s="86">
      <c r="A229" s="21" t="n">
        <v>39783</v>
      </c>
      <c r="B229" s="76">
        <f>IF(VLOOKUP(A229,Database!$A:$AS,MATCH($B$1,Database!$A$1:$AS$1,0),FALSE)=0,#N/A,VLOOKUP(A229,Database!$A:$AS,MATCH($B$1,Database!$A$1:$AS$1,0),FALSE))</f>
        <v/>
      </c>
      <c r="C229" s="76">
        <f>IF(VLOOKUP(A229,Database!$A:$AS,MATCH($C$1,Database!$A$1:$AS$1,0),FALSE)=0,#N/A,VLOOKUP(A229,Database!$A:$AS,MATCH($C$1,Database!$A$1:$AS$1,0),FALSE))</f>
        <v/>
      </c>
      <c r="D229" s="76">
        <f>IF(VLOOKUP(A229,Database!$A:$AS,MATCH($D$1,Database!$A$1:$AS$1,0),FALSE)=0,#N/A,VLOOKUP(A229,Database!$A:$AS,MATCH($D$1,Database!$A$1:$AS$1,0),FALSE))</f>
        <v/>
      </c>
      <c r="E229" s="76">
        <f>IF(VLOOKUP(A229,Database!$A:$AS,MATCH($E$1,Database!$A$1:$AS$1,0),FALSE)=0,#N/A,VLOOKUP(A229,Database!$A:$AS,MATCH($E$1,Database!$A$1:$AS$1,0),FALSE))</f>
        <v/>
      </c>
      <c r="F229" s="76">
        <f>IF(VLOOKUP(A229,Database!$A:$AS,MATCH($F$1,Database!$A$1:$AS$1,0),FALSE)=0,#N/A,VLOOKUP(A229,Database!$A:$AS,MATCH($F$1,Database!$A$1:$AS$1,0),FALSE))</f>
        <v/>
      </c>
      <c r="G229" s="76">
        <f>IF(VLOOKUP(A229,Database!$A:$AS,MATCH($G$1,Database!$A$1:$AS$1,0),FALSE)=0,#N/A,VLOOKUP(A229,Database!$A:$AS,MATCH($G$1,Database!$A$1:$AS$1,0),FALSE))</f>
        <v/>
      </c>
      <c r="H229" s="76">
        <f>(((Table134567891011121314151617343[[#This Row],[ITA]]-VLOOKUP($U$1,A:B,2,))/VLOOKUP($U$1,A:B,2,))*100)+100</f>
        <v/>
      </c>
      <c r="I229" s="76">
        <f>(((Table134567891011121314151617343[[#This Row],[FRA]]-VLOOKUP($U$1,A:C,3,))/VLOOKUP($U$1,A:C,3,))*100)+100</f>
        <v/>
      </c>
      <c r="J229" s="76">
        <f>(((Table134567891011121314151617343[[#This Row],[DEU]]-VLOOKUP($U$1,A:D,4,))/VLOOKUP($U$1,A:D,4,))*100)+100</f>
        <v/>
      </c>
      <c r="K229" s="76">
        <f>(((Table134567891011121314151617343[[#This Row],[ESP]]-VLOOKUP($U$1,A:E,5,))/VLOOKUP($U$1,A:E,5,))*100)+100</f>
        <v/>
      </c>
      <c r="L229" s="76">
        <f>(((Table134567891011121314151617343[[#This Row],[EA19]]-VLOOKUP($U$1,A:F,6,))/VLOOKUP($U$1,A:F,6,))*100)+100</f>
        <v/>
      </c>
      <c r="M229" s="76">
        <f>(((Table134567891011121314151617343[[#This Row],[GBR]]-VLOOKUP($U$1,A:G,7,))/VLOOKUP($U$1,A:G,7,))*100)+100</f>
        <v/>
      </c>
      <c r="N229" s="76">
        <f>IF(VLOOKUP(A229,Database!$A:$AU,MATCH($N$1,Database!$A$1:$AU$1,0),FALSE)=0,#N/A,VLOOKUP(A229,Database!$A:$AU,MATCH($N$1,Database!$A$1:$AU$1,0),FALSE))</f>
        <v/>
      </c>
      <c r="O229" s="76">
        <f>(((Table134567891011121314151617343[[#This Row],[USA]]-VLOOKUP($U$1,A:N,14,))/VLOOKUP($U$1,A:N,14,))*100)+100</f>
        <v/>
      </c>
      <c r="P229" s="76">
        <f>IF(VLOOKUP(A229,Database!$A:$AS,MATCH($P$1,Database!$A$1:$AS$1,0),FALSE)=0,#N/A,VLOOKUP(A229,Database!$A:$AS,MATCH($P$1,Database!$A$1:$AS$1,0),FALSE))</f>
        <v/>
      </c>
      <c r="Q229" s="76">
        <f>(((Table134567891011121314151617343[[#This Row],[JPN]]-VLOOKUP($U$1,A:Q,16,))/VLOOKUP($U$1,A:Q,16,))*100)+100</f>
        <v/>
      </c>
    </row>
    <row r="230" customFormat="1" s="86">
      <c r="A230" s="21" t="n">
        <v>39814</v>
      </c>
      <c r="B230" s="76">
        <f>IF(VLOOKUP(A230,Database!$A:$AS,MATCH($B$1,Database!$A$1:$AS$1,0),FALSE)=0,#N/A,VLOOKUP(A230,Database!$A:$AS,MATCH($B$1,Database!$A$1:$AS$1,0),FALSE))</f>
        <v/>
      </c>
      <c r="C230" s="76">
        <f>IF(VLOOKUP(A230,Database!$A:$AS,MATCH($C$1,Database!$A$1:$AS$1,0),FALSE)=0,#N/A,VLOOKUP(A230,Database!$A:$AS,MATCH($C$1,Database!$A$1:$AS$1,0),FALSE))</f>
        <v/>
      </c>
      <c r="D230" s="76">
        <f>IF(VLOOKUP(A230,Database!$A:$AS,MATCH($D$1,Database!$A$1:$AS$1,0),FALSE)=0,#N/A,VLOOKUP(A230,Database!$A:$AS,MATCH($D$1,Database!$A$1:$AS$1,0),FALSE))</f>
        <v/>
      </c>
      <c r="E230" s="76">
        <f>IF(VLOOKUP(A230,Database!$A:$AS,MATCH($E$1,Database!$A$1:$AS$1,0),FALSE)=0,#N/A,VLOOKUP(A230,Database!$A:$AS,MATCH($E$1,Database!$A$1:$AS$1,0),FALSE))</f>
        <v/>
      </c>
      <c r="F230" s="76">
        <f>IF(VLOOKUP(A230,Database!$A:$AS,MATCH($F$1,Database!$A$1:$AS$1,0),FALSE)=0,#N/A,VLOOKUP(A230,Database!$A:$AS,MATCH($F$1,Database!$A$1:$AS$1,0),FALSE))</f>
        <v/>
      </c>
      <c r="G230" s="76">
        <f>IF(VLOOKUP(A230,Database!$A:$AS,MATCH($G$1,Database!$A$1:$AS$1,0),FALSE)=0,#N/A,VLOOKUP(A230,Database!$A:$AS,MATCH($G$1,Database!$A$1:$AS$1,0),FALSE))</f>
        <v/>
      </c>
      <c r="H230" s="76">
        <f>(((Table134567891011121314151617343[[#This Row],[ITA]]-VLOOKUP($U$1,A:B,2,))/VLOOKUP($U$1,A:B,2,))*100)+100</f>
        <v/>
      </c>
      <c r="I230" s="76">
        <f>(((Table134567891011121314151617343[[#This Row],[FRA]]-VLOOKUP($U$1,A:C,3,))/VLOOKUP($U$1,A:C,3,))*100)+100</f>
        <v/>
      </c>
      <c r="J230" s="76">
        <f>(((Table134567891011121314151617343[[#This Row],[DEU]]-VLOOKUP($U$1,A:D,4,))/VLOOKUP($U$1,A:D,4,))*100)+100</f>
        <v/>
      </c>
      <c r="K230" s="76">
        <f>(((Table134567891011121314151617343[[#This Row],[ESP]]-VLOOKUP($U$1,A:E,5,))/VLOOKUP($U$1,A:E,5,))*100)+100</f>
        <v/>
      </c>
      <c r="L230" s="76">
        <f>(((Table134567891011121314151617343[[#This Row],[EA19]]-VLOOKUP($U$1,A:F,6,))/VLOOKUP($U$1,A:F,6,))*100)+100</f>
        <v/>
      </c>
      <c r="M230" s="76">
        <f>(((Table134567891011121314151617343[[#This Row],[GBR]]-VLOOKUP($U$1,A:G,7,))/VLOOKUP($U$1,A:G,7,))*100)+100</f>
        <v/>
      </c>
      <c r="N230" s="76">
        <f>IF(VLOOKUP(A230,Database!$A:$AU,MATCH($N$1,Database!$A$1:$AU$1,0),FALSE)=0,#N/A,VLOOKUP(A230,Database!$A:$AU,MATCH($N$1,Database!$A$1:$AU$1,0),FALSE))</f>
        <v/>
      </c>
      <c r="O230" s="76">
        <f>(((Table134567891011121314151617343[[#This Row],[USA]]-VLOOKUP($U$1,A:N,14,))/VLOOKUP($U$1,A:N,14,))*100)+100</f>
        <v/>
      </c>
      <c r="P230" s="76">
        <f>IF(VLOOKUP(A230,Database!$A:$AS,MATCH($P$1,Database!$A$1:$AS$1,0),FALSE)=0,#N/A,VLOOKUP(A230,Database!$A:$AS,MATCH($P$1,Database!$A$1:$AS$1,0),FALSE))</f>
        <v/>
      </c>
      <c r="Q230" s="76">
        <f>(((Table134567891011121314151617343[[#This Row],[JPN]]-VLOOKUP($U$1,A:Q,16,))/VLOOKUP($U$1,A:Q,16,))*100)+100</f>
        <v/>
      </c>
    </row>
    <row r="231" customFormat="1" s="86">
      <c r="A231" s="21" t="n">
        <v>39845</v>
      </c>
      <c r="B231" s="76">
        <f>IF(VLOOKUP(A231,Database!$A:$AS,MATCH($B$1,Database!$A$1:$AS$1,0),FALSE)=0,#N/A,VLOOKUP(A231,Database!$A:$AS,MATCH($B$1,Database!$A$1:$AS$1,0),FALSE))</f>
        <v/>
      </c>
      <c r="C231" s="76">
        <f>IF(VLOOKUP(A231,Database!$A:$AS,MATCH($C$1,Database!$A$1:$AS$1,0),FALSE)=0,#N/A,VLOOKUP(A231,Database!$A:$AS,MATCH($C$1,Database!$A$1:$AS$1,0),FALSE))</f>
        <v/>
      </c>
      <c r="D231" s="76">
        <f>IF(VLOOKUP(A231,Database!$A:$AS,MATCH($D$1,Database!$A$1:$AS$1,0),FALSE)=0,#N/A,VLOOKUP(A231,Database!$A:$AS,MATCH($D$1,Database!$A$1:$AS$1,0),FALSE))</f>
        <v/>
      </c>
      <c r="E231" s="76">
        <f>IF(VLOOKUP(A231,Database!$A:$AS,MATCH($E$1,Database!$A$1:$AS$1,0),FALSE)=0,#N/A,VLOOKUP(A231,Database!$A:$AS,MATCH($E$1,Database!$A$1:$AS$1,0),FALSE))</f>
        <v/>
      </c>
      <c r="F231" s="76">
        <f>IF(VLOOKUP(A231,Database!$A:$AS,MATCH($F$1,Database!$A$1:$AS$1,0),FALSE)=0,#N/A,VLOOKUP(A231,Database!$A:$AS,MATCH($F$1,Database!$A$1:$AS$1,0),FALSE))</f>
        <v/>
      </c>
      <c r="G231" s="76">
        <f>IF(VLOOKUP(A231,Database!$A:$AS,MATCH($G$1,Database!$A$1:$AS$1,0),FALSE)=0,#N/A,VLOOKUP(A231,Database!$A:$AS,MATCH($G$1,Database!$A$1:$AS$1,0),FALSE))</f>
        <v/>
      </c>
      <c r="H231" s="76">
        <f>(((Table134567891011121314151617343[[#This Row],[ITA]]-VLOOKUP($U$1,A:B,2,))/VLOOKUP($U$1,A:B,2,))*100)+100</f>
        <v/>
      </c>
      <c r="I231" s="76">
        <f>(((Table134567891011121314151617343[[#This Row],[FRA]]-VLOOKUP($U$1,A:C,3,))/VLOOKUP($U$1,A:C,3,))*100)+100</f>
        <v/>
      </c>
      <c r="J231" s="76">
        <f>(((Table134567891011121314151617343[[#This Row],[DEU]]-VLOOKUP($U$1,A:D,4,))/VLOOKUP($U$1,A:D,4,))*100)+100</f>
        <v/>
      </c>
      <c r="K231" s="76">
        <f>(((Table134567891011121314151617343[[#This Row],[ESP]]-VLOOKUP($U$1,A:E,5,))/VLOOKUP($U$1,A:E,5,))*100)+100</f>
        <v/>
      </c>
      <c r="L231" s="76">
        <f>(((Table134567891011121314151617343[[#This Row],[EA19]]-VLOOKUP($U$1,A:F,6,))/VLOOKUP($U$1,A:F,6,))*100)+100</f>
        <v/>
      </c>
      <c r="M231" s="76">
        <f>(((Table134567891011121314151617343[[#This Row],[GBR]]-VLOOKUP($U$1,A:G,7,))/VLOOKUP($U$1,A:G,7,))*100)+100</f>
        <v/>
      </c>
      <c r="N231" s="76">
        <f>IF(VLOOKUP(A231,Database!$A:$AU,MATCH($N$1,Database!$A$1:$AU$1,0),FALSE)=0,#N/A,VLOOKUP(A231,Database!$A:$AU,MATCH($N$1,Database!$A$1:$AU$1,0),FALSE))</f>
        <v/>
      </c>
      <c r="O231" s="76">
        <f>(((Table134567891011121314151617343[[#This Row],[USA]]-VLOOKUP($U$1,A:N,14,))/VLOOKUP($U$1,A:N,14,))*100)+100</f>
        <v/>
      </c>
      <c r="P231" s="76">
        <f>IF(VLOOKUP(A231,Database!$A:$AS,MATCH($P$1,Database!$A$1:$AS$1,0),FALSE)=0,#N/A,VLOOKUP(A231,Database!$A:$AS,MATCH($P$1,Database!$A$1:$AS$1,0),FALSE))</f>
        <v/>
      </c>
      <c r="Q231" s="76">
        <f>(((Table134567891011121314151617343[[#This Row],[JPN]]-VLOOKUP($U$1,A:Q,16,))/VLOOKUP($U$1,A:Q,16,))*100)+100</f>
        <v/>
      </c>
    </row>
    <row r="232" customFormat="1" s="86">
      <c r="A232" s="21" t="n">
        <v>39873</v>
      </c>
      <c r="B232" s="76">
        <f>IF(VLOOKUP(A232,Database!$A:$AS,MATCH($B$1,Database!$A$1:$AS$1,0),FALSE)=0,#N/A,VLOOKUP(A232,Database!$A:$AS,MATCH($B$1,Database!$A$1:$AS$1,0),FALSE))</f>
        <v/>
      </c>
      <c r="C232" s="76">
        <f>IF(VLOOKUP(A232,Database!$A:$AS,MATCH($C$1,Database!$A$1:$AS$1,0),FALSE)=0,#N/A,VLOOKUP(A232,Database!$A:$AS,MATCH($C$1,Database!$A$1:$AS$1,0),FALSE))</f>
        <v/>
      </c>
      <c r="D232" s="76">
        <f>IF(VLOOKUP(A232,Database!$A:$AS,MATCH($D$1,Database!$A$1:$AS$1,0),FALSE)=0,#N/A,VLOOKUP(A232,Database!$A:$AS,MATCH($D$1,Database!$A$1:$AS$1,0),FALSE))</f>
        <v/>
      </c>
      <c r="E232" s="76">
        <f>IF(VLOOKUP(A232,Database!$A:$AS,MATCH($E$1,Database!$A$1:$AS$1,0),FALSE)=0,#N/A,VLOOKUP(A232,Database!$A:$AS,MATCH($E$1,Database!$A$1:$AS$1,0),FALSE))</f>
        <v/>
      </c>
      <c r="F232" s="76">
        <f>IF(VLOOKUP(A232,Database!$A:$AS,MATCH($F$1,Database!$A$1:$AS$1,0),FALSE)=0,#N/A,VLOOKUP(A232,Database!$A:$AS,MATCH($F$1,Database!$A$1:$AS$1,0),FALSE))</f>
        <v/>
      </c>
      <c r="G232" s="76">
        <f>IF(VLOOKUP(A232,Database!$A:$AS,MATCH($G$1,Database!$A$1:$AS$1,0),FALSE)=0,#N/A,VLOOKUP(A232,Database!$A:$AS,MATCH($G$1,Database!$A$1:$AS$1,0),FALSE))</f>
        <v/>
      </c>
      <c r="H232" s="76">
        <f>(((Table134567891011121314151617343[[#This Row],[ITA]]-VLOOKUP($U$1,A:B,2,))/VLOOKUP($U$1,A:B,2,))*100)+100</f>
        <v/>
      </c>
      <c r="I232" s="76">
        <f>(((Table134567891011121314151617343[[#This Row],[FRA]]-VLOOKUP($U$1,A:C,3,))/VLOOKUP($U$1,A:C,3,))*100)+100</f>
        <v/>
      </c>
      <c r="J232" s="76">
        <f>(((Table134567891011121314151617343[[#This Row],[DEU]]-VLOOKUP($U$1,A:D,4,))/VLOOKUP($U$1,A:D,4,))*100)+100</f>
        <v/>
      </c>
      <c r="K232" s="76">
        <f>(((Table134567891011121314151617343[[#This Row],[ESP]]-VLOOKUP($U$1,A:E,5,))/VLOOKUP($U$1,A:E,5,))*100)+100</f>
        <v/>
      </c>
      <c r="L232" s="76">
        <f>(((Table134567891011121314151617343[[#This Row],[EA19]]-VLOOKUP($U$1,A:F,6,))/VLOOKUP($U$1,A:F,6,))*100)+100</f>
        <v/>
      </c>
      <c r="M232" s="76">
        <f>(((Table134567891011121314151617343[[#This Row],[GBR]]-VLOOKUP($U$1,A:G,7,))/VLOOKUP($U$1,A:G,7,))*100)+100</f>
        <v/>
      </c>
      <c r="N232" s="76">
        <f>IF(VLOOKUP(A232,Database!$A:$AU,MATCH($N$1,Database!$A$1:$AU$1,0),FALSE)=0,#N/A,VLOOKUP(A232,Database!$A:$AU,MATCH($N$1,Database!$A$1:$AU$1,0),FALSE))</f>
        <v/>
      </c>
      <c r="O232" s="76">
        <f>(((Table134567891011121314151617343[[#This Row],[USA]]-VLOOKUP($U$1,A:N,14,))/VLOOKUP($U$1,A:N,14,))*100)+100</f>
        <v/>
      </c>
      <c r="P232" s="76">
        <f>IF(VLOOKUP(A232,Database!$A:$AS,MATCH($P$1,Database!$A$1:$AS$1,0),FALSE)=0,#N/A,VLOOKUP(A232,Database!$A:$AS,MATCH($P$1,Database!$A$1:$AS$1,0),FALSE))</f>
        <v/>
      </c>
      <c r="Q232" s="76">
        <f>(((Table134567891011121314151617343[[#This Row],[JPN]]-VLOOKUP($U$1,A:Q,16,))/VLOOKUP($U$1,A:Q,16,))*100)+100</f>
        <v/>
      </c>
    </row>
    <row r="233" customFormat="1" s="86">
      <c r="A233" s="21" t="n">
        <v>39904</v>
      </c>
      <c r="B233" s="76">
        <f>IF(VLOOKUP(A233,Database!$A:$AS,MATCH($B$1,Database!$A$1:$AS$1,0),FALSE)=0,#N/A,VLOOKUP(A233,Database!$A:$AS,MATCH($B$1,Database!$A$1:$AS$1,0),FALSE))</f>
        <v/>
      </c>
      <c r="C233" s="76">
        <f>IF(VLOOKUP(A233,Database!$A:$AS,MATCH($C$1,Database!$A$1:$AS$1,0),FALSE)=0,#N/A,VLOOKUP(A233,Database!$A:$AS,MATCH($C$1,Database!$A$1:$AS$1,0),FALSE))</f>
        <v/>
      </c>
      <c r="D233" s="76">
        <f>IF(VLOOKUP(A233,Database!$A:$AS,MATCH($D$1,Database!$A$1:$AS$1,0),FALSE)=0,#N/A,VLOOKUP(A233,Database!$A:$AS,MATCH($D$1,Database!$A$1:$AS$1,0),FALSE))</f>
        <v/>
      </c>
      <c r="E233" s="76">
        <f>IF(VLOOKUP(A233,Database!$A:$AS,MATCH($E$1,Database!$A$1:$AS$1,0),FALSE)=0,#N/A,VLOOKUP(A233,Database!$A:$AS,MATCH($E$1,Database!$A$1:$AS$1,0),FALSE))</f>
        <v/>
      </c>
      <c r="F233" s="76">
        <f>IF(VLOOKUP(A233,Database!$A:$AS,MATCH($F$1,Database!$A$1:$AS$1,0),FALSE)=0,#N/A,VLOOKUP(A233,Database!$A:$AS,MATCH($F$1,Database!$A$1:$AS$1,0),FALSE))</f>
        <v/>
      </c>
      <c r="G233" s="76">
        <f>IF(VLOOKUP(A233,Database!$A:$AS,MATCH($G$1,Database!$A$1:$AS$1,0),FALSE)=0,#N/A,VLOOKUP(A233,Database!$A:$AS,MATCH($G$1,Database!$A$1:$AS$1,0),FALSE))</f>
        <v/>
      </c>
      <c r="H233" s="76">
        <f>(((Table134567891011121314151617343[[#This Row],[ITA]]-VLOOKUP($U$1,A:B,2,))/VLOOKUP($U$1,A:B,2,))*100)+100</f>
        <v/>
      </c>
      <c r="I233" s="76">
        <f>(((Table134567891011121314151617343[[#This Row],[FRA]]-VLOOKUP($U$1,A:C,3,))/VLOOKUP($U$1,A:C,3,))*100)+100</f>
        <v/>
      </c>
      <c r="J233" s="76">
        <f>(((Table134567891011121314151617343[[#This Row],[DEU]]-VLOOKUP($U$1,A:D,4,))/VLOOKUP($U$1,A:D,4,))*100)+100</f>
        <v/>
      </c>
      <c r="K233" s="76">
        <f>(((Table134567891011121314151617343[[#This Row],[ESP]]-VLOOKUP($U$1,A:E,5,))/VLOOKUP($U$1,A:E,5,))*100)+100</f>
        <v/>
      </c>
      <c r="L233" s="76">
        <f>(((Table134567891011121314151617343[[#This Row],[EA19]]-VLOOKUP($U$1,A:F,6,))/VLOOKUP($U$1,A:F,6,))*100)+100</f>
        <v/>
      </c>
      <c r="M233" s="76">
        <f>(((Table134567891011121314151617343[[#This Row],[GBR]]-VLOOKUP($U$1,A:G,7,))/VLOOKUP($U$1,A:G,7,))*100)+100</f>
        <v/>
      </c>
      <c r="N233" s="76">
        <f>IF(VLOOKUP(A233,Database!$A:$AU,MATCH($N$1,Database!$A$1:$AU$1,0),FALSE)=0,#N/A,VLOOKUP(A233,Database!$A:$AU,MATCH($N$1,Database!$A$1:$AU$1,0),FALSE))</f>
        <v/>
      </c>
      <c r="O233" s="76">
        <f>(((Table134567891011121314151617343[[#This Row],[USA]]-VLOOKUP($U$1,A:N,14,))/VLOOKUP($U$1,A:N,14,))*100)+100</f>
        <v/>
      </c>
      <c r="P233" s="76">
        <f>IF(VLOOKUP(A233,Database!$A:$AS,MATCH($P$1,Database!$A$1:$AS$1,0),FALSE)=0,#N/A,VLOOKUP(A233,Database!$A:$AS,MATCH($P$1,Database!$A$1:$AS$1,0),FALSE))</f>
        <v/>
      </c>
      <c r="Q233" s="76">
        <f>(((Table134567891011121314151617343[[#This Row],[JPN]]-VLOOKUP($U$1,A:Q,16,))/VLOOKUP($U$1,A:Q,16,))*100)+100</f>
        <v/>
      </c>
    </row>
    <row r="234" customFormat="1" s="86">
      <c r="A234" s="21" t="n">
        <v>39934</v>
      </c>
      <c r="B234" s="76">
        <f>IF(VLOOKUP(A234,Database!$A:$AS,MATCH($B$1,Database!$A$1:$AS$1,0),FALSE)=0,#N/A,VLOOKUP(A234,Database!$A:$AS,MATCH($B$1,Database!$A$1:$AS$1,0),FALSE))</f>
        <v/>
      </c>
      <c r="C234" s="76">
        <f>IF(VLOOKUP(A234,Database!$A:$AS,MATCH($C$1,Database!$A$1:$AS$1,0),FALSE)=0,#N/A,VLOOKUP(A234,Database!$A:$AS,MATCH($C$1,Database!$A$1:$AS$1,0),FALSE))</f>
        <v/>
      </c>
      <c r="D234" s="76">
        <f>IF(VLOOKUP(A234,Database!$A:$AS,MATCH($D$1,Database!$A$1:$AS$1,0),FALSE)=0,#N/A,VLOOKUP(A234,Database!$A:$AS,MATCH($D$1,Database!$A$1:$AS$1,0),FALSE))</f>
        <v/>
      </c>
      <c r="E234" s="76">
        <f>IF(VLOOKUP(A234,Database!$A:$AS,MATCH($E$1,Database!$A$1:$AS$1,0),FALSE)=0,#N/A,VLOOKUP(A234,Database!$A:$AS,MATCH($E$1,Database!$A$1:$AS$1,0),FALSE))</f>
        <v/>
      </c>
      <c r="F234" s="76">
        <f>IF(VLOOKUP(A234,Database!$A:$AS,MATCH($F$1,Database!$A$1:$AS$1,0),FALSE)=0,#N/A,VLOOKUP(A234,Database!$A:$AS,MATCH($F$1,Database!$A$1:$AS$1,0),FALSE))</f>
        <v/>
      </c>
      <c r="G234" s="76">
        <f>IF(VLOOKUP(A234,Database!$A:$AS,MATCH($G$1,Database!$A$1:$AS$1,0),FALSE)=0,#N/A,VLOOKUP(A234,Database!$A:$AS,MATCH($G$1,Database!$A$1:$AS$1,0),FALSE))</f>
        <v/>
      </c>
      <c r="H234" s="76">
        <f>(((Table134567891011121314151617343[[#This Row],[ITA]]-VLOOKUP($U$1,A:B,2,))/VLOOKUP($U$1,A:B,2,))*100)+100</f>
        <v/>
      </c>
      <c r="I234" s="76">
        <f>(((Table134567891011121314151617343[[#This Row],[FRA]]-VLOOKUP($U$1,A:C,3,))/VLOOKUP($U$1,A:C,3,))*100)+100</f>
        <v/>
      </c>
      <c r="J234" s="76">
        <f>(((Table134567891011121314151617343[[#This Row],[DEU]]-VLOOKUP($U$1,A:D,4,))/VLOOKUP($U$1,A:D,4,))*100)+100</f>
        <v/>
      </c>
      <c r="K234" s="76">
        <f>(((Table134567891011121314151617343[[#This Row],[ESP]]-VLOOKUP($U$1,A:E,5,))/VLOOKUP($U$1,A:E,5,))*100)+100</f>
        <v/>
      </c>
      <c r="L234" s="76">
        <f>(((Table134567891011121314151617343[[#This Row],[EA19]]-VLOOKUP($U$1,A:F,6,))/VLOOKUP($U$1,A:F,6,))*100)+100</f>
        <v/>
      </c>
      <c r="M234" s="76">
        <f>(((Table134567891011121314151617343[[#This Row],[GBR]]-VLOOKUP($U$1,A:G,7,))/VLOOKUP($U$1,A:G,7,))*100)+100</f>
        <v/>
      </c>
      <c r="N234" s="76">
        <f>IF(VLOOKUP(A234,Database!$A:$AU,MATCH($N$1,Database!$A$1:$AU$1,0),FALSE)=0,#N/A,VLOOKUP(A234,Database!$A:$AU,MATCH($N$1,Database!$A$1:$AU$1,0),FALSE))</f>
        <v/>
      </c>
      <c r="O234" s="76">
        <f>(((Table134567891011121314151617343[[#This Row],[USA]]-VLOOKUP($U$1,A:N,14,))/VLOOKUP($U$1,A:N,14,))*100)+100</f>
        <v/>
      </c>
      <c r="P234" s="76">
        <f>IF(VLOOKUP(A234,Database!$A:$AS,MATCH($P$1,Database!$A$1:$AS$1,0),FALSE)=0,#N/A,VLOOKUP(A234,Database!$A:$AS,MATCH($P$1,Database!$A$1:$AS$1,0),FALSE))</f>
        <v/>
      </c>
      <c r="Q234" s="76">
        <f>(((Table134567891011121314151617343[[#This Row],[JPN]]-VLOOKUP($U$1,A:Q,16,))/VLOOKUP($U$1,A:Q,16,))*100)+100</f>
        <v/>
      </c>
    </row>
    <row r="235" customFormat="1" s="86">
      <c r="A235" s="21" t="n">
        <v>39965</v>
      </c>
      <c r="B235" s="76">
        <f>IF(VLOOKUP(A235,Database!$A:$AS,MATCH($B$1,Database!$A$1:$AS$1,0),FALSE)=0,#N/A,VLOOKUP(A235,Database!$A:$AS,MATCH($B$1,Database!$A$1:$AS$1,0),FALSE))</f>
        <v/>
      </c>
      <c r="C235" s="76">
        <f>IF(VLOOKUP(A235,Database!$A:$AS,MATCH($C$1,Database!$A$1:$AS$1,0),FALSE)=0,#N/A,VLOOKUP(A235,Database!$A:$AS,MATCH($C$1,Database!$A$1:$AS$1,0),FALSE))</f>
        <v/>
      </c>
      <c r="D235" s="76">
        <f>IF(VLOOKUP(A235,Database!$A:$AS,MATCH($D$1,Database!$A$1:$AS$1,0),FALSE)=0,#N/A,VLOOKUP(A235,Database!$A:$AS,MATCH($D$1,Database!$A$1:$AS$1,0),FALSE))</f>
        <v/>
      </c>
      <c r="E235" s="76">
        <f>IF(VLOOKUP(A235,Database!$A:$AS,MATCH($E$1,Database!$A$1:$AS$1,0),FALSE)=0,#N/A,VLOOKUP(A235,Database!$A:$AS,MATCH($E$1,Database!$A$1:$AS$1,0),FALSE))</f>
        <v/>
      </c>
      <c r="F235" s="76">
        <f>IF(VLOOKUP(A235,Database!$A:$AS,MATCH($F$1,Database!$A$1:$AS$1,0),FALSE)=0,#N/A,VLOOKUP(A235,Database!$A:$AS,MATCH($F$1,Database!$A$1:$AS$1,0),FALSE))</f>
        <v/>
      </c>
      <c r="G235" s="76">
        <f>IF(VLOOKUP(A235,Database!$A:$AS,MATCH($G$1,Database!$A$1:$AS$1,0),FALSE)=0,#N/A,VLOOKUP(A235,Database!$A:$AS,MATCH($G$1,Database!$A$1:$AS$1,0),FALSE))</f>
        <v/>
      </c>
      <c r="H235" s="76">
        <f>(((Table134567891011121314151617343[[#This Row],[ITA]]-VLOOKUP($U$1,A:B,2,))/VLOOKUP($U$1,A:B,2,))*100)+100</f>
        <v/>
      </c>
      <c r="I235" s="76">
        <f>(((Table134567891011121314151617343[[#This Row],[FRA]]-VLOOKUP($U$1,A:C,3,))/VLOOKUP($U$1,A:C,3,))*100)+100</f>
        <v/>
      </c>
      <c r="J235" s="76">
        <f>(((Table134567891011121314151617343[[#This Row],[DEU]]-VLOOKUP($U$1,A:D,4,))/VLOOKUP($U$1,A:D,4,))*100)+100</f>
        <v/>
      </c>
      <c r="K235" s="76">
        <f>(((Table134567891011121314151617343[[#This Row],[ESP]]-VLOOKUP($U$1,A:E,5,))/VLOOKUP($U$1,A:E,5,))*100)+100</f>
        <v/>
      </c>
      <c r="L235" s="76">
        <f>(((Table134567891011121314151617343[[#This Row],[EA19]]-VLOOKUP($U$1,A:F,6,))/VLOOKUP($U$1,A:F,6,))*100)+100</f>
        <v/>
      </c>
      <c r="M235" s="76">
        <f>(((Table134567891011121314151617343[[#This Row],[GBR]]-VLOOKUP($U$1,A:G,7,))/VLOOKUP($U$1,A:G,7,))*100)+100</f>
        <v/>
      </c>
      <c r="N235" s="76">
        <f>IF(VLOOKUP(A235,Database!$A:$AU,MATCH($N$1,Database!$A$1:$AU$1,0),FALSE)=0,#N/A,VLOOKUP(A235,Database!$A:$AU,MATCH($N$1,Database!$A$1:$AU$1,0),FALSE))</f>
        <v/>
      </c>
      <c r="O235" s="76">
        <f>(((Table134567891011121314151617343[[#This Row],[USA]]-VLOOKUP($U$1,A:N,14,))/VLOOKUP($U$1,A:N,14,))*100)+100</f>
        <v/>
      </c>
      <c r="P235" s="76">
        <f>IF(VLOOKUP(A235,Database!$A:$AS,MATCH($P$1,Database!$A$1:$AS$1,0),FALSE)=0,#N/A,VLOOKUP(A235,Database!$A:$AS,MATCH($P$1,Database!$A$1:$AS$1,0),FALSE))</f>
        <v/>
      </c>
      <c r="Q235" s="76">
        <f>(((Table134567891011121314151617343[[#This Row],[JPN]]-VLOOKUP($U$1,A:Q,16,))/VLOOKUP($U$1,A:Q,16,))*100)+100</f>
        <v/>
      </c>
    </row>
    <row r="236" customFormat="1" s="86">
      <c r="A236" s="21" t="n">
        <v>39995</v>
      </c>
      <c r="B236" s="76">
        <f>IF(VLOOKUP(A236,Database!$A:$AS,MATCH($B$1,Database!$A$1:$AS$1,0),FALSE)=0,#N/A,VLOOKUP(A236,Database!$A:$AS,MATCH($B$1,Database!$A$1:$AS$1,0),FALSE))</f>
        <v/>
      </c>
      <c r="C236" s="76">
        <f>IF(VLOOKUP(A236,Database!$A:$AS,MATCH($C$1,Database!$A$1:$AS$1,0),FALSE)=0,#N/A,VLOOKUP(A236,Database!$A:$AS,MATCH($C$1,Database!$A$1:$AS$1,0),FALSE))</f>
        <v/>
      </c>
      <c r="D236" s="76">
        <f>IF(VLOOKUP(A236,Database!$A:$AS,MATCH($D$1,Database!$A$1:$AS$1,0),FALSE)=0,#N/A,VLOOKUP(A236,Database!$A:$AS,MATCH($D$1,Database!$A$1:$AS$1,0),FALSE))</f>
        <v/>
      </c>
      <c r="E236" s="76">
        <f>IF(VLOOKUP(A236,Database!$A:$AS,MATCH($E$1,Database!$A$1:$AS$1,0),FALSE)=0,#N/A,VLOOKUP(A236,Database!$A:$AS,MATCH($E$1,Database!$A$1:$AS$1,0),FALSE))</f>
        <v/>
      </c>
      <c r="F236" s="76">
        <f>IF(VLOOKUP(A236,Database!$A:$AS,MATCH($F$1,Database!$A$1:$AS$1,0),FALSE)=0,#N/A,VLOOKUP(A236,Database!$A:$AS,MATCH($F$1,Database!$A$1:$AS$1,0),FALSE))</f>
        <v/>
      </c>
      <c r="G236" s="76">
        <f>IF(VLOOKUP(A236,Database!$A:$AS,MATCH($G$1,Database!$A$1:$AS$1,0),FALSE)=0,#N/A,VLOOKUP(A236,Database!$A:$AS,MATCH($G$1,Database!$A$1:$AS$1,0),FALSE))</f>
        <v/>
      </c>
      <c r="H236" s="76">
        <f>(((Table134567891011121314151617343[[#This Row],[ITA]]-VLOOKUP($U$1,A:B,2,))/VLOOKUP($U$1,A:B,2,))*100)+100</f>
        <v/>
      </c>
      <c r="I236" s="76">
        <f>(((Table134567891011121314151617343[[#This Row],[FRA]]-VLOOKUP($U$1,A:C,3,))/VLOOKUP($U$1,A:C,3,))*100)+100</f>
        <v/>
      </c>
      <c r="J236" s="76">
        <f>(((Table134567891011121314151617343[[#This Row],[DEU]]-VLOOKUP($U$1,A:D,4,))/VLOOKUP($U$1,A:D,4,))*100)+100</f>
        <v/>
      </c>
      <c r="K236" s="76">
        <f>(((Table134567891011121314151617343[[#This Row],[ESP]]-VLOOKUP($U$1,A:E,5,))/VLOOKUP($U$1,A:E,5,))*100)+100</f>
        <v/>
      </c>
      <c r="L236" s="76">
        <f>(((Table134567891011121314151617343[[#This Row],[EA19]]-VLOOKUP($U$1,A:F,6,))/VLOOKUP($U$1,A:F,6,))*100)+100</f>
        <v/>
      </c>
      <c r="M236" s="76">
        <f>(((Table134567891011121314151617343[[#This Row],[GBR]]-VLOOKUP($U$1,A:G,7,))/VLOOKUP($U$1,A:G,7,))*100)+100</f>
        <v/>
      </c>
      <c r="N236" s="76">
        <f>IF(VLOOKUP(A236,Database!$A:$AU,MATCH($N$1,Database!$A$1:$AU$1,0),FALSE)=0,#N/A,VLOOKUP(A236,Database!$A:$AU,MATCH($N$1,Database!$A$1:$AU$1,0),FALSE))</f>
        <v/>
      </c>
      <c r="O236" s="76">
        <f>(((Table134567891011121314151617343[[#This Row],[USA]]-VLOOKUP($U$1,A:N,14,))/VLOOKUP($U$1,A:N,14,))*100)+100</f>
        <v/>
      </c>
      <c r="P236" s="76">
        <f>IF(VLOOKUP(A236,Database!$A:$AS,MATCH($P$1,Database!$A$1:$AS$1,0),FALSE)=0,#N/A,VLOOKUP(A236,Database!$A:$AS,MATCH($P$1,Database!$A$1:$AS$1,0),FALSE))</f>
        <v/>
      </c>
      <c r="Q236" s="76">
        <f>(((Table134567891011121314151617343[[#This Row],[JPN]]-VLOOKUP($U$1,A:Q,16,))/VLOOKUP($U$1,A:Q,16,))*100)+100</f>
        <v/>
      </c>
    </row>
    <row r="237" customFormat="1" s="86">
      <c r="A237" s="21" t="n">
        <v>40026</v>
      </c>
      <c r="B237" s="76">
        <f>IF(VLOOKUP(A237,Database!$A:$AS,MATCH($B$1,Database!$A$1:$AS$1,0),FALSE)=0,#N/A,VLOOKUP(A237,Database!$A:$AS,MATCH($B$1,Database!$A$1:$AS$1,0),FALSE))</f>
        <v/>
      </c>
      <c r="C237" s="76">
        <f>IF(VLOOKUP(A237,Database!$A:$AS,MATCH($C$1,Database!$A$1:$AS$1,0),FALSE)=0,#N/A,VLOOKUP(A237,Database!$A:$AS,MATCH($C$1,Database!$A$1:$AS$1,0),FALSE))</f>
        <v/>
      </c>
      <c r="D237" s="76">
        <f>IF(VLOOKUP(A237,Database!$A:$AS,MATCH($D$1,Database!$A$1:$AS$1,0),FALSE)=0,#N/A,VLOOKUP(A237,Database!$A:$AS,MATCH($D$1,Database!$A$1:$AS$1,0),FALSE))</f>
        <v/>
      </c>
      <c r="E237" s="76">
        <f>IF(VLOOKUP(A237,Database!$A:$AS,MATCH($E$1,Database!$A$1:$AS$1,0),FALSE)=0,#N/A,VLOOKUP(A237,Database!$A:$AS,MATCH($E$1,Database!$A$1:$AS$1,0),FALSE))</f>
        <v/>
      </c>
      <c r="F237" s="76">
        <f>IF(VLOOKUP(A237,Database!$A:$AS,MATCH($F$1,Database!$A$1:$AS$1,0),FALSE)=0,#N/A,VLOOKUP(A237,Database!$A:$AS,MATCH($F$1,Database!$A$1:$AS$1,0),FALSE))</f>
        <v/>
      </c>
      <c r="G237" s="76">
        <f>IF(VLOOKUP(A237,Database!$A:$AS,MATCH($G$1,Database!$A$1:$AS$1,0),FALSE)=0,#N/A,VLOOKUP(A237,Database!$A:$AS,MATCH($G$1,Database!$A$1:$AS$1,0),FALSE))</f>
        <v/>
      </c>
      <c r="H237" s="76">
        <f>(((Table134567891011121314151617343[[#This Row],[ITA]]-VLOOKUP($U$1,A:B,2,))/VLOOKUP($U$1,A:B,2,))*100)+100</f>
        <v/>
      </c>
      <c r="I237" s="76">
        <f>(((Table134567891011121314151617343[[#This Row],[FRA]]-VLOOKUP($U$1,A:C,3,))/VLOOKUP($U$1,A:C,3,))*100)+100</f>
        <v/>
      </c>
      <c r="J237" s="76">
        <f>(((Table134567891011121314151617343[[#This Row],[DEU]]-VLOOKUP($U$1,A:D,4,))/VLOOKUP($U$1,A:D,4,))*100)+100</f>
        <v/>
      </c>
      <c r="K237" s="76">
        <f>(((Table134567891011121314151617343[[#This Row],[ESP]]-VLOOKUP($U$1,A:E,5,))/VLOOKUP($U$1,A:E,5,))*100)+100</f>
        <v/>
      </c>
      <c r="L237" s="76">
        <f>(((Table134567891011121314151617343[[#This Row],[EA19]]-VLOOKUP($U$1,A:F,6,))/VLOOKUP($U$1,A:F,6,))*100)+100</f>
        <v/>
      </c>
      <c r="M237" s="76">
        <f>(((Table134567891011121314151617343[[#This Row],[GBR]]-VLOOKUP($U$1,A:G,7,))/VLOOKUP($U$1,A:G,7,))*100)+100</f>
        <v/>
      </c>
      <c r="N237" s="76">
        <f>IF(VLOOKUP(A237,Database!$A:$AU,MATCH($N$1,Database!$A$1:$AU$1,0),FALSE)=0,#N/A,VLOOKUP(A237,Database!$A:$AU,MATCH($N$1,Database!$A$1:$AU$1,0),FALSE))</f>
        <v/>
      </c>
      <c r="O237" s="76">
        <f>(((Table134567891011121314151617343[[#This Row],[USA]]-VLOOKUP($U$1,A:N,14,))/VLOOKUP($U$1,A:N,14,))*100)+100</f>
        <v/>
      </c>
      <c r="P237" s="76">
        <f>IF(VLOOKUP(A237,Database!$A:$AS,MATCH($P$1,Database!$A$1:$AS$1,0),FALSE)=0,#N/A,VLOOKUP(A237,Database!$A:$AS,MATCH($P$1,Database!$A$1:$AS$1,0),FALSE))</f>
        <v/>
      </c>
      <c r="Q237" s="76">
        <f>(((Table134567891011121314151617343[[#This Row],[JPN]]-VLOOKUP($U$1,A:Q,16,))/VLOOKUP($U$1,A:Q,16,))*100)+100</f>
        <v/>
      </c>
    </row>
    <row r="238" customFormat="1" s="86">
      <c r="A238" s="21" t="n">
        <v>40057</v>
      </c>
      <c r="B238" s="76">
        <f>IF(VLOOKUP(A238,Database!$A:$AS,MATCH($B$1,Database!$A$1:$AS$1,0),FALSE)=0,#N/A,VLOOKUP(A238,Database!$A:$AS,MATCH($B$1,Database!$A$1:$AS$1,0),FALSE))</f>
        <v/>
      </c>
      <c r="C238" s="76">
        <f>IF(VLOOKUP(A238,Database!$A:$AS,MATCH($C$1,Database!$A$1:$AS$1,0),FALSE)=0,#N/A,VLOOKUP(A238,Database!$A:$AS,MATCH($C$1,Database!$A$1:$AS$1,0),FALSE))</f>
        <v/>
      </c>
      <c r="D238" s="76">
        <f>IF(VLOOKUP(A238,Database!$A:$AS,MATCH($D$1,Database!$A$1:$AS$1,0),FALSE)=0,#N/A,VLOOKUP(A238,Database!$A:$AS,MATCH($D$1,Database!$A$1:$AS$1,0),FALSE))</f>
        <v/>
      </c>
      <c r="E238" s="76">
        <f>IF(VLOOKUP(A238,Database!$A:$AS,MATCH($E$1,Database!$A$1:$AS$1,0),FALSE)=0,#N/A,VLOOKUP(A238,Database!$A:$AS,MATCH($E$1,Database!$A$1:$AS$1,0),FALSE))</f>
        <v/>
      </c>
      <c r="F238" s="76">
        <f>IF(VLOOKUP(A238,Database!$A:$AS,MATCH($F$1,Database!$A$1:$AS$1,0),FALSE)=0,#N/A,VLOOKUP(A238,Database!$A:$AS,MATCH($F$1,Database!$A$1:$AS$1,0),FALSE))</f>
        <v/>
      </c>
      <c r="G238" s="76">
        <f>IF(VLOOKUP(A238,Database!$A:$AS,MATCH($G$1,Database!$A$1:$AS$1,0),FALSE)=0,#N/A,VLOOKUP(A238,Database!$A:$AS,MATCH($G$1,Database!$A$1:$AS$1,0),FALSE))</f>
        <v/>
      </c>
      <c r="H238" s="76">
        <f>(((Table134567891011121314151617343[[#This Row],[ITA]]-VLOOKUP($U$1,A:B,2,))/VLOOKUP($U$1,A:B,2,))*100)+100</f>
        <v/>
      </c>
      <c r="I238" s="76">
        <f>(((Table134567891011121314151617343[[#This Row],[FRA]]-VLOOKUP($U$1,A:C,3,))/VLOOKUP($U$1,A:C,3,))*100)+100</f>
        <v/>
      </c>
      <c r="J238" s="76">
        <f>(((Table134567891011121314151617343[[#This Row],[DEU]]-VLOOKUP($U$1,A:D,4,))/VLOOKUP($U$1,A:D,4,))*100)+100</f>
        <v/>
      </c>
      <c r="K238" s="76">
        <f>(((Table134567891011121314151617343[[#This Row],[ESP]]-VLOOKUP($U$1,A:E,5,))/VLOOKUP($U$1,A:E,5,))*100)+100</f>
        <v/>
      </c>
      <c r="L238" s="76">
        <f>(((Table134567891011121314151617343[[#This Row],[EA19]]-VLOOKUP($U$1,A:F,6,))/VLOOKUP($U$1,A:F,6,))*100)+100</f>
        <v/>
      </c>
      <c r="M238" s="76">
        <f>(((Table134567891011121314151617343[[#This Row],[GBR]]-VLOOKUP($U$1,A:G,7,))/VLOOKUP($U$1,A:G,7,))*100)+100</f>
        <v/>
      </c>
      <c r="N238" s="76">
        <f>IF(VLOOKUP(A238,Database!$A:$AU,MATCH($N$1,Database!$A$1:$AU$1,0),FALSE)=0,#N/A,VLOOKUP(A238,Database!$A:$AU,MATCH($N$1,Database!$A$1:$AU$1,0),FALSE))</f>
        <v/>
      </c>
      <c r="O238" s="76">
        <f>(((Table134567891011121314151617343[[#This Row],[USA]]-VLOOKUP($U$1,A:N,14,))/VLOOKUP($U$1,A:N,14,))*100)+100</f>
        <v/>
      </c>
      <c r="P238" s="76">
        <f>IF(VLOOKUP(A238,Database!$A:$AS,MATCH($P$1,Database!$A$1:$AS$1,0),FALSE)=0,#N/A,VLOOKUP(A238,Database!$A:$AS,MATCH($P$1,Database!$A$1:$AS$1,0),FALSE))</f>
        <v/>
      </c>
      <c r="Q238" s="76">
        <f>(((Table134567891011121314151617343[[#This Row],[JPN]]-VLOOKUP($U$1,A:Q,16,))/VLOOKUP($U$1,A:Q,16,))*100)+100</f>
        <v/>
      </c>
    </row>
    <row r="239" customFormat="1" s="86">
      <c r="A239" s="21" t="n">
        <v>40087</v>
      </c>
      <c r="B239" s="76">
        <f>IF(VLOOKUP(A239,Database!$A:$AS,MATCH($B$1,Database!$A$1:$AS$1,0),FALSE)=0,#N/A,VLOOKUP(A239,Database!$A:$AS,MATCH($B$1,Database!$A$1:$AS$1,0),FALSE))</f>
        <v/>
      </c>
      <c r="C239" s="76">
        <f>IF(VLOOKUP(A239,Database!$A:$AS,MATCH($C$1,Database!$A$1:$AS$1,0),FALSE)=0,#N/A,VLOOKUP(A239,Database!$A:$AS,MATCH($C$1,Database!$A$1:$AS$1,0),FALSE))</f>
        <v/>
      </c>
      <c r="D239" s="76">
        <f>IF(VLOOKUP(A239,Database!$A:$AS,MATCH($D$1,Database!$A$1:$AS$1,0),FALSE)=0,#N/A,VLOOKUP(A239,Database!$A:$AS,MATCH($D$1,Database!$A$1:$AS$1,0),FALSE))</f>
        <v/>
      </c>
      <c r="E239" s="76">
        <f>IF(VLOOKUP(A239,Database!$A:$AS,MATCH($E$1,Database!$A$1:$AS$1,0),FALSE)=0,#N/A,VLOOKUP(A239,Database!$A:$AS,MATCH($E$1,Database!$A$1:$AS$1,0),FALSE))</f>
        <v/>
      </c>
      <c r="F239" s="76">
        <f>IF(VLOOKUP(A239,Database!$A:$AS,MATCH($F$1,Database!$A$1:$AS$1,0),FALSE)=0,#N/A,VLOOKUP(A239,Database!$A:$AS,MATCH($F$1,Database!$A$1:$AS$1,0),FALSE))</f>
        <v/>
      </c>
      <c r="G239" s="76">
        <f>IF(VLOOKUP(A239,Database!$A:$AS,MATCH($G$1,Database!$A$1:$AS$1,0),FALSE)=0,#N/A,VLOOKUP(A239,Database!$A:$AS,MATCH($G$1,Database!$A$1:$AS$1,0),FALSE))</f>
        <v/>
      </c>
      <c r="H239" s="76">
        <f>(((Table134567891011121314151617343[[#This Row],[ITA]]-VLOOKUP($U$1,A:B,2,))/VLOOKUP($U$1,A:B,2,))*100)+100</f>
        <v/>
      </c>
      <c r="I239" s="76">
        <f>(((Table134567891011121314151617343[[#This Row],[FRA]]-VLOOKUP($U$1,A:C,3,))/VLOOKUP($U$1,A:C,3,))*100)+100</f>
        <v/>
      </c>
      <c r="J239" s="76">
        <f>(((Table134567891011121314151617343[[#This Row],[DEU]]-VLOOKUP($U$1,A:D,4,))/VLOOKUP($U$1,A:D,4,))*100)+100</f>
        <v/>
      </c>
      <c r="K239" s="76">
        <f>(((Table134567891011121314151617343[[#This Row],[ESP]]-VLOOKUP($U$1,A:E,5,))/VLOOKUP($U$1,A:E,5,))*100)+100</f>
        <v/>
      </c>
      <c r="L239" s="76">
        <f>(((Table134567891011121314151617343[[#This Row],[EA19]]-VLOOKUP($U$1,A:F,6,))/VLOOKUP($U$1,A:F,6,))*100)+100</f>
        <v/>
      </c>
      <c r="M239" s="76">
        <f>(((Table134567891011121314151617343[[#This Row],[GBR]]-VLOOKUP($U$1,A:G,7,))/VLOOKUP($U$1,A:G,7,))*100)+100</f>
        <v/>
      </c>
      <c r="N239" s="76">
        <f>IF(VLOOKUP(A239,Database!$A:$AU,MATCH($N$1,Database!$A$1:$AU$1,0),FALSE)=0,#N/A,VLOOKUP(A239,Database!$A:$AU,MATCH($N$1,Database!$A$1:$AU$1,0),FALSE))</f>
        <v/>
      </c>
      <c r="O239" s="76">
        <f>(((Table134567891011121314151617343[[#This Row],[USA]]-VLOOKUP($U$1,A:N,14,))/VLOOKUP($U$1,A:N,14,))*100)+100</f>
        <v/>
      </c>
      <c r="P239" s="76">
        <f>IF(VLOOKUP(A239,Database!$A:$AS,MATCH($P$1,Database!$A$1:$AS$1,0),FALSE)=0,#N/A,VLOOKUP(A239,Database!$A:$AS,MATCH($P$1,Database!$A$1:$AS$1,0),FALSE))</f>
        <v/>
      </c>
      <c r="Q239" s="76">
        <f>(((Table134567891011121314151617343[[#This Row],[JPN]]-VLOOKUP($U$1,A:Q,16,))/VLOOKUP($U$1,A:Q,16,))*100)+100</f>
        <v/>
      </c>
    </row>
    <row r="240" customFormat="1" s="86">
      <c r="A240" s="21" t="n">
        <v>40118</v>
      </c>
      <c r="B240" s="76">
        <f>IF(VLOOKUP(A240,Database!$A:$AS,MATCH($B$1,Database!$A$1:$AS$1,0),FALSE)=0,#N/A,VLOOKUP(A240,Database!$A:$AS,MATCH($B$1,Database!$A$1:$AS$1,0),FALSE))</f>
        <v/>
      </c>
      <c r="C240" s="76">
        <f>IF(VLOOKUP(A240,Database!$A:$AS,MATCH($C$1,Database!$A$1:$AS$1,0),FALSE)=0,#N/A,VLOOKUP(A240,Database!$A:$AS,MATCH($C$1,Database!$A$1:$AS$1,0),FALSE))</f>
        <v/>
      </c>
      <c r="D240" s="76">
        <f>IF(VLOOKUP(A240,Database!$A:$AS,MATCH($D$1,Database!$A$1:$AS$1,0),FALSE)=0,#N/A,VLOOKUP(A240,Database!$A:$AS,MATCH($D$1,Database!$A$1:$AS$1,0),FALSE))</f>
        <v/>
      </c>
      <c r="E240" s="76">
        <f>IF(VLOOKUP(A240,Database!$A:$AS,MATCH($E$1,Database!$A$1:$AS$1,0),FALSE)=0,#N/A,VLOOKUP(A240,Database!$A:$AS,MATCH($E$1,Database!$A$1:$AS$1,0),FALSE))</f>
        <v/>
      </c>
      <c r="F240" s="76">
        <f>IF(VLOOKUP(A240,Database!$A:$AS,MATCH($F$1,Database!$A$1:$AS$1,0),FALSE)=0,#N/A,VLOOKUP(A240,Database!$A:$AS,MATCH($F$1,Database!$A$1:$AS$1,0),FALSE))</f>
        <v/>
      </c>
      <c r="G240" s="76">
        <f>IF(VLOOKUP(A240,Database!$A:$AS,MATCH($G$1,Database!$A$1:$AS$1,0),FALSE)=0,#N/A,VLOOKUP(A240,Database!$A:$AS,MATCH($G$1,Database!$A$1:$AS$1,0),FALSE))</f>
        <v/>
      </c>
      <c r="H240" s="76">
        <f>(((Table134567891011121314151617343[[#This Row],[ITA]]-VLOOKUP($U$1,A:B,2,))/VLOOKUP($U$1,A:B,2,))*100)+100</f>
        <v/>
      </c>
      <c r="I240" s="76">
        <f>(((Table134567891011121314151617343[[#This Row],[FRA]]-VLOOKUP($U$1,A:C,3,))/VLOOKUP($U$1,A:C,3,))*100)+100</f>
        <v/>
      </c>
      <c r="J240" s="76">
        <f>(((Table134567891011121314151617343[[#This Row],[DEU]]-VLOOKUP($U$1,A:D,4,))/VLOOKUP($U$1,A:D,4,))*100)+100</f>
        <v/>
      </c>
      <c r="K240" s="76">
        <f>(((Table134567891011121314151617343[[#This Row],[ESP]]-VLOOKUP($U$1,A:E,5,))/VLOOKUP($U$1,A:E,5,))*100)+100</f>
        <v/>
      </c>
      <c r="L240" s="76">
        <f>(((Table134567891011121314151617343[[#This Row],[EA19]]-VLOOKUP($U$1,A:F,6,))/VLOOKUP($U$1,A:F,6,))*100)+100</f>
        <v/>
      </c>
      <c r="M240" s="76">
        <f>(((Table134567891011121314151617343[[#This Row],[GBR]]-VLOOKUP($U$1,A:G,7,))/VLOOKUP($U$1,A:G,7,))*100)+100</f>
        <v/>
      </c>
      <c r="N240" s="76">
        <f>IF(VLOOKUP(A240,Database!$A:$AU,MATCH($N$1,Database!$A$1:$AU$1,0),FALSE)=0,#N/A,VLOOKUP(A240,Database!$A:$AU,MATCH($N$1,Database!$A$1:$AU$1,0),FALSE))</f>
        <v/>
      </c>
      <c r="O240" s="76">
        <f>(((Table134567891011121314151617343[[#This Row],[USA]]-VLOOKUP($U$1,A:N,14,))/VLOOKUP($U$1,A:N,14,))*100)+100</f>
        <v/>
      </c>
      <c r="P240" s="76">
        <f>IF(VLOOKUP(A240,Database!$A:$AS,MATCH($P$1,Database!$A$1:$AS$1,0),FALSE)=0,#N/A,VLOOKUP(A240,Database!$A:$AS,MATCH($P$1,Database!$A$1:$AS$1,0),FALSE))</f>
        <v/>
      </c>
      <c r="Q240" s="76">
        <f>(((Table134567891011121314151617343[[#This Row],[JPN]]-VLOOKUP($U$1,A:Q,16,))/VLOOKUP($U$1,A:Q,16,))*100)+100</f>
        <v/>
      </c>
    </row>
    <row r="241" customFormat="1" s="86">
      <c r="A241" s="21" t="n">
        <v>40148</v>
      </c>
      <c r="B241" s="76">
        <f>IF(VLOOKUP(A241,Database!$A:$AS,MATCH($B$1,Database!$A$1:$AS$1,0),FALSE)=0,#N/A,VLOOKUP(A241,Database!$A:$AS,MATCH($B$1,Database!$A$1:$AS$1,0),FALSE))</f>
        <v/>
      </c>
      <c r="C241" s="76">
        <f>IF(VLOOKUP(A241,Database!$A:$AS,MATCH($C$1,Database!$A$1:$AS$1,0),FALSE)=0,#N/A,VLOOKUP(A241,Database!$A:$AS,MATCH($C$1,Database!$A$1:$AS$1,0),FALSE))</f>
        <v/>
      </c>
      <c r="D241" s="76">
        <f>IF(VLOOKUP(A241,Database!$A:$AS,MATCH($D$1,Database!$A$1:$AS$1,0),FALSE)=0,#N/A,VLOOKUP(A241,Database!$A:$AS,MATCH($D$1,Database!$A$1:$AS$1,0),FALSE))</f>
        <v/>
      </c>
      <c r="E241" s="76">
        <f>IF(VLOOKUP(A241,Database!$A:$AS,MATCH($E$1,Database!$A$1:$AS$1,0),FALSE)=0,#N/A,VLOOKUP(A241,Database!$A:$AS,MATCH($E$1,Database!$A$1:$AS$1,0),FALSE))</f>
        <v/>
      </c>
      <c r="F241" s="76">
        <f>IF(VLOOKUP(A241,Database!$A:$AS,MATCH($F$1,Database!$A$1:$AS$1,0),FALSE)=0,#N/A,VLOOKUP(A241,Database!$A:$AS,MATCH($F$1,Database!$A$1:$AS$1,0),FALSE))</f>
        <v/>
      </c>
      <c r="G241" s="76">
        <f>IF(VLOOKUP(A241,Database!$A:$AS,MATCH($G$1,Database!$A$1:$AS$1,0),FALSE)=0,#N/A,VLOOKUP(A241,Database!$A:$AS,MATCH($G$1,Database!$A$1:$AS$1,0),FALSE))</f>
        <v/>
      </c>
      <c r="H241" s="76">
        <f>(((Table134567891011121314151617343[[#This Row],[ITA]]-VLOOKUP($U$1,A:B,2,))/VLOOKUP($U$1,A:B,2,))*100)+100</f>
        <v/>
      </c>
      <c r="I241" s="76">
        <f>(((Table134567891011121314151617343[[#This Row],[FRA]]-VLOOKUP($U$1,A:C,3,))/VLOOKUP($U$1,A:C,3,))*100)+100</f>
        <v/>
      </c>
      <c r="J241" s="76">
        <f>(((Table134567891011121314151617343[[#This Row],[DEU]]-VLOOKUP($U$1,A:D,4,))/VLOOKUP($U$1,A:D,4,))*100)+100</f>
        <v/>
      </c>
      <c r="K241" s="76">
        <f>(((Table134567891011121314151617343[[#This Row],[ESP]]-VLOOKUP($U$1,A:E,5,))/VLOOKUP($U$1,A:E,5,))*100)+100</f>
        <v/>
      </c>
      <c r="L241" s="76">
        <f>(((Table134567891011121314151617343[[#This Row],[EA19]]-VLOOKUP($U$1,A:F,6,))/VLOOKUP($U$1,A:F,6,))*100)+100</f>
        <v/>
      </c>
      <c r="M241" s="76">
        <f>(((Table134567891011121314151617343[[#This Row],[GBR]]-VLOOKUP($U$1,A:G,7,))/VLOOKUP($U$1,A:G,7,))*100)+100</f>
        <v/>
      </c>
      <c r="N241" s="76">
        <f>IF(VLOOKUP(A241,Database!$A:$AU,MATCH($N$1,Database!$A$1:$AU$1,0),FALSE)=0,#N/A,VLOOKUP(A241,Database!$A:$AU,MATCH($N$1,Database!$A$1:$AU$1,0),FALSE))</f>
        <v/>
      </c>
      <c r="O241" s="76">
        <f>(((Table134567891011121314151617343[[#This Row],[USA]]-VLOOKUP($U$1,A:N,14,))/VLOOKUP($U$1,A:N,14,))*100)+100</f>
        <v/>
      </c>
      <c r="P241" s="76">
        <f>IF(VLOOKUP(A241,Database!$A:$AS,MATCH($P$1,Database!$A$1:$AS$1,0),FALSE)=0,#N/A,VLOOKUP(A241,Database!$A:$AS,MATCH($P$1,Database!$A$1:$AS$1,0),FALSE))</f>
        <v/>
      </c>
      <c r="Q241" s="76">
        <f>(((Table134567891011121314151617343[[#This Row],[JPN]]-VLOOKUP($U$1,A:Q,16,))/VLOOKUP($U$1,A:Q,16,))*100)+100</f>
        <v/>
      </c>
    </row>
    <row r="242" customFormat="1" s="86">
      <c r="A242" s="21" t="n">
        <v>40179</v>
      </c>
      <c r="B242" s="76">
        <f>IF(VLOOKUP(A242,Database!$A:$AS,MATCH($B$1,Database!$A$1:$AS$1,0),FALSE)=0,#N/A,VLOOKUP(A242,Database!$A:$AS,MATCH($B$1,Database!$A$1:$AS$1,0),FALSE))</f>
        <v/>
      </c>
      <c r="C242" s="76">
        <f>IF(VLOOKUP(A242,Database!$A:$AS,MATCH($C$1,Database!$A$1:$AS$1,0),FALSE)=0,#N/A,VLOOKUP(A242,Database!$A:$AS,MATCH($C$1,Database!$A$1:$AS$1,0),FALSE))</f>
        <v/>
      </c>
      <c r="D242" s="76">
        <f>IF(VLOOKUP(A242,Database!$A:$AS,MATCH($D$1,Database!$A$1:$AS$1,0),FALSE)=0,#N/A,VLOOKUP(A242,Database!$A:$AS,MATCH($D$1,Database!$A$1:$AS$1,0),FALSE))</f>
        <v/>
      </c>
      <c r="E242" s="76">
        <f>IF(VLOOKUP(A242,Database!$A:$AS,MATCH($E$1,Database!$A$1:$AS$1,0),FALSE)=0,#N/A,VLOOKUP(A242,Database!$A:$AS,MATCH($E$1,Database!$A$1:$AS$1,0),FALSE))</f>
        <v/>
      </c>
      <c r="F242" s="76">
        <f>IF(VLOOKUP(A242,Database!$A:$AS,MATCH($F$1,Database!$A$1:$AS$1,0),FALSE)=0,#N/A,VLOOKUP(A242,Database!$A:$AS,MATCH($F$1,Database!$A$1:$AS$1,0),FALSE))</f>
        <v/>
      </c>
      <c r="G242" s="76">
        <f>IF(VLOOKUP(A242,Database!$A:$AS,MATCH($G$1,Database!$A$1:$AS$1,0),FALSE)=0,#N/A,VLOOKUP(A242,Database!$A:$AS,MATCH($G$1,Database!$A$1:$AS$1,0),FALSE))</f>
        <v/>
      </c>
      <c r="H242" s="76">
        <f>(((Table134567891011121314151617343[[#This Row],[ITA]]-VLOOKUP($U$1,A:B,2,))/VLOOKUP($U$1,A:B,2,))*100)+100</f>
        <v/>
      </c>
      <c r="I242" s="76">
        <f>(((Table134567891011121314151617343[[#This Row],[FRA]]-VLOOKUP($U$1,A:C,3,))/VLOOKUP($U$1,A:C,3,))*100)+100</f>
        <v/>
      </c>
      <c r="J242" s="76">
        <f>(((Table134567891011121314151617343[[#This Row],[DEU]]-VLOOKUP($U$1,A:D,4,))/VLOOKUP($U$1,A:D,4,))*100)+100</f>
        <v/>
      </c>
      <c r="K242" s="76">
        <f>(((Table134567891011121314151617343[[#This Row],[ESP]]-VLOOKUP($U$1,A:E,5,))/VLOOKUP($U$1,A:E,5,))*100)+100</f>
        <v/>
      </c>
      <c r="L242" s="76">
        <f>(((Table134567891011121314151617343[[#This Row],[EA19]]-VLOOKUP($U$1,A:F,6,))/VLOOKUP($U$1,A:F,6,))*100)+100</f>
        <v/>
      </c>
      <c r="M242" s="76">
        <f>(((Table134567891011121314151617343[[#This Row],[GBR]]-VLOOKUP($U$1,A:G,7,))/VLOOKUP($U$1,A:G,7,))*100)+100</f>
        <v/>
      </c>
      <c r="N242" s="76">
        <f>IF(VLOOKUP(A242,Database!$A:$AU,MATCH($N$1,Database!$A$1:$AU$1,0),FALSE)=0,#N/A,VLOOKUP(A242,Database!$A:$AU,MATCH($N$1,Database!$A$1:$AU$1,0),FALSE))</f>
        <v/>
      </c>
      <c r="O242" s="76">
        <f>(((Table134567891011121314151617343[[#This Row],[USA]]-VLOOKUP($U$1,A:N,14,))/VLOOKUP($U$1,A:N,14,))*100)+100</f>
        <v/>
      </c>
      <c r="P242" s="76">
        <f>IF(VLOOKUP(A242,Database!$A:$AS,MATCH($P$1,Database!$A$1:$AS$1,0),FALSE)=0,#N/A,VLOOKUP(A242,Database!$A:$AS,MATCH($P$1,Database!$A$1:$AS$1,0),FALSE))</f>
        <v/>
      </c>
      <c r="Q242" s="76">
        <f>(((Table134567891011121314151617343[[#This Row],[JPN]]-VLOOKUP($U$1,A:Q,16,))/VLOOKUP($U$1,A:Q,16,))*100)+100</f>
        <v/>
      </c>
    </row>
    <row r="243" customFormat="1" s="86">
      <c r="A243" s="21" t="n">
        <v>40210</v>
      </c>
      <c r="B243" s="76">
        <f>IF(VLOOKUP(A243,Database!$A:$AS,MATCH($B$1,Database!$A$1:$AS$1,0),FALSE)=0,#N/A,VLOOKUP(A243,Database!$A:$AS,MATCH($B$1,Database!$A$1:$AS$1,0),FALSE))</f>
        <v/>
      </c>
      <c r="C243" s="76">
        <f>IF(VLOOKUP(A243,Database!$A:$AS,MATCH($C$1,Database!$A$1:$AS$1,0),FALSE)=0,#N/A,VLOOKUP(A243,Database!$A:$AS,MATCH($C$1,Database!$A$1:$AS$1,0),FALSE))</f>
        <v/>
      </c>
      <c r="D243" s="76">
        <f>IF(VLOOKUP(A243,Database!$A:$AS,MATCH($D$1,Database!$A$1:$AS$1,0),FALSE)=0,#N/A,VLOOKUP(A243,Database!$A:$AS,MATCH($D$1,Database!$A$1:$AS$1,0),FALSE))</f>
        <v/>
      </c>
      <c r="E243" s="76">
        <f>IF(VLOOKUP(A243,Database!$A:$AS,MATCH($E$1,Database!$A$1:$AS$1,0),FALSE)=0,#N/A,VLOOKUP(A243,Database!$A:$AS,MATCH($E$1,Database!$A$1:$AS$1,0),FALSE))</f>
        <v/>
      </c>
      <c r="F243" s="76">
        <f>IF(VLOOKUP(A243,Database!$A:$AS,MATCH($F$1,Database!$A$1:$AS$1,0),FALSE)=0,#N/A,VLOOKUP(A243,Database!$A:$AS,MATCH($F$1,Database!$A$1:$AS$1,0),FALSE))</f>
        <v/>
      </c>
      <c r="G243" s="76">
        <f>IF(VLOOKUP(A243,Database!$A:$AS,MATCH($G$1,Database!$A$1:$AS$1,0),FALSE)=0,#N/A,VLOOKUP(A243,Database!$A:$AS,MATCH($G$1,Database!$A$1:$AS$1,0),FALSE))</f>
        <v/>
      </c>
      <c r="H243" s="76">
        <f>(((Table134567891011121314151617343[[#This Row],[ITA]]-VLOOKUP($U$1,A:B,2,))/VLOOKUP($U$1,A:B,2,))*100)+100</f>
        <v/>
      </c>
      <c r="I243" s="76">
        <f>(((Table134567891011121314151617343[[#This Row],[FRA]]-VLOOKUP($U$1,A:C,3,))/VLOOKUP($U$1,A:C,3,))*100)+100</f>
        <v/>
      </c>
      <c r="J243" s="76">
        <f>(((Table134567891011121314151617343[[#This Row],[DEU]]-VLOOKUP($U$1,A:D,4,))/VLOOKUP($U$1,A:D,4,))*100)+100</f>
        <v/>
      </c>
      <c r="K243" s="76">
        <f>(((Table134567891011121314151617343[[#This Row],[ESP]]-VLOOKUP($U$1,A:E,5,))/VLOOKUP($U$1,A:E,5,))*100)+100</f>
        <v/>
      </c>
      <c r="L243" s="76">
        <f>(((Table134567891011121314151617343[[#This Row],[EA19]]-VLOOKUP($U$1,A:F,6,))/VLOOKUP($U$1,A:F,6,))*100)+100</f>
        <v/>
      </c>
      <c r="M243" s="76">
        <f>(((Table134567891011121314151617343[[#This Row],[GBR]]-VLOOKUP($U$1,A:G,7,))/VLOOKUP($U$1,A:G,7,))*100)+100</f>
        <v/>
      </c>
      <c r="N243" s="76">
        <f>IF(VLOOKUP(A243,Database!$A:$AU,MATCH($N$1,Database!$A$1:$AU$1,0),FALSE)=0,#N/A,VLOOKUP(A243,Database!$A:$AU,MATCH($N$1,Database!$A$1:$AU$1,0),FALSE))</f>
        <v/>
      </c>
      <c r="O243" s="76">
        <f>(((Table134567891011121314151617343[[#This Row],[USA]]-VLOOKUP($U$1,A:N,14,))/VLOOKUP($U$1,A:N,14,))*100)+100</f>
        <v/>
      </c>
      <c r="P243" s="76">
        <f>IF(VLOOKUP(A243,Database!$A:$AS,MATCH($P$1,Database!$A$1:$AS$1,0),FALSE)=0,#N/A,VLOOKUP(A243,Database!$A:$AS,MATCH($P$1,Database!$A$1:$AS$1,0),FALSE))</f>
        <v/>
      </c>
      <c r="Q243" s="76">
        <f>(((Table134567891011121314151617343[[#This Row],[JPN]]-VLOOKUP($U$1,A:Q,16,))/VLOOKUP($U$1,A:Q,16,))*100)+100</f>
        <v/>
      </c>
    </row>
    <row r="244" customFormat="1" s="86">
      <c r="A244" s="21" t="n">
        <v>40238</v>
      </c>
      <c r="B244" s="76">
        <f>IF(VLOOKUP(A244,Database!$A:$AS,MATCH($B$1,Database!$A$1:$AS$1,0),FALSE)=0,#N/A,VLOOKUP(A244,Database!$A:$AS,MATCH($B$1,Database!$A$1:$AS$1,0),FALSE))</f>
        <v/>
      </c>
      <c r="C244" s="76">
        <f>IF(VLOOKUP(A244,Database!$A:$AS,MATCH($C$1,Database!$A$1:$AS$1,0),FALSE)=0,#N/A,VLOOKUP(A244,Database!$A:$AS,MATCH($C$1,Database!$A$1:$AS$1,0),FALSE))</f>
        <v/>
      </c>
      <c r="D244" s="76">
        <f>IF(VLOOKUP(A244,Database!$A:$AS,MATCH($D$1,Database!$A$1:$AS$1,0),FALSE)=0,#N/A,VLOOKUP(A244,Database!$A:$AS,MATCH($D$1,Database!$A$1:$AS$1,0),FALSE))</f>
        <v/>
      </c>
      <c r="E244" s="76">
        <f>IF(VLOOKUP(A244,Database!$A:$AS,MATCH($E$1,Database!$A$1:$AS$1,0),FALSE)=0,#N/A,VLOOKUP(A244,Database!$A:$AS,MATCH($E$1,Database!$A$1:$AS$1,0),FALSE))</f>
        <v/>
      </c>
      <c r="F244" s="76">
        <f>IF(VLOOKUP(A244,Database!$A:$AS,MATCH($F$1,Database!$A$1:$AS$1,0),FALSE)=0,#N/A,VLOOKUP(A244,Database!$A:$AS,MATCH($F$1,Database!$A$1:$AS$1,0),FALSE))</f>
        <v/>
      </c>
      <c r="G244" s="76">
        <f>IF(VLOOKUP(A244,Database!$A:$AS,MATCH($G$1,Database!$A$1:$AS$1,0),FALSE)=0,#N/A,VLOOKUP(A244,Database!$A:$AS,MATCH($G$1,Database!$A$1:$AS$1,0),FALSE))</f>
        <v/>
      </c>
      <c r="H244" s="76">
        <f>(((Table134567891011121314151617343[[#This Row],[ITA]]-VLOOKUP($U$1,A:B,2,))/VLOOKUP($U$1,A:B,2,))*100)+100</f>
        <v/>
      </c>
      <c r="I244" s="76">
        <f>(((Table134567891011121314151617343[[#This Row],[FRA]]-VLOOKUP($U$1,A:C,3,))/VLOOKUP($U$1,A:C,3,))*100)+100</f>
        <v/>
      </c>
      <c r="J244" s="76">
        <f>(((Table134567891011121314151617343[[#This Row],[DEU]]-VLOOKUP($U$1,A:D,4,))/VLOOKUP($U$1,A:D,4,))*100)+100</f>
        <v/>
      </c>
      <c r="K244" s="76">
        <f>(((Table134567891011121314151617343[[#This Row],[ESP]]-VLOOKUP($U$1,A:E,5,))/VLOOKUP($U$1,A:E,5,))*100)+100</f>
        <v/>
      </c>
      <c r="L244" s="76">
        <f>(((Table134567891011121314151617343[[#This Row],[EA19]]-VLOOKUP($U$1,A:F,6,))/VLOOKUP($U$1,A:F,6,))*100)+100</f>
        <v/>
      </c>
      <c r="M244" s="76">
        <f>(((Table134567891011121314151617343[[#This Row],[GBR]]-VLOOKUP($U$1,A:G,7,))/VLOOKUP($U$1,A:G,7,))*100)+100</f>
        <v/>
      </c>
      <c r="N244" s="76">
        <f>IF(VLOOKUP(A244,Database!$A:$AU,MATCH($N$1,Database!$A$1:$AU$1,0),FALSE)=0,#N/A,VLOOKUP(A244,Database!$A:$AU,MATCH($N$1,Database!$A$1:$AU$1,0),FALSE))</f>
        <v/>
      </c>
      <c r="O244" s="76">
        <f>(((Table134567891011121314151617343[[#This Row],[USA]]-VLOOKUP($U$1,A:N,14,))/VLOOKUP($U$1,A:N,14,))*100)+100</f>
        <v/>
      </c>
      <c r="P244" s="76">
        <f>IF(VLOOKUP(A244,Database!$A:$AS,MATCH($P$1,Database!$A$1:$AS$1,0),FALSE)=0,#N/A,VLOOKUP(A244,Database!$A:$AS,MATCH($P$1,Database!$A$1:$AS$1,0),FALSE))</f>
        <v/>
      </c>
      <c r="Q244" s="76">
        <f>(((Table134567891011121314151617343[[#This Row],[JPN]]-VLOOKUP($U$1,A:Q,16,))/VLOOKUP($U$1,A:Q,16,))*100)+100</f>
        <v/>
      </c>
    </row>
    <row r="245" customFormat="1" s="86">
      <c r="A245" s="21" t="n">
        <v>40269</v>
      </c>
      <c r="B245" s="76">
        <f>IF(VLOOKUP(A245,Database!$A:$AS,MATCH($B$1,Database!$A$1:$AS$1,0),FALSE)=0,#N/A,VLOOKUP(A245,Database!$A:$AS,MATCH($B$1,Database!$A$1:$AS$1,0),FALSE))</f>
        <v/>
      </c>
      <c r="C245" s="76">
        <f>IF(VLOOKUP(A245,Database!$A:$AS,MATCH($C$1,Database!$A$1:$AS$1,0),FALSE)=0,#N/A,VLOOKUP(A245,Database!$A:$AS,MATCH($C$1,Database!$A$1:$AS$1,0),FALSE))</f>
        <v/>
      </c>
      <c r="D245" s="76">
        <f>IF(VLOOKUP(A245,Database!$A:$AS,MATCH($D$1,Database!$A$1:$AS$1,0),FALSE)=0,#N/A,VLOOKUP(A245,Database!$A:$AS,MATCH($D$1,Database!$A$1:$AS$1,0),FALSE))</f>
        <v/>
      </c>
      <c r="E245" s="76">
        <f>IF(VLOOKUP(A245,Database!$A:$AS,MATCH($E$1,Database!$A$1:$AS$1,0),FALSE)=0,#N/A,VLOOKUP(A245,Database!$A:$AS,MATCH($E$1,Database!$A$1:$AS$1,0),FALSE))</f>
        <v/>
      </c>
      <c r="F245" s="76">
        <f>IF(VLOOKUP(A245,Database!$A:$AS,MATCH($F$1,Database!$A$1:$AS$1,0),FALSE)=0,#N/A,VLOOKUP(A245,Database!$A:$AS,MATCH($F$1,Database!$A$1:$AS$1,0),FALSE))</f>
        <v/>
      </c>
      <c r="G245" s="76">
        <f>IF(VLOOKUP(A245,Database!$A:$AS,MATCH($G$1,Database!$A$1:$AS$1,0),FALSE)=0,#N/A,VLOOKUP(A245,Database!$A:$AS,MATCH($G$1,Database!$A$1:$AS$1,0),FALSE))</f>
        <v/>
      </c>
      <c r="H245" s="76">
        <f>(((Table134567891011121314151617343[[#This Row],[ITA]]-VLOOKUP($U$1,A:B,2,))/VLOOKUP($U$1,A:B,2,))*100)+100</f>
        <v/>
      </c>
      <c r="I245" s="76">
        <f>(((Table134567891011121314151617343[[#This Row],[FRA]]-VLOOKUP($U$1,A:C,3,))/VLOOKUP($U$1,A:C,3,))*100)+100</f>
        <v/>
      </c>
      <c r="J245" s="76">
        <f>(((Table134567891011121314151617343[[#This Row],[DEU]]-VLOOKUP($U$1,A:D,4,))/VLOOKUP($U$1,A:D,4,))*100)+100</f>
        <v/>
      </c>
      <c r="K245" s="76">
        <f>(((Table134567891011121314151617343[[#This Row],[ESP]]-VLOOKUP($U$1,A:E,5,))/VLOOKUP($U$1,A:E,5,))*100)+100</f>
        <v/>
      </c>
      <c r="L245" s="76">
        <f>(((Table134567891011121314151617343[[#This Row],[EA19]]-VLOOKUP($U$1,A:F,6,))/VLOOKUP($U$1,A:F,6,))*100)+100</f>
        <v/>
      </c>
      <c r="M245" s="76">
        <f>(((Table134567891011121314151617343[[#This Row],[GBR]]-VLOOKUP($U$1,A:G,7,))/VLOOKUP($U$1,A:G,7,))*100)+100</f>
        <v/>
      </c>
      <c r="N245" s="76">
        <f>IF(VLOOKUP(A245,Database!$A:$AU,MATCH($N$1,Database!$A$1:$AU$1,0),FALSE)=0,#N/A,VLOOKUP(A245,Database!$A:$AU,MATCH($N$1,Database!$A$1:$AU$1,0),FALSE))</f>
        <v/>
      </c>
      <c r="O245" s="76">
        <f>(((Table134567891011121314151617343[[#This Row],[USA]]-VLOOKUP($U$1,A:N,14,))/VLOOKUP($U$1,A:N,14,))*100)+100</f>
        <v/>
      </c>
      <c r="P245" s="76">
        <f>IF(VLOOKUP(A245,Database!$A:$AS,MATCH($P$1,Database!$A$1:$AS$1,0),FALSE)=0,#N/A,VLOOKUP(A245,Database!$A:$AS,MATCH($P$1,Database!$A$1:$AS$1,0),FALSE))</f>
        <v/>
      </c>
      <c r="Q245" s="76">
        <f>(((Table134567891011121314151617343[[#This Row],[JPN]]-VLOOKUP($U$1,A:Q,16,))/VLOOKUP($U$1,A:Q,16,))*100)+100</f>
        <v/>
      </c>
    </row>
    <row r="246" customFormat="1" s="86">
      <c r="A246" s="21" t="n">
        <v>40299</v>
      </c>
      <c r="B246" s="76">
        <f>IF(VLOOKUP(A246,Database!$A:$AS,MATCH($B$1,Database!$A$1:$AS$1,0),FALSE)=0,#N/A,VLOOKUP(A246,Database!$A:$AS,MATCH($B$1,Database!$A$1:$AS$1,0),FALSE))</f>
        <v/>
      </c>
      <c r="C246" s="76">
        <f>IF(VLOOKUP(A246,Database!$A:$AS,MATCH($C$1,Database!$A$1:$AS$1,0),FALSE)=0,#N/A,VLOOKUP(A246,Database!$A:$AS,MATCH($C$1,Database!$A$1:$AS$1,0),FALSE))</f>
        <v/>
      </c>
      <c r="D246" s="76">
        <f>IF(VLOOKUP(A246,Database!$A:$AS,MATCH($D$1,Database!$A$1:$AS$1,0),FALSE)=0,#N/A,VLOOKUP(A246,Database!$A:$AS,MATCH($D$1,Database!$A$1:$AS$1,0),FALSE))</f>
        <v/>
      </c>
      <c r="E246" s="76">
        <f>IF(VLOOKUP(A246,Database!$A:$AS,MATCH($E$1,Database!$A$1:$AS$1,0),FALSE)=0,#N/A,VLOOKUP(A246,Database!$A:$AS,MATCH($E$1,Database!$A$1:$AS$1,0),FALSE))</f>
        <v/>
      </c>
      <c r="F246" s="76">
        <f>IF(VLOOKUP(A246,Database!$A:$AS,MATCH($F$1,Database!$A$1:$AS$1,0),FALSE)=0,#N/A,VLOOKUP(A246,Database!$A:$AS,MATCH($F$1,Database!$A$1:$AS$1,0),FALSE))</f>
        <v/>
      </c>
      <c r="G246" s="76">
        <f>IF(VLOOKUP(A246,Database!$A:$AS,MATCH($G$1,Database!$A$1:$AS$1,0),FALSE)=0,#N/A,VLOOKUP(A246,Database!$A:$AS,MATCH($G$1,Database!$A$1:$AS$1,0),FALSE))</f>
        <v/>
      </c>
      <c r="H246" s="76">
        <f>(((Table134567891011121314151617343[[#This Row],[ITA]]-VLOOKUP($U$1,A:B,2,))/VLOOKUP($U$1,A:B,2,))*100)+100</f>
        <v/>
      </c>
      <c r="I246" s="76">
        <f>(((Table134567891011121314151617343[[#This Row],[FRA]]-VLOOKUP($U$1,A:C,3,))/VLOOKUP($U$1,A:C,3,))*100)+100</f>
        <v/>
      </c>
      <c r="J246" s="76">
        <f>(((Table134567891011121314151617343[[#This Row],[DEU]]-VLOOKUP($U$1,A:D,4,))/VLOOKUP($U$1,A:D,4,))*100)+100</f>
        <v/>
      </c>
      <c r="K246" s="76">
        <f>(((Table134567891011121314151617343[[#This Row],[ESP]]-VLOOKUP($U$1,A:E,5,))/VLOOKUP($U$1,A:E,5,))*100)+100</f>
        <v/>
      </c>
      <c r="L246" s="76">
        <f>(((Table134567891011121314151617343[[#This Row],[EA19]]-VLOOKUP($U$1,A:F,6,))/VLOOKUP($U$1,A:F,6,))*100)+100</f>
        <v/>
      </c>
      <c r="M246" s="76">
        <f>(((Table134567891011121314151617343[[#This Row],[GBR]]-VLOOKUP($U$1,A:G,7,))/VLOOKUP($U$1,A:G,7,))*100)+100</f>
        <v/>
      </c>
      <c r="N246" s="76">
        <f>IF(VLOOKUP(A246,Database!$A:$AU,MATCH($N$1,Database!$A$1:$AU$1,0),FALSE)=0,#N/A,VLOOKUP(A246,Database!$A:$AU,MATCH($N$1,Database!$A$1:$AU$1,0),FALSE))</f>
        <v/>
      </c>
      <c r="O246" s="76">
        <f>(((Table134567891011121314151617343[[#This Row],[USA]]-VLOOKUP($U$1,A:N,14,))/VLOOKUP($U$1,A:N,14,))*100)+100</f>
        <v/>
      </c>
      <c r="P246" s="76">
        <f>IF(VLOOKUP(A246,Database!$A:$AS,MATCH($P$1,Database!$A$1:$AS$1,0),FALSE)=0,#N/A,VLOOKUP(A246,Database!$A:$AS,MATCH($P$1,Database!$A$1:$AS$1,0),FALSE))</f>
        <v/>
      </c>
      <c r="Q246" s="76">
        <f>(((Table134567891011121314151617343[[#This Row],[JPN]]-VLOOKUP($U$1,A:Q,16,))/VLOOKUP($U$1,A:Q,16,))*100)+100</f>
        <v/>
      </c>
    </row>
    <row r="247" customFormat="1" s="86">
      <c r="A247" s="21" t="n">
        <v>40330</v>
      </c>
      <c r="B247" s="76">
        <f>IF(VLOOKUP(A247,Database!$A:$AS,MATCH($B$1,Database!$A$1:$AS$1,0),FALSE)=0,#N/A,VLOOKUP(A247,Database!$A:$AS,MATCH($B$1,Database!$A$1:$AS$1,0),FALSE))</f>
        <v/>
      </c>
      <c r="C247" s="76">
        <f>IF(VLOOKUP(A247,Database!$A:$AS,MATCH($C$1,Database!$A$1:$AS$1,0),FALSE)=0,#N/A,VLOOKUP(A247,Database!$A:$AS,MATCH($C$1,Database!$A$1:$AS$1,0),FALSE))</f>
        <v/>
      </c>
      <c r="D247" s="76">
        <f>IF(VLOOKUP(A247,Database!$A:$AS,MATCH($D$1,Database!$A$1:$AS$1,0),FALSE)=0,#N/A,VLOOKUP(A247,Database!$A:$AS,MATCH($D$1,Database!$A$1:$AS$1,0),FALSE))</f>
        <v/>
      </c>
      <c r="E247" s="76">
        <f>IF(VLOOKUP(A247,Database!$A:$AS,MATCH($E$1,Database!$A$1:$AS$1,0),FALSE)=0,#N/A,VLOOKUP(A247,Database!$A:$AS,MATCH($E$1,Database!$A$1:$AS$1,0),FALSE))</f>
        <v/>
      </c>
      <c r="F247" s="76">
        <f>IF(VLOOKUP(A247,Database!$A:$AS,MATCH($F$1,Database!$A$1:$AS$1,0),FALSE)=0,#N/A,VLOOKUP(A247,Database!$A:$AS,MATCH($F$1,Database!$A$1:$AS$1,0),FALSE))</f>
        <v/>
      </c>
      <c r="G247" s="76">
        <f>IF(VLOOKUP(A247,Database!$A:$AS,MATCH($G$1,Database!$A$1:$AS$1,0),FALSE)=0,#N/A,VLOOKUP(A247,Database!$A:$AS,MATCH($G$1,Database!$A$1:$AS$1,0),FALSE))</f>
        <v/>
      </c>
      <c r="H247" s="76">
        <f>(((Table134567891011121314151617343[[#This Row],[ITA]]-VLOOKUP($U$1,A:B,2,))/VLOOKUP($U$1,A:B,2,))*100)+100</f>
        <v/>
      </c>
      <c r="I247" s="76">
        <f>(((Table134567891011121314151617343[[#This Row],[FRA]]-VLOOKUP($U$1,A:C,3,))/VLOOKUP($U$1,A:C,3,))*100)+100</f>
        <v/>
      </c>
      <c r="J247" s="76">
        <f>(((Table134567891011121314151617343[[#This Row],[DEU]]-VLOOKUP($U$1,A:D,4,))/VLOOKUP($U$1,A:D,4,))*100)+100</f>
        <v/>
      </c>
      <c r="K247" s="76">
        <f>(((Table134567891011121314151617343[[#This Row],[ESP]]-VLOOKUP($U$1,A:E,5,))/VLOOKUP($U$1,A:E,5,))*100)+100</f>
        <v/>
      </c>
      <c r="L247" s="76">
        <f>(((Table134567891011121314151617343[[#This Row],[EA19]]-VLOOKUP($U$1,A:F,6,))/VLOOKUP($U$1,A:F,6,))*100)+100</f>
        <v/>
      </c>
      <c r="M247" s="76">
        <f>(((Table134567891011121314151617343[[#This Row],[GBR]]-VLOOKUP($U$1,A:G,7,))/VLOOKUP($U$1,A:G,7,))*100)+100</f>
        <v/>
      </c>
      <c r="N247" s="76">
        <f>IF(VLOOKUP(A247,Database!$A:$AU,MATCH($N$1,Database!$A$1:$AU$1,0),FALSE)=0,#N/A,VLOOKUP(A247,Database!$A:$AU,MATCH($N$1,Database!$A$1:$AU$1,0),FALSE))</f>
        <v/>
      </c>
      <c r="O247" s="76">
        <f>(((Table134567891011121314151617343[[#This Row],[USA]]-VLOOKUP($U$1,A:N,14,))/VLOOKUP($U$1,A:N,14,))*100)+100</f>
        <v/>
      </c>
      <c r="P247" s="76">
        <f>IF(VLOOKUP(A247,Database!$A:$AS,MATCH($P$1,Database!$A$1:$AS$1,0),FALSE)=0,#N/A,VLOOKUP(A247,Database!$A:$AS,MATCH($P$1,Database!$A$1:$AS$1,0),FALSE))</f>
        <v/>
      </c>
      <c r="Q247" s="76">
        <f>(((Table134567891011121314151617343[[#This Row],[JPN]]-VLOOKUP($U$1,A:Q,16,))/VLOOKUP($U$1,A:Q,16,))*100)+100</f>
        <v/>
      </c>
    </row>
    <row r="248" customFormat="1" s="86">
      <c r="A248" s="21" t="n">
        <v>40360</v>
      </c>
      <c r="B248" s="76">
        <f>IF(VLOOKUP(A248,Database!$A:$AS,MATCH($B$1,Database!$A$1:$AS$1,0),FALSE)=0,#N/A,VLOOKUP(A248,Database!$A:$AS,MATCH($B$1,Database!$A$1:$AS$1,0),FALSE))</f>
        <v/>
      </c>
      <c r="C248" s="76">
        <f>IF(VLOOKUP(A248,Database!$A:$AS,MATCH($C$1,Database!$A$1:$AS$1,0),FALSE)=0,#N/A,VLOOKUP(A248,Database!$A:$AS,MATCH($C$1,Database!$A$1:$AS$1,0),FALSE))</f>
        <v/>
      </c>
      <c r="D248" s="76">
        <f>IF(VLOOKUP(A248,Database!$A:$AS,MATCH($D$1,Database!$A$1:$AS$1,0),FALSE)=0,#N/A,VLOOKUP(A248,Database!$A:$AS,MATCH($D$1,Database!$A$1:$AS$1,0),FALSE))</f>
        <v/>
      </c>
      <c r="E248" s="76">
        <f>IF(VLOOKUP(A248,Database!$A:$AS,MATCH($E$1,Database!$A$1:$AS$1,0),FALSE)=0,#N/A,VLOOKUP(A248,Database!$A:$AS,MATCH($E$1,Database!$A$1:$AS$1,0),FALSE))</f>
        <v/>
      </c>
      <c r="F248" s="76">
        <f>IF(VLOOKUP(A248,Database!$A:$AS,MATCH($F$1,Database!$A$1:$AS$1,0),FALSE)=0,#N/A,VLOOKUP(A248,Database!$A:$AS,MATCH($F$1,Database!$A$1:$AS$1,0),FALSE))</f>
        <v/>
      </c>
      <c r="G248" s="76">
        <f>IF(VLOOKUP(A248,Database!$A:$AS,MATCH($G$1,Database!$A$1:$AS$1,0),FALSE)=0,#N/A,VLOOKUP(A248,Database!$A:$AS,MATCH($G$1,Database!$A$1:$AS$1,0),FALSE))</f>
        <v/>
      </c>
      <c r="H248" s="76">
        <f>(((Table134567891011121314151617343[[#This Row],[ITA]]-VLOOKUP($U$1,A:B,2,))/VLOOKUP($U$1,A:B,2,))*100)+100</f>
        <v/>
      </c>
      <c r="I248" s="76">
        <f>(((Table134567891011121314151617343[[#This Row],[FRA]]-VLOOKUP($U$1,A:C,3,))/VLOOKUP($U$1,A:C,3,))*100)+100</f>
        <v/>
      </c>
      <c r="J248" s="76">
        <f>(((Table134567891011121314151617343[[#This Row],[DEU]]-VLOOKUP($U$1,A:D,4,))/VLOOKUP($U$1,A:D,4,))*100)+100</f>
        <v/>
      </c>
      <c r="K248" s="76">
        <f>(((Table134567891011121314151617343[[#This Row],[ESP]]-VLOOKUP($U$1,A:E,5,))/VLOOKUP($U$1,A:E,5,))*100)+100</f>
        <v/>
      </c>
      <c r="L248" s="76">
        <f>(((Table134567891011121314151617343[[#This Row],[EA19]]-VLOOKUP($U$1,A:F,6,))/VLOOKUP($U$1,A:F,6,))*100)+100</f>
        <v/>
      </c>
      <c r="M248" s="76">
        <f>(((Table134567891011121314151617343[[#This Row],[GBR]]-VLOOKUP($U$1,A:G,7,))/VLOOKUP($U$1,A:G,7,))*100)+100</f>
        <v/>
      </c>
      <c r="N248" s="76">
        <f>IF(VLOOKUP(A248,Database!$A:$AU,MATCH($N$1,Database!$A$1:$AU$1,0),FALSE)=0,#N/A,VLOOKUP(A248,Database!$A:$AU,MATCH($N$1,Database!$A$1:$AU$1,0),FALSE))</f>
        <v/>
      </c>
      <c r="O248" s="76">
        <f>(((Table134567891011121314151617343[[#This Row],[USA]]-VLOOKUP($U$1,A:N,14,))/VLOOKUP($U$1,A:N,14,))*100)+100</f>
        <v/>
      </c>
      <c r="P248" s="76">
        <f>IF(VLOOKUP(A248,Database!$A:$AS,MATCH($P$1,Database!$A$1:$AS$1,0),FALSE)=0,#N/A,VLOOKUP(A248,Database!$A:$AS,MATCH($P$1,Database!$A$1:$AS$1,0),FALSE))</f>
        <v/>
      </c>
      <c r="Q248" s="76">
        <f>(((Table134567891011121314151617343[[#This Row],[JPN]]-VLOOKUP($U$1,A:Q,16,))/VLOOKUP($U$1,A:Q,16,))*100)+100</f>
        <v/>
      </c>
    </row>
    <row r="249" customFormat="1" s="86">
      <c r="A249" s="21" t="n">
        <v>40391</v>
      </c>
      <c r="B249" s="76">
        <f>IF(VLOOKUP(A249,Database!$A:$AS,MATCH($B$1,Database!$A$1:$AS$1,0),FALSE)=0,#N/A,VLOOKUP(A249,Database!$A:$AS,MATCH($B$1,Database!$A$1:$AS$1,0),FALSE))</f>
        <v/>
      </c>
      <c r="C249" s="76">
        <f>IF(VLOOKUP(A249,Database!$A:$AS,MATCH($C$1,Database!$A$1:$AS$1,0),FALSE)=0,#N/A,VLOOKUP(A249,Database!$A:$AS,MATCH($C$1,Database!$A$1:$AS$1,0),FALSE))</f>
        <v/>
      </c>
      <c r="D249" s="76">
        <f>IF(VLOOKUP(A249,Database!$A:$AS,MATCH($D$1,Database!$A$1:$AS$1,0),FALSE)=0,#N/A,VLOOKUP(A249,Database!$A:$AS,MATCH($D$1,Database!$A$1:$AS$1,0),FALSE))</f>
        <v/>
      </c>
      <c r="E249" s="76">
        <f>IF(VLOOKUP(A249,Database!$A:$AS,MATCH($E$1,Database!$A$1:$AS$1,0),FALSE)=0,#N/A,VLOOKUP(A249,Database!$A:$AS,MATCH($E$1,Database!$A$1:$AS$1,0),FALSE))</f>
        <v/>
      </c>
      <c r="F249" s="76">
        <f>IF(VLOOKUP(A249,Database!$A:$AS,MATCH($F$1,Database!$A$1:$AS$1,0),FALSE)=0,#N/A,VLOOKUP(A249,Database!$A:$AS,MATCH($F$1,Database!$A$1:$AS$1,0),FALSE))</f>
        <v/>
      </c>
      <c r="G249" s="76">
        <f>IF(VLOOKUP(A249,Database!$A:$AS,MATCH($G$1,Database!$A$1:$AS$1,0),FALSE)=0,#N/A,VLOOKUP(A249,Database!$A:$AS,MATCH($G$1,Database!$A$1:$AS$1,0),FALSE))</f>
        <v/>
      </c>
      <c r="H249" s="76">
        <f>(((Table134567891011121314151617343[[#This Row],[ITA]]-VLOOKUP($U$1,A:B,2,))/VLOOKUP($U$1,A:B,2,))*100)+100</f>
        <v/>
      </c>
      <c r="I249" s="76">
        <f>(((Table134567891011121314151617343[[#This Row],[FRA]]-VLOOKUP($U$1,A:C,3,))/VLOOKUP($U$1,A:C,3,))*100)+100</f>
        <v/>
      </c>
      <c r="J249" s="76">
        <f>(((Table134567891011121314151617343[[#This Row],[DEU]]-VLOOKUP($U$1,A:D,4,))/VLOOKUP($U$1,A:D,4,))*100)+100</f>
        <v/>
      </c>
      <c r="K249" s="76">
        <f>(((Table134567891011121314151617343[[#This Row],[ESP]]-VLOOKUP($U$1,A:E,5,))/VLOOKUP($U$1,A:E,5,))*100)+100</f>
        <v/>
      </c>
      <c r="L249" s="76">
        <f>(((Table134567891011121314151617343[[#This Row],[EA19]]-VLOOKUP($U$1,A:F,6,))/VLOOKUP($U$1,A:F,6,))*100)+100</f>
        <v/>
      </c>
      <c r="M249" s="76">
        <f>(((Table134567891011121314151617343[[#This Row],[GBR]]-VLOOKUP($U$1,A:G,7,))/VLOOKUP($U$1,A:G,7,))*100)+100</f>
        <v/>
      </c>
      <c r="N249" s="76">
        <f>IF(VLOOKUP(A249,Database!$A:$AU,MATCH($N$1,Database!$A$1:$AU$1,0),FALSE)=0,#N/A,VLOOKUP(A249,Database!$A:$AU,MATCH($N$1,Database!$A$1:$AU$1,0),FALSE))</f>
        <v/>
      </c>
      <c r="O249" s="76">
        <f>(((Table134567891011121314151617343[[#This Row],[USA]]-VLOOKUP($U$1,A:N,14,))/VLOOKUP($U$1,A:N,14,))*100)+100</f>
        <v/>
      </c>
      <c r="P249" s="76">
        <f>IF(VLOOKUP(A249,Database!$A:$AS,MATCH($P$1,Database!$A$1:$AS$1,0),FALSE)=0,#N/A,VLOOKUP(A249,Database!$A:$AS,MATCH($P$1,Database!$A$1:$AS$1,0),FALSE))</f>
        <v/>
      </c>
      <c r="Q249" s="76">
        <f>(((Table134567891011121314151617343[[#This Row],[JPN]]-VLOOKUP($U$1,A:Q,16,))/VLOOKUP($U$1,A:Q,16,))*100)+100</f>
        <v/>
      </c>
    </row>
    <row r="250" customFormat="1" s="86">
      <c r="A250" s="21" t="n">
        <v>40422</v>
      </c>
      <c r="B250" s="76">
        <f>IF(VLOOKUP(A250,Database!$A:$AS,MATCH($B$1,Database!$A$1:$AS$1,0),FALSE)=0,#N/A,VLOOKUP(A250,Database!$A:$AS,MATCH($B$1,Database!$A$1:$AS$1,0),FALSE))</f>
        <v/>
      </c>
      <c r="C250" s="76">
        <f>IF(VLOOKUP(A250,Database!$A:$AS,MATCH($C$1,Database!$A$1:$AS$1,0),FALSE)=0,#N/A,VLOOKUP(A250,Database!$A:$AS,MATCH($C$1,Database!$A$1:$AS$1,0),FALSE))</f>
        <v/>
      </c>
      <c r="D250" s="76">
        <f>IF(VLOOKUP(A250,Database!$A:$AS,MATCH($D$1,Database!$A$1:$AS$1,0),FALSE)=0,#N/A,VLOOKUP(A250,Database!$A:$AS,MATCH($D$1,Database!$A$1:$AS$1,0),FALSE))</f>
        <v/>
      </c>
      <c r="E250" s="76">
        <f>IF(VLOOKUP(A250,Database!$A:$AS,MATCH($E$1,Database!$A$1:$AS$1,0),FALSE)=0,#N/A,VLOOKUP(A250,Database!$A:$AS,MATCH($E$1,Database!$A$1:$AS$1,0),FALSE))</f>
        <v/>
      </c>
      <c r="F250" s="76">
        <f>IF(VLOOKUP(A250,Database!$A:$AS,MATCH($F$1,Database!$A$1:$AS$1,0),FALSE)=0,#N/A,VLOOKUP(A250,Database!$A:$AS,MATCH($F$1,Database!$A$1:$AS$1,0),FALSE))</f>
        <v/>
      </c>
      <c r="G250" s="76">
        <f>IF(VLOOKUP(A250,Database!$A:$AS,MATCH($G$1,Database!$A$1:$AS$1,0),FALSE)=0,#N/A,VLOOKUP(A250,Database!$A:$AS,MATCH($G$1,Database!$A$1:$AS$1,0),FALSE))</f>
        <v/>
      </c>
      <c r="H250" s="76">
        <f>(((Table134567891011121314151617343[[#This Row],[ITA]]-VLOOKUP($U$1,A:B,2,))/VLOOKUP($U$1,A:B,2,))*100)+100</f>
        <v/>
      </c>
      <c r="I250" s="76">
        <f>(((Table134567891011121314151617343[[#This Row],[FRA]]-VLOOKUP($U$1,A:C,3,))/VLOOKUP($U$1,A:C,3,))*100)+100</f>
        <v/>
      </c>
      <c r="J250" s="76">
        <f>(((Table134567891011121314151617343[[#This Row],[DEU]]-VLOOKUP($U$1,A:D,4,))/VLOOKUP($U$1,A:D,4,))*100)+100</f>
        <v/>
      </c>
      <c r="K250" s="76">
        <f>(((Table134567891011121314151617343[[#This Row],[ESP]]-VLOOKUP($U$1,A:E,5,))/VLOOKUP($U$1,A:E,5,))*100)+100</f>
        <v/>
      </c>
      <c r="L250" s="76">
        <f>(((Table134567891011121314151617343[[#This Row],[EA19]]-VLOOKUP($U$1,A:F,6,))/VLOOKUP($U$1,A:F,6,))*100)+100</f>
        <v/>
      </c>
      <c r="M250" s="76">
        <f>(((Table134567891011121314151617343[[#This Row],[GBR]]-VLOOKUP($U$1,A:G,7,))/VLOOKUP($U$1,A:G,7,))*100)+100</f>
        <v/>
      </c>
      <c r="N250" s="76">
        <f>IF(VLOOKUP(A250,Database!$A:$AU,MATCH($N$1,Database!$A$1:$AU$1,0),FALSE)=0,#N/A,VLOOKUP(A250,Database!$A:$AU,MATCH($N$1,Database!$A$1:$AU$1,0),FALSE))</f>
        <v/>
      </c>
      <c r="O250" s="76">
        <f>(((Table134567891011121314151617343[[#This Row],[USA]]-VLOOKUP($U$1,A:N,14,))/VLOOKUP($U$1,A:N,14,))*100)+100</f>
        <v/>
      </c>
      <c r="P250" s="76">
        <f>IF(VLOOKUP(A250,Database!$A:$AS,MATCH($P$1,Database!$A$1:$AS$1,0),FALSE)=0,#N/A,VLOOKUP(A250,Database!$A:$AS,MATCH($P$1,Database!$A$1:$AS$1,0),FALSE))</f>
        <v/>
      </c>
      <c r="Q250" s="76">
        <f>(((Table134567891011121314151617343[[#This Row],[JPN]]-VLOOKUP($U$1,A:Q,16,))/VLOOKUP($U$1,A:Q,16,))*100)+100</f>
        <v/>
      </c>
    </row>
    <row r="251" customFormat="1" s="86">
      <c r="A251" s="21" t="n">
        <v>40452</v>
      </c>
      <c r="B251" s="76">
        <f>IF(VLOOKUP(A251,Database!$A:$AS,MATCH($B$1,Database!$A$1:$AS$1,0),FALSE)=0,#N/A,VLOOKUP(A251,Database!$A:$AS,MATCH($B$1,Database!$A$1:$AS$1,0),FALSE))</f>
        <v/>
      </c>
      <c r="C251" s="76">
        <f>IF(VLOOKUP(A251,Database!$A:$AS,MATCH($C$1,Database!$A$1:$AS$1,0),FALSE)=0,#N/A,VLOOKUP(A251,Database!$A:$AS,MATCH($C$1,Database!$A$1:$AS$1,0),FALSE))</f>
        <v/>
      </c>
      <c r="D251" s="76">
        <f>IF(VLOOKUP(A251,Database!$A:$AS,MATCH($D$1,Database!$A$1:$AS$1,0),FALSE)=0,#N/A,VLOOKUP(A251,Database!$A:$AS,MATCH($D$1,Database!$A$1:$AS$1,0),FALSE))</f>
        <v/>
      </c>
      <c r="E251" s="76">
        <f>IF(VLOOKUP(A251,Database!$A:$AS,MATCH($E$1,Database!$A$1:$AS$1,0),FALSE)=0,#N/A,VLOOKUP(A251,Database!$A:$AS,MATCH($E$1,Database!$A$1:$AS$1,0),FALSE))</f>
        <v/>
      </c>
      <c r="F251" s="76">
        <f>IF(VLOOKUP(A251,Database!$A:$AS,MATCH($F$1,Database!$A$1:$AS$1,0),FALSE)=0,#N/A,VLOOKUP(A251,Database!$A:$AS,MATCH($F$1,Database!$A$1:$AS$1,0),FALSE))</f>
        <v/>
      </c>
      <c r="G251" s="76">
        <f>IF(VLOOKUP(A251,Database!$A:$AS,MATCH($G$1,Database!$A$1:$AS$1,0),FALSE)=0,#N/A,VLOOKUP(A251,Database!$A:$AS,MATCH($G$1,Database!$A$1:$AS$1,0),FALSE))</f>
        <v/>
      </c>
      <c r="H251" s="76">
        <f>(((Table134567891011121314151617343[[#This Row],[ITA]]-VLOOKUP($U$1,A:B,2,))/VLOOKUP($U$1,A:B,2,))*100)+100</f>
        <v/>
      </c>
      <c r="I251" s="76">
        <f>(((Table134567891011121314151617343[[#This Row],[FRA]]-VLOOKUP($U$1,A:C,3,))/VLOOKUP($U$1,A:C,3,))*100)+100</f>
        <v/>
      </c>
      <c r="J251" s="76">
        <f>(((Table134567891011121314151617343[[#This Row],[DEU]]-VLOOKUP($U$1,A:D,4,))/VLOOKUP($U$1,A:D,4,))*100)+100</f>
        <v/>
      </c>
      <c r="K251" s="76">
        <f>(((Table134567891011121314151617343[[#This Row],[ESP]]-VLOOKUP($U$1,A:E,5,))/VLOOKUP($U$1,A:E,5,))*100)+100</f>
        <v/>
      </c>
      <c r="L251" s="76">
        <f>(((Table134567891011121314151617343[[#This Row],[EA19]]-VLOOKUP($U$1,A:F,6,))/VLOOKUP($U$1,A:F,6,))*100)+100</f>
        <v/>
      </c>
      <c r="M251" s="76">
        <f>(((Table134567891011121314151617343[[#This Row],[GBR]]-VLOOKUP($U$1,A:G,7,))/VLOOKUP($U$1,A:G,7,))*100)+100</f>
        <v/>
      </c>
      <c r="N251" s="76">
        <f>IF(VLOOKUP(A251,Database!$A:$AU,MATCH($N$1,Database!$A$1:$AU$1,0),FALSE)=0,#N/A,VLOOKUP(A251,Database!$A:$AU,MATCH($N$1,Database!$A$1:$AU$1,0),FALSE))</f>
        <v/>
      </c>
      <c r="O251" s="76">
        <f>(((Table134567891011121314151617343[[#This Row],[USA]]-VLOOKUP($U$1,A:N,14,))/VLOOKUP($U$1,A:N,14,))*100)+100</f>
        <v/>
      </c>
      <c r="P251" s="76">
        <f>IF(VLOOKUP(A251,Database!$A:$AS,MATCH($P$1,Database!$A$1:$AS$1,0),FALSE)=0,#N/A,VLOOKUP(A251,Database!$A:$AS,MATCH($P$1,Database!$A$1:$AS$1,0),FALSE))</f>
        <v/>
      </c>
      <c r="Q251" s="76">
        <f>(((Table134567891011121314151617343[[#This Row],[JPN]]-VLOOKUP($U$1,A:Q,16,))/VLOOKUP($U$1,A:Q,16,))*100)+100</f>
        <v/>
      </c>
    </row>
    <row r="252" customFormat="1" s="86">
      <c r="A252" s="21" t="n">
        <v>40483</v>
      </c>
      <c r="B252" s="76">
        <f>IF(VLOOKUP(A252,Database!$A:$AS,MATCH($B$1,Database!$A$1:$AS$1,0),FALSE)=0,#N/A,VLOOKUP(A252,Database!$A:$AS,MATCH($B$1,Database!$A$1:$AS$1,0),FALSE))</f>
        <v/>
      </c>
      <c r="C252" s="76">
        <f>IF(VLOOKUP(A252,Database!$A:$AS,MATCH($C$1,Database!$A$1:$AS$1,0),FALSE)=0,#N/A,VLOOKUP(A252,Database!$A:$AS,MATCH($C$1,Database!$A$1:$AS$1,0),FALSE))</f>
        <v/>
      </c>
      <c r="D252" s="76">
        <f>IF(VLOOKUP(A252,Database!$A:$AS,MATCH($D$1,Database!$A$1:$AS$1,0),FALSE)=0,#N/A,VLOOKUP(A252,Database!$A:$AS,MATCH($D$1,Database!$A$1:$AS$1,0),FALSE))</f>
        <v/>
      </c>
      <c r="E252" s="76">
        <f>IF(VLOOKUP(A252,Database!$A:$AS,MATCH($E$1,Database!$A$1:$AS$1,0),FALSE)=0,#N/A,VLOOKUP(A252,Database!$A:$AS,MATCH($E$1,Database!$A$1:$AS$1,0),FALSE))</f>
        <v/>
      </c>
      <c r="F252" s="76">
        <f>IF(VLOOKUP(A252,Database!$A:$AS,MATCH($F$1,Database!$A$1:$AS$1,0),FALSE)=0,#N/A,VLOOKUP(A252,Database!$A:$AS,MATCH($F$1,Database!$A$1:$AS$1,0),FALSE))</f>
        <v/>
      </c>
      <c r="G252" s="76">
        <f>IF(VLOOKUP(A252,Database!$A:$AS,MATCH($G$1,Database!$A$1:$AS$1,0),FALSE)=0,#N/A,VLOOKUP(A252,Database!$A:$AS,MATCH($G$1,Database!$A$1:$AS$1,0),FALSE))</f>
        <v/>
      </c>
      <c r="H252" s="76">
        <f>(((Table134567891011121314151617343[[#This Row],[ITA]]-VLOOKUP($U$1,A:B,2,))/VLOOKUP($U$1,A:B,2,))*100)+100</f>
        <v/>
      </c>
      <c r="I252" s="76">
        <f>(((Table134567891011121314151617343[[#This Row],[FRA]]-VLOOKUP($U$1,A:C,3,))/VLOOKUP($U$1,A:C,3,))*100)+100</f>
        <v/>
      </c>
      <c r="J252" s="76">
        <f>(((Table134567891011121314151617343[[#This Row],[DEU]]-VLOOKUP($U$1,A:D,4,))/VLOOKUP($U$1,A:D,4,))*100)+100</f>
        <v/>
      </c>
      <c r="K252" s="76">
        <f>(((Table134567891011121314151617343[[#This Row],[ESP]]-VLOOKUP($U$1,A:E,5,))/VLOOKUP($U$1,A:E,5,))*100)+100</f>
        <v/>
      </c>
      <c r="L252" s="76">
        <f>(((Table134567891011121314151617343[[#This Row],[EA19]]-VLOOKUP($U$1,A:F,6,))/VLOOKUP($U$1,A:F,6,))*100)+100</f>
        <v/>
      </c>
      <c r="M252" s="76">
        <f>(((Table134567891011121314151617343[[#This Row],[GBR]]-VLOOKUP($U$1,A:G,7,))/VLOOKUP($U$1,A:G,7,))*100)+100</f>
        <v/>
      </c>
      <c r="N252" s="76">
        <f>IF(VLOOKUP(A252,Database!$A:$AU,MATCH($N$1,Database!$A$1:$AU$1,0),FALSE)=0,#N/A,VLOOKUP(A252,Database!$A:$AU,MATCH($N$1,Database!$A$1:$AU$1,0),FALSE))</f>
        <v/>
      </c>
      <c r="O252" s="76">
        <f>(((Table134567891011121314151617343[[#This Row],[USA]]-VLOOKUP($U$1,A:N,14,))/VLOOKUP($U$1,A:N,14,))*100)+100</f>
        <v/>
      </c>
      <c r="P252" s="76">
        <f>IF(VLOOKUP(A252,Database!$A:$AS,MATCH($P$1,Database!$A$1:$AS$1,0),FALSE)=0,#N/A,VLOOKUP(A252,Database!$A:$AS,MATCH($P$1,Database!$A$1:$AS$1,0),FALSE))</f>
        <v/>
      </c>
      <c r="Q252" s="76">
        <f>(((Table134567891011121314151617343[[#This Row],[JPN]]-VLOOKUP($U$1,A:Q,16,))/VLOOKUP($U$1,A:Q,16,))*100)+100</f>
        <v/>
      </c>
    </row>
    <row r="253" customFormat="1" s="86">
      <c r="A253" s="21" t="n">
        <v>40513</v>
      </c>
      <c r="B253" s="76">
        <f>IF(VLOOKUP(A253,Database!$A:$AS,MATCH($B$1,Database!$A$1:$AS$1,0),FALSE)=0,#N/A,VLOOKUP(A253,Database!$A:$AS,MATCH($B$1,Database!$A$1:$AS$1,0),FALSE))</f>
        <v/>
      </c>
      <c r="C253" s="76">
        <f>IF(VLOOKUP(A253,Database!$A:$AS,MATCH($C$1,Database!$A$1:$AS$1,0),FALSE)=0,#N/A,VLOOKUP(A253,Database!$A:$AS,MATCH($C$1,Database!$A$1:$AS$1,0),FALSE))</f>
        <v/>
      </c>
      <c r="D253" s="76">
        <f>IF(VLOOKUP(A253,Database!$A:$AS,MATCH($D$1,Database!$A$1:$AS$1,0),FALSE)=0,#N/A,VLOOKUP(A253,Database!$A:$AS,MATCH($D$1,Database!$A$1:$AS$1,0),FALSE))</f>
        <v/>
      </c>
      <c r="E253" s="76">
        <f>IF(VLOOKUP(A253,Database!$A:$AS,MATCH($E$1,Database!$A$1:$AS$1,0),FALSE)=0,#N/A,VLOOKUP(A253,Database!$A:$AS,MATCH($E$1,Database!$A$1:$AS$1,0),FALSE))</f>
        <v/>
      </c>
      <c r="F253" s="76">
        <f>IF(VLOOKUP(A253,Database!$A:$AS,MATCH($F$1,Database!$A$1:$AS$1,0),FALSE)=0,#N/A,VLOOKUP(A253,Database!$A:$AS,MATCH($F$1,Database!$A$1:$AS$1,0),FALSE))</f>
        <v/>
      </c>
      <c r="G253" s="76">
        <f>IF(VLOOKUP(A253,Database!$A:$AS,MATCH($G$1,Database!$A$1:$AS$1,0),FALSE)=0,#N/A,VLOOKUP(A253,Database!$A:$AS,MATCH($G$1,Database!$A$1:$AS$1,0),FALSE))</f>
        <v/>
      </c>
      <c r="H253" s="76">
        <f>(((Table134567891011121314151617343[[#This Row],[ITA]]-VLOOKUP($U$1,A:B,2,))/VLOOKUP($U$1,A:B,2,))*100)+100</f>
        <v/>
      </c>
      <c r="I253" s="76">
        <f>(((Table134567891011121314151617343[[#This Row],[FRA]]-VLOOKUP($U$1,A:C,3,))/VLOOKUP($U$1,A:C,3,))*100)+100</f>
        <v/>
      </c>
      <c r="J253" s="76">
        <f>(((Table134567891011121314151617343[[#This Row],[DEU]]-VLOOKUP($U$1,A:D,4,))/VLOOKUP($U$1,A:D,4,))*100)+100</f>
        <v/>
      </c>
      <c r="K253" s="76">
        <f>(((Table134567891011121314151617343[[#This Row],[ESP]]-VLOOKUP($U$1,A:E,5,))/VLOOKUP($U$1,A:E,5,))*100)+100</f>
        <v/>
      </c>
      <c r="L253" s="76">
        <f>(((Table134567891011121314151617343[[#This Row],[EA19]]-VLOOKUP($U$1,A:F,6,))/VLOOKUP($U$1,A:F,6,))*100)+100</f>
        <v/>
      </c>
      <c r="M253" s="76">
        <f>(((Table134567891011121314151617343[[#This Row],[GBR]]-VLOOKUP($U$1,A:G,7,))/VLOOKUP($U$1,A:G,7,))*100)+100</f>
        <v/>
      </c>
      <c r="N253" s="76">
        <f>IF(VLOOKUP(A253,Database!$A:$AU,MATCH($N$1,Database!$A$1:$AU$1,0),FALSE)=0,#N/A,VLOOKUP(A253,Database!$A:$AU,MATCH($N$1,Database!$A$1:$AU$1,0),FALSE))</f>
        <v/>
      </c>
      <c r="O253" s="76">
        <f>(((Table134567891011121314151617343[[#This Row],[USA]]-VLOOKUP($U$1,A:N,14,))/VLOOKUP($U$1,A:N,14,))*100)+100</f>
        <v/>
      </c>
      <c r="P253" s="76">
        <f>IF(VLOOKUP(A253,Database!$A:$AS,MATCH($P$1,Database!$A$1:$AS$1,0),FALSE)=0,#N/A,VLOOKUP(A253,Database!$A:$AS,MATCH($P$1,Database!$A$1:$AS$1,0),FALSE))</f>
        <v/>
      </c>
      <c r="Q253" s="76">
        <f>(((Table134567891011121314151617343[[#This Row],[JPN]]-VLOOKUP($U$1,A:Q,16,))/VLOOKUP($U$1,A:Q,16,))*100)+100</f>
        <v/>
      </c>
    </row>
    <row r="254" customFormat="1" s="86">
      <c r="A254" s="21" t="n">
        <v>40544</v>
      </c>
      <c r="B254" s="76">
        <f>IF(VLOOKUP(A254,Database!$A:$AS,MATCH($B$1,Database!$A$1:$AS$1,0),FALSE)=0,#N/A,VLOOKUP(A254,Database!$A:$AS,MATCH($B$1,Database!$A$1:$AS$1,0),FALSE))</f>
        <v/>
      </c>
      <c r="C254" s="76">
        <f>IF(VLOOKUP(A254,Database!$A:$AS,MATCH($C$1,Database!$A$1:$AS$1,0),FALSE)=0,#N/A,VLOOKUP(A254,Database!$A:$AS,MATCH($C$1,Database!$A$1:$AS$1,0),FALSE))</f>
        <v/>
      </c>
      <c r="D254" s="76">
        <f>IF(VLOOKUP(A254,Database!$A:$AS,MATCH($D$1,Database!$A$1:$AS$1,0),FALSE)=0,#N/A,VLOOKUP(A254,Database!$A:$AS,MATCH($D$1,Database!$A$1:$AS$1,0),FALSE))</f>
        <v/>
      </c>
      <c r="E254" s="76">
        <f>IF(VLOOKUP(A254,Database!$A:$AS,MATCH($E$1,Database!$A$1:$AS$1,0),FALSE)=0,#N/A,VLOOKUP(A254,Database!$A:$AS,MATCH($E$1,Database!$A$1:$AS$1,0),FALSE))</f>
        <v/>
      </c>
      <c r="F254" s="76">
        <f>IF(VLOOKUP(A254,Database!$A:$AS,MATCH($F$1,Database!$A$1:$AS$1,0),FALSE)=0,#N/A,VLOOKUP(A254,Database!$A:$AS,MATCH($F$1,Database!$A$1:$AS$1,0),FALSE))</f>
        <v/>
      </c>
      <c r="G254" s="76">
        <f>IF(VLOOKUP(A254,Database!$A:$AS,MATCH($G$1,Database!$A$1:$AS$1,0),FALSE)=0,#N/A,VLOOKUP(A254,Database!$A:$AS,MATCH($G$1,Database!$A$1:$AS$1,0),FALSE))</f>
        <v/>
      </c>
      <c r="H254" s="76">
        <f>(((Table134567891011121314151617343[[#This Row],[ITA]]-VLOOKUP($U$1,A:B,2,))/VLOOKUP($U$1,A:B,2,))*100)+100</f>
        <v/>
      </c>
      <c r="I254" s="76">
        <f>(((Table134567891011121314151617343[[#This Row],[FRA]]-VLOOKUP($U$1,A:C,3,))/VLOOKUP($U$1,A:C,3,))*100)+100</f>
        <v/>
      </c>
      <c r="J254" s="76">
        <f>(((Table134567891011121314151617343[[#This Row],[DEU]]-VLOOKUP($U$1,A:D,4,))/VLOOKUP($U$1,A:D,4,))*100)+100</f>
        <v/>
      </c>
      <c r="K254" s="76">
        <f>(((Table134567891011121314151617343[[#This Row],[ESP]]-VLOOKUP($U$1,A:E,5,))/VLOOKUP($U$1,A:E,5,))*100)+100</f>
        <v/>
      </c>
      <c r="L254" s="76">
        <f>(((Table134567891011121314151617343[[#This Row],[EA19]]-VLOOKUP($U$1,A:F,6,))/VLOOKUP($U$1,A:F,6,))*100)+100</f>
        <v/>
      </c>
      <c r="M254" s="76">
        <f>(((Table134567891011121314151617343[[#This Row],[GBR]]-VLOOKUP($U$1,A:G,7,))/VLOOKUP($U$1,A:G,7,))*100)+100</f>
        <v/>
      </c>
      <c r="N254" s="76">
        <f>IF(VLOOKUP(A254,Database!$A:$AU,MATCH($N$1,Database!$A$1:$AU$1,0),FALSE)=0,#N/A,VLOOKUP(A254,Database!$A:$AU,MATCH($N$1,Database!$A$1:$AU$1,0),FALSE))</f>
        <v/>
      </c>
      <c r="O254" s="76">
        <f>(((Table134567891011121314151617343[[#This Row],[USA]]-VLOOKUP($U$1,A:N,14,))/VLOOKUP($U$1,A:N,14,))*100)+100</f>
        <v/>
      </c>
      <c r="P254" s="76">
        <f>IF(VLOOKUP(A254,Database!$A:$AS,MATCH($P$1,Database!$A$1:$AS$1,0),FALSE)=0,#N/A,VLOOKUP(A254,Database!$A:$AS,MATCH($P$1,Database!$A$1:$AS$1,0),FALSE))</f>
        <v/>
      </c>
      <c r="Q254" s="76">
        <f>(((Table134567891011121314151617343[[#This Row],[JPN]]-VLOOKUP($U$1,A:Q,16,))/VLOOKUP($U$1,A:Q,16,))*100)+100</f>
        <v/>
      </c>
    </row>
    <row r="255" customFormat="1" s="86">
      <c r="A255" s="21" t="n">
        <v>40575</v>
      </c>
      <c r="B255" s="76">
        <f>IF(VLOOKUP(A255,Database!$A:$AS,MATCH($B$1,Database!$A$1:$AS$1,0),FALSE)=0,#N/A,VLOOKUP(A255,Database!$A:$AS,MATCH($B$1,Database!$A$1:$AS$1,0),FALSE))</f>
        <v/>
      </c>
      <c r="C255" s="76">
        <f>IF(VLOOKUP(A255,Database!$A:$AS,MATCH($C$1,Database!$A$1:$AS$1,0),FALSE)=0,#N/A,VLOOKUP(A255,Database!$A:$AS,MATCH($C$1,Database!$A$1:$AS$1,0),FALSE))</f>
        <v/>
      </c>
      <c r="D255" s="76">
        <f>IF(VLOOKUP(A255,Database!$A:$AS,MATCH($D$1,Database!$A$1:$AS$1,0),FALSE)=0,#N/A,VLOOKUP(A255,Database!$A:$AS,MATCH($D$1,Database!$A$1:$AS$1,0),FALSE))</f>
        <v/>
      </c>
      <c r="E255" s="76">
        <f>IF(VLOOKUP(A255,Database!$A:$AS,MATCH($E$1,Database!$A$1:$AS$1,0),FALSE)=0,#N/A,VLOOKUP(A255,Database!$A:$AS,MATCH($E$1,Database!$A$1:$AS$1,0),FALSE))</f>
        <v/>
      </c>
      <c r="F255" s="76">
        <f>IF(VLOOKUP(A255,Database!$A:$AS,MATCH($F$1,Database!$A$1:$AS$1,0),FALSE)=0,#N/A,VLOOKUP(A255,Database!$A:$AS,MATCH($F$1,Database!$A$1:$AS$1,0),FALSE))</f>
        <v/>
      </c>
      <c r="G255" s="76">
        <f>IF(VLOOKUP(A255,Database!$A:$AS,MATCH($G$1,Database!$A$1:$AS$1,0),FALSE)=0,#N/A,VLOOKUP(A255,Database!$A:$AS,MATCH($G$1,Database!$A$1:$AS$1,0),FALSE))</f>
        <v/>
      </c>
      <c r="H255" s="76">
        <f>(((Table134567891011121314151617343[[#This Row],[ITA]]-VLOOKUP($U$1,A:B,2,))/VLOOKUP($U$1,A:B,2,))*100)+100</f>
        <v/>
      </c>
      <c r="I255" s="76">
        <f>(((Table134567891011121314151617343[[#This Row],[FRA]]-VLOOKUP($U$1,A:C,3,))/VLOOKUP($U$1,A:C,3,))*100)+100</f>
        <v/>
      </c>
      <c r="J255" s="76">
        <f>(((Table134567891011121314151617343[[#This Row],[DEU]]-VLOOKUP($U$1,A:D,4,))/VLOOKUP($U$1,A:D,4,))*100)+100</f>
        <v/>
      </c>
      <c r="K255" s="76">
        <f>(((Table134567891011121314151617343[[#This Row],[ESP]]-VLOOKUP($U$1,A:E,5,))/VLOOKUP($U$1,A:E,5,))*100)+100</f>
        <v/>
      </c>
      <c r="L255" s="76">
        <f>(((Table134567891011121314151617343[[#This Row],[EA19]]-VLOOKUP($U$1,A:F,6,))/VLOOKUP($U$1,A:F,6,))*100)+100</f>
        <v/>
      </c>
      <c r="M255" s="76">
        <f>(((Table134567891011121314151617343[[#This Row],[GBR]]-VLOOKUP($U$1,A:G,7,))/VLOOKUP($U$1,A:G,7,))*100)+100</f>
        <v/>
      </c>
      <c r="N255" s="76">
        <f>IF(VLOOKUP(A255,Database!$A:$AU,MATCH($N$1,Database!$A$1:$AU$1,0),FALSE)=0,#N/A,VLOOKUP(A255,Database!$A:$AU,MATCH($N$1,Database!$A$1:$AU$1,0),FALSE))</f>
        <v/>
      </c>
      <c r="O255" s="76">
        <f>(((Table134567891011121314151617343[[#This Row],[USA]]-VLOOKUP($U$1,A:N,14,))/VLOOKUP($U$1,A:N,14,))*100)+100</f>
        <v/>
      </c>
      <c r="P255" s="76">
        <f>IF(VLOOKUP(A255,Database!$A:$AS,MATCH($P$1,Database!$A$1:$AS$1,0),FALSE)=0,#N/A,VLOOKUP(A255,Database!$A:$AS,MATCH($P$1,Database!$A$1:$AS$1,0),FALSE))</f>
        <v/>
      </c>
      <c r="Q255" s="76">
        <f>(((Table134567891011121314151617343[[#This Row],[JPN]]-VLOOKUP($U$1,A:Q,16,))/VLOOKUP($U$1,A:Q,16,))*100)+100</f>
        <v/>
      </c>
    </row>
    <row r="256" customFormat="1" s="86">
      <c r="A256" s="21" t="n">
        <v>40603</v>
      </c>
      <c r="B256" s="76">
        <f>IF(VLOOKUP(A256,Database!$A:$AS,MATCH($B$1,Database!$A$1:$AS$1,0),FALSE)=0,#N/A,VLOOKUP(A256,Database!$A:$AS,MATCH($B$1,Database!$A$1:$AS$1,0),FALSE))</f>
        <v/>
      </c>
      <c r="C256" s="76">
        <f>IF(VLOOKUP(A256,Database!$A:$AS,MATCH($C$1,Database!$A$1:$AS$1,0),FALSE)=0,#N/A,VLOOKUP(A256,Database!$A:$AS,MATCH($C$1,Database!$A$1:$AS$1,0),FALSE))</f>
        <v/>
      </c>
      <c r="D256" s="76">
        <f>IF(VLOOKUP(A256,Database!$A:$AS,MATCH($D$1,Database!$A$1:$AS$1,0),FALSE)=0,#N/A,VLOOKUP(A256,Database!$A:$AS,MATCH($D$1,Database!$A$1:$AS$1,0),FALSE))</f>
        <v/>
      </c>
      <c r="E256" s="76">
        <f>IF(VLOOKUP(A256,Database!$A:$AS,MATCH($E$1,Database!$A$1:$AS$1,0),FALSE)=0,#N/A,VLOOKUP(A256,Database!$A:$AS,MATCH($E$1,Database!$A$1:$AS$1,0),FALSE))</f>
        <v/>
      </c>
      <c r="F256" s="76">
        <f>IF(VLOOKUP(A256,Database!$A:$AS,MATCH($F$1,Database!$A$1:$AS$1,0),FALSE)=0,#N/A,VLOOKUP(A256,Database!$A:$AS,MATCH($F$1,Database!$A$1:$AS$1,0),FALSE))</f>
        <v/>
      </c>
      <c r="G256" s="76">
        <f>IF(VLOOKUP(A256,Database!$A:$AS,MATCH($G$1,Database!$A$1:$AS$1,0),FALSE)=0,#N/A,VLOOKUP(A256,Database!$A:$AS,MATCH($G$1,Database!$A$1:$AS$1,0),FALSE))</f>
        <v/>
      </c>
      <c r="H256" s="76">
        <f>(((Table134567891011121314151617343[[#This Row],[ITA]]-VLOOKUP($U$1,A:B,2,))/VLOOKUP($U$1,A:B,2,))*100)+100</f>
        <v/>
      </c>
      <c r="I256" s="76">
        <f>(((Table134567891011121314151617343[[#This Row],[FRA]]-VLOOKUP($U$1,A:C,3,))/VLOOKUP($U$1,A:C,3,))*100)+100</f>
        <v/>
      </c>
      <c r="J256" s="76">
        <f>(((Table134567891011121314151617343[[#This Row],[DEU]]-VLOOKUP($U$1,A:D,4,))/VLOOKUP($U$1,A:D,4,))*100)+100</f>
        <v/>
      </c>
      <c r="K256" s="76">
        <f>(((Table134567891011121314151617343[[#This Row],[ESP]]-VLOOKUP($U$1,A:E,5,))/VLOOKUP($U$1,A:E,5,))*100)+100</f>
        <v/>
      </c>
      <c r="L256" s="76">
        <f>(((Table134567891011121314151617343[[#This Row],[EA19]]-VLOOKUP($U$1,A:F,6,))/VLOOKUP($U$1,A:F,6,))*100)+100</f>
        <v/>
      </c>
      <c r="M256" s="76">
        <f>(((Table134567891011121314151617343[[#This Row],[GBR]]-VLOOKUP($U$1,A:G,7,))/VLOOKUP($U$1,A:G,7,))*100)+100</f>
        <v/>
      </c>
      <c r="N256" s="76">
        <f>IF(VLOOKUP(A256,Database!$A:$AU,MATCH($N$1,Database!$A$1:$AU$1,0),FALSE)=0,#N/A,VLOOKUP(A256,Database!$A:$AU,MATCH($N$1,Database!$A$1:$AU$1,0),FALSE))</f>
        <v/>
      </c>
      <c r="O256" s="76">
        <f>(((Table134567891011121314151617343[[#This Row],[USA]]-VLOOKUP($U$1,A:N,14,))/VLOOKUP($U$1,A:N,14,))*100)+100</f>
        <v/>
      </c>
      <c r="P256" s="76">
        <f>IF(VLOOKUP(A256,Database!$A:$AS,MATCH($P$1,Database!$A$1:$AS$1,0),FALSE)=0,#N/A,VLOOKUP(A256,Database!$A:$AS,MATCH($P$1,Database!$A$1:$AS$1,0),FALSE))</f>
        <v/>
      </c>
      <c r="Q256" s="76">
        <f>(((Table134567891011121314151617343[[#This Row],[JPN]]-VLOOKUP($U$1,A:Q,16,))/VLOOKUP($U$1,A:Q,16,))*100)+100</f>
        <v/>
      </c>
    </row>
    <row r="257" customFormat="1" s="86">
      <c r="A257" s="21" t="n">
        <v>40634</v>
      </c>
      <c r="B257" s="76">
        <f>IF(VLOOKUP(A257,Database!$A:$AS,MATCH($B$1,Database!$A$1:$AS$1,0),FALSE)=0,#N/A,VLOOKUP(A257,Database!$A:$AS,MATCH($B$1,Database!$A$1:$AS$1,0),FALSE))</f>
        <v/>
      </c>
      <c r="C257" s="76">
        <f>IF(VLOOKUP(A257,Database!$A:$AS,MATCH($C$1,Database!$A$1:$AS$1,0),FALSE)=0,#N/A,VLOOKUP(A257,Database!$A:$AS,MATCH($C$1,Database!$A$1:$AS$1,0),FALSE))</f>
        <v/>
      </c>
      <c r="D257" s="76">
        <f>IF(VLOOKUP(A257,Database!$A:$AS,MATCH($D$1,Database!$A$1:$AS$1,0),FALSE)=0,#N/A,VLOOKUP(A257,Database!$A:$AS,MATCH($D$1,Database!$A$1:$AS$1,0),FALSE))</f>
        <v/>
      </c>
      <c r="E257" s="76">
        <f>IF(VLOOKUP(A257,Database!$A:$AS,MATCH($E$1,Database!$A$1:$AS$1,0),FALSE)=0,#N/A,VLOOKUP(A257,Database!$A:$AS,MATCH($E$1,Database!$A$1:$AS$1,0),FALSE))</f>
        <v/>
      </c>
      <c r="F257" s="76">
        <f>IF(VLOOKUP(A257,Database!$A:$AS,MATCH($F$1,Database!$A$1:$AS$1,0),FALSE)=0,#N/A,VLOOKUP(A257,Database!$A:$AS,MATCH($F$1,Database!$A$1:$AS$1,0),FALSE))</f>
        <v/>
      </c>
      <c r="G257" s="76">
        <f>IF(VLOOKUP(A257,Database!$A:$AS,MATCH($G$1,Database!$A$1:$AS$1,0),FALSE)=0,#N/A,VLOOKUP(A257,Database!$A:$AS,MATCH($G$1,Database!$A$1:$AS$1,0),FALSE))</f>
        <v/>
      </c>
      <c r="H257" s="76">
        <f>(((Table134567891011121314151617343[[#This Row],[ITA]]-VLOOKUP($U$1,A:B,2,))/VLOOKUP($U$1,A:B,2,))*100)+100</f>
        <v/>
      </c>
      <c r="I257" s="76">
        <f>(((Table134567891011121314151617343[[#This Row],[FRA]]-VLOOKUP($U$1,A:C,3,))/VLOOKUP($U$1,A:C,3,))*100)+100</f>
        <v/>
      </c>
      <c r="J257" s="76">
        <f>(((Table134567891011121314151617343[[#This Row],[DEU]]-VLOOKUP($U$1,A:D,4,))/VLOOKUP($U$1,A:D,4,))*100)+100</f>
        <v/>
      </c>
      <c r="K257" s="76">
        <f>(((Table134567891011121314151617343[[#This Row],[ESP]]-VLOOKUP($U$1,A:E,5,))/VLOOKUP($U$1,A:E,5,))*100)+100</f>
        <v/>
      </c>
      <c r="L257" s="76">
        <f>(((Table134567891011121314151617343[[#This Row],[EA19]]-VLOOKUP($U$1,A:F,6,))/VLOOKUP($U$1,A:F,6,))*100)+100</f>
        <v/>
      </c>
      <c r="M257" s="76">
        <f>(((Table134567891011121314151617343[[#This Row],[GBR]]-VLOOKUP($U$1,A:G,7,))/VLOOKUP($U$1,A:G,7,))*100)+100</f>
        <v/>
      </c>
      <c r="N257" s="76">
        <f>IF(VLOOKUP(A257,Database!$A:$AU,MATCH($N$1,Database!$A$1:$AU$1,0),FALSE)=0,#N/A,VLOOKUP(A257,Database!$A:$AU,MATCH($N$1,Database!$A$1:$AU$1,0),FALSE))</f>
        <v/>
      </c>
      <c r="O257" s="76">
        <f>(((Table134567891011121314151617343[[#This Row],[USA]]-VLOOKUP($U$1,A:N,14,))/VLOOKUP($U$1,A:N,14,))*100)+100</f>
        <v/>
      </c>
      <c r="P257" s="76">
        <f>IF(VLOOKUP(A257,Database!$A:$AS,MATCH($P$1,Database!$A$1:$AS$1,0),FALSE)=0,#N/A,VLOOKUP(A257,Database!$A:$AS,MATCH($P$1,Database!$A$1:$AS$1,0),FALSE))</f>
        <v/>
      </c>
      <c r="Q257" s="76">
        <f>(((Table134567891011121314151617343[[#This Row],[JPN]]-VLOOKUP($U$1,A:Q,16,))/VLOOKUP($U$1,A:Q,16,))*100)+100</f>
        <v/>
      </c>
    </row>
    <row r="258" customFormat="1" s="86">
      <c r="A258" s="21" t="n">
        <v>40664</v>
      </c>
      <c r="B258" s="76">
        <f>IF(VLOOKUP(A258,Database!$A:$AS,MATCH($B$1,Database!$A$1:$AS$1,0),FALSE)=0,#N/A,VLOOKUP(A258,Database!$A:$AS,MATCH($B$1,Database!$A$1:$AS$1,0),FALSE))</f>
        <v/>
      </c>
      <c r="C258" s="76">
        <f>IF(VLOOKUP(A258,Database!$A:$AS,MATCH($C$1,Database!$A$1:$AS$1,0),FALSE)=0,#N/A,VLOOKUP(A258,Database!$A:$AS,MATCH($C$1,Database!$A$1:$AS$1,0),FALSE))</f>
        <v/>
      </c>
      <c r="D258" s="76">
        <f>IF(VLOOKUP(A258,Database!$A:$AS,MATCH($D$1,Database!$A$1:$AS$1,0),FALSE)=0,#N/A,VLOOKUP(A258,Database!$A:$AS,MATCH($D$1,Database!$A$1:$AS$1,0),FALSE))</f>
        <v/>
      </c>
      <c r="E258" s="76">
        <f>IF(VLOOKUP(A258,Database!$A:$AS,MATCH($E$1,Database!$A$1:$AS$1,0),FALSE)=0,#N/A,VLOOKUP(A258,Database!$A:$AS,MATCH($E$1,Database!$A$1:$AS$1,0),FALSE))</f>
        <v/>
      </c>
      <c r="F258" s="76">
        <f>IF(VLOOKUP(A258,Database!$A:$AS,MATCH($F$1,Database!$A$1:$AS$1,0),FALSE)=0,#N/A,VLOOKUP(A258,Database!$A:$AS,MATCH($F$1,Database!$A$1:$AS$1,0),FALSE))</f>
        <v/>
      </c>
      <c r="G258" s="76">
        <f>IF(VLOOKUP(A258,Database!$A:$AS,MATCH($G$1,Database!$A$1:$AS$1,0),FALSE)=0,#N/A,VLOOKUP(A258,Database!$A:$AS,MATCH($G$1,Database!$A$1:$AS$1,0),FALSE))</f>
        <v/>
      </c>
      <c r="H258" s="76">
        <f>(((Table134567891011121314151617343[[#This Row],[ITA]]-VLOOKUP($U$1,A:B,2,))/VLOOKUP($U$1,A:B,2,))*100)+100</f>
        <v/>
      </c>
      <c r="I258" s="76">
        <f>(((Table134567891011121314151617343[[#This Row],[FRA]]-VLOOKUP($U$1,A:C,3,))/VLOOKUP($U$1,A:C,3,))*100)+100</f>
        <v/>
      </c>
      <c r="J258" s="76">
        <f>(((Table134567891011121314151617343[[#This Row],[DEU]]-VLOOKUP($U$1,A:D,4,))/VLOOKUP($U$1,A:D,4,))*100)+100</f>
        <v/>
      </c>
      <c r="K258" s="76">
        <f>(((Table134567891011121314151617343[[#This Row],[ESP]]-VLOOKUP($U$1,A:E,5,))/VLOOKUP($U$1,A:E,5,))*100)+100</f>
        <v/>
      </c>
      <c r="L258" s="76">
        <f>(((Table134567891011121314151617343[[#This Row],[EA19]]-VLOOKUP($U$1,A:F,6,))/VLOOKUP($U$1,A:F,6,))*100)+100</f>
        <v/>
      </c>
      <c r="M258" s="76">
        <f>(((Table134567891011121314151617343[[#This Row],[GBR]]-VLOOKUP($U$1,A:G,7,))/VLOOKUP($U$1,A:G,7,))*100)+100</f>
        <v/>
      </c>
      <c r="N258" s="76">
        <f>IF(VLOOKUP(A258,Database!$A:$AU,MATCH($N$1,Database!$A$1:$AU$1,0),FALSE)=0,#N/A,VLOOKUP(A258,Database!$A:$AU,MATCH($N$1,Database!$A$1:$AU$1,0),FALSE))</f>
        <v/>
      </c>
      <c r="O258" s="76">
        <f>(((Table134567891011121314151617343[[#This Row],[USA]]-VLOOKUP($U$1,A:N,14,))/VLOOKUP($U$1,A:N,14,))*100)+100</f>
        <v/>
      </c>
      <c r="P258" s="76">
        <f>IF(VLOOKUP(A258,Database!$A:$AS,MATCH($P$1,Database!$A$1:$AS$1,0),FALSE)=0,#N/A,VLOOKUP(A258,Database!$A:$AS,MATCH($P$1,Database!$A$1:$AS$1,0),FALSE))</f>
        <v/>
      </c>
      <c r="Q258" s="76">
        <f>(((Table134567891011121314151617343[[#This Row],[JPN]]-VLOOKUP($U$1,A:Q,16,))/VLOOKUP($U$1,A:Q,16,))*100)+100</f>
        <v/>
      </c>
    </row>
    <row r="259" customFormat="1" s="86">
      <c r="A259" s="21" t="n">
        <v>40695</v>
      </c>
      <c r="B259" s="76">
        <f>IF(VLOOKUP(A259,Database!$A:$AS,MATCH($B$1,Database!$A$1:$AS$1,0),FALSE)=0,#N/A,VLOOKUP(A259,Database!$A:$AS,MATCH($B$1,Database!$A$1:$AS$1,0),FALSE))</f>
        <v/>
      </c>
      <c r="C259" s="76">
        <f>IF(VLOOKUP(A259,Database!$A:$AS,MATCH($C$1,Database!$A$1:$AS$1,0),FALSE)=0,#N/A,VLOOKUP(A259,Database!$A:$AS,MATCH($C$1,Database!$A$1:$AS$1,0),FALSE))</f>
        <v/>
      </c>
      <c r="D259" s="76">
        <f>IF(VLOOKUP(A259,Database!$A:$AS,MATCH($D$1,Database!$A$1:$AS$1,0),FALSE)=0,#N/A,VLOOKUP(A259,Database!$A:$AS,MATCH($D$1,Database!$A$1:$AS$1,0),FALSE))</f>
        <v/>
      </c>
      <c r="E259" s="76">
        <f>IF(VLOOKUP(A259,Database!$A:$AS,MATCH($E$1,Database!$A$1:$AS$1,0),FALSE)=0,#N/A,VLOOKUP(A259,Database!$A:$AS,MATCH($E$1,Database!$A$1:$AS$1,0),FALSE))</f>
        <v/>
      </c>
      <c r="F259" s="76">
        <f>IF(VLOOKUP(A259,Database!$A:$AS,MATCH($F$1,Database!$A$1:$AS$1,0),FALSE)=0,#N/A,VLOOKUP(A259,Database!$A:$AS,MATCH($F$1,Database!$A$1:$AS$1,0),FALSE))</f>
        <v/>
      </c>
      <c r="G259" s="76">
        <f>IF(VLOOKUP(A259,Database!$A:$AS,MATCH($G$1,Database!$A$1:$AS$1,0),FALSE)=0,#N/A,VLOOKUP(A259,Database!$A:$AS,MATCH($G$1,Database!$A$1:$AS$1,0),FALSE))</f>
        <v/>
      </c>
      <c r="H259" s="76">
        <f>(((Table134567891011121314151617343[[#This Row],[ITA]]-VLOOKUP($U$1,A:B,2,))/VLOOKUP($U$1,A:B,2,))*100)+100</f>
        <v/>
      </c>
      <c r="I259" s="76">
        <f>(((Table134567891011121314151617343[[#This Row],[FRA]]-VLOOKUP($U$1,A:C,3,))/VLOOKUP($U$1,A:C,3,))*100)+100</f>
        <v/>
      </c>
      <c r="J259" s="76">
        <f>(((Table134567891011121314151617343[[#This Row],[DEU]]-VLOOKUP($U$1,A:D,4,))/VLOOKUP($U$1,A:D,4,))*100)+100</f>
        <v/>
      </c>
      <c r="K259" s="76">
        <f>(((Table134567891011121314151617343[[#This Row],[ESP]]-VLOOKUP($U$1,A:E,5,))/VLOOKUP($U$1,A:E,5,))*100)+100</f>
        <v/>
      </c>
      <c r="L259" s="76">
        <f>(((Table134567891011121314151617343[[#This Row],[EA19]]-VLOOKUP($U$1,A:F,6,))/VLOOKUP($U$1,A:F,6,))*100)+100</f>
        <v/>
      </c>
      <c r="M259" s="76">
        <f>(((Table134567891011121314151617343[[#This Row],[GBR]]-VLOOKUP($U$1,A:G,7,))/VLOOKUP($U$1,A:G,7,))*100)+100</f>
        <v/>
      </c>
      <c r="N259" s="76">
        <f>IF(VLOOKUP(A259,Database!$A:$AU,MATCH($N$1,Database!$A$1:$AU$1,0),FALSE)=0,#N/A,VLOOKUP(A259,Database!$A:$AU,MATCH($N$1,Database!$A$1:$AU$1,0),FALSE))</f>
        <v/>
      </c>
      <c r="O259" s="76">
        <f>(((Table134567891011121314151617343[[#This Row],[USA]]-VLOOKUP($U$1,A:N,14,))/VLOOKUP($U$1,A:N,14,))*100)+100</f>
        <v/>
      </c>
      <c r="P259" s="76">
        <f>IF(VLOOKUP(A259,Database!$A:$AS,MATCH($P$1,Database!$A$1:$AS$1,0),FALSE)=0,#N/A,VLOOKUP(A259,Database!$A:$AS,MATCH($P$1,Database!$A$1:$AS$1,0),FALSE))</f>
        <v/>
      </c>
      <c r="Q259" s="76">
        <f>(((Table134567891011121314151617343[[#This Row],[JPN]]-VLOOKUP($U$1,A:Q,16,))/VLOOKUP($U$1,A:Q,16,))*100)+100</f>
        <v/>
      </c>
    </row>
    <row r="260" customFormat="1" s="86">
      <c r="A260" s="21" t="n">
        <v>40725</v>
      </c>
      <c r="B260" s="76">
        <f>IF(VLOOKUP(A260,Database!$A:$AS,MATCH($B$1,Database!$A$1:$AS$1,0),FALSE)=0,#N/A,VLOOKUP(A260,Database!$A:$AS,MATCH($B$1,Database!$A$1:$AS$1,0),FALSE))</f>
        <v/>
      </c>
      <c r="C260" s="76">
        <f>IF(VLOOKUP(A260,Database!$A:$AS,MATCH($C$1,Database!$A$1:$AS$1,0),FALSE)=0,#N/A,VLOOKUP(A260,Database!$A:$AS,MATCH($C$1,Database!$A$1:$AS$1,0),FALSE))</f>
        <v/>
      </c>
      <c r="D260" s="76">
        <f>IF(VLOOKUP(A260,Database!$A:$AS,MATCH($D$1,Database!$A$1:$AS$1,0),FALSE)=0,#N/A,VLOOKUP(A260,Database!$A:$AS,MATCH($D$1,Database!$A$1:$AS$1,0),FALSE))</f>
        <v/>
      </c>
      <c r="E260" s="76">
        <f>IF(VLOOKUP(A260,Database!$A:$AS,MATCH($E$1,Database!$A$1:$AS$1,0),FALSE)=0,#N/A,VLOOKUP(A260,Database!$A:$AS,MATCH($E$1,Database!$A$1:$AS$1,0),FALSE))</f>
        <v/>
      </c>
      <c r="F260" s="76">
        <f>IF(VLOOKUP(A260,Database!$A:$AS,MATCH($F$1,Database!$A$1:$AS$1,0),FALSE)=0,#N/A,VLOOKUP(A260,Database!$A:$AS,MATCH($F$1,Database!$A$1:$AS$1,0),FALSE))</f>
        <v/>
      </c>
      <c r="G260" s="76">
        <f>IF(VLOOKUP(A260,Database!$A:$AS,MATCH($G$1,Database!$A$1:$AS$1,0),FALSE)=0,#N/A,VLOOKUP(A260,Database!$A:$AS,MATCH($G$1,Database!$A$1:$AS$1,0),FALSE))</f>
        <v/>
      </c>
      <c r="H260" s="76">
        <f>(((Table134567891011121314151617343[[#This Row],[ITA]]-VLOOKUP($U$1,A:B,2,))/VLOOKUP($U$1,A:B,2,))*100)+100</f>
        <v/>
      </c>
      <c r="I260" s="76">
        <f>(((Table134567891011121314151617343[[#This Row],[FRA]]-VLOOKUP($U$1,A:C,3,))/VLOOKUP($U$1,A:C,3,))*100)+100</f>
        <v/>
      </c>
      <c r="J260" s="76">
        <f>(((Table134567891011121314151617343[[#This Row],[DEU]]-VLOOKUP($U$1,A:D,4,))/VLOOKUP($U$1,A:D,4,))*100)+100</f>
        <v/>
      </c>
      <c r="K260" s="76">
        <f>(((Table134567891011121314151617343[[#This Row],[ESP]]-VLOOKUP($U$1,A:E,5,))/VLOOKUP($U$1,A:E,5,))*100)+100</f>
        <v/>
      </c>
      <c r="L260" s="76">
        <f>(((Table134567891011121314151617343[[#This Row],[EA19]]-VLOOKUP($U$1,A:F,6,))/VLOOKUP($U$1,A:F,6,))*100)+100</f>
        <v/>
      </c>
      <c r="M260" s="76">
        <f>(((Table134567891011121314151617343[[#This Row],[GBR]]-VLOOKUP($U$1,A:G,7,))/VLOOKUP($U$1,A:G,7,))*100)+100</f>
        <v/>
      </c>
      <c r="N260" s="76">
        <f>IF(VLOOKUP(A260,Database!$A:$AU,MATCH($N$1,Database!$A$1:$AU$1,0),FALSE)=0,#N/A,VLOOKUP(A260,Database!$A:$AU,MATCH($N$1,Database!$A$1:$AU$1,0),FALSE))</f>
        <v/>
      </c>
      <c r="O260" s="76">
        <f>(((Table134567891011121314151617343[[#This Row],[USA]]-VLOOKUP($U$1,A:N,14,))/VLOOKUP($U$1,A:N,14,))*100)+100</f>
        <v/>
      </c>
      <c r="P260" s="76">
        <f>IF(VLOOKUP(A260,Database!$A:$AS,MATCH($P$1,Database!$A$1:$AS$1,0),FALSE)=0,#N/A,VLOOKUP(A260,Database!$A:$AS,MATCH($P$1,Database!$A$1:$AS$1,0),FALSE))</f>
        <v/>
      </c>
      <c r="Q260" s="76">
        <f>(((Table134567891011121314151617343[[#This Row],[JPN]]-VLOOKUP($U$1,A:Q,16,))/VLOOKUP($U$1,A:Q,16,))*100)+100</f>
        <v/>
      </c>
    </row>
    <row r="261" customFormat="1" s="86">
      <c r="A261" s="21" t="n">
        <v>40756</v>
      </c>
      <c r="B261" s="76">
        <f>IF(VLOOKUP(A261,Database!$A:$AS,MATCH($B$1,Database!$A$1:$AS$1,0),FALSE)=0,#N/A,VLOOKUP(A261,Database!$A:$AS,MATCH($B$1,Database!$A$1:$AS$1,0),FALSE))</f>
        <v/>
      </c>
      <c r="C261" s="76">
        <f>IF(VLOOKUP(A261,Database!$A:$AS,MATCH($C$1,Database!$A$1:$AS$1,0),FALSE)=0,#N/A,VLOOKUP(A261,Database!$A:$AS,MATCH($C$1,Database!$A$1:$AS$1,0),FALSE))</f>
        <v/>
      </c>
      <c r="D261" s="76">
        <f>IF(VLOOKUP(A261,Database!$A:$AS,MATCH($D$1,Database!$A$1:$AS$1,0),FALSE)=0,#N/A,VLOOKUP(A261,Database!$A:$AS,MATCH($D$1,Database!$A$1:$AS$1,0),FALSE))</f>
        <v/>
      </c>
      <c r="E261" s="76">
        <f>IF(VLOOKUP(A261,Database!$A:$AS,MATCH($E$1,Database!$A$1:$AS$1,0),FALSE)=0,#N/A,VLOOKUP(A261,Database!$A:$AS,MATCH($E$1,Database!$A$1:$AS$1,0),FALSE))</f>
        <v/>
      </c>
      <c r="F261" s="76">
        <f>IF(VLOOKUP(A261,Database!$A:$AS,MATCH($F$1,Database!$A$1:$AS$1,0),FALSE)=0,#N/A,VLOOKUP(A261,Database!$A:$AS,MATCH($F$1,Database!$A$1:$AS$1,0),FALSE))</f>
        <v/>
      </c>
      <c r="G261" s="76">
        <f>IF(VLOOKUP(A261,Database!$A:$AS,MATCH($G$1,Database!$A$1:$AS$1,0),FALSE)=0,#N/A,VLOOKUP(A261,Database!$A:$AS,MATCH($G$1,Database!$A$1:$AS$1,0),FALSE))</f>
        <v/>
      </c>
      <c r="H261" s="76">
        <f>(((Table134567891011121314151617343[[#This Row],[ITA]]-VLOOKUP($U$1,A:B,2,))/VLOOKUP($U$1,A:B,2,))*100)+100</f>
        <v/>
      </c>
      <c r="I261" s="76">
        <f>(((Table134567891011121314151617343[[#This Row],[FRA]]-VLOOKUP($U$1,A:C,3,))/VLOOKUP($U$1,A:C,3,))*100)+100</f>
        <v/>
      </c>
      <c r="J261" s="76">
        <f>(((Table134567891011121314151617343[[#This Row],[DEU]]-VLOOKUP($U$1,A:D,4,))/VLOOKUP($U$1,A:D,4,))*100)+100</f>
        <v/>
      </c>
      <c r="K261" s="76">
        <f>(((Table134567891011121314151617343[[#This Row],[ESP]]-VLOOKUP($U$1,A:E,5,))/VLOOKUP($U$1,A:E,5,))*100)+100</f>
        <v/>
      </c>
      <c r="L261" s="76">
        <f>(((Table134567891011121314151617343[[#This Row],[EA19]]-VLOOKUP($U$1,A:F,6,))/VLOOKUP($U$1,A:F,6,))*100)+100</f>
        <v/>
      </c>
      <c r="M261" s="76">
        <f>(((Table134567891011121314151617343[[#This Row],[GBR]]-VLOOKUP($U$1,A:G,7,))/VLOOKUP($U$1,A:G,7,))*100)+100</f>
        <v/>
      </c>
      <c r="N261" s="76">
        <f>IF(VLOOKUP(A261,Database!$A:$AU,MATCH($N$1,Database!$A$1:$AU$1,0),FALSE)=0,#N/A,VLOOKUP(A261,Database!$A:$AU,MATCH($N$1,Database!$A$1:$AU$1,0),FALSE))</f>
        <v/>
      </c>
      <c r="O261" s="76">
        <f>(((Table134567891011121314151617343[[#This Row],[USA]]-VLOOKUP($U$1,A:N,14,))/VLOOKUP($U$1,A:N,14,))*100)+100</f>
        <v/>
      </c>
      <c r="P261" s="76">
        <f>IF(VLOOKUP(A261,Database!$A:$AS,MATCH($P$1,Database!$A$1:$AS$1,0),FALSE)=0,#N/A,VLOOKUP(A261,Database!$A:$AS,MATCH($P$1,Database!$A$1:$AS$1,0),FALSE))</f>
        <v/>
      </c>
      <c r="Q261" s="76">
        <f>(((Table134567891011121314151617343[[#This Row],[JPN]]-VLOOKUP($U$1,A:Q,16,))/VLOOKUP($U$1,A:Q,16,))*100)+100</f>
        <v/>
      </c>
    </row>
    <row r="262" customFormat="1" s="86">
      <c r="A262" s="21" t="n">
        <v>40787</v>
      </c>
      <c r="B262" s="76">
        <f>IF(VLOOKUP(A262,Database!$A:$AS,MATCH($B$1,Database!$A$1:$AS$1,0),FALSE)=0,#N/A,VLOOKUP(A262,Database!$A:$AS,MATCH($B$1,Database!$A$1:$AS$1,0),FALSE))</f>
        <v/>
      </c>
      <c r="C262" s="76">
        <f>IF(VLOOKUP(A262,Database!$A:$AS,MATCH($C$1,Database!$A$1:$AS$1,0),FALSE)=0,#N/A,VLOOKUP(A262,Database!$A:$AS,MATCH($C$1,Database!$A$1:$AS$1,0),FALSE))</f>
        <v/>
      </c>
      <c r="D262" s="76">
        <f>IF(VLOOKUP(A262,Database!$A:$AS,MATCH($D$1,Database!$A$1:$AS$1,0),FALSE)=0,#N/A,VLOOKUP(A262,Database!$A:$AS,MATCH($D$1,Database!$A$1:$AS$1,0),FALSE))</f>
        <v/>
      </c>
      <c r="E262" s="76">
        <f>IF(VLOOKUP(A262,Database!$A:$AS,MATCH($E$1,Database!$A$1:$AS$1,0),FALSE)=0,#N/A,VLOOKUP(A262,Database!$A:$AS,MATCH($E$1,Database!$A$1:$AS$1,0),FALSE))</f>
        <v/>
      </c>
      <c r="F262" s="76">
        <f>IF(VLOOKUP(A262,Database!$A:$AS,MATCH($F$1,Database!$A$1:$AS$1,0),FALSE)=0,#N/A,VLOOKUP(A262,Database!$A:$AS,MATCH($F$1,Database!$A$1:$AS$1,0),FALSE))</f>
        <v/>
      </c>
      <c r="G262" s="76">
        <f>IF(VLOOKUP(A262,Database!$A:$AS,MATCH($G$1,Database!$A$1:$AS$1,0),FALSE)=0,#N/A,VLOOKUP(A262,Database!$A:$AS,MATCH($G$1,Database!$A$1:$AS$1,0),FALSE))</f>
        <v/>
      </c>
      <c r="H262" s="76">
        <f>(((Table134567891011121314151617343[[#This Row],[ITA]]-VLOOKUP($U$1,A:B,2,))/VLOOKUP($U$1,A:B,2,))*100)+100</f>
        <v/>
      </c>
      <c r="I262" s="76">
        <f>(((Table134567891011121314151617343[[#This Row],[FRA]]-VLOOKUP($U$1,A:C,3,))/VLOOKUP($U$1,A:C,3,))*100)+100</f>
        <v/>
      </c>
      <c r="J262" s="76">
        <f>(((Table134567891011121314151617343[[#This Row],[DEU]]-VLOOKUP($U$1,A:D,4,))/VLOOKUP($U$1,A:D,4,))*100)+100</f>
        <v/>
      </c>
      <c r="K262" s="76">
        <f>(((Table134567891011121314151617343[[#This Row],[ESP]]-VLOOKUP($U$1,A:E,5,))/VLOOKUP($U$1,A:E,5,))*100)+100</f>
        <v/>
      </c>
      <c r="L262" s="76">
        <f>(((Table134567891011121314151617343[[#This Row],[EA19]]-VLOOKUP($U$1,A:F,6,))/VLOOKUP($U$1,A:F,6,))*100)+100</f>
        <v/>
      </c>
      <c r="M262" s="76">
        <f>(((Table134567891011121314151617343[[#This Row],[GBR]]-VLOOKUP($U$1,A:G,7,))/VLOOKUP($U$1,A:G,7,))*100)+100</f>
        <v/>
      </c>
      <c r="N262" s="76">
        <f>IF(VLOOKUP(A262,Database!$A:$AU,MATCH($N$1,Database!$A$1:$AU$1,0),FALSE)=0,#N/A,VLOOKUP(A262,Database!$A:$AU,MATCH($N$1,Database!$A$1:$AU$1,0),FALSE))</f>
        <v/>
      </c>
      <c r="O262" s="76">
        <f>(((Table134567891011121314151617343[[#This Row],[USA]]-VLOOKUP($U$1,A:N,14,))/VLOOKUP($U$1,A:N,14,))*100)+100</f>
        <v/>
      </c>
      <c r="P262" s="76">
        <f>IF(VLOOKUP(A262,Database!$A:$AS,MATCH($P$1,Database!$A$1:$AS$1,0),FALSE)=0,#N/A,VLOOKUP(A262,Database!$A:$AS,MATCH($P$1,Database!$A$1:$AS$1,0),FALSE))</f>
        <v/>
      </c>
      <c r="Q262" s="76">
        <f>(((Table134567891011121314151617343[[#This Row],[JPN]]-VLOOKUP($U$1,A:Q,16,))/VLOOKUP($U$1,A:Q,16,))*100)+100</f>
        <v/>
      </c>
    </row>
    <row r="263" customFormat="1" s="86">
      <c r="A263" s="21" t="n">
        <v>40817</v>
      </c>
      <c r="B263" s="76">
        <f>IF(VLOOKUP(A263,Database!$A:$AS,MATCH($B$1,Database!$A$1:$AS$1,0),FALSE)=0,#N/A,VLOOKUP(A263,Database!$A:$AS,MATCH($B$1,Database!$A$1:$AS$1,0),FALSE))</f>
        <v/>
      </c>
      <c r="C263" s="76">
        <f>IF(VLOOKUP(A263,Database!$A:$AS,MATCH($C$1,Database!$A$1:$AS$1,0),FALSE)=0,#N/A,VLOOKUP(A263,Database!$A:$AS,MATCH($C$1,Database!$A$1:$AS$1,0),FALSE))</f>
        <v/>
      </c>
      <c r="D263" s="76">
        <f>IF(VLOOKUP(A263,Database!$A:$AS,MATCH($D$1,Database!$A$1:$AS$1,0),FALSE)=0,#N/A,VLOOKUP(A263,Database!$A:$AS,MATCH($D$1,Database!$A$1:$AS$1,0),FALSE))</f>
        <v/>
      </c>
      <c r="E263" s="76">
        <f>IF(VLOOKUP(A263,Database!$A:$AS,MATCH($E$1,Database!$A$1:$AS$1,0),FALSE)=0,#N/A,VLOOKUP(A263,Database!$A:$AS,MATCH($E$1,Database!$A$1:$AS$1,0),FALSE))</f>
        <v/>
      </c>
      <c r="F263" s="76">
        <f>IF(VLOOKUP(A263,Database!$A:$AS,MATCH($F$1,Database!$A$1:$AS$1,0),FALSE)=0,#N/A,VLOOKUP(A263,Database!$A:$AS,MATCH($F$1,Database!$A$1:$AS$1,0),FALSE))</f>
        <v/>
      </c>
      <c r="G263" s="76">
        <f>IF(VLOOKUP(A263,Database!$A:$AS,MATCH($G$1,Database!$A$1:$AS$1,0),FALSE)=0,#N/A,VLOOKUP(A263,Database!$A:$AS,MATCH($G$1,Database!$A$1:$AS$1,0),FALSE))</f>
        <v/>
      </c>
      <c r="H263" s="76">
        <f>(((Table134567891011121314151617343[[#This Row],[ITA]]-VLOOKUP($U$1,A:B,2,))/VLOOKUP($U$1,A:B,2,))*100)+100</f>
        <v/>
      </c>
      <c r="I263" s="76">
        <f>(((Table134567891011121314151617343[[#This Row],[FRA]]-VLOOKUP($U$1,A:C,3,))/VLOOKUP($U$1,A:C,3,))*100)+100</f>
        <v/>
      </c>
      <c r="J263" s="76">
        <f>(((Table134567891011121314151617343[[#This Row],[DEU]]-VLOOKUP($U$1,A:D,4,))/VLOOKUP($U$1,A:D,4,))*100)+100</f>
        <v/>
      </c>
      <c r="K263" s="76">
        <f>(((Table134567891011121314151617343[[#This Row],[ESP]]-VLOOKUP($U$1,A:E,5,))/VLOOKUP($U$1,A:E,5,))*100)+100</f>
        <v/>
      </c>
      <c r="L263" s="76">
        <f>(((Table134567891011121314151617343[[#This Row],[EA19]]-VLOOKUP($U$1,A:F,6,))/VLOOKUP($U$1,A:F,6,))*100)+100</f>
        <v/>
      </c>
      <c r="M263" s="76">
        <f>(((Table134567891011121314151617343[[#This Row],[GBR]]-VLOOKUP($U$1,A:G,7,))/VLOOKUP($U$1,A:G,7,))*100)+100</f>
        <v/>
      </c>
      <c r="N263" s="76">
        <f>IF(VLOOKUP(A263,Database!$A:$AU,MATCH($N$1,Database!$A$1:$AU$1,0),FALSE)=0,#N/A,VLOOKUP(A263,Database!$A:$AU,MATCH($N$1,Database!$A$1:$AU$1,0),FALSE))</f>
        <v/>
      </c>
      <c r="O263" s="76">
        <f>(((Table134567891011121314151617343[[#This Row],[USA]]-VLOOKUP($U$1,A:N,14,))/VLOOKUP($U$1,A:N,14,))*100)+100</f>
        <v/>
      </c>
      <c r="P263" s="76">
        <f>IF(VLOOKUP(A263,Database!$A:$AS,MATCH($P$1,Database!$A$1:$AS$1,0),FALSE)=0,#N/A,VLOOKUP(A263,Database!$A:$AS,MATCH($P$1,Database!$A$1:$AS$1,0),FALSE))</f>
        <v/>
      </c>
      <c r="Q263" s="76">
        <f>(((Table134567891011121314151617343[[#This Row],[JPN]]-VLOOKUP($U$1,A:Q,16,))/VLOOKUP($U$1,A:Q,16,))*100)+100</f>
        <v/>
      </c>
    </row>
    <row r="264" customFormat="1" s="86">
      <c r="A264" s="21" t="n">
        <v>40848</v>
      </c>
      <c r="B264" s="76">
        <f>IF(VLOOKUP(A264,Database!$A:$AS,MATCH($B$1,Database!$A$1:$AS$1,0),FALSE)=0,#N/A,VLOOKUP(A264,Database!$A:$AS,MATCH($B$1,Database!$A$1:$AS$1,0),FALSE))</f>
        <v/>
      </c>
      <c r="C264" s="76">
        <f>IF(VLOOKUP(A264,Database!$A:$AS,MATCH($C$1,Database!$A$1:$AS$1,0),FALSE)=0,#N/A,VLOOKUP(A264,Database!$A:$AS,MATCH($C$1,Database!$A$1:$AS$1,0),FALSE))</f>
        <v/>
      </c>
      <c r="D264" s="76">
        <f>IF(VLOOKUP(A264,Database!$A:$AS,MATCH($D$1,Database!$A$1:$AS$1,0),FALSE)=0,#N/A,VLOOKUP(A264,Database!$A:$AS,MATCH($D$1,Database!$A$1:$AS$1,0),FALSE))</f>
        <v/>
      </c>
      <c r="E264" s="76">
        <f>IF(VLOOKUP(A264,Database!$A:$AS,MATCH($E$1,Database!$A$1:$AS$1,0),FALSE)=0,#N/A,VLOOKUP(A264,Database!$A:$AS,MATCH($E$1,Database!$A$1:$AS$1,0),FALSE))</f>
        <v/>
      </c>
      <c r="F264" s="76">
        <f>IF(VLOOKUP(A264,Database!$A:$AS,MATCH($F$1,Database!$A$1:$AS$1,0),FALSE)=0,#N/A,VLOOKUP(A264,Database!$A:$AS,MATCH($F$1,Database!$A$1:$AS$1,0),FALSE))</f>
        <v/>
      </c>
      <c r="G264" s="76">
        <f>IF(VLOOKUP(A264,Database!$A:$AS,MATCH($G$1,Database!$A$1:$AS$1,0),FALSE)=0,#N/A,VLOOKUP(A264,Database!$A:$AS,MATCH($G$1,Database!$A$1:$AS$1,0),FALSE))</f>
        <v/>
      </c>
      <c r="H264" s="76">
        <f>(((Table134567891011121314151617343[[#This Row],[ITA]]-VLOOKUP($U$1,A:B,2,))/VLOOKUP($U$1,A:B,2,))*100)+100</f>
        <v/>
      </c>
      <c r="I264" s="76">
        <f>(((Table134567891011121314151617343[[#This Row],[FRA]]-VLOOKUP($U$1,A:C,3,))/VLOOKUP($U$1,A:C,3,))*100)+100</f>
        <v/>
      </c>
      <c r="J264" s="76">
        <f>(((Table134567891011121314151617343[[#This Row],[DEU]]-VLOOKUP($U$1,A:D,4,))/VLOOKUP($U$1,A:D,4,))*100)+100</f>
        <v/>
      </c>
      <c r="K264" s="76">
        <f>(((Table134567891011121314151617343[[#This Row],[ESP]]-VLOOKUP($U$1,A:E,5,))/VLOOKUP($U$1,A:E,5,))*100)+100</f>
        <v/>
      </c>
      <c r="L264" s="76">
        <f>(((Table134567891011121314151617343[[#This Row],[EA19]]-VLOOKUP($U$1,A:F,6,))/VLOOKUP($U$1,A:F,6,))*100)+100</f>
        <v/>
      </c>
      <c r="M264" s="76">
        <f>(((Table134567891011121314151617343[[#This Row],[GBR]]-VLOOKUP($U$1,A:G,7,))/VLOOKUP($U$1,A:G,7,))*100)+100</f>
        <v/>
      </c>
      <c r="N264" s="76">
        <f>IF(VLOOKUP(A264,Database!$A:$AU,MATCH($N$1,Database!$A$1:$AU$1,0),FALSE)=0,#N/A,VLOOKUP(A264,Database!$A:$AU,MATCH($N$1,Database!$A$1:$AU$1,0),FALSE))</f>
        <v/>
      </c>
      <c r="O264" s="76">
        <f>(((Table134567891011121314151617343[[#This Row],[USA]]-VLOOKUP($U$1,A:N,14,))/VLOOKUP($U$1,A:N,14,))*100)+100</f>
        <v/>
      </c>
      <c r="P264" s="76">
        <f>IF(VLOOKUP(A264,Database!$A:$AS,MATCH($P$1,Database!$A$1:$AS$1,0),FALSE)=0,#N/A,VLOOKUP(A264,Database!$A:$AS,MATCH($P$1,Database!$A$1:$AS$1,0),FALSE))</f>
        <v/>
      </c>
      <c r="Q264" s="76">
        <f>(((Table134567891011121314151617343[[#This Row],[JPN]]-VLOOKUP($U$1,A:Q,16,))/VLOOKUP($U$1,A:Q,16,))*100)+100</f>
        <v/>
      </c>
    </row>
    <row r="265" customFormat="1" s="86">
      <c r="A265" s="21" t="n">
        <v>40878</v>
      </c>
      <c r="B265" s="76">
        <f>IF(VLOOKUP(A265,Database!$A:$AS,MATCH($B$1,Database!$A$1:$AS$1,0),FALSE)=0,#N/A,VLOOKUP(A265,Database!$A:$AS,MATCH($B$1,Database!$A$1:$AS$1,0),FALSE))</f>
        <v/>
      </c>
      <c r="C265" s="76">
        <f>IF(VLOOKUP(A265,Database!$A:$AS,MATCH($C$1,Database!$A$1:$AS$1,0),FALSE)=0,#N/A,VLOOKUP(A265,Database!$A:$AS,MATCH($C$1,Database!$A$1:$AS$1,0),FALSE))</f>
        <v/>
      </c>
      <c r="D265" s="76">
        <f>IF(VLOOKUP(A265,Database!$A:$AS,MATCH($D$1,Database!$A$1:$AS$1,0),FALSE)=0,#N/A,VLOOKUP(A265,Database!$A:$AS,MATCH($D$1,Database!$A$1:$AS$1,0),FALSE))</f>
        <v/>
      </c>
      <c r="E265" s="76">
        <f>IF(VLOOKUP(A265,Database!$A:$AS,MATCH($E$1,Database!$A$1:$AS$1,0),FALSE)=0,#N/A,VLOOKUP(A265,Database!$A:$AS,MATCH($E$1,Database!$A$1:$AS$1,0),FALSE))</f>
        <v/>
      </c>
      <c r="F265" s="76">
        <f>IF(VLOOKUP(A265,Database!$A:$AS,MATCH($F$1,Database!$A$1:$AS$1,0),FALSE)=0,#N/A,VLOOKUP(A265,Database!$A:$AS,MATCH($F$1,Database!$A$1:$AS$1,0),FALSE))</f>
        <v/>
      </c>
      <c r="G265" s="76">
        <f>IF(VLOOKUP(A265,Database!$A:$AS,MATCH($G$1,Database!$A$1:$AS$1,0),FALSE)=0,#N/A,VLOOKUP(A265,Database!$A:$AS,MATCH($G$1,Database!$A$1:$AS$1,0),FALSE))</f>
        <v/>
      </c>
      <c r="H265" s="76">
        <f>(((Table134567891011121314151617343[[#This Row],[ITA]]-VLOOKUP($U$1,A:B,2,))/VLOOKUP($U$1,A:B,2,))*100)+100</f>
        <v/>
      </c>
      <c r="I265" s="76">
        <f>(((Table134567891011121314151617343[[#This Row],[FRA]]-VLOOKUP($U$1,A:C,3,))/VLOOKUP($U$1,A:C,3,))*100)+100</f>
        <v/>
      </c>
      <c r="J265" s="76">
        <f>(((Table134567891011121314151617343[[#This Row],[DEU]]-VLOOKUP($U$1,A:D,4,))/VLOOKUP($U$1,A:D,4,))*100)+100</f>
        <v/>
      </c>
      <c r="K265" s="76">
        <f>(((Table134567891011121314151617343[[#This Row],[ESP]]-VLOOKUP($U$1,A:E,5,))/VLOOKUP($U$1,A:E,5,))*100)+100</f>
        <v/>
      </c>
      <c r="L265" s="76">
        <f>(((Table134567891011121314151617343[[#This Row],[EA19]]-VLOOKUP($U$1,A:F,6,))/VLOOKUP($U$1,A:F,6,))*100)+100</f>
        <v/>
      </c>
      <c r="M265" s="76">
        <f>(((Table134567891011121314151617343[[#This Row],[GBR]]-VLOOKUP($U$1,A:G,7,))/VLOOKUP($U$1,A:G,7,))*100)+100</f>
        <v/>
      </c>
      <c r="N265" s="76">
        <f>IF(VLOOKUP(A265,Database!$A:$AU,MATCH($N$1,Database!$A$1:$AU$1,0),FALSE)=0,#N/A,VLOOKUP(A265,Database!$A:$AU,MATCH($N$1,Database!$A$1:$AU$1,0),FALSE))</f>
        <v/>
      </c>
      <c r="O265" s="76">
        <f>(((Table134567891011121314151617343[[#This Row],[USA]]-VLOOKUP($U$1,A:N,14,))/VLOOKUP($U$1,A:N,14,))*100)+100</f>
        <v/>
      </c>
      <c r="P265" s="76">
        <f>IF(VLOOKUP(A265,Database!$A:$AS,MATCH($P$1,Database!$A$1:$AS$1,0),FALSE)=0,#N/A,VLOOKUP(A265,Database!$A:$AS,MATCH($P$1,Database!$A$1:$AS$1,0),FALSE))</f>
        <v/>
      </c>
      <c r="Q265" s="76">
        <f>(((Table134567891011121314151617343[[#This Row],[JPN]]-VLOOKUP($U$1,A:Q,16,))/VLOOKUP($U$1,A:Q,16,))*100)+100</f>
        <v/>
      </c>
    </row>
    <row r="266" customFormat="1" s="86">
      <c r="A266" s="21" t="n">
        <v>40909</v>
      </c>
      <c r="B266" s="76">
        <f>IF(VLOOKUP(A266,Database!$A:$AS,MATCH($B$1,Database!$A$1:$AS$1,0),FALSE)=0,#N/A,VLOOKUP(A266,Database!$A:$AS,MATCH($B$1,Database!$A$1:$AS$1,0),FALSE))</f>
        <v/>
      </c>
      <c r="C266" s="76">
        <f>IF(VLOOKUP(A266,Database!$A:$AS,MATCH($C$1,Database!$A$1:$AS$1,0),FALSE)=0,#N/A,VLOOKUP(A266,Database!$A:$AS,MATCH($C$1,Database!$A$1:$AS$1,0),FALSE))</f>
        <v/>
      </c>
      <c r="D266" s="76">
        <f>IF(VLOOKUP(A266,Database!$A:$AS,MATCH($D$1,Database!$A$1:$AS$1,0),FALSE)=0,#N/A,VLOOKUP(A266,Database!$A:$AS,MATCH($D$1,Database!$A$1:$AS$1,0),FALSE))</f>
        <v/>
      </c>
      <c r="E266" s="76">
        <f>IF(VLOOKUP(A266,Database!$A:$AS,MATCH($E$1,Database!$A$1:$AS$1,0),FALSE)=0,#N/A,VLOOKUP(A266,Database!$A:$AS,MATCH($E$1,Database!$A$1:$AS$1,0),FALSE))</f>
        <v/>
      </c>
      <c r="F266" s="76">
        <f>IF(VLOOKUP(A266,Database!$A:$AS,MATCH($F$1,Database!$A$1:$AS$1,0),FALSE)=0,#N/A,VLOOKUP(A266,Database!$A:$AS,MATCH($F$1,Database!$A$1:$AS$1,0),FALSE))</f>
        <v/>
      </c>
      <c r="G266" s="76">
        <f>IF(VLOOKUP(A266,Database!$A:$AS,MATCH($G$1,Database!$A$1:$AS$1,0),FALSE)=0,#N/A,VLOOKUP(A266,Database!$A:$AS,MATCH($G$1,Database!$A$1:$AS$1,0),FALSE))</f>
        <v/>
      </c>
      <c r="H266" s="76">
        <f>(((Table134567891011121314151617343[[#This Row],[ITA]]-VLOOKUP($U$1,A:B,2,))/VLOOKUP($U$1,A:B,2,))*100)+100</f>
        <v/>
      </c>
      <c r="I266" s="76">
        <f>(((Table134567891011121314151617343[[#This Row],[FRA]]-VLOOKUP($U$1,A:C,3,))/VLOOKUP($U$1,A:C,3,))*100)+100</f>
        <v/>
      </c>
      <c r="J266" s="76">
        <f>(((Table134567891011121314151617343[[#This Row],[DEU]]-VLOOKUP($U$1,A:D,4,))/VLOOKUP($U$1,A:D,4,))*100)+100</f>
        <v/>
      </c>
      <c r="K266" s="76">
        <f>(((Table134567891011121314151617343[[#This Row],[ESP]]-VLOOKUP($U$1,A:E,5,))/VLOOKUP($U$1,A:E,5,))*100)+100</f>
        <v/>
      </c>
      <c r="L266" s="76">
        <f>(((Table134567891011121314151617343[[#This Row],[EA19]]-VLOOKUP($U$1,A:F,6,))/VLOOKUP($U$1,A:F,6,))*100)+100</f>
        <v/>
      </c>
      <c r="M266" s="76">
        <f>(((Table134567891011121314151617343[[#This Row],[GBR]]-VLOOKUP($U$1,A:G,7,))/VLOOKUP($U$1,A:G,7,))*100)+100</f>
        <v/>
      </c>
      <c r="N266" s="76">
        <f>IF(VLOOKUP(A266,Database!$A:$AU,MATCH($N$1,Database!$A$1:$AU$1,0),FALSE)=0,#N/A,VLOOKUP(A266,Database!$A:$AU,MATCH($N$1,Database!$A$1:$AU$1,0),FALSE))</f>
        <v/>
      </c>
      <c r="O266" s="76">
        <f>(((Table134567891011121314151617343[[#This Row],[USA]]-VLOOKUP($U$1,A:N,14,))/VLOOKUP($U$1,A:N,14,))*100)+100</f>
        <v/>
      </c>
      <c r="P266" s="76">
        <f>IF(VLOOKUP(A266,Database!$A:$AS,MATCH($P$1,Database!$A$1:$AS$1,0),FALSE)=0,#N/A,VLOOKUP(A266,Database!$A:$AS,MATCH($P$1,Database!$A$1:$AS$1,0),FALSE))</f>
        <v/>
      </c>
      <c r="Q266" s="76">
        <f>(((Table134567891011121314151617343[[#This Row],[JPN]]-VLOOKUP($U$1,A:Q,16,))/VLOOKUP($U$1,A:Q,16,))*100)+100</f>
        <v/>
      </c>
    </row>
    <row r="267" customFormat="1" s="86">
      <c r="A267" s="21" t="n">
        <v>40940</v>
      </c>
      <c r="B267" s="76">
        <f>IF(VLOOKUP(A267,Database!$A:$AS,MATCH($B$1,Database!$A$1:$AS$1,0),FALSE)=0,#N/A,VLOOKUP(A267,Database!$A:$AS,MATCH($B$1,Database!$A$1:$AS$1,0),FALSE))</f>
        <v/>
      </c>
      <c r="C267" s="76">
        <f>IF(VLOOKUP(A267,Database!$A:$AS,MATCH($C$1,Database!$A$1:$AS$1,0),FALSE)=0,#N/A,VLOOKUP(A267,Database!$A:$AS,MATCH($C$1,Database!$A$1:$AS$1,0),FALSE))</f>
        <v/>
      </c>
      <c r="D267" s="76">
        <f>IF(VLOOKUP(A267,Database!$A:$AS,MATCH($D$1,Database!$A$1:$AS$1,0),FALSE)=0,#N/A,VLOOKUP(A267,Database!$A:$AS,MATCH($D$1,Database!$A$1:$AS$1,0),FALSE))</f>
        <v/>
      </c>
      <c r="E267" s="76">
        <f>IF(VLOOKUP(A267,Database!$A:$AS,MATCH($E$1,Database!$A$1:$AS$1,0),FALSE)=0,#N/A,VLOOKUP(A267,Database!$A:$AS,MATCH($E$1,Database!$A$1:$AS$1,0),FALSE))</f>
        <v/>
      </c>
      <c r="F267" s="76">
        <f>IF(VLOOKUP(A267,Database!$A:$AS,MATCH($F$1,Database!$A$1:$AS$1,0),FALSE)=0,#N/A,VLOOKUP(A267,Database!$A:$AS,MATCH($F$1,Database!$A$1:$AS$1,0),FALSE))</f>
        <v/>
      </c>
      <c r="G267" s="76">
        <f>IF(VLOOKUP(A267,Database!$A:$AS,MATCH($G$1,Database!$A$1:$AS$1,0),FALSE)=0,#N/A,VLOOKUP(A267,Database!$A:$AS,MATCH($G$1,Database!$A$1:$AS$1,0),FALSE))</f>
        <v/>
      </c>
      <c r="H267" s="76">
        <f>(((Table134567891011121314151617343[[#This Row],[ITA]]-VLOOKUP($U$1,A:B,2,))/VLOOKUP($U$1,A:B,2,))*100)+100</f>
        <v/>
      </c>
      <c r="I267" s="76">
        <f>(((Table134567891011121314151617343[[#This Row],[FRA]]-VLOOKUP($U$1,A:C,3,))/VLOOKUP($U$1,A:C,3,))*100)+100</f>
        <v/>
      </c>
      <c r="J267" s="76">
        <f>(((Table134567891011121314151617343[[#This Row],[DEU]]-VLOOKUP($U$1,A:D,4,))/VLOOKUP($U$1,A:D,4,))*100)+100</f>
        <v/>
      </c>
      <c r="K267" s="76">
        <f>(((Table134567891011121314151617343[[#This Row],[ESP]]-VLOOKUP($U$1,A:E,5,))/VLOOKUP($U$1,A:E,5,))*100)+100</f>
        <v/>
      </c>
      <c r="L267" s="76">
        <f>(((Table134567891011121314151617343[[#This Row],[EA19]]-VLOOKUP($U$1,A:F,6,))/VLOOKUP($U$1,A:F,6,))*100)+100</f>
        <v/>
      </c>
      <c r="M267" s="76">
        <f>(((Table134567891011121314151617343[[#This Row],[GBR]]-VLOOKUP($U$1,A:G,7,))/VLOOKUP($U$1,A:G,7,))*100)+100</f>
        <v/>
      </c>
      <c r="N267" s="76">
        <f>IF(VLOOKUP(A267,Database!$A:$AU,MATCH($N$1,Database!$A$1:$AU$1,0),FALSE)=0,#N/A,VLOOKUP(A267,Database!$A:$AU,MATCH($N$1,Database!$A$1:$AU$1,0),FALSE))</f>
        <v/>
      </c>
      <c r="O267" s="76">
        <f>(((Table134567891011121314151617343[[#This Row],[USA]]-VLOOKUP($U$1,A:N,14,))/VLOOKUP($U$1,A:N,14,))*100)+100</f>
        <v/>
      </c>
      <c r="P267" s="76">
        <f>IF(VLOOKUP(A267,Database!$A:$AS,MATCH($P$1,Database!$A$1:$AS$1,0),FALSE)=0,#N/A,VLOOKUP(A267,Database!$A:$AS,MATCH($P$1,Database!$A$1:$AS$1,0),FALSE))</f>
        <v/>
      </c>
      <c r="Q267" s="76">
        <f>(((Table134567891011121314151617343[[#This Row],[JPN]]-VLOOKUP($U$1,A:Q,16,))/VLOOKUP($U$1,A:Q,16,))*100)+100</f>
        <v/>
      </c>
    </row>
    <row r="268" customFormat="1" s="86">
      <c r="A268" s="21" t="n">
        <v>40969</v>
      </c>
      <c r="B268" s="76">
        <f>IF(VLOOKUP(A268,Database!$A:$AS,MATCH($B$1,Database!$A$1:$AS$1,0),FALSE)=0,#N/A,VLOOKUP(A268,Database!$A:$AS,MATCH($B$1,Database!$A$1:$AS$1,0),FALSE))</f>
        <v/>
      </c>
      <c r="C268" s="76">
        <f>IF(VLOOKUP(A268,Database!$A:$AS,MATCH($C$1,Database!$A$1:$AS$1,0),FALSE)=0,#N/A,VLOOKUP(A268,Database!$A:$AS,MATCH($C$1,Database!$A$1:$AS$1,0),FALSE))</f>
        <v/>
      </c>
      <c r="D268" s="76">
        <f>IF(VLOOKUP(A268,Database!$A:$AS,MATCH($D$1,Database!$A$1:$AS$1,0),FALSE)=0,#N/A,VLOOKUP(A268,Database!$A:$AS,MATCH($D$1,Database!$A$1:$AS$1,0),FALSE))</f>
        <v/>
      </c>
      <c r="E268" s="76">
        <f>IF(VLOOKUP(A268,Database!$A:$AS,MATCH($E$1,Database!$A$1:$AS$1,0),FALSE)=0,#N/A,VLOOKUP(A268,Database!$A:$AS,MATCH($E$1,Database!$A$1:$AS$1,0),FALSE))</f>
        <v/>
      </c>
      <c r="F268" s="76">
        <f>IF(VLOOKUP(A268,Database!$A:$AS,MATCH($F$1,Database!$A$1:$AS$1,0),FALSE)=0,#N/A,VLOOKUP(A268,Database!$A:$AS,MATCH($F$1,Database!$A$1:$AS$1,0),FALSE))</f>
        <v/>
      </c>
      <c r="G268" s="76">
        <f>IF(VLOOKUP(A268,Database!$A:$AS,MATCH($G$1,Database!$A$1:$AS$1,0),FALSE)=0,#N/A,VLOOKUP(A268,Database!$A:$AS,MATCH($G$1,Database!$A$1:$AS$1,0),FALSE))</f>
        <v/>
      </c>
      <c r="H268" s="76">
        <f>(((Table134567891011121314151617343[[#This Row],[ITA]]-VLOOKUP($U$1,A:B,2,))/VLOOKUP($U$1,A:B,2,))*100)+100</f>
        <v/>
      </c>
      <c r="I268" s="76">
        <f>(((Table134567891011121314151617343[[#This Row],[FRA]]-VLOOKUP($U$1,A:C,3,))/VLOOKUP($U$1,A:C,3,))*100)+100</f>
        <v/>
      </c>
      <c r="J268" s="76">
        <f>(((Table134567891011121314151617343[[#This Row],[DEU]]-VLOOKUP($U$1,A:D,4,))/VLOOKUP($U$1,A:D,4,))*100)+100</f>
        <v/>
      </c>
      <c r="K268" s="76">
        <f>(((Table134567891011121314151617343[[#This Row],[ESP]]-VLOOKUP($U$1,A:E,5,))/VLOOKUP($U$1,A:E,5,))*100)+100</f>
        <v/>
      </c>
      <c r="L268" s="76">
        <f>(((Table134567891011121314151617343[[#This Row],[EA19]]-VLOOKUP($U$1,A:F,6,))/VLOOKUP($U$1,A:F,6,))*100)+100</f>
        <v/>
      </c>
      <c r="M268" s="76">
        <f>(((Table134567891011121314151617343[[#This Row],[GBR]]-VLOOKUP($U$1,A:G,7,))/VLOOKUP($U$1,A:G,7,))*100)+100</f>
        <v/>
      </c>
      <c r="N268" s="76">
        <f>IF(VLOOKUP(A268,Database!$A:$AU,MATCH($N$1,Database!$A$1:$AU$1,0),FALSE)=0,#N/A,VLOOKUP(A268,Database!$A:$AU,MATCH($N$1,Database!$A$1:$AU$1,0),FALSE))</f>
        <v/>
      </c>
      <c r="O268" s="76">
        <f>(((Table134567891011121314151617343[[#This Row],[USA]]-VLOOKUP($U$1,A:N,14,))/VLOOKUP($U$1,A:N,14,))*100)+100</f>
        <v/>
      </c>
      <c r="P268" s="76">
        <f>IF(VLOOKUP(A268,Database!$A:$AS,MATCH($P$1,Database!$A$1:$AS$1,0),FALSE)=0,#N/A,VLOOKUP(A268,Database!$A:$AS,MATCH($P$1,Database!$A$1:$AS$1,0),FALSE))</f>
        <v/>
      </c>
      <c r="Q268" s="76">
        <f>(((Table134567891011121314151617343[[#This Row],[JPN]]-VLOOKUP($U$1,A:Q,16,))/VLOOKUP($U$1,A:Q,16,))*100)+100</f>
        <v/>
      </c>
    </row>
    <row r="269" customFormat="1" s="86">
      <c r="A269" s="21" t="n">
        <v>41000</v>
      </c>
      <c r="B269" s="76">
        <f>IF(VLOOKUP(A269,Database!$A:$AS,MATCH($B$1,Database!$A$1:$AS$1,0),FALSE)=0,#N/A,VLOOKUP(A269,Database!$A:$AS,MATCH($B$1,Database!$A$1:$AS$1,0),FALSE))</f>
        <v/>
      </c>
      <c r="C269" s="76">
        <f>IF(VLOOKUP(A269,Database!$A:$AS,MATCH($C$1,Database!$A$1:$AS$1,0),FALSE)=0,#N/A,VLOOKUP(A269,Database!$A:$AS,MATCH($C$1,Database!$A$1:$AS$1,0),FALSE))</f>
        <v/>
      </c>
      <c r="D269" s="76">
        <f>IF(VLOOKUP(A269,Database!$A:$AS,MATCH($D$1,Database!$A$1:$AS$1,0),FALSE)=0,#N/A,VLOOKUP(A269,Database!$A:$AS,MATCH($D$1,Database!$A$1:$AS$1,0),FALSE))</f>
        <v/>
      </c>
      <c r="E269" s="76">
        <f>IF(VLOOKUP(A269,Database!$A:$AS,MATCH($E$1,Database!$A$1:$AS$1,0),FALSE)=0,#N/A,VLOOKUP(A269,Database!$A:$AS,MATCH($E$1,Database!$A$1:$AS$1,0),FALSE))</f>
        <v/>
      </c>
      <c r="F269" s="76">
        <f>IF(VLOOKUP(A269,Database!$A:$AS,MATCH($F$1,Database!$A$1:$AS$1,0),FALSE)=0,#N/A,VLOOKUP(A269,Database!$A:$AS,MATCH($F$1,Database!$A$1:$AS$1,0),FALSE))</f>
        <v/>
      </c>
      <c r="G269" s="76">
        <f>IF(VLOOKUP(A269,Database!$A:$AS,MATCH($G$1,Database!$A$1:$AS$1,0),FALSE)=0,#N/A,VLOOKUP(A269,Database!$A:$AS,MATCH($G$1,Database!$A$1:$AS$1,0),FALSE))</f>
        <v/>
      </c>
      <c r="H269" s="76">
        <f>(((Table134567891011121314151617343[[#This Row],[ITA]]-VLOOKUP($U$1,A:B,2,))/VLOOKUP($U$1,A:B,2,))*100)+100</f>
        <v/>
      </c>
      <c r="I269" s="76">
        <f>(((Table134567891011121314151617343[[#This Row],[FRA]]-VLOOKUP($U$1,A:C,3,))/VLOOKUP($U$1,A:C,3,))*100)+100</f>
        <v/>
      </c>
      <c r="J269" s="76">
        <f>(((Table134567891011121314151617343[[#This Row],[DEU]]-VLOOKUP($U$1,A:D,4,))/VLOOKUP($U$1,A:D,4,))*100)+100</f>
        <v/>
      </c>
      <c r="K269" s="76">
        <f>(((Table134567891011121314151617343[[#This Row],[ESP]]-VLOOKUP($U$1,A:E,5,))/VLOOKUP($U$1,A:E,5,))*100)+100</f>
        <v/>
      </c>
      <c r="L269" s="76">
        <f>(((Table134567891011121314151617343[[#This Row],[EA19]]-VLOOKUP($U$1,A:F,6,))/VLOOKUP($U$1,A:F,6,))*100)+100</f>
        <v/>
      </c>
      <c r="M269" s="76">
        <f>(((Table134567891011121314151617343[[#This Row],[GBR]]-VLOOKUP($U$1,A:G,7,))/VLOOKUP($U$1,A:G,7,))*100)+100</f>
        <v/>
      </c>
      <c r="N269" s="76">
        <f>IF(VLOOKUP(A269,Database!$A:$AU,MATCH($N$1,Database!$A$1:$AU$1,0),FALSE)=0,#N/A,VLOOKUP(A269,Database!$A:$AU,MATCH($N$1,Database!$A$1:$AU$1,0),FALSE))</f>
        <v/>
      </c>
      <c r="O269" s="76">
        <f>(((Table134567891011121314151617343[[#This Row],[USA]]-VLOOKUP($U$1,A:N,14,))/VLOOKUP($U$1,A:N,14,))*100)+100</f>
        <v/>
      </c>
      <c r="P269" s="76">
        <f>IF(VLOOKUP(A269,Database!$A:$AS,MATCH($P$1,Database!$A$1:$AS$1,0),FALSE)=0,#N/A,VLOOKUP(A269,Database!$A:$AS,MATCH($P$1,Database!$A$1:$AS$1,0),FALSE))</f>
        <v/>
      </c>
      <c r="Q269" s="76">
        <f>(((Table134567891011121314151617343[[#This Row],[JPN]]-VLOOKUP($U$1,A:Q,16,))/VLOOKUP($U$1,A:Q,16,))*100)+100</f>
        <v/>
      </c>
    </row>
    <row r="270" customFormat="1" s="86">
      <c r="A270" s="21" t="n">
        <v>41030</v>
      </c>
      <c r="B270" s="76">
        <f>IF(VLOOKUP(A270,Database!$A:$AS,MATCH($B$1,Database!$A$1:$AS$1,0),FALSE)=0,#N/A,VLOOKUP(A270,Database!$A:$AS,MATCH($B$1,Database!$A$1:$AS$1,0),FALSE))</f>
        <v/>
      </c>
      <c r="C270" s="76">
        <f>IF(VLOOKUP(A270,Database!$A:$AS,MATCH($C$1,Database!$A$1:$AS$1,0),FALSE)=0,#N/A,VLOOKUP(A270,Database!$A:$AS,MATCH($C$1,Database!$A$1:$AS$1,0),FALSE))</f>
        <v/>
      </c>
      <c r="D270" s="76">
        <f>IF(VLOOKUP(A270,Database!$A:$AS,MATCH($D$1,Database!$A$1:$AS$1,0),FALSE)=0,#N/A,VLOOKUP(A270,Database!$A:$AS,MATCH($D$1,Database!$A$1:$AS$1,0),FALSE))</f>
        <v/>
      </c>
      <c r="E270" s="76">
        <f>IF(VLOOKUP(A270,Database!$A:$AS,MATCH($E$1,Database!$A$1:$AS$1,0),FALSE)=0,#N/A,VLOOKUP(A270,Database!$A:$AS,MATCH($E$1,Database!$A$1:$AS$1,0),FALSE))</f>
        <v/>
      </c>
      <c r="F270" s="76">
        <f>IF(VLOOKUP(A270,Database!$A:$AS,MATCH($F$1,Database!$A$1:$AS$1,0),FALSE)=0,#N/A,VLOOKUP(A270,Database!$A:$AS,MATCH($F$1,Database!$A$1:$AS$1,0),FALSE))</f>
        <v/>
      </c>
      <c r="G270" s="76">
        <f>IF(VLOOKUP(A270,Database!$A:$AS,MATCH($G$1,Database!$A$1:$AS$1,0),FALSE)=0,#N/A,VLOOKUP(A270,Database!$A:$AS,MATCH($G$1,Database!$A$1:$AS$1,0),FALSE))</f>
        <v/>
      </c>
      <c r="H270" s="76">
        <f>(((Table134567891011121314151617343[[#This Row],[ITA]]-VLOOKUP($U$1,A:B,2,))/VLOOKUP($U$1,A:B,2,))*100)+100</f>
        <v/>
      </c>
      <c r="I270" s="76">
        <f>(((Table134567891011121314151617343[[#This Row],[FRA]]-VLOOKUP($U$1,A:C,3,))/VLOOKUP($U$1,A:C,3,))*100)+100</f>
        <v/>
      </c>
      <c r="J270" s="76">
        <f>(((Table134567891011121314151617343[[#This Row],[DEU]]-VLOOKUP($U$1,A:D,4,))/VLOOKUP($U$1,A:D,4,))*100)+100</f>
        <v/>
      </c>
      <c r="K270" s="76">
        <f>(((Table134567891011121314151617343[[#This Row],[ESP]]-VLOOKUP($U$1,A:E,5,))/VLOOKUP($U$1,A:E,5,))*100)+100</f>
        <v/>
      </c>
      <c r="L270" s="76">
        <f>(((Table134567891011121314151617343[[#This Row],[EA19]]-VLOOKUP($U$1,A:F,6,))/VLOOKUP($U$1,A:F,6,))*100)+100</f>
        <v/>
      </c>
      <c r="M270" s="76">
        <f>(((Table134567891011121314151617343[[#This Row],[GBR]]-VLOOKUP($U$1,A:G,7,))/VLOOKUP($U$1,A:G,7,))*100)+100</f>
        <v/>
      </c>
      <c r="N270" s="76">
        <f>IF(VLOOKUP(A270,Database!$A:$AU,MATCH($N$1,Database!$A$1:$AU$1,0),FALSE)=0,#N/A,VLOOKUP(A270,Database!$A:$AU,MATCH($N$1,Database!$A$1:$AU$1,0),FALSE))</f>
        <v/>
      </c>
      <c r="O270" s="76">
        <f>(((Table134567891011121314151617343[[#This Row],[USA]]-VLOOKUP($U$1,A:N,14,))/VLOOKUP($U$1,A:N,14,))*100)+100</f>
        <v/>
      </c>
      <c r="P270" s="76">
        <f>IF(VLOOKUP(A270,Database!$A:$AS,MATCH($P$1,Database!$A$1:$AS$1,0),FALSE)=0,#N/A,VLOOKUP(A270,Database!$A:$AS,MATCH($P$1,Database!$A$1:$AS$1,0),FALSE))</f>
        <v/>
      </c>
      <c r="Q270" s="76">
        <f>(((Table134567891011121314151617343[[#This Row],[JPN]]-VLOOKUP($U$1,A:Q,16,))/VLOOKUP($U$1,A:Q,16,))*100)+100</f>
        <v/>
      </c>
    </row>
    <row r="271" customFormat="1" s="86">
      <c r="A271" s="21" t="n">
        <v>41061</v>
      </c>
      <c r="B271" s="76">
        <f>IF(VLOOKUP(A271,Database!$A:$AS,MATCH($B$1,Database!$A$1:$AS$1,0),FALSE)=0,#N/A,VLOOKUP(A271,Database!$A:$AS,MATCH($B$1,Database!$A$1:$AS$1,0),FALSE))</f>
        <v/>
      </c>
      <c r="C271" s="76">
        <f>IF(VLOOKUP(A271,Database!$A:$AS,MATCH($C$1,Database!$A$1:$AS$1,0),FALSE)=0,#N/A,VLOOKUP(A271,Database!$A:$AS,MATCH($C$1,Database!$A$1:$AS$1,0),FALSE))</f>
        <v/>
      </c>
      <c r="D271" s="76">
        <f>IF(VLOOKUP(A271,Database!$A:$AS,MATCH($D$1,Database!$A$1:$AS$1,0),FALSE)=0,#N/A,VLOOKUP(A271,Database!$A:$AS,MATCH($D$1,Database!$A$1:$AS$1,0),FALSE))</f>
        <v/>
      </c>
      <c r="E271" s="76">
        <f>IF(VLOOKUP(A271,Database!$A:$AS,MATCH($E$1,Database!$A$1:$AS$1,0),FALSE)=0,#N/A,VLOOKUP(A271,Database!$A:$AS,MATCH($E$1,Database!$A$1:$AS$1,0),FALSE))</f>
        <v/>
      </c>
      <c r="F271" s="76">
        <f>IF(VLOOKUP(A271,Database!$A:$AS,MATCH($F$1,Database!$A$1:$AS$1,0),FALSE)=0,#N/A,VLOOKUP(A271,Database!$A:$AS,MATCH($F$1,Database!$A$1:$AS$1,0),FALSE))</f>
        <v/>
      </c>
      <c r="G271" s="76">
        <f>IF(VLOOKUP(A271,Database!$A:$AS,MATCH($G$1,Database!$A$1:$AS$1,0),FALSE)=0,#N/A,VLOOKUP(A271,Database!$A:$AS,MATCH($G$1,Database!$A$1:$AS$1,0),FALSE))</f>
        <v/>
      </c>
      <c r="H271" s="76">
        <f>(((Table134567891011121314151617343[[#This Row],[ITA]]-VLOOKUP($U$1,A:B,2,))/VLOOKUP($U$1,A:B,2,))*100)+100</f>
        <v/>
      </c>
      <c r="I271" s="76">
        <f>(((Table134567891011121314151617343[[#This Row],[FRA]]-VLOOKUP($U$1,A:C,3,))/VLOOKUP($U$1,A:C,3,))*100)+100</f>
        <v/>
      </c>
      <c r="J271" s="76">
        <f>(((Table134567891011121314151617343[[#This Row],[DEU]]-VLOOKUP($U$1,A:D,4,))/VLOOKUP($U$1,A:D,4,))*100)+100</f>
        <v/>
      </c>
      <c r="K271" s="76">
        <f>(((Table134567891011121314151617343[[#This Row],[ESP]]-VLOOKUP($U$1,A:E,5,))/VLOOKUP($U$1,A:E,5,))*100)+100</f>
        <v/>
      </c>
      <c r="L271" s="76">
        <f>(((Table134567891011121314151617343[[#This Row],[EA19]]-VLOOKUP($U$1,A:F,6,))/VLOOKUP($U$1,A:F,6,))*100)+100</f>
        <v/>
      </c>
      <c r="M271" s="76">
        <f>(((Table134567891011121314151617343[[#This Row],[GBR]]-VLOOKUP($U$1,A:G,7,))/VLOOKUP($U$1,A:G,7,))*100)+100</f>
        <v/>
      </c>
      <c r="N271" s="76">
        <f>IF(VLOOKUP(A271,Database!$A:$AU,MATCH($N$1,Database!$A$1:$AU$1,0),FALSE)=0,#N/A,VLOOKUP(A271,Database!$A:$AU,MATCH($N$1,Database!$A$1:$AU$1,0),FALSE))</f>
        <v/>
      </c>
      <c r="O271" s="76">
        <f>(((Table134567891011121314151617343[[#This Row],[USA]]-VLOOKUP($U$1,A:N,14,))/VLOOKUP($U$1,A:N,14,))*100)+100</f>
        <v/>
      </c>
      <c r="P271" s="76">
        <f>IF(VLOOKUP(A271,Database!$A:$AS,MATCH($P$1,Database!$A$1:$AS$1,0),FALSE)=0,#N/A,VLOOKUP(A271,Database!$A:$AS,MATCH($P$1,Database!$A$1:$AS$1,0),FALSE))</f>
        <v/>
      </c>
      <c r="Q271" s="76">
        <f>(((Table134567891011121314151617343[[#This Row],[JPN]]-VLOOKUP($U$1,A:Q,16,))/VLOOKUP($U$1,A:Q,16,))*100)+100</f>
        <v/>
      </c>
    </row>
    <row r="272" customFormat="1" s="86">
      <c r="A272" s="21" t="n">
        <v>41091</v>
      </c>
      <c r="B272" s="76">
        <f>IF(VLOOKUP(A272,Database!$A:$AS,MATCH($B$1,Database!$A$1:$AS$1,0),FALSE)=0,#N/A,VLOOKUP(A272,Database!$A:$AS,MATCH($B$1,Database!$A$1:$AS$1,0),FALSE))</f>
        <v/>
      </c>
      <c r="C272" s="76">
        <f>IF(VLOOKUP(A272,Database!$A:$AS,MATCH($C$1,Database!$A$1:$AS$1,0),FALSE)=0,#N/A,VLOOKUP(A272,Database!$A:$AS,MATCH($C$1,Database!$A$1:$AS$1,0),FALSE))</f>
        <v/>
      </c>
      <c r="D272" s="76">
        <f>IF(VLOOKUP(A272,Database!$A:$AS,MATCH($D$1,Database!$A$1:$AS$1,0),FALSE)=0,#N/A,VLOOKUP(A272,Database!$A:$AS,MATCH($D$1,Database!$A$1:$AS$1,0),FALSE))</f>
        <v/>
      </c>
      <c r="E272" s="76">
        <f>IF(VLOOKUP(A272,Database!$A:$AS,MATCH($E$1,Database!$A$1:$AS$1,0),FALSE)=0,#N/A,VLOOKUP(A272,Database!$A:$AS,MATCH($E$1,Database!$A$1:$AS$1,0),FALSE))</f>
        <v/>
      </c>
      <c r="F272" s="76">
        <f>IF(VLOOKUP(A272,Database!$A:$AS,MATCH($F$1,Database!$A$1:$AS$1,0),FALSE)=0,#N/A,VLOOKUP(A272,Database!$A:$AS,MATCH($F$1,Database!$A$1:$AS$1,0),FALSE))</f>
        <v/>
      </c>
      <c r="G272" s="76">
        <f>IF(VLOOKUP(A272,Database!$A:$AS,MATCH($G$1,Database!$A$1:$AS$1,0),FALSE)=0,#N/A,VLOOKUP(A272,Database!$A:$AS,MATCH($G$1,Database!$A$1:$AS$1,0),FALSE))</f>
        <v/>
      </c>
      <c r="H272" s="76">
        <f>(((Table134567891011121314151617343[[#This Row],[ITA]]-VLOOKUP($U$1,A:B,2,))/VLOOKUP($U$1,A:B,2,))*100)+100</f>
        <v/>
      </c>
      <c r="I272" s="76">
        <f>(((Table134567891011121314151617343[[#This Row],[FRA]]-VLOOKUP($U$1,A:C,3,))/VLOOKUP($U$1,A:C,3,))*100)+100</f>
        <v/>
      </c>
      <c r="J272" s="76">
        <f>(((Table134567891011121314151617343[[#This Row],[DEU]]-VLOOKUP($U$1,A:D,4,))/VLOOKUP($U$1,A:D,4,))*100)+100</f>
        <v/>
      </c>
      <c r="K272" s="76">
        <f>(((Table134567891011121314151617343[[#This Row],[ESP]]-VLOOKUP($U$1,A:E,5,))/VLOOKUP($U$1,A:E,5,))*100)+100</f>
        <v/>
      </c>
      <c r="L272" s="76">
        <f>(((Table134567891011121314151617343[[#This Row],[EA19]]-VLOOKUP($U$1,A:F,6,))/VLOOKUP($U$1,A:F,6,))*100)+100</f>
        <v/>
      </c>
      <c r="M272" s="76">
        <f>(((Table134567891011121314151617343[[#This Row],[GBR]]-VLOOKUP($U$1,A:G,7,))/VLOOKUP($U$1,A:G,7,))*100)+100</f>
        <v/>
      </c>
      <c r="N272" s="76">
        <f>IF(VLOOKUP(A272,Database!$A:$AU,MATCH($N$1,Database!$A$1:$AU$1,0),FALSE)=0,#N/A,VLOOKUP(A272,Database!$A:$AU,MATCH($N$1,Database!$A$1:$AU$1,0),FALSE))</f>
        <v/>
      </c>
      <c r="O272" s="76">
        <f>(((Table134567891011121314151617343[[#This Row],[USA]]-VLOOKUP($U$1,A:N,14,))/VLOOKUP($U$1,A:N,14,))*100)+100</f>
        <v/>
      </c>
      <c r="P272" s="76">
        <f>IF(VLOOKUP(A272,Database!$A:$AS,MATCH($P$1,Database!$A$1:$AS$1,0),FALSE)=0,#N/A,VLOOKUP(A272,Database!$A:$AS,MATCH($P$1,Database!$A$1:$AS$1,0),FALSE))</f>
        <v/>
      </c>
      <c r="Q272" s="76">
        <f>(((Table134567891011121314151617343[[#This Row],[JPN]]-VLOOKUP($U$1,A:Q,16,))/VLOOKUP($U$1,A:Q,16,))*100)+100</f>
        <v/>
      </c>
    </row>
    <row r="273" customFormat="1" s="86">
      <c r="A273" s="21" t="n">
        <v>41122</v>
      </c>
      <c r="B273" s="76">
        <f>IF(VLOOKUP(A273,Database!$A:$AS,MATCH($B$1,Database!$A$1:$AS$1,0),FALSE)=0,#N/A,VLOOKUP(A273,Database!$A:$AS,MATCH($B$1,Database!$A$1:$AS$1,0),FALSE))</f>
        <v/>
      </c>
      <c r="C273" s="76">
        <f>IF(VLOOKUP(A273,Database!$A:$AS,MATCH($C$1,Database!$A$1:$AS$1,0),FALSE)=0,#N/A,VLOOKUP(A273,Database!$A:$AS,MATCH($C$1,Database!$A$1:$AS$1,0),FALSE))</f>
        <v/>
      </c>
      <c r="D273" s="76">
        <f>IF(VLOOKUP(A273,Database!$A:$AS,MATCH($D$1,Database!$A$1:$AS$1,0),FALSE)=0,#N/A,VLOOKUP(A273,Database!$A:$AS,MATCH($D$1,Database!$A$1:$AS$1,0),FALSE))</f>
        <v/>
      </c>
      <c r="E273" s="76">
        <f>IF(VLOOKUP(A273,Database!$A:$AS,MATCH($E$1,Database!$A$1:$AS$1,0),FALSE)=0,#N/A,VLOOKUP(A273,Database!$A:$AS,MATCH($E$1,Database!$A$1:$AS$1,0),FALSE))</f>
        <v/>
      </c>
      <c r="F273" s="76">
        <f>IF(VLOOKUP(A273,Database!$A:$AS,MATCH($F$1,Database!$A$1:$AS$1,0),FALSE)=0,#N/A,VLOOKUP(A273,Database!$A:$AS,MATCH($F$1,Database!$A$1:$AS$1,0),FALSE))</f>
        <v/>
      </c>
      <c r="G273" s="76">
        <f>IF(VLOOKUP(A273,Database!$A:$AS,MATCH($G$1,Database!$A$1:$AS$1,0),FALSE)=0,#N/A,VLOOKUP(A273,Database!$A:$AS,MATCH($G$1,Database!$A$1:$AS$1,0),FALSE))</f>
        <v/>
      </c>
      <c r="H273" s="76">
        <f>(((Table134567891011121314151617343[[#This Row],[ITA]]-VLOOKUP($U$1,A:B,2,))/VLOOKUP($U$1,A:B,2,))*100)+100</f>
        <v/>
      </c>
      <c r="I273" s="76">
        <f>(((Table134567891011121314151617343[[#This Row],[FRA]]-VLOOKUP($U$1,A:C,3,))/VLOOKUP($U$1,A:C,3,))*100)+100</f>
        <v/>
      </c>
      <c r="J273" s="76">
        <f>(((Table134567891011121314151617343[[#This Row],[DEU]]-VLOOKUP($U$1,A:D,4,))/VLOOKUP($U$1,A:D,4,))*100)+100</f>
        <v/>
      </c>
      <c r="K273" s="76">
        <f>(((Table134567891011121314151617343[[#This Row],[ESP]]-VLOOKUP($U$1,A:E,5,))/VLOOKUP($U$1,A:E,5,))*100)+100</f>
        <v/>
      </c>
      <c r="L273" s="76">
        <f>(((Table134567891011121314151617343[[#This Row],[EA19]]-VLOOKUP($U$1,A:F,6,))/VLOOKUP($U$1,A:F,6,))*100)+100</f>
        <v/>
      </c>
      <c r="M273" s="76">
        <f>(((Table134567891011121314151617343[[#This Row],[GBR]]-VLOOKUP($U$1,A:G,7,))/VLOOKUP($U$1,A:G,7,))*100)+100</f>
        <v/>
      </c>
      <c r="N273" s="76">
        <f>IF(VLOOKUP(A273,Database!$A:$AU,MATCH($N$1,Database!$A$1:$AU$1,0),FALSE)=0,#N/A,VLOOKUP(A273,Database!$A:$AU,MATCH($N$1,Database!$A$1:$AU$1,0),FALSE))</f>
        <v/>
      </c>
      <c r="O273" s="76">
        <f>(((Table134567891011121314151617343[[#This Row],[USA]]-VLOOKUP($U$1,A:N,14,))/VLOOKUP($U$1,A:N,14,))*100)+100</f>
        <v/>
      </c>
      <c r="P273" s="76">
        <f>IF(VLOOKUP(A273,Database!$A:$AS,MATCH($P$1,Database!$A$1:$AS$1,0),FALSE)=0,#N/A,VLOOKUP(A273,Database!$A:$AS,MATCH($P$1,Database!$A$1:$AS$1,0),FALSE))</f>
        <v/>
      </c>
      <c r="Q273" s="76">
        <f>(((Table134567891011121314151617343[[#This Row],[JPN]]-VLOOKUP($U$1,A:Q,16,))/VLOOKUP($U$1,A:Q,16,))*100)+100</f>
        <v/>
      </c>
    </row>
    <row r="274" customFormat="1" s="86">
      <c r="A274" s="21" t="n">
        <v>41153</v>
      </c>
      <c r="B274" s="76">
        <f>IF(VLOOKUP(A274,Database!$A:$AS,MATCH($B$1,Database!$A$1:$AS$1,0),FALSE)=0,#N/A,VLOOKUP(A274,Database!$A:$AS,MATCH($B$1,Database!$A$1:$AS$1,0),FALSE))</f>
        <v/>
      </c>
      <c r="C274" s="76">
        <f>IF(VLOOKUP(A274,Database!$A:$AS,MATCH($C$1,Database!$A$1:$AS$1,0),FALSE)=0,#N/A,VLOOKUP(A274,Database!$A:$AS,MATCH($C$1,Database!$A$1:$AS$1,0),FALSE))</f>
        <v/>
      </c>
      <c r="D274" s="76">
        <f>IF(VLOOKUP(A274,Database!$A:$AS,MATCH($D$1,Database!$A$1:$AS$1,0),FALSE)=0,#N/A,VLOOKUP(A274,Database!$A:$AS,MATCH($D$1,Database!$A$1:$AS$1,0),FALSE))</f>
        <v/>
      </c>
      <c r="E274" s="76">
        <f>IF(VLOOKUP(A274,Database!$A:$AS,MATCH($E$1,Database!$A$1:$AS$1,0),FALSE)=0,#N/A,VLOOKUP(A274,Database!$A:$AS,MATCH($E$1,Database!$A$1:$AS$1,0),FALSE))</f>
        <v/>
      </c>
      <c r="F274" s="76">
        <f>IF(VLOOKUP(A274,Database!$A:$AS,MATCH($F$1,Database!$A$1:$AS$1,0),FALSE)=0,#N/A,VLOOKUP(A274,Database!$A:$AS,MATCH($F$1,Database!$A$1:$AS$1,0),FALSE))</f>
        <v/>
      </c>
      <c r="G274" s="76">
        <f>IF(VLOOKUP(A274,Database!$A:$AS,MATCH($G$1,Database!$A$1:$AS$1,0),FALSE)=0,#N/A,VLOOKUP(A274,Database!$A:$AS,MATCH($G$1,Database!$A$1:$AS$1,0),FALSE))</f>
        <v/>
      </c>
      <c r="H274" s="76">
        <f>(((Table134567891011121314151617343[[#This Row],[ITA]]-VLOOKUP($U$1,A:B,2,))/VLOOKUP($U$1,A:B,2,))*100)+100</f>
        <v/>
      </c>
      <c r="I274" s="76">
        <f>(((Table134567891011121314151617343[[#This Row],[FRA]]-VLOOKUP($U$1,A:C,3,))/VLOOKUP($U$1,A:C,3,))*100)+100</f>
        <v/>
      </c>
      <c r="J274" s="76">
        <f>(((Table134567891011121314151617343[[#This Row],[DEU]]-VLOOKUP($U$1,A:D,4,))/VLOOKUP($U$1,A:D,4,))*100)+100</f>
        <v/>
      </c>
      <c r="K274" s="76">
        <f>(((Table134567891011121314151617343[[#This Row],[ESP]]-VLOOKUP($U$1,A:E,5,))/VLOOKUP($U$1,A:E,5,))*100)+100</f>
        <v/>
      </c>
      <c r="L274" s="76">
        <f>(((Table134567891011121314151617343[[#This Row],[EA19]]-VLOOKUP($U$1,A:F,6,))/VLOOKUP($U$1,A:F,6,))*100)+100</f>
        <v/>
      </c>
      <c r="M274" s="76">
        <f>(((Table134567891011121314151617343[[#This Row],[GBR]]-VLOOKUP($U$1,A:G,7,))/VLOOKUP($U$1,A:G,7,))*100)+100</f>
        <v/>
      </c>
      <c r="N274" s="76">
        <f>IF(VLOOKUP(A274,Database!$A:$AU,MATCH($N$1,Database!$A$1:$AU$1,0),FALSE)=0,#N/A,VLOOKUP(A274,Database!$A:$AU,MATCH($N$1,Database!$A$1:$AU$1,0),FALSE))</f>
        <v/>
      </c>
      <c r="O274" s="76">
        <f>(((Table134567891011121314151617343[[#This Row],[USA]]-VLOOKUP($U$1,A:N,14,))/VLOOKUP($U$1,A:N,14,))*100)+100</f>
        <v/>
      </c>
      <c r="P274" s="76">
        <f>IF(VLOOKUP(A274,Database!$A:$AS,MATCH($P$1,Database!$A$1:$AS$1,0),FALSE)=0,#N/A,VLOOKUP(A274,Database!$A:$AS,MATCH($P$1,Database!$A$1:$AS$1,0),FALSE))</f>
        <v/>
      </c>
      <c r="Q274" s="76">
        <f>(((Table134567891011121314151617343[[#This Row],[JPN]]-VLOOKUP($U$1,A:Q,16,))/VLOOKUP($U$1,A:Q,16,))*100)+100</f>
        <v/>
      </c>
    </row>
    <row r="275" customFormat="1" s="86">
      <c r="A275" s="21" t="n">
        <v>41183</v>
      </c>
      <c r="B275" s="76">
        <f>IF(VLOOKUP(A275,Database!$A:$AS,MATCH($B$1,Database!$A$1:$AS$1,0),FALSE)=0,#N/A,VLOOKUP(A275,Database!$A:$AS,MATCH($B$1,Database!$A$1:$AS$1,0),FALSE))</f>
        <v/>
      </c>
      <c r="C275" s="76">
        <f>IF(VLOOKUP(A275,Database!$A:$AS,MATCH($C$1,Database!$A$1:$AS$1,0),FALSE)=0,#N/A,VLOOKUP(A275,Database!$A:$AS,MATCH($C$1,Database!$A$1:$AS$1,0),FALSE))</f>
        <v/>
      </c>
      <c r="D275" s="76">
        <f>IF(VLOOKUP(A275,Database!$A:$AS,MATCH($D$1,Database!$A$1:$AS$1,0),FALSE)=0,#N/A,VLOOKUP(A275,Database!$A:$AS,MATCH($D$1,Database!$A$1:$AS$1,0),FALSE))</f>
        <v/>
      </c>
      <c r="E275" s="76">
        <f>IF(VLOOKUP(A275,Database!$A:$AS,MATCH($E$1,Database!$A$1:$AS$1,0),FALSE)=0,#N/A,VLOOKUP(A275,Database!$A:$AS,MATCH($E$1,Database!$A$1:$AS$1,0),FALSE))</f>
        <v/>
      </c>
      <c r="F275" s="76">
        <f>IF(VLOOKUP(A275,Database!$A:$AS,MATCH($F$1,Database!$A$1:$AS$1,0),FALSE)=0,#N/A,VLOOKUP(A275,Database!$A:$AS,MATCH($F$1,Database!$A$1:$AS$1,0),FALSE))</f>
        <v/>
      </c>
      <c r="G275" s="76">
        <f>IF(VLOOKUP(A275,Database!$A:$AS,MATCH($G$1,Database!$A$1:$AS$1,0),FALSE)=0,#N/A,VLOOKUP(A275,Database!$A:$AS,MATCH($G$1,Database!$A$1:$AS$1,0),FALSE))</f>
        <v/>
      </c>
      <c r="H275" s="76">
        <f>(((Table134567891011121314151617343[[#This Row],[ITA]]-VLOOKUP($U$1,A:B,2,))/VLOOKUP($U$1,A:B,2,))*100)+100</f>
        <v/>
      </c>
      <c r="I275" s="76">
        <f>(((Table134567891011121314151617343[[#This Row],[FRA]]-VLOOKUP($U$1,A:C,3,))/VLOOKUP($U$1,A:C,3,))*100)+100</f>
        <v/>
      </c>
      <c r="J275" s="76">
        <f>(((Table134567891011121314151617343[[#This Row],[DEU]]-VLOOKUP($U$1,A:D,4,))/VLOOKUP($U$1,A:D,4,))*100)+100</f>
        <v/>
      </c>
      <c r="K275" s="76">
        <f>(((Table134567891011121314151617343[[#This Row],[ESP]]-VLOOKUP($U$1,A:E,5,))/VLOOKUP($U$1,A:E,5,))*100)+100</f>
        <v/>
      </c>
      <c r="L275" s="76">
        <f>(((Table134567891011121314151617343[[#This Row],[EA19]]-VLOOKUP($U$1,A:F,6,))/VLOOKUP($U$1,A:F,6,))*100)+100</f>
        <v/>
      </c>
      <c r="M275" s="76">
        <f>(((Table134567891011121314151617343[[#This Row],[GBR]]-VLOOKUP($U$1,A:G,7,))/VLOOKUP($U$1,A:G,7,))*100)+100</f>
        <v/>
      </c>
      <c r="N275" s="76">
        <f>IF(VLOOKUP(A275,Database!$A:$AU,MATCH($N$1,Database!$A$1:$AU$1,0),FALSE)=0,#N/A,VLOOKUP(A275,Database!$A:$AU,MATCH($N$1,Database!$A$1:$AU$1,0),FALSE))</f>
        <v/>
      </c>
      <c r="O275" s="76">
        <f>(((Table134567891011121314151617343[[#This Row],[USA]]-VLOOKUP($U$1,A:N,14,))/VLOOKUP($U$1,A:N,14,))*100)+100</f>
        <v/>
      </c>
      <c r="P275" s="76">
        <f>IF(VLOOKUP(A275,Database!$A:$AS,MATCH($P$1,Database!$A$1:$AS$1,0),FALSE)=0,#N/A,VLOOKUP(A275,Database!$A:$AS,MATCH($P$1,Database!$A$1:$AS$1,0),FALSE))</f>
        <v/>
      </c>
      <c r="Q275" s="76">
        <f>(((Table134567891011121314151617343[[#This Row],[JPN]]-VLOOKUP($U$1,A:Q,16,))/VLOOKUP($U$1,A:Q,16,))*100)+100</f>
        <v/>
      </c>
    </row>
    <row r="276" customFormat="1" s="86">
      <c r="A276" s="21" t="n">
        <v>41214</v>
      </c>
      <c r="B276" s="76">
        <f>IF(VLOOKUP(A276,Database!$A:$AS,MATCH($B$1,Database!$A$1:$AS$1,0),FALSE)=0,#N/A,VLOOKUP(A276,Database!$A:$AS,MATCH($B$1,Database!$A$1:$AS$1,0),FALSE))</f>
        <v/>
      </c>
      <c r="C276" s="76">
        <f>IF(VLOOKUP(A276,Database!$A:$AS,MATCH($C$1,Database!$A$1:$AS$1,0),FALSE)=0,#N/A,VLOOKUP(A276,Database!$A:$AS,MATCH($C$1,Database!$A$1:$AS$1,0),FALSE))</f>
        <v/>
      </c>
      <c r="D276" s="76">
        <f>IF(VLOOKUP(A276,Database!$A:$AS,MATCH($D$1,Database!$A$1:$AS$1,0),FALSE)=0,#N/A,VLOOKUP(A276,Database!$A:$AS,MATCH($D$1,Database!$A$1:$AS$1,0),FALSE))</f>
        <v/>
      </c>
      <c r="E276" s="76">
        <f>IF(VLOOKUP(A276,Database!$A:$AS,MATCH($E$1,Database!$A$1:$AS$1,0),FALSE)=0,#N/A,VLOOKUP(A276,Database!$A:$AS,MATCH($E$1,Database!$A$1:$AS$1,0),FALSE))</f>
        <v/>
      </c>
      <c r="F276" s="76">
        <f>IF(VLOOKUP(A276,Database!$A:$AS,MATCH($F$1,Database!$A$1:$AS$1,0),FALSE)=0,#N/A,VLOOKUP(A276,Database!$A:$AS,MATCH($F$1,Database!$A$1:$AS$1,0),FALSE))</f>
        <v/>
      </c>
      <c r="G276" s="76">
        <f>IF(VLOOKUP(A276,Database!$A:$AS,MATCH($G$1,Database!$A$1:$AS$1,0),FALSE)=0,#N/A,VLOOKUP(A276,Database!$A:$AS,MATCH($G$1,Database!$A$1:$AS$1,0),FALSE))</f>
        <v/>
      </c>
      <c r="H276" s="76">
        <f>(((Table134567891011121314151617343[[#This Row],[ITA]]-VLOOKUP($U$1,A:B,2,))/VLOOKUP($U$1,A:B,2,))*100)+100</f>
        <v/>
      </c>
      <c r="I276" s="76">
        <f>(((Table134567891011121314151617343[[#This Row],[FRA]]-VLOOKUP($U$1,A:C,3,))/VLOOKUP($U$1,A:C,3,))*100)+100</f>
        <v/>
      </c>
      <c r="J276" s="76">
        <f>(((Table134567891011121314151617343[[#This Row],[DEU]]-VLOOKUP($U$1,A:D,4,))/VLOOKUP($U$1,A:D,4,))*100)+100</f>
        <v/>
      </c>
      <c r="K276" s="76">
        <f>(((Table134567891011121314151617343[[#This Row],[ESP]]-VLOOKUP($U$1,A:E,5,))/VLOOKUP($U$1,A:E,5,))*100)+100</f>
        <v/>
      </c>
      <c r="L276" s="76">
        <f>(((Table134567891011121314151617343[[#This Row],[EA19]]-VLOOKUP($U$1,A:F,6,))/VLOOKUP($U$1,A:F,6,))*100)+100</f>
        <v/>
      </c>
      <c r="M276" s="76">
        <f>(((Table134567891011121314151617343[[#This Row],[GBR]]-VLOOKUP($U$1,A:G,7,))/VLOOKUP($U$1,A:G,7,))*100)+100</f>
        <v/>
      </c>
      <c r="N276" s="76">
        <f>IF(VLOOKUP(A276,Database!$A:$AU,MATCH($N$1,Database!$A$1:$AU$1,0),FALSE)=0,#N/A,VLOOKUP(A276,Database!$A:$AU,MATCH($N$1,Database!$A$1:$AU$1,0),FALSE))</f>
        <v/>
      </c>
      <c r="O276" s="76">
        <f>(((Table134567891011121314151617343[[#This Row],[USA]]-VLOOKUP($U$1,A:N,14,))/VLOOKUP($U$1,A:N,14,))*100)+100</f>
        <v/>
      </c>
      <c r="P276" s="76">
        <f>IF(VLOOKUP(A276,Database!$A:$AS,MATCH($P$1,Database!$A$1:$AS$1,0),FALSE)=0,#N/A,VLOOKUP(A276,Database!$A:$AS,MATCH($P$1,Database!$A$1:$AS$1,0),FALSE))</f>
        <v/>
      </c>
      <c r="Q276" s="76">
        <f>(((Table134567891011121314151617343[[#This Row],[JPN]]-VLOOKUP($U$1,A:Q,16,))/VLOOKUP($U$1,A:Q,16,))*100)+100</f>
        <v/>
      </c>
    </row>
    <row r="277" customFormat="1" s="86">
      <c r="A277" s="21" t="n">
        <v>41244</v>
      </c>
      <c r="B277" s="76">
        <f>IF(VLOOKUP(A277,Database!$A:$AS,MATCH($B$1,Database!$A$1:$AS$1,0),FALSE)=0,#N/A,VLOOKUP(A277,Database!$A:$AS,MATCH($B$1,Database!$A$1:$AS$1,0),FALSE))</f>
        <v/>
      </c>
      <c r="C277" s="76">
        <f>IF(VLOOKUP(A277,Database!$A:$AS,MATCH($C$1,Database!$A$1:$AS$1,0),FALSE)=0,#N/A,VLOOKUP(A277,Database!$A:$AS,MATCH($C$1,Database!$A$1:$AS$1,0),FALSE))</f>
        <v/>
      </c>
      <c r="D277" s="76">
        <f>IF(VLOOKUP(A277,Database!$A:$AS,MATCH($D$1,Database!$A$1:$AS$1,0),FALSE)=0,#N/A,VLOOKUP(A277,Database!$A:$AS,MATCH($D$1,Database!$A$1:$AS$1,0),FALSE))</f>
        <v/>
      </c>
      <c r="E277" s="76">
        <f>IF(VLOOKUP(A277,Database!$A:$AS,MATCH($E$1,Database!$A$1:$AS$1,0),FALSE)=0,#N/A,VLOOKUP(A277,Database!$A:$AS,MATCH($E$1,Database!$A$1:$AS$1,0),FALSE))</f>
        <v/>
      </c>
      <c r="F277" s="76">
        <f>IF(VLOOKUP(A277,Database!$A:$AS,MATCH($F$1,Database!$A$1:$AS$1,0),FALSE)=0,#N/A,VLOOKUP(A277,Database!$A:$AS,MATCH($F$1,Database!$A$1:$AS$1,0),FALSE))</f>
        <v/>
      </c>
      <c r="G277" s="76">
        <f>IF(VLOOKUP(A277,Database!$A:$AS,MATCH($G$1,Database!$A$1:$AS$1,0),FALSE)=0,#N/A,VLOOKUP(A277,Database!$A:$AS,MATCH($G$1,Database!$A$1:$AS$1,0),FALSE))</f>
        <v/>
      </c>
      <c r="H277" s="76">
        <f>(((Table134567891011121314151617343[[#This Row],[ITA]]-VLOOKUP($U$1,A:B,2,))/VLOOKUP($U$1,A:B,2,))*100)+100</f>
        <v/>
      </c>
      <c r="I277" s="76">
        <f>(((Table134567891011121314151617343[[#This Row],[FRA]]-VLOOKUP($U$1,A:C,3,))/VLOOKUP($U$1,A:C,3,))*100)+100</f>
        <v/>
      </c>
      <c r="J277" s="76">
        <f>(((Table134567891011121314151617343[[#This Row],[DEU]]-VLOOKUP($U$1,A:D,4,))/VLOOKUP($U$1,A:D,4,))*100)+100</f>
        <v/>
      </c>
      <c r="K277" s="76">
        <f>(((Table134567891011121314151617343[[#This Row],[ESP]]-VLOOKUP($U$1,A:E,5,))/VLOOKUP($U$1,A:E,5,))*100)+100</f>
        <v/>
      </c>
      <c r="L277" s="76">
        <f>(((Table134567891011121314151617343[[#This Row],[EA19]]-VLOOKUP($U$1,A:F,6,))/VLOOKUP($U$1,A:F,6,))*100)+100</f>
        <v/>
      </c>
      <c r="M277" s="76">
        <f>(((Table134567891011121314151617343[[#This Row],[GBR]]-VLOOKUP($U$1,A:G,7,))/VLOOKUP($U$1,A:G,7,))*100)+100</f>
        <v/>
      </c>
      <c r="N277" s="76">
        <f>IF(VLOOKUP(A277,Database!$A:$AU,MATCH($N$1,Database!$A$1:$AU$1,0),FALSE)=0,#N/A,VLOOKUP(A277,Database!$A:$AU,MATCH($N$1,Database!$A$1:$AU$1,0),FALSE))</f>
        <v/>
      </c>
      <c r="O277" s="76">
        <f>(((Table134567891011121314151617343[[#This Row],[USA]]-VLOOKUP($U$1,A:N,14,))/VLOOKUP($U$1,A:N,14,))*100)+100</f>
        <v/>
      </c>
      <c r="P277" s="76">
        <f>IF(VLOOKUP(A277,Database!$A:$AS,MATCH($P$1,Database!$A$1:$AS$1,0),FALSE)=0,#N/A,VLOOKUP(A277,Database!$A:$AS,MATCH($P$1,Database!$A$1:$AS$1,0),FALSE))</f>
        <v/>
      </c>
      <c r="Q277" s="76">
        <f>(((Table134567891011121314151617343[[#This Row],[JPN]]-VLOOKUP($U$1,A:Q,16,))/VLOOKUP($U$1,A:Q,16,))*100)+100</f>
        <v/>
      </c>
    </row>
    <row r="278" customFormat="1" s="86">
      <c r="A278" s="21" t="n">
        <v>41275</v>
      </c>
      <c r="B278" s="76">
        <f>IF(VLOOKUP(A278,Database!$A:$AS,MATCH($B$1,Database!$A$1:$AS$1,0),FALSE)=0,#N/A,VLOOKUP(A278,Database!$A:$AS,MATCH($B$1,Database!$A$1:$AS$1,0),FALSE))</f>
        <v/>
      </c>
      <c r="C278" s="76">
        <f>IF(VLOOKUP(A278,Database!$A:$AS,MATCH($C$1,Database!$A$1:$AS$1,0),FALSE)=0,#N/A,VLOOKUP(A278,Database!$A:$AS,MATCH($C$1,Database!$A$1:$AS$1,0),FALSE))</f>
        <v/>
      </c>
      <c r="D278" s="76">
        <f>IF(VLOOKUP(A278,Database!$A:$AS,MATCH($D$1,Database!$A$1:$AS$1,0),FALSE)=0,#N/A,VLOOKUP(A278,Database!$A:$AS,MATCH($D$1,Database!$A$1:$AS$1,0),FALSE))</f>
        <v/>
      </c>
      <c r="E278" s="76">
        <f>IF(VLOOKUP(A278,Database!$A:$AS,MATCH($E$1,Database!$A$1:$AS$1,0),FALSE)=0,#N/A,VLOOKUP(A278,Database!$A:$AS,MATCH($E$1,Database!$A$1:$AS$1,0),FALSE))</f>
        <v/>
      </c>
      <c r="F278" s="76">
        <f>IF(VLOOKUP(A278,Database!$A:$AS,MATCH($F$1,Database!$A$1:$AS$1,0),FALSE)=0,#N/A,VLOOKUP(A278,Database!$A:$AS,MATCH($F$1,Database!$A$1:$AS$1,0),FALSE))</f>
        <v/>
      </c>
      <c r="G278" s="76">
        <f>IF(VLOOKUP(A278,Database!$A:$AS,MATCH($G$1,Database!$A$1:$AS$1,0),FALSE)=0,#N/A,VLOOKUP(A278,Database!$A:$AS,MATCH($G$1,Database!$A$1:$AS$1,0),FALSE))</f>
        <v/>
      </c>
      <c r="H278" s="76">
        <f>(((Table134567891011121314151617343[[#This Row],[ITA]]-VLOOKUP($U$1,A:B,2,))/VLOOKUP($U$1,A:B,2,))*100)+100</f>
        <v/>
      </c>
      <c r="I278" s="76">
        <f>(((Table134567891011121314151617343[[#This Row],[FRA]]-VLOOKUP($U$1,A:C,3,))/VLOOKUP($U$1,A:C,3,))*100)+100</f>
        <v/>
      </c>
      <c r="J278" s="76">
        <f>(((Table134567891011121314151617343[[#This Row],[DEU]]-VLOOKUP($U$1,A:D,4,))/VLOOKUP($U$1,A:D,4,))*100)+100</f>
        <v/>
      </c>
      <c r="K278" s="76">
        <f>(((Table134567891011121314151617343[[#This Row],[ESP]]-VLOOKUP($U$1,A:E,5,))/VLOOKUP($U$1,A:E,5,))*100)+100</f>
        <v/>
      </c>
      <c r="L278" s="76">
        <f>(((Table134567891011121314151617343[[#This Row],[EA19]]-VLOOKUP($U$1,A:F,6,))/VLOOKUP($U$1,A:F,6,))*100)+100</f>
        <v/>
      </c>
      <c r="M278" s="76">
        <f>(((Table134567891011121314151617343[[#This Row],[GBR]]-VLOOKUP($U$1,A:G,7,))/VLOOKUP($U$1,A:G,7,))*100)+100</f>
        <v/>
      </c>
      <c r="N278" s="76">
        <f>IF(VLOOKUP(A278,Database!$A:$AU,MATCH($N$1,Database!$A$1:$AU$1,0),FALSE)=0,#N/A,VLOOKUP(A278,Database!$A:$AU,MATCH($N$1,Database!$A$1:$AU$1,0),FALSE))</f>
        <v/>
      </c>
      <c r="O278" s="76">
        <f>(((Table134567891011121314151617343[[#This Row],[USA]]-VLOOKUP($U$1,A:N,14,))/VLOOKUP($U$1,A:N,14,))*100)+100</f>
        <v/>
      </c>
      <c r="P278" s="76">
        <f>IF(VLOOKUP(A278,Database!$A:$AS,MATCH($P$1,Database!$A$1:$AS$1,0),FALSE)=0,#N/A,VLOOKUP(A278,Database!$A:$AS,MATCH($P$1,Database!$A$1:$AS$1,0),FALSE))</f>
        <v/>
      </c>
      <c r="Q278" s="76">
        <f>(((Table134567891011121314151617343[[#This Row],[JPN]]-VLOOKUP($U$1,A:Q,16,))/VLOOKUP($U$1,A:Q,16,))*100)+100</f>
        <v/>
      </c>
    </row>
    <row r="279" customFormat="1" s="86">
      <c r="A279" s="21" t="n">
        <v>41306</v>
      </c>
      <c r="B279" s="76">
        <f>IF(VLOOKUP(A279,Database!$A:$AS,MATCH($B$1,Database!$A$1:$AS$1,0),FALSE)=0,#N/A,VLOOKUP(A279,Database!$A:$AS,MATCH($B$1,Database!$A$1:$AS$1,0),FALSE))</f>
        <v/>
      </c>
      <c r="C279" s="76">
        <f>IF(VLOOKUP(A279,Database!$A:$AS,MATCH($C$1,Database!$A$1:$AS$1,0),FALSE)=0,#N/A,VLOOKUP(A279,Database!$A:$AS,MATCH($C$1,Database!$A$1:$AS$1,0),FALSE))</f>
        <v/>
      </c>
      <c r="D279" s="76">
        <f>IF(VLOOKUP(A279,Database!$A:$AS,MATCH($D$1,Database!$A$1:$AS$1,0),FALSE)=0,#N/A,VLOOKUP(A279,Database!$A:$AS,MATCH($D$1,Database!$A$1:$AS$1,0),FALSE))</f>
        <v/>
      </c>
      <c r="E279" s="76">
        <f>IF(VLOOKUP(A279,Database!$A:$AS,MATCH($E$1,Database!$A$1:$AS$1,0),FALSE)=0,#N/A,VLOOKUP(A279,Database!$A:$AS,MATCH($E$1,Database!$A$1:$AS$1,0),FALSE))</f>
        <v/>
      </c>
      <c r="F279" s="76">
        <f>IF(VLOOKUP(A279,Database!$A:$AS,MATCH($F$1,Database!$A$1:$AS$1,0),FALSE)=0,#N/A,VLOOKUP(A279,Database!$A:$AS,MATCH($F$1,Database!$A$1:$AS$1,0),FALSE))</f>
        <v/>
      </c>
      <c r="G279" s="76">
        <f>IF(VLOOKUP(A279,Database!$A:$AS,MATCH($G$1,Database!$A$1:$AS$1,0),FALSE)=0,#N/A,VLOOKUP(A279,Database!$A:$AS,MATCH($G$1,Database!$A$1:$AS$1,0),FALSE))</f>
        <v/>
      </c>
      <c r="H279" s="76">
        <f>(((Table134567891011121314151617343[[#This Row],[ITA]]-VLOOKUP($U$1,A:B,2,))/VLOOKUP($U$1,A:B,2,))*100)+100</f>
        <v/>
      </c>
      <c r="I279" s="76">
        <f>(((Table134567891011121314151617343[[#This Row],[FRA]]-VLOOKUP($U$1,A:C,3,))/VLOOKUP($U$1,A:C,3,))*100)+100</f>
        <v/>
      </c>
      <c r="J279" s="76">
        <f>(((Table134567891011121314151617343[[#This Row],[DEU]]-VLOOKUP($U$1,A:D,4,))/VLOOKUP($U$1,A:D,4,))*100)+100</f>
        <v/>
      </c>
      <c r="K279" s="76">
        <f>(((Table134567891011121314151617343[[#This Row],[ESP]]-VLOOKUP($U$1,A:E,5,))/VLOOKUP($U$1,A:E,5,))*100)+100</f>
        <v/>
      </c>
      <c r="L279" s="76">
        <f>(((Table134567891011121314151617343[[#This Row],[EA19]]-VLOOKUP($U$1,A:F,6,))/VLOOKUP($U$1,A:F,6,))*100)+100</f>
        <v/>
      </c>
      <c r="M279" s="76">
        <f>(((Table134567891011121314151617343[[#This Row],[GBR]]-VLOOKUP($U$1,A:G,7,))/VLOOKUP($U$1,A:G,7,))*100)+100</f>
        <v/>
      </c>
      <c r="N279" s="76">
        <f>IF(VLOOKUP(A279,Database!$A:$AU,MATCH($N$1,Database!$A$1:$AU$1,0),FALSE)=0,#N/A,VLOOKUP(A279,Database!$A:$AU,MATCH($N$1,Database!$A$1:$AU$1,0),FALSE))</f>
        <v/>
      </c>
      <c r="O279" s="76">
        <f>(((Table134567891011121314151617343[[#This Row],[USA]]-VLOOKUP($U$1,A:N,14,))/VLOOKUP($U$1,A:N,14,))*100)+100</f>
        <v/>
      </c>
      <c r="P279" s="76">
        <f>IF(VLOOKUP(A279,Database!$A:$AS,MATCH($P$1,Database!$A$1:$AS$1,0),FALSE)=0,#N/A,VLOOKUP(A279,Database!$A:$AS,MATCH($P$1,Database!$A$1:$AS$1,0),FALSE))</f>
        <v/>
      </c>
      <c r="Q279" s="76">
        <f>(((Table134567891011121314151617343[[#This Row],[JPN]]-VLOOKUP($U$1,A:Q,16,))/VLOOKUP($U$1,A:Q,16,))*100)+100</f>
        <v/>
      </c>
    </row>
    <row r="280" customFormat="1" s="86">
      <c r="A280" s="21" t="n">
        <v>41334</v>
      </c>
      <c r="B280" s="76">
        <f>IF(VLOOKUP(A280,Database!$A:$AS,MATCH($B$1,Database!$A$1:$AS$1,0),FALSE)=0,#N/A,VLOOKUP(A280,Database!$A:$AS,MATCH($B$1,Database!$A$1:$AS$1,0),FALSE))</f>
        <v/>
      </c>
      <c r="C280" s="76">
        <f>IF(VLOOKUP(A280,Database!$A:$AS,MATCH($C$1,Database!$A$1:$AS$1,0),FALSE)=0,#N/A,VLOOKUP(A280,Database!$A:$AS,MATCH($C$1,Database!$A$1:$AS$1,0),FALSE))</f>
        <v/>
      </c>
      <c r="D280" s="76">
        <f>IF(VLOOKUP(A280,Database!$A:$AS,MATCH($D$1,Database!$A$1:$AS$1,0),FALSE)=0,#N/A,VLOOKUP(A280,Database!$A:$AS,MATCH($D$1,Database!$A$1:$AS$1,0),FALSE))</f>
        <v/>
      </c>
      <c r="E280" s="76">
        <f>IF(VLOOKUP(A280,Database!$A:$AS,MATCH($E$1,Database!$A$1:$AS$1,0),FALSE)=0,#N/A,VLOOKUP(A280,Database!$A:$AS,MATCH($E$1,Database!$A$1:$AS$1,0),FALSE))</f>
        <v/>
      </c>
      <c r="F280" s="76">
        <f>IF(VLOOKUP(A280,Database!$A:$AS,MATCH($F$1,Database!$A$1:$AS$1,0),FALSE)=0,#N/A,VLOOKUP(A280,Database!$A:$AS,MATCH($F$1,Database!$A$1:$AS$1,0),FALSE))</f>
        <v/>
      </c>
      <c r="G280" s="76">
        <f>IF(VLOOKUP(A280,Database!$A:$AS,MATCH($G$1,Database!$A$1:$AS$1,0),FALSE)=0,#N/A,VLOOKUP(A280,Database!$A:$AS,MATCH($G$1,Database!$A$1:$AS$1,0),FALSE))</f>
        <v/>
      </c>
      <c r="H280" s="76">
        <f>(((Table134567891011121314151617343[[#This Row],[ITA]]-VLOOKUP($U$1,A:B,2,))/VLOOKUP($U$1,A:B,2,))*100)+100</f>
        <v/>
      </c>
      <c r="I280" s="76">
        <f>(((Table134567891011121314151617343[[#This Row],[FRA]]-VLOOKUP($U$1,A:C,3,))/VLOOKUP($U$1,A:C,3,))*100)+100</f>
        <v/>
      </c>
      <c r="J280" s="76">
        <f>(((Table134567891011121314151617343[[#This Row],[DEU]]-VLOOKUP($U$1,A:D,4,))/VLOOKUP($U$1,A:D,4,))*100)+100</f>
        <v/>
      </c>
      <c r="K280" s="76">
        <f>(((Table134567891011121314151617343[[#This Row],[ESP]]-VLOOKUP($U$1,A:E,5,))/VLOOKUP($U$1,A:E,5,))*100)+100</f>
        <v/>
      </c>
      <c r="L280" s="76">
        <f>(((Table134567891011121314151617343[[#This Row],[EA19]]-VLOOKUP($U$1,A:F,6,))/VLOOKUP($U$1,A:F,6,))*100)+100</f>
        <v/>
      </c>
      <c r="M280" s="76">
        <f>(((Table134567891011121314151617343[[#This Row],[GBR]]-VLOOKUP($U$1,A:G,7,))/VLOOKUP($U$1,A:G,7,))*100)+100</f>
        <v/>
      </c>
      <c r="N280" s="76">
        <f>IF(VLOOKUP(A280,Database!$A:$AU,MATCH($N$1,Database!$A$1:$AU$1,0),FALSE)=0,#N/A,VLOOKUP(A280,Database!$A:$AU,MATCH($N$1,Database!$A$1:$AU$1,0),FALSE))</f>
        <v/>
      </c>
      <c r="O280" s="76">
        <f>(((Table134567891011121314151617343[[#This Row],[USA]]-VLOOKUP($U$1,A:N,14,))/VLOOKUP($U$1,A:N,14,))*100)+100</f>
        <v/>
      </c>
      <c r="P280" s="76">
        <f>IF(VLOOKUP(A280,Database!$A:$AS,MATCH($P$1,Database!$A$1:$AS$1,0),FALSE)=0,#N/A,VLOOKUP(A280,Database!$A:$AS,MATCH($P$1,Database!$A$1:$AS$1,0),FALSE))</f>
        <v/>
      </c>
      <c r="Q280" s="76">
        <f>(((Table134567891011121314151617343[[#This Row],[JPN]]-VLOOKUP($U$1,A:Q,16,))/VLOOKUP($U$1,A:Q,16,))*100)+100</f>
        <v/>
      </c>
    </row>
    <row r="281" customFormat="1" s="86">
      <c r="A281" s="21" t="n">
        <v>41365</v>
      </c>
      <c r="B281" s="76">
        <f>IF(VLOOKUP(A281,Database!$A:$AS,MATCH($B$1,Database!$A$1:$AS$1,0),FALSE)=0,#N/A,VLOOKUP(A281,Database!$A:$AS,MATCH($B$1,Database!$A$1:$AS$1,0),FALSE))</f>
        <v/>
      </c>
      <c r="C281" s="76">
        <f>IF(VLOOKUP(A281,Database!$A:$AS,MATCH($C$1,Database!$A$1:$AS$1,0),FALSE)=0,#N/A,VLOOKUP(A281,Database!$A:$AS,MATCH($C$1,Database!$A$1:$AS$1,0),FALSE))</f>
        <v/>
      </c>
      <c r="D281" s="76">
        <f>IF(VLOOKUP(A281,Database!$A:$AS,MATCH($D$1,Database!$A$1:$AS$1,0),FALSE)=0,#N/A,VLOOKUP(A281,Database!$A:$AS,MATCH($D$1,Database!$A$1:$AS$1,0),FALSE))</f>
        <v/>
      </c>
      <c r="E281" s="76">
        <f>IF(VLOOKUP(A281,Database!$A:$AS,MATCH($E$1,Database!$A$1:$AS$1,0),FALSE)=0,#N/A,VLOOKUP(A281,Database!$A:$AS,MATCH($E$1,Database!$A$1:$AS$1,0),FALSE))</f>
        <v/>
      </c>
      <c r="F281" s="76">
        <f>IF(VLOOKUP(A281,Database!$A:$AS,MATCH($F$1,Database!$A$1:$AS$1,0),FALSE)=0,#N/A,VLOOKUP(A281,Database!$A:$AS,MATCH($F$1,Database!$A$1:$AS$1,0),FALSE))</f>
        <v/>
      </c>
      <c r="G281" s="76">
        <f>IF(VLOOKUP(A281,Database!$A:$AS,MATCH($G$1,Database!$A$1:$AS$1,0),FALSE)=0,#N/A,VLOOKUP(A281,Database!$A:$AS,MATCH($G$1,Database!$A$1:$AS$1,0),FALSE))</f>
        <v/>
      </c>
      <c r="H281" s="76">
        <f>(((Table134567891011121314151617343[[#This Row],[ITA]]-VLOOKUP($U$1,A:B,2,))/VLOOKUP($U$1,A:B,2,))*100)+100</f>
        <v/>
      </c>
      <c r="I281" s="76">
        <f>(((Table134567891011121314151617343[[#This Row],[FRA]]-VLOOKUP($U$1,A:C,3,))/VLOOKUP($U$1,A:C,3,))*100)+100</f>
        <v/>
      </c>
      <c r="J281" s="76">
        <f>(((Table134567891011121314151617343[[#This Row],[DEU]]-VLOOKUP($U$1,A:D,4,))/VLOOKUP($U$1,A:D,4,))*100)+100</f>
        <v/>
      </c>
      <c r="K281" s="76">
        <f>(((Table134567891011121314151617343[[#This Row],[ESP]]-VLOOKUP($U$1,A:E,5,))/VLOOKUP($U$1,A:E,5,))*100)+100</f>
        <v/>
      </c>
      <c r="L281" s="76">
        <f>(((Table134567891011121314151617343[[#This Row],[EA19]]-VLOOKUP($U$1,A:F,6,))/VLOOKUP($U$1,A:F,6,))*100)+100</f>
        <v/>
      </c>
      <c r="M281" s="76">
        <f>(((Table134567891011121314151617343[[#This Row],[GBR]]-VLOOKUP($U$1,A:G,7,))/VLOOKUP($U$1,A:G,7,))*100)+100</f>
        <v/>
      </c>
      <c r="N281" s="76">
        <f>IF(VLOOKUP(A281,Database!$A:$AU,MATCH($N$1,Database!$A$1:$AU$1,0),FALSE)=0,#N/A,VLOOKUP(A281,Database!$A:$AU,MATCH($N$1,Database!$A$1:$AU$1,0),FALSE))</f>
        <v/>
      </c>
      <c r="O281" s="76">
        <f>(((Table134567891011121314151617343[[#This Row],[USA]]-VLOOKUP($U$1,A:N,14,))/VLOOKUP($U$1,A:N,14,))*100)+100</f>
        <v/>
      </c>
      <c r="P281" s="76">
        <f>IF(VLOOKUP(A281,Database!$A:$AS,MATCH($P$1,Database!$A$1:$AS$1,0),FALSE)=0,#N/A,VLOOKUP(A281,Database!$A:$AS,MATCH($P$1,Database!$A$1:$AS$1,0),FALSE))</f>
        <v/>
      </c>
      <c r="Q281" s="76">
        <f>(((Table134567891011121314151617343[[#This Row],[JPN]]-VLOOKUP($U$1,A:Q,16,))/VLOOKUP($U$1,A:Q,16,))*100)+100</f>
        <v/>
      </c>
    </row>
    <row r="282" customFormat="1" s="86">
      <c r="A282" s="21" t="n">
        <v>41395</v>
      </c>
      <c r="B282" s="76">
        <f>IF(VLOOKUP(A282,Database!$A:$AS,MATCH($B$1,Database!$A$1:$AS$1,0),FALSE)=0,#N/A,VLOOKUP(A282,Database!$A:$AS,MATCH($B$1,Database!$A$1:$AS$1,0),FALSE))</f>
        <v/>
      </c>
      <c r="C282" s="76">
        <f>IF(VLOOKUP(A282,Database!$A:$AS,MATCH($C$1,Database!$A$1:$AS$1,0),FALSE)=0,#N/A,VLOOKUP(A282,Database!$A:$AS,MATCH($C$1,Database!$A$1:$AS$1,0),FALSE))</f>
        <v/>
      </c>
      <c r="D282" s="76">
        <f>IF(VLOOKUP(A282,Database!$A:$AS,MATCH($D$1,Database!$A$1:$AS$1,0),FALSE)=0,#N/A,VLOOKUP(A282,Database!$A:$AS,MATCH($D$1,Database!$A$1:$AS$1,0),FALSE))</f>
        <v/>
      </c>
      <c r="E282" s="76">
        <f>IF(VLOOKUP(A282,Database!$A:$AS,MATCH($E$1,Database!$A$1:$AS$1,0),FALSE)=0,#N/A,VLOOKUP(A282,Database!$A:$AS,MATCH($E$1,Database!$A$1:$AS$1,0),FALSE))</f>
        <v/>
      </c>
      <c r="F282" s="76">
        <f>IF(VLOOKUP(A282,Database!$A:$AS,MATCH($F$1,Database!$A$1:$AS$1,0),FALSE)=0,#N/A,VLOOKUP(A282,Database!$A:$AS,MATCH($F$1,Database!$A$1:$AS$1,0),FALSE))</f>
        <v/>
      </c>
      <c r="G282" s="76">
        <f>IF(VLOOKUP(A282,Database!$A:$AS,MATCH($G$1,Database!$A$1:$AS$1,0),FALSE)=0,#N/A,VLOOKUP(A282,Database!$A:$AS,MATCH($G$1,Database!$A$1:$AS$1,0),FALSE))</f>
        <v/>
      </c>
      <c r="H282" s="76">
        <f>(((Table134567891011121314151617343[[#This Row],[ITA]]-VLOOKUP($U$1,A:B,2,))/VLOOKUP($U$1,A:B,2,))*100)+100</f>
        <v/>
      </c>
      <c r="I282" s="76">
        <f>(((Table134567891011121314151617343[[#This Row],[FRA]]-VLOOKUP($U$1,A:C,3,))/VLOOKUP($U$1,A:C,3,))*100)+100</f>
        <v/>
      </c>
      <c r="J282" s="76">
        <f>(((Table134567891011121314151617343[[#This Row],[DEU]]-VLOOKUP($U$1,A:D,4,))/VLOOKUP($U$1,A:D,4,))*100)+100</f>
        <v/>
      </c>
      <c r="K282" s="76">
        <f>(((Table134567891011121314151617343[[#This Row],[ESP]]-VLOOKUP($U$1,A:E,5,))/VLOOKUP($U$1,A:E,5,))*100)+100</f>
        <v/>
      </c>
      <c r="L282" s="76">
        <f>(((Table134567891011121314151617343[[#This Row],[EA19]]-VLOOKUP($U$1,A:F,6,))/VLOOKUP($U$1,A:F,6,))*100)+100</f>
        <v/>
      </c>
      <c r="M282" s="76">
        <f>(((Table134567891011121314151617343[[#This Row],[GBR]]-VLOOKUP($U$1,A:G,7,))/VLOOKUP($U$1,A:G,7,))*100)+100</f>
        <v/>
      </c>
      <c r="N282" s="76">
        <f>IF(VLOOKUP(A282,Database!$A:$AU,MATCH($N$1,Database!$A$1:$AU$1,0),FALSE)=0,#N/A,VLOOKUP(A282,Database!$A:$AU,MATCH($N$1,Database!$A$1:$AU$1,0),FALSE))</f>
        <v/>
      </c>
      <c r="O282" s="76">
        <f>(((Table134567891011121314151617343[[#This Row],[USA]]-VLOOKUP($U$1,A:N,14,))/VLOOKUP($U$1,A:N,14,))*100)+100</f>
        <v/>
      </c>
      <c r="P282" s="76">
        <f>IF(VLOOKUP(A282,Database!$A:$AS,MATCH($P$1,Database!$A$1:$AS$1,0),FALSE)=0,#N/A,VLOOKUP(A282,Database!$A:$AS,MATCH($P$1,Database!$A$1:$AS$1,0),FALSE))</f>
        <v/>
      </c>
      <c r="Q282" s="76">
        <f>(((Table134567891011121314151617343[[#This Row],[JPN]]-VLOOKUP($U$1,A:Q,16,))/VLOOKUP($U$1,A:Q,16,))*100)+100</f>
        <v/>
      </c>
    </row>
    <row r="283" customFormat="1" s="86">
      <c r="A283" s="21" t="n">
        <v>41426</v>
      </c>
      <c r="B283" s="76">
        <f>IF(VLOOKUP(A283,Database!$A:$AS,MATCH($B$1,Database!$A$1:$AS$1,0),FALSE)=0,#N/A,VLOOKUP(A283,Database!$A:$AS,MATCH($B$1,Database!$A$1:$AS$1,0),FALSE))</f>
        <v/>
      </c>
      <c r="C283" s="76">
        <f>IF(VLOOKUP(A283,Database!$A:$AS,MATCH($C$1,Database!$A$1:$AS$1,0),FALSE)=0,#N/A,VLOOKUP(A283,Database!$A:$AS,MATCH($C$1,Database!$A$1:$AS$1,0),FALSE))</f>
        <v/>
      </c>
      <c r="D283" s="76">
        <f>IF(VLOOKUP(A283,Database!$A:$AS,MATCH($D$1,Database!$A$1:$AS$1,0),FALSE)=0,#N/A,VLOOKUP(A283,Database!$A:$AS,MATCH($D$1,Database!$A$1:$AS$1,0),FALSE))</f>
        <v/>
      </c>
      <c r="E283" s="76">
        <f>IF(VLOOKUP(A283,Database!$A:$AS,MATCH($E$1,Database!$A$1:$AS$1,0),FALSE)=0,#N/A,VLOOKUP(A283,Database!$A:$AS,MATCH($E$1,Database!$A$1:$AS$1,0),FALSE))</f>
        <v/>
      </c>
      <c r="F283" s="76">
        <f>IF(VLOOKUP(A283,Database!$A:$AS,MATCH($F$1,Database!$A$1:$AS$1,0),FALSE)=0,#N/A,VLOOKUP(A283,Database!$A:$AS,MATCH($F$1,Database!$A$1:$AS$1,0),FALSE))</f>
        <v/>
      </c>
      <c r="G283" s="76">
        <f>IF(VLOOKUP(A283,Database!$A:$AS,MATCH($G$1,Database!$A$1:$AS$1,0),FALSE)=0,#N/A,VLOOKUP(A283,Database!$A:$AS,MATCH($G$1,Database!$A$1:$AS$1,0),FALSE))</f>
        <v/>
      </c>
      <c r="H283" s="76">
        <f>(((Table134567891011121314151617343[[#This Row],[ITA]]-VLOOKUP($U$1,A:B,2,))/VLOOKUP($U$1,A:B,2,))*100)+100</f>
        <v/>
      </c>
      <c r="I283" s="76">
        <f>(((Table134567891011121314151617343[[#This Row],[FRA]]-VLOOKUP($U$1,A:C,3,))/VLOOKUP($U$1,A:C,3,))*100)+100</f>
        <v/>
      </c>
      <c r="J283" s="76">
        <f>(((Table134567891011121314151617343[[#This Row],[DEU]]-VLOOKUP($U$1,A:D,4,))/VLOOKUP($U$1,A:D,4,))*100)+100</f>
        <v/>
      </c>
      <c r="K283" s="76">
        <f>(((Table134567891011121314151617343[[#This Row],[ESP]]-VLOOKUP($U$1,A:E,5,))/VLOOKUP($U$1,A:E,5,))*100)+100</f>
        <v/>
      </c>
      <c r="L283" s="76">
        <f>(((Table134567891011121314151617343[[#This Row],[EA19]]-VLOOKUP($U$1,A:F,6,))/VLOOKUP($U$1,A:F,6,))*100)+100</f>
        <v/>
      </c>
      <c r="M283" s="76">
        <f>(((Table134567891011121314151617343[[#This Row],[GBR]]-VLOOKUP($U$1,A:G,7,))/VLOOKUP($U$1,A:G,7,))*100)+100</f>
        <v/>
      </c>
      <c r="N283" s="76">
        <f>IF(VLOOKUP(A283,Database!$A:$AU,MATCH($N$1,Database!$A$1:$AU$1,0),FALSE)=0,#N/A,VLOOKUP(A283,Database!$A:$AU,MATCH($N$1,Database!$A$1:$AU$1,0),FALSE))</f>
        <v/>
      </c>
      <c r="O283" s="76">
        <f>(((Table134567891011121314151617343[[#This Row],[USA]]-VLOOKUP($U$1,A:N,14,))/VLOOKUP($U$1,A:N,14,))*100)+100</f>
        <v/>
      </c>
      <c r="P283" s="76">
        <f>IF(VLOOKUP(A283,Database!$A:$AS,MATCH($P$1,Database!$A$1:$AS$1,0),FALSE)=0,#N/A,VLOOKUP(A283,Database!$A:$AS,MATCH($P$1,Database!$A$1:$AS$1,0),FALSE))</f>
        <v/>
      </c>
      <c r="Q283" s="76">
        <f>(((Table134567891011121314151617343[[#This Row],[JPN]]-VLOOKUP($U$1,A:Q,16,))/VLOOKUP($U$1,A:Q,16,))*100)+100</f>
        <v/>
      </c>
    </row>
    <row r="284" customFormat="1" s="86">
      <c r="A284" s="21" t="n">
        <v>41456</v>
      </c>
      <c r="B284" s="76">
        <f>IF(VLOOKUP(A284,Database!$A:$AS,MATCH($B$1,Database!$A$1:$AS$1,0),FALSE)=0,#N/A,VLOOKUP(A284,Database!$A:$AS,MATCH($B$1,Database!$A$1:$AS$1,0),FALSE))</f>
        <v/>
      </c>
      <c r="C284" s="76">
        <f>IF(VLOOKUP(A284,Database!$A:$AS,MATCH($C$1,Database!$A$1:$AS$1,0),FALSE)=0,#N/A,VLOOKUP(A284,Database!$A:$AS,MATCH($C$1,Database!$A$1:$AS$1,0),FALSE))</f>
        <v/>
      </c>
      <c r="D284" s="76">
        <f>IF(VLOOKUP(A284,Database!$A:$AS,MATCH($D$1,Database!$A$1:$AS$1,0),FALSE)=0,#N/A,VLOOKUP(A284,Database!$A:$AS,MATCH($D$1,Database!$A$1:$AS$1,0),FALSE))</f>
        <v/>
      </c>
      <c r="E284" s="76">
        <f>IF(VLOOKUP(A284,Database!$A:$AS,MATCH($E$1,Database!$A$1:$AS$1,0),FALSE)=0,#N/A,VLOOKUP(A284,Database!$A:$AS,MATCH($E$1,Database!$A$1:$AS$1,0),FALSE))</f>
        <v/>
      </c>
      <c r="F284" s="76">
        <f>IF(VLOOKUP(A284,Database!$A:$AS,MATCH($F$1,Database!$A$1:$AS$1,0),FALSE)=0,#N/A,VLOOKUP(A284,Database!$A:$AS,MATCH($F$1,Database!$A$1:$AS$1,0),FALSE))</f>
        <v/>
      </c>
      <c r="G284" s="76">
        <f>IF(VLOOKUP(A284,Database!$A:$AS,MATCH($G$1,Database!$A$1:$AS$1,0),FALSE)=0,#N/A,VLOOKUP(A284,Database!$A:$AS,MATCH($G$1,Database!$A$1:$AS$1,0),FALSE))</f>
        <v/>
      </c>
      <c r="H284" s="76">
        <f>(((Table134567891011121314151617343[[#This Row],[ITA]]-VLOOKUP($U$1,A:B,2,))/VLOOKUP($U$1,A:B,2,))*100)+100</f>
        <v/>
      </c>
      <c r="I284" s="76">
        <f>(((Table134567891011121314151617343[[#This Row],[FRA]]-VLOOKUP($U$1,A:C,3,))/VLOOKUP($U$1,A:C,3,))*100)+100</f>
        <v/>
      </c>
      <c r="J284" s="76">
        <f>(((Table134567891011121314151617343[[#This Row],[DEU]]-VLOOKUP($U$1,A:D,4,))/VLOOKUP($U$1,A:D,4,))*100)+100</f>
        <v/>
      </c>
      <c r="K284" s="76">
        <f>(((Table134567891011121314151617343[[#This Row],[ESP]]-VLOOKUP($U$1,A:E,5,))/VLOOKUP($U$1,A:E,5,))*100)+100</f>
        <v/>
      </c>
      <c r="L284" s="76">
        <f>(((Table134567891011121314151617343[[#This Row],[EA19]]-VLOOKUP($U$1,A:F,6,))/VLOOKUP($U$1,A:F,6,))*100)+100</f>
        <v/>
      </c>
      <c r="M284" s="76">
        <f>(((Table134567891011121314151617343[[#This Row],[GBR]]-VLOOKUP($U$1,A:G,7,))/VLOOKUP($U$1,A:G,7,))*100)+100</f>
        <v/>
      </c>
      <c r="N284" s="76">
        <f>IF(VLOOKUP(A284,Database!$A:$AU,MATCH($N$1,Database!$A$1:$AU$1,0),FALSE)=0,#N/A,VLOOKUP(A284,Database!$A:$AU,MATCH($N$1,Database!$A$1:$AU$1,0),FALSE))</f>
        <v/>
      </c>
      <c r="O284" s="76">
        <f>(((Table134567891011121314151617343[[#This Row],[USA]]-VLOOKUP($U$1,A:N,14,))/VLOOKUP($U$1,A:N,14,))*100)+100</f>
        <v/>
      </c>
      <c r="P284" s="76">
        <f>IF(VLOOKUP(A284,Database!$A:$AS,MATCH($P$1,Database!$A$1:$AS$1,0),FALSE)=0,#N/A,VLOOKUP(A284,Database!$A:$AS,MATCH($P$1,Database!$A$1:$AS$1,0),FALSE))</f>
        <v/>
      </c>
      <c r="Q284" s="76">
        <f>(((Table134567891011121314151617343[[#This Row],[JPN]]-VLOOKUP($U$1,A:Q,16,))/VLOOKUP($U$1,A:Q,16,))*100)+100</f>
        <v/>
      </c>
    </row>
    <row r="285" customFormat="1" s="86">
      <c r="A285" s="21" t="n">
        <v>41487</v>
      </c>
      <c r="B285" s="76">
        <f>IF(VLOOKUP(A285,Database!$A:$AS,MATCH($B$1,Database!$A$1:$AS$1,0),FALSE)=0,#N/A,VLOOKUP(A285,Database!$A:$AS,MATCH($B$1,Database!$A$1:$AS$1,0),FALSE))</f>
        <v/>
      </c>
      <c r="C285" s="76">
        <f>IF(VLOOKUP(A285,Database!$A:$AS,MATCH($C$1,Database!$A$1:$AS$1,0),FALSE)=0,#N/A,VLOOKUP(A285,Database!$A:$AS,MATCH($C$1,Database!$A$1:$AS$1,0),FALSE))</f>
        <v/>
      </c>
      <c r="D285" s="76">
        <f>IF(VLOOKUP(A285,Database!$A:$AS,MATCH($D$1,Database!$A$1:$AS$1,0),FALSE)=0,#N/A,VLOOKUP(A285,Database!$A:$AS,MATCH($D$1,Database!$A$1:$AS$1,0),FALSE))</f>
        <v/>
      </c>
      <c r="E285" s="76">
        <f>IF(VLOOKUP(A285,Database!$A:$AS,MATCH($E$1,Database!$A$1:$AS$1,0),FALSE)=0,#N/A,VLOOKUP(A285,Database!$A:$AS,MATCH($E$1,Database!$A$1:$AS$1,0),FALSE))</f>
        <v/>
      </c>
      <c r="F285" s="76">
        <f>IF(VLOOKUP(A285,Database!$A:$AS,MATCH($F$1,Database!$A$1:$AS$1,0),FALSE)=0,#N/A,VLOOKUP(A285,Database!$A:$AS,MATCH($F$1,Database!$A$1:$AS$1,0),FALSE))</f>
        <v/>
      </c>
      <c r="G285" s="76">
        <f>IF(VLOOKUP(A285,Database!$A:$AS,MATCH($G$1,Database!$A$1:$AS$1,0),FALSE)=0,#N/A,VLOOKUP(A285,Database!$A:$AS,MATCH($G$1,Database!$A$1:$AS$1,0),FALSE))</f>
        <v/>
      </c>
      <c r="H285" s="76">
        <f>(((Table134567891011121314151617343[[#This Row],[ITA]]-VLOOKUP($U$1,A:B,2,))/VLOOKUP($U$1,A:B,2,))*100)+100</f>
        <v/>
      </c>
      <c r="I285" s="76">
        <f>(((Table134567891011121314151617343[[#This Row],[FRA]]-VLOOKUP($U$1,A:C,3,))/VLOOKUP($U$1,A:C,3,))*100)+100</f>
        <v/>
      </c>
      <c r="J285" s="76">
        <f>(((Table134567891011121314151617343[[#This Row],[DEU]]-VLOOKUP($U$1,A:D,4,))/VLOOKUP($U$1,A:D,4,))*100)+100</f>
        <v/>
      </c>
      <c r="K285" s="76">
        <f>(((Table134567891011121314151617343[[#This Row],[ESP]]-VLOOKUP($U$1,A:E,5,))/VLOOKUP($U$1,A:E,5,))*100)+100</f>
        <v/>
      </c>
      <c r="L285" s="76">
        <f>(((Table134567891011121314151617343[[#This Row],[EA19]]-VLOOKUP($U$1,A:F,6,))/VLOOKUP($U$1,A:F,6,))*100)+100</f>
        <v/>
      </c>
      <c r="M285" s="76">
        <f>(((Table134567891011121314151617343[[#This Row],[GBR]]-VLOOKUP($U$1,A:G,7,))/VLOOKUP($U$1,A:G,7,))*100)+100</f>
        <v/>
      </c>
      <c r="N285" s="76">
        <f>IF(VLOOKUP(A285,Database!$A:$AU,MATCH($N$1,Database!$A$1:$AU$1,0),FALSE)=0,#N/A,VLOOKUP(A285,Database!$A:$AU,MATCH($N$1,Database!$A$1:$AU$1,0),FALSE))</f>
        <v/>
      </c>
      <c r="O285" s="76">
        <f>(((Table134567891011121314151617343[[#This Row],[USA]]-VLOOKUP($U$1,A:N,14,))/VLOOKUP($U$1,A:N,14,))*100)+100</f>
        <v/>
      </c>
      <c r="P285" s="76">
        <f>IF(VLOOKUP(A285,Database!$A:$AS,MATCH($P$1,Database!$A$1:$AS$1,0),FALSE)=0,#N/A,VLOOKUP(A285,Database!$A:$AS,MATCH($P$1,Database!$A$1:$AS$1,0),FALSE))</f>
        <v/>
      </c>
      <c r="Q285" s="76">
        <f>(((Table134567891011121314151617343[[#This Row],[JPN]]-VLOOKUP($U$1,A:Q,16,))/VLOOKUP($U$1,A:Q,16,))*100)+100</f>
        <v/>
      </c>
    </row>
    <row r="286" customFormat="1" s="86">
      <c r="A286" s="21" t="n">
        <v>41518</v>
      </c>
      <c r="B286" s="76">
        <f>IF(VLOOKUP(A286,Database!$A:$AS,MATCH($B$1,Database!$A$1:$AS$1,0),FALSE)=0,#N/A,VLOOKUP(A286,Database!$A:$AS,MATCH($B$1,Database!$A$1:$AS$1,0),FALSE))</f>
        <v/>
      </c>
      <c r="C286" s="76">
        <f>IF(VLOOKUP(A286,Database!$A:$AS,MATCH($C$1,Database!$A$1:$AS$1,0),FALSE)=0,#N/A,VLOOKUP(A286,Database!$A:$AS,MATCH($C$1,Database!$A$1:$AS$1,0),FALSE))</f>
        <v/>
      </c>
      <c r="D286" s="76">
        <f>IF(VLOOKUP(A286,Database!$A:$AS,MATCH($D$1,Database!$A$1:$AS$1,0),FALSE)=0,#N/A,VLOOKUP(A286,Database!$A:$AS,MATCH($D$1,Database!$A$1:$AS$1,0),FALSE))</f>
        <v/>
      </c>
      <c r="E286" s="76">
        <f>IF(VLOOKUP(A286,Database!$A:$AS,MATCH($E$1,Database!$A$1:$AS$1,0),FALSE)=0,#N/A,VLOOKUP(A286,Database!$A:$AS,MATCH($E$1,Database!$A$1:$AS$1,0),FALSE))</f>
        <v/>
      </c>
      <c r="F286" s="76">
        <f>IF(VLOOKUP(A286,Database!$A:$AS,MATCH($F$1,Database!$A$1:$AS$1,0),FALSE)=0,#N/A,VLOOKUP(A286,Database!$A:$AS,MATCH($F$1,Database!$A$1:$AS$1,0),FALSE))</f>
        <v/>
      </c>
      <c r="G286" s="76">
        <f>IF(VLOOKUP(A286,Database!$A:$AS,MATCH($G$1,Database!$A$1:$AS$1,0),FALSE)=0,#N/A,VLOOKUP(A286,Database!$A:$AS,MATCH($G$1,Database!$A$1:$AS$1,0),FALSE))</f>
        <v/>
      </c>
      <c r="H286" s="76">
        <f>(((Table134567891011121314151617343[[#This Row],[ITA]]-VLOOKUP($U$1,A:B,2,))/VLOOKUP($U$1,A:B,2,))*100)+100</f>
        <v/>
      </c>
      <c r="I286" s="76">
        <f>(((Table134567891011121314151617343[[#This Row],[FRA]]-VLOOKUP($U$1,A:C,3,))/VLOOKUP($U$1,A:C,3,))*100)+100</f>
        <v/>
      </c>
      <c r="J286" s="76">
        <f>(((Table134567891011121314151617343[[#This Row],[DEU]]-VLOOKUP($U$1,A:D,4,))/VLOOKUP($U$1,A:D,4,))*100)+100</f>
        <v/>
      </c>
      <c r="K286" s="76">
        <f>(((Table134567891011121314151617343[[#This Row],[ESP]]-VLOOKUP($U$1,A:E,5,))/VLOOKUP($U$1,A:E,5,))*100)+100</f>
        <v/>
      </c>
      <c r="L286" s="76">
        <f>(((Table134567891011121314151617343[[#This Row],[EA19]]-VLOOKUP($U$1,A:F,6,))/VLOOKUP($U$1,A:F,6,))*100)+100</f>
        <v/>
      </c>
      <c r="M286" s="76">
        <f>(((Table134567891011121314151617343[[#This Row],[GBR]]-VLOOKUP($U$1,A:G,7,))/VLOOKUP($U$1,A:G,7,))*100)+100</f>
        <v/>
      </c>
      <c r="N286" s="76">
        <f>IF(VLOOKUP(A286,Database!$A:$AU,MATCH($N$1,Database!$A$1:$AU$1,0),FALSE)=0,#N/A,VLOOKUP(A286,Database!$A:$AU,MATCH($N$1,Database!$A$1:$AU$1,0),FALSE))</f>
        <v/>
      </c>
      <c r="O286" s="76">
        <f>(((Table134567891011121314151617343[[#This Row],[USA]]-VLOOKUP($U$1,A:N,14,))/VLOOKUP($U$1,A:N,14,))*100)+100</f>
        <v/>
      </c>
      <c r="P286" s="76">
        <f>IF(VLOOKUP(A286,Database!$A:$AS,MATCH($P$1,Database!$A$1:$AS$1,0),FALSE)=0,#N/A,VLOOKUP(A286,Database!$A:$AS,MATCH($P$1,Database!$A$1:$AS$1,0),FALSE))</f>
        <v/>
      </c>
      <c r="Q286" s="76">
        <f>(((Table134567891011121314151617343[[#This Row],[JPN]]-VLOOKUP($U$1,A:Q,16,))/VLOOKUP($U$1,A:Q,16,))*100)+100</f>
        <v/>
      </c>
    </row>
    <row r="287" customFormat="1" s="86">
      <c r="A287" s="21" t="n">
        <v>41548</v>
      </c>
      <c r="B287" s="76">
        <f>IF(VLOOKUP(A287,Database!$A:$AS,MATCH($B$1,Database!$A$1:$AS$1,0),FALSE)=0,#N/A,VLOOKUP(A287,Database!$A:$AS,MATCH($B$1,Database!$A$1:$AS$1,0),FALSE))</f>
        <v/>
      </c>
      <c r="C287" s="76">
        <f>IF(VLOOKUP(A287,Database!$A:$AS,MATCH($C$1,Database!$A$1:$AS$1,0),FALSE)=0,#N/A,VLOOKUP(A287,Database!$A:$AS,MATCH($C$1,Database!$A$1:$AS$1,0),FALSE))</f>
        <v/>
      </c>
      <c r="D287" s="76">
        <f>IF(VLOOKUP(A287,Database!$A:$AS,MATCH($D$1,Database!$A$1:$AS$1,0),FALSE)=0,#N/A,VLOOKUP(A287,Database!$A:$AS,MATCH($D$1,Database!$A$1:$AS$1,0),FALSE))</f>
        <v/>
      </c>
      <c r="E287" s="76">
        <f>IF(VLOOKUP(A287,Database!$A:$AS,MATCH($E$1,Database!$A$1:$AS$1,0),FALSE)=0,#N/A,VLOOKUP(A287,Database!$A:$AS,MATCH($E$1,Database!$A$1:$AS$1,0),FALSE))</f>
        <v/>
      </c>
      <c r="F287" s="76">
        <f>IF(VLOOKUP(A287,Database!$A:$AS,MATCH($F$1,Database!$A$1:$AS$1,0),FALSE)=0,#N/A,VLOOKUP(A287,Database!$A:$AS,MATCH($F$1,Database!$A$1:$AS$1,0),FALSE))</f>
        <v/>
      </c>
      <c r="G287" s="76">
        <f>IF(VLOOKUP(A287,Database!$A:$AS,MATCH($G$1,Database!$A$1:$AS$1,0),FALSE)=0,#N/A,VLOOKUP(A287,Database!$A:$AS,MATCH($G$1,Database!$A$1:$AS$1,0),FALSE))</f>
        <v/>
      </c>
      <c r="H287" s="76">
        <f>(((Table134567891011121314151617343[[#This Row],[ITA]]-VLOOKUP($U$1,A:B,2,))/VLOOKUP($U$1,A:B,2,))*100)+100</f>
        <v/>
      </c>
      <c r="I287" s="76">
        <f>(((Table134567891011121314151617343[[#This Row],[FRA]]-VLOOKUP($U$1,A:C,3,))/VLOOKUP($U$1,A:C,3,))*100)+100</f>
        <v/>
      </c>
      <c r="J287" s="76">
        <f>(((Table134567891011121314151617343[[#This Row],[DEU]]-VLOOKUP($U$1,A:D,4,))/VLOOKUP($U$1,A:D,4,))*100)+100</f>
        <v/>
      </c>
      <c r="K287" s="76">
        <f>(((Table134567891011121314151617343[[#This Row],[ESP]]-VLOOKUP($U$1,A:E,5,))/VLOOKUP($U$1,A:E,5,))*100)+100</f>
        <v/>
      </c>
      <c r="L287" s="76">
        <f>(((Table134567891011121314151617343[[#This Row],[EA19]]-VLOOKUP($U$1,A:F,6,))/VLOOKUP($U$1,A:F,6,))*100)+100</f>
        <v/>
      </c>
      <c r="M287" s="76">
        <f>(((Table134567891011121314151617343[[#This Row],[GBR]]-VLOOKUP($U$1,A:G,7,))/VLOOKUP($U$1,A:G,7,))*100)+100</f>
        <v/>
      </c>
      <c r="N287" s="76">
        <f>IF(VLOOKUP(A287,Database!$A:$AU,MATCH($N$1,Database!$A$1:$AU$1,0),FALSE)=0,#N/A,VLOOKUP(A287,Database!$A:$AU,MATCH($N$1,Database!$A$1:$AU$1,0),FALSE))</f>
        <v/>
      </c>
      <c r="O287" s="76">
        <f>(((Table134567891011121314151617343[[#This Row],[USA]]-VLOOKUP($U$1,A:N,14,))/VLOOKUP($U$1,A:N,14,))*100)+100</f>
        <v/>
      </c>
      <c r="P287" s="76">
        <f>IF(VLOOKUP(A287,Database!$A:$AS,MATCH($P$1,Database!$A$1:$AS$1,0),FALSE)=0,#N/A,VLOOKUP(A287,Database!$A:$AS,MATCH($P$1,Database!$A$1:$AS$1,0),FALSE))</f>
        <v/>
      </c>
      <c r="Q287" s="76">
        <f>(((Table134567891011121314151617343[[#This Row],[JPN]]-VLOOKUP($U$1,A:Q,16,))/VLOOKUP($U$1,A:Q,16,))*100)+100</f>
        <v/>
      </c>
    </row>
    <row r="288" customFormat="1" s="86">
      <c r="A288" s="21" t="n">
        <v>41579</v>
      </c>
      <c r="B288" s="76">
        <f>IF(VLOOKUP(A288,Database!$A:$AS,MATCH($B$1,Database!$A$1:$AS$1,0),FALSE)=0,#N/A,VLOOKUP(A288,Database!$A:$AS,MATCH($B$1,Database!$A$1:$AS$1,0),FALSE))</f>
        <v/>
      </c>
      <c r="C288" s="76">
        <f>IF(VLOOKUP(A288,Database!$A:$AS,MATCH($C$1,Database!$A$1:$AS$1,0),FALSE)=0,#N/A,VLOOKUP(A288,Database!$A:$AS,MATCH($C$1,Database!$A$1:$AS$1,0),FALSE))</f>
        <v/>
      </c>
      <c r="D288" s="76">
        <f>IF(VLOOKUP(A288,Database!$A:$AS,MATCH($D$1,Database!$A$1:$AS$1,0),FALSE)=0,#N/A,VLOOKUP(A288,Database!$A:$AS,MATCH($D$1,Database!$A$1:$AS$1,0),FALSE))</f>
        <v/>
      </c>
      <c r="E288" s="76">
        <f>IF(VLOOKUP(A288,Database!$A:$AS,MATCH($E$1,Database!$A$1:$AS$1,0),FALSE)=0,#N/A,VLOOKUP(A288,Database!$A:$AS,MATCH($E$1,Database!$A$1:$AS$1,0),FALSE))</f>
        <v/>
      </c>
      <c r="F288" s="76">
        <f>IF(VLOOKUP(A288,Database!$A:$AS,MATCH($F$1,Database!$A$1:$AS$1,0),FALSE)=0,#N/A,VLOOKUP(A288,Database!$A:$AS,MATCH($F$1,Database!$A$1:$AS$1,0),FALSE))</f>
        <v/>
      </c>
      <c r="G288" s="76">
        <f>IF(VLOOKUP(A288,Database!$A:$AS,MATCH($G$1,Database!$A$1:$AS$1,0),FALSE)=0,#N/A,VLOOKUP(A288,Database!$A:$AS,MATCH($G$1,Database!$A$1:$AS$1,0),FALSE))</f>
        <v/>
      </c>
      <c r="H288" s="76">
        <f>(((Table134567891011121314151617343[[#This Row],[ITA]]-VLOOKUP($U$1,A:B,2,))/VLOOKUP($U$1,A:B,2,))*100)+100</f>
        <v/>
      </c>
      <c r="I288" s="76">
        <f>(((Table134567891011121314151617343[[#This Row],[FRA]]-VLOOKUP($U$1,A:C,3,))/VLOOKUP($U$1,A:C,3,))*100)+100</f>
        <v/>
      </c>
      <c r="J288" s="76">
        <f>(((Table134567891011121314151617343[[#This Row],[DEU]]-VLOOKUP($U$1,A:D,4,))/VLOOKUP($U$1,A:D,4,))*100)+100</f>
        <v/>
      </c>
      <c r="K288" s="76">
        <f>(((Table134567891011121314151617343[[#This Row],[ESP]]-VLOOKUP($U$1,A:E,5,))/VLOOKUP($U$1,A:E,5,))*100)+100</f>
        <v/>
      </c>
      <c r="L288" s="76">
        <f>(((Table134567891011121314151617343[[#This Row],[EA19]]-VLOOKUP($U$1,A:F,6,))/VLOOKUP($U$1,A:F,6,))*100)+100</f>
        <v/>
      </c>
      <c r="M288" s="76">
        <f>(((Table134567891011121314151617343[[#This Row],[GBR]]-VLOOKUP($U$1,A:G,7,))/VLOOKUP($U$1,A:G,7,))*100)+100</f>
        <v/>
      </c>
      <c r="N288" s="76">
        <f>IF(VLOOKUP(A288,Database!$A:$AU,MATCH($N$1,Database!$A$1:$AU$1,0),FALSE)=0,#N/A,VLOOKUP(A288,Database!$A:$AU,MATCH($N$1,Database!$A$1:$AU$1,0),FALSE))</f>
        <v/>
      </c>
      <c r="O288" s="76">
        <f>(((Table134567891011121314151617343[[#This Row],[USA]]-VLOOKUP($U$1,A:N,14,))/VLOOKUP($U$1,A:N,14,))*100)+100</f>
        <v/>
      </c>
      <c r="P288" s="76">
        <f>IF(VLOOKUP(A288,Database!$A:$AS,MATCH($P$1,Database!$A$1:$AS$1,0),FALSE)=0,#N/A,VLOOKUP(A288,Database!$A:$AS,MATCH($P$1,Database!$A$1:$AS$1,0),FALSE))</f>
        <v/>
      </c>
      <c r="Q288" s="76">
        <f>(((Table134567891011121314151617343[[#This Row],[JPN]]-VLOOKUP($U$1,A:Q,16,))/VLOOKUP($U$1,A:Q,16,))*100)+100</f>
        <v/>
      </c>
    </row>
    <row r="289" customFormat="1" s="86">
      <c r="A289" s="21" t="n">
        <v>41609</v>
      </c>
      <c r="B289" s="76">
        <f>IF(VLOOKUP(A289,Database!$A:$AS,MATCH($B$1,Database!$A$1:$AS$1,0),FALSE)=0,#N/A,VLOOKUP(A289,Database!$A:$AS,MATCH($B$1,Database!$A$1:$AS$1,0),FALSE))</f>
        <v/>
      </c>
      <c r="C289" s="76">
        <f>IF(VLOOKUP(A289,Database!$A:$AS,MATCH($C$1,Database!$A$1:$AS$1,0),FALSE)=0,#N/A,VLOOKUP(A289,Database!$A:$AS,MATCH($C$1,Database!$A$1:$AS$1,0),FALSE))</f>
        <v/>
      </c>
      <c r="D289" s="76">
        <f>IF(VLOOKUP(A289,Database!$A:$AS,MATCH($D$1,Database!$A$1:$AS$1,0),FALSE)=0,#N/A,VLOOKUP(A289,Database!$A:$AS,MATCH($D$1,Database!$A$1:$AS$1,0),FALSE))</f>
        <v/>
      </c>
      <c r="E289" s="76">
        <f>IF(VLOOKUP(A289,Database!$A:$AS,MATCH($E$1,Database!$A$1:$AS$1,0),FALSE)=0,#N/A,VLOOKUP(A289,Database!$A:$AS,MATCH($E$1,Database!$A$1:$AS$1,0),FALSE))</f>
        <v/>
      </c>
      <c r="F289" s="76">
        <f>IF(VLOOKUP(A289,Database!$A:$AS,MATCH($F$1,Database!$A$1:$AS$1,0),FALSE)=0,#N/A,VLOOKUP(A289,Database!$A:$AS,MATCH($F$1,Database!$A$1:$AS$1,0),FALSE))</f>
        <v/>
      </c>
      <c r="G289" s="76">
        <f>IF(VLOOKUP(A289,Database!$A:$AS,MATCH($G$1,Database!$A$1:$AS$1,0),FALSE)=0,#N/A,VLOOKUP(A289,Database!$A:$AS,MATCH($G$1,Database!$A$1:$AS$1,0),FALSE))</f>
        <v/>
      </c>
      <c r="H289" s="76">
        <f>(((Table134567891011121314151617343[[#This Row],[ITA]]-VLOOKUP($U$1,A:B,2,))/VLOOKUP($U$1,A:B,2,))*100)+100</f>
        <v/>
      </c>
      <c r="I289" s="76">
        <f>(((Table134567891011121314151617343[[#This Row],[FRA]]-VLOOKUP($U$1,A:C,3,))/VLOOKUP($U$1,A:C,3,))*100)+100</f>
        <v/>
      </c>
      <c r="J289" s="76">
        <f>(((Table134567891011121314151617343[[#This Row],[DEU]]-VLOOKUP($U$1,A:D,4,))/VLOOKUP($U$1,A:D,4,))*100)+100</f>
        <v/>
      </c>
      <c r="K289" s="76">
        <f>(((Table134567891011121314151617343[[#This Row],[ESP]]-VLOOKUP($U$1,A:E,5,))/VLOOKUP($U$1,A:E,5,))*100)+100</f>
        <v/>
      </c>
      <c r="L289" s="76">
        <f>(((Table134567891011121314151617343[[#This Row],[EA19]]-VLOOKUP($U$1,A:F,6,))/VLOOKUP($U$1,A:F,6,))*100)+100</f>
        <v/>
      </c>
      <c r="M289" s="76">
        <f>(((Table134567891011121314151617343[[#This Row],[GBR]]-VLOOKUP($U$1,A:G,7,))/VLOOKUP($U$1,A:G,7,))*100)+100</f>
        <v/>
      </c>
      <c r="N289" s="76">
        <f>IF(VLOOKUP(A289,Database!$A:$AU,MATCH($N$1,Database!$A$1:$AU$1,0),FALSE)=0,#N/A,VLOOKUP(A289,Database!$A:$AU,MATCH($N$1,Database!$A$1:$AU$1,0),FALSE))</f>
        <v/>
      </c>
      <c r="O289" s="76">
        <f>(((Table134567891011121314151617343[[#This Row],[USA]]-VLOOKUP($U$1,A:N,14,))/VLOOKUP($U$1,A:N,14,))*100)+100</f>
        <v/>
      </c>
      <c r="P289" s="76">
        <f>IF(VLOOKUP(A289,Database!$A:$AS,MATCH($P$1,Database!$A$1:$AS$1,0),FALSE)=0,#N/A,VLOOKUP(A289,Database!$A:$AS,MATCH($P$1,Database!$A$1:$AS$1,0),FALSE))</f>
        <v/>
      </c>
      <c r="Q289" s="76">
        <f>(((Table134567891011121314151617343[[#This Row],[JPN]]-VLOOKUP($U$1,A:Q,16,))/VLOOKUP($U$1,A:Q,16,))*100)+100</f>
        <v/>
      </c>
    </row>
    <row r="290" customFormat="1" s="86">
      <c r="A290" s="21" t="n">
        <v>41640</v>
      </c>
      <c r="B290" s="76">
        <f>IF(VLOOKUP(A290,Database!$A:$AS,MATCH($B$1,Database!$A$1:$AS$1,0),FALSE)=0,#N/A,VLOOKUP(A290,Database!$A:$AS,MATCH($B$1,Database!$A$1:$AS$1,0),FALSE))</f>
        <v/>
      </c>
      <c r="C290" s="76">
        <f>IF(VLOOKUP(A290,Database!$A:$AS,MATCH($C$1,Database!$A$1:$AS$1,0),FALSE)=0,#N/A,VLOOKUP(A290,Database!$A:$AS,MATCH($C$1,Database!$A$1:$AS$1,0),FALSE))</f>
        <v/>
      </c>
      <c r="D290" s="76">
        <f>IF(VLOOKUP(A290,Database!$A:$AS,MATCH($D$1,Database!$A$1:$AS$1,0),FALSE)=0,#N/A,VLOOKUP(A290,Database!$A:$AS,MATCH($D$1,Database!$A$1:$AS$1,0),FALSE))</f>
        <v/>
      </c>
      <c r="E290" s="76">
        <f>IF(VLOOKUP(A290,Database!$A:$AS,MATCH($E$1,Database!$A$1:$AS$1,0),FALSE)=0,#N/A,VLOOKUP(A290,Database!$A:$AS,MATCH($E$1,Database!$A$1:$AS$1,0),FALSE))</f>
        <v/>
      </c>
      <c r="F290" s="76">
        <f>IF(VLOOKUP(A290,Database!$A:$AS,MATCH($F$1,Database!$A$1:$AS$1,0),FALSE)=0,#N/A,VLOOKUP(A290,Database!$A:$AS,MATCH($F$1,Database!$A$1:$AS$1,0),FALSE))</f>
        <v/>
      </c>
      <c r="G290" s="76">
        <f>IF(VLOOKUP(A290,Database!$A:$AS,MATCH($G$1,Database!$A$1:$AS$1,0),FALSE)=0,#N/A,VLOOKUP(A290,Database!$A:$AS,MATCH($G$1,Database!$A$1:$AS$1,0),FALSE))</f>
        <v/>
      </c>
      <c r="H290" s="76">
        <f>(((Table134567891011121314151617343[[#This Row],[ITA]]-VLOOKUP($U$1,A:B,2,))/VLOOKUP($U$1,A:B,2,))*100)+100</f>
        <v/>
      </c>
      <c r="I290" s="76">
        <f>(((Table134567891011121314151617343[[#This Row],[FRA]]-VLOOKUP($U$1,A:C,3,))/VLOOKUP($U$1,A:C,3,))*100)+100</f>
        <v/>
      </c>
      <c r="J290" s="76">
        <f>(((Table134567891011121314151617343[[#This Row],[DEU]]-VLOOKUP($U$1,A:D,4,))/VLOOKUP($U$1,A:D,4,))*100)+100</f>
        <v/>
      </c>
      <c r="K290" s="76">
        <f>(((Table134567891011121314151617343[[#This Row],[ESP]]-VLOOKUP($U$1,A:E,5,))/VLOOKUP($U$1,A:E,5,))*100)+100</f>
        <v/>
      </c>
      <c r="L290" s="76">
        <f>(((Table134567891011121314151617343[[#This Row],[EA19]]-VLOOKUP($U$1,A:F,6,))/VLOOKUP($U$1,A:F,6,))*100)+100</f>
        <v/>
      </c>
      <c r="M290" s="76">
        <f>(((Table134567891011121314151617343[[#This Row],[GBR]]-VLOOKUP($U$1,A:G,7,))/VLOOKUP($U$1,A:G,7,))*100)+100</f>
        <v/>
      </c>
      <c r="N290" s="76">
        <f>IF(VLOOKUP(A290,Database!$A:$AU,MATCH($N$1,Database!$A$1:$AU$1,0),FALSE)=0,#N/A,VLOOKUP(A290,Database!$A:$AU,MATCH($N$1,Database!$A$1:$AU$1,0),FALSE))</f>
        <v/>
      </c>
      <c r="O290" s="76">
        <f>(((Table134567891011121314151617343[[#This Row],[USA]]-VLOOKUP($U$1,A:N,14,))/VLOOKUP($U$1,A:N,14,))*100)+100</f>
        <v/>
      </c>
      <c r="P290" s="76">
        <f>IF(VLOOKUP(A290,Database!$A:$AS,MATCH($P$1,Database!$A$1:$AS$1,0),FALSE)=0,#N/A,VLOOKUP(A290,Database!$A:$AS,MATCH($P$1,Database!$A$1:$AS$1,0),FALSE))</f>
        <v/>
      </c>
      <c r="Q290" s="76">
        <f>(((Table134567891011121314151617343[[#This Row],[JPN]]-VLOOKUP($U$1,A:Q,16,))/VLOOKUP($U$1,A:Q,16,))*100)+100</f>
        <v/>
      </c>
    </row>
    <row r="291" customFormat="1" s="86">
      <c r="A291" s="21" t="n">
        <v>41671</v>
      </c>
      <c r="B291" s="76">
        <f>IF(VLOOKUP(A291,Database!$A:$AS,MATCH($B$1,Database!$A$1:$AS$1,0),FALSE)=0,#N/A,VLOOKUP(A291,Database!$A:$AS,MATCH($B$1,Database!$A$1:$AS$1,0),FALSE))</f>
        <v/>
      </c>
      <c r="C291" s="76">
        <f>IF(VLOOKUP(A291,Database!$A:$AS,MATCH($C$1,Database!$A$1:$AS$1,0),FALSE)=0,#N/A,VLOOKUP(A291,Database!$A:$AS,MATCH($C$1,Database!$A$1:$AS$1,0),FALSE))</f>
        <v/>
      </c>
      <c r="D291" s="76">
        <f>IF(VLOOKUP(A291,Database!$A:$AS,MATCH($D$1,Database!$A$1:$AS$1,0),FALSE)=0,#N/A,VLOOKUP(A291,Database!$A:$AS,MATCH($D$1,Database!$A$1:$AS$1,0),FALSE))</f>
        <v/>
      </c>
      <c r="E291" s="76">
        <f>IF(VLOOKUP(A291,Database!$A:$AS,MATCH($E$1,Database!$A$1:$AS$1,0),FALSE)=0,#N/A,VLOOKUP(A291,Database!$A:$AS,MATCH($E$1,Database!$A$1:$AS$1,0),FALSE))</f>
        <v/>
      </c>
      <c r="F291" s="76">
        <f>IF(VLOOKUP(A291,Database!$A:$AS,MATCH($F$1,Database!$A$1:$AS$1,0),FALSE)=0,#N/A,VLOOKUP(A291,Database!$A:$AS,MATCH($F$1,Database!$A$1:$AS$1,0),FALSE))</f>
        <v/>
      </c>
      <c r="G291" s="76">
        <f>IF(VLOOKUP(A291,Database!$A:$AS,MATCH($G$1,Database!$A$1:$AS$1,0),FALSE)=0,#N/A,VLOOKUP(A291,Database!$A:$AS,MATCH($G$1,Database!$A$1:$AS$1,0),FALSE))</f>
        <v/>
      </c>
      <c r="H291" s="76">
        <f>(((Table134567891011121314151617343[[#This Row],[ITA]]-VLOOKUP($U$1,A:B,2,))/VLOOKUP($U$1,A:B,2,))*100)+100</f>
        <v/>
      </c>
      <c r="I291" s="76">
        <f>(((Table134567891011121314151617343[[#This Row],[FRA]]-VLOOKUP($U$1,A:C,3,))/VLOOKUP($U$1,A:C,3,))*100)+100</f>
        <v/>
      </c>
      <c r="J291" s="76">
        <f>(((Table134567891011121314151617343[[#This Row],[DEU]]-VLOOKUP($U$1,A:D,4,))/VLOOKUP($U$1,A:D,4,))*100)+100</f>
        <v/>
      </c>
      <c r="K291" s="76">
        <f>(((Table134567891011121314151617343[[#This Row],[ESP]]-VLOOKUP($U$1,A:E,5,))/VLOOKUP($U$1,A:E,5,))*100)+100</f>
        <v/>
      </c>
      <c r="L291" s="76">
        <f>(((Table134567891011121314151617343[[#This Row],[EA19]]-VLOOKUP($U$1,A:F,6,))/VLOOKUP($U$1,A:F,6,))*100)+100</f>
        <v/>
      </c>
      <c r="M291" s="76">
        <f>(((Table134567891011121314151617343[[#This Row],[GBR]]-VLOOKUP($U$1,A:G,7,))/VLOOKUP($U$1,A:G,7,))*100)+100</f>
        <v/>
      </c>
      <c r="N291" s="76">
        <f>IF(VLOOKUP(A291,Database!$A:$AU,MATCH($N$1,Database!$A$1:$AU$1,0),FALSE)=0,#N/A,VLOOKUP(A291,Database!$A:$AU,MATCH($N$1,Database!$A$1:$AU$1,0),FALSE))</f>
        <v/>
      </c>
      <c r="O291" s="76">
        <f>(((Table134567891011121314151617343[[#This Row],[USA]]-VLOOKUP($U$1,A:N,14,))/VLOOKUP($U$1,A:N,14,))*100)+100</f>
        <v/>
      </c>
      <c r="P291" s="76">
        <f>IF(VLOOKUP(A291,Database!$A:$AS,MATCH($P$1,Database!$A$1:$AS$1,0),FALSE)=0,#N/A,VLOOKUP(A291,Database!$A:$AS,MATCH($P$1,Database!$A$1:$AS$1,0),FALSE))</f>
        <v/>
      </c>
      <c r="Q291" s="76">
        <f>(((Table134567891011121314151617343[[#This Row],[JPN]]-VLOOKUP($U$1,A:Q,16,))/VLOOKUP($U$1,A:Q,16,))*100)+100</f>
        <v/>
      </c>
    </row>
    <row r="292" customFormat="1" s="86">
      <c r="A292" s="21" t="n">
        <v>41699</v>
      </c>
      <c r="B292" s="76">
        <f>IF(VLOOKUP(A292,Database!$A:$AS,MATCH($B$1,Database!$A$1:$AS$1,0),FALSE)=0,#N/A,VLOOKUP(A292,Database!$A:$AS,MATCH($B$1,Database!$A$1:$AS$1,0),FALSE))</f>
        <v/>
      </c>
      <c r="C292" s="76">
        <f>IF(VLOOKUP(A292,Database!$A:$AS,MATCH($C$1,Database!$A$1:$AS$1,0),FALSE)=0,#N/A,VLOOKUP(A292,Database!$A:$AS,MATCH($C$1,Database!$A$1:$AS$1,0),FALSE))</f>
        <v/>
      </c>
      <c r="D292" s="76">
        <f>IF(VLOOKUP(A292,Database!$A:$AS,MATCH($D$1,Database!$A$1:$AS$1,0),FALSE)=0,#N/A,VLOOKUP(A292,Database!$A:$AS,MATCH($D$1,Database!$A$1:$AS$1,0),FALSE))</f>
        <v/>
      </c>
      <c r="E292" s="76">
        <f>IF(VLOOKUP(A292,Database!$A:$AS,MATCH($E$1,Database!$A$1:$AS$1,0),FALSE)=0,#N/A,VLOOKUP(A292,Database!$A:$AS,MATCH($E$1,Database!$A$1:$AS$1,0),FALSE))</f>
        <v/>
      </c>
      <c r="F292" s="76">
        <f>IF(VLOOKUP(A292,Database!$A:$AS,MATCH($F$1,Database!$A$1:$AS$1,0),FALSE)=0,#N/A,VLOOKUP(A292,Database!$A:$AS,MATCH($F$1,Database!$A$1:$AS$1,0),FALSE))</f>
        <v/>
      </c>
      <c r="G292" s="76">
        <f>IF(VLOOKUP(A292,Database!$A:$AS,MATCH($G$1,Database!$A$1:$AS$1,0),FALSE)=0,#N/A,VLOOKUP(A292,Database!$A:$AS,MATCH($G$1,Database!$A$1:$AS$1,0),FALSE))</f>
        <v/>
      </c>
      <c r="H292" s="76">
        <f>(((Table134567891011121314151617343[[#This Row],[ITA]]-VLOOKUP($U$1,A:B,2,))/VLOOKUP($U$1,A:B,2,))*100)+100</f>
        <v/>
      </c>
      <c r="I292" s="76">
        <f>(((Table134567891011121314151617343[[#This Row],[FRA]]-VLOOKUP($U$1,A:C,3,))/VLOOKUP($U$1,A:C,3,))*100)+100</f>
        <v/>
      </c>
      <c r="J292" s="76">
        <f>(((Table134567891011121314151617343[[#This Row],[DEU]]-VLOOKUP($U$1,A:D,4,))/VLOOKUP($U$1,A:D,4,))*100)+100</f>
        <v/>
      </c>
      <c r="K292" s="76">
        <f>(((Table134567891011121314151617343[[#This Row],[ESP]]-VLOOKUP($U$1,A:E,5,))/VLOOKUP($U$1,A:E,5,))*100)+100</f>
        <v/>
      </c>
      <c r="L292" s="76">
        <f>(((Table134567891011121314151617343[[#This Row],[EA19]]-VLOOKUP($U$1,A:F,6,))/VLOOKUP($U$1,A:F,6,))*100)+100</f>
        <v/>
      </c>
      <c r="M292" s="76">
        <f>(((Table134567891011121314151617343[[#This Row],[GBR]]-VLOOKUP($U$1,A:G,7,))/VLOOKUP($U$1,A:G,7,))*100)+100</f>
        <v/>
      </c>
      <c r="N292" s="76">
        <f>IF(VLOOKUP(A292,Database!$A:$AU,MATCH($N$1,Database!$A$1:$AU$1,0),FALSE)=0,#N/A,VLOOKUP(A292,Database!$A:$AU,MATCH($N$1,Database!$A$1:$AU$1,0),FALSE))</f>
        <v/>
      </c>
      <c r="O292" s="76">
        <f>(((Table134567891011121314151617343[[#This Row],[USA]]-VLOOKUP($U$1,A:N,14,))/VLOOKUP($U$1,A:N,14,))*100)+100</f>
        <v/>
      </c>
      <c r="P292" s="76">
        <f>IF(VLOOKUP(A292,Database!$A:$AS,MATCH($P$1,Database!$A$1:$AS$1,0),FALSE)=0,#N/A,VLOOKUP(A292,Database!$A:$AS,MATCH($P$1,Database!$A$1:$AS$1,0),FALSE))</f>
        <v/>
      </c>
      <c r="Q292" s="76">
        <f>(((Table134567891011121314151617343[[#This Row],[JPN]]-VLOOKUP($U$1,A:Q,16,))/VLOOKUP($U$1,A:Q,16,))*100)+100</f>
        <v/>
      </c>
    </row>
    <row r="293" customFormat="1" s="86">
      <c r="A293" s="21" t="n">
        <v>41730</v>
      </c>
      <c r="B293" s="76">
        <f>IF(VLOOKUP(A293,Database!$A:$AS,MATCH($B$1,Database!$A$1:$AS$1,0),FALSE)=0,#N/A,VLOOKUP(A293,Database!$A:$AS,MATCH($B$1,Database!$A$1:$AS$1,0),FALSE))</f>
        <v/>
      </c>
      <c r="C293" s="76">
        <f>IF(VLOOKUP(A293,Database!$A:$AS,MATCH($C$1,Database!$A$1:$AS$1,0),FALSE)=0,#N/A,VLOOKUP(A293,Database!$A:$AS,MATCH($C$1,Database!$A$1:$AS$1,0),FALSE))</f>
        <v/>
      </c>
      <c r="D293" s="76">
        <f>IF(VLOOKUP(A293,Database!$A:$AS,MATCH($D$1,Database!$A$1:$AS$1,0),FALSE)=0,#N/A,VLOOKUP(A293,Database!$A:$AS,MATCH($D$1,Database!$A$1:$AS$1,0),FALSE))</f>
        <v/>
      </c>
      <c r="E293" s="76">
        <f>IF(VLOOKUP(A293,Database!$A:$AS,MATCH($E$1,Database!$A$1:$AS$1,0),FALSE)=0,#N/A,VLOOKUP(A293,Database!$A:$AS,MATCH($E$1,Database!$A$1:$AS$1,0),FALSE))</f>
        <v/>
      </c>
      <c r="F293" s="76">
        <f>IF(VLOOKUP(A293,Database!$A:$AS,MATCH($F$1,Database!$A$1:$AS$1,0),FALSE)=0,#N/A,VLOOKUP(A293,Database!$A:$AS,MATCH($F$1,Database!$A$1:$AS$1,0),FALSE))</f>
        <v/>
      </c>
      <c r="G293" s="76">
        <f>IF(VLOOKUP(A293,Database!$A:$AS,MATCH($G$1,Database!$A$1:$AS$1,0),FALSE)=0,#N/A,VLOOKUP(A293,Database!$A:$AS,MATCH($G$1,Database!$A$1:$AS$1,0),FALSE))</f>
        <v/>
      </c>
      <c r="H293" s="76">
        <f>(((Table134567891011121314151617343[[#This Row],[ITA]]-VLOOKUP($U$1,A:B,2,))/VLOOKUP($U$1,A:B,2,))*100)+100</f>
        <v/>
      </c>
      <c r="I293" s="76">
        <f>(((Table134567891011121314151617343[[#This Row],[FRA]]-VLOOKUP($U$1,A:C,3,))/VLOOKUP($U$1,A:C,3,))*100)+100</f>
        <v/>
      </c>
      <c r="J293" s="76">
        <f>(((Table134567891011121314151617343[[#This Row],[DEU]]-VLOOKUP($U$1,A:D,4,))/VLOOKUP($U$1,A:D,4,))*100)+100</f>
        <v/>
      </c>
      <c r="K293" s="76">
        <f>(((Table134567891011121314151617343[[#This Row],[ESP]]-VLOOKUP($U$1,A:E,5,))/VLOOKUP($U$1,A:E,5,))*100)+100</f>
        <v/>
      </c>
      <c r="L293" s="76">
        <f>(((Table134567891011121314151617343[[#This Row],[EA19]]-VLOOKUP($U$1,A:F,6,))/VLOOKUP($U$1,A:F,6,))*100)+100</f>
        <v/>
      </c>
      <c r="M293" s="76">
        <f>(((Table134567891011121314151617343[[#This Row],[GBR]]-VLOOKUP($U$1,A:G,7,))/VLOOKUP($U$1,A:G,7,))*100)+100</f>
        <v/>
      </c>
      <c r="N293" s="76">
        <f>IF(VLOOKUP(A293,Database!$A:$AU,MATCH($N$1,Database!$A$1:$AU$1,0),FALSE)=0,#N/A,VLOOKUP(A293,Database!$A:$AU,MATCH($N$1,Database!$A$1:$AU$1,0),FALSE))</f>
        <v/>
      </c>
      <c r="O293" s="76">
        <f>(((Table134567891011121314151617343[[#This Row],[USA]]-VLOOKUP($U$1,A:N,14,))/VLOOKUP($U$1,A:N,14,))*100)+100</f>
        <v/>
      </c>
      <c r="P293" s="76">
        <f>IF(VLOOKUP(A293,Database!$A:$AS,MATCH($P$1,Database!$A$1:$AS$1,0),FALSE)=0,#N/A,VLOOKUP(A293,Database!$A:$AS,MATCH($P$1,Database!$A$1:$AS$1,0),FALSE))</f>
        <v/>
      </c>
      <c r="Q293" s="76">
        <f>(((Table134567891011121314151617343[[#This Row],[JPN]]-VLOOKUP($U$1,A:Q,16,))/VLOOKUP($U$1,A:Q,16,))*100)+100</f>
        <v/>
      </c>
    </row>
    <row r="294" customFormat="1" s="86">
      <c r="A294" s="21" t="n">
        <v>41760</v>
      </c>
      <c r="B294" s="76">
        <f>IF(VLOOKUP(A294,Database!$A:$AS,MATCH($B$1,Database!$A$1:$AS$1,0),FALSE)=0,#N/A,VLOOKUP(A294,Database!$A:$AS,MATCH($B$1,Database!$A$1:$AS$1,0),FALSE))</f>
        <v/>
      </c>
      <c r="C294" s="76">
        <f>IF(VLOOKUP(A294,Database!$A:$AS,MATCH($C$1,Database!$A$1:$AS$1,0),FALSE)=0,#N/A,VLOOKUP(A294,Database!$A:$AS,MATCH($C$1,Database!$A$1:$AS$1,0),FALSE))</f>
        <v/>
      </c>
      <c r="D294" s="76">
        <f>IF(VLOOKUP(A294,Database!$A:$AS,MATCH($D$1,Database!$A$1:$AS$1,0),FALSE)=0,#N/A,VLOOKUP(A294,Database!$A:$AS,MATCH($D$1,Database!$A$1:$AS$1,0),FALSE))</f>
        <v/>
      </c>
      <c r="E294" s="76">
        <f>IF(VLOOKUP(A294,Database!$A:$AS,MATCH($E$1,Database!$A$1:$AS$1,0),FALSE)=0,#N/A,VLOOKUP(A294,Database!$A:$AS,MATCH($E$1,Database!$A$1:$AS$1,0),FALSE))</f>
        <v/>
      </c>
      <c r="F294" s="76">
        <f>IF(VLOOKUP(A294,Database!$A:$AS,MATCH($F$1,Database!$A$1:$AS$1,0),FALSE)=0,#N/A,VLOOKUP(A294,Database!$A:$AS,MATCH($F$1,Database!$A$1:$AS$1,0),FALSE))</f>
        <v/>
      </c>
      <c r="G294" s="76">
        <f>IF(VLOOKUP(A294,Database!$A:$AS,MATCH($G$1,Database!$A$1:$AS$1,0),FALSE)=0,#N/A,VLOOKUP(A294,Database!$A:$AS,MATCH($G$1,Database!$A$1:$AS$1,0),FALSE))</f>
        <v/>
      </c>
      <c r="H294" s="76">
        <f>(((Table134567891011121314151617343[[#This Row],[ITA]]-VLOOKUP($U$1,A:B,2,))/VLOOKUP($U$1,A:B,2,))*100)+100</f>
        <v/>
      </c>
      <c r="I294" s="76">
        <f>(((Table134567891011121314151617343[[#This Row],[FRA]]-VLOOKUP($U$1,A:C,3,))/VLOOKUP($U$1,A:C,3,))*100)+100</f>
        <v/>
      </c>
      <c r="J294" s="76">
        <f>(((Table134567891011121314151617343[[#This Row],[DEU]]-VLOOKUP($U$1,A:D,4,))/VLOOKUP($U$1,A:D,4,))*100)+100</f>
        <v/>
      </c>
      <c r="K294" s="76">
        <f>(((Table134567891011121314151617343[[#This Row],[ESP]]-VLOOKUP($U$1,A:E,5,))/VLOOKUP($U$1,A:E,5,))*100)+100</f>
        <v/>
      </c>
      <c r="L294" s="76">
        <f>(((Table134567891011121314151617343[[#This Row],[EA19]]-VLOOKUP($U$1,A:F,6,))/VLOOKUP($U$1,A:F,6,))*100)+100</f>
        <v/>
      </c>
      <c r="M294" s="76">
        <f>(((Table134567891011121314151617343[[#This Row],[GBR]]-VLOOKUP($U$1,A:G,7,))/VLOOKUP($U$1,A:G,7,))*100)+100</f>
        <v/>
      </c>
      <c r="N294" s="76">
        <f>IF(VLOOKUP(A294,Database!$A:$AU,MATCH($N$1,Database!$A$1:$AU$1,0),FALSE)=0,#N/A,VLOOKUP(A294,Database!$A:$AU,MATCH($N$1,Database!$A$1:$AU$1,0),FALSE))</f>
        <v/>
      </c>
      <c r="O294" s="76">
        <f>(((Table134567891011121314151617343[[#This Row],[USA]]-VLOOKUP($U$1,A:N,14,))/VLOOKUP($U$1,A:N,14,))*100)+100</f>
        <v/>
      </c>
      <c r="P294" s="76">
        <f>IF(VLOOKUP(A294,Database!$A:$AS,MATCH($P$1,Database!$A$1:$AS$1,0),FALSE)=0,#N/A,VLOOKUP(A294,Database!$A:$AS,MATCH($P$1,Database!$A$1:$AS$1,0),FALSE))</f>
        <v/>
      </c>
      <c r="Q294" s="76">
        <f>(((Table134567891011121314151617343[[#This Row],[JPN]]-VLOOKUP($U$1,A:Q,16,))/VLOOKUP($U$1,A:Q,16,))*100)+100</f>
        <v/>
      </c>
    </row>
    <row r="295" customFormat="1" s="86">
      <c r="A295" s="21" t="n">
        <v>41791</v>
      </c>
      <c r="B295" s="76">
        <f>IF(VLOOKUP(A295,Database!$A:$AS,MATCH($B$1,Database!$A$1:$AS$1,0),FALSE)=0,#N/A,VLOOKUP(A295,Database!$A:$AS,MATCH($B$1,Database!$A$1:$AS$1,0),FALSE))</f>
        <v/>
      </c>
      <c r="C295" s="76">
        <f>IF(VLOOKUP(A295,Database!$A:$AS,MATCH($C$1,Database!$A$1:$AS$1,0),FALSE)=0,#N/A,VLOOKUP(A295,Database!$A:$AS,MATCH($C$1,Database!$A$1:$AS$1,0),FALSE))</f>
        <v/>
      </c>
      <c r="D295" s="76">
        <f>IF(VLOOKUP(A295,Database!$A:$AS,MATCH($D$1,Database!$A$1:$AS$1,0),FALSE)=0,#N/A,VLOOKUP(A295,Database!$A:$AS,MATCH($D$1,Database!$A$1:$AS$1,0),FALSE))</f>
        <v/>
      </c>
      <c r="E295" s="76">
        <f>IF(VLOOKUP(A295,Database!$A:$AS,MATCH($E$1,Database!$A$1:$AS$1,0),FALSE)=0,#N/A,VLOOKUP(A295,Database!$A:$AS,MATCH($E$1,Database!$A$1:$AS$1,0),FALSE))</f>
        <v/>
      </c>
      <c r="F295" s="76">
        <f>IF(VLOOKUP(A295,Database!$A:$AS,MATCH($F$1,Database!$A$1:$AS$1,0),FALSE)=0,#N/A,VLOOKUP(A295,Database!$A:$AS,MATCH($F$1,Database!$A$1:$AS$1,0),FALSE))</f>
        <v/>
      </c>
      <c r="G295" s="76">
        <f>IF(VLOOKUP(A295,Database!$A:$AS,MATCH($G$1,Database!$A$1:$AS$1,0),FALSE)=0,#N/A,VLOOKUP(A295,Database!$A:$AS,MATCH($G$1,Database!$A$1:$AS$1,0),FALSE))</f>
        <v/>
      </c>
      <c r="H295" s="76">
        <f>(((Table134567891011121314151617343[[#This Row],[ITA]]-VLOOKUP($U$1,A:B,2,))/VLOOKUP($U$1,A:B,2,))*100)+100</f>
        <v/>
      </c>
      <c r="I295" s="76">
        <f>(((Table134567891011121314151617343[[#This Row],[FRA]]-VLOOKUP($U$1,A:C,3,))/VLOOKUP($U$1,A:C,3,))*100)+100</f>
        <v/>
      </c>
      <c r="J295" s="76">
        <f>(((Table134567891011121314151617343[[#This Row],[DEU]]-VLOOKUP($U$1,A:D,4,))/VLOOKUP($U$1,A:D,4,))*100)+100</f>
        <v/>
      </c>
      <c r="K295" s="76">
        <f>(((Table134567891011121314151617343[[#This Row],[ESP]]-VLOOKUP($U$1,A:E,5,))/VLOOKUP($U$1,A:E,5,))*100)+100</f>
        <v/>
      </c>
      <c r="L295" s="76">
        <f>(((Table134567891011121314151617343[[#This Row],[EA19]]-VLOOKUP($U$1,A:F,6,))/VLOOKUP($U$1,A:F,6,))*100)+100</f>
        <v/>
      </c>
      <c r="M295" s="76">
        <f>(((Table134567891011121314151617343[[#This Row],[GBR]]-VLOOKUP($U$1,A:G,7,))/VLOOKUP($U$1,A:G,7,))*100)+100</f>
        <v/>
      </c>
      <c r="N295" s="76">
        <f>IF(VLOOKUP(A295,Database!$A:$AU,MATCH($N$1,Database!$A$1:$AU$1,0),FALSE)=0,#N/A,VLOOKUP(A295,Database!$A:$AU,MATCH($N$1,Database!$A$1:$AU$1,0),FALSE))</f>
        <v/>
      </c>
      <c r="O295" s="76">
        <f>(((Table134567891011121314151617343[[#This Row],[USA]]-VLOOKUP($U$1,A:N,14,))/VLOOKUP($U$1,A:N,14,))*100)+100</f>
        <v/>
      </c>
      <c r="P295" s="76">
        <f>IF(VLOOKUP(A295,Database!$A:$AS,MATCH($P$1,Database!$A$1:$AS$1,0),FALSE)=0,#N/A,VLOOKUP(A295,Database!$A:$AS,MATCH($P$1,Database!$A$1:$AS$1,0),FALSE))</f>
        <v/>
      </c>
      <c r="Q295" s="76">
        <f>(((Table134567891011121314151617343[[#This Row],[JPN]]-VLOOKUP($U$1,A:Q,16,))/VLOOKUP($U$1,A:Q,16,))*100)+100</f>
        <v/>
      </c>
    </row>
    <row r="296" customFormat="1" s="86">
      <c r="A296" s="21" t="n">
        <v>41821</v>
      </c>
      <c r="B296" s="76">
        <f>IF(VLOOKUP(A296,Database!$A:$AS,MATCH($B$1,Database!$A$1:$AS$1,0),FALSE)=0,#N/A,VLOOKUP(A296,Database!$A:$AS,MATCH($B$1,Database!$A$1:$AS$1,0),FALSE))</f>
        <v/>
      </c>
      <c r="C296" s="76">
        <f>IF(VLOOKUP(A296,Database!$A:$AS,MATCH($C$1,Database!$A$1:$AS$1,0),FALSE)=0,#N/A,VLOOKUP(A296,Database!$A:$AS,MATCH($C$1,Database!$A$1:$AS$1,0),FALSE))</f>
        <v/>
      </c>
      <c r="D296" s="76">
        <f>IF(VLOOKUP(A296,Database!$A:$AS,MATCH($D$1,Database!$A$1:$AS$1,0),FALSE)=0,#N/A,VLOOKUP(A296,Database!$A:$AS,MATCH($D$1,Database!$A$1:$AS$1,0),FALSE))</f>
        <v/>
      </c>
      <c r="E296" s="76">
        <f>IF(VLOOKUP(A296,Database!$A:$AS,MATCH($E$1,Database!$A$1:$AS$1,0),FALSE)=0,#N/A,VLOOKUP(A296,Database!$A:$AS,MATCH($E$1,Database!$A$1:$AS$1,0),FALSE))</f>
        <v/>
      </c>
      <c r="F296" s="76">
        <f>IF(VLOOKUP(A296,Database!$A:$AS,MATCH($F$1,Database!$A$1:$AS$1,0),FALSE)=0,#N/A,VLOOKUP(A296,Database!$A:$AS,MATCH($F$1,Database!$A$1:$AS$1,0),FALSE))</f>
        <v/>
      </c>
      <c r="G296" s="76">
        <f>IF(VLOOKUP(A296,Database!$A:$AS,MATCH($G$1,Database!$A$1:$AS$1,0),FALSE)=0,#N/A,VLOOKUP(A296,Database!$A:$AS,MATCH($G$1,Database!$A$1:$AS$1,0),FALSE))</f>
        <v/>
      </c>
      <c r="H296" s="76">
        <f>(((Table134567891011121314151617343[[#This Row],[ITA]]-VLOOKUP($U$1,A:B,2,))/VLOOKUP($U$1,A:B,2,))*100)+100</f>
        <v/>
      </c>
      <c r="I296" s="76">
        <f>(((Table134567891011121314151617343[[#This Row],[FRA]]-VLOOKUP($U$1,A:C,3,))/VLOOKUP($U$1,A:C,3,))*100)+100</f>
        <v/>
      </c>
      <c r="J296" s="76">
        <f>(((Table134567891011121314151617343[[#This Row],[DEU]]-VLOOKUP($U$1,A:D,4,))/VLOOKUP($U$1,A:D,4,))*100)+100</f>
        <v/>
      </c>
      <c r="K296" s="76">
        <f>(((Table134567891011121314151617343[[#This Row],[ESP]]-VLOOKUP($U$1,A:E,5,))/VLOOKUP($U$1,A:E,5,))*100)+100</f>
        <v/>
      </c>
      <c r="L296" s="76">
        <f>(((Table134567891011121314151617343[[#This Row],[EA19]]-VLOOKUP($U$1,A:F,6,))/VLOOKUP($U$1,A:F,6,))*100)+100</f>
        <v/>
      </c>
      <c r="M296" s="76">
        <f>(((Table134567891011121314151617343[[#This Row],[GBR]]-VLOOKUP($U$1,A:G,7,))/VLOOKUP($U$1,A:G,7,))*100)+100</f>
        <v/>
      </c>
      <c r="N296" s="76">
        <f>IF(VLOOKUP(A296,Database!$A:$AU,MATCH($N$1,Database!$A$1:$AU$1,0),FALSE)=0,#N/A,VLOOKUP(A296,Database!$A:$AU,MATCH($N$1,Database!$A$1:$AU$1,0),FALSE))</f>
        <v/>
      </c>
      <c r="O296" s="76">
        <f>(((Table134567891011121314151617343[[#This Row],[USA]]-VLOOKUP($U$1,A:N,14,))/VLOOKUP($U$1,A:N,14,))*100)+100</f>
        <v/>
      </c>
      <c r="P296" s="76">
        <f>IF(VLOOKUP(A296,Database!$A:$AS,MATCH($P$1,Database!$A$1:$AS$1,0),FALSE)=0,#N/A,VLOOKUP(A296,Database!$A:$AS,MATCH($P$1,Database!$A$1:$AS$1,0),FALSE))</f>
        <v/>
      </c>
      <c r="Q296" s="76">
        <f>(((Table134567891011121314151617343[[#This Row],[JPN]]-VLOOKUP($U$1,A:Q,16,))/VLOOKUP($U$1,A:Q,16,))*100)+100</f>
        <v/>
      </c>
    </row>
    <row r="297" customFormat="1" s="86">
      <c r="A297" s="21" t="n">
        <v>41852</v>
      </c>
      <c r="B297" s="76">
        <f>IF(VLOOKUP(A297,Database!$A:$AS,MATCH($B$1,Database!$A$1:$AS$1,0),FALSE)=0,#N/A,VLOOKUP(A297,Database!$A:$AS,MATCH($B$1,Database!$A$1:$AS$1,0),FALSE))</f>
        <v/>
      </c>
      <c r="C297" s="76">
        <f>IF(VLOOKUP(A297,Database!$A:$AS,MATCH($C$1,Database!$A$1:$AS$1,0),FALSE)=0,#N/A,VLOOKUP(A297,Database!$A:$AS,MATCH($C$1,Database!$A$1:$AS$1,0),FALSE))</f>
        <v/>
      </c>
      <c r="D297" s="76">
        <f>IF(VLOOKUP(A297,Database!$A:$AS,MATCH($D$1,Database!$A$1:$AS$1,0),FALSE)=0,#N/A,VLOOKUP(A297,Database!$A:$AS,MATCH($D$1,Database!$A$1:$AS$1,0),FALSE))</f>
        <v/>
      </c>
      <c r="E297" s="76">
        <f>IF(VLOOKUP(A297,Database!$A:$AS,MATCH($E$1,Database!$A$1:$AS$1,0),FALSE)=0,#N/A,VLOOKUP(A297,Database!$A:$AS,MATCH($E$1,Database!$A$1:$AS$1,0),FALSE))</f>
        <v/>
      </c>
      <c r="F297" s="76">
        <f>IF(VLOOKUP(A297,Database!$A:$AS,MATCH($F$1,Database!$A$1:$AS$1,0),FALSE)=0,#N/A,VLOOKUP(A297,Database!$A:$AS,MATCH($F$1,Database!$A$1:$AS$1,0),FALSE))</f>
        <v/>
      </c>
      <c r="G297" s="76">
        <f>IF(VLOOKUP(A297,Database!$A:$AS,MATCH($G$1,Database!$A$1:$AS$1,0),FALSE)=0,#N/A,VLOOKUP(A297,Database!$A:$AS,MATCH($G$1,Database!$A$1:$AS$1,0),FALSE))</f>
        <v/>
      </c>
      <c r="H297" s="76">
        <f>(((Table134567891011121314151617343[[#This Row],[ITA]]-VLOOKUP($U$1,A:B,2,))/VLOOKUP($U$1,A:B,2,))*100)+100</f>
        <v/>
      </c>
      <c r="I297" s="76">
        <f>(((Table134567891011121314151617343[[#This Row],[FRA]]-VLOOKUP($U$1,A:C,3,))/VLOOKUP($U$1,A:C,3,))*100)+100</f>
        <v/>
      </c>
      <c r="J297" s="76">
        <f>(((Table134567891011121314151617343[[#This Row],[DEU]]-VLOOKUP($U$1,A:D,4,))/VLOOKUP($U$1,A:D,4,))*100)+100</f>
        <v/>
      </c>
      <c r="K297" s="76">
        <f>(((Table134567891011121314151617343[[#This Row],[ESP]]-VLOOKUP($U$1,A:E,5,))/VLOOKUP($U$1,A:E,5,))*100)+100</f>
        <v/>
      </c>
      <c r="L297" s="76">
        <f>(((Table134567891011121314151617343[[#This Row],[EA19]]-VLOOKUP($U$1,A:F,6,))/VLOOKUP($U$1,A:F,6,))*100)+100</f>
        <v/>
      </c>
      <c r="M297" s="76">
        <f>(((Table134567891011121314151617343[[#This Row],[GBR]]-VLOOKUP($U$1,A:G,7,))/VLOOKUP($U$1,A:G,7,))*100)+100</f>
        <v/>
      </c>
      <c r="N297" s="76">
        <f>IF(VLOOKUP(A297,Database!$A:$AU,MATCH($N$1,Database!$A$1:$AU$1,0),FALSE)=0,#N/A,VLOOKUP(A297,Database!$A:$AU,MATCH($N$1,Database!$A$1:$AU$1,0),FALSE))</f>
        <v/>
      </c>
      <c r="O297" s="76">
        <f>(((Table134567891011121314151617343[[#This Row],[USA]]-VLOOKUP($U$1,A:N,14,))/VLOOKUP($U$1,A:N,14,))*100)+100</f>
        <v/>
      </c>
      <c r="P297" s="76">
        <f>IF(VLOOKUP(A297,Database!$A:$AS,MATCH($P$1,Database!$A$1:$AS$1,0),FALSE)=0,#N/A,VLOOKUP(A297,Database!$A:$AS,MATCH($P$1,Database!$A$1:$AS$1,0),FALSE))</f>
        <v/>
      </c>
      <c r="Q297" s="76">
        <f>(((Table134567891011121314151617343[[#This Row],[JPN]]-VLOOKUP($U$1,A:Q,16,))/VLOOKUP($U$1,A:Q,16,))*100)+100</f>
        <v/>
      </c>
    </row>
    <row r="298" customFormat="1" s="86">
      <c r="A298" s="21" t="n">
        <v>41883</v>
      </c>
      <c r="B298" s="76">
        <f>IF(VLOOKUP(A298,Database!$A:$AS,MATCH($B$1,Database!$A$1:$AS$1,0),FALSE)=0,#N/A,VLOOKUP(A298,Database!$A:$AS,MATCH($B$1,Database!$A$1:$AS$1,0),FALSE))</f>
        <v/>
      </c>
      <c r="C298" s="76">
        <f>IF(VLOOKUP(A298,Database!$A:$AS,MATCH($C$1,Database!$A$1:$AS$1,0),FALSE)=0,#N/A,VLOOKUP(A298,Database!$A:$AS,MATCH($C$1,Database!$A$1:$AS$1,0),FALSE))</f>
        <v/>
      </c>
      <c r="D298" s="76">
        <f>IF(VLOOKUP(A298,Database!$A:$AS,MATCH($D$1,Database!$A$1:$AS$1,0),FALSE)=0,#N/A,VLOOKUP(A298,Database!$A:$AS,MATCH($D$1,Database!$A$1:$AS$1,0),FALSE))</f>
        <v/>
      </c>
      <c r="E298" s="76">
        <f>IF(VLOOKUP(A298,Database!$A:$AS,MATCH($E$1,Database!$A$1:$AS$1,0),FALSE)=0,#N/A,VLOOKUP(A298,Database!$A:$AS,MATCH($E$1,Database!$A$1:$AS$1,0),FALSE))</f>
        <v/>
      </c>
      <c r="F298" s="76">
        <f>IF(VLOOKUP(A298,Database!$A:$AS,MATCH($F$1,Database!$A$1:$AS$1,0),FALSE)=0,#N/A,VLOOKUP(A298,Database!$A:$AS,MATCH($F$1,Database!$A$1:$AS$1,0),FALSE))</f>
        <v/>
      </c>
      <c r="G298" s="76">
        <f>IF(VLOOKUP(A298,Database!$A:$AS,MATCH($G$1,Database!$A$1:$AS$1,0),FALSE)=0,#N/A,VLOOKUP(A298,Database!$A:$AS,MATCH($G$1,Database!$A$1:$AS$1,0),FALSE))</f>
        <v/>
      </c>
      <c r="H298" s="76">
        <f>(((Table134567891011121314151617343[[#This Row],[ITA]]-VLOOKUP($U$1,A:B,2,))/VLOOKUP($U$1,A:B,2,))*100)+100</f>
        <v/>
      </c>
      <c r="I298" s="76">
        <f>(((Table134567891011121314151617343[[#This Row],[FRA]]-VLOOKUP($U$1,A:C,3,))/VLOOKUP($U$1,A:C,3,))*100)+100</f>
        <v/>
      </c>
      <c r="J298" s="76">
        <f>(((Table134567891011121314151617343[[#This Row],[DEU]]-VLOOKUP($U$1,A:D,4,))/VLOOKUP($U$1,A:D,4,))*100)+100</f>
        <v/>
      </c>
      <c r="K298" s="76">
        <f>(((Table134567891011121314151617343[[#This Row],[ESP]]-VLOOKUP($U$1,A:E,5,))/VLOOKUP($U$1,A:E,5,))*100)+100</f>
        <v/>
      </c>
      <c r="L298" s="76">
        <f>(((Table134567891011121314151617343[[#This Row],[EA19]]-VLOOKUP($U$1,A:F,6,))/VLOOKUP($U$1,A:F,6,))*100)+100</f>
        <v/>
      </c>
      <c r="M298" s="76">
        <f>(((Table134567891011121314151617343[[#This Row],[GBR]]-VLOOKUP($U$1,A:G,7,))/VLOOKUP($U$1,A:G,7,))*100)+100</f>
        <v/>
      </c>
      <c r="N298" s="76">
        <f>IF(VLOOKUP(A298,Database!$A:$AU,MATCH($N$1,Database!$A$1:$AU$1,0),FALSE)=0,#N/A,VLOOKUP(A298,Database!$A:$AU,MATCH($N$1,Database!$A$1:$AU$1,0),FALSE))</f>
        <v/>
      </c>
      <c r="O298" s="76">
        <f>(((Table134567891011121314151617343[[#This Row],[USA]]-VLOOKUP($U$1,A:N,14,))/VLOOKUP($U$1,A:N,14,))*100)+100</f>
        <v/>
      </c>
      <c r="P298" s="76">
        <f>IF(VLOOKUP(A298,Database!$A:$AS,MATCH($P$1,Database!$A$1:$AS$1,0),FALSE)=0,#N/A,VLOOKUP(A298,Database!$A:$AS,MATCH($P$1,Database!$A$1:$AS$1,0),FALSE))</f>
        <v/>
      </c>
      <c r="Q298" s="76">
        <f>(((Table134567891011121314151617343[[#This Row],[JPN]]-VLOOKUP($U$1,A:Q,16,))/VLOOKUP($U$1,A:Q,16,))*100)+100</f>
        <v/>
      </c>
    </row>
    <row r="299" customFormat="1" s="86">
      <c r="A299" s="21" t="n">
        <v>41913</v>
      </c>
      <c r="B299" s="76">
        <f>IF(VLOOKUP(A299,Database!$A:$AS,MATCH($B$1,Database!$A$1:$AS$1,0),FALSE)=0,#N/A,VLOOKUP(A299,Database!$A:$AS,MATCH($B$1,Database!$A$1:$AS$1,0),FALSE))</f>
        <v/>
      </c>
      <c r="C299" s="76">
        <f>IF(VLOOKUP(A299,Database!$A:$AS,MATCH($C$1,Database!$A$1:$AS$1,0),FALSE)=0,#N/A,VLOOKUP(A299,Database!$A:$AS,MATCH($C$1,Database!$A$1:$AS$1,0),FALSE))</f>
        <v/>
      </c>
      <c r="D299" s="76">
        <f>IF(VLOOKUP(A299,Database!$A:$AS,MATCH($D$1,Database!$A$1:$AS$1,0),FALSE)=0,#N/A,VLOOKUP(A299,Database!$A:$AS,MATCH($D$1,Database!$A$1:$AS$1,0),FALSE))</f>
        <v/>
      </c>
      <c r="E299" s="76">
        <f>IF(VLOOKUP(A299,Database!$A:$AS,MATCH($E$1,Database!$A$1:$AS$1,0),FALSE)=0,#N/A,VLOOKUP(A299,Database!$A:$AS,MATCH($E$1,Database!$A$1:$AS$1,0),FALSE))</f>
        <v/>
      </c>
      <c r="F299" s="76">
        <f>IF(VLOOKUP(A299,Database!$A:$AS,MATCH($F$1,Database!$A$1:$AS$1,0),FALSE)=0,#N/A,VLOOKUP(A299,Database!$A:$AS,MATCH($F$1,Database!$A$1:$AS$1,0),FALSE))</f>
        <v/>
      </c>
      <c r="G299" s="76">
        <f>IF(VLOOKUP(A299,Database!$A:$AS,MATCH($G$1,Database!$A$1:$AS$1,0),FALSE)=0,#N/A,VLOOKUP(A299,Database!$A:$AS,MATCH($G$1,Database!$A$1:$AS$1,0),FALSE))</f>
        <v/>
      </c>
      <c r="H299" s="76">
        <f>(((Table134567891011121314151617343[[#This Row],[ITA]]-VLOOKUP($U$1,A:B,2,))/VLOOKUP($U$1,A:B,2,))*100)+100</f>
        <v/>
      </c>
      <c r="I299" s="76">
        <f>(((Table134567891011121314151617343[[#This Row],[FRA]]-VLOOKUP($U$1,A:C,3,))/VLOOKUP($U$1,A:C,3,))*100)+100</f>
        <v/>
      </c>
      <c r="J299" s="76">
        <f>(((Table134567891011121314151617343[[#This Row],[DEU]]-VLOOKUP($U$1,A:D,4,))/VLOOKUP($U$1,A:D,4,))*100)+100</f>
        <v/>
      </c>
      <c r="K299" s="76">
        <f>(((Table134567891011121314151617343[[#This Row],[ESP]]-VLOOKUP($U$1,A:E,5,))/VLOOKUP($U$1,A:E,5,))*100)+100</f>
        <v/>
      </c>
      <c r="L299" s="76">
        <f>(((Table134567891011121314151617343[[#This Row],[EA19]]-VLOOKUP($U$1,A:F,6,))/VLOOKUP($U$1,A:F,6,))*100)+100</f>
        <v/>
      </c>
      <c r="M299" s="76">
        <f>(((Table134567891011121314151617343[[#This Row],[GBR]]-VLOOKUP($U$1,A:G,7,))/VLOOKUP($U$1,A:G,7,))*100)+100</f>
        <v/>
      </c>
      <c r="N299" s="76">
        <f>IF(VLOOKUP(A299,Database!$A:$AU,MATCH($N$1,Database!$A$1:$AU$1,0),FALSE)=0,#N/A,VLOOKUP(A299,Database!$A:$AU,MATCH($N$1,Database!$A$1:$AU$1,0),FALSE))</f>
        <v/>
      </c>
      <c r="O299" s="76">
        <f>(((Table134567891011121314151617343[[#This Row],[USA]]-VLOOKUP($U$1,A:N,14,))/VLOOKUP($U$1,A:N,14,))*100)+100</f>
        <v/>
      </c>
      <c r="P299" s="76">
        <f>IF(VLOOKUP(A299,Database!$A:$AS,MATCH($P$1,Database!$A$1:$AS$1,0),FALSE)=0,#N/A,VLOOKUP(A299,Database!$A:$AS,MATCH($P$1,Database!$A$1:$AS$1,0),FALSE))</f>
        <v/>
      </c>
      <c r="Q299" s="76">
        <f>(((Table134567891011121314151617343[[#This Row],[JPN]]-VLOOKUP($U$1,A:Q,16,))/VLOOKUP($U$1,A:Q,16,))*100)+100</f>
        <v/>
      </c>
    </row>
    <row r="300" customFormat="1" s="86">
      <c r="A300" s="21" t="n">
        <v>41944</v>
      </c>
      <c r="B300" s="76">
        <f>IF(VLOOKUP(A300,Database!$A:$AS,MATCH($B$1,Database!$A$1:$AS$1,0),FALSE)=0,#N/A,VLOOKUP(A300,Database!$A:$AS,MATCH($B$1,Database!$A$1:$AS$1,0),FALSE))</f>
        <v/>
      </c>
      <c r="C300" s="76">
        <f>IF(VLOOKUP(A300,Database!$A:$AS,MATCH($C$1,Database!$A$1:$AS$1,0),FALSE)=0,#N/A,VLOOKUP(A300,Database!$A:$AS,MATCH($C$1,Database!$A$1:$AS$1,0),FALSE))</f>
        <v/>
      </c>
      <c r="D300" s="76">
        <f>IF(VLOOKUP(A300,Database!$A:$AS,MATCH($D$1,Database!$A$1:$AS$1,0),FALSE)=0,#N/A,VLOOKUP(A300,Database!$A:$AS,MATCH($D$1,Database!$A$1:$AS$1,0),FALSE))</f>
        <v/>
      </c>
      <c r="E300" s="76">
        <f>IF(VLOOKUP(A300,Database!$A:$AS,MATCH($E$1,Database!$A$1:$AS$1,0),FALSE)=0,#N/A,VLOOKUP(A300,Database!$A:$AS,MATCH($E$1,Database!$A$1:$AS$1,0),FALSE))</f>
        <v/>
      </c>
      <c r="F300" s="76">
        <f>IF(VLOOKUP(A300,Database!$A:$AS,MATCH($F$1,Database!$A$1:$AS$1,0),FALSE)=0,#N/A,VLOOKUP(A300,Database!$A:$AS,MATCH($F$1,Database!$A$1:$AS$1,0),FALSE))</f>
        <v/>
      </c>
      <c r="G300" s="76">
        <f>IF(VLOOKUP(A300,Database!$A:$AS,MATCH($G$1,Database!$A$1:$AS$1,0),FALSE)=0,#N/A,VLOOKUP(A300,Database!$A:$AS,MATCH($G$1,Database!$A$1:$AS$1,0),FALSE))</f>
        <v/>
      </c>
      <c r="H300" s="76">
        <f>(((Table134567891011121314151617343[[#This Row],[ITA]]-VLOOKUP($U$1,A:B,2,))/VLOOKUP($U$1,A:B,2,))*100)+100</f>
        <v/>
      </c>
      <c r="I300" s="76">
        <f>(((Table134567891011121314151617343[[#This Row],[FRA]]-VLOOKUP($U$1,A:C,3,))/VLOOKUP($U$1,A:C,3,))*100)+100</f>
        <v/>
      </c>
      <c r="J300" s="76">
        <f>(((Table134567891011121314151617343[[#This Row],[DEU]]-VLOOKUP($U$1,A:D,4,))/VLOOKUP($U$1,A:D,4,))*100)+100</f>
        <v/>
      </c>
      <c r="K300" s="76">
        <f>(((Table134567891011121314151617343[[#This Row],[ESP]]-VLOOKUP($U$1,A:E,5,))/VLOOKUP($U$1,A:E,5,))*100)+100</f>
        <v/>
      </c>
      <c r="L300" s="76">
        <f>(((Table134567891011121314151617343[[#This Row],[EA19]]-VLOOKUP($U$1,A:F,6,))/VLOOKUP($U$1,A:F,6,))*100)+100</f>
        <v/>
      </c>
      <c r="M300" s="76">
        <f>(((Table134567891011121314151617343[[#This Row],[GBR]]-VLOOKUP($U$1,A:G,7,))/VLOOKUP($U$1,A:G,7,))*100)+100</f>
        <v/>
      </c>
      <c r="N300" s="76">
        <f>IF(VLOOKUP(A300,Database!$A:$AU,MATCH($N$1,Database!$A$1:$AU$1,0),FALSE)=0,#N/A,VLOOKUP(A300,Database!$A:$AU,MATCH($N$1,Database!$A$1:$AU$1,0),FALSE))</f>
        <v/>
      </c>
      <c r="O300" s="76">
        <f>(((Table134567891011121314151617343[[#This Row],[USA]]-VLOOKUP($U$1,A:N,14,))/VLOOKUP($U$1,A:N,14,))*100)+100</f>
        <v/>
      </c>
      <c r="P300" s="76">
        <f>IF(VLOOKUP(A300,Database!$A:$AS,MATCH($P$1,Database!$A$1:$AS$1,0),FALSE)=0,#N/A,VLOOKUP(A300,Database!$A:$AS,MATCH($P$1,Database!$A$1:$AS$1,0),FALSE))</f>
        <v/>
      </c>
      <c r="Q300" s="76">
        <f>(((Table134567891011121314151617343[[#This Row],[JPN]]-VLOOKUP($U$1,A:Q,16,))/VLOOKUP($U$1,A:Q,16,))*100)+100</f>
        <v/>
      </c>
    </row>
    <row r="301" customFormat="1" s="86">
      <c r="A301" s="21" t="n">
        <v>41974</v>
      </c>
      <c r="B301" s="76">
        <f>IF(VLOOKUP(A301,Database!$A:$AS,MATCH($B$1,Database!$A$1:$AS$1,0),FALSE)=0,#N/A,VLOOKUP(A301,Database!$A:$AS,MATCH($B$1,Database!$A$1:$AS$1,0),FALSE))</f>
        <v/>
      </c>
      <c r="C301" s="76">
        <f>IF(VLOOKUP(A301,Database!$A:$AS,MATCH($C$1,Database!$A$1:$AS$1,0),FALSE)=0,#N/A,VLOOKUP(A301,Database!$A:$AS,MATCH($C$1,Database!$A$1:$AS$1,0),FALSE))</f>
        <v/>
      </c>
      <c r="D301" s="76">
        <f>IF(VLOOKUP(A301,Database!$A:$AS,MATCH($D$1,Database!$A$1:$AS$1,0),FALSE)=0,#N/A,VLOOKUP(A301,Database!$A:$AS,MATCH($D$1,Database!$A$1:$AS$1,0),FALSE))</f>
        <v/>
      </c>
      <c r="E301" s="76">
        <f>IF(VLOOKUP(A301,Database!$A:$AS,MATCH($E$1,Database!$A$1:$AS$1,0),FALSE)=0,#N/A,VLOOKUP(A301,Database!$A:$AS,MATCH($E$1,Database!$A$1:$AS$1,0),FALSE))</f>
        <v/>
      </c>
      <c r="F301" s="76">
        <f>IF(VLOOKUP(A301,Database!$A:$AS,MATCH($F$1,Database!$A$1:$AS$1,0),FALSE)=0,#N/A,VLOOKUP(A301,Database!$A:$AS,MATCH($F$1,Database!$A$1:$AS$1,0),FALSE))</f>
        <v/>
      </c>
      <c r="G301" s="76">
        <f>IF(VLOOKUP(A301,Database!$A:$AS,MATCH($G$1,Database!$A$1:$AS$1,0),FALSE)=0,#N/A,VLOOKUP(A301,Database!$A:$AS,MATCH($G$1,Database!$A$1:$AS$1,0),FALSE))</f>
        <v/>
      </c>
      <c r="H301" s="76">
        <f>(((Table134567891011121314151617343[[#This Row],[ITA]]-VLOOKUP($U$1,A:B,2,))/VLOOKUP($U$1,A:B,2,))*100)+100</f>
        <v/>
      </c>
      <c r="I301" s="76">
        <f>(((Table134567891011121314151617343[[#This Row],[FRA]]-VLOOKUP($U$1,A:C,3,))/VLOOKUP($U$1,A:C,3,))*100)+100</f>
        <v/>
      </c>
      <c r="J301" s="76">
        <f>(((Table134567891011121314151617343[[#This Row],[DEU]]-VLOOKUP($U$1,A:D,4,))/VLOOKUP($U$1,A:D,4,))*100)+100</f>
        <v/>
      </c>
      <c r="K301" s="76">
        <f>(((Table134567891011121314151617343[[#This Row],[ESP]]-VLOOKUP($U$1,A:E,5,))/VLOOKUP($U$1,A:E,5,))*100)+100</f>
        <v/>
      </c>
      <c r="L301" s="76">
        <f>(((Table134567891011121314151617343[[#This Row],[EA19]]-VLOOKUP($U$1,A:F,6,))/VLOOKUP($U$1,A:F,6,))*100)+100</f>
        <v/>
      </c>
      <c r="M301" s="76">
        <f>(((Table134567891011121314151617343[[#This Row],[GBR]]-VLOOKUP($U$1,A:G,7,))/VLOOKUP($U$1,A:G,7,))*100)+100</f>
        <v/>
      </c>
      <c r="N301" s="76">
        <f>IF(VLOOKUP(A301,Database!$A:$AU,MATCH($N$1,Database!$A$1:$AU$1,0),FALSE)=0,#N/A,VLOOKUP(A301,Database!$A:$AU,MATCH($N$1,Database!$A$1:$AU$1,0),FALSE))</f>
        <v/>
      </c>
      <c r="O301" s="76">
        <f>(((Table134567891011121314151617343[[#This Row],[USA]]-VLOOKUP($U$1,A:N,14,))/VLOOKUP($U$1,A:N,14,))*100)+100</f>
        <v/>
      </c>
      <c r="P301" s="76">
        <f>IF(VLOOKUP(A301,Database!$A:$AS,MATCH($P$1,Database!$A$1:$AS$1,0),FALSE)=0,#N/A,VLOOKUP(A301,Database!$A:$AS,MATCH($P$1,Database!$A$1:$AS$1,0),FALSE))</f>
        <v/>
      </c>
      <c r="Q301" s="76">
        <f>(((Table134567891011121314151617343[[#This Row],[JPN]]-VLOOKUP($U$1,A:Q,16,))/VLOOKUP($U$1,A:Q,16,))*100)+100</f>
        <v/>
      </c>
    </row>
    <row r="302" customFormat="1" s="86">
      <c r="A302" s="21" t="n">
        <v>42005</v>
      </c>
      <c r="B302" s="76">
        <f>IF(VLOOKUP(A302,Database!$A:$AS,MATCH($B$1,Database!$A$1:$AS$1,0),FALSE)=0,#N/A,VLOOKUP(A302,Database!$A:$AS,MATCH($B$1,Database!$A$1:$AS$1,0),FALSE))</f>
        <v/>
      </c>
      <c r="C302" s="76">
        <f>IF(VLOOKUP(A302,Database!$A:$AS,MATCH($C$1,Database!$A$1:$AS$1,0),FALSE)=0,#N/A,VLOOKUP(A302,Database!$A:$AS,MATCH($C$1,Database!$A$1:$AS$1,0),FALSE))</f>
        <v/>
      </c>
      <c r="D302" s="76">
        <f>IF(VLOOKUP(A302,Database!$A:$AS,MATCH($D$1,Database!$A$1:$AS$1,0),FALSE)=0,#N/A,VLOOKUP(A302,Database!$A:$AS,MATCH($D$1,Database!$A$1:$AS$1,0),FALSE))</f>
        <v/>
      </c>
      <c r="E302" s="76">
        <f>IF(VLOOKUP(A302,Database!$A:$AS,MATCH($E$1,Database!$A$1:$AS$1,0),FALSE)=0,#N/A,VLOOKUP(A302,Database!$A:$AS,MATCH($E$1,Database!$A$1:$AS$1,0),FALSE))</f>
        <v/>
      </c>
      <c r="F302" s="76">
        <f>IF(VLOOKUP(A302,Database!$A:$AS,MATCH($F$1,Database!$A$1:$AS$1,0),FALSE)=0,#N/A,VLOOKUP(A302,Database!$A:$AS,MATCH($F$1,Database!$A$1:$AS$1,0),FALSE))</f>
        <v/>
      </c>
      <c r="G302" s="76">
        <f>IF(VLOOKUP(A302,Database!$A:$AS,MATCH($G$1,Database!$A$1:$AS$1,0),FALSE)=0,#N/A,VLOOKUP(A302,Database!$A:$AS,MATCH($G$1,Database!$A$1:$AS$1,0),FALSE))</f>
        <v/>
      </c>
      <c r="H302" s="76">
        <f>(((Table134567891011121314151617343[[#This Row],[ITA]]-VLOOKUP($U$1,A:B,2,))/VLOOKUP($U$1,A:B,2,))*100)+100</f>
        <v/>
      </c>
      <c r="I302" s="76">
        <f>(((Table134567891011121314151617343[[#This Row],[FRA]]-VLOOKUP($U$1,A:C,3,))/VLOOKUP($U$1,A:C,3,))*100)+100</f>
        <v/>
      </c>
      <c r="J302" s="76">
        <f>(((Table134567891011121314151617343[[#This Row],[DEU]]-VLOOKUP($U$1,A:D,4,))/VLOOKUP($U$1,A:D,4,))*100)+100</f>
        <v/>
      </c>
      <c r="K302" s="76">
        <f>(((Table134567891011121314151617343[[#This Row],[ESP]]-VLOOKUP($U$1,A:E,5,))/VLOOKUP($U$1,A:E,5,))*100)+100</f>
        <v/>
      </c>
      <c r="L302" s="76">
        <f>(((Table134567891011121314151617343[[#This Row],[EA19]]-VLOOKUP($U$1,A:F,6,))/VLOOKUP($U$1,A:F,6,))*100)+100</f>
        <v/>
      </c>
      <c r="M302" s="76">
        <f>(((Table134567891011121314151617343[[#This Row],[GBR]]-VLOOKUP($U$1,A:G,7,))/VLOOKUP($U$1,A:G,7,))*100)+100</f>
        <v/>
      </c>
      <c r="N302" s="76">
        <f>IF(VLOOKUP(A302,Database!$A:$AU,MATCH($N$1,Database!$A$1:$AU$1,0),FALSE)=0,#N/A,VLOOKUP(A302,Database!$A:$AU,MATCH($N$1,Database!$A$1:$AU$1,0),FALSE))</f>
        <v/>
      </c>
      <c r="O302" s="76">
        <f>(((Table134567891011121314151617343[[#This Row],[USA]]-VLOOKUP($U$1,A:N,14,))/VLOOKUP($U$1,A:N,14,))*100)+100</f>
        <v/>
      </c>
      <c r="P302" s="76">
        <f>IF(VLOOKUP(A302,Database!$A:$AS,MATCH($P$1,Database!$A$1:$AS$1,0),FALSE)=0,#N/A,VLOOKUP(A302,Database!$A:$AS,MATCH($P$1,Database!$A$1:$AS$1,0),FALSE))</f>
        <v/>
      </c>
      <c r="Q302" s="76">
        <f>(((Table134567891011121314151617343[[#This Row],[JPN]]-VLOOKUP($U$1,A:Q,16,))/VLOOKUP($U$1,A:Q,16,))*100)+100</f>
        <v/>
      </c>
    </row>
    <row r="303" customFormat="1" s="86">
      <c r="A303" s="21" t="n">
        <v>42036</v>
      </c>
      <c r="B303" s="76">
        <f>IF(VLOOKUP(A303,Database!$A:$AS,MATCH($B$1,Database!$A$1:$AS$1,0),FALSE)=0,#N/A,VLOOKUP(A303,Database!$A:$AS,MATCH($B$1,Database!$A$1:$AS$1,0),FALSE))</f>
        <v/>
      </c>
      <c r="C303" s="76">
        <f>IF(VLOOKUP(A303,Database!$A:$AS,MATCH($C$1,Database!$A$1:$AS$1,0),FALSE)=0,#N/A,VLOOKUP(A303,Database!$A:$AS,MATCH($C$1,Database!$A$1:$AS$1,0),FALSE))</f>
        <v/>
      </c>
      <c r="D303" s="76">
        <f>IF(VLOOKUP(A303,Database!$A:$AS,MATCH($D$1,Database!$A$1:$AS$1,0),FALSE)=0,#N/A,VLOOKUP(A303,Database!$A:$AS,MATCH($D$1,Database!$A$1:$AS$1,0),FALSE))</f>
        <v/>
      </c>
      <c r="E303" s="76">
        <f>IF(VLOOKUP(A303,Database!$A:$AS,MATCH($E$1,Database!$A$1:$AS$1,0),FALSE)=0,#N/A,VLOOKUP(A303,Database!$A:$AS,MATCH($E$1,Database!$A$1:$AS$1,0),FALSE))</f>
        <v/>
      </c>
      <c r="F303" s="76">
        <f>IF(VLOOKUP(A303,Database!$A:$AS,MATCH($F$1,Database!$A$1:$AS$1,0),FALSE)=0,#N/A,VLOOKUP(A303,Database!$A:$AS,MATCH($F$1,Database!$A$1:$AS$1,0),FALSE))</f>
        <v/>
      </c>
      <c r="G303" s="76">
        <f>IF(VLOOKUP(A303,Database!$A:$AS,MATCH($G$1,Database!$A$1:$AS$1,0),FALSE)=0,#N/A,VLOOKUP(A303,Database!$A:$AS,MATCH($G$1,Database!$A$1:$AS$1,0),FALSE))</f>
        <v/>
      </c>
      <c r="H303" s="76">
        <f>(((Table134567891011121314151617343[[#This Row],[ITA]]-VLOOKUP($U$1,A:B,2,))/VLOOKUP($U$1,A:B,2,))*100)+100</f>
        <v/>
      </c>
      <c r="I303" s="76">
        <f>(((Table134567891011121314151617343[[#This Row],[FRA]]-VLOOKUP($U$1,A:C,3,))/VLOOKUP($U$1,A:C,3,))*100)+100</f>
        <v/>
      </c>
      <c r="J303" s="76">
        <f>(((Table134567891011121314151617343[[#This Row],[DEU]]-VLOOKUP($U$1,A:D,4,))/VLOOKUP($U$1,A:D,4,))*100)+100</f>
        <v/>
      </c>
      <c r="K303" s="76">
        <f>(((Table134567891011121314151617343[[#This Row],[ESP]]-VLOOKUP($U$1,A:E,5,))/VLOOKUP($U$1,A:E,5,))*100)+100</f>
        <v/>
      </c>
      <c r="L303" s="76">
        <f>(((Table134567891011121314151617343[[#This Row],[EA19]]-VLOOKUP($U$1,A:F,6,))/VLOOKUP($U$1,A:F,6,))*100)+100</f>
        <v/>
      </c>
      <c r="M303" s="76">
        <f>(((Table134567891011121314151617343[[#This Row],[GBR]]-VLOOKUP($U$1,A:G,7,))/VLOOKUP($U$1,A:G,7,))*100)+100</f>
        <v/>
      </c>
      <c r="N303" s="76">
        <f>IF(VLOOKUP(A303,Database!$A:$AU,MATCH($N$1,Database!$A$1:$AU$1,0),FALSE)=0,#N/A,VLOOKUP(A303,Database!$A:$AU,MATCH($N$1,Database!$A$1:$AU$1,0),FALSE))</f>
        <v/>
      </c>
      <c r="O303" s="76">
        <f>(((Table134567891011121314151617343[[#This Row],[USA]]-VLOOKUP($U$1,A:N,14,))/VLOOKUP($U$1,A:N,14,))*100)+100</f>
        <v/>
      </c>
      <c r="P303" s="76">
        <f>IF(VLOOKUP(A303,Database!$A:$AS,MATCH($P$1,Database!$A$1:$AS$1,0),FALSE)=0,#N/A,VLOOKUP(A303,Database!$A:$AS,MATCH($P$1,Database!$A$1:$AS$1,0),FALSE))</f>
        <v/>
      </c>
      <c r="Q303" s="76">
        <f>(((Table134567891011121314151617343[[#This Row],[JPN]]-VLOOKUP($U$1,A:Q,16,))/VLOOKUP($U$1,A:Q,16,))*100)+100</f>
        <v/>
      </c>
    </row>
    <row r="304" customFormat="1" s="86">
      <c r="A304" s="21" t="n">
        <v>42064</v>
      </c>
      <c r="B304" s="76">
        <f>IF(VLOOKUP(A304,Database!$A:$AS,MATCH($B$1,Database!$A$1:$AS$1,0),FALSE)=0,#N/A,VLOOKUP(A304,Database!$A:$AS,MATCH($B$1,Database!$A$1:$AS$1,0),FALSE))</f>
        <v/>
      </c>
      <c r="C304" s="76">
        <f>IF(VLOOKUP(A304,Database!$A:$AS,MATCH($C$1,Database!$A$1:$AS$1,0),FALSE)=0,#N/A,VLOOKUP(A304,Database!$A:$AS,MATCH($C$1,Database!$A$1:$AS$1,0),FALSE))</f>
        <v/>
      </c>
      <c r="D304" s="76">
        <f>IF(VLOOKUP(A304,Database!$A:$AS,MATCH($D$1,Database!$A$1:$AS$1,0),FALSE)=0,#N/A,VLOOKUP(A304,Database!$A:$AS,MATCH($D$1,Database!$A$1:$AS$1,0),FALSE))</f>
        <v/>
      </c>
      <c r="E304" s="76">
        <f>IF(VLOOKUP(A304,Database!$A:$AS,MATCH($E$1,Database!$A$1:$AS$1,0),FALSE)=0,#N/A,VLOOKUP(A304,Database!$A:$AS,MATCH($E$1,Database!$A$1:$AS$1,0),FALSE))</f>
        <v/>
      </c>
      <c r="F304" s="76">
        <f>IF(VLOOKUP(A304,Database!$A:$AS,MATCH($F$1,Database!$A$1:$AS$1,0),FALSE)=0,#N/A,VLOOKUP(A304,Database!$A:$AS,MATCH($F$1,Database!$A$1:$AS$1,0),FALSE))</f>
        <v/>
      </c>
      <c r="G304" s="76">
        <f>IF(VLOOKUP(A304,Database!$A:$AS,MATCH($G$1,Database!$A$1:$AS$1,0),FALSE)=0,#N/A,VLOOKUP(A304,Database!$A:$AS,MATCH($G$1,Database!$A$1:$AS$1,0),FALSE))</f>
        <v/>
      </c>
      <c r="H304" s="76">
        <f>(((Table134567891011121314151617343[[#This Row],[ITA]]-VLOOKUP($U$1,A:B,2,))/VLOOKUP($U$1,A:B,2,))*100)+100</f>
        <v/>
      </c>
      <c r="I304" s="76">
        <f>(((Table134567891011121314151617343[[#This Row],[FRA]]-VLOOKUP($U$1,A:C,3,))/VLOOKUP($U$1,A:C,3,))*100)+100</f>
        <v/>
      </c>
      <c r="J304" s="76">
        <f>(((Table134567891011121314151617343[[#This Row],[DEU]]-VLOOKUP($U$1,A:D,4,))/VLOOKUP($U$1,A:D,4,))*100)+100</f>
        <v/>
      </c>
      <c r="K304" s="76">
        <f>(((Table134567891011121314151617343[[#This Row],[ESP]]-VLOOKUP($U$1,A:E,5,))/VLOOKUP($U$1,A:E,5,))*100)+100</f>
        <v/>
      </c>
      <c r="L304" s="76">
        <f>(((Table134567891011121314151617343[[#This Row],[EA19]]-VLOOKUP($U$1,A:F,6,))/VLOOKUP($U$1,A:F,6,))*100)+100</f>
        <v/>
      </c>
      <c r="M304" s="76">
        <f>(((Table134567891011121314151617343[[#This Row],[GBR]]-VLOOKUP($U$1,A:G,7,))/VLOOKUP($U$1,A:G,7,))*100)+100</f>
        <v/>
      </c>
      <c r="N304" s="76">
        <f>IF(VLOOKUP(A304,Database!$A:$AU,MATCH($N$1,Database!$A$1:$AU$1,0),FALSE)=0,#N/A,VLOOKUP(A304,Database!$A:$AU,MATCH($N$1,Database!$A$1:$AU$1,0),FALSE))</f>
        <v/>
      </c>
      <c r="O304" s="76">
        <f>(((Table134567891011121314151617343[[#This Row],[USA]]-VLOOKUP($U$1,A:N,14,))/VLOOKUP($U$1,A:N,14,))*100)+100</f>
        <v/>
      </c>
      <c r="P304" s="76">
        <f>IF(VLOOKUP(A304,Database!$A:$AS,MATCH($P$1,Database!$A$1:$AS$1,0),FALSE)=0,#N/A,VLOOKUP(A304,Database!$A:$AS,MATCH($P$1,Database!$A$1:$AS$1,0),FALSE))</f>
        <v/>
      </c>
      <c r="Q304" s="76">
        <f>(((Table134567891011121314151617343[[#This Row],[JPN]]-VLOOKUP($U$1,A:Q,16,))/VLOOKUP($U$1,A:Q,16,))*100)+100</f>
        <v/>
      </c>
    </row>
    <row r="305" customFormat="1" s="86">
      <c r="A305" s="21" t="n">
        <v>42095</v>
      </c>
      <c r="B305" s="76">
        <f>IF(VLOOKUP(A305,Database!$A:$AS,MATCH($B$1,Database!$A$1:$AS$1,0),FALSE)=0,#N/A,VLOOKUP(A305,Database!$A:$AS,MATCH($B$1,Database!$A$1:$AS$1,0),FALSE))</f>
        <v/>
      </c>
      <c r="C305" s="76">
        <f>IF(VLOOKUP(A305,Database!$A:$AS,MATCH($C$1,Database!$A$1:$AS$1,0),FALSE)=0,#N/A,VLOOKUP(A305,Database!$A:$AS,MATCH($C$1,Database!$A$1:$AS$1,0),FALSE))</f>
        <v/>
      </c>
      <c r="D305" s="76">
        <f>IF(VLOOKUP(A305,Database!$A:$AS,MATCH($D$1,Database!$A$1:$AS$1,0),FALSE)=0,#N/A,VLOOKUP(A305,Database!$A:$AS,MATCH($D$1,Database!$A$1:$AS$1,0),FALSE))</f>
        <v/>
      </c>
      <c r="E305" s="76">
        <f>IF(VLOOKUP(A305,Database!$A:$AS,MATCH($E$1,Database!$A$1:$AS$1,0),FALSE)=0,#N/A,VLOOKUP(A305,Database!$A:$AS,MATCH($E$1,Database!$A$1:$AS$1,0),FALSE))</f>
        <v/>
      </c>
      <c r="F305" s="76">
        <f>IF(VLOOKUP(A305,Database!$A:$AS,MATCH($F$1,Database!$A$1:$AS$1,0),FALSE)=0,#N/A,VLOOKUP(A305,Database!$A:$AS,MATCH($F$1,Database!$A$1:$AS$1,0),FALSE))</f>
        <v/>
      </c>
      <c r="G305" s="76">
        <f>IF(VLOOKUP(A305,Database!$A:$AS,MATCH($G$1,Database!$A$1:$AS$1,0),FALSE)=0,#N/A,VLOOKUP(A305,Database!$A:$AS,MATCH($G$1,Database!$A$1:$AS$1,0),FALSE))</f>
        <v/>
      </c>
      <c r="H305" s="76">
        <f>(((Table134567891011121314151617343[[#This Row],[ITA]]-VLOOKUP($U$1,A:B,2,))/VLOOKUP($U$1,A:B,2,))*100)+100</f>
        <v/>
      </c>
      <c r="I305" s="76">
        <f>(((Table134567891011121314151617343[[#This Row],[FRA]]-VLOOKUP($U$1,A:C,3,))/VLOOKUP($U$1,A:C,3,))*100)+100</f>
        <v/>
      </c>
      <c r="J305" s="76">
        <f>(((Table134567891011121314151617343[[#This Row],[DEU]]-VLOOKUP($U$1,A:D,4,))/VLOOKUP($U$1,A:D,4,))*100)+100</f>
        <v/>
      </c>
      <c r="K305" s="76">
        <f>(((Table134567891011121314151617343[[#This Row],[ESP]]-VLOOKUP($U$1,A:E,5,))/VLOOKUP($U$1,A:E,5,))*100)+100</f>
        <v/>
      </c>
      <c r="L305" s="76">
        <f>(((Table134567891011121314151617343[[#This Row],[EA19]]-VLOOKUP($U$1,A:F,6,))/VLOOKUP($U$1,A:F,6,))*100)+100</f>
        <v/>
      </c>
      <c r="M305" s="76">
        <f>(((Table134567891011121314151617343[[#This Row],[GBR]]-VLOOKUP($U$1,A:G,7,))/VLOOKUP($U$1,A:G,7,))*100)+100</f>
        <v/>
      </c>
      <c r="N305" s="76">
        <f>IF(VLOOKUP(A305,Database!$A:$AU,MATCH($N$1,Database!$A$1:$AU$1,0),FALSE)=0,#N/A,VLOOKUP(A305,Database!$A:$AU,MATCH($N$1,Database!$A$1:$AU$1,0),FALSE))</f>
        <v/>
      </c>
      <c r="O305" s="76">
        <f>(((Table134567891011121314151617343[[#This Row],[USA]]-VLOOKUP($U$1,A:N,14,))/VLOOKUP($U$1,A:N,14,))*100)+100</f>
        <v/>
      </c>
      <c r="P305" s="76">
        <f>IF(VLOOKUP(A305,Database!$A:$AS,MATCH($P$1,Database!$A$1:$AS$1,0),FALSE)=0,#N/A,VLOOKUP(A305,Database!$A:$AS,MATCH($P$1,Database!$A$1:$AS$1,0),FALSE))</f>
        <v/>
      </c>
      <c r="Q305" s="76">
        <f>(((Table134567891011121314151617343[[#This Row],[JPN]]-VLOOKUP($U$1,A:Q,16,))/VLOOKUP($U$1,A:Q,16,))*100)+100</f>
        <v/>
      </c>
    </row>
    <row r="306" customFormat="1" s="86">
      <c r="A306" s="21" t="n">
        <v>42125</v>
      </c>
      <c r="B306" s="76">
        <f>IF(VLOOKUP(A306,Database!$A:$AS,MATCH($B$1,Database!$A$1:$AS$1,0),FALSE)=0,#N/A,VLOOKUP(A306,Database!$A:$AS,MATCH($B$1,Database!$A$1:$AS$1,0),FALSE))</f>
        <v/>
      </c>
      <c r="C306" s="76">
        <f>IF(VLOOKUP(A306,Database!$A:$AS,MATCH($C$1,Database!$A$1:$AS$1,0),FALSE)=0,#N/A,VLOOKUP(A306,Database!$A:$AS,MATCH($C$1,Database!$A$1:$AS$1,0),FALSE))</f>
        <v/>
      </c>
      <c r="D306" s="76">
        <f>IF(VLOOKUP(A306,Database!$A:$AS,MATCH($D$1,Database!$A$1:$AS$1,0),FALSE)=0,#N/A,VLOOKUP(A306,Database!$A:$AS,MATCH($D$1,Database!$A$1:$AS$1,0),FALSE))</f>
        <v/>
      </c>
      <c r="E306" s="76">
        <f>IF(VLOOKUP(A306,Database!$A:$AS,MATCH($E$1,Database!$A$1:$AS$1,0),FALSE)=0,#N/A,VLOOKUP(A306,Database!$A:$AS,MATCH($E$1,Database!$A$1:$AS$1,0),FALSE))</f>
        <v/>
      </c>
      <c r="F306" s="76">
        <f>IF(VLOOKUP(A306,Database!$A:$AS,MATCH($F$1,Database!$A$1:$AS$1,0),FALSE)=0,#N/A,VLOOKUP(A306,Database!$A:$AS,MATCH($F$1,Database!$A$1:$AS$1,0),FALSE))</f>
        <v/>
      </c>
      <c r="G306" s="76">
        <f>IF(VLOOKUP(A306,Database!$A:$AS,MATCH($G$1,Database!$A$1:$AS$1,0),FALSE)=0,#N/A,VLOOKUP(A306,Database!$A:$AS,MATCH($G$1,Database!$A$1:$AS$1,0),FALSE))</f>
        <v/>
      </c>
      <c r="H306" s="76">
        <f>(((Table134567891011121314151617343[[#This Row],[ITA]]-VLOOKUP($U$1,A:B,2,))/VLOOKUP($U$1,A:B,2,))*100)+100</f>
        <v/>
      </c>
      <c r="I306" s="76">
        <f>(((Table134567891011121314151617343[[#This Row],[FRA]]-VLOOKUP($U$1,A:C,3,))/VLOOKUP($U$1,A:C,3,))*100)+100</f>
        <v/>
      </c>
      <c r="J306" s="76">
        <f>(((Table134567891011121314151617343[[#This Row],[DEU]]-VLOOKUP($U$1,A:D,4,))/VLOOKUP($U$1,A:D,4,))*100)+100</f>
        <v/>
      </c>
      <c r="K306" s="76">
        <f>(((Table134567891011121314151617343[[#This Row],[ESP]]-VLOOKUP($U$1,A:E,5,))/VLOOKUP($U$1,A:E,5,))*100)+100</f>
        <v/>
      </c>
      <c r="L306" s="76">
        <f>(((Table134567891011121314151617343[[#This Row],[EA19]]-VLOOKUP($U$1,A:F,6,))/VLOOKUP($U$1,A:F,6,))*100)+100</f>
        <v/>
      </c>
      <c r="M306" s="76">
        <f>(((Table134567891011121314151617343[[#This Row],[GBR]]-VLOOKUP($U$1,A:G,7,))/VLOOKUP($U$1,A:G,7,))*100)+100</f>
        <v/>
      </c>
      <c r="N306" s="76">
        <f>IF(VLOOKUP(A306,Database!$A:$AU,MATCH($N$1,Database!$A$1:$AU$1,0),FALSE)=0,#N/A,VLOOKUP(A306,Database!$A:$AU,MATCH($N$1,Database!$A$1:$AU$1,0),FALSE))</f>
        <v/>
      </c>
      <c r="O306" s="76">
        <f>(((Table134567891011121314151617343[[#This Row],[USA]]-VLOOKUP($U$1,A:N,14,))/VLOOKUP($U$1,A:N,14,))*100)+100</f>
        <v/>
      </c>
      <c r="P306" s="76">
        <f>IF(VLOOKUP(A306,Database!$A:$AS,MATCH($P$1,Database!$A$1:$AS$1,0),FALSE)=0,#N/A,VLOOKUP(A306,Database!$A:$AS,MATCH($P$1,Database!$A$1:$AS$1,0),FALSE))</f>
        <v/>
      </c>
      <c r="Q306" s="76">
        <f>(((Table134567891011121314151617343[[#This Row],[JPN]]-VLOOKUP($U$1,A:Q,16,))/VLOOKUP($U$1,A:Q,16,))*100)+100</f>
        <v/>
      </c>
    </row>
    <row r="307" customFormat="1" s="86">
      <c r="A307" s="21" t="n">
        <v>42156</v>
      </c>
      <c r="B307" s="76">
        <f>IF(VLOOKUP(A307,Database!$A:$AS,MATCH($B$1,Database!$A$1:$AS$1,0),FALSE)=0,#N/A,VLOOKUP(A307,Database!$A:$AS,MATCH($B$1,Database!$A$1:$AS$1,0),FALSE))</f>
        <v/>
      </c>
      <c r="C307" s="76">
        <f>IF(VLOOKUP(A307,Database!$A:$AS,MATCH($C$1,Database!$A$1:$AS$1,0),FALSE)=0,#N/A,VLOOKUP(A307,Database!$A:$AS,MATCH($C$1,Database!$A$1:$AS$1,0),FALSE))</f>
        <v/>
      </c>
      <c r="D307" s="76">
        <f>IF(VLOOKUP(A307,Database!$A:$AS,MATCH($D$1,Database!$A$1:$AS$1,0),FALSE)=0,#N/A,VLOOKUP(A307,Database!$A:$AS,MATCH($D$1,Database!$A$1:$AS$1,0),FALSE))</f>
        <v/>
      </c>
      <c r="E307" s="76">
        <f>IF(VLOOKUP(A307,Database!$A:$AS,MATCH($E$1,Database!$A$1:$AS$1,0),FALSE)=0,#N/A,VLOOKUP(A307,Database!$A:$AS,MATCH($E$1,Database!$A$1:$AS$1,0),FALSE))</f>
        <v/>
      </c>
      <c r="F307" s="76">
        <f>IF(VLOOKUP(A307,Database!$A:$AS,MATCH($F$1,Database!$A$1:$AS$1,0),FALSE)=0,#N/A,VLOOKUP(A307,Database!$A:$AS,MATCH($F$1,Database!$A$1:$AS$1,0),FALSE))</f>
        <v/>
      </c>
      <c r="G307" s="76">
        <f>IF(VLOOKUP(A307,Database!$A:$AS,MATCH($G$1,Database!$A$1:$AS$1,0),FALSE)=0,#N/A,VLOOKUP(A307,Database!$A:$AS,MATCH($G$1,Database!$A$1:$AS$1,0),FALSE))</f>
        <v/>
      </c>
      <c r="H307" s="76">
        <f>(((Table134567891011121314151617343[[#This Row],[ITA]]-VLOOKUP($U$1,A:B,2,))/VLOOKUP($U$1,A:B,2,))*100)+100</f>
        <v/>
      </c>
      <c r="I307" s="76">
        <f>(((Table134567891011121314151617343[[#This Row],[FRA]]-VLOOKUP($U$1,A:C,3,))/VLOOKUP($U$1,A:C,3,))*100)+100</f>
        <v/>
      </c>
      <c r="J307" s="76">
        <f>(((Table134567891011121314151617343[[#This Row],[DEU]]-VLOOKUP($U$1,A:D,4,))/VLOOKUP($U$1,A:D,4,))*100)+100</f>
        <v/>
      </c>
      <c r="K307" s="76">
        <f>(((Table134567891011121314151617343[[#This Row],[ESP]]-VLOOKUP($U$1,A:E,5,))/VLOOKUP($U$1,A:E,5,))*100)+100</f>
        <v/>
      </c>
      <c r="L307" s="76">
        <f>(((Table134567891011121314151617343[[#This Row],[EA19]]-VLOOKUP($U$1,A:F,6,))/VLOOKUP($U$1,A:F,6,))*100)+100</f>
        <v/>
      </c>
      <c r="M307" s="76">
        <f>(((Table134567891011121314151617343[[#This Row],[GBR]]-VLOOKUP($U$1,A:G,7,))/VLOOKUP($U$1,A:G,7,))*100)+100</f>
        <v/>
      </c>
      <c r="N307" s="76">
        <f>IF(VLOOKUP(A307,Database!$A:$AU,MATCH($N$1,Database!$A$1:$AU$1,0),FALSE)=0,#N/A,VLOOKUP(A307,Database!$A:$AU,MATCH($N$1,Database!$A$1:$AU$1,0),FALSE))</f>
        <v/>
      </c>
      <c r="O307" s="76">
        <f>(((Table134567891011121314151617343[[#This Row],[USA]]-VLOOKUP($U$1,A:N,14,))/VLOOKUP($U$1,A:N,14,))*100)+100</f>
        <v/>
      </c>
      <c r="P307" s="76">
        <f>IF(VLOOKUP(A307,Database!$A:$AS,MATCH($P$1,Database!$A$1:$AS$1,0),FALSE)=0,#N/A,VLOOKUP(A307,Database!$A:$AS,MATCH($P$1,Database!$A$1:$AS$1,0),FALSE))</f>
        <v/>
      </c>
      <c r="Q307" s="76">
        <f>(((Table134567891011121314151617343[[#This Row],[JPN]]-VLOOKUP($U$1,A:Q,16,))/VLOOKUP($U$1,A:Q,16,))*100)+100</f>
        <v/>
      </c>
    </row>
    <row r="308" customFormat="1" s="86">
      <c r="A308" s="21" t="n">
        <v>42186</v>
      </c>
      <c r="B308" s="76">
        <f>IF(VLOOKUP(A308,Database!$A:$AS,MATCH($B$1,Database!$A$1:$AS$1,0),FALSE)=0,#N/A,VLOOKUP(A308,Database!$A:$AS,MATCH($B$1,Database!$A$1:$AS$1,0),FALSE))</f>
        <v/>
      </c>
      <c r="C308" s="76">
        <f>IF(VLOOKUP(A308,Database!$A:$AS,MATCH($C$1,Database!$A$1:$AS$1,0),FALSE)=0,#N/A,VLOOKUP(A308,Database!$A:$AS,MATCH($C$1,Database!$A$1:$AS$1,0),FALSE))</f>
        <v/>
      </c>
      <c r="D308" s="76">
        <f>IF(VLOOKUP(A308,Database!$A:$AS,MATCH($D$1,Database!$A$1:$AS$1,0),FALSE)=0,#N/A,VLOOKUP(A308,Database!$A:$AS,MATCH($D$1,Database!$A$1:$AS$1,0),FALSE))</f>
        <v/>
      </c>
      <c r="E308" s="76">
        <f>IF(VLOOKUP(A308,Database!$A:$AS,MATCH($E$1,Database!$A$1:$AS$1,0),FALSE)=0,#N/A,VLOOKUP(A308,Database!$A:$AS,MATCH($E$1,Database!$A$1:$AS$1,0),FALSE))</f>
        <v/>
      </c>
      <c r="F308" s="76">
        <f>IF(VLOOKUP(A308,Database!$A:$AS,MATCH($F$1,Database!$A$1:$AS$1,0),FALSE)=0,#N/A,VLOOKUP(A308,Database!$A:$AS,MATCH($F$1,Database!$A$1:$AS$1,0),FALSE))</f>
        <v/>
      </c>
      <c r="G308" s="76">
        <f>IF(VLOOKUP(A308,Database!$A:$AS,MATCH($G$1,Database!$A$1:$AS$1,0),FALSE)=0,#N/A,VLOOKUP(A308,Database!$A:$AS,MATCH($G$1,Database!$A$1:$AS$1,0),FALSE))</f>
        <v/>
      </c>
      <c r="H308" s="76">
        <f>(((Table134567891011121314151617343[[#This Row],[ITA]]-VLOOKUP($U$1,A:B,2,))/VLOOKUP($U$1,A:B,2,))*100)+100</f>
        <v/>
      </c>
      <c r="I308" s="76">
        <f>(((Table134567891011121314151617343[[#This Row],[FRA]]-VLOOKUP($U$1,A:C,3,))/VLOOKUP($U$1,A:C,3,))*100)+100</f>
        <v/>
      </c>
      <c r="J308" s="76">
        <f>(((Table134567891011121314151617343[[#This Row],[DEU]]-VLOOKUP($U$1,A:D,4,))/VLOOKUP($U$1,A:D,4,))*100)+100</f>
        <v/>
      </c>
      <c r="K308" s="76">
        <f>(((Table134567891011121314151617343[[#This Row],[ESP]]-VLOOKUP($U$1,A:E,5,))/VLOOKUP($U$1,A:E,5,))*100)+100</f>
        <v/>
      </c>
      <c r="L308" s="76">
        <f>(((Table134567891011121314151617343[[#This Row],[EA19]]-VLOOKUP($U$1,A:F,6,))/VLOOKUP($U$1,A:F,6,))*100)+100</f>
        <v/>
      </c>
      <c r="M308" s="76">
        <f>(((Table134567891011121314151617343[[#This Row],[GBR]]-VLOOKUP($U$1,A:G,7,))/VLOOKUP($U$1,A:G,7,))*100)+100</f>
        <v/>
      </c>
      <c r="N308" s="76">
        <f>IF(VLOOKUP(A308,Database!$A:$AU,MATCH($N$1,Database!$A$1:$AU$1,0),FALSE)=0,#N/A,VLOOKUP(A308,Database!$A:$AU,MATCH($N$1,Database!$A$1:$AU$1,0),FALSE))</f>
        <v/>
      </c>
      <c r="O308" s="76">
        <f>(((Table134567891011121314151617343[[#This Row],[USA]]-VLOOKUP($U$1,A:N,14,))/VLOOKUP($U$1,A:N,14,))*100)+100</f>
        <v/>
      </c>
      <c r="P308" s="76">
        <f>IF(VLOOKUP(A308,Database!$A:$AS,MATCH($P$1,Database!$A$1:$AS$1,0),FALSE)=0,#N/A,VLOOKUP(A308,Database!$A:$AS,MATCH($P$1,Database!$A$1:$AS$1,0),FALSE))</f>
        <v/>
      </c>
      <c r="Q308" s="76">
        <f>(((Table134567891011121314151617343[[#This Row],[JPN]]-VLOOKUP($U$1,A:Q,16,))/VLOOKUP($U$1,A:Q,16,))*100)+100</f>
        <v/>
      </c>
    </row>
    <row r="309" customFormat="1" s="86">
      <c r="A309" s="21" t="n">
        <v>42217</v>
      </c>
      <c r="B309" s="76">
        <f>IF(VLOOKUP(A309,Database!$A:$AS,MATCH($B$1,Database!$A$1:$AS$1,0),FALSE)=0,#N/A,VLOOKUP(A309,Database!$A:$AS,MATCH($B$1,Database!$A$1:$AS$1,0),FALSE))</f>
        <v/>
      </c>
      <c r="C309" s="76">
        <f>IF(VLOOKUP(A309,Database!$A:$AS,MATCH($C$1,Database!$A$1:$AS$1,0),FALSE)=0,#N/A,VLOOKUP(A309,Database!$A:$AS,MATCH($C$1,Database!$A$1:$AS$1,0),FALSE))</f>
        <v/>
      </c>
      <c r="D309" s="76">
        <f>IF(VLOOKUP(A309,Database!$A:$AS,MATCH($D$1,Database!$A$1:$AS$1,0),FALSE)=0,#N/A,VLOOKUP(A309,Database!$A:$AS,MATCH($D$1,Database!$A$1:$AS$1,0),FALSE))</f>
        <v/>
      </c>
      <c r="E309" s="76">
        <f>IF(VLOOKUP(A309,Database!$A:$AS,MATCH($E$1,Database!$A$1:$AS$1,0),FALSE)=0,#N/A,VLOOKUP(A309,Database!$A:$AS,MATCH($E$1,Database!$A$1:$AS$1,0),FALSE))</f>
        <v/>
      </c>
      <c r="F309" s="76">
        <f>IF(VLOOKUP(A309,Database!$A:$AS,MATCH($F$1,Database!$A$1:$AS$1,0),FALSE)=0,#N/A,VLOOKUP(A309,Database!$A:$AS,MATCH($F$1,Database!$A$1:$AS$1,0),FALSE))</f>
        <v/>
      </c>
      <c r="G309" s="76">
        <f>IF(VLOOKUP(A309,Database!$A:$AS,MATCH($G$1,Database!$A$1:$AS$1,0),FALSE)=0,#N/A,VLOOKUP(A309,Database!$A:$AS,MATCH($G$1,Database!$A$1:$AS$1,0),FALSE))</f>
        <v/>
      </c>
      <c r="H309" s="76">
        <f>(((Table134567891011121314151617343[[#This Row],[ITA]]-VLOOKUP($U$1,A:B,2,))/VLOOKUP($U$1,A:B,2,))*100)+100</f>
        <v/>
      </c>
      <c r="I309" s="76">
        <f>(((Table134567891011121314151617343[[#This Row],[FRA]]-VLOOKUP($U$1,A:C,3,))/VLOOKUP($U$1,A:C,3,))*100)+100</f>
        <v/>
      </c>
      <c r="J309" s="76">
        <f>(((Table134567891011121314151617343[[#This Row],[DEU]]-VLOOKUP($U$1,A:D,4,))/VLOOKUP($U$1,A:D,4,))*100)+100</f>
        <v/>
      </c>
      <c r="K309" s="76">
        <f>(((Table134567891011121314151617343[[#This Row],[ESP]]-VLOOKUP($U$1,A:E,5,))/VLOOKUP($U$1,A:E,5,))*100)+100</f>
        <v/>
      </c>
      <c r="L309" s="76">
        <f>(((Table134567891011121314151617343[[#This Row],[EA19]]-VLOOKUP($U$1,A:F,6,))/VLOOKUP($U$1,A:F,6,))*100)+100</f>
        <v/>
      </c>
      <c r="M309" s="76">
        <f>(((Table134567891011121314151617343[[#This Row],[GBR]]-VLOOKUP($U$1,A:G,7,))/VLOOKUP($U$1,A:G,7,))*100)+100</f>
        <v/>
      </c>
      <c r="N309" s="76">
        <f>IF(VLOOKUP(A309,Database!$A:$AU,MATCH($N$1,Database!$A$1:$AU$1,0),FALSE)=0,#N/A,VLOOKUP(A309,Database!$A:$AU,MATCH($N$1,Database!$A$1:$AU$1,0),FALSE))</f>
        <v/>
      </c>
      <c r="O309" s="76">
        <f>(((Table134567891011121314151617343[[#This Row],[USA]]-VLOOKUP($U$1,A:N,14,))/VLOOKUP($U$1,A:N,14,))*100)+100</f>
        <v/>
      </c>
      <c r="P309" s="76">
        <f>IF(VLOOKUP(A309,Database!$A:$AS,MATCH($P$1,Database!$A$1:$AS$1,0),FALSE)=0,#N/A,VLOOKUP(A309,Database!$A:$AS,MATCH($P$1,Database!$A$1:$AS$1,0),FALSE))</f>
        <v/>
      </c>
      <c r="Q309" s="76">
        <f>(((Table134567891011121314151617343[[#This Row],[JPN]]-VLOOKUP($U$1,A:Q,16,))/VLOOKUP($U$1,A:Q,16,))*100)+100</f>
        <v/>
      </c>
    </row>
    <row r="310" customFormat="1" s="86">
      <c r="A310" s="21" t="n">
        <v>42248</v>
      </c>
      <c r="B310" s="76">
        <f>IF(VLOOKUP(A310,Database!$A:$AS,MATCH($B$1,Database!$A$1:$AS$1,0),FALSE)=0,#N/A,VLOOKUP(A310,Database!$A:$AS,MATCH($B$1,Database!$A$1:$AS$1,0),FALSE))</f>
        <v/>
      </c>
      <c r="C310" s="76">
        <f>IF(VLOOKUP(A310,Database!$A:$AS,MATCH($C$1,Database!$A$1:$AS$1,0),FALSE)=0,#N/A,VLOOKUP(A310,Database!$A:$AS,MATCH($C$1,Database!$A$1:$AS$1,0),FALSE))</f>
        <v/>
      </c>
      <c r="D310" s="76">
        <f>IF(VLOOKUP(A310,Database!$A:$AS,MATCH($D$1,Database!$A$1:$AS$1,0),FALSE)=0,#N/A,VLOOKUP(A310,Database!$A:$AS,MATCH($D$1,Database!$A$1:$AS$1,0),FALSE))</f>
        <v/>
      </c>
      <c r="E310" s="76">
        <f>IF(VLOOKUP(A310,Database!$A:$AS,MATCH($E$1,Database!$A$1:$AS$1,0),FALSE)=0,#N/A,VLOOKUP(A310,Database!$A:$AS,MATCH($E$1,Database!$A$1:$AS$1,0),FALSE))</f>
        <v/>
      </c>
      <c r="F310" s="76">
        <f>IF(VLOOKUP(A310,Database!$A:$AS,MATCH($F$1,Database!$A$1:$AS$1,0),FALSE)=0,#N/A,VLOOKUP(A310,Database!$A:$AS,MATCH($F$1,Database!$A$1:$AS$1,0),FALSE))</f>
        <v/>
      </c>
      <c r="G310" s="76">
        <f>IF(VLOOKUP(A310,Database!$A:$AS,MATCH($G$1,Database!$A$1:$AS$1,0),FALSE)=0,#N/A,VLOOKUP(A310,Database!$A:$AS,MATCH($G$1,Database!$A$1:$AS$1,0),FALSE))</f>
        <v/>
      </c>
      <c r="H310" s="76">
        <f>(((Table134567891011121314151617343[[#This Row],[ITA]]-VLOOKUP($U$1,A:B,2,))/VLOOKUP($U$1,A:B,2,))*100)+100</f>
        <v/>
      </c>
      <c r="I310" s="76">
        <f>(((Table134567891011121314151617343[[#This Row],[FRA]]-VLOOKUP($U$1,A:C,3,))/VLOOKUP($U$1,A:C,3,))*100)+100</f>
        <v/>
      </c>
      <c r="J310" s="76">
        <f>(((Table134567891011121314151617343[[#This Row],[DEU]]-VLOOKUP($U$1,A:D,4,))/VLOOKUP($U$1,A:D,4,))*100)+100</f>
        <v/>
      </c>
      <c r="K310" s="76">
        <f>(((Table134567891011121314151617343[[#This Row],[ESP]]-VLOOKUP($U$1,A:E,5,))/VLOOKUP($U$1,A:E,5,))*100)+100</f>
        <v/>
      </c>
      <c r="L310" s="76">
        <f>(((Table134567891011121314151617343[[#This Row],[EA19]]-VLOOKUP($U$1,A:F,6,))/VLOOKUP($U$1,A:F,6,))*100)+100</f>
        <v/>
      </c>
      <c r="M310" s="76">
        <f>(((Table134567891011121314151617343[[#This Row],[GBR]]-VLOOKUP($U$1,A:G,7,))/VLOOKUP($U$1,A:G,7,))*100)+100</f>
        <v/>
      </c>
      <c r="N310" s="76">
        <f>IF(VLOOKUP(A310,Database!$A:$AU,MATCH($N$1,Database!$A$1:$AU$1,0),FALSE)=0,#N/A,VLOOKUP(A310,Database!$A:$AU,MATCH($N$1,Database!$A$1:$AU$1,0),FALSE))</f>
        <v/>
      </c>
      <c r="O310" s="76">
        <f>(((Table134567891011121314151617343[[#This Row],[USA]]-VLOOKUP($U$1,A:N,14,))/VLOOKUP($U$1,A:N,14,))*100)+100</f>
        <v/>
      </c>
      <c r="P310" s="76">
        <f>IF(VLOOKUP(A310,Database!$A:$AS,MATCH($P$1,Database!$A$1:$AS$1,0),FALSE)=0,#N/A,VLOOKUP(A310,Database!$A:$AS,MATCH($P$1,Database!$A$1:$AS$1,0),FALSE))</f>
        <v/>
      </c>
      <c r="Q310" s="76">
        <f>(((Table134567891011121314151617343[[#This Row],[JPN]]-VLOOKUP($U$1,A:Q,16,))/VLOOKUP($U$1,A:Q,16,))*100)+100</f>
        <v/>
      </c>
    </row>
    <row r="311" customFormat="1" s="86">
      <c r="A311" s="21" t="n">
        <v>42278</v>
      </c>
      <c r="B311" s="76">
        <f>IF(VLOOKUP(A311,Database!$A:$AS,MATCH($B$1,Database!$A$1:$AS$1,0),FALSE)=0,#N/A,VLOOKUP(A311,Database!$A:$AS,MATCH($B$1,Database!$A$1:$AS$1,0),FALSE))</f>
        <v/>
      </c>
      <c r="C311" s="76">
        <f>IF(VLOOKUP(A311,Database!$A:$AS,MATCH($C$1,Database!$A$1:$AS$1,0),FALSE)=0,#N/A,VLOOKUP(A311,Database!$A:$AS,MATCH($C$1,Database!$A$1:$AS$1,0),FALSE))</f>
        <v/>
      </c>
      <c r="D311" s="76">
        <f>IF(VLOOKUP(A311,Database!$A:$AS,MATCH($D$1,Database!$A$1:$AS$1,0),FALSE)=0,#N/A,VLOOKUP(A311,Database!$A:$AS,MATCH($D$1,Database!$A$1:$AS$1,0),FALSE))</f>
        <v/>
      </c>
      <c r="E311" s="76">
        <f>IF(VLOOKUP(A311,Database!$A:$AS,MATCH($E$1,Database!$A$1:$AS$1,0),FALSE)=0,#N/A,VLOOKUP(A311,Database!$A:$AS,MATCH($E$1,Database!$A$1:$AS$1,0),FALSE))</f>
        <v/>
      </c>
      <c r="F311" s="76">
        <f>IF(VLOOKUP(A311,Database!$A:$AS,MATCH($F$1,Database!$A$1:$AS$1,0),FALSE)=0,#N/A,VLOOKUP(A311,Database!$A:$AS,MATCH($F$1,Database!$A$1:$AS$1,0),FALSE))</f>
        <v/>
      </c>
      <c r="G311" s="76">
        <f>IF(VLOOKUP(A311,Database!$A:$AS,MATCH($G$1,Database!$A$1:$AS$1,0),FALSE)=0,#N/A,VLOOKUP(A311,Database!$A:$AS,MATCH($G$1,Database!$A$1:$AS$1,0),FALSE))</f>
        <v/>
      </c>
      <c r="H311" s="76">
        <f>(((Table134567891011121314151617343[[#This Row],[ITA]]-VLOOKUP($U$1,A:B,2,))/VLOOKUP($U$1,A:B,2,))*100)+100</f>
        <v/>
      </c>
      <c r="I311" s="76">
        <f>(((Table134567891011121314151617343[[#This Row],[FRA]]-VLOOKUP($U$1,A:C,3,))/VLOOKUP($U$1,A:C,3,))*100)+100</f>
        <v/>
      </c>
      <c r="J311" s="76">
        <f>(((Table134567891011121314151617343[[#This Row],[DEU]]-VLOOKUP($U$1,A:D,4,))/VLOOKUP($U$1,A:D,4,))*100)+100</f>
        <v/>
      </c>
      <c r="K311" s="76">
        <f>(((Table134567891011121314151617343[[#This Row],[ESP]]-VLOOKUP($U$1,A:E,5,))/VLOOKUP($U$1,A:E,5,))*100)+100</f>
        <v/>
      </c>
      <c r="L311" s="76">
        <f>(((Table134567891011121314151617343[[#This Row],[EA19]]-VLOOKUP($U$1,A:F,6,))/VLOOKUP($U$1,A:F,6,))*100)+100</f>
        <v/>
      </c>
      <c r="M311" s="76">
        <f>(((Table134567891011121314151617343[[#This Row],[GBR]]-VLOOKUP($U$1,A:G,7,))/VLOOKUP($U$1,A:G,7,))*100)+100</f>
        <v/>
      </c>
      <c r="N311" s="76">
        <f>IF(VLOOKUP(A311,Database!$A:$AU,MATCH($N$1,Database!$A$1:$AU$1,0),FALSE)=0,#N/A,VLOOKUP(A311,Database!$A:$AU,MATCH($N$1,Database!$A$1:$AU$1,0),FALSE))</f>
        <v/>
      </c>
      <c r="O311" s="76">
        <f>(((Table134567891011121314151617343[[#This Row],[USA]]-VLOOKUP($U$1,A:N,14,))/VLOOKUP($U$1,A:N,14,))*100)+100</f>
        <v/>
      </c>
      <c r="P311" s="76">
        <f>IF(VLOOKUP(A311,Database!$A:$AS,MATCH($P$1,Database!$A$1:$AS$1,0),FALSE)=0,#N/A,VLOOKUP(A311,Database!$A:$AS,MATCH($P$1,Database!$A$1:$AS$1,0),FALSE))</f>
        <v/>
      </c>
      <c r="Q311" s="76">
        <f>(((Table134567891011121314151617343[[#This Row],[JPN]]-VLOOKUP($U$1,A:Q,16,))/VLOOKUP($U$1,A:Q,16,))*100)+100</f>
        <v/>
      </c>
    </row>
    <row r="312" customFormat="1" s="86">
      <c r="A312" s="21" t="n">
        <v>42309</v>
      </c>
      <c r="B312" s="76">
        <f>IF(VLOOKUP(A312,Database!$A:$AS,MATCH($B$1,Database!$A$1:$AS$1,0),FALSE)=0,#N/A,VLOOKUP(A312,Database!$A:$AS,MATCH($B$1,Database!$A$1:$AS$1,0),FALSE))</f>
        <v/>
      </c>
      <c r="C312" s="76">
        <f>IF(VLOOKUP(A312,Database!$A:$AS,MATCH($C$1,Database!$A$1:$AS$1,0),FALSE)=0,#N/A,VLOOKUP(A312,Database!$A:$AS,MATCH($C$1,Database!$A$1:$AS$1,0),FALSE))</f>
        <v/>
      </c>
      <c r="D312" s="76">
        <f>IF(VLOOKUP(A312,Database!$A:$AS,MATCH($D$1,Database!$A$1:$AS$1,0),FALSE)=0,#N/A,VLOOKUP(A312,Database!$A:$AS,MATCH($D$1,Database!$A$1:$AS$1,0),FALSE))</f>
        <v/>
      </c>
      <c r="E312" s="76">
        <f>IF(VLOOKUP(A312,Database!$A:$AS,MATCH($E$1,Database!$A$1:$AS$1,0),FALSE)=0,#N/A,VLOOKUP(A312,Database!$A:$AS,MATCH($E$1,Database!$A$1:$AS$1,0),FALSE))</f>
        <v/>
      </c>
      <c r="F312" s="76">
        <f>IF(VLOOKUP(A312,Database!$A:$AS,MATCH($F$1,Database!$A$1:$AS$1,0),FALSE)=0,#N/A,VLOOKUP(A312,Database!$A:$AS,MATCH($F$1,Database!$A$1:$AS$1,0),FALSE))</f>
        <v/>
      </c>
      <c r="G312" s="76">
        <f>IF(VLOOKUP(A312,Database!$A:$AS,MATCH($G$1,Database!$A$1:$AS$1,0),FALSE)=0,#N/A,VLOOKUP(A312,Database!$A:$AS,MATCH($G$1,Database!$A$1:$AS$1,0),FALSE))</f>
        <v/>
      </c>
      <c r="H312" s="76">
        <f>(((Table134567891011121314151617343[[#This Row],[ITA]]-VLOOKUP($U$1,A:B,2,))/VLOOKUP($U$1,A:B,2,))*100)+100</f>
        <v/>
      </c>
      <c r="I312" s="76">
        <f>(((Table134567891011121314151617343[[#This Row],[FRA]]-VLOOKUP($U$1,A:C,3,))/VLOOKUP($U$1,A:C,3,))*100)+100</f>
        <v/>
      </c>
      <c r="J312" s="76">
        <f>(((Table134567891011121314151617343[[#This Row],[DEU]]-VLOOKUP($U$1,A:D,4,))/VLOOKUP($U$1,A:D,4,))*100)+100</f>
        <v/>
      </c>
      <c r="K312" s="76">
        <f>(((Table134567891011121314151617343[[#This Row],[ESP]]-VLOOKUP($U$1,A:E,5,))/VLOOKUP($U$1,A:E,5,))*100)+100</f>
        <v/>
      </c>
      <c r="L312" s="76">
        <f>(((Table134567891011121314151617343[[#This Row],[EA19]]-VLOOKUP($U$1,A:F,6,))/VLOOKUP($U$1,A:F,6,))*100)+100</f>
        <v/>
      </c>
      <c r="M312" s="76">
        <f>(((Table134567891011121314151617343[[#This Row],[GBR]]-VLOOKUP($U$1,A:G,7,))/VLOOKUP($U$1,A:G,7,))*100)+100</f>
        <v/>
      </c>
      <c r="N312" s="76">
        <f>IF(VLOOKUP(A312,Database!$A:$AU,MATCH($N$1,Database!$A$1:$AU$1,0),FALSE)=0,#N/A,VLOOKUP(A312,Database!$A:$AU,MATCH($N$1,Database!$A$1:$AU$1,0),FALSE))</f>
        <v/>
      </c>
      <c r="O312" s="76">
        <f>(((Table134567891011121314151617343[[#This Row],[USA]]-VLOOKUP($U$1,A:N,14,))/VLOOKUP($U$1,A:N,14,))*100)+100</f>
        <v/>
      </c>
      <c r="P312" s="76">
        <f>IF(VLOOKUP(A312,Database!$A:$AS,MATCH($P$1,Database!$A$1:$AS$1,0),FALSE)=0,#N/A,VLOOKUP(A312,Database!$A:$AS,MATCH($P$1,Database!$A$1:$AS$1,0),FALSE))</f>
        <v/>
      </c>
      <c r="Q312" s="76">
        <f>(((Table134567891011121314151617343[[#This Row],[JPN]]-VLOOKUP($U$1,A:Q,16,))/VLOOKUP($U$1,A:Q,16,))*100)+100</f>
        <v/>
      </c>
    </row>
    <row r="313" customFormat="1" s="86">
      <c r="A313" s="21" t="n">
        <v>42339</v>
      </c>
      <c r="B313" s="76">
        <f>IF(VLOOKUP(A313,Database!$A:$AS,MATCH($B$1,Database!$A$1:$AS$1,0),FALSE)=0,#N/A,VLOOKUP(A313,Database!$A:$AS,MATCH($B$1,Database!$A$1:$AS$1,0),FALSE))</f>
        <v/>
      </c>
      <c r="C313" s="76">
        <f>IF(VLOOKUP(A313,Database!$A:$AS,MATCH($C$1,Database!$A$1:$AS$1,0),FALSE)=0,#N/A,VLOOKUP(A313,Database!$A:$AS,MATCH($C$1,Database!$A$1:$AS$1,0),FALSE))</f>
        <v/>
      </c>
      <c r="D313" s="76">
        <f>IF(VLOOKUP(A313,Database!$A:$AS,MATCH($D$1,Database!$A$1:$AS$1,0),FALSE)=0,#N/A,VLOOKUP(A313,Database!$A:$AS,MATCH($D$1,Database!$A$1:$AS$1,0),FALSE))</f>
        <v/>
      </c>
      <c r="E313" s="76">
        <f>IF(VLOOKUP(A313,Database!$A:$AS,MATCH($E$1,Database!$A$1:$AS$1,0),FALSE)=0,#N/A,VLOOKUP(A313,Database!$A:$AS,MATCH($E$1,Database!$A$1:$AS$1,0),FALSE))</f>
        <v/>
      </c>
      <c r="F313" s="76">
        <f>IF(VLOOKUP(A313,Database!$A:$AS,MATCH($F$1,Database!$A$1:$AS$1,0),FALSE)=0,#N/A,VLOOKUP(A313,Database!$A:$AS,MATCH($F$1,Database!$A$1:$AS$1,0),FALSE))</f>
        <v/>
      </c>
      <c r="G313" s="76">
        <f>IF(VLOOKUP(A313,Database!$A:$AS,MATCH($G$1,Database!$A$1:$AS$1,0),FALSE)=0,#N/A,VLOOKUP(A313,Database!$A:$AS,MATCH($G$1,Database!$A$1:$AS$1,0),FALSE))</f>
        <v/>
      </c>
      <c r="H313" s="76">
        <f>(((Table134567891011121314151617343[[#This Row],[ITA]]-VLOOKUP($U$1,A:B,2,))/VLOOKUP($U$1,A:B,2,))*100)+100</f>
        <v/>
      </c>
      <c r="I313" s="76">
        <f>(((Table134567891011121314151617343[[#This Row],[FRA]]-VLOOKUP($U$1,A:C,3,))/VLOOKUP($U$1,A:C,3,))*100)+100</f>
        <v/>
      </c>
      <c r="J313" s="76">
        <f>(((Table134567891011121314151617343[[#This Row],[DEU]]-VLOOKUP($U$1,A:D,4,))/VLOOKUP($U$1,A:D,4,))*100)+100</f>
        <v/>
      </c>
      <c r="K313" s="76">
        <f>(((Table134567891011121314151617343[[#This Row],[ESP]]-VLOOKUP($U$1,A:E,5,))/VLOOKUP($U$1,A:E,5,))*100)+100</f>
        <v/>
      </c>
      <c r="L313" s="76">
        <f>(((Table134567891011121314151617343[[#This Row],[EA19]]-VLOOKUP($U$1,A:F,6,))/VLOOKUP($U$1,A:F,6,))*100)+100</f>
        <v/>
      </c>
      <c r="M313" s="76">
        <f>(((Table134567891011121314151617343[[#This Row],[GBR]]-VLOOKUP($U$1,A:G,7,))/VLOOKUP($U$1,A:G,7,))*100)+100</f>
        <v/>
      </c>
      <c r="N313" s="76">
        <f>IF(VLOOKUP(A313,Database!$A:$AU,MATCH($N$1,Database!$A$1:$AU$1,0),FALSE)=0,#N/A,VLOOKUP(A313,Database!$A:$AU,MATCH($N$1,Database!$A$1:$AU$1,0),FALSE))</f>
        <v/>
      </c>
      <c r="O313" s="76">
        <f>(((Table134567891011121314151617343[[#This Row],[USA]]-VLOOKUP($U$1,A:N,14,))/VLOOKUP($U$1,A:N,14,))*100)+100</f>
        <v/>
      </c>
      <c r="P313" s="76">
        <f>IF(VLOOKUP(A313,Database!$A:$AS,MATCH($P$1,Database!$A$1:$AS$1,0),FALSE)=0,#N/A,VLOOKUP(A313,Database!$A:$AS,MATCH($P$1,Database!$A$1:$AS$1,0),FALSE))</f>
        <v/>
      </c>
      <c r="Q313" s="76">
        <f>(((Table134567891011121314151617343[[#This Row],[JPN]]-VLOOKUP($U$1,A:Q,16,))/VLOOKUP($U$1,A:Q,16,))*100)+100</f>
        <v/>
      </c>
    </row>
    <row r="314" customFormat="1" s="86">
      <c r="A314" s="21" t="n">
        <v>42370</v>
      </c>
      <c r="B314" s="76">
        <f>IF(VLOOKUP(A314,Database!$A:$AS,MATCH($B$1,Database!$A$1:$AS$1,0),FALSE)=0,#N/A,VLOOKUP(A314,Database!$A:$AS,MATCH($B$1,Database!$A$1:$AS$1,0),FALSE))</f>
        <v/>
      </c>
      <c r="C314" s="76">
        <f>IF(VLOOKUP(A314,Database!$A:$AS,MATCH($C$1,Database!$A$1:$AS$1,0),FALSE)=0,#N/A,VLOOKUP(A314,Database!$A:$AS,MATCH($C$1,Database!$A$1:$AS$1,0),FALSE))</f>
        <v/>
      </c>
      <c r="D314" s="76">
        <f>IF(VLOOKUP(A314,Database!$A:$AS,MATCH($D$1,Database!$A$1:$AS$1,0),FALSE)=0,#N/A,VLOOKUP(A314,Database!$A:$AS,MATCH($D$1,Database!$A$1:$AS$1,0),FALSE))</f>
        <v/>
      </c>
      <c r="E314" s="76">
        <f>IF(VLOOKUP(A314,Database!$A:$AS,MATCH($E$1,Database!$A$1:$AS$1,0),FALSE)=0,#N/A,VLOOKUP(A314,Database!$A:$AS,MATCH($E$1,Database!$A$1:$AS$1,0),FALSE))</f>
        <v/>
      </c>
      <c r="F314" s="76">
        <f>IF(VLOOKUP(A314,Database!$A:$AS,MATCH($F$1,Database!$A$1:$AS$1,0),FALSE)=0,#N/A,VLOOKUP(A314,Database!$A:$AS,MATCH($F$1,Database!$A$1:$AS$1,0),FALSE))</f>
        <v/>
      </c>
      <c r="G314" s="76">
        <f>IF(VLOOKUP(A314,Database!$A:$AS,MATCH($G$1,Database!$A$1:$AS$1,0),FALSE)=0,#N/A,VLOOKUP(A314,Database!$A:$AS,MATCH($G$1,Database!$A$1:$AS$1,0),FALSE))</f>
        <v/>
      </c>
      <c r="H314" s="76">
        <f>(((Table134567891011121314151617343[[#This Row],[ITA]]-VLOOKUP($U$1,A:B,2,))/VLOOKUP($U$1,A:B,2,))*100)+100</f>
        <v/>
      </c>
      <c r="I314" s="76">
        <f>(((Table134567891011121314151617343[[#This Row],[FRA]]-VLOOKUP($U$1,A:C,3,))/VLOOKUP($U$1,A:C,3,))*100)+100</f>
        <v/>
      </c>
      <c r="J314" s="76">
        <f>(((Table134567891011121314151617343[[#This Row],[DEU]]-VLOOKUP($U$1,A:D,4,))/VLOOKUP($U$1,A:D,4,))*100)+100</f>
        <v/>
      </c>
      <c r="K314" s="76">
        <f>(((Table134567891011121314151617343[[#This Row],[ESP]]-VLOOKUP($U$1,A:E,5,))/VLOOKUP($U$1,A:E,5,))*100)+100</f>
        <v/>
      </c>
      <c r="L314" s="76">
        <f>(((Table134567891011121314151617343[[#This Row],[EA19]]-VLOOKUP($U$1,A:F,6,))/VLOOKUP($U$1,A:F,6,))*100)+100</f>
        <v/>
      </c>
      <c r="M314" s="76">
        <f>(((Table134567891011121314151617343[[#This Row],[GBR]]-VLOOKUP($U$1,A:G,7,))/VLOOKUP($U$1,A:G,7,))*100)+100</f>
        <v/>
      </c>
      <c r="N314" s="76">
        <f>IF(VLOOKUP(A314,Database!$A:$AU,MATCH($N$1,Database!$A$1:$AU$1,0),FALSE)=0,#N/A,VLOOKUP(A314,Database!$A:$AU,MATCH($N$1,Database!$A$1:$AU$1,0),FALSE))</f>
        <v/>
      </c>
      <c r="O314" s="76">
        <f>(((Table134567891011121314151617343[[#This Row],[USA]]-VLOOKUP($U$1,A:N,14,))/VLOOKUP($U$1,A:N,14,))*100)+100</f>
        <v/>
      </c>
      <c r="P314" s="76">
        <f>IF(VLOOKUP(A314,Database!$A:$AS,MATCH($P$1,Database!$A$1:$AS$1,0),FALSE)=0,#N/A,VLOOKUP(A314,Database!$A:$AS,MATCH($P$1,Database!$A$1:$AS$1,0),FALSE))</f>
        <v/>
      </c>
      <c r="Q314" s="76">
        <f>(((Table134567891011121314151617343[[#This Row],[JPN]]-VLOOKUP($U$1,A:Q,16,))/VLOOKUP($U$1,A:Q,16,))*100)+100</f>
        <v/>
      </c>
    </row>
    <row r="315" customFormat="1" s="86">
      <c r="A315" s="21" t="n">
        <v>42401</v>
      </c>
      <c r="B315" s="76">
        <f>IF(VLOOKUP(A315,Database!$A:$AS,MATCH($B$1,Database!$A$1:$AS$1,0),FALSE)=0,#N/A,VLOOKUP(A315,Database!$A:$AS,MATCH($B$1,Database!$A$1:$AS$1,0),FALSE))</f>
        <v/>
      </c>
      <c r="C315" s="76">
        <f>IF(VLOOKUP(A315,Database!$A:$AS,MATCH($C$1,Database!$A$1:$AS$1,0),FALSE)=0,#N/A,VLOOKUP(A315,Database!$A:$AS,MATCH($C$1,Database!$A$1:$AS$1,0),FALSE))</f>
        <v/>
      </c>
      <c r="D315" s="76">
        <f>IF(VLOOKUP(A315,Database!$A:$AS,MATCH($D$1,Database!$A$1:$AS$1,0),FALSE)=0,#N/A,VLOOKUP(A315,Database!$A:$AS,MATCH($D$1,Database!$A$1:$AS$1,0),FALSE))</f>
        <v/>
      </c>
      <c r="E315" s="76">
        <f>IF(VLOOKUP(A315,Database!$A:$AS,MATCH($E$1,Database!$A$1:$AS$1,0),FALSE)=0,#N/A,VLOOKUP(A315,Database!$A:$AS,MATCH($E$1,Database!$A$1:$AS$1,0),FALSE))</f>
        <v/>
      </c>
      <c r="F315" s="76">
        <f>IF(VLOOKUP(A315,Database!$A:$AS,MATCH($F$1,Database!$A$1:$AS$1,0),FALSE)=0,#N/A,VLOOKUP(A315,Database!$A:$AS,MATCH($F$1,Database!$A$1:$AS$1,0),FALSE))</f>
        <v/>
      </c>
      <c r="G315" s="76">
        <f>IF(VLOOKUP(A315,Database!$A:$AS,MATCH($G$1,Database!$A$1:$AS$1,0),FALSE)=0,#N/A,VLOOKUP(A315,Database!$A:$AS,MATCH($G$1,Database!$A$1:$AS$1,0),FALSE))</f>
        <v/>
      </c>
      <c r="H315" s="76">
        <f>(((Table134567891011121314151617343[[#This Row],[ITA]]-VLOOKUP($U$1,A:B,2,))/VLOOKUP($U$1,A:B,2,))*100)+100</f>
        <v/>
      </c>
      <c r="I315" s="76">
        <f>(((Table134567891011121314151617343[[#This Row],[FRA]]-VLOOKUP($U$1,A:C,3,))/VLOOKUP($U$1,A:C,3,))*100)+100</f>
        <v/>
      </c>
      <c r="J315" s="76">
        <f>(((Table134567891011121314151617343[[#This Row],[DEU]]-VLOOKUP($U$1,A:D,4,))/VLOOKUP($U$1,A:D,4,))*100)+100</f>
        <v/>
      </c>
      <c r="K315" s="76">
        <f>(((Table134567891011121314151617343[[#This Row],[ESP]]-VLOOKUP($U$1,A:E,5,))/VLOOKUP($U$1,A:E,5,))*100)+100</f>
        <v/>
      </c>
      <c r="L315" s="76">
        <f>(((Table134567891011121314151617343[[#This Row],[EA19]]-VLOOKUP($U$1,A:F,6,))/VLOOKUP($U$1,A:F,6,))*100)+100</f>
        <v/>
      </c>
      <c r="M315" s="76">
        <f>(((Table134567891011121314151617343[[#This Row],[GBR]]-VLOOKUP($U$1,A:G,7,))/VLOOKUP($U$1,A:G,7,))*100)+100</f>
        <v/>
      </c>
      <c r="N315" s="76">
        <f>IF(VLOOKUP(A315,Database!$A:$AU,MATCH($N$1,Database!$A$1:$AU$1,0),FALSE)=0,#N/A,VLOOKUP(A315,Database!$A:$AU,MATCH($N$1,Database!$A$1:$AU$1,0),FALSE))</f>
        <v/>
      </c>
      <c r="O315" s="76">
        <f>(((Table134567891011121314151617343[[#This Row],[USA]]-VLOOKUP($U$1,A:N,14,))/VLOOKUP($U$1,A:N,14,))*100)+100</f>
        <v/>
      </c>
      <c r="P315" s="76">
        <f>IF(VLOOKUP(A315,Database!$A:$AS,MATCH($P$1,Database!$A$1:$AS$1,0),FALSE)=0,#N/A,VLOOKUP(A315,Database!$A:$AS,MATCH($P$1,Database!$A$1:$AS$1,0),FALSE))</f>
        <v/>
      </c>
      <c r="Q315" s="76">
        <f>(((Table134567891011121314151617343[[#This Row],[JPN]]-VLOOKUP($U$1,A:Q,16,))/VLOOKUP($U$1,A:Q,16,))*100)+100</f>
        <v/>
      </c>
    </row>
    <row r="316" customFormat="1" s="86">
      <c r="A316" s="21" t="n">
        <v>42430</v>
      </c>
      <c r="B316" s="76">
        <f>IF(VLOOKUP(A316,Database!$A:$AS,MATCH($B$1,Database!$A$1:$AS$1,0),FALSE)=0,#N/A,VLOOKUP(A316,Database!$A:$AS,MATCH($B$1,Database!$A$1:$AS$1,0),FALSE))</f>
        <v/>
      </c>
      <c r="C316" s="76">
        <f>IF(VLOOKUP(A316,Database!$A:$AS,MATCH($C$1,Database!$A$1:$AS$1,0),FALSE)=0,#N/A,VLOOKUP(A316,Database!$A:$AS,MATCH($C$1,Database!$A$1:$AS$1,0),FALSE))</f>
        <v/>
      </c>
      <c r="D316" s="76">
        <f>IF(VLOOKUP(A316,Database!$A:$AS,MATCH($D$1,Database!$A$1:$AS$1,0),FALSE)=0,#N/A,VLOOKUP(A316,Database!$A:$AS,MATCH($D$1,Database!$A$1:$AS$1,0),FALSE))</f>
        <v/>
      </c>
      <c r="E316" s="76">
        <f>IF(VLOOKUP(A316,Database!$A:$AS,MATCH($E$1,Database!$A$1:$AS$1,0),FALSE)=0,#N/A,VLOOKUP(A316,Database!$A:$AS,MATCH($E$1,Database!$A$1:$AS$1,0),FALSE))</f>
        <v/>
      </c>
      <c r="F316" s="76">
        <f>IF(VLOOKUP(A316,Database!$A:$AS,MATCH($F$1,Database!$A$1:$AS$1,0),FALSE)=0,#N/A,VLOOKUP(A316,Database!$A:$AS,MATCH($F$1,Database!$A$1:$AS$1,0),FALSE))</f>
        <v/>
      </c>
      <c r="G316" s="76">
        <f>IF(VLOOKUP(A316,Database!$A:$AS,MATCH($G$1,Database!$A$1:$AS$1,0),FALSE)=0,#N/A,VLOOKUP(A316,Database!$A:$AS,MATCH($G$1,Database!$A$1:$AS$1,0),FALSE))</f>
        <v/>
      </c>
      <c r="H316" s="76">
        <f>(((Table134567891011121314151617343[[#This Row],[ITA]]-VLOOKUP($U$1,A:B,2,))/VLOOKUP($U$1,A:B,2,))*100)+100</f>
        <v/>
      </c>
      <c r="I316" s="76">
        <f>(((Table134567891011121314151617343[[#This Row],[FRA]]-VLOOKUP($U$1,A:C,3,))/VLOOKUP($U$1,A:C,3,))*100)+100</f>
        <v/>
      </c>
      <c r="J316" s="76">
        <f>(((Table134567891011121314151617343[[#This Row],[DEU]]-VLOOKUP($U$1,A:D,4,))/VLOOKUP($U$1,A:D,4,))*100)+100</f>
        <v/>
      </c>
      <c r="K316" s="76">
        <f>(((Table134567891011121314151617343[[#This Row],[ESP]]-VLOOKUP($U$1,A:E,5,))/VLOOKUP($U$1,A:E,5,))*100)+100</f>
        <v/>
      </c>
      <c r="L316" s="76">
        <f>(((Table134567891011121314151617343[[#This Row],[EA19]]-VLOOKUP($U$1,A:F,6,))/VLOOKUP($U$1,A:F,6,))*100)+100</f>
        <v/>
      </c>
      <c r="M316" s="76">
        <f>(((Table134567891011121314151617343[[#This Row],[GBR]]-VLOOKUP($U$1,A:G,7,))/VLOOKUP($U$1,A:G,7,))*100)+100</f>
        <v/>
      </c>
      <c r="N316" s="76">
        <f>IF(VLOOKUP(A316,Database!$A:$AU,MATCH($N$1,Database!$A$1:$AU$1,0),FALSE)=0,#N/A,VLOOKUP(A316,Database!$A:$AU,MATCH($N$1,Database!$A$1:$AU$1,0),FALSE))</f>
        <v/>
      </c>
      <c r="O316" s="76">
        <f>(((Table134567891011121314151617343[[#This Row],[USA]]-VLOOKUP($U$1,A:N,14,))/VLOOKUP($U$1,A:N,14,))*100)+100</f>
        <v/>
      </c>
      <c r="P316" s="76">
        <f>IF(VLOOKUP(A316,Database!$A:$AS,MATCH($P$1,Database!$A$1:$AS$1,0),FALSE)=0,#N/A,VLOOKUP(A316,Database!$A:$AS,MATCH($P$1,Database!$A$1:$AS$1,0),FALSE))</f>
        <v/>
      </c>
      <c r="Q316" s="76">
        <f>(((Table134567891011121314151617343[[#This Row],[JPN]]-VLOOKUP($U$1,A:Q,16,))/VLOOKUP($U$1,A:Q,16,))*100)+100</f>
        <v/>
      </c>
    </row>
    <row r="317" customFormat="1" s="86">
      <c r="A317" s="21" t="n">
        <v>42461</v>
      </c>
      <c r="B317" s="76">
        <f>IF(VLOOKUP(A317,Database!$A:$AS,MATCH($B$1,Database!$A$1:$AS$1,0),FALSE)=0,#N/A,VLOOKUP(A317,Database!$A:$AS,MATCH($B$1,Database!$A$1:$AS$1,0),FALSE))</f>
        <v/>
      </c>
      <c r="C317" s="76">
        <f>IF(VLOOKUP(A317,Database!$A:$AS,MATCH($C$1,Database!$A$1:$AS$1,0),FALSE)=0,#N/A,VLOOKUP(A317,Database!$A:$AS,MATCH($C$1,Database!$A$1:$AS$1,0),FALSE))</f>
        <v/>
      </c>
      <c r="D317" s="76">
        <f>IF(VLOOKUP(A317,Database!$A:$AS,MATCH($D$1,Database!$A$1:$AS$1,0),FALSE)=0,#N/A,VLOOKUP(A317,Database!$A:$AS,MATCH($D$1,Database!$A$1:$AS$1,0),FALSE))</f>
        <v/>
      </c>
      <c r="E317" s="76">
        <f>IF(VLOOKUP(A317,Database!$A:$AS,MATCH($E$1,Database!$A$1:$AS$1,0),FALSE)=0,#N/A,VLOOKUP(A317,Database!$A:$AS,MATCH($E$1,Database!$A$1:$AS$1,0),FALSE))</f>
        <v/>
      </c>
      <c r="F317" s="76">
        <f>IF(VLOOKUP(A317,Database!$A:$AS,MATCH($F$1,Database!$A$1:$AS$1,0),FALSE)=0,#N/A,VLOOKUP(A317,Database!$A:$AS,MATCH($F$1,Database!$A$1:$AS$1,0),FALSE))</f>
        <v/>
      </c>
      <c r="G317" s="76">
        <f>IF(VLOOKUP(A317,Database!$A:$AS,MATCH($G$1,Database!$A$1:$AS$1,0),FALSE)=0,#N/A,VLOOKUP(A317,Database!$A:$AS,MATCH($G$1,Database!$A$1:$AS$1,0),FALSE))</f>
        <v/>
      </c>
      <c r="H317" s="76">
        <f>(((Table134567891011121314151617343[[#This Row],[ITA]]-VLOOKUP($U$1,A:B,2,))/VLOOKUP($U$1,A:B,2,))*100)+100</f>
        <v/>
      </c>
      <c r="I317" s="76">
        <f>(((Table134567891011121314151617343[[#This Row],[FRA]]-VLOOKUP($U$1,A:C,3,))/VLOOKUP($U$1,A:C,3,))*100)+100</f>
        <v/>
      </c>
      <c r="J317" s="76">
        <f>(((Table134567891011121314151617343[[#This Row],[DEU]]-VLOOKUP($U$1,A:D,4,))/VLOOKUP($U$1,A:D,4,))*100)+100</f>
        <v/>
      </c>
      <c r="K317" s="76">
        <f>(((Table134567891011121314151617343[[#This Row],[ESP]]-VLOOKUP($U$1,A:E,5,))/VLOOKUP($U$1,A:E,5,))*100)+100</f>
        <v/>
      </c>
      <c r="L317" s="76">
        <f>(((Table134567891011121314151617343[[#This Row],[EA19]]-VLOOKUP($U$1,A:F,6,))/VLOOKUP($U$1,A:F,6,))*100)+100</f>
        <v/>
      </c>
      <c r="M317" s="76">
        <f>(((Table134567891011121314151617343[[#This Row],[GBR]]-VLOOKUP($U$1,A:G,7,))/VLOOKUP($U$1,A:G,7,))*100)+100</f>
        <v/>
      </c>
      <c r="N317" s="76">
        <f>IF(VLOOKUP(A317,Database!$A:$AU,MATCH($N$1,Database!$A$1:$AU$1,0),FALSE)=0,#N/A,VLOOKUP(A317,Database!$A:$AU,MATCH($N$1,Database!$A$1:$AU$1,0),FALSE))</f>
        <v/>
      </c>
      <c r="O317" s="76">
        <f>(((Table134567891011121314151617343[[#This Row],[USA]]-VLOOKUP($U$1,A:N,14,))/VLOOKUP($U$1,A:N,14,))*100)+100</f>
        <v/>
      </c>
      <c r="P317" s="76">
        <f>IF(VLOOKUP(A317,Database!$A:$AS,MATCH($P$1,Database!$A$1:$AS$1,0),FALSE)=0,#N/A,VLOOKUP(A317,Database!$A:$AS,MATCH($P$1,Database!$A$1:$AS$1,0),FALSE))</f>
        <v/>
      </c>
      <c r="Q317" s="76">
        <f>(((Table134567891011121314151617343[[#This Row],[JPN]]-VLOOKUP($U$1,A:Q,16,))/VLOOKUP($U$1,A:Q,16,))*100)+100</f>
        <v/>
      </c>
    </row>
    <row r="318" customFormat="1" s="86">
      <c r="A318" s="21" t="n">
        <v>42491</v>
      </c>
      <c r="B318" s="76">
        <f>IF(VLOOKUP(A318,Database!$A:$AS,MATCH($B$1,Database!$A$1:$AS$1,0),FALSE)=0,#N/A,VLOOKUP(A318,Database!$A:$AS,MATCH($B$1,Database!$A$1:$AS$1,0),FALSE))</f>
        <v/>
      </c>
      <c r="C318" s="76">
        <f>IF(VLOOKUP(A318,Database!$A:$AS,MATCH($C$1,Database!$A$1:$AS$1,0),FALSE)=0,#N/A,VLOOKUP(A318,Database!$A:$AS,MATCH($C$1,Database!$A$1:$AS$1,0),FALSE))</f>
        <v/>
      </c>
      <c r="D318" s="76">
        <f>IF(VLOOKUP(A318,Database!$A:$AS,MATCH($D$1,Database!$A$1:$AS$1,0),FALSE)=0,#N/A,VLOOKUP(A318,Database!$A:$AS,MATCH($D$1,Database!$A$1:$AS$1,0),FALSE))</f>
        <v/>
      </c>
      <c r="E318" s="76">
        <f>IF(VLOOKUP(A318,Database!$A:$AS,MATCH($E$1,Database!$A$1:$AS$1,0),FALSE)=0,#N/A,VLOOKUP(A318,Database!$A:$AS,MATCH($E$1,Database!$A$1:$AS$1,0),FALSE))</f>
        <v/>
      </c>
      <c r="F318" s="76">
        <f>IF(VLOOKUP(A318,Database!$A:$AS,MATCH($F$1,Database!$A$1:$AS$1,0),FALSE)=0,#N/A,VLOOKUP(A318,Database!$A:$AS,MATCH($F$1,Database!$A$1:$AS$1,0),FALSE))</f>
        <v/>
      </c>
      <c r="G318" s="76">
        <f>IF(VLOOKUP(A318,Database!$A:$AS,MATCH($G$1,Database!$A$1:$AS$1,0),FALSE)=0,#N/A,VLOOKUP(A318,Database!$A:$AS,MATCH($G$1,Database!$A$1:$AS$1,0),FALSE))</f>
        <v/>
      </c>
      <c r="H318" s="76">
        <f>(((Table134567891011121314151617343[[#This Row],[ITA]]-VLOOKUP($U$1,A:B,2,))/VLOOKUP($U$1,A:B,2,))*100)+100</f>
        <v/>
      </c>
      <c r="I318" s="76">
        <f>(((Table134567891011121314151617343[[#This Row],[FRA]]-VLOOKUP($U$1,A:C,3,))/VLOOKUP($U$1,A:C,3,))*100)+100</f>
        <v/>
      </c>
      <c r="J318" s="76">
        <f>(((Table134567891011121314151617343[[#This Row],[DEU]]-VLOOKUP($U$1,A:D,4,))/VLOOKUP($U$1,A:D,4,))*100)+100</f>
        <v/>
      </c>
      <c r="K318" s="76">
        <f>(((Table134567891011121314151617343[[#This Row],[ESP]]-VLOOKUP($U$1,A:E,5,))/VLOOKUP($U$1,A:E,5,))*100)+100</f>
        <v/>
      </c>
      <c r="L318" s="76">
        <f>(((Table134567891011121314151617343[[#This Row],[EA19]]-VLOOKUP($U$1,A:F,6,))/VLOOKUP($U$1,A:F,6,))*100)+100</f>
        <v/>
      </c>
      <c r="M318" s="76">
        <f>(((Table134567891011121314151617343[[#This Row],[GBR]]-VLOOKUP($U$1,A:G,7,))/VLOOKUP($U$1,A:G,7,))*100)+100</f>
        <v/>
      </c>
      <c r="N318" s="76">
        <f>IF(VLOOKUP(A318,Database!$A:$AU,MATCH($N$1,Database!$A$1:$AU$1,0),FALSE)=0,#N/A,VLOOKUP(A318,Database!$A:$AU,MATCH($N$1,Database!$A$1:$AU$1,0),FALSE))</f>
        <v/>
      </c>
      <c r="O318" s="76">
        <f>(((Table134567891011121314151617343[[#This Row],[USA]]-VLOOKUP($U$1,A:N,14,))/VLOOKUP($U$1,A:N,14,))*100)+100</f>
        <v/>
      </c>
      <c r="P318" s="76">
        <f>IF(VLOOKUP(A318,Database!$A:$AS,MATCH($P$1,Database!$A$1:$AS$1,0),FALSE)=0,#N/A,VLOOKUP(A318,Database!$A:$AS,MATCH($P$1,Database!$A$1:$AS$1,0),FALSE))</f>
        <v/>
      </c>
      <c r="Q318" s="76">
        <f>(((Table134567891011121314151617343[[#This Row],[JPN]]-VLOOKUP($U$1,A:Q,16,))/VLOOKUP($U$1,A:Q,16,))*100)+100</f>
        <v/>
      </c>
    </row>
    <row r="319" customFormat="1" s="86">
      <c r="A319" s="21" t="n">
        <v>42522</v>
      </c>
      <c r="B319" s="76">
        <f>IF(VLOOKUP(A319,Database!$A:$AS,MATCH($B$1,Database!$A$1:$AS$1,0),FALSE)=0,#N/A,VLOOKUP(A319,Database!$A:$AS,MATCH($B$1,Database!$A$1:$AS$1,0),FALSE))</f>
        <v/>
      </c>
      <c r="C319" s="76">
        <f>IF(VLOOKUP(A319,Database!$A:$AS,MATCH($C$1,Database!$A$1:$AS$1,0),FALSE)=0,#N/A,VLOOKUP(A319,Database!$A:$AS,MATCH($C$1,Database!$A$1:$AS$1,0),FALSE))</f>
        <v/>
      </c>
      <c r="D319" s="76">
        <f>IF(VLOOKUP(A319,Database!$A:$AS,MATCH($D$1,Database!$A$1:$AS$1,0),FALSE)=0,#N/A,VLOOKUP(A319,Database!$A:$AS,MATCH($D$1,Database!$A$1:$AS$1,0),FALSE))</f>
        <v/>
      </c>
      <c r="E319" s="76">
        <f>IF(VLOOKUP(A319,Database!$A:$AS,MATCH($E$1,Database!$A$1:$AS$1,0),FALSE)=0,#N/A,VLOOKUP(A319,Database!$A:$AS,MATCH($E$1,Database!$A$1:$AS$1,0),FALSE))</f>
        <v/>
      </c>
      <c r="F319" s="76">
        <f>IF(VLOOKUP(A319,Database!$A:$AS,MATCH($F$1,Database!$A$1:$AS$1,0),FALSE)=0,#N/A,VLOOKUP(A319,Database!$A:$AS,MATCH($F$1,Database!$A$1:$AS$1,0),FALSE))</f>
        <v/>
      </c>
      <c r="G319" s="76">
        <f>IF(VLOOKUP(A319,Database!$A:$AS,MATCH($G$1,Database!$A$1:$AS$1,0),FALSE)=0,#N/A,VLOOKUP(A319,Database!$A:$AS,MATCH($G$1,Database!$A$1:$AS$1,0),FALSE))</f>
        <v/>
      </c>
      <c r="H319" s="76">
        <f>(((Table134567891011121314151617343[[#This Row],[ITA]]-VLOOKUP($U$1,A:B,2,))/VLOOKUP($U$1,A:B,2,))*100)+100</f>
        <v/>
      </c>
      <c r="I319" s="76">
        <f>(((Table134567891011121314151617343[[#This Row],[FRA]]-VLOOKUP($U$1,A:C,3,))/VLOOKUP($U$1,A:C,3,))*100)+100</f>
        <v/>
      </c>
      <c r="J319" s="76">
        <f>(((Table134567891011121314151617343[[#This Row],[DEU]]-VLOOKUP($U$1,A:D,4,))/VLOOKUP($U$1,A:D,4,))*100)+100</f>
        <v/>
      </c>
      <c r="K319" s="76">
        <f>(((Table134567891011121314151617343[[#This Row],[ESP]]-VLOOKUP($U$1,A:E,5,))/VLOOKUP($U$1,A:E,5,))*100)+100</f>
        <v/>
      </c>
      <c r="L319" s="76">
        <f>(((Table134567891011121314151617343[[#This Row],[EA19]]-VLOOKUP($U$1,A:F,6,))/VLOOKUP($U$1,A:F,6,))*100)+100</f>
        <v/>
      </c>
      <c r="M319" s="76">
        <f>(((Table134567891011121314151617343[[#This Row],[GBR]]-VLOOKUP($U$1,A:G,7,))/VLOOKUP($U$1,A:G,7,))*100)+100</f>
        <v/>
      </c>
      <c r="N319" s="76">
        <f>IF(VLOOKUP(A319,Database!$A:$AU,MATCH($N$1,Database!$A$1:$AU$1,0),FALSE)=0,#N/A,VLOOKUP(A319,Database!$A:$AU,MATCH($N$1,Database!$A$1:$AU$1,0),FALSE))</f>
        <v/>
      </c>
      <c r="O319" s="76">
        <f>(((Table134567891011121314151617343[[#This Row],[USA]]-VLOOKUP($U$1,A:N,14,))/VLOOKUP($U$1,A:N,14,))*100)+100</f>
        <v/>
      </c>
      <c r="P319" s="76">
        <f>IF(VLOOKUP(A319,Database!$A:$AS,MATCH($P$1,Database!$A$1:$AS$1,0),FALSE)=0,#N/A,VLOOKUP(A319,Database!$A:$AS,MATCH($P$1,Database!$A$1:$AS$1,0),FALSE))</f>
        <v/>
      </c>
      <c r="Q319" s="76">
        <f>(((Table134567891011121314151617343[[#This Row],[JPN]]-VLOOKUP($U$1,A:Q,16,))/VLOOKUP($U$1,A:Q,16,))*100)+100</f>
        <v/>
      </c>
    </row>
    <row r="320" customFormat="1" s="86">
      <c r="A320" s="21" t="n">
        <v>42552</v>
      </c>
      <c r="B320" s="76">
        <f>IF(VLOOKUP(A320,Database!$A:$AS,MATCH($B$1,Database!$A$1:$AS$1,0),FALSE)=0,#N/A,VLOOKUP(A320,Database!$A:$AS,MATCH($B$1,Database!$A$1:$AS$1,0),FALSE))</f>
        <v/>
      </c>
      <c r="C320" s="76">
        <f>IF(VLOOKUP(A320,Database!$A:$AS,MATCH($C$1,Database!$A$1:$AS$1,0),FALSE)=0,#N/A,VLOOKUP(A320,Database!$A:$AS,MATCH($C$1,Database!$A$1:$AS$1,0),FALSE))</f>
        <v/>
      </c>
      <c r="D320" s="76">
        <f>IF(VLOOKUP(A320,Database!$A:$AS,MATCH($D$1,Database!$A$1:$AS$1,0),FALSE)=0,#N/A,VLOOKUP(A320,Database!$A:$AS,MATCH($D$1,Database!$A$1:$AS$1,0),FALSE))</f>
        <v/>
      </c>
      <c r="E320" s="76">
        <f>IF(VLOOKUP(A320,Database!$A:$AS,MATCH($E$1,Database!$A$1:$AS$1,0),FALSE)=0,#N/A,VLOOKUP(A320,Database!$A:$AS,MATCH($E$1,Database!$A$1:$AS$1,0),FALSE))</f>
        <v/>
      </c>
      <c r="F320" s="76">
        <f>IF(VLOOKUP(A320,Database!$A:$AS,MATCH($F$1,Database!$A$1:$AS$1,0),FALSE)=0,#N/A,VLOOKUP(A320,Database!$A:$AS,MATCH($F$1,Database!$A$1:$AS$1,0),FALSE))</f>
        <v/>
      </c>
      <c r="G320" s="76">
        <f>IF(VLOOKUP(A320,Database!$A:$AS,MATCH($G$1,Database!$A$1:$AS$1,0),FALSE)=0,#N/A,VLOOKUP(A320,Database!$A:$AS,MATCH($G$1,Database!$A$1:$AS$1,0),FALSE))</f>
        <v/>
      </c>
      <c r="H320" s="76">
        <f>(((Table134567891011121314151617343[[#This Row],[ITA]]-VLOOKUP($U$1,A:B,2,))/VLOOKUP($U$1,A:B,2,))*100)+100</f>
        <v/>
      </c>
      <c r="I320" s="76">
        <f>(((Table134567891011121314151617343[[#This Row],[FRA]]-VLOOKUP($U$1,A:C,3,))/VLOOKUP($U$1,A:C,3,))*100)+100</f>
        <v/>
      </c>
      <c r="J320" s="76">
        <f>(((Table134567891011121314151617343[[#This Row],[DEU]]-VLOOKUP($U$1,A:D,4,))/VLOOKUP($U$1,A:D,4,))*100)+100</f>
        <v/>
      </c>
      <c r="K320" s="76">
        <f>(((Table134567891011121314151617343[[#This Row],[ESP]]-VLOOKUP($U$1,A:E,5,))/VLOOKUP($U$1,A:E,5,))*100)+100</f>
        <v/>
      </c>
      <c r="L320" s="76">
        <f>(((Table134567891011121314151617343[[#This Row],[EA19]]-VLOOKUP($U$1,A:F,6,))/VLOOKUP($U$1,A:F,6,))*100)+100</f>
        <v/>
      </c>
      <c r="M320" s="76">
        <f>(((Table134567891011121314151617343[[#This Row],[GBR]]-VLOOKUP($U$1,A:G,7,))/VLOOKUP($U$1,A:G,7,))*100)+100</f>
        <v/>
      </c>
      <c r="N320" s="76">
        <f>IF(VLOOKUP(A320,Database!$A:$AU,MATCH($N$1,Database!$A$1:$AU$1,0),FALSE)=0,#N/A,VLOOKUP(A320,Database!$A:$AU,MATCH($N$1,Database!$A$1:$AU$1,0),FALSE))</f>
        <v/>
      </c>
      <c r="O320" s="76">
        <f>(((Table134567891011121314151617343[[#This Row],[USA]]-VLOOKUP($U$1,A:N,14,))/VLOOKUP($U$1,A:N,14,))*100)+100</f>
        <v/>
      </c>
      <c r="P320" s="76">
        <f>IF(VLOOKUP(A320,Database!$A:$AS,MATCH($P$1,Database!$A$1:$AS$1,0),FALSE)=0,#N/A,VLOOKUP(A320,Database!$A:$AS,MATCH($P$1,Database!$A$1:$AS$1,0),FALSE))</f>
        <v/>
      </c>
      <c r="Q320" s="76">
        <f>(((Table134567891011121314151617343[[#This Row],[JPN]]-VLOOKUP($U$1,A:Q,16,))/VLOOKUP($U$1,A:Q,16,))*100)+100</f>
        <v/>
      </c>
    </row>
    <row r="321" customFormat="1" s="86">
      <c r="A321" s="21" t="n">
        <v>42583</v>
      </c>
      <c r="B321" s="76">
        <f>IF(VLOOKUP(A321,Database!$A:$AS,MATCH($B$1,Database!$A$1:$AS$1,0),FALSE)=0,#N/A,VLOOKUP(A321,Database!$A:$AS,MATCH($B$1,Database!$A$1:$AS$1,0),FALSE))</f>
        <v/>
      </c>
      <c r="C321" s="76">
        <f>IF(VLOOKUP(A321,Database!$A:$AS,MATCH($C$1,Database!$A$1:$AS$1,0),FALSE)=0,#N/A,VLOOKUP(A321,Database!$A:$AS,MATCH($C$1,Database!$A$1:$AS$1,0),FALSE))</f>
        <v/>
      </c>
      <c r="D321" s="76">
        <f>IF(VLOOKUP(A321,Database!$A:$AS,MATCH($D$1,Database!$A$1:$AS$1,0),FALSE)=0,#N/A,VLOOKUP(A321,Database!$A:$AS,MATCH($D$1,Database!$A$1:$AS$1,0),FALSE))</f>
        <v/>
      </c>
      <c r="E321" s="76">
        <f>IF(VLOOKUP(A321,Database!$A:$AS,MATCH($E$1,Database!$A$1:$AS$1,0),FALSE)=0,#N/A,VLOOKUP(A321,Database!$A:$AS,MATCH($E$1,Database!$A$1:$AS$1,0),FALSE))</f>
        <v/>
      </c>
      <c r="F321" s="76">
        <f>IF(VLOOKUP(A321,Database!$A:$AS,MATCH($F$1,Database!$A$1:$AS$1,0),FALSE)=0,#N/A,VLOOKUP(A321,Database!$A:$AS,MATCH($F$1,Database!$A$1:$AS$1,0),FALSE))</f>
        <v/>
      </c>
      <c r="G321" s="76">
        <f>IF(VLOOKUP(A321,Database!$A:$AS,MATCH($G$1,Database!$A$1:$AS$1,0),FALSE)=0,#N/A,VLOOKUP(A321,Database!$A:$AS,MATCH($G$1,Database!$A$1:$AS$1,0),FALSE))</f>
        <v/>
      </c>
      <c r="H321" s="76">
        <f>(((Table134567891011121314151617343[[#This Row],[ITA]]-VLOOKUP($U$1,A:B,2,))/VLOOKUP($U$1,A:B,2,))*100)+100</f>
        <v/>
      </c>
      <c r="I321" s="76">
        <f>(((Table134567891011121314151617343[[#This Row],[FRA]]-VLOOKUP($U$1,A:C,3,))/VLOOKUP($U$1,A:C,3,))*100)+100</f>
        <v/>
      </c>
      <c r="J321" s="76">
        <f>(((Table134567891011121314151617343[[#This Row],[DEU]]-VLOOKUP($U$1,A:D,4,))/VLOOKUP($U$1,A:D,4,))*100)+100</f>
        <v/>
      </c>
      <c r="K321" s="76">
        <f>(((Table134567891011121314151617343[[#This Row],[ESP]]-VLOOKUP($U$1,A:E,5,))/VLOOKUP($U$1,A:E,5,))*100)+100</f>
        <v/>
      </c>
      <c r="L321" s="76">
        <f>(((Table134567891011121314151617343[[#This Row],[EA19]]-VLOOKUP($U$1,A:F,6,))/VLOOKUP($U$1,A:F,6,))*100)+100</f>
        <v/>
      </c>
      <c r="M321" s="76">
        <f>(((Table134567891011121314151617343[[#This Row],[GBR]]-VLOOKUP($U$1,A:G,7,))/VLOOKUP($U$1,A:G,7,))*100)+100</f>
        <v/>
      </c>
      <c r="N321" s="76">
        <f>IF(VLOOKUP(A321,Database!$A:$AU,MATCH($N$1,Database!$A$1:$AU$1,0),FALSE)=0,#N/A,VLOOKUP(A321,Database!$A:$AU,MATCH($N$1,Database!$A$1:$AU$1,0),FALSE))</f>
        <v/>
      </c>
      <c r="O321" s="76">
        <f>(((Table134567891011121314151617343[[#This Row],[USA]]-VLOOKUP($U$1,A:N,14,))/VLOOKUP($U$1,A:N,14,))*100)+100</f>
        <v/>
      </c>
      <c r="P321" s="76">
        <f>IF(VLOOKUP(A321,Database!$A:$AS,MATCH($P$1,Database!$A$1:$AS$1,0),FALSE)=0,#N/A,VLOOKUP(A321,Database!$A:$AS,MATCH($P$1,Database!$A$1:$AS$1,0),FALSE))</f>
        <v/>
      </c>
      <c r="Q321" s="76">
        <f>(((Table134567891011121314151617343[[#This Row],[JPN]]-VLOOKUP($U$1,A:Q,16,))/VLOOKUP($U$1,A:Q,16,))*100)+100</f>
        <v/>
      </c>
    </row>
    <row r="322" customFormat="1" s="86">
      <c r="A322" s="21" t="n">
        <v>42614</v>
      </c>
      <c r="B322" s="76">
        <f>IF(VLOOKUP(A322,Database!$A:$AS,MATCH($B$1,Database!$A$1:$AS$1,0),FALSE)=0,#N/A,VLOOKUP(A322,Database!$A:$AS,MATCH($B$1,Database!$A$1:$AS$1,0),FALSE))</f>
        <v/>
      </c>
      <c r="C322" s="76">
        <f>IF(VLOOKUP(A322,Database!$A:$AS,MATCH($C$1,Database!$A$1:$AS$1,0),FALSE)=0,#N/A,VLOOKUP(A322,Database!$A:$AS,MATCH($C$1,Database!$A$1:$AS$1,0),FALSE))</f>
        <v/>
      </c>
      <c r="D322" s="76">
        <f>IF(VLOOKUP(A322,Database!$A:$AS,MATCH($D$1,Database!$A$1:$AS$1,0),FALSE)=0,#N/A,VLOOKUP(A322,Database!$A:$AS,MATCH($D$1,Database!$A$1:$AS$1,0),FALSE))</f>
        <v/>
      </c>
      <c r="E322" s="76">
        <f>IF(VLOOKUP(A322,Database!$A:$AS,MATCH($E$1,Database!$A$1:$AS$1,0),FALSE)=0,#N/A,VLOOKUP(A322,Database!$A:$AS,MATCH($E$1,Database!$A$1:$AS$1,0),FALSE))</f>
        <v/>
      </c>
      <c r="F322" s="76">
        <f>IF(VLOOKUP(A322,Database!$A:$AS,MATCH($F$1,Database!$A$1:$AS$1,0),FALSE)=0,#N/A,VLOOKUP(A322,Database!$A:$AS,MATCH($F$1,Database!$A$1:$AS$1,0),FALSE))</f>
        <v/>
      </c>
      <c r="G322" s="76">
        <f>IF(VLOOKUP(A322,Database!$A:$AS,MATCH($G$1,Database!$A$1:$AS$1,0),FALSE)=0,#N/A,VLOOKUP(A322,Database!$A:$AS,MATCH($G$1,Database!$A$1:$AS$1,0),FALSE))</f>
        <v/>
      </c>
      <c r="H322" s="76">
        <f>(((Table134567891011121314151617343[[#This Row],[ITA]]-VLOOKUP($U$1,A:B,2,))/VLOOKUP($U$1,A:B,2,))*100)+100</f>
        <v/>
      </c>
      <c r="I322" s="76">
        <f>(((Table134567891011121314151617343[[#This Row],[FRA]]-VLOOKUP($U$1,A:C,3,))/VLOOKUP($U$1,A:C,3,))*100)+100</f>
        <v/>
      </c>
      <c r="J322" s="76">
        <f>(((Table134567891011121314151617343[[#This Row],[DEU]]-VLOOKUP($U$1,A:D,4,))/VLOOKUP($U$1,A:D,4,))*100)+100</f>
        <v/>
      </c>
      <c r="K322" s="76">
        <f>(((Table134567891011121314151617343[[#This Row],[ESP]]-VLOOKUP($U$1,A:E,5,))/VLOOKUP($U$1,A:E,5,))*100)+100</f>
        <v/>
      </c>
      <c r="L322" s="76">
        <f>(((Table134567891011121314151617343[[#This Row],[EA19]]-VLOOKUP($U$1,A:F,6,))/VLOOKUP($U$1,A:F,6,))*100)+100</f>
        <v/>
      </c>
      <c r="M322" s="76">
        <f>(((Table134567891011121314151617343[[#This Row],[GBR]]-VLOOKUP($U$1,A:G,7,))/VLOOKUP($U$1,A:G,7,))*100)+100</f>
        <v/>
      </c>
      <c r="N322" s="76">
        <f>IF(VLOOKUP(A322,Database!$A:$AU,MATCH($N$1,Database!$A$1:$AU$1,0),FALSE)=0,#N/A,VLOOKUP(A322,Database!$A:$AU,MATCH($N$1,Database!$A$1:$AU$1,0),FALSE))</f>
        <v/>
      </c>
      <c r="O322" s="76">
        <f>(((Table134567891011121314151617343[[#This Row],[USA]]-VLOOKUP($U$1,A:N,14,))/VLOOKUP($U$1,A:N,14,))*100)+100</f>
        <v/>
      </c>
      <c r="P322" s="76">
        <f>IF(VLOOKUP(A322,Database!$A:$AS,MATCH($P$1,Database!$A$1:$AS$1,0),FALSE)=0,#N/A,VLOOKUP(A322,Database!$A:$AS,MATCH($P$1,Database!$A$1:$AS$1,0),FALSE))</f>
        <v/>
      </c>
      <c r="Q322" s="76">
        <f>(((Table134567891011121314151617343[[#This Row],[JPN]]-VLOOKUP($U$1,A:Q,16,))/VLOOKUP($U$1,A:Q,16,))*100)+100</f>
        <v/>
      </c>
    </row>
    <row r="323" customFormat="1" s="86">
      <c r="A323" s="21" t="n">
        <v>42644</v>
      </c>
      <c r="B323" s="76">
        <f>IF(VLOOKUP(A323,Database!$A:$AS,MATCH($B$1,Database!$A$1:$AS$1,0),FALSE)=0,#N/A,VLOOKUP(A323,Database!$A:$AS,MATCH($B$1,Database!$A$1:$AS$1,0),FALSE))</f>
        <v/>
      </c>
      <c r="C323" s="76">
        <f>IF(VLOOKUP(A323,Database!$A:$AS,MATCH($C$1,Database!$A$1:$AS$1,0),FALSE)=0,#N/A,VLOOKUP(A323,Database!$A:$AS,MATCH($C$1,Database!$A$1:$AS$1,0),FALSE))</f>
        <v/>
      </c>
      <c r="D323" s="76">
        <f>IF(VLOOKUP(A323,Database!$A:$AS,MATCH($D$1,Database!$A$1:$AS$1,0),FALSE)=0,#N/A,VLOOKUP(A323,Database!$A:$AS,MATCH($D$1,Database!$A$1:$AS$1,0),FALSE))</f>
        <v/>
      </c>
      <c r="E323" s="76">
        <f>IF(VLOOKUP(A323,Database!$A:$AS,MATCH($E$1,Database!$A$1:$AS$1,0),FALSE)=0,#N/A,VLOOKUP(A323,Database!$A:$AS,MATCH($E$1,Database!$A$1:$AS$1,0),FALSE))</f>
        <v/>
      </c>
      <c r="F323" s="76">
        <f>IF(VLOOKUP(A323,Database!$A:$AS,MATCH($F$1,Database!$A$1:$AS$1,0),FALSE)=0,#N/A,VLOOKUP(A323,Database!$A:$AS,MATCH($F$1,Database!$A$1:$AS$1,0),FALSE))</f>
        <v/>
      </c>
      <c r="G323" s="76">
        <f>IF(VLOOKUP(A323,Database!$A:$AS,MATCH($G$1,Database!$A$1:$AS$1,0),FALSE)=0,#N/A,VLOOKUP(A323,Database!$A:$AS,MATCH($G$1,Database!$A$1:$AS$1,0),FALSE))</f>
        <v/>
      </c>
      <c r="H323" s="76">
        <f>(((Table134567891011121314151617343[[#This Row],[ITA]]-VLOOKUP($U$1,A:B,2,))/VLOOKUP($U$1,A:B,2,))*100)+100</f>
        <v/>
      </c>
      <c r="I323" s="76">
        <f>(((Table134567891011121314151617343[[#This Row],[FRA]]-VLOOKUP($U$1,A:C,3,))/VLOOKUP($U$1,A:C,3,))*100)+100</f>
        <v/>
      </c>
      <c r="J323" s="76">
        <f>(((Table134567891011121314151617343[[#This Row],[DEU]]-VLOOKUP($U$1,A:D,4,))/VLOOKUP($U$1,A:D,4,))*100)+100</f>
        <v/>
      </c>
      <c r="K323" s="76">
        <f>(((Table134567891011121314151617343[[#This Row],[ESP]]-VLOOKUP($U$1,A:E,5,))/VLOOKUP($U$1,A:E,5,))*100)+100</f>
        <v/>
      </c>
      <c r="L323" s="76">
        <f>(((Table134567891011121314151617343[[#This Row],[EA19]]-VLOOKUP($U$1,A:F,6,))/VLOOKUP($U$1,A:F,6,))*100)+100</f>
        <v/>
      </c>
      <c r="M323" s="76">
        <f>(((Table134567891011121314151617343[[#This Row],[GBR]]-VLOOKUP($U$1,A:G,7,))/VLOOKUP($U$1,A:G,7,))*100)+100</f>
        <v/>
      </c>
      <c r="N323" s="76">
        <f>IF(VLOOKUP(A323,Database!$A:$AU,MATCH($N$1,Database!$A$1:$AU$1,0),FALSE)=0,#N/A,VLOOKUP(A323,Database!$A:$AU,MATCH($N$1,Database!$A$1:$AU$1,0),FALSE))</f>
        <v/>
      </c>
      <c r="O323" s="76">
        <f>(((Table134567891011121314151617343[[#This Row],[USA]]-VLOOKUP($U$1,A:N,14,))/VLOOKUP($U$1,A:N,14,))*100)+100</f>
        <v/>
      </c>
      <c r="P323" s="76">
        <f>IF(VLOOKUP(A323,Database!$A:$AS,MATCH($P$1,Database!$A$1:$AS$1,0),FALSE)=0,#N/A,VLOOKUP(A323,Database!$A:$AS,MATCH($P$1,Database!$A$1:$AS$1,0),FALSE))</f>
        <v/>
      </c>
      <c r="Q323" s="76">
        <f>(((Table134567891011121314151617343[[#This Row],[JPN]]-VLOOKUP($U$1,A:Q,16,))/VLOOKUP($U$1,A:Q,16,))*100)+100</f>
        <v/>
      </c>
    </row>
    <row r="324" customFormat="1" s="86">
      <c r="A324" s="21" t="n">
        <v>42675</v>
      </c>
      <c r="B324" s="76">
        <f>IF(VLOOKUP(A324,Database!$A:$AS,MATCH($B$1,Database!$A$1:$AS$1,0),FALSE)=0,#N/A,VLOOKUP(A324,Database!$A:$AS,MATCH($B$1,Database!$A$1:$AS$1,0),FALSE))</f>
        <v/>
      </c>
      <c r="C324" s="76">
        <f>IF(VLOOKUP(A324,Database!$A:$AS,MATCH($C$1,Database!$A$1:$AS$1,0),FALSE)=0,#N/A,VLOOKUP(A324,Database!$A:$AS,MATCH($C$1,Database!$A$1:$AS$1,0),FALSE))</f>
        <v/>
      </c>
      <c r="D324" s="76">
        <f>IF(VLOOKUP(A324,Database!$A:$AS,MATCH($D$1,Database!$A$1:$AS$1,0),FALSE)=0,#N/A,VLOOKUP(A324,Database!$A:$AS,MATCH($D$1,Database!$A$1:$AS$1,0),FALSE))</f>
        <v/>
      </c>
      <c r="E324" s="76">
        <f>IF(VLOOKUP(A324,Database!$A:$AS,MATCH($E$1,Database!$A$1:$AS$1,0),FALSE)=0,#N/A,VLOOKUP(A324,Database!$A:$AS,MATCH($E$1,Database!$A$1:$AS$1,0),FALSE))</f>
        <v/>
      </c>
      <c r="F324" s="76">
        <f>IF(VLOOKUP(A324,Database!$A:$AS,MATCH($F$1,Database!$A$1:$AS$1,0),FALSE)=0,#N/A,VLOOKUP(A324,Database!$A:$AS,MATCH($F$1,Database!$A$1:$AS$1,0),FALSE))</f>
        <v/>
      </c>
      <c r="G324" s="76">
        <f>IF(VLOOKUP(A324,Database!$A:$AS,MATCH($G$1,Database!$A$1:$AS$1,0),FALSE)=0,#N/A,VLOOKUP(A324,Database!$A:$AS,MATCH($G$1,Database!$A$1:$AS$1,0),FALSE))</f>
        <v/>
      </c>
      <c r="H324" s="76">
        <f>(((Table134567891011121314151617343[[#This Row],[ITA]]-VLOOKUP($U$1,A:B,2,))/VLOOKUP($U$1,A:B,2,))*100)+100</f>
        <v/>
      </c>
      <c r="I324" s="76">
        <f>(((Table134567891011121314151617343[[#This Row],[FRA]]-VLOOKUP($U$1,A:C,3,))/VLOOKUP($U$1,A:C,3,))*100)+100</f>
        <v/>
      </c>
      <c r="J324" s="76">
        <f>(((Table134567891011121314151617343[[#This Row],[DEU]]-VLOOKUP($U$1,A:D,4,))/VLOOKUP($U$1,A:D,4,))*100)+100</f>
        <v/>
      </c>
      <c r="K324" s="76">
        <f>(((Table134567891011121314151617343[[#This Row],[ESP]]-VLOOKUP($U$1,A:E,5,))/VLOOKUP($U$1,A:E,5,))*100)+100</f>
        <v/>
      </c>
      <c r="L324" s="76">
        <f>(((Table134567891011121314151617343[[#This Row],[EA19]]-VLOOKUP($U$1,A:F,6,))/VLOOKUP($U$1,A:F,6,))*100)+100</f>
        <v/>
      </c>
      <c r="M324" s="76">
        <f>(((Table134567891011121314151617343[[#This Row],[GBR]]-VLOOKUP($U$1,A:G,7,))/VLOOKUP($U$1,A:G,7,))*100)+100</f>
        <v/>
      </c>
      <c r="N324" s="76">
        <f>IF(VLOOKUP(A324,Database!$A:$AU,MATCH($N$1,Database!$A$1:$AU$1,0),FALSE)=0,#N/A,VLOOKUP(A324,Database!$A:$AU,MATCH($N$1,Database!$A$1:$AU$1,0),FALSE))</f>
        <v/>
      </c>
      <c r="O324" s="76">
        <f>(((Table134567891011121314151617343[[#This Row],[USA]]-VLOOKUP($U$1,A:N,14,))/VLOOKUP($U$1,A:N,14,))*100)+100</f>
        <v/>
      </c>
      <c r="P324" s="76">
        <f>IF(VLOOKUP(A324,Database!$A:$AS,MATCH($P$1,Database!$A$1:$AS$1,0),FALSE)=0,#N/A,VLOOKUP(A324,Database!$A:$AS,MATCH($P$1,Database!$A$1:$AS$1,0),FALSE))</f>
        <v/>
      </c>
      <c r="Q324" s="76">
        <f>(((Table134567891011121314151617343[[#This Row],[JPN]]-VLOOKUP($U$1,A:Q,16,))/VLOOKUP($U$1,A:Q,16,))*100)+100</f>
        <v/>
      </c>
    </row>
    <row r="325" customFormat="1" s="86">
      <c r="A325" s="21" t="n">
        <v>42705</v>
      </c>
      <c r="B325" s="76">
        <f>IF(VLOOKUP(A325,Database!$A:$AS,MATCH($B$1,Database!$A$1:$AS$1,0),FALSE)=0,#N/A,VLOOKUP(A325,Database!$A:$AS,MATCH($B$1,Database!$A$1:$AS$1,0),FALSE))</f>
        <v/>
      </c>
      <c r="C325" s="76">
        <f>IF(VLOOKUP(A325,Database!$A:$AS,MATCH($C$1,Database!$A$1:$AS$1,0),FALSE)=0,#N/A,VLOOKUP(A325,Database!$A:$AS,MATCH($C$1,Database!$A$1:$AS$1,0),FALSE))</f>
        <v/>
      </c>
      <c r="D325" s="76">
        <f>IF(VLOOKUP(A325,Database!$A:$AS,MATCH($D$1,Database!$A$1:$AS$1,0),FALSE)=0,#N/A,VLOOKUP(A325,Database!$A:$AS,MATCH($D$1,Database!$A$1:$AS$1,0),FALSE))</f>
        <v/>
      </c>
      <c r="E325" s="76">
        <f>IF(VLOOKUP(A325,Database!$A:$AS,MATCH($E$1,Database!$A$1:$AS$1,0),FALSE)=0,#N/A,VLOOKUP(A325,Database!$A:$AS,MATCH($E$1,Database!$A$1:$AS$1,0),FALSE))</f>
        <v/>
      </c>
      <c r="F325" s="76">
        <f>IF(VLOOKUP(A325,Database!$A:$AS,MATCH($F$1,Database!$A$1:$AS$1,0),FALSE)=0,#N/A,VLOOKUP(A325,Database!$A:$AS,MATCH($F$1,Database!$A$1:$AS$1,0),FALSE))</f>
        <v/>
      </c>
      <c r="G325" s="76">
        <f>IF(VLOOKUP(A325,Database!$A:$AS,MATCH($G$1,Database!$A$1:$AS$1,0),FALSE)=0,#N/A,VLOOKUP(A325,Database!$A:$AS,MATCH($G$1,Database!$A$1:$AS$1,0),FALSE))</f>
        <v/>
      </c>
      <c r="H325" s="76">
        <f>(((Table134567891011121314151617343[[#This Row],[ITA]]-VLOOKUP($U$1,A:B,2,))/VLOOKUP($U$1,A:B,2,))*100)+100</f>
        <v/>
      </c>
      <c r="I325" s="76">
        <f>(((Table134567891011121314151617343[[#This Row],[FRA]]-VLOOKUP($U$1,A:C,3,))/VLOOKUP($U$1,A:C,3,))*100)+100</f>
        <v/>
      </c>
      <c r="J325" s="76">
        <f>(((Table134567891011121314151617343[[#This Row],[DEU]]-VLOOKUP($U$1,A:D,4,))/VLOOKUP($U$1,A:D,4,))*100)+100</f>
        <v/>
      </c>
      <c r="K325" s="76">
        <f>(((Table134567891011121314151617343[[#This Row],[ESP]]-VLOOKUP($U$1,A:E,5,))/VLOOKUP($U$1,A:E,5,))*100)+100</f>
        <v/>
      </c>
      <c r="L325" s="76">
        <f>(((Table134567891011121314151617343[[#This Row],[EA19]]-VLOOKUP($U$1,A:F,6,))/VLOOKUP($U$1,A:F,6,))*100)+100</f>
        <v/>
      </c>
      <c r="M325" s="76">
        <f>(((Table134567891011121314151617343[[#This Row],[GBR]]-VLOOKUP($U$1,A:G,7,))/VLOOKUP($U$1,A:G,7,))*100)+100</f>
        <v/>
      </c>
      <c r="N325" s="76">
        <f>IF(VLOOKUP(A325,Database!$A:$AU,MATCH($N$1,Database!$A$1:$AU$1,0),FALSE)=0,#N/A,VLOOKUP(A325,Database!$A:$AU,MATCH($N$1,Database!$A$1:$AU$1,0),FALSE))</f>
        <v/>
      </c>
      <c r="O325" s="76">
        <f>(((Table134567891011121314151617343[[#This Row],[USA]]-VLOOKUP($U$1,A:N,14,))/VLOOKUP($U$1,A:N,14,))*100)+100</f>
        <v/>
      </c>
      <c r="P325" s="76">
        <f>IF(VLOOKUP(A325,Database!$A:$AS,MATCH($P$1,Database!$A$1:$AS$1,0),FALSE)=0,#N/A,VLOOKUP(A325,Database!$A:$AS,MATCH($P$1,Database!$A$1:$AS$1,0),FALSE))</f>
        <v/>
      </c>
      <c r="Q325" s="76">
        <f>(((Table134567891011121314151617343[[#This Row],[JPN]]-VLOOKUP($U$1,A:Q,16,))/VLOOKUP($U$1,A:Q,16,))*100)+100</f>
        <v/>
      </c>
    </row>
    <row r="326" customFormat="1" s="86">
      <c r="A326" s="21" t="n">
        <v>42736</v>
      </c>
      <c r="B326" s="76">
        <f>IF(VLOOKUP(A326,Database!$A:$AS,MATCH($B$1,Database!$A$1:$AS$1,0),FALSE)=0,#N/A,VLOOKUP(A326,Database!$A:$AS,MATCH($B$1,Database!$A$1:$AS$1,0),FALSE))</f>
        <v/>
      </c>
      <c r="C326" s="76">
        <f>IF(VLOOKUP(A326,Database!$A:$AS,MATCH($C$1,Database!$A$1:$AS$1,0),FALSE)=0,#N/A,VLOOKUP(A326,Database!$A:$AS,MATCH($C$1,Database!$A$1:$AS$1,0),FALSE))</f>
        <v/>
      </c>
      <c r="D326" s="76">
        <f>IF(VLOOKUP(A326,Database!$A:$AS,MATCH($D$1,Database!$A$1:$AS$1,0),FALSE)=0,#N/A,VLOOKUP(A326,Database!$A:$AS,MATCH($D$1,Database!$A$1:$AS$1,0),FALSE))</f>
        <v/>
      </c>
      <c r="E326" s="76">
        <f>IF(VLOOKUP(A326,Database!$A:$AS,MATCH($E$1,Database!$A$1:$AS$1,0),FALSE)=0,#N/A,VLOOKUP(A326,Database!$A:$AS,MATCH($E$1,Database!$A$1:$AS$1,0),FALSE))</f>
        <v/>
      </c>
      <c r="F326" s="76">
        <f>IF(VLOOKUP(A326,Database!$A:$AS,MATCH($F$1,Database!$A$1:$AS$1,0),FALSE)=0,#N/A,VLOOKUP(A326,Database!$A:$AS,MATCH($F$1,Database!$A$1:$AS$1,0),FALSE))</f>
        <v/>
      </c>
      <c r="G326" s="76">
        <f>IF(VLOOKUP(A326,Database!$A:$AS,MATCH($G$1,Database!$A$1:$AS$1,0),FALSE)=0,#N/A,VLOOKUP(A326,Database!$A:$AS,MATCH($G$1,Database!$A$1:$AS$1,0),FALSE))</f>
        <v/>
      </c>
      <c r="H326" s="76">
        <f>(((Table134567891011121314151617343[[#This Row],[ITA]]-VLOOKUP($U$1,A:B,2,))/VLOOKUP($U$1,A:B,2,))*100)+100</f>
        <v/>
      </c>
      <c r="I326" s="76">
        <f>(((Table134567891011121314151617343[[#This Row],[FRA]]-VLOOKUP($U$1,A:C,3,))/VLOOKUP($U$1,A:C,3,))*100)+100</f>
        <v/>
      </c>
      <c r="J326" s="76">
        <f>(((Table134567891011121314151617343[[#This Row],[DEU]]-VLOOKUP($U$1,A:D,4,))/VLOOKUP($U$1,A:D,4,))*100)+100</f>
        <v/>
      </c>
      <c r="K326" s="76">
        <f>(((Table134567891011121314151617343[[#This Row],[ESP]]-VLOOKUP($U$1,A:E,5,))/VLOOKUP($U$1,A:E,5,))*100)+100</f>
        <v/>
      </c>
      <c r="L326" s="76">
        <f>(((Table134567891011121314151617343[[#This Row],[EA19]]-VLOOKUP($U$1,A:F,6,))/VLOOKUP($U$1,A:F,6,))*100)+100</f>
        <v/>
      </c>
      <c r="M326" s="76">
        <f>(((Table134567891011121314151617343[[#This Row],[GBR]]-VLOOKUP($U$1,A:G,7,))/VLOOKUP($U$1,A:G,7,))*100)+100</f>
        <v/>
      </c>
      <c r="N326" s="76">
        <f>IF(VLOOKUP(A326,Database!$A:$AU,MATCH($N$1,Database!$A$1:$AU$1,0),FALSE)=0,#N/A,VLOOKUP(A326,Database!$A:$AU,MATCH($N$1,Database!$A$1:$AU$1,0),FALSE))</f>
        <v/>
      </c>
      <c r="O326" s="76">
        <f>(((Table134567891011121314151617343[[#This Row],[USA]]-VLOOKUP($U$1,A:N,14,))/VLOOKUP($U$1,A:N,14,))*100)+100</f>
        <v/>
      </c>
      <c r="P326" s="76">
        <f>IF(VLOOKUP(A326,Database!$A:$AS,MATCH($P$1,Database!$A$1:$AS$1,0),FALSE)=0,#N/A,VLOOKUP(A326,Database!$A:$AS,MATCH($P$1,Database!$A$1:$AS$1,0),FALSE))</f>
        <v/>
      </c>
      <c r="Q326" s="76">
        <f>(((Table134567891011121314151617343[[#This Row],[JPN]]-VLOOKUP($U$1,A:Q,16,))/VLOOKUP($U$1,A:Q,16,))*100)+100</f>
        <v/>
      </c>
    </row>
    <row r="327" customFormat="1" s="86">
      <c r="A327" s="21" t="n">
        <v>42767</v>
      </c>
      <c r="B327" s="76">
        <f>IF(VLOOKUP(A327,Database!$A:$AS,MATCH($B$1,Database!$A$1:$AS$1,0),FALSE)=0,#N/A,VLOOKUP(A327,Database!$A:$AS,MATCH($B$1,Database!$A$1:$AS$1,0),FALSE))</f>
        <v/>
      </c>
      <c r="C327" s="76">
        <f>IF(VLOOKUP(A327,Database!$A:$AS,MATCH($C$1,Database!$A$1:$AS$1,0),FALSE)=0,#N/A,VLOOKUP(A327,Database!$A:$AS,MATCH($C$1,Database!$A$1:$AS$1,0),FALSE))</f>
        <v/>
      </c>
      <c r="D327" s="76">
        <f>IF(VLOOKUP(A327,Database!$A:$AS,MATCH($D$1,Database!$A$1:$AS$1,0),FALSE)=0,#N/A,VLOOKUP(A327,Database!$A:$AS,MATCH($D$1,Database!$A$1:$AS$1,0),FALSE))</f>
        <v/>
      </c>
      <c r="E327" s="76">
        <f>IF(VLOOKUP(A327,Database!$A:$AS,MATCH($E$1,Database!$A$1:$AS$1,0),FALSE)=0,#N/A,VLOOKUP(A327,Database!$A:$AS,MATCH($E$1,Database!$A$1:$AS$1,0),FALSE))</f>
        <v/>
      </c>
      <c r="F327" s="76">
        <f>IF(VLOOKUP(A327,Database!$A:$AS,MATCH($F$1,Database!$A$1:$AS$1,0),FALSE)=0,#N/A,VLOOKUP(A327,Database!$A:$AS,MATCH($F$1,Database!$A$1:$AS$1,0),FALSE))</f>
        <v/>
      </c>
      <c r="G327" s="76">
        <f>IF(VLOOKUP(A327,Database!$A:$AS,MATCH($G$1,Database!$A$1:$AS$1,0),FALSE)=0,#N/A,VLOOKUP(A327,Database!$A:$AS,MATCH($G$1,Database!$A$1:$AS$1,0),FALSE))</f>
        <v/>
      </c>
      <c r="H327" s="76">
        <f>(((Table134567891011121314151617343[[#This Row],[ITA]]-VLOOKUP($U$1,A:B,2,))/VLOOKUP($U$1,A:B,2,))*100)+100</f>
        <v/>
      </c>
      <c r="I327" s="76">
        <f>(((Table134567891011121314151617343[[#This Row],[FRA]]-VLOOKUP($U$1,A:C,3,))/VLOOKUP($U$1,A:C,3,))*100)+100</f>
        <v/>
      </c>
      <c r="J327" s="76">
        <f>(((Table134567891011121314151617343[[#This Row],[DEU]]-VLOOKUP($U$1,A:D,4,))/VLOOKUP($U$1,A:D,4,))*100)+100</f>
        <v/>
      </c>
      <c r="K327" s="76">
        <f>(((Table134567891011121314151617343[[#This Row],[ESP]]-VLOOKUP($U$1,A:E,5,))/VLOOKUP($U$1,A:E,5,))*100)+100</f>
        <v/>
      </c>
      <c r="L327" s="76">
        <f>(((Table134567891011121314151617343[[#This Row],[EA19]]-VLOOKUP($U$1,A:F,6,))/VLOOKUP($U$1,A:F,6,))*100)+100</f>
        <v/>
      </c>
      <c r="M327" s="76">
        <f>(((Table134567891011121314151617343[[#This Row],[GBR]]-VLOOKUP($U$1,A:G,7,))/VLOOKUP($U$1,A:G,7,))*100)+100</f>
        <v/>
      </c>
      <c r="N327" s="76">
        <f>IF(VLOOKUP(A327,Database!$A:$AU,MATCH($N$1,Database!$A$1:$AU$1,0),FALSE)=0,#N/A,VLOOKUP(A327,Database!$A:$AU,MATCH($N$1,Database!$A$1:$AU$1,0),FALSE))</f>
        <v/>
      </c>
      <c r="O327" s="76">
        <f>(((Table134567891011121314151617343[[#This Row],[USA]]-VLOOKUP($U$1,A:N,14,))/VLOOKUP($U$1,A:N,14,))*100)+100</f>
        <v/>
      </c>
      <c r="P327" s="76">
        <f>IF(VLOOKUP(A327,Database!$A:$AS,MATCH($P$1,Database!$A$1:$AS$1,0),FALSE)=0,#N/A,VLOOKUP(A327,Database!$A:$AS,MATCH($P$1,Database!$A$1:$AS$1,0),FALSE))</f>
        <v/>
      </c>
      <c r="Q327" s="76">
        <f>(((Table134567891011121314151617343[[#This Row],[JPN]]-VLOOKUP($U$1,A:Q,16,))/VLOOKUP($U$1,A:Q,16,))*100)+100</f>
        <v/>
      </c>
    </row>
    <row r="328" customFormat="1" s="86">
      <c r="A328" s="21" t="n">
        <v>42795</v>
      </c>
      <c r="B328" s="76">
        <f>IF(VLOOKUP(A328,Database!$A:$AS,MATCH($B$1,Database!$A$1:$AS$1,0),FALSE)=0,#N/A,VLOOKUP(A328,Database!$A:$AS,MATCH($B$1,Database!$A$1:$AS$1,0),FALSE))</f>
        <v/>
      </c>
      <c r="C328" s="76">
        <f>IF(VLOOKUP(A328,Database!$A:$AS,MATCH($C$1,Database!$A$1:$AS$1,0),FALSE)=0,#N/A,VLOOKUP(A328,Database!$A:$AS,MATCH($C$1,Database!$A$1:$AS$1,0),FALSE))</f>
        <v/>
      </c>
      <c r="D328" s="76">
        <f>IF(VLOOKUP(A328,Database!$A:$AS,MATCH($D$1,Database!$A$1:$AS$1,0),FALSE)=0,#N/A,VLOOKUP(A328,Database!$A:$AS,MATCH($D$1,Database!$A$1:$AS$1,0),FALSE))</f>
        <v/>
      </c>
      <c r="E328" s="76">
        <f>IF(VLOOKUP(A328,Database!$A:$AS,MATCH($E$1,Database!$A$1:$AS$1,0),FALSE)=0,#N/A,VLOOKUP(A328,Database!$A:$AS,MATCH($E$1,Database!$A$1:$AS$1,0),FALSE))</f>
        <v/>
      </c>
      <c r="F328" s="76">
        <f>IF(VLOOKUP(A328,Database!$A:$AS,MATCH($F$1,Database!$A$1:$AS$1,0),FALSE)=0,#N/A,VLOOKUP(A328,Database!$A:$AS,MATCH($F$1,Database!$A$1:$AS$1,0),FALSE))</f>
        <v/>
      </c>
      <c r="G328" s="76">
        <f>IF(VLOOKUP(A328,Database!$A:$AS,MATCH($G$1,Database!$A$1:$AS$1,0),FALSE)=0,#N/A,VLOOKUP(A328,Database!$A:$AS,MATCH($G$1,Database!$A$1:$AS$1,0),FALSE))</f>
        <v/>
      </c>
      <c r="H328" s="76">
        <f>(((Table134567891011121314151617343[[#This Row],[ITA]]-VLOOKUP($U$1,A:B,2,))/VLOOKUP($U$1,A:B,2,))*100)+100</f>
        <v/>
      </c>
      <c r="I328" s="76">
        <f>(((Table134567891011121314151617343[[#This Row],[FRA]]-VLOOKUP($U$1,A:C,3,))/VLOOKUP($U$1,A:C,3,))*100)+100</f>
        <v/>
      </c>
      <c r="J328" s="76">
        <f>(((Table134567891011121314151617343[[#This Row],[DEU]]-VLOOKUP($U$1,A:D,4,))/VLOOKUP($U$1,A:D,4,))*100)+100</f>
        <v/>
      </c>
      <c r="K328" s="76">
        <f>(((Table134567891011121314151617343[[#This Row],[ESP]]-VLOOKUP($U$1,A:E,5,))/VLOOKUP($U$1,A:E,5,))*100)+100</f>
        <v/>
      </c>
      <c r="L328" s="76">
        <f>(((Table134567891011121314151617343[[#This Row],[EA19]]-VLOOKUP($U$1,A:F,6,))/VLOOKUP($U$1,A:F,6,))*100)+100</f>
        <v/>
      </c>
      <c r="M328" s="76">
        <f>(((Table134567891011121314151617343[[#This Row],[GBR]]-VLOOKUP($U$1,A:G,7,))/VLOOKUP($U$1,A:G,7,))*100)+100</f>
        <v/>
      </c>
      <c r="N328" s="76">
        <f>IF(VLOOKUP(A328,Database!$A:$AU,MATCH($N$1,Database!$A$1:$AU$1,0),FALSE)=0,#N/A,VLOOKUP(A328,Database!$A:$AU,MATCH($N$1,Database!$A$1:$AU$1,0),FALSE))</f>
        <v/>
      </c>
      <c r="O328" s="76">
        <f>(((Table134567891011121314151617343[[#This Row],[USA]]-VLOOKUP($U$1,A:N,14,))/VLOOKUP($U$1,A:N,14,))*100)+100</f>
        <v/>
      </c>
      <c r="P328" s="76">
        <f>IF(VLOOKUP(A328,Database!$A:$AS,MATCH($P$1,Database!$A$1:$AS$1,0),FALSE)=0,#N/A,VLOOKUP(A328,Database!$A:$AS,MATCH($P$1,Database!$A$1:$AS$1,0),FALSE))</f>
        <v/>
      </c>
      <c r="Q328" s="76">
        <f>(((Table134567891011121314151617343[[#This Row],[JPN]]-VLOOKUP($U$1,A:Q,16,))/VLOOKUP($U$1,A:Q,16,))*100)+100</f>
        <v/>
      </c>
    </row>
    <row r="329" customFormat="1" s="86">
      <c r="A329" s="21" t="n">
        <v>42826</v>
      </c>
      <c r="B329" s="76">
        <f>IF(VLOOKUP(A329,Database!$A:$AS,MATCH($B$1,Database!$A$1:$AS$1,0),FALSE)=0,#N/A,VLOOKUP(A329,Database!$A:$AS,MATCH($B$1,Database!$A$1:$AS$1,0),FALSE))</f>
        <v/>
      </c>
      <c r="C329" s="76">
        <f>IF(VLOOKUP(A329,Database!$A:$AS,MATCH($C$1,Database!$A$1:$AS$1,0),FALSE)=0,#N/A,VLOOKUP(A329,Database!$A:$AS,MATCH($C$1,Database!$A$1:$AS$1,0),FALSE))</f>
        <v/>
      </c>
      <c r="D329" s="76">
        <f>IF(VLOOKUP(A329,Database!$A:$AS,MATCH($D$1,Database!$A$1:$AS$1,0),FALSE)=0,#N/A,VLOOKUP(A329,Database!$A:$AS,MATCH($D$1,Database!$A$1:$AS$1,0),FALSE))</f>
        <v/>
      </c>
      <c r="E329" s="76">
        <f>IF(VLOOKUP(A329,Database!$A:$AS,MATCH($E$1,Database!$A$1:$AS$1,0),FALSE)=0,#N/A,VLOOKUP(A329,Database!$A:$AS,MATCH($E$1,Database!$A$1:$AS$1,0),FALSE))</f>
        <v/>
      </c>
      <c r="F329" s="76">
        <f>IF(VLOOKUP(A329,Database!$A:$AS,MATCH($F$1,Database!$A$1:$AS$1,0),FALSE)=0,#N/A,VLOOKUP(A329,Database!$A:$AS,MATCH($F$1,Database!$A$1:$AS$1,0),FALSE))</f>
        <v/>
      </c>
      <c r="G329" s="76">
        <f>IF(VLOOKUP(A329,Database!$A:$AS,MATCH($G$1,Database!$A$1:$AS$1,0),FALSE)=0,#N/A,VLOOKUP(A329,Database!$A:$AS,MATCH($G$1,Database!$A$1:$AS$1,0),FALSE))</f>
        <v/>
      </c>
      <c r="H329" s="76">
        <f>(((Table134567891011121314151617343[[#This Row],[ITA]]-VLOOKUP($U$1,A:B,2,))/VLOOKUP($U$1,A:B,2,))*100)+100</f>
        <v/>
      </c>
      <c r="I329" s="76">
        <f>(((Table134567891011121314151617343[[#This Row],[FRA]]-VLOOKUP($U$1,A:C,3,))/VLOOKUP($U$1,A:C,3,))*100)+100</f>
        <v/>
      </c>
      <c r="J329" s="76">
        <f>(((Table134567891011121314151617343[[#This Row],[DEU]]-VLOOKUP($U$1,A:D,4,))/VLOOKUP($U$1,A:D,4,))*100)+100</f>
        <v/>
      </c>
      <c r="K329" s="76">
        <f>(((Table134567891011121314151617343[[#This Row],[ESP]]-VLOOKUP($U$1,A:E,5,))/VLOOKUP($U$1,A:E,5,))*100)+100</f>
        <v/>
      </c>
      <c r="L329" s="76">
        <f>(((Table134567891011121314151617343[[#This Row],[EA19]]-VLOOKUP($U$1,A:F,6,))/VLOOKUP($U$1,A:F,6,))*100)+100</f>
        <v/>
      </c>
      <c r="M329" s="76">
        <f>(((Table134567891011121314151617343[[#This Row],[GBR]]-VLOOKUP($U$1,A:G,7,))/VLOOKUP($U$1,A:G,7,))*100)+100</f>
        <v/>
      </c>
      <c r="N329" s="76">
        <f>IF(VLOOKUP(A329,Database!$A:$AU,MATCH($N$1,Database!$A$1:$AU$1,0),FALSE)=0,#N/A,VLOOKUP(A329,Database!$A:$AU,MATCH($N$1,Database!$A$1:$AU$1,0),FALSE))</f>
        <v/>
      </c>
      <c r="O329" s="76">
        <f>(((Table134567891011121314151617343[[#This Row],[USA]]-VLOOKUP($U$1,A:N,14,))/VLOOKUP($U$1,A:N,14,))*100)+100</f>
        <v/>
      </c>
      <c r="P329" s="76">
        <f>IF(VLOOKUP(A329,Database!$A:$AS,MATCH($P$1,Database!$A$1:$AS$1,0),FALSE)=0,#N/A,VLOOKUP(A329,Database!$A:$AS,MATCH($P$1,Database!$A$1:$AS$1,0),FALSE))</f>
        <v/>
      </c>
      <c r="Q329" s="76">
        <f>(((Table134567891011121314151617343[[#This Row],[JPN]]-VLOOKUP($U$1,A:Q,16,))/VLOOKUP($U$1,A:Q,16,))*100)+100</f>
        <v/>
      </c>
    </row>
    <row r="330" customFormat="1" s="86">
      <c r="A330" s="21" t="n">
        <v>42856</v>
      </c>
      <c r="B330" s="76">
        <f>IF(VLOOKUP(A330,Database!$A:$AS,MATCH($B$1,Database!$A$1:$AS$1,0),FALSE)=0,#N/A,VLOOKUP(A330,Database!$A:$AS,MATCH($B$1,Database!$A$1:$AS$1,0),FALSE))</f>
        <v/>
      </c>
      <c r="C330" s="76">
        <f>IF(VLOOKUP(A330,Database!$A:$AS,MATCH($C$1,Database!$A$1:$AS$1,0),FALSE)=0,#N/A,VLOOKUP(A330,Database!$A:$AS,MATCH($C$1,Database!$A$1:$AS$1,0),FALSE))</f>
        <v/>
      </c>
      <c r="D330" s="76">
        <f>IF(VLOOKUP(A330,Database!$A:$AS,MATCH($D$1,Database!$A$1:$AS$1,0),FALSE)=0,#N/A,VLOOKUP(A330,Database!$A:$AS,MATCH($D$1,Database!$A$1:$AS$1,0),FALSE))</f>
        <v/>
      </c>
      <c r="E330" s="76">
        <f>IF(VLOOKUP(A330,Database!$A:$AS,MATCH($E$1,Database!$A$1:$AS$1,0),FALSE)=0,#N/A,VLOOKUP(A330,Database!$A:$AS,MATCH($E$1,Database!$A$1:$AS$1,0),FALSE))</f>
        <v/>
      </c>
      <c r="F330" s="76">
        <f>IF(VLOOKUP(A330,Database!$A:$AS,MATCH($F$1,Database!$A$1:$AS$1,0),FALSE)=0,#N/A,VLOOKUP(A330,Database!$A:$AS,MATCH($F$1,Database!$A$1:$AS$1,0),FALSE))</f>
        <v/>
      </c>
      <c r="G330" s="76">
        <f>IF(VLOOKUP(A330,Database!$A:$AS,MATCH($G$1,Database!$A$1:$AS$1,0),FALSE)=0,#N/A,VLOOKUP(A330,Database!$A:$AS,MATCH($G$1,Database!$A$1:$AS$1,0),FALSE))</f>
        <v/>
      </c>
      <c r="H330" s="76">
        <f>(((Table134567891011121314151617343[[#This Row],[ITA]]-VLOOKUP($U$1,A:B,2,))/VLOOKUP($U$1,A:B,2,))*100)+100</f>
        <v/>
      </c>
      <c r="I330" s="76">
        <f>(((Table134567891011121314151617343[[#This Row],[FRA]]-VLOOKUP($U$1,A:C,3,))/VLOOKUP($U$1,A:C,3,))*100)+100</f>
        <v/>
      </c>
      <c r="J330" s="76">
        <f>(((Table134567891011121314151617343[[#This Row],[DEU]]-VLOOKUP($U$1,A:D,4,))/VLOOKUP($U$1,A:D,4,))*100)+100</f>
        <v/>
      </c>
      <c r="K330" s="76">
        <f>(((Table134567891011121314151617343[[#This Row],[ESP]]-VLOOKUP($U$1,A:E,5,))/VLOOKUP($U$1,A:E,5,))*100)+100</f>
        <v/>
      </c>
      <c r="L330" s="76">
        <f>(((Table134567891011121314151617343[[#This Row],[EA19]]-VLOOKUP($U$1,A:F,6,))/VLOOKUP($U$1,A:F,6,))*100)+100</f>
        <v/>
      </c>
      <c r="M330" s="76">
        <f>(((Table134567891011121314151617343[[#This Row],[GBR]]-VLOOKUP($U$1,A:G,7,))/VLOOKUP($U$1,A:G,7,))*100)+100</f>
        <v/>
      </c>
      <c r="N330" s="76">
        <f>IF(VLOOKUP(A330,Database!$A:$AU,MATCH($N$1,Database!$A$1:$AU$1,0),FALSE)=0,#N/A,VLOOKUP(A330,Database!$A:$AU,MATCH($N$1,Database!$A$1:$AU$1,0),FALSE))</f>
        <v/>
      </c>
      <c r="O330" s="76">
        <f>(((Table134567891011121314151617343[[#This Row],[USA]]-VLOOKUP($U$1,A:N,14,))/VLOOKUP($U$1,A:N,14,))*100)+100</f>
        <v/>
      </c>
      <c r="P330" s="76">
        <f>IF(VLOOKUP(A330,Database!$A:$AS,MATCH($P$1,Database!$A$1:$AS$1,0),FALSE)=0,#N/A,VLOOKUP(A330,Database!$A:$AS,MATCH($P$1,Database!$A$1:$AS$1,0),FALSE))</f>
        <v/>
      </c>
      <c r="Q330" s="76">
        <f>(((Table134567891011121314151617343[[#This Row],[JPN]]-VLOOKUP($U$1,A:Q,16,))/VLOOKUP($U$1,A:Q,16,))*100)+100</f>
        <v/>
      </c>
    </row>
    <row r="331" customFormat="1" s="86">
      <c r="A331" s="21" t="n">
        <v>42887</v>
      </c>
      <c r="B331" s="76">
        <f>IF(VLOOKUP(A331,Database!$A:$AS,MATCH($B$1,Database!$A$1:$AS$1,0),FALSE)=0,#N/A,VLOOKUP(A331,Database!$A:$AS,MATCH($B$1,Database!$A$1:$AS$1,0),FALSE))</f>
        <v/>
      </c>
      <c r="C331" s="76">
        <f>IF(VLOOKUP(A331,Database!$A:$AS,MATCH($C$1,Database!$A$1:$AS$1,0),FALSE)=0,#N/A,VLOOKUP(A331,Database!$A:$AS,MATCH($C$1,Database!$A$1:$AS$1,0),FALSE))</f>
        <v/>
      </c>
      <c r="D331" s="76">
        <f>IF(VLOOKUP(A331,Database!$A:$AS,MATCH($D$1,Database!$A$1:$AS$1,0),FALSE)=0,#N/A,VLOOKUP(A331,Database!$A:$AS,MATCH($D$1,Database!$A$1:$AS$1,0),FALSE))</f>
        <v/>
      </c>
      <c r="E331" s="76">
        <f>IF(VLOOKUP(A331,Database!$A:$AS,MATCH($E$1,Database!$A$1:$AS$1,0),FALSE)=0,#N/A,VLOOKUP(A331,Database!$A:$AS,MATCH($E$1,Database!$A$1:$AS$1,0),FALSE))</f>
        <v/>
      </c>
      <c r="F331" s="76">
        <f>IF(VLOOKUP(A331,Database!$A:$AS,MATCH($F$1,Database!$A$1:$AS$1,0),FALSE)=0,#N/A,VLOOKUP(A331,Database!$A:$AS,MATCH($F$1,Database!$A$1:$AS$1,0),FALSE))</f>
        <v/>
      </c>
      <c r="G331" s="76">
        <f>IF(VLOOKUP(A331,Database!$A:$AS,MATCH($G$1,Database!$A$1:$AS$1,0),FALSE)=0,#N/A,VLOOKUP(A331,Database!$A:$AS,MATCH($G$1,Database!$A$1:$AS$1,0),FALSE))</f>
        <v/>
      </c>
      <c r="H331" s="76">
        <f>(((Table134567891011121314151617343[[#This Row],[ITA]]-VLOOKUP($U$1,A:B,2,))/VLOOKUP($U$1,A:B,2,))*100)+100</f>
        <v/>
      </c>
      <c r="I331" s="76">
        <f>(((Table134567891011121314151617343[[#This Row],[FRA]]-VLOOKUP($U$1,A:C,3,))/VLOOKUP($U$1,A:C,3,))*100)+100</f>
        <v/>
      </c>
      <c r="J331" s="76">
        <f>(((Table134567891011121314151617343[[#This Row],[DEU]]-VLOOKUP($U$1,A:D,4,))/VLOOKUP($U$1,A:D,4,))*100)+100</f>
        <v/>
      </c>
      <c r="K331" s="76">
        <f>(((Table134567891011121314151617343[[#This Row],[ESP]]-VLOOKUP($U$1,A:E,5,))/VLOOKUP($U$1,A:E,5,))*100)+100</f>
        <v/>
      </c>
      <c r="L331" s="76">
        <f>(((Table134567891011121314151617343[[#This Row],[EA19]]-VLOOKUP($U$1,A:F,6,))/VLOOKUP($U$1,A:F,6,))*100)+100</f>
        <v/>
      </c>
      <c r="M331" s="76">
        <f>(((Table134567891011121314151617343[[#This Row],[GBR]]-VLOOKUP($U$1,A:G,7,))/VLOOKUP($U$1,A:G,7,))*100)+100</f>
        <v/>
      </c>
      <c r="N331" s="76">
        <f>IF(VLOOKUP(A331,Database!$A:$AU,MATCH($N$1,Database!$A$1:$AU$1,0),FALSE)=0,#N/A,VLOOKUP(A331,Database!$A:$AU,MATCH($N$1,Database!$A$1:$AU$1,0),FALSE))</f>
        <v/>
      </c>
      <c r="O331" s="76">
        <f>(((Table134567891011121314151617343[[#This Row],[USA]]-VLOOKUP($U$1,A:N,14,))/VLOOKUP($U$1,A:N,14,))*100)+100</f>
        <v/>
      </c>
      <c r="P331" s="76">
        <f>IF(VLOOKUP(A331,Database!$A:$AS,MATCH($P$1,Database!$A$1:$AS$1,0),FALSE)=0,#N/A,VLOOKUP(A331,Database!$A:$AS,MATCH($P$1,Database!$A$1:$AS$1,0),FALSE))</f>
        <v/>
      </c>
      <c r="Q331" s="76">
        <f>(((Table134567891011121314151617343[[#This Row],[JPN]]-VLOOKUP($U$1,A:Q,16,))/VLOOKUP($U$1,A:Q,16,))*100)+100</f>
        <v/>
      </c>
    </row>
    <row r="332" customFormat="1" s="86">
      <c r="A332" s="21" t="n">
        <v>42917</v>
      </c>
      <c r="B332" s="76">
        <f>IF(VLOOKUP(A332,Database!$A:$AS,MATCH($B$1,Database!$A$1:$AS$1,0),FALSE)=0,#N/A,VLOOKUP(A332,Database!$A:$AS,MATCH($B$1,Database!$A$1:$AS$1,0),FALSE))</f>
        <v/>
      </c>
      <c r="C332" s="76">
        <f>IF(VLOOKUP(A332,Database!$A:$AS,MATCH($C$1,Database!$A$1:$AS$1,0),FALSE)=0,#N/A,VLOOKUP(A332,Database!$A:$AS,MATCH($C$1,Database!$A$1:$AS$1,0),FALSE))</f>
        <v/>
      </c>
      <c r="D332" s="76">
        <f>IF(VLOOKUP(A332,Database!$A:$AS,MATCH($D$1,Database!$A$1:$AS$1,0),FALSE)=0,#N/A,VLOOKUP(A332,Database!$A:$AS,MATCH($D$1,Database!$A$1:$AS$1,0),FALSE))</f>
        <v/>
      </c>
      <c r="E332" s="76">
        <f>IF(VLOOKUP(A332,Database!$A:$AS,MATCH($E$1,Database!$A$1:$AS$1,0),FALSE)=0,#N/A,VLOOKUP(A332,Database!$A:$AS,MATCH($E$1,Database!$A$1:$AS$1,0),FALSE))</f>
        <v/>
      </c>
      <c r="F332" s="76">
        <f>IF(VLOOKUP(A332,Database!$A:$AS,MATCH($F$1,Database!$A$1:$AS$1,0),FALSE)=0,#N/A,VLOOKUP(A332,Database!$A:$AS,MATCH($F$1,Database!$A$1:$AS$1,0),FALSE))</f>
        <v/>
      </c>
      <c r="G332" s="76">
        <f>IF(VLOOKUP(A332,Database!$A:$AS,MATCH($G$1,Database!$A$1:$AS$1,0),FALSE)=0,#N/A,VLOOKUP(A332,Database!$A:$AS,MATCH($G$1,Database!$A$1:$AS$1,0),FALSE))</f>
        <v/>
      </c>
      <c r="H332" s="76">
        <f>(((Table134567891011121314151617343[[#This Row],[ITA]]-VLOOKUP($U$1,A:B,2,))/VLOOKUP($U$1,A:B,2,))*100)+100</f>
        <v/>
      </c>
      <c r="I332" s="76">
        <f>(((Table134567891011121314151617343[[#This Row],[FRA]]-VLOOKUP($U$1,A:C,3,))/VLOOKUP($U$1,A:C,3,))*100)+100</f>
        <v/>
      </c>
      <c r="J332" s="76">
        <f>(((Table134567891011121314151617343[[#This Row],[DEU]]-VLOOKUP($U$1,A:D,4,))/VLOOKUP($U$1,A:D,4,))*100)+100</f>
        <v/>
      </c>
      <c r="K332" s="76">
        <f>(((Table134567891011121314151617343[[#This Row],[ESP]]-VLOOKUP($U$1,A:E,5,))/VLOOKUP($U$1,A:E,5,))*100)+100</f>
        <v/>
      </c>
      <c r="L332" s="76">
        <f>(((Table134567891011121314151617343[[#This Row],[EA19]]-VLOOKUP($U$1,A:F,6,))/VLOOKUP($U$1,A:F,6,))*100)+100</f>
        <v/>
      </c>
      <c r="M332" s="76">
        <f>(((Table134567891011121314151617343[[#This Row],[GBR]]-VLOOKUP($U$1,A:G,7,))/VLOOKUP($U$1,A:G,7,))*100)+100</f>
        <v/>
      </c>
      <c r="N332" s="76">
        <f>IF(VLOOKUP(A332,Database!$A:$AU,MATCH($N$1,Database!$A$1:$AU$1,0),FALSE)=0,#N/A,VLOOKUP(A332,Database!$A:$AU,MATCH($N$1,Database!$A$1:$AU$1,0),FALSE))</f>
        <v/>
      </c>
      <c r="O332" s="76">
        <f>(((Table134567891011121314151617343[[#This Row],[USA]]-VLOOKUP($U$1,A:N,14,))/VLOOKUP($U$1,A:N,14,))*100)+100</f>
        <v/>
      </c>
      <c r="P332" s="76">
        <f>IF(VLOOKUP(A332,Database!$A:$AS,MATCH($P$1,Database!$A$1:$AS$1,0),FALSE)=0,#N/A,VLOOKUP(A332,Database!$A:$AS,MATCH($P$1,Database!$A$1:$AS$1,0),FALSE))</f>
        <v/>
      </c>
      <c r="Q332" s="76">
        <f>(((Table134567891011121314151617343[[#This Row],[JPN]]-VLOOKUP($U$1,A:Q,16,))/VLOOKUP($U$1,A:Q,16,))*100)+100</f>
        <v/>
      </c>
    </row>
    <row r="333" customFormat="1" s="86">
      <c r="A333" s="21" t="n">
        <v>42948</v>
      </c>
      <c r="B333" s="76">
        <f>IF(VLOOKUP(A333,Database!$A:$AS,MATCH($B$1,Database!$A$1:$AS$1,0),FALSE)=0,#N/A,VLOOKUP(A333,Database!$A:$AS,MATCH($B$1,Database!$A$1:$AS$1,0),FALSE))</f>
        <v/>
      </c>
      <c r="C333" s="76">
        <f>IF(VLOOKUP(A333,Database!$A:$AS,MATCH($C$1,Database!$A$1:$AS$1,0),FALSE)=0,#N/A,VLOOKUP(A333,Database!$A:$AS,MATCH($C$1,Database!$A$1:$AS$1,0),FALSE))</f>
        <v/>
      </c>
      <c r="D333" s="76">
        <f>IF(VLOOKUP(A333,Database!$A:$AS,MATCH($D$1,Database!$A$1:$AS$1,0),FALSE)=0,#N/A,VLOOKUP(A333,Database!$A:$AS,MATCH($D$1,Database!$A$1:$AS$1,0),FALSE))</f>
        <v/>
      </c>
      <c r="E333" s="76">
        <f>IF(VLOOKUP(A333,Database!$A:$AS,MATCH($E$1,Database!$A$1:$AS$1,0),FALSE)=0,#N/A,VLOOKUP(A333,Database!$A:$AS,MATCH($E$1,Database!$A$1:$AS$1,0),FALSE))</f>
        <v/>
      </c>
      <c r="F333" s="76">
        <f>IF(VLOOKUP(A333,Database!$A:$AS,MATCH($F$1,Database!$A$1:$AS$1,0),FALSE)=0,#N/A,VLOOKUP(A333,Database!$A:$AS,MATCH($F$1,Database!$A$1:$AS$1,0),FALSE))</f>
        <v/>
      </c>
      <c r="G333" s="76">
        <f>IF(VLOOKUP(A333,Database!$A:$AS,MATCH($G$1,Database!$A$1:$AS$1,0),FALSE)=0,#N/A,VLOOKUP(A333,Database!$A:$AS,MATCH($G$1,Database!$A$1:$AS$1,0),FALSE))</f>
        <v/>
      </c>
      <c r="H333" s="76">
        <f>(((Table134567891011121314151617343[[#This Row],[ITA]]-VLOOKUP($U$1,A:B,2,))/VLOOKUP($U$1,A:B,2,))*100)+100</f>
        <v/>
      </c>
      <c r="I333" s="76">
        <f>(((Table134567891011121314151617343[[#This Row],[FRA]]-VLOOKUP($U$1,A:C,3,))/VLOOKUP($U$1,A:C,3,))*100)+100</f>
        <v/>
      </c>
      <c r="J333" s="76">
        <f>(((Table134567891011121314151617343[[#This Row],[DEU]]-VLOOKUP($U$1,A:D,4,))/VLOOKUP($U$1,A:D,4,))*100)+100</f>
        <v/>
      </c>
      <c r="K333" s="76">
        <f>(((Table134567891011121314151617343[[#This Row],[ESP]]-VLOOKUP($U$1,A:E,5,))/VLOOKUP($U$1,A:E,5,))*100)+100</f>
        <v/>
      </c>
      <c r="L333" s="76">
        <f>(((Table134567891011121314151617343[[#This Row],[EA19]]-VLOOKUP($U$1,A:F,6,))/VLOOKUP($U$1,A:F,6,))*100)+100</f>
        <v/>
      </c>
      <c r="M333" s="76">
        <f>(((Table134567891011121314151617343[[#This Row],[GBR]]-VLOOKUP($U$1,A:G,7,))/VLOOKUP($U$1,A:G,7,))*100)+100</f>
        <v/>
      </c>
      <c r="N333" s="76">
        <f>IF(VLOOKUP(A333,Database!$A:$AU,MATCH($N$1,Database!$A$1:$AU$1,0),FALSE)=0,#N/A,VLOOKUP(A333,Database!$A:$AU,MATCH($N$1,Database!$A$1:$AU$1,0),FALSE))</f>
        <v/>
      </c>
      <c r="O333" s="76">
        <f>(((Table134567891011121314151617343[[#This Row],[USA]]-VLOOKUP($U$1,A:N,14,))/VLOOKUP($U$1,A:N,14,))*100)+100</f>
        <v/>
      </c>
      <c r="P333" s="76">
        <f>IF(VLOOKUP(A333,Database!$A:$AS,MATCH($P$1,Database!$A$1:$AS$1,0),FALSE)=0,#N/A,VLOOKUP(A333,Database!$A:$AS,MATCH($P$1,Database!$A$1:$AS$1,0),FALSE))</f>
        <v/>
      </c>
      <c r="Q333" s="76">
        <f>(((Table134567891011121314151617343[[#This Row],[JPN]]-VLOOKUP($U$1,A:Q,16,))/VLOOKUP($U$1,A:Q,16,))*100)+100</f>
        <v/>
      </c>
    </row>
    <row r="334" customFormat="1" s="86">
      <c r="A334" s="21" t="n">
        <v>42979</v>
      </c>
      <c r="B334" s="76">
        <f>IF(VLOOKUP(A334,Database!$A:$AS,MATCH($B$1,Database!$A$1:$AS$1,0),FALSE)=0,#N/A,VLOOKUP(A334,Database!$A:$AS,MATCH($B$1,Database!$A$1:$AS$1,0),FALSE))</f>
        <v/>
      </c>
      <c r="C334" s="76">
        <f>IF(VLOOKUP(A334,Database!$A:$AS,MATCH($C$1,Database!$A$1:$AS$1,0),FALSE)=0,#N/A,VLOOKUP(A334,Database!$A:$AS,MATCH($C$1,Database!$A$1:$AS$1,0),FALSE))</f>
        <v/>
      </c>
      <c r="D334" s="76">
        <f>IF(VLOOKUP(A334,Database!$A:$AS,MATCH($D$1,Database!$A$1:$AS$1,0),FALSE)=0,#N/A,VLOOKUP(A334,Database!$A:$AS,MATCH($D$1,Database!$A$1:$AS$1,0),FALSE))</f>
        <v/>
      </c>
      <c r="E334" s="76">
        <f>IF(VLOOKUP(A334,Database!$A:$AS,MATCH($E$1,Database!$A$1:$AS$1,0),FALSE)=0,#N/A,VLOOKUP(A334,Database!$A:$AS,MATCH($E$1,Database!$A$1:$AS$1,0),FALSE))</f>
        <v/>
      </c>
      <c r="F334" s="76">
        <f>IF(VLOOKUP(A334,Database!$A:$AS,MATCH($F$1,Database!$A$1:$AS$1,0),FALSE)=0,#N/A,VLOOKUP(A334,Database!$A:$AS,MATCH($F$1,Database!$A$1:$AS$1,0),FALSE))</f>
        <v/>
      </c>
      <c r="G334" s="76">
        <f>IF(VLOOKUP(A334,Database!$A:$AS,MATCH($G$1,Database!$A$1:$AS$1,0),FALSE)=0,#N/A,VLOOKUP(A334,Database!$A:$AS,MATCH($G$1,Database!$A$1:$AS$1,0),FALSE))</f>
        <v/>
      </c>
      <c r="H334" s="76">
        <f>(((Table134567891011121314151617343[[#This Row],[ITA]]-VLOOKUP($U$1,A:B,2,))/VLOOKUP($U$1,A:B,2,))*100)+100</f>
        <v/>
      </c>
      <c r="I334" s="76">
        <f>(((Table134567891011121314151617343[[#This Row],[FRA]]-VLOOKUP($U$1,A:C,3,))/VLOOKUP($U$1,A:C,3,))*100)+100</f>
        <v/>
      </c>
      <c r="J334" s="76">
        <f>(((Table134567891011121314151617343[[#This Row],[DEU]]-VLOOKUP($U$1,A:D,4,))/VLOOKUP($U$1,A:D,4,))*100)+100</f>
        <v/>
      </c>
      <c r="K334" s="76">
        <f>(((Table134567891011121314151617343[[#This Row],[ESP]]-VLOOKUP($U$1,A:E,5,))/VLOOKUP($U$1,A:E,5,))*100)+100</f>
        <v/>
      </c>
      <c r="L334" s="76">
        <f>(((Table134567891011121314151617343[[#This Row],[EA19]]-VLOOKUP($U$1,A:F,6,))/VLOOKUP($U$1,A:F,6,))*100)+100</f>
        <v/>
      </c>
      <c r="M334" s="76">
        <f>(((Table134567891011121314151617343[[#This Row],[GBR]]-VLOOKUP($U$1,A:G,7,))/VLOOKUP($U$1,A:G,7,))*100)+100</f>
        <v/>
      </c>
      <c r="N334" s="76">
        <f>IF(VLOOKUP(A334,Database!$A:$AU,MATCH($N$1,Database!$A$1:$AU$1,0),FALSE)=0,#N/A,VLOOKUP(A334,Database!$A:$AU,MATCH($N$1,Database!$A$1:$AU$1,0),FALSE))</f>
        <v/>
      </c>
      <c r="O334" s="76">
        <f>(((Table134567891011121314151617343[[#This Row],[USA]]-VLOOKUP($U$1,A:N,14,))/VLOOKUP($U$1,A:N,14,))*100)+100</f>
        <v/>
      </c>
      <c r="P334" s="76">
        <f>IF(VLOOKUP(A334,Database!$A:$AS,MATCH($P$1,Database!$A$1:$AS$1,0),FALSE)=0,#N/A,VLOOKUP(A334,Database!$A:$AS,MATCH($P$1,Database!$A$1:$AS$1,0),FALSE))</f>
        <v/>
      </c>
      <c r="Q334" s="76">
        <f>(((Table134567891011121314151617343[[#This Row],[JPN]]-VLOOKUP($U$1,A:Q,16,))/VLOOKUP($U$1,A:Q,16,))*100)+100</f>
        <v/>
      </c>
    </row>
    <row r="335" customFormat="1" s="86">
      <c r="A335" s="21" t="n">
        <v>43009</v>
      </c>
      <c r="B335" s="76">
        <f>IF(VLOOKUP(A335,Database!$A:$AS,MATCH($B$1,Database!$A$1:$AS$1,0),FALSE)=0,#N/A,VLOOKUP(A335,Database!$A:$AS,MATCH($B$1,Database!$A$1:$AS$1,0),FALSE))</f>
        <v/>
      </c>
      <c r="C335" s="76">
        <f>IF(VLOOKUP(A335,Database!$A:$AS,MATCH($C$1,Database!$A$1:$AS$1,0),FALSE)=0,#N/A,VLOOKUP(A335,Database!$A:$AS,MATCH($C$1,Database!$A$1:$AS$1,0),FALSE))</f>
        <v/>
      </c>
      <c r="D335" s="76">
        <f>IF(VLOOKUP(A335,Database!$A:$AS,MATCH($D$1,Database!$A$1:$AS$1,0),FALSE)=0,#N/A,VLOOKUP(A335,Database!$A:$AS,MATCH($D$1,Database!$A$1:$AS$1,0),FALSE))</f>
        <v/>
      </c>
      <c r="E335" s="76">
        <f>IF(VLOOKUP(A335,Database!$A:$AS,MATCH($E$1,Database!$A$1:$AS$1,0),FALSE)=0,#N/A,VLOOKUP(A335,Database!$A:$AS,MATCH($E$1,Database!$A$1:$AS$1,0),FALSE))</f>
        <v/>
      </c>
      <c r="F335" s="76">
        <f>IF(VLOOKUP(A335,Database!$A:$AS,MATCH($F$1,Database!$A$1:$AS$1,0),FALSE)=0,#N/A,VLOOKUP(A335,Database!$A:$AS,MATCH($F$1,Database!$A$1:$AS$1,0),FALSE))</f>
        <v/>
      </c>
      <c r="G335" s="76">
        <f>IF(VLOOKUP(A335,Database!$A:$AS,MATCH($G$1,Database!$A$1:$AS$1,0),FALSE)=0,#N/A,VLOOKUP(A335,Database!$A:$AS,MATCH($G$1,Database!$A$1:$AS$1,0),FALSE))</f>
        <v/>
      </c>
      <c r="H335" s="76">
        <f>(((Table134567891011121314151617343[[#This Row],[ITA]]-VLOOKUP($U$1,A:B,2,))/VLOOKUP($U$1,A:B,2,))*100)+100</f>
        <v/>
      </c>
      <c r="I335" s="76">
        <f>(((Table134567891011121314151617343[[#This Row],[FRA]]-VLOOKUP($U$1,A:C,3,))/VLOOKUP($U$1,A:C,3,))*100)+100</f>
        <v/>
      </c>
      <c r="J335" s="76">
        <f>(((Table134567891011121314151617343[[#This Row],[DEU]]-VLOOKUP($U$1,A:D,4,))/VLOOKUP($U$1,A:D,4,))*100)+100</f>
        <v/>
      </c>
      <c r="K335" s="76">
        <f>(((Table134567891011121314151617343[[#This Row],[ESP]]-VLOOKUP($U$1,A:E,5,))/VLOOKUP($U$1,A:E,5,))*100)+100</f>
        <v/>
      </c>
      <c r="L335" s="76">
        <f>(((Table134567891011121314151617343[[#This Row],[EA19]]-VLOOKUP($U$1,A:F,6,))/VLOOKUP($U$1,A:F,6,))*100)+100</f>
        <v/>
      </c>
      <c r="M335" s="76">
        <f>(((Table134567891011121314151617343[[#This Row],[GBR]]-VLOOKUP($U$1,A:G,7,))/VLOOKUP($U$1,A:G,7,))*100)+100</f>
        <v/>
      </c>
      <c r="N335" s="76">
        <f>IF(VLOOKUP(A335,Database!$A:$AU,MATCH($N$1,Database!$A$1:$AU$1,0),FALSE)=0,#N/A,VLOOKUP(A335,Database!$A:$AU,MATCH($N$1,Database!$A$1:$AU$1,0),FALSE))</f>
        <v/>
      </c>
      <c r="O335" s="76">
        <f>(((Table134567891011121314151617343[[#This Row],[USA]]-VLOOKUP($U$1,A:N,14,))/VLOOKUP($U$1,A:N,14,))*100)+100</f>
        <v/>
      </c>
      <c r="P335" s="76">
        <f>IF(VLOOKUP(A335,Database!$A:$AS,MATCH($P$1,Database!$A$1:$AS$1,0),FALSE)=0,#N/A,VLOOKUP(A335,Database!$A:$AS,MATCH($P$1,Database!$A$1:$AS$1,0),FALSE))</f>
        <v/>
      </c>
      <c r="Q335" s="76">
        <f>(((Table134567891011121314151617343[[#This Row],[JPN]]-VLOOKUP($U$1,A:Q,16,))/VLOOKUP($U$1,A:Q,16,))*100)+100</f>
        <v/>
      </c>
    </row>
    <row r="336" customFormat="1" s="86">
      <c r="A336" s="21" t="n">
        <v>43040</v>
      </c>
      <c r="B336" s="76">
        <f>IF(VLOOKUP(A336,Database!$A:$AS,MATCH($B$1,Database!$A$1:$AS$1,0),FALSE)=0,#N/A,VLOOKUP(A336,Database!$A:$AS,MATCH($B$1,Database!$A$1:$AS$1,0),FALSE))</f>
        <v/>
      </c>
      <c r="C336" s="76">
        <f>IF(VLOOKUP(A336,Database!$A:$AS,MATCH($C$1,Database!$A$1:$AS$1,0),FALSE)=0,#N/A,VLOOKUP(A336,Database!$A:$AS,MATCH($C$1,Database!$A$1:$AS$1,0),FALSE))</f>
        <v/>
      </c>
      <c r="D336" s="76">
        <f>IF(VLOOKUP(A336,Database!$A:$AS,MATCH($D$1,Database!$A$1:$AS$1,0),FALSE)=0,#N/A,VLOOKUP(A336,Database!$A:$AS,MATCH($D$1,Database!$A$1:$AS$1,0),FALSE))</f>
        <v/>
      </c>
      <c r="E336" s="76">
        <f>IF(VLOOKUP(A336,Database!$A:$AS,MATCH($E$1,Database!$A$1:$AS$1,0),FALSE)=0,#N/A,VLOOKUP(A336,Database!$A:$AS,MATCH($E$1,Database!$A$1:$AS$1,0),FALSE))</f>
        <v/>
      </c>
      <c r="F336" s="76">
        <f>IF(VLOOKUP(A336,Database!$A:$AS,MATCH($F$1,Database!$A$1:$AS$1,0),FALSE)=0,#N/A,VLOOKUP(A336,Database!$A:$AS,MATCH($F$1,Database!$A$1:$AS$1,0),FALSE))</f>
        <v/>
      </c>
      <c r="G336" s="76">
        <f>IF(VLOOKUP(A336,Database!$A:$AS,MATCH($G$1,Database!$A$1:$AS$1,0),FALSE)=0,#N/A,VLOOKUP(A336,Database!$A:$AS,MATCH($G$1,Database!$A$1:$AS$1,0),FALSE))</f>
        <v/>
      </c>
      <c r="H336" s="76">
        <f>(((Table134567891011121314151617343[[#This Row],[ITA]]-VLOOKUP($U$1,A:B,2,))/VLOOKUP($U$1,A:B,2,))*100)+100</f>
        <v/>
      </c>
      <c r="I336" s="76">
        <f>(((Table134567891011121314151617343[[#This Row],[FRA]]-VLOOKUP($U$1,A:C,3,))/VLOOKUP($U$1,A:C,3,))*100)+100</f>
        <v/>
      </c>
      <c r="J336" s="76">
        <f>(((Table134567891011121314151617343[[#This Row],[DEU]]-VLOOKUP($U$1,A:D,4,))/VLOOKUP($U$1,A:D,4,))*100)+100</f>
        <v/>
      </c>
      <c r="K336" s="76">
        <f>(((Table134567891011121314151617343[[#This Row],[ESP]]-VLOOKUP($U$1,A:E,5,))/VLOOKUP($U$1,A:E,5,))*100)+100</f>
        <v/>
      </c>
      <c r="L336" s="76">
        <f>(((Table134567891011121314151617343[[#This Row],[EA19]]-VLOOKUP($U$1,A:F,6,))/VLOOKUP($U$1,A:F,6,))*100)+100</f>
        <v/>
      </c>
      <c r="M336" s="76">
        <f>(((Table134567891011121314151617343[[#This Row],[GBR]]-VLOOKUP($U$1,A:G,7,))/VLOOKUP($U$1,A:G,7,))*100)+100</f>
        <v/>
      </c>
      <c r="N336" s="76">
        <f>IF(VLOOKUP(A336,Database!$A:$AU,MATCH($N$1,Database!$A$1:$AU$1,0),FALSE)=0,#N/A,VLOOKUP(A336,Database!$A:$AU,MATCH($N$1,Database!$A$1:$AU$1,0),FALSE))</f>
        <v/>
      </c>
      <c r="O336" s="76">
        <f>(((Table134567891011121314151617343[[#This Row],[USA]]-VLOOKUP($U$1,A:N,14,))/VLOOKUP($U$1,A:N,14,))*100)+100</f>
        <v/>
      </c>
      <c r="P336" s="76">
        <f>IF(VLOOKUP(A336,Database!$A:$AS,MATCH($P$1,Database!$A$1:$AS$1,0),FALSE)=0,#N/A,VLOOKUP(A336,Database!$A:$AS,MATCH($P$1,Database!$A$1:$AS$1,0),FALSE))</f>
        <v/>
      </c>
      <c r="Q336" s="76">
        <f>(((Table134567891011121314151617343[[#This Row],[JPN]]-VLOOKUP($U$1,A:Q,16,))/VLOOKUP($U$1,A:Q,16,))*100)+100</f>
        <v/>
      </c>
    </row>
    <row r="337" customFormat="1" s="86">
      <c r="A337" s="21" t="n">
        <v>43070</v>
      </c>
      <c r="B337" s="76">
        <f>IF(VLOOKUP(A337,Database!$A:$AS,MATCH($B$1,Database!$A$1:$AS$1,0),FALSE)=0,#N/A,VLOOKUP(A337,Database!$A:$AS,MATCH($B$1,Database!$A$1:$AS$1,0),FALSE))</f>
        <v/>
      </c>
      <c r="C337" s="76">
        <f>IF(VLOOKUP(A337,Database!$A:$AS,MATCH($C$1,Database!$A$1:$AS$1,0),FALSE)=0,#N/A,VLOOKUP(A337,Database!$A:$AS,MATCH($C$1,Database!$A$1:$AS$1,0),FALSE))</f>
        <v/>
      </c>
      <c r="D337" s="76">
        <f>IF(VLOOKUP(A337,Database!$A:$AS,MATCH($D$1,Database!$A$1:$AS$1,0),FALSE)=0,#N/A,VLOOKUP(A337,Database!$A:$AS,MATCH($D$1,Database!$A$1:$AS$1,0),FALSE))</f>
        <v/>
      </c>
      <c r="E337" s="76">
        <f>IF(VLOOKUP(A337,Database!$A:$AS,MATCH($E$1,Database!$A$1:$AS$1,0),FALSE)=0,#N/A,VLOOKUP(A337,Database!$A:$AS,MATCH($E$1,Database!$A$1:$AS$1,0),FALSE))</f>
        <v/>
      </c>
      <c r="F337" s="76">
        <f>IF(VLOOKUP(A337,Database!$A:$AS,MATCH($F$1,Database!$A$1:$AS$1,0),FALSE)=0,#N/A,VLOOKUP(A337,Database!$A:$AS,MATCH($F$1,Database!$A$1:$AS$1,0),FALSE))</f>
        <v/>
      </c>
      <c r="G337" s="76">
        <f>IF(VLOOKUP(A337,Database!$A:$AS,MATCH($G$1,Database!$A$1:$AS$1,0),FALSE)=0,#N/A,VLOOKUP(A337,Database!$A:$AS,MATCH($G$1,Database!$A$1:$AS$1,0),FALSE))</f>
        <v/>
      </c>
      <c r="H337" s="76">
        <f>(((Table134567891011121314151617343[[#This Row],[ITA]]-VLOOKUP($U$1,A:B,2,))/VLOOKUP($U$1,A:B,2,))*100)+100</f>
        <v/>
      </c>
      <c r="I337" s="76">
        <f>(((Table134567891011121314151617343[[#This Row],[FRA]]-VLOOKUP($U$1,A:C,3,))/VLOOKUP($U$1,A:C,3,))*100)+100</f>
        <v/>
      </c>
      <c r="J337" s="76">
        <f>(((Table134567891011121314151617343[[#This Row],[DEU]]-VLOOKUP($U$1,A:D,4,))/VLOOKUP($U$1,A:D,4,))*100)+100</f>
        <v/>
      </c>
      <c r="K337" s="76">
        <f>(((Table134567891011121314151617343[[#This Row],[ESP]]-VLOOKUP($U$1,A:E,5,))/VLOOKUP($U$1,A:E,5,))*100)+100</f>
        <v/>
      </c>
      <c r="L337" s="76">
        <f>(((Table134567891011121314151617343[[#This Row],[EA19]]-VLOOKUP($U$1,A:F,6,))/VLOOKUP($U$1,A:F,6,))*100)+100</f>
        <v/>
      </c>
      <c r="M337" s="76">
        <f>(((Table134567891011121314151617343[[#This Row],[GBR]]-VLOOKUP($U$1,A:G,7,))/VLOOKUP($U$1,A:G,7,))*100)+100</f>
        <v/>
      </c>
      <c r="N337" s="76">
        <f>IF(VLOOKUP(A337,Database!$A:$AU,MATCH($N$1,Database!$A$1:$AU$1,0),FALSE)=0,#N/A,VLOOKUP(A337,Database!$A:$AU,MATCH($N$1,Database!$A$1:$AU$1,0),FALSE))</f>
        <v/>
      </c>
      <c r="O337" s="76">
        <f>(((Table134567891011121314151617343[[#This Row],[USA]]-VLOOKUP($U$1,A:N,14,))/VLOOKUP($U$1,A:N,14,))*100)+100</f>
        <v/>
      </c>
      <c r="P337" s="76">
        <f>IF(VLOOKUP(A337,Database!$A:$AS,MATCH($P$1,Database!$A$1:$AS$1,0),FALSE)=0,#N/A,VLOOKUP(A337,Database!$A:$AS,MATCH($P$1,Database!$A$1:$AS$1,0),FALSE))</f>
        <v/>
      </c>
      <c r="Q337" s="76">
        <f>(((Table134567891011121314151617343[[#This Row],[JPN]]-VLOOKUP($U$1,A:Q,16,))/VLOOKUP($U$1,A:Q,16,))*100)+100</f>
        <v/>
      </c>
    </row>
    <row r="338" customFormat="1" s="86">
      <c r="A338" s="21" t="n">
        <v>43101</v>
      </c>
      <c r="B338" s="76">
        <f>IF(VLOOKUP(A338,Database!$A:$AS,MATCH($B$1,Database!$A$1:$AS$1,0),FALSE)=0,#N/A,VLOOKUP(A338,Database!$A:$AS,MATCH($B$1,Database!$A$1:$AS$1,0),FALSE))</f>
        <v/>
      </c>
      <c r="C338" s="76">
        <f>IF(VLOOKUP(A338,Database!$A:$AS,MATCH($C$1,Database!$A$1:$AS$1,0),FALSE)=0,#N/A,VLOOKUP(A338,Database!$A:$AS,MATCH($C$1,Database!$A$1:$AS$1,0),FALSE))</f>
        <v/>
      </c>
      <c r="D338" s="76">
        <f>IF(VLOOKUP(A338,Database!$A:$AS,MATCH($D$1,Database!$A$1:$AS$1,0),FALSE)=0,#N/A,VLOOKUP(A338,Database!$A:$AS,MATCH($D$1,Database!$A$1:$AS$1,0),FALSE))</f>
        <v/>
      </c>
      <c r="E338" s="76">
        <f>IF(VLOOKUP(A338,Database!$A:$AS,MATCH($E$1,Database!$A$1:$AS$1,0),FALSE)=0,#N/A,VLOOKUP(A338,Database!$A:$AS,MATCH($E$1,Database!$A$1:$AS$1,0),FALSE))</f>
        <v/>
      </c>
      <c r="F338" s="76">
        <f>IF(VLOOKUP(A338,Database!$A:$AS,MATCH($F$1,Database!$A$1:$AS$1,0),FALSE)=0,#N/A,VLOOKUP(A338,Database!$A:$AS,MATCH($F$1,Database!$A$1:$AS$1,0),FALSE))</f>
        <v/>
      </c>
      <c r="G338" s="76">
        <f>IF(VLOOKUP(A338,Database!$A:$AS,MATCH($G$1,Database!$A$1:$AS$1,0),FALSE)=0,#N/A,VLOOKUP(A338,Database!$A:$AS,MATCH($G$1,Database!$A$1:$AS$1,0),FALSE))</f>
        <v/>
      </c>
      <c r="H338" s="76">
        <f>(((Table134567891011121314151617343[[#This Row],[ITA]]-VLOOKUP($U$1,A:B,2,))/VLOOKUP($U$1,A:B,2,))*100)+100</f>
        <v/>
      </c>
      <c r="I338" s="76">
        <f>(((Table134567891011121314151617343[[#This Row],[FRA]]-VLOOKUP($U$1,A:C,3,))/VLOOKUP($U$1,A:C,3,))*100)+100</f>
        <v/>
      </c>
      <c r="J338" s="76">
        <f>(((Table134567891011121314151617343[[#This Row],[DEU]]-VLOOKUP($U$1,A:D,4,))/VLOOKUP($U$1,A:D,4,))*100)+100</f>
        <v/>
      </c>
      <c r="K338" s="76">
        <f>(((Table134567891011121314151617343[[#This Row],[ESP]]-VLOOKUP($U$1,A:E,5,))/VLOOKUP($U$1,A:E,5,))*100)+100</f>
        <v/>
      </c>
      <c r="L338" s="76">
        <f>(((Table134567891011121314151617343[[#This Row],[EA19]]-VLOOKUP($U$1,A:F,6,))/VLOOKUP($U$1,A:F,6,))*100)+100</f>
        <v/>
      </c>
      <c r="M338" s="76">
        <f>(((Table134567891011121314151617343[[#This Row],[GBR]]-VLOOKUP($U$1,A:G,7,))/VLOOKUP($U$1,A:G,7,))*100)+100</f>
        <v/>
      </c>
      <c r="N338" s="76">
        <f>IF(VLOOKUP(A338,Database!$A:$AU,MATCH($N$1,Database!$A$1:$AU$1,0),FALSE)=0,#N/A,VLOOKUP(A338,Database!$A:$AU,MATCH($N$1,Database!$A$1:$AU$1,0),FALSE))</f>
        <v/>
      </c>
      <c r="O338" s="76">
        <f>(((Table134567891011121314151617343[[#This Row],[USA]]-VLOOKUP($U$1,A:N,14,))/VLOOKUP($U$1,A:N,14,))*100)+100</f>
        <v/>
      </c>
      <c r="P338" s="76">
        <f>IF(VLOOKUP(A338,Database!$A:$AS,MATCH($P$1,Database!$A$1:$AS$1,0),FALSE)=0,#N/A,VLOOKUP(A338,Database!$A:$AS,MATCH($P$1,Database!$A$1:$AS$1,0),FALSE))</f>
        <v/>
      </c>
      <c r="Q338" s="76">
        <f>(((Table134567891011121314151617343[[#This Row],[JPN]]-VLOOKUP($U$1,A:Q,16,))/VLOOKUP($U$1,A:Q,16,))*100)+100</f>
        <v/>
      </c>
    </row>
    <row r="339" customFormat="1" s="86">
      <c r="A339" s="21" t="n">
        <v>43132</v>
      </c>
      <c r="B339" s="76">
        <f>IF(VLOOKUP(A339,Database!$A:$AS,MATCH($B$1,Database!$A$1:$AS$1,0),FALSE)=0,#N/A,VLOOKUP(A339,Database!$A:$AS,MATCH($B$1,Database!$A$1:$AS$1,0),FALSE))</f>
        <v/>
      </c>
      <c r="C339" s="76">
        <f>IF(VLOOKUP(A339,Database!$A:$AS,MATCH($C$1,Database!$A$1:$AS$1,0),FALSE)=0,#N/A,VLOOKUP(A339,Database!$A:$AS,MATCH($C$1,Database!$A$1:$AS$1,0),FALSE))</f>
        <v/>
      </c>
      <c r="D339" s="76">
        <f>IF(VLOOKUP(A339,Database!$A:$AS,MATCH($D$1,Database!$A$1:$AS$1,0),FALSE)=0,#N/A,VLOOKUP(A339,Database!$A:$AS,MATCH($D$1,Database!$A$1:$AS$1,0),FALSE))</f>
        <v/>
      </c>
      <c r="E339" s="76">
        <f>IF(VLOOKUP(A339,Database!$A:$AS,MATCH($E$1,Database!$A$1:$AS$1,0),FALSE)=0,#N/A,VLOOKUP(A339,Database!$A:$AS,MATCH($E$1,Database!$A$1:$AS$1,0),FALSE))</f>
        <v/>
      </c>
      <c r="F339" s="76">
        <f>IF(VLOOKUP(A339,Database!$A:$AS,MATCH($F$1,Database!$A$1:$AS$1,0),FALSE)=0,#N/A,VLOOKUP(A339,Database!$A:$AS,MATCH($F$1,Database!$A$1:$AS$1,0),FALSE))</f>
        <v/>
      </c>
      <c r="G339" s="76">
        <f>IF(VLOOKUP(A339,Database!$A:$AS,MATCH($G$1,Database!$A$1:$AS$1,0),FALSE)=0,#N/A,VLOOKUP(A339,Database!$A:$AS,MATCH($G$1,Database!$A$1:$AS$1,0),FALSE))</f>
        <v/>
      </c>
      <c r="H339" s="76">
        <f>(((Table134567891011121314151617343[[#This Row],[ITA]]-VLOOKUP($U$1,A:B,2,))/VLOOKUP($U$1,A:B,2,))*100)+100</f>
        <v/>
      </c>
      <c r="I339" s="76">
        <f>(((Table134567891011121314151617343[[#This Row],[FRA]]-VLOOKUP($U$1,A:C,3,))/VLOOKUP($U$1,A:C,3,))*100)+100</f>
        <v/>
      </c>
      <c r="J339" s="76">
        <f>(((Table134567891011121314151617343[[#This Row],[DEU]]-VLOOKUP($U$1,A:D,4,))/VLOOKUP($U$1,A:D,4,))*100)+100</f>
        <v/>
      </c>
      <c r="K339" s="76">
        <f>(((Table134567891011121314151617343[[#This Row],[ESP]]-VLOOKUP($U$1,A:E,5,))/VLOOKUP($U$1,A:E,5,))*100)+100</f>
        <v/>
      </c>
      <c r="L339" s="76">
        <f>(((Table134567891011121314151617343[[#This Row],[EA19]]-VLOOKUP($U$1,A:F,6,))/VLOOKUP($U$1,A:F,6,))*100)+100</f>
        <v/>
      </c>
      <c r="M339" s="76">
        <f>(((Table134567891011121314151617343[[#This Row],[GBR]]-VLOOKUP($U$1,A:G,7,))/VLOOKUP($U$1,A:G,7,))*100)+100</f>
        <v/>
      </c>
      <c r="N339" s="76">
        <f>IF(VLOOKUP(A339,Database!$A:$AU,MATCH($N$1,Database!$A$1:$AU$1,0),FALSE)=0,#N/A,VLOOKUP(A339,Database!$A:$AU,MATCH($N$1,Database!$A$1:$AU$1,0),FALSE))</f>
        <v/>
      </c>
      <c r="O339" s="76">
        <f>(((Table134567891011121314151617343[[#This Row],[USA]]-VLOOKUP($U$1,A:N,14,))/VLOOKUP($U$1,A:N,14,))*100)+100</f>
        <v/>
      </c>
      <c r="P339" s="76">
        <f>IF(VLOOKUP(A339,Database!$A:$AS,MATCH($P$1,Database!$A$1:$AS$1,0),FALSE)=0,#N/A,VLOOKUP(A339,Database!$A:$AS,MATCH($P$1,Database!$A$1:$AS$1,0),FALSE))</f>
        <v/>
      </c>
      <c r="Q339" s="76">
        <f>(((Table134567891011121314151617343[[#This Row],[JPN]]-VLOOKUP($U$1,A:Q,16,))/VLOOKUP($U$1,A:Q,16,))*100)+100</f>
        <v/>
      </c>
    </row>
    <row r="340" customFormat="1" s="86">
      <c r="A340" s="21" t="n">
        <v>43160</v>
      </c>
      <c r="B340" s="76">
        <f>IF(VLOOKUP(A340,Database!$A:$AS,MATCH($B$1,Database!$A$1:$AS$1,0),FALSE)=0,#N/A,VLOOKUP(A340,Database!$A:$AS,MATCH($B$1,Database!$A$1:$AS$1,0),FALSE))</f>
        <v/>
      </c>
      <c r="C340" s="76">
        <f>IF(VLOOKUP(A340,Database!$A:$AS,MATCH($C$1,Database!$A$1:$AS$1,0),FALSE)=0,#N/A,VLOOKUP(A340,Database!$A:$AS,MATCH($C$1,Database!$A$1:$AS$1,0),FALSE))</f>
        <v/>
      </c>
      <c r="D340" s="76">
        <f>IF(VLOOKUP(A340,Database!$A:$AS,MATCH($D$1,Database!$A$1:$AS$1,0),FALSE)=0,#N/A,VLOOKUP(A340,Database!$A:$AS,MATCH($D$1,Database!$A$1:$AS$1,0),FALSE))</f>
        <v/>
      </c>
      <c r="E340" s="76">
        <f>IF(VLOOKUP(A340,Database!$A:$AS,MATCH($E$1,Database!$A$1:$AS$1,0),FALSE)=0,#N/A,VLOOKUP(A340,Database!$A:$AS,MATCH($E$1,Database!$A$1:$AS$1,0),FALSE))</f>
        <v/>
      </c>
      <c r="F340" s="76">
        <f>IF(VLOOKUP(A340,Database!$A:$AS,MATCH($F$1,Database!$A$1:$AS$1,0),FALSE)=0,#N/A,VLOOKUP(A340,Database!$A:$AS,MATCH($F$1,Database!$A$1:$AS$1,0),FALSE))</f>
        <v/>
      </c>
      <c r="G340" s="76">
        <f>IF(VLOOKUP(A340,Database!$A:$AS,MATCH($G$1,Database!$A$1:$AS$1,0),FALSE)=0,#N/A,VLOOKUP(A340,Database!$A:$AS,MATCH($G$1,Database!$A$1:$AS$1,0),FALSE))</f>
        <v/>
      </c>
      <c r="H340" s="76">
        <f>(((Table134567891011121314151617343[[#This Row],[ITA]]-VLOOKUP($U$1,A:B,2,))/VLOOKUP($U$1,A:B,2,))*100)+100</f>
        <v/>
      </c>
      <c r="I340" s="76">
        <f>(((Table134567891011121314151617343[[#This Row],[FRA]]-VLOOKUP($U$1,A:C,3,))/VLOOKUP($U$1,A:C,3,))*100)+100</f>
        <v/>
      </c>
      <c r="J340" s="76">
        <f>(((Table134567891011121314151617343[[#This Row],[DEU]]-VLOOKUP($U$1,A:D,4,))/VLOOKUP($U$1,A:D,4,))*100)+100</f>
        <v/>
      </c>
      <c r="K340" s="76">
        <f>(((Table134567891011121314151617343[[#This Row],[ESP]]-VLOOKUP($U$1,A:E,5,))/VLOOKUP($U$1,A:E,5,))*100)+100</f>
        <v/>
      </c>
      <c r="L340" s="76">
        <f>(((Table134567891011121314151617343[[#This Row],[EA19]]-VLOOKUP($U$1,A:F,6,))/VLOOKUP($U$1,A:F,6,))*100)+100</f>
        <v/>
      </c>
      <c r="M340" s="76">
        <f>(((Table134567891011121314151617343[[#This Row],[GBR]]-VLOOKUP($U$1,A:G,7,))/VLOOKUP($U$1,A:G,7,))*100)+100</f>
        <v/>
      </c>
      <c r="N340" s="76">
        <f>IF(VLOOKUP(A340,Database!$A:$AU,MATCH($N$1,Database!$A$1:$AU$1,0),FALSE)=0,#N/A,VLOOKUP(A340,Database!$A:$AU,MATCH($N$1,Database!$A$1:$AU$1,0),FALSE))</f>
        <v/>
      </c>
      <c r="O340" s="76">
        <f>(((Table134567891011121314151617343[[#This Row],[USA]]-VLOOKUP($U$1,A:N,14,))/VLOOKUP($U$1,A:N,14,))*100)+100</f>
        <v/>
      </c>
      <c r="P340" s="76">
        <f>IF(VLOOKUP(A340,Database!$A:$AS,MATCH($P$1,Database!$A$1:$AS$1,0),FALSE)=0,#N/A,VLOOKUP(A340,Database!$A:$AS,MATCH($P$1,Database!$A$1:$AS$1,0),FALSE))</f>
        <v/>
      </c>
      <c r="Q340" s="76">
        <f>(((Table134567891011121314151617343[[#This Row],[JPN]]-VLOOKUP($U$1,A:Q,16,))/VLOOKUP($U$1,A:Q,16,))*100)+100</f>
        <v/>
      </c>
    </row>
    <row r="341" customFormat="1" s="86">
      <c r="A341" s="21" t="n">
        <v>43191</v>
      </c>
      <c r="B341" s="76">
        <f>IF(VLOOKUP(A341,Database!$A:$AS,MATCH($B$1,Database!$A$1:$AS$1,0),FALSE)=0,#N/A,VLOOKUP(A341,Database!$A:$AS,MATCH($B$1,Database!$A$1:$AS$1,0),FALSE))</f>
        <v/>
      </c>
      <c r="C341" s="76">
        <f>IF(VLOOKUP(A341,Database!$A:$AS,MATCH($C$1,Database!$A$1:$AS$1,0),FALSE)=0,#N/A,VLOOKUP(A341,Database!$A:$AS,MATCH($C$1,Database!$A$1:$AS$1,0),FALSE))</f>
        <v/>
      </c>
      <c r="D341" s="76">
        <f>IF(VLOOKUP(A341,Database!$A:$AS,MATCH($D$1,Database!$A$1:$AS$1,0),FALSE)=0,#N/A,VLOOKUP(A341,Database!$A:$AS,MATCH($D$1,Database!$A$1:$AS$1,0),FALSE))</f>
        <v/>
      </c>
      <c r="E341" s="76">
        <f>IF(VLOOKUP(A341,Database!$A:$AS,MATCH($E$1,Database!$A$1:$AS$1,0),FALSE)=0,#N/A,VLOOKUP(A341,Database!$A:$AS,MATCH($E$1,Database!$A$1:$AS$1,0),FALSE))</f>
        <v/>
      </c>
      <c r="F341" s="76">
        <f>IF(VLOOKUP(A341,Database!$A:$AS,MATCH($F$1,Database!$A$1:$AS$1,0),FALSE)=0,#N/A,VLOOKUP(A341,Database!$A:$AS,MATCH($F$1,Database!$A$1:$AS$1,0),FALSE))</f>
        <v/>
      </c>
      <c r="G341" s="76">
        <f>IF(VLOOKUP(A341,Database!$A:$AS,MATCH($G$1,Database!$A$1:$AS$1,0),FALSE)=0,#N/A,VLOOKUP(A341,Database!$A:$AS,MATCH($G$1,Database!$A$1:$AS$1,0),FALSE))</f>
        <v/>
      </c>
      <c r="H341" s="76">
        <f>(((Table134567891011121314151617343[[#This Row],[ITA]]-VLOOKUP($U$1,A:B,2,))/VLOOKUP($U$1,A:B,2,))*100)+100</f>
        <v/>
      </c>
      <c r="I341" s="76">
        <f>(((Table134567891011121314151617343[[#This Row],[FRA]]-VLOOKUP($U$1,A:C,3,))/VLOOKUP($U$1,A:C,3,))*100)+100</f>
        <v/>
      </c>
      <c r="J341" s="76">
        <f>(((Table134567891011121314151617343[[#This Row],[DEU]]-VLOOKUP($U$1,A:D,4,))/VLOOKUP($U$1,A:D,4,))*100)+100</f>
        <v/>
      </c>
      <c r="K341" s="76">
        <f>(((Table134567891011121314151617343[[#This Row],[ESP]]-VLOOKUP($U$1,A:E,5,))/VLOOKUP($U$1,A:E,5,))*100)+100</f>
        <v/>
      </c>
      <c r="L341" s="76">
        <f>(((Table134567891011121314151617343[[#This Row],[EA19]]-VLOOKUP($U$1,A:F,6,))/VLOOKUP($U$1,A:F,6,))*100)+100</f>
        <v/>
      </c>
      <c r="M341" s="76">
        <f>(((Table134567891011121314151617343[[#This Row],[GBR]]-VLOOKUP($U$1,A:G,7,))/VLOOKUP($U$1,A:G,7,))*100)+100</f>
        <v/>
      </c>
      <c r="N341" s="76">
        <f>IF(VLOOKUP(A341,Database!$A:$AU,MATCH($N$1,Database!$A$1:$AU$1,0),FALSE)=0,#N/A,VLOOKUP(A341,Database!$A:$AU,MATCH($N$1,Database!$A$1:$AU$1,0),FALSE))</f>
        <v/>
      </c>
      <c r="O341" s="76">
        <f>(((Table134567891011121314151617343[[#This Row],[USA]]-VLOOKUP($U$1,A:N,14,))/VLOOKUP($U$1,A:N,14,))*100)+100</f>
        <v/>
      </c>
      <c r="P341" s="76">
        <f>IF(VLOOKUP(A341,Database!$A:$AS,MATCH($P$1,Database!$A$1:$AS$1,0),FALSE)=0,#N/A,VLOOKUP(A341,Database!$A:$AS,MATCH($P$1,Database!$A$1:$AS$1,0),FALSE))</f>
        <v/>
      </c>
      <c r="Q341" s="76">
        <f>(((Table134567891011121314151617343[[#This Row],[JPN]]-VLOOKUP($U$1,A:Q,16,))/VLOOKUP($U$1,A:Q,16,))*100)+100</f>
        <v/>
      </c>
    </row>
    <row r="342" customFormat="1" s="86">
      <c r="A342" s="21" t="n">
        <v>43221</v>
      </c>
      <c r="B342" s="76">
        <f>IF(VLOOKUP(A342,Database!$A:$AS,MATCH($B$1,Database!$A$1:$AS$1,0),FALSE)=0,#N/A,VLOOKUP(A342,Database!$A:$AS,MATCH($B$1,Database!$A$1:$AS$1,0),FALSE))</f>
        <v/>
      </c>
      <c r="C342" s="76">
        <f>IF(VLOOKUP(A342,Database!$A:$AS,MATCH($C$1,Database!$A$1:$AS$1,0),FALSE)=0,#N/A,VLOOKUP(A342,Database!$A:$AS,MATCH($C$1,Database!$A$1:$AS$1,0),FALSE))</f>
        <v/>
      </c>
      <c r="D342" s="76">
        <f>IF(VLOOKUP(A342,Database!$A:$AS,MATCH($D$1,Database!$A$1:$AS$1,0),FALSE)=0,#N/A,VLOOKUP(A342,Database!$A:$AS,MATCH($D$1,Database!$A$1:$AS$1,0),FALSE))</f>
        <v/>
      </c>
      <c r="E342" s="76">
        <f>IF(VLOOKUP(A342,Database!$A:$AS,MATCH($E$1,Database!$A$1:$AS$1,0),FALSE)=0,#N/A,VLOOKUP(A342,Database!$A:$AS,MATCH($E$1,Database!$A$1:$AS$1,0),FALSE))</f>
        <v/>
      </c>
      <c r="F342" s="76">
        <f>IF(VLOOKUP(A342,Database!$A:$AS,MATCH($F$1,Database!$A$1:$AS$1,0),FALSE)=0,#N/A,VLOOKUP(A342,Database!$A:$AS,MATCH($F$1,Database!$A$1:$AS$1,0),FALSE))</f>
        <v/>
      </c>
      <c r="G342" s="76">
        <f>IF(VLOOKUP(A342,Database!$A:$AS,MATCH($G$1,Database!$A$1:$AS$1,0),FALSE)=0,#N/A,VLOOKUP(A342,Database!$A:$AS,MATCH($G$1,Database!$A$1:$AS$1,0),FALSE))</f>
        <v/>
      </c>
      <c r="H342" s="76">
        <f>(((Table134567891011121314151617343[[#This Row],[ITA]]-VLOOKUP($U$1,A:B,2,))/VLOOKUP($U$1,A:B,2,))*100)+100</f>
        <v/>
      </c>
      <c r="I342" s="76">
        <f>(((Table134567891011121314151617343[[#This Row],[FRA]]-VLOOKUP($U$1,A:C,3,))/VLOOKUP($U$1,A:C,3,))*100)+100</f>
        <v/>
      </c>
      <c r="J342" s="76">
        <f>(((Table134567891011121314151617343[[#This Row],[DEU]]-VLOOKUP($U$1,A:D,4,))/VLOOKUP($U$1,A:D,4,))*100)+100</f>
        <v/>
      </c>
      <c r="K342" s="76">
        <f>(((Table134567891011121314151617343[[#This Row],[ESP]]-VLOOKUP($U$1,A:E,5,))/VLOOKUP($U$1,A:E,5,))*100)+100</f>
        <v/>
      </c>
      <c r="L342" s="76">
        <f>(((Table134567891011121314151617343[[#This Row],[EA19]]-VLOOKUP($U$1,A:F,6,))/VLOOKUP($U$1,A:F,6,))*100)+100</f>
        <v/>
      </c>
      <c r="M342" s="76">
        <f>(((Table134567891011121314151617343[[#This Row],[GBR]]-VLOOKUP($U$1,A:G,7,))/VLOOKUP($U$1,A:G,7,))*100)+100</f>
        <v/>
      </c>
      <c r="N342" s="76">
        <f>IF(VLOOKUP(A342,Database!$A:$AU,MATCH($N$1,Database!$A$1:$AU$1,0),FALSE)=0,#N/A,VLOOKUP(A342,Database!$A:$AU,MATCH($N$1,Database!$A$1:$AU$1,0),FALSE))</f>
        <v/>
      </c>
      <c r="O342" s="76">
        <f>(((Table134567891011121314151617343[[#This Row],[USA]]-VLOOKUP($U$1,A:N,14,))/VLOOKUP($U$1,A:N,14,))*100)+100</f>
        <v/>
      </c>
      <c r="P342" s="76">
        <f>IF(VLOOKUP(A342,Database!$A:$AS,MATCH($P$1,Database!$A$1:$AS$1,0),FALSE)=0,#N/A,VLOOKUP(A342,Database!$A:$AS,MATCH($P$1,Database!$A$1:$AS$1,0),FALSE))</f>
        <v/>
      </c>
      <c r="Q342" s="76">
        <f>(((Table134567891011121314151617343[[#This Row],[JPN]]-VLOOKUP($U$1,A:Q,16,))/VLOOKUP($U$1,A:Q,16,))*100)+100</f>
        <v/>
      </c>
    </row>
    <row r="343" customFormat="1" s="86">
      <c r="A343" s="21" t="n">
        <v>43252</v>
      </c>
      <c r="B343" s="76">
        <f>IF(VLOOKUP(A343,Database!$A:$AS,MATCH($B$1,Database!$A$1:$AS$1,0),FALSE)=0,#N/A,VLOOKUP(A343,Database!$A:$AS,MATCH($B$1,Database!$A$1:$AS$1,0),FALSE))</f>
        <v/>
      </c>
      <c r="C343" s="76">
        <f>IF(VLOOKUP(A343,Database!$A:$AS,MATCH($C$1,Database!$A$1:$AS$1,0),FALSE)=0,#N/A,VLOOKUP(A343,Database!$A:$AS,MATCH($C$1,Database!$A$1:$AS$1,0),FALSE))</f>
        <v/>
      </c>
      <c r="D343" s="76">
        <f>IF(VLOOKUP(A343,Database!$A:$AS,MATCH($D$1,Database!$A$1:$AS$1,0),FALSE)=0,#N/A,VLOOKUP(A343,Database!$A:$AS,MATCH($D$1,Database!$A$1:$AS$1,0),FALSE))</f>
        <v/>
      </c>
      <c r="E343" s="76">
        <f>IF(VLOOKUP(A343,Database!$A:$AS,MATCH($E$1,Database!$A$1:$AS$1,0),FALSE)=0,#N/A,VLOOKUP(A343,Database!$A:$AS,MATCH($E$1,Database!$A$1:$AS$1,0),FALSE))</f>
        <v/>
      </c>
      <c r="F343" s="76">
        <f>IF(VLOOKUP(A343,Database!$A:$AS,MATCH($F$1,Database!$A$1:$AS$1,0),FALSE)=0,#N/A,VLOOKUP(A343,Database!$A:$AS,MATCH($F$1,Database!$A$1:$AS$1,0),FALSE))</f>
        <v/>
      </c>
      <c r="G343" s="76">
        <f>IF(VLOOKUP(A343,Database!$A:$AS,MATCH($G$1,Database!$A$1:$AS$1,0),FALSE)=0,#N/A,VLOOKUP(A343,Database!$A:$AS,MATCH($G$1,Database!$A$1:$AS$1,0),FALSE))</f>
        <v/>
      </c>
      <c r="H343" s="76">
        <f>(((Table134567891011121314151617343[[#This Row],[ITA]]-VLOOKUP($U$1,A:B,2,))/VLOOKUP($U$1,A:B,2,))*100)+100</f>
        <v/>
      </c>
      <c r="I343" s="76">
        <f>(((Table134567891011121314151617343[[#This Row],[FRA]]-VLOOKUP($U$1,A:C,3,))/VLOOKUP($U$1,A:C,3,))*100)+100</f>
        <v/>
      </c>
      <c r="J343" s="76">
        <f>(((Table134567891011121314151617343[[#This Row],[DEU]]-VLOOKUP($U$1,A:D,4,))/VLOOKUP($U$1,A:D,4,))*100)+100</f>
        <v/>
      </c>
      <c r="K343" s="76">
        <f>(((Table134567891011121314151617343[[#This Row],[ESP]]-VLOOKUP($U$1,A:E,5,))/VLOOKUP($U$1,A:E,5,))*100)+100</f>
        <v/>
      </c>
      <c r="L343" s="76">
        <f>(((Table134567891011121314151617343[[#This Row],[EA19]]-VLOOKUP($U$1,A:F,6,))/VLOOKUP($U$1,A:F,6,))*100)+100</f>
        <v/>
      </c>
      <c r="M343" s="76">
        <f>(((Table134567891011121314151617343[[#This Row],[GBR]]-VLOOKUP($U$1,A:G,7,))/VLOOKUP($U$1,A:G,7,))*100)+100</f>
        <v/>
      </c>
      <c r="N343" s="76">
        <f>IF(VLOOKUP(A343,Database!$A:$AU,MATCH($N$1,Database!$A$1:$AU$1,0),FALSE)=0,#N/A,VLOOKUP(A343,Database!$A:$AU,MATCH($N$1,Database!$A$1:$AU$1,0),FALSE))</f>
        <v/>
      </c>
      <c r="O343" s="76">
        <f>(((Table134567891011121314151617343[[#This Row],[USA]]-VLOOKUP($U$1,A:N,14,))/VLOOKUP($U$1,A:N,14,))*100)+100</f>
        <v/>
      </c>
      <c r="P343" s="76">
        <f>IF(VLOOKUP(A343,Database!$A:$AS,MATCH($P$1,Database!$A$1:$AS$1,0),FALSE)=0,#N/A,VLOOKUP(A343,Database!$A:$AS,MATCH($P$1,Database!$A$1:$AS$1,0),FALSE))</f>
        <v/>
      </c>
      <c r="Q343" s="76">
        <f>(((Table134567891011121314151617343[[#This Row],[JPN]]-VLOOKUP($U$1,A:Q,16,))/VLOOKUP($U$1,A:Q,16,))*100)+100</f>
        <v/>
      </c>
    </row>
    <row r="344" customFormat="1" s="86">
      <c r="A344" s="21" t="n">
        <v>43282</v>
      </c>
      <c r="B344" s="76">
        <f>IF(VLOOKUP(A344,Database!$A:$AS,MATCH($B$1,Database!$A$1:$AS$1,0),FALSE)=0,#N/A,VLOOKUP(A344,Database!$A:$AS,MATCH($B$1,Database!$A$1:$AS$1,0),FALSE))</f>
        <v/>
      </c>
      <c r="C344" s="76">
        <f>IF(VLOOKUP(A344,Database!$A:$AS,MATCH($C$1,Database!$A$1:$AS$1,0),FALSE)=0,#N/A,VLOOKUP(A344,Database!$A:$AS,MATCH($C$1,Database!$A$1:$AS$1,0),FALSE))</f>
        <v/>
      </c>
      <c r="D344" s="76">
        <f>IF(VLOOKUP(A344,Database!$A:$AS,MATCH($D$1,Database!$A$1:$AS$1,0),FALSE)=0,#N/A,VLOOKUP(A344,Database!$A:$AS,MATCH($D$1,Database!$A$1:$AS$1,0),FALSE))</f>
        <v/>
      </c>
      <c r="E344" s="76">
        <f>IF(VLOOKUP(A344,Database!$A:$AS,MATCH($E$1,Database!$A$1:$AS$1,0),FALSE)=0,#N/A,VLOOKUP(A344,Database!$A:$AS,MATCH($E$1,Database!$A$1:$AS$1,0),FALSE))</f>
        <v/>
      </c>
      <c r="F344" s="76">
        <f>IF(VLOOKUP(A344,Database!$A:$AS,MATCH($F$1,Database!$A$1:$AS$1,0),FALSE)=0,#N/A,VLOOKUP(A344,Database!$A:$AS,MATCH($F$1,Database!$A$1:$AS$1,0),FALSE))</f>
        <v/>
      </c>
      <c r="G344" s="76">
        <f>IF(VLOOKUP(A344,Database!$A:$AS,MATCH($G$1,Database!$A$1:$AS$1,0),FALSE)=0,#N/A,VLOOKUP(A344,Database!$A:$AS,MATCH($G$1,Database!$A$1:$AS$1,0),FALSE))</f>
        <v/>
      </c>
      <c r="H344" s="76">
        <f>(((Table134567891011121314151617343[[#This Row],[ITA]]-VLOOKUP($U$1,A:B,2,))/VLOOKUP($U$1,A:B,2,))*100)+100</f>
        <v/>
      </c>
      <c r="I344" s="76">
        <f>(((Table134567891011121314151617343[[#This Row],[FRA]]-VLOOKUP($U$1,A:C,3,))/VLOOKUP($U$1,A:C,3,))*100)+100</f>
        <v/>
      </c>
      <c r="J344" s="76">
        <f>(((Table134567891011121314151617343[[#This Row],[DEU]]-VLOOKUP($U$1,A:D,4,))/VLOOKUP($U$1,A:D,4,))*100)+100</f>
        <v/>
      </c>
      <c r="K344" s="76">
        <f>(((Table134567891011121314151617343[[#This Row],[ESP]]-VLOOKUP($U$1,A:E,5,))/VLOOKUP($U$1,A:E,5,))*100)+100</f>
        <v/>
      </c>
      <c r="L344" s="76">
        <f>(((Table134567891011121314151617343[[#This Row],[EA19]]-VLOOKUP($U$1,A:F,6,))/VLOOKUP($U$1,A:F,6,))*100)+100</f>
        <v/>
      </c>
      <c r="M344" s="76">
        <f>(((Table134567891011121314151617343[[#This Row],[GBR]]-VLOOKUP($U$1,A:G,7,))/VLOOKUP($U$1,A:G,7,))*100)+100</f>
        <v/>
      </c>
      <c r="N344" s="76">
        <f>IF(VLOOKUP(A344,Database!$A:$AU,MATCH($N$1,Database!$A$1:$AU$1,0),FALSE)=0,#N/A,VLOOKUP(A344,Database!$A:$AU,MATCH($N$1,Database!$A$1:$AU$1,0),FALSE))</f>
        <v/>
      </c>
      <c r="O344" s="76">
        <f>(((Table134567891011121314151617343[[#This Row],[USA]]-VLOOKUP($U$1,A:N,14,))/VLOOKUP($U$1,A:N,14,))*100)+100</f>
        <v/>
      </c>
      <c r="P344" s="76">
        <f>IF(VLOOKUP(A344,Database!$A:$AS,MATCH($P$1,Database!$A$1:$AS$1,0),FALSE)=0,#N/A,VLOOKUP(A344,Database!$A:$AS,MATCH($P$1,Database!$A$1:$AS$1,0),FALSE))</f>
        <v/>
      </c>
      <c r="Q344" s="76">
        <f>(((Table134567891011121314151617343[[#This Row],[JPN]]-VLOOKUP($U$1,A:Q,16,))/VLOOKUP($U$1,A:Q,16,))*100)+100</f>
        <v/>
      </c>
    </row>
    <row r="345" customFormat="1" s="86">
      <c r="A345" s="21" t="n">
        <v>43313</v>
      </c>
      <c r="B345" s="76">
        <f>IF(VLOOKUP(A345,Database!$A:$AS,MATCH($B$1,Database!$A$1:$AS$1,0),FALSE)=0,#N/A,VLOOKUP(A345,Database!$A:$AS,MATCH($B$1,Database!$A$1:$AS$1,0),FALSE))</f>
        <v/>
      </c>
      <c r="C345" s="76">
        <f>IF(VLOOKUP(A345,Database!$A:$AS,MATCH($C$1,Database!$A$1:$AS$1,0),FALSE)=0,#N/A,VLOOKUP(A345,Database!$A:$AS,MATCH($C$1,Database!$A$1:$AS$1,0),FALSE))</f>
        <v/>
      </c>
      <c r="D345" s="76">
        <f>IF(VLOOKUP(A345,Database!$A:$AS,MATCH($D$1,Database!$A$1:$AS$1,0),FALSE)=0,#N/A,VLOOKUP(A345,Database!$A:$AS,MATCH($D$1,Database!$A$1:$AS$1,0),FALSE))</f>
        <v/>
      </c>
      <c r="E345" s="76">
        <f>IF(VLOOKUP(A345,Database!$A:$AS,MATCH($E$1,Database!$A$1:$AS$1,0),FALSE)=0,#N/A,VLOOKUP(A345,Database!$A:$AS,MATCH($E$1,Database!$A$1:$AS$1,0),FALSE))</f>
        <v/>
      </c>
      <c r="F345" s="76">
        <f>IF(VLOOKUP(A345,Database!$A:$AS,MATCH($F$1,Database!$A$1:$AS$1,0),FALSE)=0,#N/A,VLOOKUP(A345,Database!$A:$AS,MATCH($F$1,Database!$A$1:$AS$1,0),FALSE))</f>
        <v/>
      </c>
      <c r="G345" s="76">
        <f>IF(VLOOKUP(A345,Database!$A:$AS,MATCH($G$1,Database!$A$1:$AS$1,0),FALSE)=0,#N/A,VLOOKUP(A345,Database!$A:$AS,MATCH($G$1,Database!$A$1:$AS$1,0),FALSE))</f>
        <v/>
      </c>
      <c r="H345" s="76">
        <f>(((Table134567891011121314151617343[[#This Row],[ITA]]-VLOOKUP($U$1,A:B,2,))/VLOOKUP($U$1,A:B,2,))*100)+100</f>
        <v/>
      </c>
      <c r="I345" s="76">
        <f>(((Table134567891011121314151617343[[#This Row],[FRA]]-VLOOKUP($U$1,A:C,3,))/VLOOKUP($U$1,A:C,3,))*100)+100</f>
        <v/>
      </c>
      <c r="J345" s="76">
        <f>(((Table134567891011121314151617343[[#This Row],[DEU]]-VLOOKUP($U$1,A:D,4,))/VLOOKUP($U$1,A:D,4,))*100)+100</f>
        <v/>
      </c>
      <c r="K345" s="76">
        <f>(((Table134567891011121314151617343[[#This Row],[ESP]]-VLOOKUP($U$1,A:E,5,))/VLOOKUP($U$1,A:E,5,))*100)+100</f>
        <v/>
      </c>
      <c r="L345" s="76">
        <f>(((Table134567891011121314151617343[[#This Row],[EA19]]-VLOOKUP($U$1,A:F,6,))/VLOOKUP($U$1,A:F,6,))*100)+100</f>
        <v/>
      </c>
      <c r="M345" s="76">
        <f>(((Table134567891011121314151617343[[#This Row],[GBR]]-VLOOKUP($U$1,A:G,7,))/VLOOKUP($U$1,A:G,7,))*100)+100</f>
        <v/>
      </c>
      <c r="N345" s="76">
        <f>IF(VLOOKUP(A345,Database!$A:$AU,MATCH($N$1,Database!$A$1:$AU$1,0),FALSE)=0,#N/A,VLOOKUP(A345,Database!$A:$AU,MATCH($N$1,Database!$A$1:$AU$1,0),FALSE))</f>
        <v/>
      </c>
      <c r="O345" s="76">
        <f>(((Table134567891011121314151617343[[#This Row],[USA]]-VLOOKUP($U$1,A:N,14,))/VLOOKUP($U$1,A:N,14,))*100)+100</f>
        <v/>
      </c>
      <c r="P345" s="76">
        <f>IF(VLOOKUP(A345,Database!$A:$AS,MATCH($P$1,Database!$A$1:$AS$1,0),FALSE)=0,#N/A,VLOOKUP(A345,Database!$A:$AS,MATCH($P$1,Database!$A$1:$AS$1,0),FALSE))</f>
        <v/>
      </c>
      <c r="Q345" s="76">
        <f>(((Table134567891011121314151617343[[#This Row],[JPN]]-VLOOKUP($U$1,A:Q,16,))/VLOOKUP($U$1,A:Q,16,))*100)+100</f>
        <v/>
      </c>
    </row>
    <row r="346" customFormat="1" s="86">
      <c r="A346" s="21" t="n">
        <v>43344</v>
      </c>
      <c r="B346" s="76">
        <f>IF(VLOOKUP(A346,Database!$A:$AS,MATCH($B$1,Database!$A$1:$AS$1,0),FALSE)=0,#N/A,VLOOKUP(A346,Database!$A:$AS,MATCH($B$1,Database!$A$1:$AS$1,0),FALSE))</f>
        <v/>
      </c>
      <c r="C346" s="76">
        <f>IF(VLOOKUP(A346,Database!$A:$AS,MATCH($C$1,Database!$A$1:$AS$1,0),FALSE)=0,#N/A,VLOOKUP(A346,Database!$A:$AS,MATCH($C$1,Database!$A$1:$AS$1,0),FALSE))</f>
        <v/>
      </c>
      <c r="D346" s="76">
        <f>IF(VLOOKUP(A346,Database!$A:$AS,MATCH($D$1,Database!$A$1:$AS$1,0),FALSE)=0,#N/A,VLOOKUP(A346,Database!$A:$AS,MATCH($D$1,Database!$A$1:$AS$1,0),FALSE))</f>
        <v/>
      </c>
      <c r="E346" s="76">
        <f>IF(VLOOKUP(A346,Database!$A:$AS,MATCH($E$1,Database!$A$1:$AS$1,0),FALSE)=0,#N/A,VLOOKUP(A346,Database!$A:$AS,MATCH($E$1,Database!$A$1:$AS$1,0),FALSE))</f>
        <v/>
      </c>
      <c r="F346" s="76">
        <f>IF(VLOOKUP(A346,Database!$A:$AS,MATCH($F$1,Database!$A$1:$AS$1,0),FALSE)=0,#N/A,VLOOKUP(A346,Database!$A:$AS,MATCH($F$1,Database!$A$1:$AS$1,0),FALSE))</f>
        <v/>
      </c>
      <c r="G346" s="76">
        <f>IF(VLOOKUP(A346,Database!$A:$AS,MATCH($G$1,Database!$A$1:$AS$1,0),FALSE)=0,#N/A,VLOOKUP(A346,Database!$A:$AS,MATCH($G$1,Database!$A$1:$AS$1,0),FALSE))</f>
        <v/>
      </c>
      <c r="H346" s="76">
        <f>(((Table134567891011121314151617343[[#This Row],[ITA]]-VLOOKUP($U$1,A:B,2,))/VLOOKUP($U$1,A:B,2,))*100)+100</f>
        <v/>
      </c>
      <c r="I346" s="76">
        <f>(((Table134567891011121314151617343[[#This Row],[FRA]]-VLOOKUP($U$1,A:C,3,))/VLOOKUP($U$1,A:C,3,))*100)+100</f>
        <v/>
      </c>
      <c r="J346" s="76">
        <f>(((Table134567891011121314151617343[[#This Row],[DEU]]-VLOOKUP($U$1,A:D,4,))/VLOOKUP($U$1,A:D,4,))*100)+100</f>
        <v/>
      </c>
      <c r="K346" s="76">
        <f>(((Table134567891011121314151617343[[#This Row],[ESP]]-VLOOKUP($U$1,A:E,5,))/VLOOKUP($U$1,A:E,5,))*100)+100</f>
        <v/>
      </c>
      <c r="L346" s="76">
        <f>(((Table134567891011121314151617343[[#This Row],[EA19]]-VLOOKUP($U$1,A:F,6,))/VLOOKUP($U$1,A:F,6,))*100)+100</f>
        <v/>
      </c>
      <c r="M346" s="76">
        <f>(((Table134567891011121314151617343[[#This Row],[GBR]]-VLOOKUP($U$1,A:G,7,))/VLOOKUP($U$1,A:G,7,))*100)+100</f>
        <v/>
      </c>
      <c r="N346" s="76">
        <f>IF(VLOOKUP(A346,Database!$A:$AU,MATCH($N$1,Database!$A$1:$AU$1,0),FALSE)=0,#N/A,VLOOKUP(A346,Database!$A:$AU,MATCH($N$1,Database!$A$1:$AU$1,0),FALSE))</f>
        <v/>
      </c>
      <c r="O346" s="76">
        <f>(((Table134567891011121314151617343[[#This Row],[USA]]-VLOOKUP($U$1,A:N,14,))/VLOOKUP($U$1,A:N,14,))*100)+100</f>
        <v/>
      </c>
      <c r="P346" s="76">
        <f>IF(VLOOKUP(A346,Database!$A:$AS,MATCH($P$1,Database!$A$1:$AS$1,0),FALSE)=0,#N/A,VLOOKUP(A346,Database!$A:$AS,MATCH($P$1,Database!$A$1:$AS$1,0),FALSE))</f>
        <v/>
      </c>
      <c r="Q346" s="76">
        <f>(((Table134567891011121314151617343[[#This Row],[JPN]]-VLOOKUP($U$1,A:Q,16,))/VLOOKUP($U$1,A:Q,16,))*100)+100</f>
        <v/>
      </c>
    </row>
    <row r="347" customFormat="1" s="86">
      <c r="A347" s="21" t="n">
        <v>43374</v>
      </c>
      <c r="B347" s="76">
        <f>IF(VLOOKUP(A347,Database!$A:$AS,MATCH($B$1,Database!$A$1:$AS$1,0),FALSE)=0,#N/A,VLOOKUP(A347,Database!$A:$AS,MATCH($B$1,Database!$A$1:$AS$1,0),FALSE))</f>
        <v/>
      </c>
      <c r="C347" s="76">
        <f>IF(VLOOKUP(A347,Database!$A:$AS,MATCH($C$1,Database!$A$1:$AS$1,0),FALSE)=0,#N/A,VLOOKUP(A347,Database!$A:$AS,MATCH($C$1,Database!$A$1:$AS$1,0),FALSE))</f>
        <v/>
      </c>
      <c r="D347" s="76">
        <f>IF(VLOOKUP(A347,Database!$A:$AS,MATCH($D$1,Database!$A$1:$AS$1,0),FALSE)=0,#N/A,VLOOKUP(A347,Database!$A:$AS,MATCH($D$1,Database!$A$1:$AS$1,0),FALSE))</f>
        <v/>
      </c>
      <c r="E347" s="76">
        <f>IF(VLOOKUP(A347,Database!$A:$AS,MATCH($E$1,Database!$A$1:$AS$1,0),FALSE)=0,#N/A,VLOOKUP(A347,Database!$A:$AS,MATCH($E$1,Database!$A$1:$AS$1,0),FALSE))</f>
        <v/>
      </c>
      <c r="F347" s="76">
        <f>IF(VLOOKUP(A347,Database!$A:$AS,MATCH($F$1,Database!$A$1:$AS$1,0),FALSE)=0,#N/A,VLOOKUP(A347,Database!$A:$AS,MATCH($F$1,Database!$A$1:$AS$1,0),FALSE))</f>
        <v/>
      </c>
      <c r="G347" s="76">
        <f>IF(VLOOKUP(A347,Database!$A:$AS,MATCH($G$1,Database!$A$1:$AS$1,0),FALSE)=0,#N/A,VLOOKUP(A347,Database!$A:$AS,MATCH($G$1,Database!$A$1:$AS$1,0),FALSE))</f>
        <v/>
      </c>
      <c r="H347" s="76">
        <f>(((Table134567891011121314151617343[[#This Row],[ITA]]-VLOOKUP($U$1,A:B,2,))/VLOOKUP($U$1,A:B,2,))*100)+100</f>
        <v/>
      </c>
      <c r="I347" s="76">
        <f>(((Table134567891011121314151617343[[#This Row],[FRA]]-VLOOKUP($U$1,A:C,3,))/VLOOKUP($U$1,A:C,3,))*100)+100</f>
        <v/>
      </c>
      <c r="J347" s="76">
        <f>(((Table134567891011121314151617343[[#This Row],[DEU]]-VLOOKUP($U$1,A:D,4,))/VLOOKUP($U$1,A:D,4,))*100)+100</f>
        <v/>
      </c>
      <c r="K347" s="76">
        <f>(((Table134567891011121314151617343[[#This Row],[ESP]]-VLOOKUP($U$1,A:E,5,))/VLOOKUP($U$1,A:E,5,))*100)+100</f>
        <v/>
      </c>
      <c r="L347" s="76">
        <f>(((Table134567891011121314151617343[[#This Row],[EA19]]-VLOOKUP($U$1,A:F,6,))/VLOOKUP($U$1,A:F,6,))*100)+100</f>
        <v/>
      </c>
      <c r="M347" s="76">
        <f>(((Table134567891011121314151617343[[#This Row],[GBR]]-VLOOKUP($U$1,A:G,7,))/VLOOKUP($U$1,A:G,7,))*100)+100</f>
        <v/>
      </c>
      <c r="N347" s="76">
        <f>IF(VLOOKUP(A347,Database!$A:$AU,MATCH($N$1,Database!$A$1:$AU$1,0),FALSE)=0,#N/A,VLOOKUP(A347,Database!$A:$AU,MATCH($N$1,Database!$A$1:$AU$1,0),FALSE))</f>
        <v/>
      </c>
      <c r="O347" s="76">
        <f>(((Table134567891011121314151617343[[#This Row],[USA]]-VLOOKUP($U$1,A:N,14,))/VLOOKUP($U$1,A:N,14,))*100)+100</f>
        <v/>
      </c>
      <c r="P347" s="76">
        <f>IF(VLOOKUP(A347,Database!$A:$AS,MATCH($P$1,Database!$A$1:$AS$1,0),FALSE)=0,#N/A,VLOOKUP(A347,Database!$A:$AS,MATCH($P$1,Database!$A$1:$AS$1,0),FALSE))</f>
        <v/>
      </c>
      <c r="Q347" s="76">
        <f>(((Table134567891011121314151617343[[#This Row],[JPN]]-VLOOKUP($U$1,A:Q,16,))/VLOOKUP($U$1,A:Q,16,))*100)+100</f>
        <v/>
      </c>
    </row>
    <row r="348" customFormat="1" s="86">
      <c r="A348" s="21" t="n">
        <v>43405</v>
      </c>
      <c r="B348" s="76">
        <f>IF(VLOOKUP(A348,Database!$A:$AS,MATCH($B$1,Database!$A$1:$AS$1,0),FALSE)=0,#N/A,VLOOKUP(A348,Database!$A:$AS,MATCH($B$1,Database!$A$1:$AS$1,0),FALSE))</f>
        <v/>
      </c>
      <c r="C348" s="76">
        <f>IF(VLOOKUP(A348,Database!$A:$AS,MATCH($C$1,Database!$A$1:$AS$1,0),FALSE)=0,#N/A,VLOOKUP(A348,Database!$A:$AS,MATCH($C$1,Database!$A$1:$AS$1,0),FALSE))</f>
        <v/>
      </c>
      <c r="D348" s="76">
        <f>IF(VLOOKUP(A348,Database!$A:$AS,MATCH($D$1,Database!$A$1:$AS$1,0),FALSE)=0,#N/A,VLOOKUP(A348,Database!$A:$AS,MATCH($D$1,Database!$A$1:$AS$1,0),FALSE))</f>
        <v/>
      </c>
      <c r="E348" s="76">
        <f>IF(VLOOKUP(A348,Database!$A:$AS,MATCH($E$1,Database!$A$1:$AS$1,0),FALSE)=0,#N/A,VLOOKUP(A348,Database!$A:$AS,MATCH($E$1,Database!$A$1:$AS$1,0),FALSE))</f>
        <v/>
      </c>
      <c r="F348" s="76">
        <f>IF(VLOOKUP(A348,Database!$A:$AS,MATCH($F$1,Database!$A$1:$AS$1,0),FALSE)=0,#N/A,VLOOKUP(A348,Database!$A:$AS,MATCH($F$1,Database!$A$1:$AS$1,0),FALSE))</f>
        <v/>
      </c>
      <c r="G348" s="76">
        <f>IF(VLOOKUP(A348,Database!$A:$AS,MATCH($G$1,Database!$A$1:$AS$1,0),FALSE)=0,#N/A,VLOOKUP(A348,Database!$A:$AS,MATCH($G$1,Database!$A$1:$AS$1,0),FALSE))</f>
        <v/>
      </c>
      <c r="H348" s="76">
        <f>(((Table134567891011121314151617343[[#This Row],[ITA]]-VLOOKUP($U$1,A:B,2,))/VLOOKUP($U$1,A:B,2,))*100)+100</f>
        <v/>
      </c>
      <c r="I348" s="76">
        <f>(((Table134567891011121314151617343[[#This Row],[FRA]]-VLOOKUP($U$1,A:C,3,))/VLOOKUP($U$1,A:C,3,))*100)+100</f>
        <v/>
      </c>
      <c r="J348" s="76">
        <f>(((Table134567891011121314151617343[[#This Row],[DEU]]-VLOOKUP($U$1,A:D,4,))/VLOOKUP($U$1,A:D,4,))*100)+100</f>
        <v/>
      </c>
      <c r="K348" s="76">
        <f>(((Table134567891011121314151617343[[#This Row],[ESP]]-VLOOKUP($U$1,A:E,5,))/VLOOKUP($U$1,A:E,5,))*100)+100</f>
        <v/>
      </c>
      <c r="L348" s="76">
        <f>(((Table134567891011121314151617343[[#This Row],[EA19]]-VLOOKUP($U$1,A:F,6,))/VLOOKUP($U$1,A:F,6,))*100)+100</f>
        <v/>
      </c>
      <c r="M348" s="76">
        <f>(((Table134567891011121314151617343[[#This Row],[GBR]]-VLOOKUP($U$1,A:G,7,))/VLOOKUP($U$1,A:G,7,))*100)+100</f>
        <v/>
      </c>
      <c r="N348" s="76">
        <f>IF(VLOOKUP(A348,Database!$A:$AU,MATCH($N$1,Database!$A$1:$AU$1,0),FALSE)=0,#N/A,VLOOKUP(A348,Database!$A:$AU,MATCH($N$1,Database!$A$1:$AU$1,0),FALSE))</f>
        <v/>
      </c>
      <c r="O348" s="76">
        <f>(((Table134567891011121314151617343[[#This Row],[USA]]-VLOOKUP($U$1,A:N,14,))/VLOOKUP($U$1,A:N,14,))*100)+100</f>
        <v/>
      </c>
      <c r="P348" s="76">
        <f>IF(VLOOKUP(A348,Database!$A:$AS,MATCH($P$1,Database!$A$1:$AS$1,0),FALSE)=0,#N/A,VLOOKUP(A348,Database!$A:$AS,MATCH($P$1,Database!$A$1:$AS$1,0),FALSE))</f>
        <v/>
      </c>
      <c r="Q348" s="76">
        <f>(((Table134567891011121314151617343[[#This Row],[JPN]]-VLOOKUP($U$1,A:Q,16,))/VLOOKUP($U$1,A:Q,16,))*100)+100</f>
        <v/>
      </c>
    </row>
    <row r="349" customFormat="1" s="86">
      <c r="A349" s="21" t="n">
        <v>43435</v>
      </c>
      <c r="B349" s="76">
        <f>IF(VLOOKUP(A349,Database!$A:$AS,MATCH($B$1,Database!$A$1:$AS$1,0),FALSE)=0,#N/A,VLOOKUP(A349,Database!$A:$AS,MATCH($B$1,Database!$A$1:$AS$1,0),FALSE))</f>
        <v/>
      </c>
      <c r="C349" s="76">
        <f>IF(VLOOKUP(A349,Database!$A:$AS,MATCH($C$1,Database!$A$1:$AS$1,0),FALSE)=0,#N/A,VLOOKUP(A349,Database!$A:$AS,MATCH($C$1,Database!$A$1:$AS$1,0),FALSE))</f>
        <v/>
      </c>
      <c r="D349" s="76">
        <f>IF(VLOOKUP(A349,Database!$A:$AS,MATCH($D$1,Database!$A$1:$AS$1,0),FALSE)=0,#N/A,VLOOKUP(A349,Database!$A:$AS,MATCH($D$1,Database!$A$1:$AS$1,0),FALSE))</f>
        <v/>
      </c>
      <c r="E349" s="76">
        <f>IF(VLOOKUP(A349,Database!$A:$AS,MATCH($E$1,Database!$A$1:$AS$1,0),FALSE)=0,#N/A,VLOOKUP(A349,Database!$A:$AS,MATCH($E$1,Database!$A$1:$AS$1,0),FALSE))</f>
        <v/>
      </c>
      <c r="F349" s="76">
        <f>IF(VLOOKUP(A349,Database!$A:$AS,MATCH($F$1,Database!$A$1:$AS$1,0),FALSE)=0,#N/A,VLOOKUP(A349,Database!$A:$AS,MATCH($F$1,Database!$A$1:$AS$1,0),FALSE))</f>
        <v/>
      </c>
      <c r="G349" s="76">
        <f>IF(VLOOKUP(A349,Database!$A:$AS,MATCH($G$1,Database!$A$1:$AS$1,0),FALSE)=0,#N/A,VLOOKUP(A349,Database!$A:$AS,MATCH($G$1,Database!$A$1:$AS$1,0),FALSE))</f>
        <v/>
      </c>
      <c r="H349" s="76">
        <f>(((Table134567891011121314151617343[[#This Row],[ITA]]-VLOOKUP($U$1,A:B,2,))/VLOOKUP($U$1,A:B,2,))*100)+100</f>
        <v/>
      </c>
      <c r="I349" s="76">
        <f>(((Table134567891011121314151617343[[#This Row],[FRA]]-VLOOKUP($U$1,A:C,3,))/VLOOKUP($U$1,A:C,3,))*100)+100</f>
        <v/>
      </c>
      <c r="J349" s="76">
        <f>(((Table134567891011121314151617343[[#This Row],[DEU]]-VLOOKUP($U$1,A:D,4,))/VLOOKUP($U$1,A:D,4,))*100)+100</f>
        <v/>
      </c>
      <c r="K349" s="76">
        <f>(((Table134567891011121314151617343[[#This Row],[ESP]]-VLOOKUP($U$1,A:E,5,))/VLOOKUP($U$1,A:E,5,))*100)+100</f>
        <v/>
      </c>
      <c r="L349" s="76">
        <f>(((Table134567891011121314151617343[[#This Row],[EA19]]-VLOOKUP($U$1,A:F,6,))/VLOOKUP($U$1,A:F,6,))*100)+100</f>
        <v/>
      </c>
      <c r="M349" s="76">
        <f>(((Table134567891011121314151617343[[#This Row],[GBR]]-VLOOKUP($U$1,A:G,7,))/VLOOKUP($U$1,A:G,7,))*100)+100</f>
        <v/>
      </c>
      <c r="N349" s="76">
        <f>IF(VLOOKUP(A349,Database!$A:$AU,MATCH($N$1,Database!$A$1:$AU$1,0),FALSE)=0,#N/A,VLOOKUP(A349,Database!$A:$AU,MATCH($N$1,Database!$A$1:$AU$1,0),FALSE))</f>
        <v/>
      </c>
      <c r="O349" s="76">
        <f>(((Table134567891011121314151617343[[#This Row],[USA]]-VLOOKUP($U$1,A:N,14,))/VLOOKUP($U$1,A:N,14,))*100)+100</f>
        <v/>
      </c>
      <c r="P349" s="76">
        <f>IF(VLOOKUP(A349,Database!$A:$AS,MATCH($P$1,Database!$A$1:$AS$1,0),FALSE)=0,#N/A,VLOOKUP(A349,Database!$A:$AS,MATCH($P$1,Database!$A$1:$AS$1,0),FALSE))</f>
        <v/>
      </c>
      <c r="Q349" s="76">
        <f>(((Table134567891011121314151617343[[#This Row],[JPN]]-VLOOKUP($U$1,A:Q,16,))/VLOOKUP($U$1,A:Q,16,))*100)+100</f>
        <v/>
      </c>
    </row>
    <row r="350" customFormat="1" s="86">
      <c r="A350" s="21" t="n">
        <v>43466</v>
      </c>
      <c r="B350" s="76">
        <f>IF(VLOOKUP(A350,Database!$A:$AS,MATCH($B$1,Database!$A$1:$AS$1,0),FALSE)=0,#N/A,VLOOKUP(A350,Database!$A:$AS,MATCH($B$1,Database!$A$1:$AS$1,0),FALSE))</f>
        <v/>
      </c>
      <c r="C350" s="76">
        <f>IF(VLOOKUP(A350,Database!$A:$AS,MATCH($C$1,Database!$A$1:$AS$1,0),FALSE)=0,#N/A,VLOOKUP(A350,Database!$A:$AS,MATCH($C$1,Database!$A$1:$AS$1,0),FALSE))</f>
        <v/>
      </c>
      <c r="D350" s="76">
        <f>IF(VLOOKUP(A350,Database!$A:$AS,MATCH($D$1,Database!$A$1:$AS$1,0),FALSE)=0,#N/A,VLOOKUP(A350,Database!$A:$AS,MATCH($D$1,Database!$A$1:$AS$1,0),FALSE))</f>
        <v/>
      </c>
      <c r="E350" s="76">
        <f>IF(VLOOKUP(A350,Database!$A:$AS,MATCH($E$1,Database!$A$1:$AS$1,0),FALSE)=0,#N/A,VLOOKUP(A350,Database!$A:$AS,MATCH($E$1,Database!$A$1:$AS$1,0),FALSE))</f>
        <v/>
      </c>
      <c r="F350" s="76">
        <f>IF(VLOOKUP(A350,Database!$A:$AS,MATCH($F$1,Database!$A$1:$AS$1,0),FALSE)=0,#N/A,VLOOKUP(A350,Database!$A:$AS,MATCH($F$1,Database!$A$1:$AS$1,0),FALSE))</f>
        <v/>
      </c>
      <c r="G350" s="76">
        <f>IF(VLOOKUP(A350,Database!$A:$AS,MATCH($G$1,Database!$A$1:$AS$1,0),FALSE)=0,#N/A,VLOOKUP(A350,Database!$A:$AS,MATCH($G$1,Database!$A$1:$AS$1,0),FALSE))</f>
        <v/>
      </c>
      <c r="H350" s="76">
        <f>(((Table134567891011121314151617343[[#This Row],[ITA]]-VLOOKUP($U$1,A:B,2,))/VLOOKUP($U$1,A:B,2,))*100)+100</f>
        <v/>
      </c>
      <c r="I350" s="76">
        <f>(((Table134567891011121314151617343[[#This Row],[FRA]]-VLOOKUP($U$1,A:C,3,))/VLOOKUP($U$1,A:C,3,))*100)+100</f>
        <v/>
      </c>
      <c r="J350" s="76">
        <f>(((Table134567891011121314151617343[[#This Row],[DEU]]-VLOOKUP($U$1,A:D,4,))/VLOOKUP($U$1,A:D,4,))*100)+100</f>
        <v/>
      </c>
      <c r="K350" s="76">
        <f>(((Table134567891011121314151617343[[#This Row],[ESP]]-VLOOKUP($U$1,A:E,5,))/VLOOKUP($U$1,A:E,5,))*100)+100</f>
        <v/>
      </c>
      <c r="L350" s="76">
        <f>(((Table134567891011121314151617343[[#This Row],[EA19]]-VLOOKUP($U$1,A:F,6,))/VLOOKUP($U$1,A:F,6,))*100)+100</f>
        <v/>
      </c>
      <c r="M350" s="76">
        <f>(((Table134567891011121314151617343[[#This Row],[GBR]]-VLOOKUP($U$1,A:G,7,))/VLOOKUP($U$1,A:G,7,))*100)+100</f>
        <v/>
      </c>
      <c r="N350" s="76">
        <f>IF(VLOOKUP(A350,Database!$A:$AU,MATCH($N$1,Database!$A$1:$AU$1,0),FALSE)=0,#N/A,VLOOKUP(A350,Database!$A:$AU,MATCH($N$1,Database!$A$1:$AU$1,0),FALSE))</f>
        <v/>
      </c>
      <c r="O350" s="76">
        <f>(((Table134567891011121314151617343[[#This Row],[USA]]-VLOOKUP($U$1,A:N,14,))/VLOOKUP($U$1,A:N,14,))*100)+100</f>
        <v/>
      </c>
      <c r="P350" s="76">
        <f>IF(VLOOKUP(A350,Database!$A:$AS,MATCH($P$1,Database!$A$1:$AS$1,0),FALSE)=0,#N/A,VLOOKUP(A350,Database!$A:$AS,MATCH($P$1,Database!$A$1:$AS$1,0),FALSE))</f>
        <v/>
      </c>
      <c r="Q350" s="76">
        <f>(((Table134567891011121314151617343[[#This Row],[JPN]]-VLOOKUP($U$1,A:Q,16,))/VLOOKUP($U$1,A:Q,16,))*100)+100</f>
        <v/>
      </c>
    </row>
    <row r="351" customFormat="1" s="86">
      <c r="A351" s="21" t="n">
        <v>43497</v>
      </c>
      <c r="B351" s="76">
        <f>IF(VLOOKUP(A351,Database!$A:$AS,MATCH($B$1,Database!$A$1:$AS$1,0),FALSE)=0,#N/A,VLOOKUP(A351,Database!$A:$AS,MATCH($B$1,Database!$A$1:$AS$1,0),FALSE))</f>
        <v/>
      </c>
      <c r="C351" s="76">
        <f>IF(VLOOKUP(A351,Database!$A:$AS,MATCH($C$1,Database!$A$1:$AS$1,0),FALSE)=0,#N/A,VLOOKUP(A351,Database!$A:$AS,MATCH($C$1,Database!$A$1:$AS$1,0),FALSE))</f>
        <v/>
      </c>
      <c r="D351" s="76">
        <f>IF(VLOOKUP(A351,Database!$A:$AS,MATCH($D$1,Database!$A$1:$AS$1,0),FALSE)=0,#N/A,VLOOKUP(A351,Database!$A:$AS,MATCH($D$1,Database!$A$1:$AS$1,0),FALSE))</f>
        <v/>
      </c>
      <c r="E351" s="76">
        <f>IF(VLOOKUP(A351,Database!$A:$AS,MATCH($E$1,Database!$A$1:$AS$1,0),FALSE)=0,#N/A,VLOOKUP(A351,Database!$A:$AS,MATCH($E$1,Database!$A$1:$AS$1,0),FALSE))</f>
        <v/>
      </c>
      <c r="F351" s="76">
        <f>IF(VLOOKUP(A351,Database!$A:$AS,MATCH($F$1,Database!$A$1:$AS$1,0),FALSE)=0,#N/A,VLOOKUP(A351,Database!$A:$AS,MATCH($F$1,Database!$A$1:$AS$1,0),FALSE))</f>
        <v/>
      </c>
      <c r="G351" s="76">
        <f>IF(VLOOKUP(A351,Database!$A:$AS,MATCH($G$1,Database!$A$1:$AS$1,0),FALSE)=0,#N/A,VLOOKUP(A351,Database!$A:$AS,MATCH($G$1,Database!$A$1:$AS$1,0),FALSE))</f>
        <v/>
      </c>
      <c r="H351" s="76">
        <f>(((Table134567891011121314151617343[[#This Row],[ITA]]-VLOOKUP($U$1,A:B,2,))/VLOOKUP($U$1,A:B,2,))*100)+100</f>
        <v/>
      </c>
      <c r="I351" s="76">
        <f>(((Table134567891011121314151617343[[#This Row],[FRA]]-VLOOKUP($U$1,A:C,3,))/VLOOKUP($U$1,A:C,3,))*100)+100</f>
        <v/>
      </c>
      <c r="J351" s="76">
        <f>(((Table134567891011121314151617343[[#This Row],[DEU]]-VLOOKUP($U$1,A:D,4,))/VLOOKUP($U$1,A:D,4,))*100)+100</f>
        <v/>
      </c>
      <c r="K351" s="76">
        <f>(((Table134567891011121314151617343[[#This Row],[ESP]]-VLOOKUP($U$1,A:E,5,))/VLOOKUP($U$1,A:E,5,))*100)+100</f>
        <v/>
      </c>
      <c r="L351" s="76">
        <f>(((Table134567891011121314151617343[[#This Row],[EA19]]-VLOOKUP($U$1,A:F,6,))/VLOOKUP($U$1,A:F,6,))*100)+100</f>
        <v/>
      </c>
      <c r="M351" s="76">
        <f>(((Table134567891011121314151617343[[#This Row],[GBR]]-VLOOKUP($U$1,A:G,7,))/VLOOKUP($U$1,A:G,7,))*100)+100</f>
        <v/>
      </c>
      <c r="N351" s="76">
        <f>IF(VLOOKUP(A351,Database!$A:$AU,MATCH($N$1,Database!$A$1:$AU$1,0),FALSE)=0,#N/A,VLOOKUP(A351,Database!$A:$AU,MATCH($N$1,Database!$A$1:$AU$1,0),FALSE))</f>
        <v/>
      </c>
      <c r="O351" s="76">
        <f>(((Table134567891011121314151617343[[#This Row],[USA]]-VLOOKUP($U$1,A:N,14,))/VLOOKUP($U$1,A:N,14,))*100)+100</f>
        <v/>
      </c>
      <c r="P351" s="76">
        <f>IF(VLOOKUP(A351,Database!$A:$AS,MATCH($P$1,Database!$A$1:$AS$1,0),FALSE)=0,#N/A,VLOOKUP(A351,Database!$A:$AS,MATCH($P$1,Database!$A$1:$AS$1,0),FALSE))</f>
        <v/>
      </c>
      <c r="Q351" s="76">
        <f>(((Table134567891011121314151617343[[#This Row],[JPN]]-VLOOKUP($U$1,A:Q,16,))/VLOOKUP($U$1,A:Q,16,))*100)+100</f>
        <v/>
      </c>
    </row>
    <row r="352" customFormat="1" s="86">
      <c r="A352" s="21" t="n">
        <v>43525</v>
      </c>
      <c r="B352" s="76">
        <f>IF(VLOOKUP(A352,Database!$A:$AS,MATCH($B$1,Database!$A$1:$AS$1,0),FALSE)=0,#N/A,VLOOKUP(A352,Database!$A:$AS,MATCH($B$1,Database!$A$1:$AS$1,0),FALSE))</f>
        <v/>
      </c>
      <c r="C352" s="76">
        <f>IF(VLOOKUP(A352,Database!$A:$AS,MATCH($C$1,Database!$A$1:$AS$1,0),FALSE)=0,#N/A,VLOOKUP(A352,Database!$A:$AS,MATCH($C$1,Database!$A$1:$AS$1,0),FALSE))</f>
        <v/>
      </c>
      <c r="D352" s="76">
        <f>IF(VLOOKUP(A352,Database!$A:$AS,MATCH($D$1,Database!$A$1:$AS$1,0),FALSE)=0,#N/A,VLOOKUP(A352,Database!$A:$AS,MATCH($D$1,Database!$A$1:$AS$1,0),FALSE))</f>
        <v/>
      </c>
      <c r="E352" s="76">
        <f>IF(VLOOKUP(A352,Database!$A:$AS,MATCH($E$1,Database!$A$1:$AS$1,0),FALSE)=0,#N/A,VLOOKUP(A352,Database!$A:$AS,MATCH($E$1,Database!$A$1:$AS$1,0),FALSE))</f>
        <v/>
      </c>
      <c r="F352" s="76">
        <f>IF(VLOOKUP(A352,Database!$A:$AS,MATCH($F$1,Database!$A$1:$AS$1,0),FALSE)=0,#N/A,VLOOKUP(A352,Database!$A:$AS,MATCH($F$1,Database!$A$1:$AS$1,0),FALSE))</f>
        <v/>
      </c>
      <c r="G352" s="76">
        <f>IF(VLOOKUP(A352,Database!$A:$AS,MATCH($G$1,Database!$A$1:$AS$1,0),FALSE)=0,#N/A,VLOOKUP(A352,Database!$A:$AS,MATCH($G$1,Database!$A$1:$AS$1,0),FALSE))</f>
        <v/>
      </c>
      <c r="H352" s="76">
        <f>(((Table134567891011121314151617343[[#This Row],[ITA]]-VLOOKUP($U$1,A:B,2,))/VLOOKUP($U$1,A:B,2,))*100)+100</f>
        <v/>
      </c>
      <c r="I352" s="76">
        <f>(((Table134567891011121314151617343[[#This Row],[FRA]]-VLOOKUP($U$1,A:C,3,))/VLOOKUP($U$1,A:C,3,))*100)+100</f>
        <v/>
      </c>
      <c r="J352" s="76">
        <f>(((Table134567891011121314151617343[[#This Row],[DEU]]-VLOOKUP($U$1,A:D,4,))/VLOOKUP($U$1,A:D,4,))*100)+100</f>
        <v/>
      </c>
      <c r="K352" s="76">
        <f>(((Table134567891011121314151617343[[#This Row],[ESP]]-VLOOKUP($U$1,A:E,5,))/VLOOKUP($U$1,A:E,5,))*100)+100</f>
        <v/>
      </c>
      <c r="L352" s="76">
        <f>(((Table134567891011121314151617343[[#This Row],[EA19]]-VLOOKUP($U$1,A:F,6,))/VLOOKUP($U$1,A:F,6,))*100)+100</f>
        <v/>
      </c>
      <c r="M352" s="76">
        <f>(((Table134567891011121314151617343[[#This Row],[GBR]]-VLOOKUP($U$1,A:G,7,))/VLOOKUP($U$1,A:G,7,))*100)+100</f>
        <v/>
      </c>
      <c r="N352" s="76">
        <f>IF(VLOOKUP(A352,Database!$A:$AU,MATCH($N$1,Database!$A$1:$AU$1,0),FALSE)=0,#N/A,VLOOKUP(A352,Database!$A:$AU,MATCH($N$1,Database!$A$1:$AU$1,0),FALSE))</f>
        <v/>
      </c>
      <c r="O352" s="76">
        <f>(((Table134567891011121314151617343[[#This Row],[USA]]-VLOOKUP($U$1,A:N,14,))/VLOOKUP($U$1,A:N,14,))*100)+100</f>
        <v/>
      </c>
      <c r="P352" s="76">
        <f>IF(VLOOKUP(A352,Database!$A:$AS,MATCH($P$1,Database!$A$1:$AS$1,0),FALSE)=0,#N/A,VLOOKUP(A352,Database!$A:$AS,MATCH($P$1,Database!$A$1:$AS$1,0),FALSE))</f>
        <v/>
      </c>
      <c r="Q352" s="76">
        <f>(((Table134567891011121314151617343[[#This Row],[JPN]]-VLOOKUP($U$1,A:Q,16,))/VLOOKUP($U$1,A:Q,16,))*100)+100</f>
        <v/>
      </c>
    </row>
    <row r="353" customFormat="1" s="86">
      <c r="A353" s="21" t="n">
        <v>43556</v>
      </c>
      <c r="B353" s="76">
        <f>IF(VLOOKUP(A353,Database!$A:$AS,MATCH($B$1,Database!$A$1:$AS$1,0),FALSE)=0,#N/A,VLOOKUP(A353,Database!$A:$AS,MATCH($B$1,Database!$A$1:$AS$1,0),FALSE))</f>
        <v/>
      </c>
      <c r="C353" s="76">
        <f>IF(VLOOKUP(A353,Database!$A:$AS,MATCH($C$1,Database!$A$1:$AS$1,0),FALSE)=0,#N/A,VLOOKUP(A353,Database!$A:$AS,MATCH($C$1,Database!$A$1:$AS$1,0),FALSE))</f>
        <v/>
      </c>
      <c r="D353" s="76">
        <f>IF(VLOOKUP(A353,Database!$A:$AS,MATCH($D$1,Database!$A$1:$AS$1,0),FALSE)=0,#N/A,VLOOKUP(A353,Database!$A:$AS,MATCH($D$1,Database!$A$1:$AS$1,0),FALSE))</f>
        <v/>
      </c>
      <c r="E353" s="76">
        <f>IF(VLOOKUP(A353,Database!$A:$AS,MATCH($E$1,Database!$A$1:$AS$1,0),FALSE)=0,#N/A,VLOOKUP(A353,Database!$A:$AS,MATCH($E$1,Database!$A$1:$AS$1,0),FALSE))</f>
        <v/>
      </c>
      <c r="F353" s="76">
        <f>IF(VLOOKUP(A353,Database!$A:$AS,MATCH($F$1,Database!$A$1:$AS$1,0),FALSE)=0,#N/A,VLOOKUP(A353,Database!$A:$AS,MATCH($F$1,Database!$A$1:$AS$1,0),FALSE))</f>
        <v/>
      </c>
      <c r="G353" s="76">
        <f>IF(VLOOKUP(A353,Database!$A:$AS,MATCH($G$1,Database!$A$1:$AS$1,0),FALSE)=0,#N/A,VLOOKUP(A353,Database!$A:$AS,MATCH($G$1,Database!$A$1:$AS$1,0),FALSE))</f>
        <v/>
      </c>
      <c r="H353" s="76">
        <f>(((Table134567891011121314151617343[[#This Row],[ITA]]-VLOOKUP($U$1,A:B,2,))/VLOOKUP($U$1,A:B,2,))*100)+100</f>
        <v/>
      </c>
      <c r="I353" s="76">
        <f>(((Table134567891011121314151617343[[#This Row],[FRA]]-VLOOKUP($U$1,A:C,3,))/VLOOKUP($U$1,A:C,3,))*100)+100</f>
        <v/>
      </c>
      <c r="J353" s="76">
        <f>(((Table134567891011121314151617343[[#This Row],[DEU]]-VLOOKUP($U$1,A:D,4,))/VLOOKUP($U$1,A:D,4,))*100)+100</f>
        <v/>
      </c>
      <c r="K353" s="76">
        <f>(((Table134567891011121314151617343[[#This Row],[ESP]]-VLOOKUP($U$1,A:E,5,))/VLOOKUP($U$1,A:E,5,))*100)+100</f>
        <v/>
      </c>
      <c r="L353" s="76">
        <f>(((Table134567891011121314151617343[[#This Row],[EA19]]-VLOOKUP($U$1,A:F,6,))/VLOOKUP($U$1,A:F,6,))*100)+100</f>
        <v/>
      </c>
      <c r="M353" s="76">
        <f>(((Table134567891011121314151617343[[#This Row],[GBR]]-VLOOKUP($U$1,A:G,7,))/VLOOKUP($U$1,A:G,7,))*100)+100</f>
        <v/>
      </c>
      <c r="N353" s="76">
        <f>IF(VLOOKUP(A353,Database!$A:$AU,MATCH($N$1,Database!$A$1:$AU$1,0),FALSE)=0,#N/A,VLOOKUP(A353,Database!$A:$AU,MATCH($N$1,Database!$A$1:$AU$1,0),FALSE))</f>
        <v/>
      </c>
      <c r="O353" s="76">
        <f>(((Table134567891011121314151617343[[#This Row],[USA]]-VLOOKUP($U$1,A:N,14,))/VLOOKUP($U$1,A:N,14,))*100)+100</f>
        <v/>
      </c>
      <c r="P353" s="76">
        <f>IF(VLOOKUP(A353,Database!$A:$AS,MATCH($P$1,Database!$A$1:$AS$1,0),FALSE)=0,#N/A,VLOOKUP(A353,Database!$A:$AS,MATCH($P$1,Database!$A$1:$AS$1,0),FALSE))</f>
        <v/>
      </c>
      <c r="Q353" s="76">
        <f>(((Table134567891011121314151617343[[#This Row],[JPN]]-VLOOKUP($U$1,A:Q,16,))/VLOOKUP($U$1,A:Q,16,))*100)+100</f>
        <v/>
      </c>
    </row>
    <row r="354" customFormat="1" s="86">
      <c r="A354" s="21" t="n">
        <v>43586</v>
      </c>
      <c r="B354" s="76">
        <f>IF(VLOOKUP(A354,Database!$A:$AS,MATCH($B$1,Database!$A$1:$AS$1,0),FALSE)=0,#N/A,VLOOKUP(A354,Database!$A:$AS,MATCH($B$1,Database!$A$1:$AS$1,0),FALSE))</f>
        <v/>
      </c>
      <c r="C354" s="76">
        <f>IF(VLOOKUP(A354,Database!$A:$AS,MATCH($C$1,Database!$A$1:$AS$1,0),FALSE)=0,#N/A,VLOOKUP(A354,Database!$A:$AS,MATCH($C$1,Database!$A$1:$AS$1,0),FALSE))</f>
        <v/>
      </c>
      <c r="D354" s="76">
        <f>IF(VLOOKUP(A354,Database!$A:$AS,MATCH($D$1,Database!$A$1:$AS$1,0),FALSE)=0,#N/A,VLOOKUP(A354,Database!$A:$AS,MATCH($D$1,Database!$A$1:$AS$1,0),FALSE))</f>
        <v/>
      </c>
      <c r="E354" s="76">
        <f>IF(VLOOKUP(A354,Database!$A:$AS,MATCH($E$1,Database!$A$1:$AS$1,0),FALSE)=0,#N/A,VLOOKUP(A354,Database!$A:$AS,MATCH($E$1,Database!$A$1:$AS$1,0),FALSE))</f>
        <v/>
      </c>
      <c r="F354" s="76">
        <f>IF(VLOOKUP(A354,Database!$A:$AS,MATCH($F$1,Database!$A$1:$AS$1,0),FALSE)=0,#N/A,VLOOKUP(A354,Database!$A:$AS,MATCH($F$1,Database!$A$1:$AS$1,0),FALSE))</f>
        <v/>
      </c>
      <c r="G354" s="76">
        <f>IF(VLOOKUP(A354,Database!$A:$AS,MATCH($G$1,Database!$A$1:$AS$1,0),FALSE)=0,#N/A,VLOOKUP(A354,Database!$A:$AS,MATCH($G$1,Database!$A$1:$AS$1,0),FALSE))</f>
        <v/>
      </c>
      <c r="H354" s="76">
        <f>(((Table134567891011121314151617343[[#This Row],[ITA]]-VLOOKUP($U$1,A:B,2,))/VLOOKUP($U$1,A:B,2,))*100)+100</f>
        <v/>
      </c>
      <c r="I354" s="76">
        <f>(((Table134567891011121314151617343[[#This Row],[FRA]]-VLOOKUP($U$1,A:C,3,))/VLOOKUP($U$1,A:C,3,))*100)+100</f>
        <v/>
      </c>
      <c r="J354" s="76">
        <f>(((Table134567891011121314151617343[[#This Row],[DEU]]-VLOOKUP($U$1,A:D,4,))/VLOOKUP($U$1,A:D,4,))*100)+100</f>
        <v/>
      </c>
      <c r="K354" s="76">
        <f>(((Table134567891011121314151617343[[#This Row],[ESP]]-VLOOKUP($U$1,A:E,5,))/VLOOKUP($U$1,A:E,5,))*100)+100</f>
        <v/>
      </c>
      <c r="L354" s="76">
        <f>(((Table134567891011121314151617343[[#This Row],[EA19]]-VLOOKUP($U$1,A:F,6,))/VLOOKUP($U$1,A:F,6,))*100)+100</f>
        <v/>
      </c>
      <c r="M354" s="76">
        <f>(((Table134567891011121314151617343[[#This Row],[GBR]]-VLOOKUP($U$1,A:G,7,))/VLOOKUP($U$1,A:G,7,))*100)+100</f>
        <v/>
      </c>
      <c r="N354" s="76">
        <f>IF(VLOOKUP(A354,Database!$A:$AU,MATCH($N$1,Database!$A$1:$AU$1,0),FALSE)=0,#N/A,VLOOKUP(A354,Database!$A:$AU,MATCH($N$1,Database!$A$1:$AU$1,0),FALSE))</f>
        <v/>
      </c>
      <c r="O354" s="76">
        <f>(((Table134567891011121314151617343[[#This Row],[USA]]-VLOOKUP($U$1,A:N,14,))/VLOOKUP($U$1,A:N,14,))*100)+100</f>
        <v/>
      </c>
      <c r="P354" s="76">
        <f>IF(VLOOKUP(A354,Database!$A:$AS,MATCH($P$1,Database!$A$1:$AS$1,0),FALSE)=0,#N/A,VLOOKUP(A354,Database!$A:$AS,MATCH($P$1,Database!$A$1:$AS$1,0),FALSE))</f>
        <v/>
      </c>
      <c r="Q354" s="76">
        <f>(((Table134567891011121314151617343[[#This Row],[JPN]]-VLOOKUP($U$1,A:Q,16,))/VLOOKUP($U$1,A:Q,16,))*100)+100</f>
        <v/>
      </c>
    </row>
    <row r="355" customFormat="1" s="86">
      <c r="A355" s="21" t="n">
        <v>43617</v>
      </c>
      <c r="B355" s="76">
        <f>IF(VLOOKUP(A355,Database!$A:$AS,MATCH($B$1,Database!$A$1:$AS$1,0),FALSE)=0,#N/A,VLOOKUP(A355,Database!$A:$AS,MATCH($B$1,Database!$A$1:$AS$1,0),FALSE))</f>
        <v/>
      </c>
      <c r="C355" s="76">
        <f>IF(VLOOKUP(A355,Database!$A:$AS,MATCH($C$1,Database!$A$1:$AS$1,0),FALSE)=0,#N/A,VLOOKUP(A355,Database!$A:$AS,MATCH($C$1,Database!$A$1:$AS$1,0),FALSE))</f>
        <v/>
      </c>
      <c r="D355" s="76">
        <f>IF(VLOOKUP(A355,Database!$A:$AS,MATCH($D$1,Database!$A$1:$AS$1,0),FALSE)=0,#N/A,VLOOKUP(A355,Database!$A:$AS,MATCH($D$1,Database!$A$1:$AS$1,0),FALSE))</f>
        <v/>
      </c>
      <c r="E355" s="76">
        <f>IF(VLOOKUP(A355,Database!$A:$AS,MATCH($E$1,Database!$A$1:$AS$1,0),FALSE)=0,#N/A,VLOOKUP(A355,Database!$A:$AS,MATCH($E$1,Database!$A$1:$AS$1,0),FALSE))</f>
        <v/>
      </c>
      <c r="F355" s="76">
        <f>IF(VLOOKUP(A355,Database!$A:$AS,MATCH($F$1,Database!$A$1:$AS$1,0),FALSE)=0,#N/A,VLOOKUP(A355,Database!$A:$AS,MATCH($F$1,Database!$A$1:$AS$1,0),FALSE))</f>
        <v/>
      </c>
      <c r="G355" s="76">
        <f>IF(VLOOKUP(A355,Database!$A:$AS,MATCH($G$1,Database!$A$1:$AS$1,0),FALSE)=0,#N/A,VLOOKUP(A355,Database!$A:$AS,MATCH($G$1,Database!$A$1:$AS$1,0),FALSE))</f>
        <v/>
      </c>
      <c r="H355" s="76">
        <f>(((Table134567891011121314151617343[[#This Row],[ITA]]-VLOOKUP($U$1,A:B,2,))/VLOOKUP($U$1,A:B,2,))*100)+100</f>
        <v/>
      </c>
      <c r="I355" s="76">
        <f>(((Table134567891011121314151617343[[#This Row],[FRA]]-VLOOKUP($U$1,A:C,3,))/VLOOKUP($U$1,A:C,3,))*100)+100</f>
        <v/>
      </c>
      <c r="J355" s="76">
        <f>(((Table134567891011121314151617343[[#This Row],[DEU]]-VLOOKUP($U$1,A:D,4,))/VLOOKUP($U$1,A:D,4,))*100)+100</f>
        <v/>
      </c>
      <c r="K355" s="76">
        <f>(((Table134567891011121314151617343[[#This Row],[ESP]]-VLOOKUP($U$1,A:E,5,))/VLOOKUP($U$1,A:E,5,))*100)+100</f>
        <v/>
      </c>
      <c r="L355" s="76">
        <f>(((Table134567891011121314151617343[[#This Row],[EA19]]-VLOOKUP($U$1,A:F,6,))/VLOOKUP($U$1,A:F,6,))*100)+100</f>
        <v/>
      </c>
      <c r="M355" s="76">
        <f>(((Table134567891011121314151617343[[#This Row],[GBR]]-VLOOKUP($U$1,A:G,7,))/VLOOKUP($U$1,A:G,7,))*100)+100</f>
        <v/>
      </c>
      <c r="N355" s="76">
        <f>IF(VLOOKUP(A355,Database!$A:$AU,MATCH($N$1,Database!$A$1:$AU$1,0),FALSE)=0,#N/A,VLOOKUP(A355,Database!$A:$AU,MATCH($N$1,Database!$A$1:$AU$1,0),FALSE))</f>
        <v/>
      </c>
      <c r="O355" s="76">
        <f>(((Table134567891011121314151617343[[#This Row],[USA]]-VLOOKUP($U$1,A:N,14,))/VLOOKUP($U$1,A:N,14,))*100)+100</f>
        <v/>
      </c>
      <c r="P355" s="76">
        <f>IF(VLOOKUP(A355,Database!$A:$AS,MATCH($P$1,Database!$A$1:$AS$1,0),FALSE)=0,#N/A,VLOOKUP(A355,Database!$A:$AS,MATCH($P$1,Database!$A$1:$AS$1,0),FALSE))</f>
        <v/>
      </c>
      <c r="Q355" s="76">
        <f>(((Table134567891011121314151617343[[#This Row],[JPN]]-VLOOKUP($U$1,A:Q,16,))/VLOOKUP($U$1,A:Q,16,))*100)+100</f>
        <v/>
      </c>
    </row>
    <row r="356" customFormat="1" s="86">
      <c r="A356" s="21" t="n">
        <v>43647</v>
      </c>
      <c r="B356" s="76">
        <f>IF(VLOOKUP(A356,Database!$A:$AS,MATCH($B$1,Database!$A$1:$AS$1,0),FALSE)=0,#N/A,VLOOKUP(A356,Database!$A:$AS,MATCH($B$1,Database!$A$1:$AS$1,0),FALSE))</f>
        <v/>
      </c>
      <c r="C356" s="76">
        <f>IF(VLOOKUP(A356,Database!$A:$AS,MATCH($C$1,Database!$A$1:$AS$1,0),FALSE)=0,#N/A,VLOOKUP(A356,Database!$A:$AS,MATCH($C$1,Database!$A$1:$AS$1,0),FALSE))</f>
        <v/>
      </c>
      <c r="D356" s="76">
        <f>IF(VLOOKUP(A356,Database!$A:$AS,MATCH($D$1,Database!$A$1:$AS$1,0),FALSE)=0,#N/A,VLOOKUP(A356,Database!$A:$AS,MATCH($D$1,Database!$A$1:$AS$1,0),FALSE))</f>
        <v/>
      </c>
      <c r="E356" s="76">
        <f>IF(VLOOKUP(A356,Database!$A:$AS,MATCH($E$1,Database!$A$1:$AS$1,0),FALSE)=0,#N/A,VLOOKUP(A356,Database!$A:$AS,MATCH($E$1,Database!$A$1:$AS$1,0),FALSE))</f>
        <v/>
      </c>
      <c r="F356" s="76">
        <f>IF(VLOOKUP(A356,Database!$A:$AS,MATCH($F$1,Database!$A$1:$AS$1,0),FALSE)=0,#N/A,VLOOKUP(A356,Database!$A:$AS,MATCH($F$1,Database!$A$1:$AS$1,0),FALSE))</f>
        <v/>
      </c>
      <c r="G356" s="76">
        <f>IF(VLOOKUP(A356,Database!$A:$AS,MATCH($G$1,Database!$A$1:$AS$1,0),FALSE)=0,#N/A,VLOOKUP(A356,Database!$A:$AS,MATCH($G$1,Database!$A$1:$AS$1,0),FALSE))</f>
        <v/>
      </c>
      <c r="H356" s="76">
        <f>(((Table134567891011121314151617343[[#This Row],[ITA]]-VLOOKUP($U$1,A:B,2,))/VLOOKUP($U$1,A:B,2,))*100)+100</f>
        <v/>
      </c>
      <c r="I356" s="76">
        <f>(((Table134567891011121314151617343[[#This Row],[FRA]]-VLOOKUP($U$1,A:C,3,))/VLOOKUP($U$1,A:C,3,))*100)+100</f>
        <v/>
      </c>
      <c r="J356" s="76">
        <f>(((Table134567891011121314151617343[[#This Row],[DEU]]-VLOOKUP($U$1,A:D,4,))/VLOOKUP($U$1,A:D,4,))*100)+100</f>
        <v/>
      </c>
      <c r="K356" s="76">
        <f>(((Table134567891011121314151617343[[#This Row],[ESP]]-VLOOKUP($U$1,A:E,5,))/VLOOKUP($U$1,A:E,5,))*100)+100</f>
        <v/>
      </c>
      <c r="L356" s="76">
        <f>(((Table134567891011121314151617343[[#This Row],[EA19]]-VLOOKUP($U$1,A:F,6,))/VLOOKUP($U$1,A:F,6,))*100)+100</f>
        <v/>
      </c>
      <c r="M356" s="76">
        <f>(((Table134567891011121314151617343[[#This Row],[GBR]]-VLOOKUP($U$1,A:G,7,))/VLOOKUP($U$1,A:G,7,))*100)+100</f>
        <v/>
      </c>
      <c r="N356" s="76">
        <f>IF(VLOOKUP(A356,Database!$A:$AU,MATCH($N$1,Database!$A$1:$AU$1,0),FALSE)=0,#N/A,VLOOKUP(A356,Database!$A:$AU,MATCH($N$1,Database!$A$1:$AU$1,0),FALSE))</f>
        <v/>
      </c>
      <c r="O356" s="76">
        <f>(((Table134567891011121314151617343[[#This Row],[USA]]-VLOOKUP($U$1,A:N,14,))/VLOOKUP($U$1,A:N,14,))*100)+100</f>
        <v/>
      </c>
      <c r="P356" s="76">
        <f>IF(VLOOKUP(A356,Database!$A:$AS,MATCH($P$1,Database!$A$1:$AS$1,0),FALSE)=0,#N/A,VLOOKUP(A356,Database!$A:$AS,MATCH($P$1,Database!$A$1:$AS$1,0),FALSE))</f>
        <v/>
      </c>
      <c r="Q356" s="76">
        <f>(((Table134567891011121314151617343[[#This Row],[JPN]]-VLOOKUP($U$1,A:Q,16,))/VLOOKUP($U$1,A:Q,16,))*100)+100</f>
        <v/>
      </c>
    </row>
    <row r="357" customFormat="1" s="86">
      <c r="A357" s="21" t="n">
        <v>43678</v>
      </c>
      <c r="B357" s="76">
        <f>IF(VLOOKUP(A357,Database!$A:$AS,MATCH($B$1,Database!$A$1:$AS$1,0),FALSE)=0,#N/A,VLOOKUP(A357,Database!$A:$AS,MATCH($B$1,Database!$A$1:$AS$1,0),FALSE))</f>
        <v/>
      </c>
      <c r="C357" s="76">
        <f>IF(VLOOKUP(A357,Database!$A:$AS,MATCH($C$1,Database!$A$1:$AS$1,0),FALSE)=0,#N/A,VLOOKUP(A357,Database!$A:$AS,MATCH($C$1,Database!$A$1:$AS$1,0),FALSE))</f>
        <v/>
      </c>
      <c r="D357" s="76">
        <f>IF(VLOOKUP(A357,Database!$A:$AS,MATCH($D$1,Database!$A$1:$AS$1,0),FALSE)=0,#N/A,VLOOKUP(A357,Database!$A:$AS,MATCH($D$1,Database!$A$1:$AS$1,0),FALSE))</f>
        <v/>
      </c>
      <c r="E357" s="76">
        <f>IF(VLOOKUP(A357,Database!$A:$AS,MATCH($E$1,Database!$A$1:$AS$1,0),FALSE)=0,#N/A,VLOOKUP(A357,Database!$A:$AS,MATCH($E$1,Database!$A$1:$AS$1,0),FALSE))</f>
        <v/>
      </c>
      <c r="F357" s="76">
        <f>IF(VLOOKUP(A357,Database!$A:$AS,MATCH($F$1,Database!$A$1:$AS$1,0),FALSE)=0,#N/A,VLOOKUP(A357,Database!$A:$AS,MATCH($F$1,Database!$A$1:$AS$1,0),FALSE))</f>
        <v/>
      </c>
      <c r="G357" s="76">
        <f>IF(VLOOKUP(A357,Database!$A:$AS,MATCH($G$1,Database!$A$1:$AS$1,0),FALSE)=0,#N/A,VLOOKUP(A357,Database!$A:$AS,MATCH($G$1,Database!$A$1:$AS$1,0),FALSE))</f>
        <v/>
      </c>
      <c r="H357" s="76">
        <f>(((Table134567891011121314151617343[[#This Row],[ITA]]-VLOOKUP($U$1,A:B,2,))/VLOOKUP($U$1,A:B,2,))*100)+100</f>
        <v/>
      </c>
      <c r="I357" s="76">
        <f>(((Table134567891011121314151617343[[#This Row],[FRA]]-VLOOKUP($U$1,A:C,3,))/VLOOKUP($U$1,A:C,3,))*100)+100</f>
        <v/>
      </c>
      <c r="J357" s="76">
        <f>(((Table134567891011121314151617343[[#This Row],[DEU]]-VLOOKUP($U$1,A:D,4,))/VLOOKUP($U$1,A:D,4,))*100)+100</f>
        <v/>
      </c>
      <c r="K357" s="76">
        <f>(((Table134567891011121314151617343[[#This Row],[ESP]]-VLOOKUP($U$1,A:E,5,))/VLOOKUP($U$1,A:E,5,))*100)+100</f>
        <v/>
      </c>
      <c r="L357" s="76">
        <f>(((Table134567891011121314151617343[[#This Row],[EA19]]-VLOOKUP($U$1,A:F,6,))/VLOOKUP($U$1,A:F,6,))*100)+100</f>
        <v/>
      </c>
      <c r="M357" s="76">
        <f>(((Table134567891011121314151617343[[#This Row],[GBR]]-VLOOKUP($U$1,A:G,7,))/VLOOKUP($U$1,A:G,7,))*100)+100</f>
        <v/>
      </c>
      <c r="N357" s="76">
        <f>IF(VLOOKUP(A357,Database!$A:$AU,MATCH($N$1,Database!$A$1:$AU$1,0),FALSE)=0,#N/A,VLOOKUP(A357,Database!$A:$AU,MATCH($N$1,Database!$A$1:$AU$1,0),FALSE))</f>
        <v/>
      </c>
      <c r="O357" s="76">
        <f>(((Table134567891011121314151617343[[#This Row],[USA]]-VLOOKUP($U$1,A:N,14,))/VLOOKUP($U$1,A:N,14,))*100)+100</f>
        <v/>
      </c>
      <c r="P357" s="76">
        <f>IF(VLOOKUP(A357,Database!$A:$AS,MATCH($P$1,Database!$A$1:$AS$1,0),FALSE)=0,#N/A,VLOOKUP(A357,Database!$A:$AS,MATCH($P$1,Database!$A$1:$AS$1,0),FALSE))</f>
        <v/>
      </c>
      <c r="Q357" s="76">
        <f>(((Table134567891011121314151617343[[#This Row],[JPN]]-VLOOKUP($U$1,A:Q,16,))/VLOOKUP($U$1,A:Q,16,))*100)+100</f>
        <v/>
      </c>
    </row>
    <row r="358" customFormat="1" s="86">
      <c r="A358" s="21" t="n">
        <v>43709</v>
      </c>
      <c r="B358" s="76">
        <f>IF(VLOOKUP(A358,Database!$A:$AS,MATCH($B$1,Database!$A$1:$AS$1,0),FALSE)=0,#N/A,VLOOKUP(A358,Database!$A:$AS,MATCH($B$1,Database!$A$1:$AS$1,0),FALSE))</f>
        <v/>
      </c>
      <c r="C358" s="76">
        <f>IF(VLOOKUP(A358,Database!$A:$AS,MATCH($C$1,Database!$A$1:$AS$1,0),FALSE)=0,#N/A,VLOOKUP(A358,Database!$A:$AS,MATCH($C$1,Database!$A$1:$AS$1,0),FALSE))</f>
        <v/>
      </c>
      <c r="D358" s="76">
        <f>IF(VLOOKUP(A358,Database!$A:$AS,MATCH($D$1,Database!$A$1:$AS$1,0),FALSE)=0,#N/A,VLOOKUP(A358,Database!$A:$AS,MATCH($D$1,Database!$A$1:$AS$1,0),FALSE))</f>
        <v/>
      </c>
      <c r="E358" s="76">
        <f>IF(VLOOKUP(A358,Database!$A:$AS,MATCH($E$1,Database!$A$1:$AS$1,0),FALSE)=0,#N/A,VLOOKUP(A358,Database!$A:$AS,MATCH($E$1,Database!$A$1:$AS$1,0),FALSE))</f>
        <v/>
      </c>
      <c r="F358" s="76">
        <f>IF(VLOOKUP(A358,Database!$A:$AS,MATCH($F$1,Database!$A$1:$AS$1,0),FALSE)=0,#N/A,VLOOKUP(A358,Database!$A:$AS,MATCH($F$1,Database!$A$1:$AS$1,0),FALSE))</f>
        <v/>
      </c>
      <c r="G358" s="76">
        <f>IF(VLOOKUP(A358,Database!$A:$AS,MATCH($G$1,Database!$A$1:$AS$1,0),FALSE)=0,#N/A,VLOOKUP(A358,Database!$A:$AS,MATCH($G$1,Database!$A$1:$AS$1,0),FALSE))</f>
        <v/>
      </c>
      <c r="H358" s="76">
        <f>(((Table134567891011121314151617343[[#This Row],[ITA]]-VLOOKUP($U$1,A:B,2,))/VLOOKUP($U$1,A:B,2,))*100)+100</f>
        <v/>
      </c>
      <c r="I358" s="76">
        <f>(((Table134567891011121314151617343[[#This Row],[FRA]]-VLOOKUP($U$1,A:C,3,))/VLOOKUP($U$1,A:C,3,))*100)+100</f>
        <v/>
      </c>
      <c r="J358" s="76">
        <f>(((Table134567891011121314151617343[[#This Row],[DEU]]-VLOOKUP($U$1,A:D,4,))/VLOOKUP($U$1,A:D,4,))*100)+100</f>
        <v/>
      </c>
      <c r="K358" s="76">
        <f>(((Table134567891011121314151617343[[#This Row],[ESP]]-VLOOKUP($U$1,A:E,5,))/VLOOKUP($U$1,A:E,5,))*100)+100</f>
        <v/>
      </c>
      <c r="L358" s="76">
        <f>(((Table134567891011121314151617343[[#This Row],[EA19]]-VLOOKUP($U$1,A:F,6,))/VLOOKUP($U$1,A:F,6,))*100)+100</f>
        <v/>
      </c>
      <c r="M358" s="76">
        <f>(((Table134567891011121314151617343[[#This Row],[GBR]]-VLOOKUP($U$1,A:G,7,))/VLOOKUP($U$1,A:G,7,))*100)+100</f>
        <v/>
      </c>
      <c r="N358" s="76">
        <f>IF(VLOOKUP(A358,Database!$A:$AU,MATCH($N$1,Database!$A$1:$AU$1,0),FALSE)=0,#N/A,VLOOKUP(A358,Database!$A:$AU,MATCH($N$1,Database!$A$1:$AU$1,0),FALSE))</f>
        <v/>
      </c>
      <c r="O358" s="76">
        <f>(((Table134567891011121314151617343[[#This Row],[USA]]-VLOOKUP($U$1,A:N,14,))/VLOOKUP($U$1,A:N,14,))*100)+100</f>
        <v/>
      </c>
      <c r="P358" s="76">
        <f>IF(VLOOKUP(A358,Database!$A:$AS,MATCH($P$1,Database!$A$1:$AS$1,0),FALSE)=0,#N/A,VLOOKUP(A358,Database!$A:$AS,MATCH($P$1,Database!$A$1:$AS$1,0),FALSE))</f>
        <v/>
      </c>
      <c r="Q358" s="76">
        <f>(((Table134567891011121314151617343[[#This Row],[JPN]]-VLOOKUP($U$1,A:Q,16,))/VLOOKUP($U$1,A:Q,16,))*100)+100</f>
        <v/>
      </c>
    </row>
    <row r="359" customFormat="1" s="86">
      <c r="A359" s="21" t="n">
        <v>43739</v>
      </c>
      <c r="B359" s="76">
        <f>IF(VLOOKUP(A359,Database!$A:$AS,MATCH($B$1,Database!$A$1:$AS$1,0),FALSE)=0,#N/A,VLOOKUP(A359,Database!$A:$AS,MATCH($B$1,Database!$A$1:$AS$1,0),FALSE))</f>
        <v/>
      </c>
      <c r="C359" s="76">
        <f>IF(VLOOKUP(A359,Database!$A:$AS,MATCH($C$1,Database!$A$1:$AS$1,0),FALSE)=0,#N/A,VLOOKUP(A359,Database!$A:$AS,MATCH($C$1,Database!$A$1:$AS$1,0),FALSE))</f>
        <v/>
      </c>
      <c r="D359" s="76">
        <f>IF(VLOOKUP(A359,Database!$A:$AS,MATCH($D$1,Database!$A$1:$AS$1,0),FALSE)=0,#N/A,VLOOKUP(A359,Database!$A:$AS,MATCH($D$1,Database!$A$1:$AS$1,0),FALSE))</f>
        <v/>
      </c>
      <c r="E359" s="76">
        <f>IF(VLOOKUP(A359,Database!$A:$AS,MATCH($E$1,Database!$A$1:$AS$1,0),FALSE)=0,#N/A,VLOOKUP(A359,Database!$A:$AS,MATCH($E$1,Database!$A$1:$AS$1,0),FALSE))</f>
        <v/>
      </c>
      <c r="F359" s="76">
        <f>IF(VLOOKUP(A359,Database!$A:$AS,MATCH($F$1,Database!$A$1:$AS$1,0),FALSE)=0,#N/A,VLOOKUP(A359,Database!$A:$AS,MATCH($F$1,Database!$A$1:$AS$1,0),FALSE))</f>
        <v/>
      </c>
      <c r="G359" s="76">
        <f>IF(VLOOKUP(A359,Database!$A:$AS,MATCH($G$1,Database!$A$1:$AS$1,0),FALSE)=0,#N/A,VLOOKUP(A359,Database!$A:$AS,MATCH($G$1,Database!$A$1:$AS$1,0),FALSE))</f>
        <v/>
      </c>
      <c r="H359" s="76">
        <f>(((Table134567891011121314151617343[[#This Row],[ITA]]-VLOOKUP($U$1,A:B,2,))/VLOOKUP($U$1,A:B,2,))*100)+100</f>
        <v/>
      </c>
      <c r="I359" s="76">
        <f>(((Table134567891011121314151617343[[#This Row],[FRA]]-VLOOKUP($U$1,A:C,3,))/VLOOKUP($U$1,A:C,3,))*100)+100</f>
        <v/>
      </c>
      <c r="J359" s="76">
        <f>(((Table134567891011121314151617343[[#This Row],[DEU]]-VLOOKUP($U$1,A:D,4,))/VLOOKUP($U$1,A:D,4,))*100)+100</f>
        <v/>
      </c>
      <c r="K359" s="76">
        <f>(((Table134567891011121314151617343[[#This Row],[ESP]]-VLOOKUP($U$1,A:E,5,))/VLOOKUP($U$1,A:E,5,))*100)+100</f>
        <v/>
      </c>
      <c r="L359" s="76">
        <f>(((Table134567891011121314151617343[[#This Row],[EA19]]-VLOOKUP($U$1,A:F,6,))/VLOOKUP($U$1,A:F,6,))*100)+100</f>
        <v/>
      </c>
      <c r="M359" s="76">
        <f>(((Table134567891011121314151617343[[#This Row],[GBR]]-VLOOKUP($U$1,A:G,7,))/VLOOKUP($U$1,A:G,7,))*100)+100</f>
        <v/>
      </c>
      <c r="N359" s="76">
        <f>IF(VLOOKUP(A359,Database!$A:$AU,MATCH($N$1,Database!$A$1:$AU$1,0),FALSE)=0,#N/A,VLOOKUP(A359,Database!$A:$AU,MATCH($N$1,Database!$A$1:$AU$1,0),FALSE))</f>
        <v/>
      </c>
      <c r="O359" s="76">
        <f>(((Table134567891011121314151617343[[#This Row],[USA]]-VLOOKUP($U$1,A:N,14,))/VLOOKUP($U$1,A:N,14,))*100)+100</f>
        <v/>
      </c>
      <c r="P359" s="76">
        <f>IF(VLOOKUP(A359,Database!$A:$AS,MATCH($P$1,Database!$A$1:$AS$1,0),FALSE)=0,#N/A,VLOOKUP(A359,Database!$A:$AS,MATCH($P$1,Database!$A$1:$AS$1,0),FALSE))</f>
        <v/>
      </c>
      <c r="Q359" s="76">
        <f>(((Table134567891011121314151617343[[#This Row],[JPN]]-VLOOKUP($U$1,A:Q,16,))/VLOOKUP($U$1,A:Q,16,))*100)+100</f>
        <v/>
      </c>
    </row>
    <row r="360" customFormat="1" s="86">
      <c r="A360" s="21" t="n">
        <v>43770</v>
      </c>
      <c r="B360" s="76">
        <f>IF(VLOOKUP(A360,Database!$A:$AS,MATCH($B$1,Database!$A$1:$AS$1,0),FALSE)=0,#N/A,VLOOKUP(A360,Database!$A:$AS,MATCH($B$1,Database!$A$1:$AS$1,0),FALSE))</f>
        <v/>
      </c>
      <c r="C360" s="76">
        <f>IF(VLOOKUP(A360,Database!$A:$AS,MATCH($C$1,Database!$A$1:$AS$1,0),FALSE)=0,#N/A,VLOOKUP(A360,Database!$A:$AS,MATCH($C$1,Database!$A$1:$AS$1,0),FALSE))</f>
        <v/>
      </c>
      <c r="D360" s="76">
        <f>IF(VLOOKUP(A360,Database!$A:$AS,MATCH($D$1,Database!$A$1:$AS$1,0),FALSE)=0,#N/A,VLOOKUP(A360,Database!$A:$AS,MATCH($D$1,Database!$A$1:$AS$1,0),FALSE))</f>
        <v/>
      </c>
      <c r="E360" s="76">
        <f>IF(VLOOKUP(A360,Database!$A:$AS,MATCH($E$1,Database!$A$1:$AS$1,0),FALSE)=0,#N/A,VLOOKUP(A360,Database!$A:$AS,MATCH($E$1,Database!$A$1:$AS$1,0),FALSE))</f>
        <v/>
      </c>
      <c r="F360" s="76">
        <f>IF(VLOOKUP(A360,Database!$A:$AS,MATCH($F$1,Database!$A$1:$AS$1,0),FALSE)=0,#N/A,VLOOKUP(A360,Database!$A:$AS,MATCH($F$1,Database!$A$1:$AS$1,0),FALSE))</f>
        <v/>
      </c>
      <c r="G360" s="76">
        <f>IF(VLOOKUP(A360,Database!$A:$AS,MATCH($G$1,Database!$A$1:$AS$1,0),FALSE)=0,#N/A,VLOOKUP(A360,Database!$A:$AS,MATCH($G$1,Database!$A$1:$AS$1,0),FALSE))</f>
        <v/>
      </c>
      <c r="H360" s="76">
        <f>(((Table134567891011121314151617343[[#This Row],[ITA]]-VLOOKUP($U$1,A:B,2,))/VLOOKUP($U$1,A:B,2,))*100)+100</f>
        <v/>
      </c>
      <c r="I360" s="76">
        <f>(((Table134567891011121314151617343[[#This Row],[FRA]]-VLOOKUP($U$1,A:C,3,))/VLOOKUP($U$1,A:C,3,))*100)+100</f>
        <v/>
      </c>
      <c r="J360" s="76">
        <f>(((Table134567891011121314151617343[[#This Row],[DEU]]-VLOOKUP($U$1,A:D,4,))/VLOOKUP($U$1,A:D,4,))*100)+100</f>
        <v/>
      </c>
      <c r="K360" s="76">
        <f>(((Table134567891011121314151617343[[#This Row],[ESP]]-VLOOKUP($U$1,A:E,5,))/VLOOKUP($U$1,A:E,5,))*100)+100</f>
        <v/>
      </c>
      <c r="L360" s="76">
        <f>(((Table134567891011121314151617343[[#This Row],[EA19]]-VLOOKUP($U$1,A:F,6,))/VLOOKUP($U$1,A:F,6,))*100)+100</f>
        <v/>
      </c>
      <c r="M360" s="76">
        <f>(((Table134567891011121314151617343[[#This Row],[GBR]]-VLOOKUP($U$1,A:G,7,))/VLOOKUP($U$1,A:G,7,))*100)+100</f>
        <v/>
      </c>
      <c r="N360" s="76">
        <f>IF(VLOOKUP(A360,Database!$A:$AU,MATCH($N$1,Database!$A$1:$AU$1,0),FALSE)=0,#N/A,VLOOKUP(A360,Database!$A:$AU,MATCH($N$1,Database!$A$1:$AU$1,0),FALSE))</f>
        <v/>
      </c>
      <c r="O360" s="76">
        <f>(((Table134567891011121314151617343[[#This Row],[USA]]-VLOOKUP($U$1,A:N,14,))/VLOOKUP($U$1,A:N,14,))*100)+100</f>
        <v/>
      </c>
      <c r="P360" s="76">
        <f>IF(VLOOKUP(A360,Database!$A:$AS,MATCH($P$1,Database!$A$1:$AS$1,0),FALSE)=0,#N/A,VLOOKUP(A360,Database!$A:$AS,MATCH($P$1,Database!$A$1:$AS$1,0),FALSE))</f>
        <v/>
      </c>
      <c r="Q360" s="76">
        <f>(((Table134567891011121314151617343[[#This Row],[JPN]]-VLOOKUP($U$1,A:Q,16,))/VLOOKUP($U$1,A:Q,16,))*100)+100</f>
        <v/>
      </c>
    </row>
    <row r="361" customFormat="1" s="86">
      <c r="A361" s="21" t="n">
        <v>43800</v>
      </c>
      <c r="B361" s="76">
        <f>IF(VLOOKUP(A361,Database!$A:$AS,MATCH($B$1,Database!$A$1:$AS$1,0),FALSE)=0,#N/A,VLOOKUP(A361,Database!$A:$AS,MATCH($B$1,Database!$A$1:$AS$1,0),FALSE))</f>
        <v/>
      </c>
      <c r="C361" s="76">
        <f>IF(VLOOKUP(A361,Database!$A:$AS,MATCH($C$1,Database!$A$1:$AS$1,0),FALSE)=0,#N/A,VLOOKUP(A361,Database!$A:$AS,MATCH($C$1,Database!$A$1:$AS$1,0),FALSE))</f>
        <v/>
      </c>
      <c r="D361" s="76">
        <f>IF(VLOOKUP(A361,Database!$A:$AS,MATCH($D$1,Database!$A$1:$AS$1,0),FALSE)=0,#N/A,VLOOKUP(A361,Database!$A:$AS,MATCH($D$1,Database!$A$1:$AS$1,0),FALSE))</f>
        <v/>
      </c>
      <c r="E361" s="76">
        <f>IF(VLOOKUP(A361,Database!$A:$AS,MATCH($E$1,Database!$A$1:$AS$1,0),FALSE)=0,#N/A,VLOOKUP(A361,Database!$A:$AS,MATCH($E$1,Database!$A$1:$AS$1,0),FALSE))</f>
        <v/>
      </c>
      <c r="F361" s="76">
        <f>IF(VLOOKUP(A361,Database!$A:$AS,MATCH($F$1,Database!$A$1:$AS$1,0),FALSE)=0,#N/A,VLOOKUP(A361,Database!$A:$AS,MATCH($F$1,Database!$A$1:$AS$1,0),FALSE))</f>
        <v/>
      </c>
      <c r="G361" s="76">
        <f>IF(VLOOKUP(A361,Database!$A:$AS,MATCH($G$1,Database!$A$1:$AS$1,0),FALSE)=0,#N/A,VLOOKUP(A361,Database!$A:$AS,MATCH($G$1,Database!$A$1:$AS$1,0),FALSE))</f>
        <v/>
      </c>
      <c r="H361" s="76">
        <f>(((Table134567891011121314151617343[[#This Row],[ITA]]-VLOOKUP($U$1,A:B,2,))/VLOOKUP($U$1,A:B,2,))*100)+100</f>
        <v/>
      </c>
      <c r="I361" s="76">
        <f>(((Table134567891011121314151617343[[#This Row],[FRA]]-VLOOKUP($U$1,A:C,3,))/VLOOKUP($U$1,A:C,3,))*100)+100</f>
        <v/>
      </c>
      <c r="J361" s="76">
        <f>(((Table134567891011121314151617343[[#This Row],[DEU]]-VLOOKUP($U$1,A:D,4,))/VLOOKUP($U$1,A:D,4,))*100)+100</f>
        <v/>
      </c>
      <c r="K361" s="76">
        <f>(((Table134567891011121314151617343[[#This Row],[ESP]]-VLOOKUP($U$1,A:E,5,))/VLOOKUP($U$1,A:E,5,))*100)+100</f>
        <v/>
      </c>
      <c r="L361" s="76">
        <f>(((Table134567891011121314151617343[[#This Row],[EA19]]-VLOOKUP($U$1,A:F,6,))/VLOOKUP($U$1,A:F,6,))*100)+100</f>
        <v/>
      </c>
      <c r="M361" s="76">
        <f>(((Table134567891011121314151617343[[#This Row],[GBR]]-VLOOKUP($U$1,A:G,7,))/VLOOKUP($U$1,A:G,7,))*100)+100</f>
        <v/>
      </c>
      <c r="N361" s="76">
        <f>IF(VLOOKUP(A361,Database!$A:$AU,MATCH($N$1,Database!$A$1:$AU$1,0),FALSE)=0,#N/A,VLOOKUP(A361,Database!$A:$AU,MATCH($N$1,Database!$A$1:$AU$1,0),FALSE))</f>
        <v/>
      </c>
      <c r="O361" s="76">
        <f>(((Table134567891011121314151617343[[#This Row],[USA]]-VLOOKUP($U$1,A:N,14,))/VLOOKUP($U$1,A:N,14,))*100)+100</f>
        <v/>
      </c>
      <c r="P361" s="76">
        <f>IF(VLOOKUP(A361,Database!$A:$AS,MATCH($P$1,Database!$A$1:$AS$1,0),FALSE)=0,#N/A,VLOOKUP(A361,Database!$A:$AS,MATCH($P$1,Database!$A$1:$AS$1,0),FALSE))</f>
        <v/>
      </c>
      <c r="Q361" s="76">
        <f>(((Table134567891011121314151617343[[#This Row],[JPN]]-VLOOKUP($U$1,A:Q,16,))/VLOOKUP($U$1,A:Q,16,))*100)+100</f>
        <v/>
      </c>
    </row>
    <row r="362" customFormat="1" s="86">
      <c r="A362" s="21" t="n">
        <v>43831</v>
      </c>
      <c r="B362" s="76">
        <f>IF(VLOOKUP(A362,Database!$A:$AS,MATCH($B$1,Database!$A$1:$AS$1,0),FALSE)=0,#N/A,VLOOKUP(A362,Database!$A:$AS,MATCH($B$1,Database!$A$1:$AS$1,0),FALSE))</f>
        <v/>
      </c>
      <c r="C362" s="76">
        <f>IF(VLOOKUP(A362,Database!$A:$AS,MATCH($C$1,Database!$A$1:$AS$1,0),FALSE)=0,#N/A,VLOOKUP(A362,Database!$A:$AS,MATCH($C$1,Database!$A$1:$AS$1,0),FALSE))</f>
        <v/>
      </c>
      <c r="D362" s="76">
        <f>IF(VLOOKUP(A362,Database!$A:$AS,MATCH($D$1,Database!$A$1:$AS$1,0),FALSE)=0,#N/A,VLOOKUP(A362,Database!$A:$AS,MATCH($D$1,Database!$A$1:$AS$1,0),FALSE))</f>
        <v/>
      </c>
      <c r="E362" s="76">
        <f>IF(VLOOKUP(A362,Database!$A:$AS,MATCH($E$1,Database!$A$1:$AS$1,0),FALSE)=0,#N/A,VLOOKUP(A362,Database!$A:$AS,MATCH($E$1,Database!$A$1:$AS$1,0),FALSE))</f>
        <v/>
      </c>
      <c r="F362" s="76">
        <f>IF(VLOOKUP(A362,Database!$A:$AS,MATCH($F$1,Database!$A$1:$AS$1,0),FALSE)=0,#N/A,VLOOKUP(A362,Database!$A:$AS,MATCH($F$1,Database!$A$1:$AS$1,0),FALSE))</f>
        <v/>
      </c>
      <c r="G362" s="76">
        <f>IF(VLOOKUP(A362,Database!$A:$AS,MATCH($G$1,Database!$A$1:$AS$1,0),FALSE)=0,#N/A,VLOOKUP(A362,Database!$A:$AS,MATCH($G$1,Database!$A$1:$AS$1,0),FALSE))</f>
        <v/>
      </c>
      <c r="H362" s="76">
        <f>(((Table134567891011121314151617343[[#This Row],[ITA]]-VLOOKUP($U$1,A:B,2,))/VLOOKUP($U$1,A:B,2,))*100)+100</f>
        <v/>
      </c>
      <c r="I362" s="76">
        <f>(((Table134567891011121314151617343[[#This Row],[FRA]]-VLOOKUP($U$1,A:C,3,))/VLOOKUP($U$1,A:C,3,))*100)+100</f>
        <v/>
      </c>
      <c r="J362" s="76">
        <f>(((Table134567891011121314151617343[[#This Row],[DEU]]-VLOOKUP($U$1,A:D,4,))/VLOOKUP($U$1,A:D,4,))*100)+100</f>
        <v/>
      </c>
      <c r="K362" s="76">
        <f>(((Table134567891011121314151617343[[#This Row],[ESP]]-VLOOKUP($U$1,A:E,5,))/VLOOKUP($U$1,A:E,5,))*100)+100</f>
        <v/>
      </c>
      <c r="L362" s="76">
        <f>(((Table134567891011121314151617343[[#This Row],[EA19]]-VLOOKUP($U$1,A:F,6,))/VLOOKUP($U$1,A:F,6,))*100)+100</f>
        <v/>
      </c>
      <c r="M362" s="76">
        <f>(((Table134567891011121314151617343[[#This Row],[GBR]]-VLOOKUP($U$1,A:G,7,))/VLOOKUP($U$1,A:G,7,))*100)+100</f>
        <v/>
      </c>
      <c r="N362" s="76">
        <f>IF(VLOOKUP(A362,Database!$A:$AU,MATCH($N$1,Database!$A$1:$AU$1,0),FALSE)=0,#N/A,VLOOKUP(A362,Database!$A:$AU,MATCH($N$1,Database!$A$1:$AU$1,0),FALSE))</f>
        <v/>
      </c>
      <c r="O362" s="76">
        <f>(((Table134567891011121314151617343[[#This Row],[USA]]-VLOOKUP($U$1,A:N,14,))/VLOOKUP($U$1,A:N,14,))*100)+100</f>
        <v/>
      </c>
      <c r="P362" s="76">
        <f>IF(VLOOKUP(A362,Database!$A:$AS,MATCH($P$1,Database!$A$1:$AS$1,0),FALSE)=0,#N/A,VLOOKUP(A362,Database!$A:$AS,MATCH($P$1,Database!$A$1:$AS$1,0),FALSE))</f>
        <v/>
      </c>
      <c r="Q362" s="76">
        <f>(((Table134567891011121314151617343[[#This Row],[JPN]]-VLOOKUP($U$1,A:Q,16,))/VLOOKUP($U$1,A:Q,16,))*100)+100</f>
        <v/>
      </c>
    </row>
    <row r="363" customFormat="1" s="86">
      <c r="A363" s="21" t="n">
        <v>43862</v>
      </c>
      <c r="B363" s="76">
        <f>IF(VLOOKUP(A363,Database!$A:$AS,MATCH($B$1,Database!$A$1:$AS$1,0),FALSE)=0,#N/A,VLOOKUP(A363,Database!$A:$AS,MATCH($B$1,Database!$A$1:$AS$1,0),FALSE))</f>
        <v/>
      </c>
      <c r="C363" s="76">
        <f>IF(VLOOKUP(A363,Database!$A:$AS,MATCH($C$1,Database!$A$1:$AS$1,0),FALSE)=0,#N/A,VLOOKUP(A363,Database!$A:$AS,MATCH($C$1,Database!$A$1:$AS$1,0),FALSE))</f>
        <v/>
      </c>
      <c r="D363" s="76">
        <f>IF(VLOOKUP(A363,Database!$A:$AS,MATCH($D$1,Database!$A$1:$AS$1,0),FALSE)=0,#N/A,VLOOKUP(A363,Database!$A:$AS,MATCH($D$1,Database!$A$1:$AS$1,0),FALSE))</f>
        <v/>
      </c>
      <c r="E363" s="76">
        <f>IF(VLOOKUP(A363,Database!$A:$AS,MATCH($E$1,Database!$A$1:$AS$1,0),FALSE)=0,#N/A,VLOOKUP(A363,Database!$A:$AS,MATCH($E$1,Database!$A$1:$AS$1,0),FALSE))</f>
        <v/>
      </c>
      <c r="F363" s="76">
        <f>IF(VLOOKUP(A363,Database!$A:$AS,MATCH($F$1,Database!$A$1:$AS$1,0),FALSE)=0,#N/A,VLOOKUP(A363,Database!$A:$AS,MATCH($F$1,Database!$A$1:$AS$1,0),FALSE))</f>
        <v/>
      </c>
      <c r="G363" s="76">
        <f>IF(VLOOKUP(A363,Database!$A:$AS,MATCH($G$1,Database!$A$1:$AS$1,0),FALSE)=0,#N/A,VLOOKUP(A363,Database!$A:$AS,MATCH($G$1,Database!$A$1:$AS$1,0),FALSE))</f>
        <v/>
      </c>
      <c r="H363" s="76">
        <f>(((Table134567891011121314151617343[[#This Row],[ITA]]-VLOOKUP($U$1,A:B,2,))/VLOOKUP($U$1,A:B,2,))*100)+100</f>
        <v/>
      </c>
      <c r="I363" s="76">
        <f>(((Table134567891011121314151617343[[#This Row],[FRA]]-VLOOKUP($U$1,A:C,3,))/VLOOKUP($U$1,A:C,3,))*100)+100</f>
        <v/>
      </c>
      <c r="J363" s="76">
        <f>(((Table134567891011121314151617343[[#This Row],[DEU]]-VLOOKUP($U$1,A:D,4,))/VLOOKUP($U$1,A:D,4,))*100)+100</f>
        <v/>
      </c>
      <c r="K363" s="76">
        <f>(((Table134567891011121314151617343[[#This Row],[ESP]]-VLOOKUP($U$1,A:E,5,))/VLOOKUP($U$1,A:E,5,))*100)+100</f>
        <v/>
      </c>
      <c r="L363" s="76">
        <f>(((Table134567891011121314151617343[[#This Row],[EA19]]-VLOOKUP($U$1,A:F,6,))/VLOOKUP($U$1,A:F,6,))*100)+100</f>
        <v/>
      </c>
      <c r="M363" s="76">
        <f>(((Table134567891011121314151617343[[#This Row],[GBR]]-VLOOKUP($U$1,A:G,7,))/VLOOKUP($U$1,A:G,7,))*100)+100</f>
        <v/>
      </c>
      <c r="N363" s="76">
        <f>IF(VLOOKUP(A363,Database!$A:$AU,MATCH($N$1,Database!$A$1:$AU$1,0),FALSE)=0,#N/A,VLOOKUP(A363,Database!$A:$AU,MATCH($N$1,Database!$A$1:$AU$1,0),FALSE))</f>
        <v/>
      </c>
      <c r="O363" s="76">
        <f>(((Table134567891011121314151617343[[#This Row],[USA]]-VLOOKUP($U$1,A:N,14,))/VLOOKUP($U$1,A:N,14,))*100)+100</f>
        <v/>
      </c>
      <c r="P363" s="76">
        <f>IF(VLOOKUP(A363,Database!$A:$AS,MATCH($P$1,Database!$A$1:$AS$1,0),FALSE)=0,#N/A,VLOOKUP(A363,Database!$A:$AS,MATCH($P$1,Database!$A$1:$AS$1,0),FALSE))</f>
        <v/>
      </c>
      <c r="Q363" s="76">
        <f>(((Table134567891011121314151617343[[#This Row],[JPN]]-VLOOKUP($U$1,A:Q,16,))/VLOOKUP($U$1,A:Q,16,))*100)+100</f>
        <v/>
      </c>
    </row>
    <row r="364" customFormat="1" s="86">
      <c r="A364" s="21" t="n">
        <v>43891</v>
      </c>
      <c r="B364" s="76">
        <f>IF(VLOOKUP(A364,Database!$A:$AS,MATCH($B$1,Database!$A$1:$AS$1,0),FALSE)=0,#N/A,VLOOKUP(A364,Database!$A:$AS,MATCH($B$1,Database!$A$1:$AS$1,0),FALSE))</f>
        <v/>
      </c>
      <c r="C364" s="76">
        <f>IF(VLOOKUP(A364,Database!$A:$AS,MATCH($C$1,Database!$A$1:$AS$1,0),FALSE)=0,#N/A,VLOOKUP(A364,Database!$A:$AS,MATCH($C$1,Database!$A$1:$AS$1,0),FALSE))</f>
        <v/>
      </c>
      <c r="D364" s="76">
        <f>IF(VLOOKUP(A364,Database!$A:$AS,MATCH($D$1,Database!$A$1:$AS$1,0),FALSE)=0,#N/A,VLOOKUP(A364,Database!$A:$AS,MATCH($D$1,Database!$A$1:$AS$1,0),FALSE))</f>
        <v/>
      </c>
      <c r="E364" s="76">
        <f>IF(VLOOKUP(A364,Database!$A:$AS,MATCH($E$1,Database!$A$1:$AS$1,0),FALSE)=0,#N/A,VLOOKUP(A364,Database!$A:$AS,MATCH($E$1,Database!$A$1:$AS$1,0),FALSE))</f>
        <v/>
      </c>
      <c r="F364" s="76">
        <f>IF(VLOOKUP(A364,Database!$A:$AS,MATCH($F$1,Database!$A$1:$AS$1,0),FALSE)=0,#N/A,VLOOKUP(A364,Database!$A:$AS,MATCH($F$1,Database!$A$1:$AS$1,0),FALSE))</f>
        <v/>
      </c>
      <c r="G364" s="76">
        <f>IF(VLOOKUP(A364,Database!$A:$AS,MATCH($G$1,Database!$A$1:$AS$1,0),FALSE)=0,#N/A,VLOOKUP(A364,Database!$A:$AS,MATCH($G$1,Database!$A$1:$AS$1,0),FALSE))</f>
        <v/>
      </c>
      <c r="H364" s="76">
        <f>(((Table134567891011121314151617343[[#This Row],[ITA]]-VLOOKUP($U$1,A:B,2,))/VLOOKUP($U$1,A:B,2,))*100)+100</f>
        <v/>
      </c>
      <c r="I364" s="76">
        <f>(((Table134567891011121314151617343[[#This Row],[FRA]]-VLOOKUP($U$1,A:C,3,))/VLOOKUP($U$1,A:C,3,))*100)+100</f>
        <v/>
      </c>
      <c r="J364" s="76">
        <f>(((Table134567891011121314151617343[[#This Row],[DEU]]-VLOOKUP($U$1,A:D,4,))/VLOOKUP($U$1,A:D,4,))*100)+100</f>
        <v/>
      </c>
      <c r="K364" s="76">
        <f>(((Table134567891011121314151617343[[#This Row],[ESP]]-VLOOKUP($U$1,A:E,5,))/VLOOKUP($U$1,A:E,5,))*100)+100</f>
        <v/>
      </c>
      <c r="L364" s="76">
        <f>(((Table134567891011121314151617343[[#This Row],[EA19]]-VLOOKUP($U$1,A:F,6,))/VLOOKUP($U$1,A:F,6,))*100)+100</f>
        <v/>
      </c>
      <c r="M364" s="76">
        <f>(((Table134567891011121314151617343[[#This Row],[GBR]]-VLOOKUP($U$1,A:G,7,))/VLOOKUP($U$1,A:G,7,))*100)+100</f>
        <v/>
      </c>
      <c r="N364" s="76">
        <f>IF(VLOOKUP(A364,Database!$A:$AU,MATCH($N$1,Database!$A$1:$AU$1,0),FALSE)=0,#N/A,VLOOKUP(A364,Database!$A:$AU,MATCH($N$1,Database!$A$1:$AU$1,0),FALSE))</f>
        <v/>
      </c>
      <c r="O364" s="76">
        <f>(((Table134567891011121314151617343[[#This Row],[USA]]-VLOOKUP($U$1,A:N,14,))/VLOOKUP($U$1,A:N,14,))*100)+100</f>
        <v/>
      </c>
      <c r="P364" s="76">
        <f>IF(VLOOKUP(A364,Database!$A:$AS,MATCH($P$1,Database!$A$1:$AS$1,0),FALSE)=0,#N/A,VLOOKUP(A364,Database!$A:$AS,MATCH($P$1,Database!$A$1:$AS$1,0),FALSE))</f>
        <v/>
      </c>
      <c r="Q364" s="76">
        <f>(((Table134567891011121314151617343[[#This Row],[JPN]]-VLOOKUP($U$1,A:Q,16,))/VLOOKUP($U$1,A:Q,16,))*100)+100</f>
        <v/>
      </c>
    </row>
    <row r="365" customFormat="1" s="86">
      <c r="A365" s="21" t="n">
        <v>43922</v>
      </c>
      <c r="B365" s="76">
        <f>IF(VLOOKUP(A365,Database!$A:$AS,MATCH($B$1,Database!$A$1:$AS$1,0),FALSE)=0,#N/A,VLOOKUP(A365,Database!$A:$AS,MATCH($B$1,Database!$A$1:$AS$1,0),FALSE))</f>
        <v/>
      </c>
      <c r="C365" s="76">
        <f>IF(VLOOKUP(A365,Database!$A:$AS,MATCH($C$1,Database!$A$1:$AS$1,0),FALSE)=0,#N/A,VLOOKUP(A365,Database!$A:$AS,MATCH($C$1,Database!$A$1:$AS$1,0),FALSE))</f>
        <v/>
      </c>
      <c r="D365" s="76">
        <f>IF(VLOOKUP(A365,Database!$A:$AS,MATCH($D$1,Database!$A$1:$AS$1,0),FALSE)=0,#N/A,VLOOKUP(A365,Database!$A:$AS,MATCH($D$1,Database!$A$1:$AS$1,0),FALSE))</f>
        <v/>
      </c>
      <c r="E365" s="76">
        <f>IF(VLOOKUP(A365,Database!$A:$AS,MATCH($E$1,Database!$A$1:$AS$1,0),FALSE)=0,#N/A,VLOOKUP(A365,Database!$A:$AS,MATCH($E$1,Database!$A$1:$AS$1,0),FALSE))</f>
        <v/>
      </c>
      <c r="F365" s="76">
        <f>IF(VLOOKUP(A365,Database!$A:$AS,MATCH($F$1,Database!$A$1:$AS$1,0),FALSE)=0,#N/A,VLOOKUP(A365,Database!$A:$AS,MATCH($F$1,Database!$A$1:$AS$1,0),FALSE))</f>
        <v/>
      </c>
      <c r="G365" s="76">
        <f>IF(VLOOKUP(A365,Database!$A:$AS,MATCH($G$1,Database!$A$1:$AS$1,0),FALSE)=0,#N/A,VLOOKUP(A365,Database!$A:$AS,MATCH($G$1,Database!$A$1:$AS$1,0),FALSE))</f>
        <v/>
      </c>
      <c r="H365" s="76">
        <f>(((Table134567891011121314151617343[[#This Row],[ITA]]-VLOOKUP($U$1,A:B,2,))/VLOOKUP($U$1,A:B,2,))*100)+100</f>
        <v/>
      </c>
      <c r="I365" s="76">
        <f>(((Table134567891011121314151617343[[#This Row],[FRA]]-VLOOKUP($U$1,A:C,3,))/VLOOKUP($U$1,A:C,3,))*100)+100</f>
        <v/>
      </c>
      <c r="J365" s="76">
        <f>(((Table134567891011121314151617343[[#This Row],[DEU]]-VLOOKUP($U$1,A:D,4,))/VLOOKUP($U$1,A:D,4,))*100)+100</f>
        <v/>
      </c>
      <c r="K365" s="76">
        <f>(((Table134567891011121314151617343[[#This Row],[ESP]]-VLOOKUP($U$1,A:E,5,))/VLOOKUP($U$1,A:E,5,))*100)+100</f>
        <v/>
      </c>
      <c r="L365" s="76">
        <f>(((Table134567891011121314151617343[[#This Row],[EA19]]-VLOOKUP($U$1,A:F,6,))/VLOOKUP($U$1,A:F,6,))*100)+100</f>
        <v/>
      </c>
      <c r="M365" s="76">
        <f>(((Table134567891011121314151617343[[#This Row],[GBR]]-VLOOKUP($U$1,A:G,7,))/VLOOKUP($U$1,A:G,7,))*100)+100</f>
        <v/>
      </c>
      <c r="N365" s="76">
        <f>IF(VLOOKUP(A365,Database!$A:$AU,MATCH($N$1,Database!$A$1:$AU$1,0),FALSE)=0,#N/A,VLOOKUP(A365,Database!$A:$AU,MATCH($N$1,Database!$A$1:$AU$1,0),FALSE))</f>
        <v/>
      </c>
      <c r="O365" s="76">
        <f>(((Table134567891011121314151617343[[#This Row],[USA]]-VLOOKUP($U$1,A:N,14,))/VLOOKUP($U$1,A:N,14,))*100)+100</f>
        <v/>
      </c>
      <c r="P365" s="76">
        <f>IF(VLOOKUP(A365,Database!$A:$AS,MATCH($P$1,Database!$A$1:$AS$1,0),FALSE)=0,#N/A,VLOOKUP(A365,Database!$A:$AS,MATCH($P$1,Database!$A$1:$AS$1,0),FALSE))</f>
        <v/>
      </c>
      <c r="Q365" s="76">
        <f>(((Table134567891011121314151617343[[#This Row],[JPN]]-VLOOKUP($U$1,A:Q,16,))/VLOOKUP($U$1,A:Q,16,))*100)+100</f>
        <v/>
      </c>
    </row>
    <row r="366" customFormat="1" s="86">
      <c r="A366" s="21" t="n">
        <v>43952</v>
      </c>
      <c r="B366" s="76">
        <f>IF(VLOOKUP(A366,Database!$A:$AS,MATCH($B$1,Database!$A$1:$AS$1,0),FALSE)=0,#N/A,VLOOKUP(A366,Database!$A:$AS,MATCH($B$1,Database!$A$1:$AS$1,0),FALSE))</f>
        <v/>
      </c>
      <c r="C366" s="76">
        <f>IF(VLOOKUP(A366,Database!$A:$AS,MATCH($C$1,Database!$A$1:$AS$1,0),FALSE)=0,#N/A,VLOOKUP(A366,Database!$A:$AS,MATCH($C$1,Database!$A$1:$AS$1,0),FALSE))</f>
        <v/>
      </c>
      <c r="D366" s="76">
        <f>IF(VLOOKUP(A366,Database!$A:$AS,MATCH($D$1,Database!$A$1:$AS$1,0),FALSE)=0,#N/A,VLOOKUP(A366,Database!$A:$AS,MATCH($D$1,Database!$A$1:$AS$1,0),FALSE))</f>
        <v/>
      </c>
      <c r="E366" s="76">
        <f>IF(VLOOKUP(A366,Database!$A:$AS,MATCH($E$1,Database!$A$1:$AS$1,0),FALSE)=0,#N/A,VLOOKUP(A366,Database!$A:$AS,MATCH($E$1,Database!$A$1:$AS$1,0),FALSE))</f>
        <v/>
      </c>
      <c r="F366" s="76">
        <f>IF(VLOOKUP(A366,Database!$A:$AS,MATCH($F$1,Database!$A$1:$AS$1,0),FALSE)=0,#N/A,VLOOKUP(A366,Database!$A:$AS,MATCH($F$1,Database!$A$1:$AS$1,0),FALSE))</f>
        <v/>
      </c>
      <c r="G366" s="76">
        <f>IF(VLOOKUP(A366,Database!$A:$AS,MATCH($G$1,Database!$A$1:$AS$1,0),FALSE)=0,#N/A,VLOOKUP(A366,Database!$A:$AS,MATCH($G$1,Database!$A$1:$AS$1,0),FALSE))</f>
        <v/>
      </c>
      <c r="H366" s="76">
        <f>(((Table134567891011121314151617343[[#This Row],[ITA]]-VLOOKUP($U$1,A:B,2,))/VLOOKUP($U$1,A:B,2,))*100)+100</f>
        <v/>
      </c>
      <c r="I366" s="76">
        <f>(((Table134567891011121314151617343[[#This Row],[FRA]]-VLOOKUP($U$1,A:C,3,))/VLOOKUP($U$1,A:C,3,))*100)+100</f>
        <v/>
      </c>
      <c r="J366" s="76">
        <f>(((Table134567891011121314151617343[[#This Row],[DEU]]-VLOOKUP($U$1,A:D,4,))/VLOOKUP($U$1,A:D,4,))*100)+100</f>
        <v/>
      </c>
      <c r="K366" s="76">
        <f>(((Table134567891011121314151617343[[#This Row],[ESP]]-VLOOKUP($U$1,A:E,5,))/VLOOKUP($U$1,A:E,5,))*100)+100</f>
        <v/>
      </c>
      <c r="L366" s="76">
        <f>(((Table134567891011121314151617343[[#This Row],[EA19]]-VLOOKUP($U$1,A:F,6,))/VLOOKUP($U$1,A:F,6,))*100)+100</f>
        <v/>
      </c>
      <c r="M366" s="76">
        <f>(((Table134567891011121314151617343[[#This Row],[GBR]]-VLOOKUP($U$1,A:G,7,))/VLOOKUP($U$1,A:G,7,))*100)+100</f>
        <v/>
      </c>
      <c r="N366" s="76">
        <f>IF(VLOOKUP(A366,Database!$A:$AU,MATCH($N$1,Database!$A$1:$AU$1,0),FALSE)=0,#N/A,VLOOKUP(A366,Database!$A:$AU,MATCH($N$1,Database!$A$1:$AU$1,0),FALSE))</f>
        <v/>
      </c>
      <c r="O366" s="76">
        <f>(((Table134567891011121314151617343[[#This Row],[USA]]-VLOOKUP($U$1,A:N,14,))/VLOOKUP($U$1,A:N,14,))*100)+100</f>
        <v/>
      </c>
      <c r="P366" s="76">
        <f>IF(VLOOKUP(A366,Database!$A:$AS,MATCH($P$1,Database!$A$1:$AS$1,0),FALSE)=0,#N/A,VLOOKUP(A366,Database!$A:$AS,MATCH($P$1,Database!$A$1:$AS$1,0),FALSE))</f>
        <v/>
      </c>
      <c r="Q366" s="76">
        <f>(((Table134567891011121314151617343[[#This Row],[JPN]]-VLOOKUP($U$1,A:Q,16,))/VLOOKUP($U$1,A:Q,16,))*100)+100</f>
        <v/>
      </c>
    </row>
    <row r="367" customFormat="1" s="86">
      <c r="A367" s="21" t="n">
        <v>43983</v>
      </c>
      <c r="B367" s="76">
        <f>IF(VLOOKUP(A367,Database!$A:$AS,MATCH($B$1,Database!$A$1:$AS$1,0),FALSE)=0,#N/A,VLOOKUP(A367,Database!$A:$AS,MATCH($B$1,Database!$A$1:$AS$1,0),FALSE))</f>
        <v/>
      </c>
      <c r="C367" s="76">
        <f>IF(VLOOKUP(A367,Database!$A:$AS,MATCH($C$1,Database!$A$1:$AS$1,0),FALSE)=0,#N/A,VLOOKUP(A367,Database!$A:$AS,MATCH($C$1,Database!$A$1:$AS$1,0),FALSE))</f>
        <v/>
      </c>
      <c r="D367" s="76">
        <f>IF(VLOOKUP(A367,Database!$A:$AS,MATCH($D$1,Database!$A$1:$AS$1,0),FALSE)=0,#N/A,VLOOKUP(A367,Database!$A:$AS,MATCH($D$1,Database!$A$1:$AS$1,0),FALSE))</f>
        <v/>
      </c>
      <c r="E367" s="76">
        <f>IF(VLOOKUP(A367,Database!$A:$AS,MATCH($E$1,Database!$A$1:$AS$1,0),FALSE)=0,#N/A,VLOOKUP(A367,Database!$A:$AS,MATCH($E$1,Database!$A$1:$AS$1,0),FALSE))</f>
        <v/>
      </c>
      <c r="F367" s="76">
        <f>IF(VLOOKUP(A367,Database!$A:$AS,MATCH($F$1,Database!$A$1:$AS$1,0),FALSE)=0,#N/A,VLOOKUP(A367,Database!$A:$AS,MATCH($F$1,Database!$A$1:$AS$1,0),FALSE))</f>
        <v/>
      </c>
      <c r="G367" s="76">
        <f>IF(VLOOKUP(A367,Database!$A:$AS,MATCH($G$1,Database!$A$1:$AS$1,0),FALSE)=0,#N/A,VLOOKUP(A367,Database!$A:$AS,MATCH($G$1,Database!$A$1:$AS$1,0),FALSE))</f>
        <v/>
      </c>
      <c r="H367" s="76">
        <f>(((Table134567891011121314151617343[[#This Row],[ITA]]-VLOOKUP($U$1,A:B,2,))/VLOOKUP($U$1,A:B,2,))*100)+100</f>
        <v/>
      </c>
      <c r="I367" s="76">
        <f>(((Table134567891011121314151617343[[#This Row],[FRA]]-VLOOKUP($U$1,A:C,3,))/VLOOKUP($U$1,A:C,3,))*100)+100</f>
        <v/>
      </c>
      <c r="J367" s="76">
        <f>(((Table134567891011121314151617343[[#This Row],[DEU]]-VLOOKUP($U$1,A:D,4,))/VLOOKUP($U$1,A:D,4,))*100)+100</f>
        <v/>
      </c>
      <c r="K367" s="76">
        <f>(((Table134567891011121314151617343[[#This Row],[ESP]]-VLOOKUP($U$1,A:E,5,))/VLOOKUP($U$1,A:E,5,))*100)+100</f>
        <v/>
      </c>
      <c r="L367" s="76">
        <f>(((Table134567891011121314151617343[[#This Row],[EA19]]-VLOOKUP($U$1,A:F,6,))/VLOOKUP($U$1,A:F,6,))*100)+100</f>
        <v/>
      </c>
      <c r="M367" s="76">
        <f>(((Table134567891011121314151617343[[#This Row],[GBR]]-VLOOKUP($U$1,A:G,7,))/VLOOKUP($U$1,A:G,7,))*100)+100</f>
        <v/>
      </c>
      <c r="N367" s="76">
        <f>IF(VLOOKUP(A367,Database!$A:$AU,MATCH($N$1,Database!$A$1:$AU$1,0),FALSE)=0,#N/A,VLOOKUP(A367,Database!$A:$AU,MATCH($N$1,Database!$A$1:$AU$1,0),FALSE))</f>
        <v/>
      </c>
      <c r="O367" s="76">
        <f>(((Table134567891011121314151617343[[#This Row],[USA]]-VLOOKUP($U$1,A:N,14,))/VLOOKUP($U$1,A:N,14,))*100)+100</f>
        <v/>
      </c>
      <c r="P367" s="76">
        <f>IF(VLOOKUP(A367,Database!$A:$AS,MATCH($P$1,Database!$A$1:$AS$1,0),FALSE)=0,#N/A,VLOOKUP(A367,Database!$A:$AS,MATCH($P$1,Database!$A$1:$AS$1,0),FALSE))</f>
        <v/>
      </c>
      <c r="Q367" s="76">
        <f>(((Table134567891011121314151617343[[#This Row],[JPN]]-VLOOKUP($U$1,A:Q,16,))/VLOOKUP($U$1,A:Q,16,))*100)+100</f>
        <v/>
      </c>
    </row>
    <row r="368" customFormat="1" s="86">
      <c r="A368" s="21" t="n">
        <v>44013</v>
      </c>
      <c r="B368" s="76">
        <f>IF(VLOOKUP(A368,Database!$A:$AS,MATCH($B$1,Database!$A$1:$AS$1,0),FALSE)=0,#N/A,VLOOKUP(A368,Database!$A:$AS,MATCH($B$1,Database!$A$1:$AS$1,0),FALSE))</f>
        <v/>
      </c>
      <c r="C368" s="76">
        <f>IF(VLOOKUP(A368,Database!$A:$AS,MATCH($C$1,Database!$A$1:$AS$1,0),FALSE)=0,#N/A,VLOOKUP(A368,Database!$A:$AS,MATCH($C$1,Database!$A$1:$AS$1,0),FALSE))</f>
        <v/>
      </c>
      <c r="D368" s="76">
        <f>IF(VLOOKUP(A368,Database!$A:$AS,MATCH($D$1,Database!$A$1:$AS$1,0),FALSE)=0,#N/A,VLOOKUP(A368,Database!$A:$AS,MATCH($D$1,Database!$A$1:$AS$1,0),FALSE))</f>
        <v/>
      </c>
      <c r="E368" s="76">
        <f>IF(VLOOKUP(A368,Database!$A:$AS,MATCH($E$1,Database!$A$1:$AS$1,0),FALSE)=0,#N/A,VLOOKUP(A368,Database!$A:$AS,MATCH($E$1,Database!$A$1:$AS$1,0),FALSE))</f>
        <v/>
      </c>
      <c r="F368" s="76">
        <f>IF(VLOOKUP(A368,Database!$A:$AS,MATCH($F$1,Database!$A$1:$AS$1,0),FALSE)=0,#N/A,VLOOKUP(A368,Database!$A:$AS,MATCH($F$1,Database!$A$1:$AS$1,0),FALSE))</f>
        <v/>
      </c>
      <c r="G368" s="76">
        <f>IF(VLOOKUP(A368,Database!$A:$AS,MATCH($G$1,Database!$A$1:$AS$1,0),FALSE)=0,#N/A,VLOOKUP(A368,Database!$A:$AS,MATCH($G$1,Database!$A$1:$AS$1,0),FALSE))</f>
        <v/>
      </c>
      <c r="H368" s="76">
        <f>(((Table134567891011121314151617343[[#This Row],[ITA]]-VLOOKUP($U$1,A:B,2,))/VLOOKUP($U$1,A:B,2,))*100)+100</f>
        <v/>
      </c>
      <c r="I368" s="76">
        <f>(((Table134567891011121314151617343[[#This Row],[FRA]]-VLOOKUP($U$1,A:C,3,))/VLOOKUP($U$1,A:C,3,))*100)+100</f>
        <v/>
      </c>
      <c r="J368" s="76">
        <f>(((Table134567891011121314151617343[[#This Row],[DEU]]-VLOOKUP($U$1,A:D,4,))/VLOOKUP($U$1,A:D,4,))*100)+100</f>
        <v/>
      </c>
      <c r="K368" s="76">
        <f>(((Table134567891011121314151617343[[#This Row],[ESP]]-VLOOKUP($U$1,A:E,5,))/VLOOKUP($U$1,A:E,5,))*100)+100</f>
        <v/>
      </c>
      <c r="L368" s="76">
        <f>(((Table134567891011121314151617343[[#This Row],[EA19]]-VLOOKUP($U$1,A:F,6,))/VLOOKUP($U$1,A:F,6,))*100)+100</f>
        <v/>
      </c>
      <c r="M368" s="76">
        <f>(((Table134567891011121314151617343[[#This Row],[GBR]]-VLOOKUP($U$1,A:G,7,))/VLOOKUP($U$1,A:G,7,))*100)+100</f>
        <v/>
      </c>
      <c r="N368" s="76">
        <f>IF(VLOOKUP(A368,Database!$A:$AU,MATCH($N$1,Database!$A$1:$AU$1,0),FALSE)=0,#N/A,VLOOKUP(A368,Database!$A:$AU,MATCH($N$1,Database!$A$1:$AU$1,0),FALSE))</f>
        <v/>
      </c>
      <c r="O368" s="76">
        <f>(((Table134567891011121314151617343[[#This Row],[USA]]-VLOOKUP($U$1,A:N,14,))/VLOOKUP($U$1,A:N,14,))*100)+100</f>
        <v/>
      </c>
      <c r="P368" s="76">
        <f>IF(VLOOKUP(A368,Database!$A:$AS,MATCH($P$1,Database!$A$1:$AS$1,0),FALSE)=0,#N/A,VLOOKUP(A368,Database!$A:$AS,MATCH($P$1,Database!$A$1:$AS$1,0),FALSE))</f>
        <v/>
      </c>
      <c r="Q368" s="76">
        <f>(((Table134567891011121314151617343[[#This Row],[JPN]]-VLOOKUP($U$1,A:Q,16,))/VLOOKUP($U$1,A:Q,16,))*100)+100</f>
        <v/>
      </c>
    </row>
    <row r="369" customFormat="1" s="86">
      <c r="A369" s="21" t="n">
        <v>44044</v>
      </c>
      <c r="B369" s="76">
        <f>IF(VLOOKUP(A369,Database!$A:$AS,MATCH($B$1,Database!$A$1:$AS$1,0),FALSE)=0,#N/A,VLOOKUP(A369,Database!$A:$AS,MATCH($B$1,Database!$A$1:$AS$1,0),FALSE))</f>
        <v/>
      </c>
      <c r="C369" s="76">
        <f>IF(VLOOKUP(A369,Database!$A:$AS,MATCH($C$1,Database!$A$1:$AS$1,0),FALSE)=0,#N/A,VLOOKUP(A369,Database!$A:$AS,MATCH($C$1,Database!$A$1:$AS$1,0),FALSE))</f>
        <v/>
      </c>
      <c r="D369" s="76">
        <f>IF(VLOOKUP(A369,Database!$A:$AS,MATCH($D$1,Database!$A$1:$AS$1,0),FALSE)=0,#N/A,VLOOKUP(A369,Database!$A:$AS,MATCH($D$1,Database!$A$1:$AS$1,0),FALSE))</f>
        <v/>
      </c>
      <c r="E369" s="76">
        <f>IF(VLOOKUP(A369,Database!$A:$AS,MATCH($E$1,Database!$A$1:$AS$1,0),FALSE)=0,#N/A,VLOOKUP(A369,Database!$A:$AS,MATCH($E$1,Database!$A$1:$AS$1,0),FALSE))</f>
        <v/>
      </c>
      <c r="F369" s="76">
        <f>IF(VLOOKUP(A369,Database!$A:$AS,MATCH($F$1,Database!$A$1:$AS$1,0),FALSE)=0,#N/A,VLOOKUP(A369,Database!$A:$AS,MATCH($F$1,Database!$A$1:$AS$1,0),FALSE))</f>
        <v/>
      </c>
      <c r="G369" s="76">
        <f>IF(VLOOKUP(A369,Database!$A:$AS,MATCH($G$1,Database!$A$1:$AS$1,0),FALSE)=0,#N/A,VLOOKUP(A369,Database!$A:$AS,MATCH($G$1,Database!$A$1:$AS$1,0),FALSE))</f>
        <v/>
      </c>
      <c r="H369" s="76">
        <f>(((Table134567891011121314151617343[[#This Row],[ITA]]-VLOOKUP($U$1,A:B,2,))/VLOOKUP($U$1,A:B,2,))*100)+100</f>
        <v/>
      </c>
      <c r="I369" s="76">
        <f>(((Table134567891011121314151617343[[#This Row],[FRA]]-VLOOKUP($U$1,A:C,3,))/VLOOKUP($U$1,A:C,3,))*100)+100</f>
        <v/>
      </c>
      <c r="J369" s="76">
        <f>(((Table134567891011121314151617343[[#This Row],[DEU]]-VLOOKUP($U$1,A:D,4,))/VLOOKUP($U$1,A:D,4,))*100)+100</f>
        <v/>
      </c>
      <c r="K369" s="76">
        <f>(((Table134567891011121314151617343[[#This Row],[ESP]]-VLOOKUP($U$1,A:E,5,))/VLOOKUP($U$1,A:E,5,))*100)+100</f>
        <v/>
      </c>
      <c r="L369" s="76">
        <f>(((Table134567891011121314151617343[[#This Row],[EA19]]-VLOOKUP($U$1,A:F,6,))/VLOOKUP($U$1,A:F,6,))*100)+100</f>
        <v/>
      </c>
      <c r="M369" s="76">
        <f>(((Table134567891011121314151617343[[#This Row],[GBR]]-VLOOKUP($U$1,A:G,7,))/VLOOKUP($U$1,A:G,7,))*100)+100</f>
        <v/>
      </c>
      <c r="N369" s="76">
        <f>IF(VLOOKUP(A369,Database!$A:$AU,MATCH($N$1,Database!$A$1:$AU$1,0),FALSE)=0,#N/A,VLOOKUP(A369,Database!$A:$AU,MATCH($N$1,Database!$A$1:$AU$1,0),FALSE))</f>
        <v/>
      </c>
      <c r="O369" s="76">
        <f>(((Table134567891011121314151617343[[#This Row],[USA]]-VLOOKUP($U$1,A:N,14,))/VLOOKUP($U$1,A:N,14,))*100)+100</f>
        <v/>
      </c>
      <c r="P369" s="76">
        <f>IF(VLOOKUP(A369,Database!$A:$AS,MATCH($P$1,Database!$A$1:$AS$1,0),FALSE)=0,#N/A,VLOOKUP(A369,Database!$A:$AS,MATCH($P$1,Database!$A$1:$AS$1,0),FALSE))</f>
        <v/>
      </c>
      <c r="Q369" s="76">
        <f>(((Table134567891011121314151617343[[#This Row],[JPN]]-VLOOKUP($U$1,A:Q,16,))/VLOOKUP($U$1,A:Q,16,))*100)+100</f>
        <v/>
      </c>
    </row>
    <row r="370" customFormat="1" s="86">
      <c r="A370" s="21" t="n">
        <v>44075</v>
      </c>
      <c r="B370" s="76">
        <f>IF(VLOOKUP(A370,Database!$A:$AS,MATCH($B$1,Database!$A$1:$AS$1,0),FALSE)=0,#N/A,VLOOKUP(A370,Database!$A:$AS,MATCH($B$1,Database!$A$1:$AS$1,0),FALSE))</f>
        <v/>
      </c>
      <c r="C370" s="76">
        <f>IF(VLOOKUP(A370,Database!$A:$AS,MATCH($C$1,Database!$A$1:$AS$1,0),FALSE)=0,#N/A,VLOOKUP(A370,Database!$A:$AS,MATCH($C$1,Database!$A$1:$AS$1,0),FALSE))</f>
        <v/>
      </c>
      <c r="D370" s="76">
        <f>IF(VLOOKUP(A370,Database!$A:$AS,MATCH($D$1,Database!$A$1:$AS$1,0),FALSE)=0,#N/A,VLOOKUP(A370,Database!$A:$AS,MATCH($D$1,Database!$A$1:$AS$1,0),FALSE))</f>
        <v/>
      </c>
      <c r="E370" s="76">
        <f>IF(VLOOKUP(A370,Database!$A:$AS,MATCH($E$1,Database!$A$1:$AS$1,0),FALSE)=0,#N/A,VLOOKUP(A370,Database!$A:$AS,MATCH($E$1,Database!$A$1:$AS$1,0),FALSE))</f>
        <v/>
      </c>
      <c r="F370" s="76">
        <f>IF(VLOOKUP(A370,Database!$A:$AS,MATCH($F$1,Database!$A$1:$AS$1,0),FALSE)=0,#N/A,VLOOKUP(A370,Database!$A:$AS,MATCH($F$1,Database!$A$1:$AS$1,0),FALSE))</f>
        <v/>
      </c>
      <c r="G370" s="76">
        <f>IF(VLOOKUP(A370,Database!$A:$AS,MATCH($G$1,Database!$A$1:$AS$1,0),FALSE)=0,#N/A,VLOOKUP(A370,Database!$A:$AS,MATCH($G$1,Database!$A$1:$AS$1,0),FALSE))</f>
        <v/>
      </c>
      <c r="H370" s="76">
        <f>(((Table134567891011121314151617343[[#This Row],[ITA]]-VLOOKUP($U$1,A:B,2,))/VLOOKUP($U$1,A:B,2,))*100)+100</f>
        <v/>
      </c>
      <c r="I370" s="76">
        <f>(((Table134567891011121314151617343[[#This Row],[FRA]]-VLOOKUP($U$1,A:C,3,))/VLOOKUP($U$1,A:C,3,))*100)+100</f>
        <v/>
      </c>
      <c r="J370" s="76">
        <f>(((Table134567891011121314151617343[[#This Row],[DEU]]-VLOOKUP($U$1,A:D,4,))/VLOOKUP($U$1,A:D,4,))*100)+100</f>
        <v/>
      </c>
      <c r="K370" s="76">
        <f>(((Table134567891011121314151617343[[#This Row],[ESP]]-VLOOKUP($U$1,A:E,5,))/VLOOKUP($U$1,A:E,5,))*100)+100</f>
        <v/>
      </c>
      <c r="L370" s="76">
        <f>(((Table134567891011121314151617343[[#This Row],[EA19]]-VLOOKUP($U$1,A:F,6,))/VLOOKUP($U$1,A:F,6,))*100)+100</f>
        <v/>
      </c>
      <c r="M370" s="76">
        <f>(((Table134567891011121314151617343[[#This Row],[GBR]]-VLOOKUP($U$1,A:G,7,))/VLOOKUP($U$1,A:G,7,))*100)+100</f>
        <v/>
      </c>
      <c r="N370" s="76">
        <f>IF(VLOOKUP(A370,Database!$A:$AU,MATCH($N$1,Database!$A$1:$AU$1,0),FALSE)=0,#N/A,VLOOKUP(A370,Database!$A:$AU,MATCH($N$1,Database!$A$1:$AU$1,0),FALSE))</f>
        <v/>
      </c>
      <c r="O370" s="76">
        <f>(((Table134567891011121314151617343[[#This Row],[USA]]-VLOOKUP($U$1,A:N,14,))/VLOOKUP($U$1,A:N,14,))*100)+100</f>
        <v/>
      </c>
      <c r="P370" s="76">
        <f>IF(VLOOKUP(A370,Database!$A:$AS,MATCH($P$1,Database!$A$1:$AS$1,0),FALSE)=0,#N/A,VLOOKUP(A370,Database!$A:$AS,MATCH($P$1,Database!$A$1:$AS$1,0),FALSE))</f>
        <v/>
      </c>
      <c r="Q370" s="76">
        <f>(((Table134567891011121314151617343[[#This Row],[JPN]]-VLOOKUP($U$1,A:Q,16,))/VLOOKUP($U$1,A:Q,16,))*100)+100</f>
        <v/>
      </c>
    </row>
    <row r="371" customFormat="1" s="86">
      <c r="A371" s="21" t="n">
        <v>44105</v>
      </c>
      <c r="B371" s="76">
        <f>IF(VLOOKUP(A371,Database!$A:$AS,MATCH($B$1,Database!$A$1:$AS$1,0),FALSE)=0,#N/A,VLOOKUP(A371,Database!$A:$AS,MATCH($B$1,Database!$A$1:$AS$1,0),FALSE))</f>
        <v/>
      </c>
      <c r="C371" s="76">
        <f>IF(VLOOKUP(A371,Database!$A:$AS,MATCH($C$1,Database!$A$1:$AS$1,0),FALSE)=0,#N/A,VLOOKUP(A371,Database!$A:$AS,MATCH($C$1,Database!$A$1:$AS$1,0),FALSE))</f>
        <v/>
      </c>
      <c r="D371" s="76">
        <f>IF(VLOOKUP(A371,Database!$A:$AS,MATCH($D$1,Database!$A$1:$AS$1,0),FALSE)=0,#N/A,VLOOKUP(A371,Database!$A:$AS,MATCH($D$1,Database!$A$1:$AS$1,0),FALSE))</f>
        <v/>
      </c>
      <c r="E371" s="76">
        <f>IF(VLOOKUP(A371,Database!$A:$AS,MATCH($E$1,Database!$A$1:$AS$1,0),FALSE)=0,#N/A,VLOOKUP(A371,Database!$A:$AS,MATCH($E$1,Database!$A$1:$AS$1,0),FALSE))</f>
        <v/>
      </c>
      <c r="F371" s="76">
        <f>IF(VLOOKUP(A371,Database!$A:$AS,MATCH($F$1,Database!$A$1:$AS$1,0),FALSE)=0,#N/A,VLOOKUP(A371,Database!$A:$AS,MATCH($F$1,Database!$A$1:$AS$1,0),FALSE))</f>
        <v/>
      </c>
      <c r="G371" s="76">
        <f>IF(VLOOKUP(A371,Database!$A:$AS,MATCH($G$1,Database!$A$1:$AS$1,0),FALSE)=0,#N/A,VLOOKUP(A371,Database!$A:$AS,MATCH($G$1,Database!$A$1:$AS$1,0),FALSE))</f>
        <v/>
      </c>
      <c r="H371" s="76">
        <f>(((Table134567891011121314151617343[[#This Row],[ITA]]-VLOOKUP($U$1,A:B,2,))/VLOOKUP($U$1,A:B,2,))*100)+100</f>
        <v/>
      </c>
      <c r="I371" s="76">
        <f>(((Table134567891011121314151617343[[#This Row],[FRA]]-VLOOKUP($U$1,A:C,3,))/VLOOKUP($U$1,A:C,3,))*100)+100</f>
        <v/>
      </c>
      <c r="J371" s="76">
        <f>(((Table134567891011121314151617343[[#This Row],[DEU]]-VLOOKUP($U$1,A:D,4,))/VLOOKUP($U$1,A:D,4,))*100)+100</f>
        <v/>
      </c>
      <c r="K371" s="76">
        <f>(((Table134567891011121314151617343[[#This Row],[ESP]]-VLOOKUP($U$1,A:E,5,))/VLOOKUP($U$1,A:E,5,))*100)+100</f>
        <v/>
      </c>
      <c r="L371" s="76">
        <f>(((Table134567891011121314151617343[[#This Row],[EA19]]-VLOOKUP($U$1,A:F,6,))/VLOOKUP($U$1,A:F,6,))*100)+100</f>
        <v/>
      </c>
      <c r="M371" s="76">
        <f>(((Table134567891011121314151617343[[#This Row],[GBR]]-VLOOKUP($U$1,A:G,7,))/VLOOKUP($U$1,A:G,7,))*100)+100</f>
        <v/>
      </c>
      <c r="N371" s="76">
        <f>IF(VLOOKUP(A371,Database!$A:$AU,MATCH($N$1,Database!$A$1:$AU$1,0),FALSE)=0,#N/A,VLOOKUP(A371,Database!$A:$AU,MATCH($N$1,Database!$A$1:$AU$1,0),FALSE))</f>
        <v/>
      </c>
      <c r="O371" s="76">
        <f>(((Table134567891011121314151617343[[#This Row],[USA]]-VLOOKUP($U$1,A:N,14,))/VLOOKUP($U$1,A:N,14,))*100)+100</f>
        <v/>
      </c>
      <c r="P371" s="76">
        <f>IF(VLOOKUP(A371,Database!$A:$AS,MATCH($P$1,Database!$A$1:$AS$1,0),FALSE)=0,#N/A,VLOOKUP(A371,Database!$A:$AS,MATCH($P$1,Database!$A$1:$AS$1,0),FALSE))</f>
        <v/>
      </c>
      <c r="Q371" s="76">
        <f>(((Table134567891011121314151617343[[#This Row],[JPN]]-VLOOKUP($U$1,A:Q,16,))/VLOOKUP($U$1,A:Q,16,))*100)+100</f>
        <v/>
      </c>
    </row>
    <row r="372" customFormat="1" s="86">
      <c r="A372" s="21" t="n">
        <v>44136</v>
      </c>
      <c r="B372" s="76">
        <f>IF(VLOOKUP(A372,Database!$A:$AS,MATCH($B$1,Database!$A$1:$AS$1,0),FALSE)=0,#N/A,VLOOKUP(A372,Database!$A:$AS,MATCH($B$1,Database!$A$1:$AS$1,0),FALSE))</f>
        <v/>
      </c>
      <c r="C372" s="76">
        <f>IF(VLOOKUP(A372,Database!$A:$AS,MATCH($C$1,Database!$A$1:$AS$1,0),FALSE)=0,#N/A,VLOOKUP(A372,Database!$A:$AS,MATCH($C$1,Database!$A$1:$AS$1,0),FALSE))</f>
        <v/>
      </c>
      <c r="D372" s="76">
        <f>IF(VLOOKUP(A372,Database!$A:$AS,MATCH($D$1,Database!$A$1:$AS$1,0),FALSE)=0,#N/A,VLOOKUP(A372,Database!$A:$AS,MATCH($D$1,Database!$A$1:$AS$1,0),FALSE))</f>
        <v/>
      </c>
      <c r="E372" s="76">
        <f>IF(VLOOKUP(A372,Database!$A:$AS,MATCH($E$1,Database!$A$1:$AS$1,0),FALSE)=0,#N/A,VLOOKUP(A372,Database!$A:$AS,MATCH($E$1,Database!$A$1:$AS$1,0),FALSE))</f>
        <v/>
      </c>
      <c r="F372" s="76">
        <f>IF(VLOOKUP(A372,Database!$A:$AS,MATCH($F$1,Database!$A$1:$AS$1,0),FALSE)=0,#N/A,VLOOKUP(A372,Database!$A:$AS,MATCH($F$1,Database!$A$1:$AS$1,0),FALSE))</f>
        <v/>
      </c>
      <c r="G372" s="76">
        <f>IF(VLOOKUP(A372,Database!$A:$AS,MATCH($G$1,Database!$A$1:$AS$1,0),FALSE)=0,#N/A,VLOOKUP(A372,Database!$A:$AS,MATCH($G$1,Database!$A$1:$AS$1,0),FALSE))</f>
        <v/>
      </c>
      <c r="H372" s="76">
        <f>(((Table134567891011121314151617343[[#This Row],[ITA]]-VLOOKUP($U$1,A:B,2,))/VLOOKUP($U$1,A:B,2,))*100)+100</f>
        <v/>
      </c>
      <c r="I372" s="76">
        <f>(((Table134567891011121314151617343[[#This Row],[FRA]]-VLOOKUP($U$1,A:C,3,))/VLOOKUP($U$1,A:C,3,))*100)+100</f>
        <v/>
      </c>
      <c r="J372" s="76">
        <f>(((Table134567891011121314151617343[[#This Row],[DEU]]-VLOOKUP($U$1,A:D,4,))/VLOOKUP($U$1,A:D,4,))*100)+100</f>
        <v/>
      </c>
      <c r="K372" s="76">
        <f>(((Table134567891011121314151617343[[#This Row],[ESP]]-VLOOKUP($U$1,A:E,5,))/VLOOKUP($U$1,A:E,5,))*100)+100</f>
        <v/>
      </c>
      <c r="L372" s="76">
        <f>(((Table134567891011121314151617343[[#This Row],[EA19]]-VLOOKUP($U$1,A:F,6,))/VLOOKUP($U$1,A:F,6,))*100)+100</f>
        <v/>
      </c>
      <c r="M372" s="76">
        <f>(((Table134567891011121314151617343[[#This Row],[GBR]]-VLOOKUP($U$1,A:G,7,))/VLOOKUP($U$1,A:G,7,))*100)+100</f>
        <v/>
      </c>
      <c r="N372" s="76">
        <f>IF(VLOOKUP(A372,Database!$A:$AU,MATCH($N$1,Database!$A$1:$AU$1,0),FALSE)=0,#N/A,VLOOKUP(A372,Database!$A:$AU,MATCH($N$1,Database!$A$1:$AU$1,0),FALSE))</f>
        <v/>
      </c>
      <c r="O372" s="76">
        <f>(((Table134567891011121314151617343[[#This Row],[USA]]-VLOOKUP($U$1,A:N,14,))/VLOOKUP($U$1,A:N,14,))*100)+100</f>
        <v/>
      </c>
      <c r="P372" s="76">
        <f>IF(VLOOKUP(A372,Database!$A:$AS,MATCH($P$1,Database!$A$1:$AS$1,0),FALSE)=0,#N/A,VLOOKUP(A372,Database!$A:$AS,MATCH($P$1,Database!$A$1:$AS$1,0),FALSE))</f>
        <v/>
      </c>
      <c r="Q372" s="76">
        <f>(((Table134567891011121314151617343[[#This Row],[JPN]]-VLOOKUP($U$1,A:Q,16,))/VLOOKUP($U$1,A:Q,16,))*100)+100</f>
        <v/>
      </c>
    </row>
    <row r="373" customFormat="1" s="86">
      <c r="A373" s="21" t="n">
        <v>44166</v>
      </c>
      <c r="B373" s="76">
        <f>IF(VLOOKUP(A373,Database!$A:$AS,MATCH($B$1,Database!$A$1:$AS$1,0),FALSE)=0,#N/A,VLOOKUP(A373,Database!$A:$AS,MATCH($B$1,Database!$A$1:$AS$1,0),FALSE))</f>
        <v/>
      </c>
      <c r="C373" s="76">
        <f>IF(VLOOKUP(A373,Database!$A:$AS,MATCH($C$1,Database!$A$1:$AS$1,0),FALSE)=0,#N/A,VLOOKUP(A373,Database!$A:$AS,MATCH($C$1,Database!$A$1:$AS$1,0),FALSE))</f>
        <v/>
      </c>
      <c r="D373" s="76">
        <f>IF(VLOOKUP(A373,Database!$A:$AS,MATCH($D$1,Database!$A$1:$AS$1,0),FALSE)=0,#N/A,VLOOKUP(A373,Database!$A:$AS,MATCH($D$1,Database!$A$1:$AS$1,0),FALSE))</f>
        <v/>
      </c>
      <c r="E373" s="76">
        <f>IF(VLOOKUP(A373,Database!$A:$AS,MATCH($E$1,Database!$A$1:$AS$1,0),FALSE)=0,#N/A,VLOOKUP(A373,Database!$A:$AS,MATCH($E$1,Database!$A$1:$AS$1,0),FALSE))</f>
        <v/>
      </c>
      <c r="F373" s="76">
        <f>IF(VLOOKUP(A373,Database!$A:$AS,MATCH($F$1,Database!$A$1:$AS$1,0),FALSE)=0,#N/A,VLOOKUP(A373,Database!$A:$AS,MATCH($F$1,Database!$A$1:$AS$1,0),FALSE))</f>
        <v/>
      </c>
      <c r="G373" s="76">
        <f>IF(VLOOKUP(A373,Database!$A:$AS,MATCH($G$1,Database!$A$1:$AS$1,0),FALSE)=0,#N/A,VLOOKUP(A373,Database!$A:$AS,MATCH($G$1,Database!$A$1:$AS$1,0),FALSE))</f>
        <v/>
      </c>
      <c r="H373" s="76">
        <f>(((Table134567891011121314151617343[[#This Row],[ITA]]-VLOOKUP($U$1,A:B,2,))/VLOOKUP($U$1,A:B,2,))*100)+100</f>
        <v/>
      </c>
      <c r="I373" s="76">
        <f>(((Table134567891011121314151617343[[#This Row],[FRA]]-VLOOKUP($U$1,A:C,3,))/VLOOKUP($U$1,A:C,3,))*100)+100</f>
        <v/>
      </c>
      <c r="J373" s="76">
        <f>(((Table134567891011121314151617343[[#This Row],[DEU]]-VLOOKUP($U$1,A:D,4,))/VLOOKUP($U$1,A:D,4,))*100)+100</f>
        <v/>
      </c>
      <c r="K373" s="76">
        <f>(((Table134567891011121314151617343[[#This Row],[ESP]]-VLOOKUP($U$1,A:E,5,))/VLOOKUP($U$1,A:E,5,))*100)+100</f>
        <v/>
      </c>
      <c r="L373" s="76">
        <f>(((Table134567891011121314151617343[[#This Row],[EA19]]-VLOOKUP($U$1,A:F,6,))/VLOOKUP($U$1,A:F,6,))*100)+100</f>
        <v/>
      </c>
      <c r="M373" s="76">
        <f>(((Table134567891011121314151617343[[#This Row],[GBR]]-VLOOKUP($U$1,A:G,7,))/VLOOKUP($U$1,A:G,7,))*100)+100</f>
        <v/>
      </c>
      <c r="N373" s="76">
        <f>IF(VLOOKUP(A373,Database!$A:$AU,MATCH($N$1,Database!$A$1:$AU$1,0),FALSE)=0,#N/A,VLOOKUP(A373,Database!$A:$AU,MATCH($N$1,Database!$A$1:$AU$1,0),FALSE))</f>
        <v/>
      </c>
      <c r="O373" s="76">
        <f>(((Table134567891011121314151617343[[#This Row],[USA]]-VLOOKUP($U$1,A:N,14,))/VLOOKUP($U$1,A:N,14,))*100)+100</f>
        <v/>
      </c>
      <c r="P373" s="76">
        <f>IF(VLOOKUP(A373,Database!$A:$AS,MATCH($P$1,Database!$A$1:$AS$1,0),FALSE)=0,#N/A,VLOOKUP(A373,Database!$A:$AS,MATCH($P$1,Database!$A$1:$AS$1,0),FALSE))</f>
        <v/>
      </c>
      <c r="Q373" s="76">
        <f>(((Table134567891011121314151617343[[#This Row],[JPN]]-VLOOKUP($U$1,A:Q,16,))/VLOOKUP($U$1,A:Q,16,))*100)+100</f>
        <v/>
      </c>
    </row>
    <row r="374" customFormat="1" s="86">
      <c r="A374" s="21" t="n">
        <v>44197</v>
      </c>
      <c r="B374" s="76">
        <f>IF(VLOOKUP(A374,Database!$A:$AS,MATCH($B$1,Database!$A$1:$AS$1,0),FALSE)=0,#N/A,VLOOKUP(A374,Database!$A:$AS,MATCH($B$1,Database!$A$1:$AS$1,0),FALSE))</f>
        <v/>
      </c>
      <c r="C374" s="76">
        <f>IF(VLOOKUP(A374,Database!$A:$AS,MATCH($C$1,Database!$A$1:$AS$1,0),FALSE)=0,#N/A,VLOOKUP(A374,Database!$A:$AS,MATCH($C$1,Database!$A$1:$AS$1,0),FALSE))</f>
        <v/>
      </c>
      <c r="D374" s="76">
        <f>IF(VLOOKUP(A374,Database!$A:$AS,MATCH($D$1,Database!$A$1:$AS$1,0),FALSE)=0,#N/A,VLOOKUP(A374,Database!$A:$AS,MATCH($D$1,Database!$A$1:$AS$1,0),FALSE))</f>
        <v/>
      </c>
      <c r="E374" s="76">
        <f>IF(VLOOKUP(A374,Database!$A:$AS,MATCH($E$1,Database!$A$1:$AS$1,0),FALSE)=0,#N/A,VLOOKUP(A374,Database!$A:$AS,MATCH($E$1,Database!$A$1:$AS$1,0),FALSE))</f>
        <v/>
      </c>
      <c r="F374" s="76">
        <f>IF(VLOOKUP(A374,Database!$A:$AS,MATCH($F$1,Database!$A$1:$AS$1,0),FALSE)=0,#N/A,VLOOKUP(A374,Database!$A:$AS,MATCH($F$1,Database!$A$1:$AS$1,0),FALSE))</f>
        <v/>
      </c>
      <c r="G374" s="76">
        <f>IF(VLOOKUP(A374,Database!$A:$AS,MATCH($G$1,Database!$A$1:$AS$1,0),FALSE)=0,#N/A,VLOOKUP(A374,Database!$A:$AS,MATCH($G$1,Database!$A$1:$AS$1,0),FALSE))</f>
        <v/>
      </c>
      <c r="H374" s="76">
        <f>(((Table134567891011121314151617343[[#This Row],[ITA]]-VLOOKUP($U$1,A:B,2,))/VLOOKUP($U$1,A:B,2,))*100)+100</f>
        <v/>
      </c>
      <c r="I374" s="76">
        <f>(((Table134567891011121314151617343[[#This Row],[FRA]]-VLOOKUP($U$1,A:C,3,))/VLOOKUP($U$1,A:C,3,))*100)+100</f>
        <v/>
      </c>
      <c r="J374" s="76">
        <f>(((Table134567891011121314151617343[[#This Row],[DEU]]-VLOOKUP($U$1,A:D,4,))/VLOOKUP($U$1,A:D,4,))*100)+100</f>
        <v/>
      </c>
      <c r="K374" s="76">
        <f>(((Table134567891011121314151617343[[#This Row],[ESP]]-VLOOKUP($U$1,A:E,5,))/VLOOKUP($U$1,A:E,5,))*100)+100</f>
        <v/>
      </c>
      <c r="L374" s="76">
        <f>(((Table134567891011121314151617343[[#This Row],[EA19]]-VLOOKUP($U$1,A:F,6,))/VLOOKUP($U$1,A:F,6,))*100)+100</f>
        <v/>
      </c>
      <c r="M374" s="76">
        <f>(((Table134567891011121314151617343[[#This Row],[GBR]]-VLOOKUP($U$1,A:G,7,))/VLOOKUP($U$1,A:G,7,))*100)+100</f>
        <v/>
      </c>
      <c r="N374" s="76">
        <f>IF(VLOOKUP(A374,Database!$A:$AU,MATCH($N$1,Database!$A$1:$AU$1,0),FALSE)=0,#N/A,VLOOKUP(A374,Database!$A:$AU,MATCH($N$1,Database!$A$1:$AU$1,0),FALSE))</f>
        <v/>
      </c>
      <c r="O374" s="76">
        <f>(((Table134567891011121314151617343[[#This Row],[USA]]-VLOOKUP($U$1,A:N,14,))/VLOOKUP($U$1,A:N,14,))*100)+100</f>
        <v/>
      </c>
      <c r="P374" s="76">
        <f>IF(VLOOKUP(A374,Database!$A:$AS,MATCH($P$1,Database!$A$1:$AS$1,0),FALSE)=0,#N/A,VLOOKUP(A374,Database!$A:$AS,MATCH($P$1,Database!$A$1:$AS$1,0),FALSE))</f>
        <v/>
      </c>
      <c r="Q374" s="76">
        <f>(((Table134567891011121314151617343[[#This Row],[JPN]]-VLOOKUP($U$1,A:Q,16,))/VLOOKUP($U$1,A:Q,16,))*100)+100</f>
        <v/>
      </c>
    </row>
    <row r="375" customFormat="1" s="86">
      <c r="A375" s="21" t="n">
        <v>44228</v>
      </c>
      <c r="B375" s="76">
        <f>IF(VLOOKUP(A375,Database!$A:$AS,MATCH($B$1,Database!$A$1:$AS$1,0),FALSE)=0,#N/A,VLOOKUP(A375,Database!$A:$AS,MATCH($B$1,Database!$A$1:$AS$1,0),FALSE))</f>
        <v/>
      </c>
      <c r="C375" s="76">
        <f>IF(VLOOKUP(A375,Database!$A:$AS,MATCH($C$1,Database!$A$1:$AS$1,0),FALSE)=0,#N/A,VLOOKUP(A375,Database!$A:$AS,MATCH($C$1,Database!$A$1:$AS$1,0),FALSE))</f>
        <v/>
      </c>
      <c r="D375" s="76">
        <f>IF(VLOOKUP(A375,Database!$A:$AS,MATCH($D$1,Database!$A$1:$AS$1,0),FALSE)=0,#N/A,VLOOKUP(A375,Database!$A:$AS,MATCH($D$1,Database!$A$1:$AS$1,0),FALSE))</f>
        <v/>
      </c>
      <c r="E375" s="76">
        <f>IF(VLOOKUP(A375,Database!$A:$AS,MATCH($E$1,Database!$A$1:$AS$1,0),FALSE)=0,#N/A,VLOOKUP(A375,Database!$A:$AS,MATCH($E$1,Database!$A$1:$AS$1,0),FALSE))</f>
        <v/>
      </c>
      <c r="F375" s="76">
        <f>IF(VLOOKUP(A375,Database!$A:$AS,MATCH($F$1,Database!$A$1:$AS$1,0),FALSE)=0,#N/A,VLOOKUP(A375,Database!$A:$AS,MATCH($F$1,Database!$A$1:$AS$1,0),FALSE))</f>
        <v/>
      </c>
      <c r="G375" s="76">
        <f>IF(VLOOKUP(A375,Database!$A:$AS,MATCH($G$1,Database!$A$1:$AS$1,0),FALSE)=0,#N/A,VLOOKUP(A375,Database!$A:$AS,MATCH($G$1,Database!$A$1:$AS$1,0),FALSE))</f>
        <v/>
      </c>
      <c r="H375" s="76">
        <f>(((Table134567891011121314151617343[[#This Row],[ITA]]-VLOOKUP($U$1,A:B,2,))/VLOOKUP($U$1,A:B,2,))*100)+100</f>
        <v/>
      </c>
      <c r="I375" s="76">
        <f>(((Table134567891011121314151617343[[#This Row],[FRA]]-VLOOKUP($U$1,A:C,3,))/VLOOKUP($U$1,A:C,3,))*100)+100</f>
        <v/>
      </c>
      <c r="J375" s="76">
        <f>(((Table134567891011121314151617343[[#This Row],[DEU]]-VLOOKUP($U$1,A:D,4,))/VLOOKUP($U$1,A:D,4,))*100)+100</f>
        <v/>
      </c>
      <c r="K375" s="76">
        <f>(((Table134567891011121314151617343[[#This Row],[ESP]]-VLOOKUP($U$1,A:E,5,))/VLOOKUP($U$1,A:E,5,))*100)+100</f>
        <v/>
      </c>
      <c r="L375" s="76">
        <f>(((Table134567891011121314151617343[[#This Row],[EA19]]-VLOOKUP($U$1,A:F,6,))/VLOOKUP($U$1,A:F,6,))*100)+100</f>
        <v/>
      </c>
      <c r="M375" s="76">
        <f>(((Table134567891011121314151617343[[#This Row],[GBR]]-VLOOKUP($U$1,A:G,7,))/VLOOKUP($U$1,A:G,7,))*100)+100</f>
        <v/>
      </c>
      <c r="N375" s="76">
        <f>IF(VLOOKUP(A375,Database!$A:$AU,MATCH($N$1,Database!$A$1:$AU$1,0),FALSE)=0,#N/A,VLOOKUP(A375,Database!$A:$AU,MATCH($N$1,Database!$A$1:$AU$1,0),FALSE))</f>
        <v/>
      </c>
      <c r="O375" s="76">
        <f>(((Table134567891011121314151617343[[#This Row],[USA]]-VLOOKUP($U$1,A:N,14,))/VLOOKUP($U$1,A:N,14,))*100)+100</f>
        <v/>
      </c>
      <c r="P375" s="76">
        <f>IF(VLOOKUP(A375,Database!$A:$AS,MATCH($P$1,Database!$A$1:$AS$1,0),FALSE)=0,#N/A,VLOOKUP(A375,Database!$A:$AS,MATCH($P$1,Database!$A$1:$AS$1,0),FALSE))</f>
        <v/>
      </c>
      <c r="Q375" s="76">
        <f>(((Table134567891011121314151617343[[#This Row],[JPN]]-VLOOKUP($U$1,A:Q,16,))/VLOOKUP($U$1,A:Q,16,))*100)+100</f>
        <v/>
      </c>
    </row>
    <row r="376" customFormat="1" s="86">
      <c r="A376" s="21" t="n">
        <v>44256</v>
      </c>
      <c r="B376" s="76">
        <f>IF(VLOOKUP(A376,Database!$A:$AS,MATCH($B$1,Database!$A$1:$AS$1,0),FALSE)=0,#N/A,VLOOKUP(A376,Database!$A:$AS,MATCH($B$1,Database!$A$1:$AS$1,0),FALSE))</f>
        <v/>
      </c>
      <c r="C376" s="76">
        <f>IF(VLOOKUP(A376,Database!$A:$AS,MATCH($C$1,Database!$A$1:$AS$1,0),FALSE)=0,#N/A,VLOOKUP(A376,Database!$A:$AS,MATCH($C$1,Database!$A$1:$AS$1,0),FALSE))</f>
        <v/>
      </c>
      <c r="D376" s="76">
        <f>IF(VLOOKUP(A376,Database!$A:$AS,MATCH($D$1,Database!$A$1:$AS$1,0),FALSE)=0,#N/A,VLOOKUP(A376,Database!$A:$AS,MATCH($D$1,Database!$A$1:$AS$1,0),FALSE))</f>
        <v/>
      </c>
      <c r="E376" s="76">
        <f>IF(VLOOKUP(A376,Database!$A:$AS,MATCH($E$1,Database!$A$1:$AS$1,0),FALSE)=0,#N/A,VLOOKUP(A376,Database!$A:$AS,MATCH($E$1,Database!$A$1:$AS$1,0),FALSE))</f>
        <v/>
      </c>
      <c r="F376" s="76">
        <f>IF(VLOOKUP(A376,Database!$A:$AS,MATCH($F$1,Database!$A$1:$AS$1,0),FALSE)=0,#N/A,VLOOKUP(A376,Database!$A:$AS,MATCH($F$1,Database!$A$1:$AS$1,0),FALSE))</f>
        <v/>
      </c>
      <c r="G376" s="76">
        <f>IF(VLOOKUP(A376,Database!$A:$AS,MATCH($G$1,Database!$A$1:$AS$1,0),FALSE)=0,#N/A,VLOOKUP(A376,Database!$A:$AS,MATCH($G$1,Database!$A$1:$AS$1,0),FALSE))</f>
        <v/>
      </c>
      <c r="H376" s="76">
        <f>(((Table134567891011121314151617343[[#This Row],[ITA]]-VLOOKUP($U$1,A:B,2,))/VLOOKUP($U$1,A:B,2,))*100)+100</f>
        <v/>
      </c>
      <c r="I376" s="76">
        <f>(((Table134567891011121314151617343[[#This Row],[FRA]]-VLOOKUP($U$1,A:C,3,))/VLOOKUP($U$1,A:C,3,))*100)+100</f>
        <v/>
      </c>
      <c r="J376" s="76">
        <f>(((Table134567891011121314151617343[[#This Row],[DEU]]-VLOOKUP($U$1,A:D,4,))/VLOOKUP($U$1,A:D,4,))*100)+100</f>
        <v/>
      </c>
      <c r="K376" s="76">
        <f>(((Table134567891011121314151617343[[#This Row],[ESP]]-VLOOKUP($U$1,A:E,5,))/VLOOKUP($U$1,A:E,5,))*100)+100</f>
        <v/>
      </c>
      <c r="L376" s="76">
        <f>(((Table134567891011121314151617343[[#This Row],[EA19]]-VLOOKUP($U$1,A:F,6,))/VLOOKUP($U$1,A:F,6,))*100)+100</f>
        <v/>
      </c>
      <c r="M376" s="76">
        <f>(((Table134567891011121314151617343[[#This Row],[GBR]]-VLOOKUP($U$1,A:G,7,))/VLOOKUP($U$1,A:G,7,))*100)+100</f>
        <v/>
      </c>
      <c r="N376" s="76">
        <f>IF(VLOOKUP(A376,Database!$A:$AU,MATCH($N$1,Database!$A$1:$AU$1,0),FALSE)=0,#N/A,VLOOKUP(A376,Database!$A:$AU,MATCH($N$1,Database!$A$1:$AU$1,0),FALSE))</f>
        <v/>
      </c>
      <c r="O376" s="76">
        <f>(((Table134567891011121314151617343[[#This Row],[USA]]-VLOOKUP($U$1,A:N,14,))/VLOOKUP($U$1,A:N,14,))*100)+100</f>
        <v/>
      </c>
      <c r="P376" s="76">
        <f>IF(VLOOKUP(A376,Database!$A:$AS,MATCH($P$1,Database!$A$1:$AS$1,0),FALSE)=0,#N/A,VLOOKUP(A376,Database!$A:$AS,MATCH($P$1,Database!$A$1:$AS$1,0),FALSE))</f>
        <v/>
      </c>
      <c r="Q376" s="76">
        <f>(((Table134567891011121314151617343[[#This Row],[JPN]]-VLOOKUP($U$1,A:Q,16,))/VLOOKUP($U$1,A:Q,16,))*100)+100</f>
        <v/>
      </c>
    </row>
    <row r="377" customFormat="1" s="86">
      <c r="A377" s="21" t="n">
        <v>44287</v>
      </c>
      <c r="B377" s="76">
        <f>IF(VLOOKUP(A377,Database!$A:$AS,MATCH($B$1,Database!$A$1:$AS$1,0),FALSE)=0,#N/A,VLOOKUP(A377,Database!$A:$AS,MATCH($B$1,Database!$A$1:$AS$1,0),FALSE))</f>
        <v/>
      </c>
      <c r="C377" s="76">
        <f>IF(VLOOKUP(A377,Database!$A:$AS,MATCH($C$1,Database!$A$1:$AS$1,0),FALSE)=0,#N/A,VLOOKUP(A377,Database!$A:$AS,MATCH($C$1,Database!$A$1:$AS$1,0),FALSE))</f>
        <v/>
      </c>
      <c r="D377" s="76">
        <f>IF(VLOOKUP(A377,Database!$A:$AS,MATCH($D$1,Database!$A$1:$AS$1,0),FALSE)=0,#N/A,VLOOKUP(A377,Database!$A:$AS,MATCH($D$1,Database!$A$1:$AS$1,0),FALSE))</f>
        <v/>
      </c>
      <c r="E377" s="76">
        <f>IF(VLOOKUP(A377,Database!$A:$AS,MATCH($E$1,Database!$A$1:$AS$1,0),FALSE)=0,#N/A,VLOOKUP(A377,Database!$A:$AS,MATCH($E$1,Database!$A$1:$AS$1,0),FALSE))</f>
        <v/>
      </c>
      <c r="F377" s="76">
        <f>IF(VLOOKUP(A377,Database!$A:$AS,MATCH($F$1,Database!$A$1:$AS$1,0),FALSE)=0,#N/A,VLOOKUP(A377,Database!$A:$AS,MATCH($F$1,Database!$A$1:$AS$1,0),FALSE))</f>
        <v/>
      </c>
      <c r="G377" s="76">
        <f>IF(VLOOKUP(A377,Database!$A:$AS,MATCH($G$1,Database!$A$1:$AS$1,0),FALSE)=0,#N/A,VLOOKUP(A377,Database!$A:$AS,MATCH($G$1,Database!$A$1:$AS$1,0),FALSE))</f>
        <v/>
      </c>
      <c r="H377" s="76">
        <f>(((Table134567891011121314151617343[[#This Row],[ITA]]-VLOOKUP($U$1,A:B,2,))/VLOOKUP($U$1,A:B,2,))*100)+100</f>
        <v/>
      </c>
      <c r="I377" s="76">
        <f>(((Table134567891011121314151617343[[#This Row],[FRA]]-VLOOKUP($U$1,A:C,3,))/VLOOKUP($U$1,A:C,3,))*100)+100</f>
        <v/>
      </c>
      <c r="J377" s="76">
        <f>(((Table134567891011121314151617343[[#This Row],[DEU]]-VLOOKUP($U$1,A:D,4,))/VLOOKUP($U$1,A:D,4,))*100)+100</f>
        <v/>
      </c>
      <c r="K377" s="76">
        <f>(((Table134567891011121314151617343[[#This Row],[ESP]]-VLOOKUP($U$1,A:E,5,))/VLOOKUP($U$1,A:E,5,))*100)+100</f>
        <v/>
      </c>
      <c r="L377" s="76">
        <f>(((Table134567891011121314151617343[[#This Row],[EA19]]-VLOOKUP($U$1,A:F,6,))/VLOOKUP($U$1,A:F,6,))*100)+100</f>
        <v/>
      </c>
      <c r="M377" s="76">
        <f>(((Table134567891011121314151617343[[#This Row],[GBR]]-VLOOKUP($U$1,A:G,7,))/VLOOKUP($U$1,A:G,7,))*100)+100</f>
        <v/>
      </c>
      <c r="N377" s="76">
        <f>IF(VLOOKUP(A377,Database!$A:$AU,MATCH($N$1,Database!$A$1:$AU$1,0),FALSE)=0,#N/A,VLOOKUP(A377,Database!$A:$AU,MATCH($N$1,Database!$A$1:$AU$1,0),FALSE))</f>
        <v/>
      </c>
      <c r="O377" s="76">
        <f>(((Table134567891011121314151617343[[#This Row],[USA]]-VLOOKUP($U$1,A:N,14,))/VLOOKUP($U$1,A:N,14,))*100)+100</f>
        <v/>
      </c>
      <c r="P377" s="76">
        <f>IF(VLOOKUP(A377,Database!$A:$AS,MATCH($P$1,Database!$A$1:$AS$1,0),FALSE)=0,#N/A,VLOOKUP(A377,Database!$A:$AS,MATCH($P$1,Database!$A$1:$AS$1,0),FALSE))</f>
        <v/>
      </c>
      <c r="Q377" s="76">
        <f>(((Table134567891011121314151617343[[#This Row],[JPN]]-VLOOKUP($U$1,A:Q,16,))/VLOOKUP($U$1,A:Q,16,))*100)+100</f>
        <v/>
      </c>
    </row>
    <row r="378" customFormat="1" s="86">
      <c r="A378" s="21" t="n">
        <v>44317</v>
      </c>
      <c r="B378" s="76">
        <f>IF(VLOOKUP(A378,Database!$A:$AS,MATCH($B$1,Database!$A$1:$AS$1,0),FALSE)=0,#N/A,VLOOKUP(A378,Database!$A:$AS,MATCH($B$1,Database!$A$1:$AS$1,0),FALSE))</f>
        <v/>
      </c>
      <c r="C378" s="76">
        <f>IF(VLOOKUP(A378,Database!$A:$AS,MATCH($C$1,Database!$A$1:$AS$1,0),FALSE)=0,#N/A,VLOOKUP(A378,Database!$A:$AS,MATCH($C$1,Database!$A$1:$AS$1,0),FALSE))</f>
        <v/>
      </c>
      <c r="D378" s="76">
        <f>IF(VLOOKUP(A378,Database!$A:$AS,MATCH($D$1,Database!$A$1:$AS$1,0),FALSE)=0,#N/A,VLOOKUP(A378,Database!$A:$AS,MATCH($D$1,Database!$A$1:$AS$1,0),FALSE))</f>
        <v/>
      </c>
      <c r="E378" s="76">
        <f>IF(VLOOKUP(A378,Database!$A:$AS,MATCH($E$1,Database!$A$1:$AS$1,0),FALSE)=0,#N/A,VLOOKUP(A378,Database!$A:$AS,MATCH($E$1,Database!$A$1:$AS$1,0),FALSE))</f>
        <v/>
      </c>
      <c r="F378" s="76">
        <f>IF(VLOOKUP(A378,Database!$A:$AS,MATCH($F$1,Database!$A$1:$AS$1,0),FALSE)=0,#N/A,VLOOKUP(A378,Database!$A:$AS,MATCH($F$1,Database!$A$1:$AS$1,0),FALSE))</f>
        <v/>
      </c>
      <c r="G378" s="76">
        <f>IF(VLOOKUP(A378,Database!$A:$AS,MATCH($G$1,Database!$A$1:$AS$1,0),FALSE)=0,#N/A,VLOOKUP(A378,Database!$A:$AS,MATCH($G$1,Database!$A$1:$AS$1,0),FALSE))</f>
        <v/>
      </c>
      <c r="H378" s="76">
        <f>(((Table134567891011121314151617343[[#This Row],[ITA]]-VLOOKUP($U$1,A:B,2,))/VLOOKUP($U$1,A:B,2,))*100)+100</f>
        <v/>
      </c>
      <c r="I378" s="76">
        <f>(((Table134567891011121314151617343[[#This Row],[FRA]]-VLOOKUP($U$1,A:C,3,))/VLOOKUP($U$1,A:C,3,))*100)+100</f>
        <v/>
      </c>
      <c r="J378" s="76">
        <f>(((Table134567891011121314151617343[[#This Row],[DEU]]-VLOOKUP($U$1,A:D,4,))/VLOOKUP($U$1,A:D,4,))*100)+100</f>
        <v/>
      </c>
      <c r="K378" s="76">
        <f>(((Table134567891011121314151617343[[#This Row],[ESP]]-VLOOKUP($U$1,A:E,5,))/VLOOKUP($U$1,A:E,5,))*100)+100</f>
        <v/>
      </c>
      <c r="L378" s="76">
        <f>(((Table134567891011121314151617343[[#This Row],[EA19]]-VLOOKUP($U$1,A:F,6,))/VLOOKUP($U$1,A:F,6,))*100)+100</f>
        <v/>
      </c>
      <c r="M378" s="76">
        <f>(((Table134567891011121314151617343[[#This Row],[GBR]]-VLOOKUP($U$1,A:G,7,))/VLOOKUP($U$1,A:G,7,))*100)+100</f>
        <v/>
      </c>
      <c r="N378" s="76">
        <f>IF(VLOOKUP(A378,Database!$A:$AU,MATCH($N$1,Database!$A$1:$AU$1,0),FALSE)=0,#N/A,VLOOKUP(A378,Database!$A:$AU,MATCH($N$1,Database!$A$1:$AU$1,0),FALSE))</f>
        <v/>
      </c>
      <c r="O378" s="76">
        <f>(((Table134567891011121314151617343[[#This Row],[USA]]-VLOOKUP($U$1,A:N,14,))/VLOOKUP($U$1,A:N,14,))*100)+100</f>
        <v/>
      </c>
      <c r="P378" s="76">
        <f>IF(VLOOKUP(A378,Database!$A:$AS,MATCH($P$1,Database!$A$1:$AS$1,0),FALSE)=0,#N/A,VLOOKUP(A378,Database!$A:$AS,MATCH($P$1,Database!$A$1:$AS$1,0),FALSE))</f>
        <v/>
      </c>
      <c r="Q378" s="76">
        <f>(((Table134567891011121314151617343[[#This Row],[JPN]]-VLOOKUP($U$1,A:Q,16,))/VLOOKUP($U$1,A:Q,16,))*100)+100</f>
        <v/>
      </c>
    </row>
    <row r="379" customFormat="1" s="86">
      <c r="A379" s="21" t="n">
        <v>44348</v>
      </c>
      <c r="B379" s="76">
        <f>IF(VLOOKUP(A379,Database!$A:$AS,MATCH($B$1,Database!$A$1:$AS$1,0),FALSE)=0,#N/A,VLOOKUP(A379,Database!$A:$AS,MATCH($B$1,Database!$A$1:$AS$1,0),FALSE))</f>
        <v/>
      </c>
      <c r="C379" s="76">
        <f>IF(VLOOKUP(A379,Database!$A:$AS,MATCH($C$1,Database!$A$1:$AS$1,0),FALSE)=0,#N/A,VLOOKUP(A379,Database!$A:$AS,MATCH($C$1,Database!$A$1:$AS$1,0),FALSE))</f>
        <v/>
      </c>
      <c r="D379" s="76">
        <f>IF(VLOOKUP(A379,Database!$A:$AS,MATCH($D$1,Database!$A$1:$AS$1,0),FALSE)=0,#N/A,VLOOKUP(A379,Database!$A:$AS,MATCH($D$1,Database!$A$1:$AS$1,0),FALSE))</f>
        <v/>
      </c>
      <c r="E379" s="76">
        <f>IF(VLOOKUP(A379,Database!$A:$AS,MATCH($E$1,Database!$A$1:$AS$1,0),FALSE)=0,#N/A,VLOOKUP(A379,Database!$A:$AS,MATCH($E$1,Database!$A$1:$AS$1,0),FALSE))</f>
        <v/>
      </c>
      <c r="F379" s="76">
        <f>IF(VLOOKUP(A379,Database!$A:$AS,MATCH($F$1,Database!$A$1:$AS$1,0),FALSE)=0,#N/A,VLOOKUP(A379,Database!$A:$AS,MATCH($F$1,Database!$A$1:$AS$1,0),FALSE))</f>
        <v/>
      </c>
      <c r="G379" s="76">
        <f>IF(VLOOKUP(A379,Database!$A:$AS,MATCH($G$1,Database!$A$1:$AS$1,0),FALSE)=0,#N/A,VLOOKUP(A379,Database!$A:$AS,MATCH($G$1,Database!$A$1:$AS$1,0),FALSE))</f>
        <v/>
      </c>
      <c r="H379" s="76">
        <f>(((Table134567891011121314151617343[[#This Row],[ITA]]-VLOOKUP($U$1,A:B,2,))/VLOOKUP($U$1,A:B,2,))*100)+100</f>
        <v/>
      </c>
      <c r="I379" s="76">
        <f>(((Table134567891011121314151617343[[#This Row],[FRA]]-VLOOKUP($U$1,A:C,3,))/VLOOKUP($U$1,A:C,3,))*100)+100</f>
        <v/>
      </c>
      <c r="J379" s="76">
        <f>(((Table134567891011121314151617343[[#This Row],[DEU]]-VLOOKUP($U$1,A:D,4,))/VLOOKUP($U$1,A:D,4,))*100)+100</f>
        <v/>
      </c>
      <c r="K379" s="76">
        <f>(((Table134567891011121314151617343[[#This Row],[ESP]]-VLOOKUP($U$1,A:E,5,))/VLOOKUP($U$1,A:E,5,))*100)+100</f>
        <v/>
      </c>
      <c r="L379" s="76">
        <f>(((Table134567891011121314151617343[[#This Row],[EA19]]-VLOOKUP($U$1,A:F,6,))/VLOOKUP($U$1,A:F,6,))*100)+100</f>
        <v/>
      </c>
      <c r="M379" s="76">
        <f>(((Table134567891011121314151617343[[#This Row],[GBR]]-VLOOKUP($U$1,A:G,7,))/VLOOKUP($U$1,A:G,7,))*100)+100</f>
        <v/>
      </c>
      <c r="N379" s="76">
        <f>IF(VLOOKUP(A379,Database!$A:$AU,MATCH($N$1,Database!$A$1:$AU$1,0),FALSE)=0,#N/A,VLOOKUP(A379,Database!$A:$AU,MATCH($N$1,Database!$A$1:$AU$1,0),FALSE))</f>
        <v/>
      </c>
      <c r="O379" s="76">
        <f>(((Table134567891011121314151617343[[#This Row],[USA]]-VLOOKUP($U$1,A:N,14,))/VLOOKUP($U$1,A:N,14,))*100)+100</f>
        <v/>
      </c>
      <c r="P379" s="76">
        <f>IF(VLOOKUP(A379,Database!$A:$AS,MATCH($P$1,Database!$A$1:$AS$1,0),FALSE)=0,#N/A,VLOOKUP(A379,Database!$A:$AS,MATCH($P$1,Database!$A$1:$AS$1,0),FALSE))</f>
        <v/>
      </c>
      <c r="Q379" s="76">
        <f>(((Table134567891011121314151617343[[#This Row],[JPN]]-VLOOKUP($U$1,A:Q,16,))/VLOOKUP($U$1,A:Q,16,))*100)+100</f>
        <v/>
      </c>
    </row>
    <row r="380" customFormat="1" s="86">
      <c r="A380" s="21" t="n">
        <v>44378</v>
      </c>
      <c r="B380" s="76">
        <f>IF(VLOOKUP(A380,Database!$A:$AS,MATCH($B$1,Database!$A$1:$AS$1,0),FALSE)=0,#N/A,VLOOKUP(A380,Database!$A:$AS,MATCH($B$1,Database!$A$1:$AS$1,0),FALSE))</f>
        <v/>
      </c>
      <c r="C380" s="76">
        <f>IF(VLOOKUP(A380,Database!$A:$AS,MATCH($C$1,Database!$A$1:$AS$1,0),FALSE)=0,#N/A,VLOOKUP(A380,Database!$A:$AS,MATCH($C$1,Database!$A$1:$AS$1,0),FALSE))</f>
        <v/>
      </c>
      <c r="D380" s="76">
        <f>IF(VLOOKUP(A380,Database!$A:$AS,MATCH($D$1,Database!$A$1:$AS$1,0),FALSE)=0,#N/A,VLOOKUP(A380,Database!$A:$AS,MATCH($D$1,Database!$A$1:$AS$1,0),FALSE))</f>
        <v/>
      </c>
      <c r="E380" s="76">
        <f>IF(VLOOKUP(A380,Database!$A:$AS,MATCH($E$1,Database!$A$1:$AS$1,0),FALSE)=0,#N/A,VLOOKUP(A380,Database!$A:$AS,MATCH($E$1,Database!$A$1:$AS$1,0),FALSE))</f>
        <v/>
      </c>
      <c r="F380" s="76">
        <f>IF(VLOOKUP(A380,Database!$A:$AS,MATCH($F$1,Database!$A$1:$AS$1,0),FALSE)=0,#N/A,VLOOKUP(A380,Database!$A:$AS,MATCH($F$1,Database!$A$1:$AS$1,0),FALSE))</f>
        <v/>
      </c>
      <c r="G380" s="76">
        <f>IF(VLOOKUP(A380,Database!$A:$AS,MATCH($G$1,Database!$A$1:$AS$1,0),FALSE)=0,#N/A,VLOOKUP(A380,Database!$A:$AS,MATCH($G$1,Database!$A$1:$AS$1,0),FALSE))</f>
        <v/>
      </c>
      <c r="H380" s="76">
        <f>(((Table134567891011121314151617343[[#This Row],[ITA]]-VLOOKUP($U$1,A:B,2,))/VLOOKUP($U$1,A:B,2,))*100)+100</f>
        <v/>
      </c>
      <c r="I380" s="76">
        <f>(((Table134567891011121314151617343[[#This Row],[FRA]]-VLOOKUP($U$1,A:C,3,))/VLOOKUP($U$1,A:C,3,))*100)+100</f>
        <v/>
      </c>
      <c r="J380" s="76">
        <f>(((Table134567891011121314151617343[[#This Row],[DEU]]-VLOOKUP($U$1,A:D,4,))/VLOOKUP($U$1,A:D,4,))*100)+100</f>
        <v/>
      </c>
      <c r="K380" s="76">
        <f>(((Table134567891011121314151617343[[#This Row],[ESP]]-VLOOKUP($U$1,A:E,5,))/VLOOKUP($U$1,A:E,5,))*100)+100</f>
        <v/>
      </c>
      <c r="L380" s="76">
        <f>(((Table134567891011121314151617343[[#This Row],[EA19]]-VLOOKUP($U$1,A:F,6,))/VLOOKUP($U$1,A:F,6,))*100)+100</f>
        <v/>
      </c>
      <c r="M380" s="76">
        <f>(((Table134567891011121314151617343[[#This Row],[GBR]]-VLOOKUP($U$1,A:G,7,))/VLOOKUP($U$1,A:G,7,))*100)+100</f>
        <v/>
      </c>
      <c r="N380" s="76">
        <f>IF(VLOOKUP(A380,Database!$A:$AU,MATCH($N$1,Database!$A$1:$AU$1,0),FALSE)=0,#N/A,VLOOKUP(A380,Database!$A:$AU,MATCH($N$1,Database!$A$1:$AU$1,0),FALSE))</f>
        <v/>
      </c>
      <c r="O380" s="76">
        <f>(((Table134567891011121314151617343[[#This Row],[USA]]-VLOOKUP($U$1,A:N,14,))/VLOOKUP($U$1,A:N,14,))*100)+100</f>
        <v/>
      </c>
      <c r="P380" s="76">
        <f>IF(VLOOKUP(A380,Database!$A:$AS,MATCH($P$1,Database!$A$1:$AS$1,0),FALSE)=0,#N/A,VLOOKUP(A380,Database!$A:$AS,MATCH($P$1,Database!$A$1:$AS$1,0),FALSE))</f>
        <v/>
      </c>
      <c r="Q380" s="76">
        <f>(((Table134567891011121314151617343[[#This Row],[JPN]]-VLOOKUP($U$1,A:Q,16,))/VLOOKUP($U$1,A:Q,16,))*100)+100</f>
        <v/>
      </c>
    </row>
    <row r="381" customFormat="1" s="86">
      <c r="A381" s="21" t="n">
        <v>44409</v>
      </c>
      <c r="B381" s="76">
        <f>IF(VLOOKUP(A381,Database!$A:$AS,MATCH($B$1,Database!$A$1:$AS$1,0),FALSE)=0,#N/A,VLOOKUP(A381,Database!$A:$AS,MATCH($B$1,Database!$A$1:$AS$1,0),FALSE))</f>
        <v/>
      </c>
      <c r="C381" s="76">
        <f>IF(VLOOKUP(A381,Database!$A:$AS,MATCH($C$1,Database!$A$1:$AS$1,0),FALSE)=0,#N/A,VLOOKUP(A381,Database!$A:$AS,MATCH($C$1,Database!$A$1:$AS$1,0),FALSE))</f>
        <v/>
      </c>
      <c r="D381" s="76">
        <f>IF(VLOOKUP(A381,Database!$A:$AS,MATCH($D$1,Database!$A$1:$AS$1,0),FALSE)=0,#N/A,VLOOKUP(A381,Database!$A:$AS,MATCH($D$1,Database!$A$1:$AS$1,0),FALSE))</f>
        <v/>
      </c>
      <c r="E381" s="76">
        <f>IF(VLOOKUP(A381,Database!$A:$AS,MATCH($E$1,Database!$A$1:$AS$1,0),FALSE)=0,#N/A,VLOOKUP(A381,Database!$A:$AS,MATCH($E$1,Database!$A$1:$AS$1,0),FALSE))</f>
        <v/>
      </c>
      <c r="F381" s="76">
        <f>IF(VLOOKUP(A381,Database!$A:$AS,MATCH($F$1,Database!$A$1:$AS$1,0),FALSE)=0,#N/A,VLOOKUP(A381,Database!$A:$AS,MATCH($F$1,Database!$A$1:$AS$1,0),FALSE))</f>
        <v/>
      </c>
      <c r="G381" s="76">
        <f>IF(VLOOKUP(A381,Database!$A:$AS,MATCH($G$1,Database!$A$1:$AS$1,0),FALSE)=0,#N/A,VLOOKUP(A381,Database!$A:$AS,MATCH($G$1,Database!$A$1:$AS$1,0),FALSE))</f>
        <v/>
      </c>
      <c r="H381" s="76">
        <f>(((Table134567891011121314151617343[[#This Row],[ITA]]-VLOOKUP($U$1,A:B,2,))/VLOOKUP($U$1,A:B,2,))*100)+100</f>
        <v/>
      </c>
      <c r="I381" s="76">
        <f>(((Table134567891011121314151617343[[#This Row],[FRA]]-VLOOKUP($U$1,A:C,3,))/VLOOKUP($U$1,A:C,3,))*100)+100</f>
        <v/>
      </c>
      <c r="J381" s="76">
        <f>(((Table134567891011121314151617343[[#This Row],[DEU]]-VLOOKUP($U$1,A:D,4,))/VLOOKUP($U$1,A:D,4,))*100)+100</f>
        <v/>
      </c>
      <c r="K381" s="76">
        <f>(((Table134567891011121314151617343[[#This Row],[ESP]]-VLOOKUP($U$1,A:E,5,))/VLOOKUP($U$1,A:E,5,))*100)+100</f>
        <v/>
      </c>
      <c r="L381" s="76">
        <f>(((Table134567891011121314151617343[[#This Row],[EA19]]-VLOOKUP($U$1,A:F,6,))/VLOOKUP($U$1,A:F,6,))*100)+100</f>
        <v/>
      </c>
      <c r="M381" s="76">
        <f>(((Table134567891011121314151617343[[#This Row],[GBR]]-VLOOKUP($U$1,A:G,7,))/VLOOKUP($U$1,A:G,7,))*100)+100</f>
        <v/>
      </c>
      <c r="N381" s="76">
        <f>IF(VLOOKUP(A381,Database!$A:$AU,MATCH($N$1,Database!$A$1:$AU$1,0),FALSE)=0,#N/A,VLOOKUP(A381,Database!$A:$AU,MATCH($N$1,Database!$A$1:$AU$1,0),FALSE))</f>
        <v/>
      </c>
      <c r="O381" s="76">
        <f>(((Table134567891011121314151617343[[#This Row],[USA]]-VLOOKUP($U$1,A:N,14,))/VLOOKUP($U$1,A:N,14,))*100)+100</f>
        <v/>
      </c>
      <c r="P381" s="76">
        <f>IF(VLOOKUP(A381,Database!$A:$AS,MATCH($P$1,Database!$A$1:$AS$1,0),FALSE)=0,#N/A,VLOOKUP(A381,Database!$A:$AS,MATCH($P$1,Database!$A$1:$AS$1,0),FALSE))</f>
        <v/>
      </c>
      <c r="Q381" s="76">
        <f>(((Table134567891011121314151617343[[#This Row],[JPN]]-VLOOKUP($U$1,A:Q,16,))/VLOOKUP($U$1,A:Q,16,))*100)+100</f>
        <v/>
      </c>
    </row>
    <row r="382" customFormat="1" s="86">
      <c r="A382" s="21" t="n">
        <v>44440</v>
      </c>
      <c r="B382" s="76">
        <f>IF(VLOOKUP(A382,Database!$A:$AS,MATCH($B$1,Database!$A$1:$AS$1,0),FALSE)=0,#N/A,VLOOKUP(A382,Database!$A:$AS,MATCH($B$1,Database!$A$1:$AS$1,0),FALSE))</f>
        <v/>
      </c>
      <c r="C382" s="76">
        <f>IF(VLOOKUP(A382,Database!$A:$AS,MATCH($C$1,Database!$A$1:$AS$1,0),FALSE)=0,#N/A,VLOOKUP(A382,Database!$A:$AS,MATCH($C$1,Database!$A$1:$AS$1,0),FALSE))</f>
        <v/>
      </c>
      <c r="D382" s="76">
        <f>IF(VLOOKUP(A382,Database!$A:$AS,MATCH($D$1,Database!$A$1:$AS$1,0),FALSE)=0,#N/A,VLOOKUP(A382,Database!$A:$AS,MATCH($D$1,Database!$A$1:$AS$1,0),FALSE))</f>
        <v/>
      </c>
      <c r="E382" s="76">
        <f>IF(VLOOKUP(A382,Database!$A:$AS,MATCH($E$1,Database!$A$1:$AS$1,0),FALSE)=0,#N/A,VLOOKUP(A382,Database!$A:$AS,MATCH($E$1,Database!$A$1:$AS$1,0),FALSE))</f>
        <v/>
      </c>
      <c r="F382" s="76">
        <f>IF(VLOOKUP(A382,Database!$A:$AS,MATCH($F$1,Database!$A$1:$AS$1,0),FALSE)=0,#N/A,VLOOKUP(A382,Database!$A:$AS,MATCH($F$1,Database!$A$1:$AS$1,0),FALSE))</f>
        <v/>
      </c>
      <c r="G382" s="76">
        <f>IF(VLOOKUP(A382,Database!$A:$AS,MATCH($G$1,Database!$A$1:$AS$1,0),FALSE)=0,#N/A,VLOOKUP(A382,Database!$A:$AS,MATCH($G$1,Database!$A$1:$AS$1,0),FALSE))</f>
        <v/>
      </c>
      <c r="H382" s="76">
        <f>(((Table134567891011121314151617343[[#This Row],[ITA]]-VLOOKUP($U$1,A:B,2,))/VLOOKUP($U$1,A:B,2,))*100)+100</f>
        <v/>
      </c>
      <c r="I382" s="76">
        <f>(((Table134567891011121314151617343[[#This Row],[FRA]]-VLOOKUP($U$1,A:C,3,))/VLOOKUP($U$1,A:C,3,))*100)+100</f>
        <v/>
      </c>
      <c r="J382" s="76">
        <f>(((Table134567891011121314151617343[[#This Row],[DEU]]-VLOOKUP($U$1,A:D,4,))/VLOOKUP($U$1,A:D,4,))*100)+100</f>
        <v/>
      </c>
      <c r="K382" s="76">
        <f>(((Table134567891011121314151617343[[#This Row],[ESP]]-VLOOKUP($U$1,A:E,5,))/VLOOKUP($U$1,A:E,5,))*100)+100</f>
        <v/>
      </c>
      <c r="L382" s="76">
        <f>(((Table134567891011121314151617343[[#This Row],[EA19]]-VLOOKUP($U$1,A:F,6,))/VLOOKUP($U$1,A:F,6,))*100)+100</f>
        <v/>
      </c>
      <c r="M382" s="76">
        <f>(((Table134567891011121314151617343[[#This Row],[GBR]]-VLOOKUP($U$1,A:G,7,))/VLOOKUP($U$1,A:G,7,))*100)+100</f>
        <v/>
      </c>
      <c r="N382" s="76">
        <f>IF(VLOOKUP(A382,Database!$A:$AU,MATCH($N$1,Database!$A$1:$AU$1,0),FALSE)=0,#N/A,VLOOKUP(A382,Database!$A:$AU,MATCH($N$1,Database!$A$1:$AU$1,0),FALSE))</f>
        <v/>
      </c>
      <c r="O382" s="76">
        <f>(((Table134567891011121314151617343[[#This Row],[USA]]-VLOOKUP($U$1,A:N,14,))/VLOOKUP($U$1,A:N,14,))*100)+100</f>
        <v/>
      </c>
      <c r="P382" s="76">
        <f>IF(VLOOKUP(A382,Database!$A:$AS,MATCH($P$1,Database!$A$1:$AS$1,0),FALSE)=0,#N/A,VLOOKUP(A382,Database!$A:$AS,MATCH($P$1,Database!$A$1:$AS$1,0),FALSE))</f>
        <v/>
      </c>
      <c r="Q382" s="76">
        <f>(((Table134567891011121314151617343[[#This Row],[JPN]]-VLOOKUP($U$1,A:Q,16,))/VLOOKUP($U$1,A:Q,16,))*100)+100</f>
        <v/>
      </c>
    </row>
    <row r="383" customFormat="1" s="86">
      <c r="A383" s="21" t="n">
        <v>44470</v>
      </c>
      <c r="B383" s="76">
        <f>IF(VLOOKUP(A383,Database!$A:$AS,MATCH($B$1,Database!$A$1:$AS$1,0),FALSE)=0,#N/A,VLOOKUP(A383,Database!$A:$AS,MATCH($B$1,Database!$A$1:$AS$1,0),FALSE))</f>
        <v/>
      </c>
      <c r="C383" s="76">
        <f>IF(VLOOKUP(A383,Database!$A:$AS,MATCH($C$1,Database!$A$1:$AS$1,0),FALSE)=0,#N/A,VLOOKUP(A383,Database!$A:$AS,MATCH($C$1,Database!$A$1:$AS$1,0),FALSE))</f>
        <v/>
      </c>
      <c r="D383" s="76">
        <f>IF(VLOOKUP(A383,Database!$A:$AS,MATCH($D$1,Database!$A$1:$AS$1,0),FALSE)=0,#N/A,VLOOKUP(A383,Database!$A:$AS,MATCH($D$1,Database!$A$1:$AS$1,0),FALSE))</f>
        <v/>
      </c>
      <c r="E383" s="76">
        <f>IF(VLOOKUP(A383,Database!$A:$AS,MATCH($E$1,Database!$A$1:$AS$1,0),FALSE)=0,#N/A,VLOOKUP(A383,Database!$A:$AS,MATCH($E$1,Database!$A$1:$AS$1,0),FALSE))</f>
        <v/>
      </c>
      <c r="F383" s="76">
        <f>IF(VLOOKUP(A383,Database!$A:$AS,MATCH($F$1,Database!$A$1:$AS$1,0),FALSE)=0,#N/A,VLOOKUP(A383,Database!$A:$AS,MATCH($F$1,Database!$A$1:$AS$1,0),FALSE))</f>
        <v/>
      </c>
      <c r="G383" s="76">
        <f>IF(VLOOKUP(A383,Database!$A:$AS,MATCH($G$1,Database!$A$1:$AS$1,0),FALSE)=0,#N/A,VLOOKUP(A383,Database!$A:$AS,MATCH($G$1,Database!$A$1:$AS$1,0),FALSE))</f>
        <v/>
      </c>
      <c r="H383" s="76">
        <f>(((Table134567891011121314151617343[[#This Row],[ITA]]-VLOOKUP($U$1,A:B,2,))/VLOOKUP($U$1,A:B,2,))*100)+100</f>
        <v/>
      </c>
      <c r="I383" s="76">
        <f>(((Table134567891011121314151617343[[#This Row],[FRA]]-VLOOKUP($U$1,A:C,3,))/VLOOKUP($U$1,A:C,3,))*100)+100</f>
        <v/>
      </c>
      <c r="J383" s="76">
        <f>(((Table134567891011121314151617343[[#This Row],[DEU]]-VLOOKUP($U$1,A:D,4,))/VLOOKUP($U$1,A:D,4,))*100)+100</f>
        <v/>
      </c>
      <c r="K383" s="76">
        <f>(((Table134567891011121314151617343[[#This Row],[ESP]]-VLOOKUP($U$1,A:E,5,))/VLOOKUP($U$1,A:E,5,))*100)+100</f>
        <v/>
      </c>
      <c r="L383" s="76">
        <f>(((Table134567891011121314151617343[[#This Row],[EA19]]-VLOOKUP($U$1,A:F,6,))/VLOOKUP($U$1,A:F,6,))*100)+100</f>
        <v/>
      </c>
      <c r="M383" s="76">
        <f>(((Table134567891011121314151617343[[#This Row],[GBR]]-VLOOKUP($U$1,A:G,7,))/VLOOKUP($U$1,A:G,7,))*100)+100</f>
        <v/>
      </c>
      <c r="N383" s="76">
        <f>IF(VLOOKUP(A383,Database!$A:$AU,MATCH($N$1,Database!$A$1:$AU$1,0),FALSE)=0,#N/A,VLOOKUP(A383,Database!$A:$AU,MATCH($N$1,Database!$A$1:$AU$1,0),FALSE))</f>
        <v/>
      </c>
      <c r="O383" s="76">
        <f>(((Table134567891011121314151617343[[#This Row],[USA]]-VLOOKUP($U$1,A:N,14,))/VLOOKUP($U$1,A:N,14,))*100)+100</f>
        <v/>
      </c>
      <c r="P383" s="76">
        <f>IF(VLOOKUP(A383,Database!$A:$AS,MATCH($P$1,Database!$A$1:$AS$1,0),FALSE)=0,#N/A,VLOOKUP(A383,Database!$A:$AS,MATCH($P$1,Database!$A$1:$AS$1,0),FALSE))</f>
        <v/>
      </c>
      <c r="Q383" s="76">
        <f>(((Table134567891011121314151617343[[#This Row],[JPN]]-VLOOKUP($U$1,A:Q,16,))/VLOOKUP($U$1,A:Q,16,))*100)+100</f>
        <v/>
      </c>
    </row>
    <row r="384" customFormat="1" s="86">
      <c r="A384" s="21" t="n">
        <v>44501</v>
      </c>
      <c r="B384" s="76">
        <f>IF(VLOOKUP(A384,Database!$A:$AS,MATCH($B$1,Database!$A$1:$AS$1,0),FALSE)=0,#N/A,VLOOKUP(A384,Database!$A:$AS,MATCH($B$1,Database!$A$1:$AS$1,0),FALSE))</f>
        <v/>
      </c>
      <c r="C384" s="76">
        <f>IF(VLOOKUP(A384,Database!$A:$AS,MATCH($C$1,Database!$A$1:$AS$1,0),FALSE)=0,#N/A,VLOOKUP(A384,Database!$A:$AS,MATCH($C$1,Database!$A$1:$AS$1,0),FALSE))</f>
        <v/>
      </c>
      <c r="D384" s="76">
        <f>IF(VLOOKUP(A384,Database!$A:$AS,MATCH($D$1,Database!$A$1:$AS$1,0),FALSE)=0,#N/A,VLOOKUP(A384,Database!$A:$AS,MATCH($D$1,Database!$A$1:$AS$1,0),FALSE))</f>
        <v/>
      </c>
      <c r="E384" s="76">
        <f>IF(VLOOKUP(A384,Database!$A:$AS,MATCH($E$1,Database!$A$1:$AS$1,0),FALSE)=0,#N/A,VLOOKUP(A384,Database!$A:$AS,MATCH($E$1,Database!$A$1:$AS$1,0),FALSE))</f>
        <v/>
      </c>
      <c r="F384" s="76">
        <f>IF(VLOOKUP(A384,Database!$A:$AS,MATCH($F$1,Database!$A$1:$AS$1,0),FALSE)=0,#N/A,VLOOKUP(A384,Database!$A:$AS,MATCH($F$1,Database!$A$1:$AS$1,0),FALSE))</f>
        <v/>
      </c>
      <c r="G384" s="76">
        <f>IF(VLOOKUP(A384,Database!$A:$AS,MATCH($G$1,Database!$A$1:$AS$1,0),FALSE)=0,#N/A,VLOOKUP(A384,Database!$A:$AS,MATCH($G$1,Database!$A$1:$AS$1,0),FALSE))</f>
        <v/>
      </c>
      <c r="H384" s="76">
        <f>(((Table134567891011121314151617343[[#This Row],[ITA]]-VLOOKUP($U$1,A:B,2,))/VLOOKUP($U$1,A:B,2,))*100)+100</f>
        <v/>
      </c>
      <c r="I384" s="76">
        <f>(((Table134567891011121314151617343[[#This Row],[FRA]]-VLOOKUP($U$1,A:C,3,))/VLOOKUP($U$1,A:C,3,))*100)+100</f>
        <v/>
      </c>
      <c r="J384" s="76">
        <f>(((Table134567891011121314151617343[[#This Row],[DEU]]-VLOOKUP($U$1,A:D,4,))/VLOOKUP($U$1,A:D,4,))*100)+100</f>
        <v/>
      </c>
      <c r="K384" s="76">
        <f>(((Table134567891011121314151617343[[#This Row],[ESP]]-VLOOKUP($U$1,A:E,5,))/VLOOKUP($U$1,A:E,5,))*100)+100</f>
        <v/>
      </c>
      <c r="L384" s="76">
        <f>(((Table134567891011121314151617343[[#This Row],[EA19]]-VLOOKUP($U$1,A:F,6,))/VLOOKUP($U$1,A:F,6,))*100)+100</f>
        <v/>
      </c>
      <c r="M384" s="76">
        <f>(((Table134567891011121314151617343[[#This Row],[GBR]]-VLOOKUP($U$1,A:G,7,))/VLOOKUP($U$1,A:G,7,))*100)+100</f>
        <v/>
      </c>
      <c r="N384" s="76">
        <f>IF(VLOOKUP(A384,Database!$A:$AU,MATCH($N$1,Database!$A$1:$AU$1,0),FALSE)=0,#N/A,VLOOKUP(A384,Database!$A:$AU,MATCH($N$1,Database!$A$1:$AU$1,0),FALSE))</f>
        <v/>
      </c>
      <c r="O384" s="76">
        <f>(((Table134567891011121314151617343[[#This Row],[USA]]-VLOOKUP($U$1,A:N,14,))/VLOOKUP($U$1,A:N,14,))*100)+100</f>
        <v/>
      </c>
      <c r="P384" s="76">
        <f>IF(VLOOKUP(A384,Database!$A:$AS,MATCH($P$1,Database!$A$1:$AS$1,0),FALSE)=0,#N/A,VLOOKUP(A384,Database!$A:$AS,MATCH($P$1,Database!$A$1:$AS$1,0),FALSE))</f>
        <v/>
      </c>
      <c r="Q384" s="76">
        <f>(((Table134567891011121314151617343[[#This Row],[JPN]]-VLOOKUP($U$1,A:Q,16,))/VLOOKUP($U$1,A:Q,16,))*100)+100</f>
        <v/>
      </c>
    </row>
    <row r="385" customFormat="1" s="86">
      <c r="A385" s="21" t="n">
        <v>44531</v>
      </c>
      <c r="B385" s="76">
        <f>IF(VLOOKUP(A385,Database!$A:$AS,MATCH($B$1,Database!$A$1:$AS$1,0),FALSE)=0,#N/A,VLOOKUP(A385,Database!$A:$AS,MATCH($B$1,Database!$A$1:$AS$1,0),FALSE))</f>
        <v/>
      </c>
      <c r="C385" s="76">
        <f>IF(VLOOKUP(A385,Database!$A:$AS,MATCH($C$1,Database!$A$1:$AS$1,0),FALSE)=0,#N/A,VLOOKUP(A385,Database!$A:$AS,MATCH($C$1,Database!$A$1:$AS$1,0),FALSE))</f>
        <v/>
      </c>
      <c r="D385" s="76">
        <f>IF(VLOOKUP(A385,Database!$A:$AS,MATCH($D$1,Database!$A$1:$AS$1,0),FALSE)=0,#N/A,VLOOKUP(A385,Database!$A:$AS,MATCH($D$1,Database!$A$1:$AS$1,0),FALSE))</f>
        <v/>
      </c>
      <c r="E385" s="76">
        <f>IF(VLOOKUP(A385,Database!$A:$AS,MATCH($E$1,Database!$A$1:$AS$1,0),FALSE)=0,#N/A,VLOOKUP(A385,Database!$A:$AS,MATCH($E$1,Database!$A$1:$AS$1,0),FALSE))</f>
        <v/>
      </c>
      <c r="F385" s="76">
        <f>IF(VLOOKUP(A385,Database!$A:$AS,MATCH($F$1,Database!$A$1:$AS$1,0),FALSE)=0,#N/A,VLOOKUP(A385,Database!$A:$AS,MATCH($F$1,Database!$A$1:$AS$1,0),FALSE))</f>
        <v/>
      </c>
      <c r="G385" s="76">
        <f>IF(VLOOKUP(A385,Database!$A:$AS,MATCH($G$1,Database!$A$1:$AS$1,0),FALSE)=0,#N/A,VLOOKUP(A385,Database!$A:$AS,MATCH($G$1,Database!$A$1:$AS$1,0),FALSE))</f>
        <v/>
      </c>
      <c r="H385" s="76">
        <f>(((Table134567891011121314151617343[[#This Row],[ITA]]-VLOOKUP($U$1,A:B,2,))/VLOOKUP($U$1,A:B,2,))*100)+100</f>
        <v/>
      </c>
      <c r="I385" s="76">
        <f>(((Table134567891011121314151617343[[#This Row],[FRA]]-VLOOKUP($U$1,A:C,3,))/VLOOKUP($U$1,A:C,3,))*100)+100</f>
        <v/>
      </c>
      <c r="J385" s="76">
        <f>(((Table134567891011121314151617343[[#This Row],[DEU]]-VLOOKUP($U$1,A:D,4,))/VLOOKUP($U$1,A:D,4,))*100)+100</f>
        <v/>
      </c>
      <c r="K385" s="76">
        <f>(((Table134567891011121314151617343[[#This Row],[ESP]]-VLOOKUP($U$1,A:E,5,))/VLOOKUP($U$1,A:E,5,))*100)+100</f>
        <v/>
      </c>
      <c r="L385" s="76">
        <f>(((Table134567891011121314151617343[[#This Row],[EA19]]-VLOOKUP($U$1,A:F,6,))/VLOOKUP($U$1,A:F,6,))*100)+100</f>
        <v/>
      </c>
      <c r="M385" s="76">
        <f>(((Table134567891011121314151617343[[#This Row],[GBR]]-VLOOKUP($U$1,A:G,7,))/VLOOKUP($U$1,A:G,7,))*100)+100</f>
        <v/>
      </c>
      <c r="N385" s="76">
        <f>IF(VLOOKUP(A385,Database!$A:$AU,MATCH($N$1,Database!$A$1:$AU$1,0),FALSE)=0,#N/A,VLOOKUP(A385,Database!$A:$AU,MATCH($N$1,Database!$A$1:$AU$1,0),FALSE))</f>
        <v/>
      </c>
      <c r="O385" s="76">
        <f>(((Table134567891011121314151617343[[#This Row],[USA]]-VLOOKUP($U$1,A:N,14,))/VLOOKUP($U$1,A:N,14,))*100)+100</f>
        <v/>
      </c>
      <c r="P385" s="76">
        <f>IF(VLOOKUP(A385,Database!$A:$AS,MATCH($P$1,Database!$A$1:$AS$1,0),FALSE)=0,#N/A,VLOOKUP(A385,Database!$A:$AS,MATCH($P$1,Database!$A$1:$AS$1,0),FALSE))</f>
        <v/>
      </c>
      <c r="Q385" s="76">
        <f>(((Table134567891011121314151617343[[#This Row],[JPN]]-VLOOKUP($U$1,A:Q,16,))/VLOOKUP($U$1,A:Q,16,))*100)+100</f>
        <v/>
      </c>
    </row>
    <row r="386" customFormat="1" s="86">
      <c r="A386" s="21" t="n">
        <v>44562</v>
      </c>
      <c r="B386" s="76">
        <f>IF(VLOOKUP(A386,Database!$A:$AS,MATCH($B$1,Database!$A$1:$AS$1,0),FALSE)=0,#N/A,VLOOKUP(A386,Database!$A:$AS,MATCH($B$1,Database!$A$1:$AS$1,0),FALSE))</f>
        <v/>
      </c>
      <c r="C386" s="76">
        <f>IF(VLOOKUP(A386,Database!$A:$AS,MATCH($C$1,Database!$A$1:$AS$1,0),FALSE)=0,#N/A,VLOOKUP(A386,Database!$A:$AS,MATCH($C$1,Database!$A$1:$AS$1,0),FALSE))</f>
        <v/>
      </c>
      <c r="D386" s="76">
        <f>IF(VLOOKUP(A386,Database!$A:$AS,MATCH($D$1,Database!$A$1:$AS$1,0),FALSE)=0,#N/A,VLOOKUP(A386,Database!$A:$AS,MATCH($D$1,Database!$A$1:$AS$1,0),FALSE))</f>
        <v/>
      </c>
      <c r="E386" s="76">
        <f>IF(VLOOKUP(A386,Database!$A:$AS,MATCH($E$1,Database!$A$1:$AS$1,0),FALSE)=0,#N/A,VLOOKUP(A386,Database!$A:$AS,MATCH($E$1,Database!$A$1:$AS$1,0),FALSE))</f>
        <v/>
      </c>
      <c r="F386" s="76">
        <f>IF(VLOOKUP(A386,Database!$A:$AS,MATCH($F$1,Database!$A$1:$AS$1,0),FALSE)=0,#N/A,VLOOKUP(A386,Database!$A:$AS,MATCH($F$1,Database!$A$1:$AS$1,0),FALSE))</f>
        <v/>
      </c>
      <c r="G386" s="76">
        <f>IF(VLOOKUP(A386,Database!$A:$AS,MATCH($G$1,Database!$A$1:$AS$1,0),FALSE)=0,#N/A,VLOOKUP(A386,Database!$A:$AS,MATCH($G$1,Database!$A$1:$AS$1,0),FALSE))</f>
        <v/>
      </c>
      <c r="H386" s="76">
        <f>(((Table134567891011121314151617343[[#This Row],[ITA]]-VLOOKUP($U$1,A:B,2,))/VLOOKUP($U$1,A:B,2,))*100)+100</f>
        <v/>
      </c>
      <c r="I386" s="76">
        <f>(((Table134567891011121314151617343[[#This Row],[FRA]]-VLOOKUP($U$1,A:C,3,))/VLOOKUP($U$1,A:C,3,))*100)+100</f>
        <v/>
      </c>
      <c r="J386" s="76">
        <f>(((Table134567891011121314151617343[[#This Row],[DEU]]-VLOOKUP($U$1,A:D,4,))/VLOOKUP($U$1,A:D,4,))*100)+100</f>
        <v/>
      </c>
      <c r="K386" s="76">
        <f>(((Table134567891011121314151617343[[#This Row],[ESP]]-VLOOKUP($U$1,A:E,5,))/VLOOKUP($U$1,A:E,5,))*100)+100</f>
        <v/>
      </c>
      <c r="L386" s="76">
        <f>(((Table134567891011121314151617343[[#This Row],[EA19]]-VLOOKUP($U$1,A:F,6,))/VLOOKUP($U$1,A:F,6,))*100)+100</f>
        <v/>
      </c>
      <c r="M386" s="76">
        <f>(((Table134567891011121314151617343[[#This Row],[GBR]]-VLOOKUP($U$1,A:G,7,))/VLOOKUP($U$1,A:G,7,))*100)+100</f>
        <v/>
      </c>
      <c r="N386" s="76">
        <f>IF(VLOOKUP(A386,Database!$A:$AU,MATCH($N$1,Database!$A$1:$AU$1,0),FALSE)=0,#N/A,VLOOKUP(A386,Database!$A:$AU,MATCH($N$1,Database!$A$1:$AU$1,0),FALSE))</f>
        <v/>
      </c>
      <c r="O386" s="76">
        <f>(((Table134567891011121314151617343[[#This Row],[USA]]-VLOOKUP($U$1,A:N,14,))/VLOOKUP($U$1,A:N,14,))*100)+100</f>
        <v/>
      </c>
      <c r="P386" s="76">
        <f>IF(VLOOKUP(A386,Database!$A:$AS,MATCH($P$1,Database!$A$1:$AS$1,0),FALSE)=0,#N/A,VLOOKUP(A386,Database!$A:$AS,MATCH($P$1,Database!$A$1:$AS$1,0),FALSE))</f>
        <v/>
      </c>
      <c r="Q386" s="76">
        <f>(((Table134567891011121314151617343[[#This Row],[JPN]]-VLOOKUP($U$1,A:Q,16,))/VLOOKUP($U$1,A:Q,16,))*100)+100</f>
        <v/>
      </c>
    </row>
    <row r="387" customFormat="1" s="86">
      <c r="A387" s="21" t="n">
        <v>44593</v>
      </c>
      <c r="B387" s="76">
        <f>IF(VLOOKUP(A387,Database!$A:$AS,MATCH($B$1,Database!$A$1:$AS$1,0),FALSE)=0,#N/A,VLOOKUP(A387,Database!$A:$AS,MATCH($B$1,Database!$A$1:$AS$1,0),FALSE))</f>
        <v/>
      </c>
      <c r="C387" s="76">
        <f>IF(VLOOKUP(A387,Database!$A:$AS,MATCH($C$1,Database!$A$1:$AS$1,0),FALSE)=0,#N/A,VLOOKUP(A387,Database!$A:$AS,MATCH($C$1,Database!$A$1:$AS$1,0),FALSE))</f>
        <v/>
      </c>
      <c r="D387" s="76">
        <f>IF(VLOOKUP(A387,Database!$A:$AS,MATCH($D$1,Database!$A$1:$AS$1,0),FALSE)=0,#N/A,VLOOKUP(A387,Database!$A:$AS,MATCH($D$1,Database!$A$1:$AS$1,0),FALSE))</f>
        <v/>
      </c>
      <c r="E387" s="76">
        <f>IF(VLOOKUP(A387,Database!$A:$AS,MATCH($E$1,Database!$A$1:$AS$1,0),FALSE)=0,#N/A,VLOOKUP(A387,Database!$A:$AS,MATCH($E$1,Database!$A$1:$AS$1,0),FALSE))</f>
        <v/>
      </c>
      <c r="F387" s="76">
        <f>IF(VLOOKUP(A387,Database!$A:$AS,MATCH($F$1,Database!$A$1:$AS$1,0),FALSE)=0,#N/A,VLOOKUP(A387,Database!$A:$AS,MATCH($F$1,Database!$A$1:$AS$1,0),FALSE))</f>
        <v/>
      </c>
      <c r="G387" s="76">
        <f>IF(VLOOKUP(A387,Database!$A:$AS,MATCH($G$1,Database!$A$1:$AS$1,0),FALSE)=0,#N/A,VLOOKUP(A387,Database!$A:$AS,MATCH($G$1,Database!$A$1:$AS$1,0),FALSE))</f>
        <v/>
      </c>
      <c r="H387" s="76">
        <f>(((Table134567891011121314151617343[[#This Row],[ITA]]-VLOOKUP($U$1,A:B,2,))/VLOOKUP($U$1,A:B,2,))*100)+100</f>
        <v/>
      </c>
      <c r="I387" s="76">
        <f>(((Table134567891011121314151617343[[#This Row],[FRA]]-VLOOKUP($U$1,A:C,3,))/VLOOKUP($U$1,A:C,3,))*100)+100</f>
        <v/>
      </c>
      <c r="J387" s="76">
        <f>(((Table134567891011121314151617343[[#This Row],[DEU]]-VLOOKUP($U$1,A:D,4,))/VLOOKUP($U$1,A:D,4,))*100)+100</f>
        <v/>
      </c>
      <c r="K387" s="76">
        <f>(((Table134567891011121314151617343[[#This Row],[ESP]]-VLOOKUP($U$1,A:E,5,))/VLOOKUP($U$1,A:E,5,))*100)+100</f>
        <v/>
      </c>
      <c r="L387" s="76">
        <f>(((Table134567891011121314151617343[[#This Row],[EA19]]-VLOOKUP($U$1,A:F,6,))/VLOOKUP($U$1,A:F,6,))*100)+100</f>
        <v/>
      </c>
      <c r="M387" s="76">
        <f>(((Table134567891011121314151617343[[#This Row],[GBR]]-VLOOKUP($U$1,A:G,7,))/VLOOKUP($U$1,A:G,7,))*100)+100</f>
        <v/>
      </c>
      <c r="N387" s="76">
        <f>IF(VLOOKUP(A387,Database!$A:$AU,MATCH($N$1,Database!$A$1:$AU$1,0),FALSE)=0,#N/A,VLOOKUP(A387,Database!$A:$AU,MATCH($N$1,Database!$A$1:$AU$1,0),FALSE))</f>
        <v/>
      </c>
      <c r="O387" s="76">
        <f>(((Table134567891011121314151617343[[#This Row],[USA]]-VLOOKUP($U$1,A:N,14,))/VLOOKUP($U$1,A:N,14,))*100)+100</f>
        <v/>
      </c>
      <c r="P387" s="76">
        <f>IF(VLOOKUP(A387,Database!$A:$AS,MATCH($P$1,Database!$A$1:$AS$1,0),FALSE)=0,#N/A,VLOOKUP(A387,Database!$A:$AS,MATCH($P$1,Database!$A$1:$AS$1,0),FALSE))</f>
        <v/>
      </c>
      <c r="Q387" s="76">
        <f>(((Table134567891011121314151617343[[#This Row],[JPN]]-VLOOKUP($U$1,A:Q,16,))/VLOOKUP($U$1,A:Q,16,))*100)+100</f>
        <v/>
      </c>
    </row>
    <row r="388" customFormat="1" s="86">
      <c r="A388" s="21" t="n">
        <v>44621</v>
      </c>
      <c r="B388" s="76">
        <f>IF(VLOOKUP(A388,Database!$A:$AS,MATCH($B$1,Database!$A$1:$AS$1,0),FALSE)=0,#N/A,VLOOKUP(A388,Database!$A:$AS,MATCH($B$1,Database!$A$1:$AS$1,0),FALSE))</f>
        <v/>
      </c>
      <c r="C388" s="76">
        <f>IF(VLOOKUP(A388,Database!$A:$AS,MATCH($C$1,Database!$A$1:$AS$1,0),FALSE)=0,#N/A,VLOOKUP(A388,Database!$A:$AS,MATCH($C$1,Database!$A$1:$AS$1,0),FALSE))</f>
        <v/>
      </c>
      <c r="D388" s="76">
        <f>IF(VLOOKUP(A388,Database!$A:$AS,MATCH($D$1,Database!$A$1:$AS$1,0),FALSE)=0,#N/A,VLOOKUP(A388,Database!$A:$AS,MATCH($D$1,Database!$A$1:$AS$1,0),FALSE))</f>
        <v/>
      </c>
      <c r="E388" s="76">
        <f>IF(VLOOKUP(A388,Database!$A:$AS,MATCH($E$1,Database!$A$1:$AS$1,0),FALSE)=0,#N/A,VLOOKUP(A388,Database!$A:$AS,MATCH($E$1,Database!$A$1:$AS$1,0),FALSE))</f>
        <v/>
      </c>
      <c r="F388" s="76">
        <f>IF(VLOOKUP(A388,Database!$A:$AS,MATCH($F$1,Database!$A$1:$AS$1,0),FALSE)=0,#N/A,VLOOKUP(A388,Database!$A:$AS,MATCH($F$1,Database!$A$1:$AS$1,0),FALSE))</f>
        <v/>
      </c>
      <c r="G388" s="76">
        <f>IF(VLOOKUP(A388,Database!$A:$AS,MATCH($G$1,Database!$A$1:$AS$1,0),FALSE)=0,#N/A,VLOOKUP(A388,Database!$A:$AS,MATCH($G$1,Database!$A$1:$AS$1,0),FALSE))</f>
        <v/>
      </c>
      <c r="H388" s="76">
        <f>(((Table134567891011121314151617343[[#This Row],[ITA]]-VLOOKUP($U$1,A:B,2,))/VLOOKUP($U$1,A:B,2,))*100)+100</f>
        <v/>
      </c>
      <c r="I388" s="76">
        <f>(((Table134567891011121314151617343[[#This Row],[FRA]]-VLOOKUP($U$1,A:C,3,))/VLOOKUP($U$1,A:C,3,))*100)+100</f>
        <v/>
      </c>
      <c r="J388" s="76">
        <f>(((Table134567891011121314151617343[[#This Row],[DEU]]-VLOOKUP($U$1,A:D,4,))/VLOOKUP($U$1,A:D,4,))*100)+100</f>
        <v/>
      </c>
      <c r="K388" s="76">
        <f>(((Table134567891011121314151617343[[#This Row],[ESP]]-VLOOKUP($U$1,A:E,5,))/VLOOKUP($U$1,A:E,5,))*100)+100</f>
        <v/>
      </c>
      <c r="L388" s="76">
        <f>(((Table134567891011121314151617343[[#This Row],[EA19]]-VLOOKUP($U$1,A:F,6,))/VLOOKUP($U$1,A:F,6,))*100)+100</f>
        <v/>
      </c>
      <c r="M388" s="76">
        <f>(((Table134567891011121314151617343[[#This Row],[GBR]]-VLOOKUP($U$1,A:G,7,))/VLOOKUP($U$1,A:G,7,))*100)+100</f>
        <v/>
      </c>
      <c r="N388" s="76">
        <f>IF(VLOOKUP(A388,Database!$A:$AU,MATCH($N$1,Database!$A$1:$AU$1,0),FALSE)=0,#N/A,VLOOKUP(A388,Database!$A:$AU,MATCH($N$1,Database!$A$1:$AU$1,0),FALSE))</f>
        <v/>
      </c>
      <c r="O388" s="76">
        <f>(((Table134567891011121314151617343[[#This Row],[USA]]-VLOOKUP($U$1,A:N,14,))/VLOOKUP($U$1,A:N,14,))*100)+100</f>
        <v/>
      </c>
      <c r="P388" s="76">
        <f>IF(VLOOKUP(A388,Database!$A:$AS,MATCH($P$1,Database!$A$1:$AS$1,0),FALSE)=0,#N/A,VLOOKUP(A388,Database!$A:$AS,MATCH($P$1,Database!$A$1:$AS$1,0),FALSE))</f>
        <v/>
      </c>
      <c r="Q388" s="76">
        <f>(((Table134567891011121314151617343[[#This Row],[JPN]]-VLOOKUP($U$1,A:Q,16,))/VLOOKUP($U$1,A:Q,16,))*100)+100</f>
        <v/>
      </c>
    </row>
    <row r="389" customFormat="1" s="86">
      <c r="A389" s="21" t="n">
        <v>44652</v>
      </c>
      <c r="B389" s="76">
        <f>IF(VLOOKUP(A389,Database!$A:$AS,MATCH($B$1,Database!$A$1:$AS$1,0),FALSE)=0,#N/A,VLOOKUP(A389,Database!$A:$AS,MATCH($B$1,Database!$A$1:$AS$1,0),FALSE))</f>
        <v/>
      </c>
      <c r="C389" s="76">
        <f>IF(VLOOKUP(A389,Database!$A:$AS,MATCH($C$1,Database!$A$1:$AS$1,0),FALSE)=0,#N/A,VLOOKUP(A389,Database!$A:$AS,MATCH($C$1,Database!$A$1:$AS$1,0),FALSE))</f>
        <v/>
      </c>
      <c r="D389" s="76">
        <f>IF(VLOOKUP(A389,Database!$A:$AS,MATCH($D$1,Database!$A$1:$AS$1,0),FALSE)=0,#N/A,VLOOKUP(A389,Database!$A:$AS,MATCH($D$1,Database!$A$1:$AS$1,0),FALSE))</f>
        <v/>
      </c>
      <c r="E389" s="76">
        <f>IF(VLOOKUP(A389,Database!$A:$AS,MATCH($E$1,Database!$A$1:$AS$1,0),FALSE)=0,#N/A,VLOOKUP(A389,Database!$A:$AS,MATCH($E$1,Database!$A$1:$AS$1,0),FALSE))</f>
        <v/>
      </c>
      <c r="F389" s="76">
        <f>IF(VLOOKUP(A389,Database!$A:$AS,MATCH($F$1,Database!$A$1:$AS$1,0),FALSE)=0,#N/A,VLOOKUP(A389,Database!$A:$AS,MATCH($F$1,Database!$A$1:$AS$1,0),FALSE))</f>
        <v/>
      </c>
      <c r="G389" s="76">
        <f>IF(VLOOKUP(A389,Database!$A:$AS,MATCH($G$1,Database!$A$1:$AS$1,0),FALSE)=0,#N/A,VLOOKUP(A389,Database!$A:$AS,MATCH($G$1,Database!$A$1:$AS$1,0),FALSE))</f>
        <v/>
      </c>
      <c r="H389" s="76">
        <f>(((Table134567891011121314151617343[[#This Row],[ITA]]-VLOOKUP($U$1,A:B,2,))/VLOOKUP($U$1,A:B,2,))*100)+100</f>
        <v/>
      </c>
      <c r="I389" s="76">
        <f>(((Table134567891011121314151617343[[#This Row],[FRA]]-VLOOKUP($U$1,A:C,3,))/VLOOKUP($U$1,A:C,3,))*100)+100</f>
        <v/>
      </c>
      <c r="J389" s="76">
        <f>(((Table134567891011121314151617343[[#This Row],[DEU]]-VLOOKUP($U$1,A:D,4,))/VLOOKUP($U$1,A:D,4,))*100)+100</f>
        <v/>
      </c>
      <c r="K389" s="76">
        <f>(((Table134567891011121314151617343[[#This Row],[ESP]]-VLOOKUP($U$1,A:E,5,))/VLOOKUP($U$1,A:E,5,))*100)+100</f>
        <v/>
      </c>
      <c r="L389" s="76">
        <f>(((Table134567891011121314151617343[[#This Row],[EA19]]-VLOOKUP($U$1,A:F,6,))/VLOOKUP($U$1,A:F,6,))*100)+100</f>
        <v/>
      </c>
      <c r="M389" s="76">
        <f>(((Table134567891011121314151617343[[#This Row],[GBR]]-VLOOKUP($U$1,A:G,7,))/VLOOKUP($U$1,A:G,7,))*100)+100</f>
        <v/>
      </c>
      <c r="N389" s="76">
        <f>IF(VLOOKUP(A389,Database!$A:$AU,MATCH($N$1,Database!$A$1:$AU$1,0),FALSE)=0,#N/A,VLOOKUP(A389,Database!$A:$AU,MATCH($N$1,Database!$A$1:$AU$1,0),FALSE))</f>
        <v/>
      </c>
      <c r="O389" s="76">
        <f>(((Table134567891011121314151617343[[#This Row],[USA]]-VLOOKUP($U$1,A:N,14,))/VLOOKUP($U$1,A:N,14,))*100)+100</f>
        <v/>
      </c>
      <c r="P389" s="76">
        <f>IF(VLOOKUP(A389,Database!$A:$AS,MATCH($P$1,Database!$A$1:$AS$1,0),FALSE)=0,#N/A,VLOOKUP(A389,Database!$A:$AS,MATCH($P$1,Database!$A$1:$AS$1,0),FALSE))</f>
        <v/>
      </c>
      <c r="Q389" s="76">
        <f>(((Table134567891011121314151617343[[#This Row],[JPN]]-VLOOKUP($U$1,A:Q,16,))/VLOOKUP($U$1,A:Q,16,))*100)+100</f>
        <v/>
      </c>
    </row>
    <row r="390" customFormat="1" s="86">
      <c r="A390" s="21" t="n">
        <v>44682</v>
      </c>
      <c r="B390" s="76">
        <f>IF(VLOOKUP(A390,Database!$A:$AS,MATCH($B$1,Database!$A$1:$AS$1,0),FALSE)=0,#N/A,VLOOKUP(A390,Database!$A:$AS,MATCH($B$1,Database!$A$1:$AS$1,0),FALSE))</f>
        <v/>
      </c>
      <c r="C390" s="76">
        <f>IF(VLOOKUP(A390,Database!$A:$AS,MATCH($C$1,Database!$A$1:$AS$1,0),FALSE)=0,#N/A,VLOOKUP(A390,Database!$A:$AS,MATCH($C$1,Database!$A$1:$AS$1,0),FALSE))</f>
        <v/>
      </c>
      <c r="D390" s="76">
        <f>IF(VLOOKUP(A390,Database!$A:$AS,MATCH($D$1,Database!$A$1:$AS$1,0),FALSE)=0,#N/A,VLOOKUP(A390,Database!$A:$AS,MATCH($D$1,Database!$A$1:$AS$1,0),FALSE))</f>
        <v/>
      </c>
      <c r="E390" s="76">
        <f>IF(VLOOKUP(A390,Database!$A:$AS,MATCH($E$1,Database!$A$1:$AS$1,0),FALSE)=0,#N/A,VLOOKUP(A390,Database!$A:$AS,MATCH($E$1,Database!$A$1:$AS$1,0),FALSE))</f>
        <v/>
      </c>
      <c r="F390" s="76">
        <f>IF(VLOOKUP(A390,Database!$A:$AS,MATCH($F$1,Database!$A$1:$AS$1,0),FALSE)=0,#N/A,VLOOKUP(A390,Database!$A:$AS,MATCH($F$1,Database!$A$1:$AS$1,0),FALSE))</f>
        <v/>
      </c>
      <c r="G390" s="76">
        <f>IF(VLOOKUP(A390,Database!$A:$AS,MATCH($G$1,Database!$A$1:$AS$1,0),FALSE)=0,#N/A,VLOOKUP(A390,Database!$A:$AS,MATCH($G$1,Database!$A$1:$AS$1,0),FALSE))</f>
        <v/>
      </c>
      <c r="H390" s="76">
        <f>(((Table134567891011121314151617343[[#This Row],[ITA]]-VLOOKUP($U$1,A:B,2,))/VLOOKUP($U$1,A:B,2,))*100)+100</f>
        <v/>
      </c>
      <c r="I390" s="76">
        <f>(((Table134567891011121314151617343[[#This Row],[FRA]]-VLOOKUP($U$1,A:C,3,))/VLOOKUP($U$1,A:C,3,))*100)+100</f>
        <v/>
      </c>
      <c r="J390" s="76">
        <f>(((Table134567891011121314151617343[[#This Row],[DEU]]-VLOOKUP($U$1,A:D,4,))/VLOOKUP($U$1,A:D,4,))*100)+100</f>
        <v/>
      </c>
      <c r="K390" s="76">
        <f>(((Table134567891011121314151617343[[#This Row],[ESP]]-VLOOKUP($U$1,A:E,5,))/VLOOKUP($U$1,A:E,5,))*100)+100</f>
        <v/>
      </c>
      <c r="L390" s="76">
        <f>(((Table134567891011121314151617343[[#This Row],[EA19]]-VLOOKUP($U$1,A:F,6,))/VLOOKUP($U$1,A:F,6,))*100)+100</f>
        <v/>
      </c>
      <c r="M390" s="76">
        <f>(((Table134567891011121314151617343[[#This Row],[GBR]]-VLOOKUP($U$1,A:G,7,))/VLOOKUP($U$1,A:G,7,))*100)+100</f>
        <v/>
      </c>
      <c r="N390" s="76">
        <f>IF(VLOOKUP(A390,Database!$A:$AU,MATCH($N$1,Database!$A$1:$AU$1,0),FALSE)=0,#N/A,VLOOKUP(A390,Database!$A:$AU,MATCH($N$1,Database!$A$1:$AU$1,0),FALSE))</f>
        <v/>
      </c>
      <c r="O390" s="76">
        <f>(((Table134567891011121314151617343[[#This Row],[USA]]-VLOOKUP($U$1,A:N,14,))/VLOOKUP($U$1,A:N,14,))*100)+100</f>
        <v/>
      </c>
      <c r="P390" s="76">
        <f>IF(VLOOKUP(A390,Database!$A:$AS,MATCH($P$1,Database!$A$1:$AS$1,0),FALSE)=0,#N/A,VLOOKUP(A390,Database!$A:$AS,MATCH($P$1,Database!$A$1:$AS$1,0),FALSE))</f>
        <v/>
      </c>
      <c r="Q390" s="76">
        <f>(((Table134567891011121314151617343[[#This Row],[JPN]]-VLOOKUP($U$1,A:Q,16,))/VLOOKUP($U$1,A:Q,16,))*100)+100</f>
        <v/>
      </c>
    </row>
    <row r="391" customFormat="1" s="86">
      <c r="A391" s="21" t="n">
        <v>44713</v>
      </c>
      <c r="B391" s="76">
        <f>IF(VLOOKUP(A391,Database!$A:$AS,MATCH($B$1,Database!$A$1:$AS$1,0),FALSE)=0,#N/A,VLOOKUP(A391,Database!$A:$AS,MATCH($B$1,Database!$A$1:$AS$1,0),FALSE))</f>
        <v/>
      </c>
      <c r="C391" s="76">
        <f>IF(VLOOKUP(A391,Database!$A:$AS,MATCH($C$1,Database!$A$1:$AS$1,0),FALSE)=0,#N/A,VLOOKUP(A391,Database!$A:$AS,MATCH($C$1,Database!$A$1:$AS$1,0),FALSE))</f>
        <v/>
      </c>
      <c r="D391" s="76">
        <f>IF(VLOOKUP(A391,Database!$A:$AS,MATCH($D$1,Database!$A$1:$AS$1,0),FALSE)=0,#N/A,VLOOKUP(A391,Database!$A:$AS,MATCH($D$1,Database!$A$1:$AS$1,0),FALSE))</f>
        <v/>
      </c>
      <c r="E391" s="76">
        <f>IF(VLOOKUP(A391,Database!$A:$AS,MATCH($E$1,Database!$A$1:$AS$1,0),FALSE)=0,#N/A,VLOOKUP(A391,Database!$A:$AS,MATCH($E$1,Database!$A$1:$AS$1,0),FALSE))</f>
        <v/>
      </c>
      <c r="F391" s="76">
        <f>IF(VLOOKUP(A391,Database!$A:$AS,MATCH($F$1,Database!$A$1:$AS$1,0),FALSE)=0,#N/A,VLOOKUP(A391,Database!$A:$AS,MATCH($F$1,Database!$A$1:$AS$1,0),FALSE))</f>
        <v/>
      </c>
      <c r="G391" s="76">
        <f>IF(VLOOKUP(A391,Database!$A:$AS,MATCH($G$1,Database!$A$1:$AS$1,0),FALSE)=0,#N/A,VLOOKUP(A391,Database!$A:$AS,MATCH($G$1,Database!$A$1:$AS$1,0),FALSE))</f>
        <v/>
      </c>
      <c r="H391" s="76">
        <f>(((Table134567891011121314151617343[[#This Row],[ITA]]-VLOOKUP($U$1,A:B,2,))/VLOOKUP($U$1,A:B,2,))*100)+100</f>
        <v/>
      </c>
      <c r="I391" s="76">
        <f>(((Table134567891011121314151617343[[#This Row],[FRA]]-VLOOKUP($U$1,A:C,3,))/VLOOKUP($U$1,A:C,3,))*100)+100</f>
        <v/>
      </c>
      <c r="J391" s="76">
        <f>(((Table134567891011121314151617343[[#This Row],[DEU]]-VLOOKUP($U$1,A:D,4,))/VLOOKUP($U$1,A:D,4,))*100)+100</f>
        <v/>
      </c>
      <c r="K391" s="76">
        <f>(((Table134567891011121314151617343[[#This Row],[ESP]]-VLOOKUP($U$1,A:E,5,))/VLOOKUP($U$1,A:E,5,))*100)+100</f>
        <v/>
      </c>
      <c r="L391" s="76">
        <f>(((Table134567891011121314151617343[[#This Row],[EA19]]-VLOOKUP($U$1,A:F,6,))/VLOOKUP($U$1,A:F,6,))*100)+100</f>
        <v/>
      </c>
      <c r="M391" s="76">
        <f>(((Table134567891011121314151617343[[#This Row],[GBR]]-VLOOKUP($U$1,A:G,7,))/VLOOKUP($U$1,A:G,7,))*100)+100</f>
        <v/>
      </c>
      <c r="N391" s="76">
        <f>IF(VLOOKUP(A391,Database!$A:$AU,MATCH($N$1,Database!$A$1:$AU$1,0),FALSE)=0,#N/A,VLOOKUP(A391,Database!$A:$AU,MATCH($N$1,Database!$A$1:$AU$1,0),FALSE))</f>
        <v/>
      </c>
      <c r="O391" s="76">
        <f>(((Table134567891011121314151617343[[#This Row],[USA]]-VLOOKUP($U$1,A:N,14,))/VLOOKUP($U$1,A:N,14,))*100)+100</f>
        <v/>
      </c>
      <c r="P391" s="76">
        <f>IF(VLOOKUP(A391,Database!$A:$AS,MATCH($P$1,Database!$A$1:$AS$1,0),FALSE)=0,#N/A,VLOOKUP(A391,Database!$A:$AS,MATCH($P$1,Database!$A$1:$AS$1,0),FALSE))</f>
        <v/>
      </c>
      <c r="Q391" s="76">
        <f>(((Table134567891011121314151617343[[#This Row],[JPN]]-VLOOKUP($U$1,A:Q,16,))/VLOOKUP($U$1,A:Q,16,))*100)+100</f>
        <v/>
      </c>
    </row>
    <row r="392" customFormat="1" s="86">
      <c r="A392" s="21" t="n">
        <v>44743</v>
      </c>
      <c r="B392" s="76">
        <f>IF(VLOOKUP(A392,Database!$A:$AS,MATCH($B$1,Database!$A$1:$AS$1,0),FALSE)=0,#N/A,VLOOKUP(A392,Database!$A:$AS,MATCH($B$1,Database!$A$1:$AS$1,0),FALSE))</f>
        <v/>
      </c>
      <c r="C392" s="76">
        <f>IF(VLOOKUP(A392,Database!$A:$AS,MATCH($C$1,Database!$A$1:$AS$1,0),FALSE)=0,#N/A,VLOOKUP(A392,Database!$A:$AS,MATCH($C$1,Database!$A$1:$AS$1,0),FALSE))</f>
        <v/>
      </c>
      <c r="D392" s="76">
        <f>IF(VLOOKUP(A392,Database!$A:$AS,MATCH($D$1,Database!$A$1:$AS$1,0),FALSE)=0,#N/A,VLOOKUP(A392,Database!$A:$AS,MATCH($D$1,Database!$A$1:$AS$1,0),FALSE))</f>
        <v/>
      </c>
      <c r="E392" s="76">
        <f>IF(VLOOKUP(A392,Database!$A:$AS,MATCH($E$1,Database!$A$1:$AS$1,0),FALSE)=0,#N/A,VLOOKUP(A392,Database!$A:$AS,MATCH($E$1,Database!$A$1:$AS$1,0),FALSE))</f>
        <v/>
      </c>
      <c r="F392" s="76">
        <f>IF(VLOOKUP(A392,Database!$A:$AS,MATCH($F$1,Database!$A$1:$AS$1,0),FALSE)=0,#N/A,VLOOKUP(A392,Database!$A:$AS,MATCH($F$1,Database!$A$1:$AS$1,0),FALSE))</f>
        <v/>
      </c>
      <c r="G392" s="76">
        <f>IF(VLOOKUP(A392,Database!$A:$AS,MATCH($G$1,Database!$A$1:$AS$1,0),FALSE)=0,#N/A,VLOOKUP(A392,Database!$A:$AS,MATCH($G$1,Database!$A$1:$AS$1,0),FALSE))</f>
        <v/>
      </c>
      <c r="H392" s="76">
        <f>(((Table134567891011121314151617343[[#This Row],[ITA]]-VLOOKUP($U$1,A:B,2,))/VLOOKUP($U$1,A:B,2,))*100)+100</f>
        <v/>
      </c>
      <c r="I392" s="76">
        <f>(((Table134567891011121314151617343[[#This Row],[FRA]]-VLOOKUP($U$1,A:C,3,))/VLOOKUP($U$1,A:C,3,))*100)+100</f>
        <v/>
      </c>
      <c r="J392" s="76">
        <f>(((Table134567891011121314151617343[[#This Row],[DEU]]-VLOOKUP($U$1,A:D,4,))/VLOOKUP($U$1,A:D,4,))*100)+100</f>
        <v/>
      </c>
      <c r="K392" s="76">
        <f>(((Table134567891011121314151617343[[#This Row],[ESP]]-VLOOKUP($U$1,A:E,5,))/VLOOKUP($U$1,A:E,5,))*100)+100</f>
        <v/>
      </c>
      <c r="L392" s="76">
        <f>(((Table134567891011121314151617343[[#This Row],[EA19]]-VLOOKUP($U$1,A:F,6,))/VLOOKUP($U$1,A:F,6,))*100)+100</f>
        <v/>
      </c>
      <c r="M392" s="76">
        <f>(((Table134567891011121314151617343[[#This Row],[GBR]]-VLOOKUP($U$1,A:G,7,))/VLOOKUP($U$1,A:G,7,))*100)+100</f>
        <v/>
      </c>
      <c r="N392" s="76">
        <f>IF(VLOOKUP(A392,Database!$A:$AU,MATCH($N$1,Database!$A$1:$AU$1,0),FALSE)=0,#N/A,VLOOKUP(A392,Database!$A:$AU,MATCH($N$1,Database!$A$1:$AU$1,0),FALSE))</f>
        <v/>
      </c>
      <c r="O392" s="76">
        <f>(((Table134567891011121314151617343[[#This Row],[USA]]-VLOOKUP($U$1,A:N,14,))/VLOOKUP($U$1,A:N,14,))*100)+100</f>
        <v/>
      </c>
      <c r="P392" s="76">
        <f>IF(VLOOKUP(A392,Database!$A:$AS,MATCH($P$1,Database!$A$1:$AS$1,0),FALSE)=0,#N/A,VLOOKUP(A392,Database!$A:$AS,MATCH($P$1,Database!$A$1:$AS$1,0),FALSE))</f>
        <v/>
      </c>
      <c r="Q392" s="76">
        <f>(((Table134567891011121314151617343[[#This Row],[JPN]]-VLOOKUP($U$1,A:Q,16,))/VLOOKUP($U$1,A:Q,16,))*100)+100</f>
        <v/>
      </c>
    </row>
    <row r="393" customFormat="1" s="86">
      <c r="A393" s="21" t="n">
        <v>44774</v>
      </c>
      <c r="B393" s="76">
        <f>IF(VLOOKUP(A393,Database!$A:$AS,MATCH($B$1,Database!$A$1:$AS$1,0),FALSE)=0,#N/A,VLOOKUP(A393,Database!$A:$AS,MATCH($B$1,Database!$A$1:$AS$1,0),FALSE))</f>
        <v/>
      </c>
      <c r="C393" s="76">
        <f>IF(VLOOKUP(A393,Database!$A:$AS,MATCH($C$1,Database!$A$1:$AS$1,0),FALSE)=0,#N/A,VLOOKUP(A393,Database!$A:$AS,MATCH($C$1,Database!$A$1:$AS$1,0),FALSE))</f>
        <v/>
      </c>
      <c r="D393" s="76">
        <f>IF(VLOOKUP(A393,Database!$A:$AS,MATCH($D$1,Database!$A$1:$AS$1,0),FALSE)=0,#N/A,VLOOKUP(A393,Database!$A:$AS,MATCH($D$1,Database!$A$1:$AS$1,0),FALSE))</f>
        <v/>
      </c>
      <c r="E393" s="76">
        <f>IF(VLOOKUP(A393,Database!$A:$AS,MATCH($E$1,Database!$A$1:$AS$1,0),FALSE)=0,#N/A,VLOOKUP(A393,Database!$A:$AS,MATCH($E$1,Database!$A$1:$AS$1,0),FALSE))</f>
        <v/>
      </c>
      <c r="F393" s="76">
        <f>IF(VLOOKUP(A393,Database!$A:$AS,MATCH($F$1,Database!$A$1:$AS$1,0),FALSE)=0,#N/A,VLOOKUP(A393,Database!$A:$AS,MATCH($F$1,Database!$A$1:$AS$1,0),FALSE))</f>
        <v/>
      </c>
      <c r="G393" s="76">
        <f>IF(VLOOKUP(A393,Database!$A:$AS,MATCH($G$1,Database!$A$1:$AS$1,0),FALSE)=0,#N/A,VLOOKUP(A393,Database!$A:$AS,MATCH($G$1,Database!$A$1:$AS$1,0),FALSE))</f>
        <v/>
      </c>
      <c r="H393" s="76">
        <f>(((Table134567891011121314151617343[[#This Row],[ITA]]-VLOOKUP($U$1,A:B,2,))/VLOOKUP($U$1,A:B,2,))*100)+100</f>
        <v/>
      </c>
      <c r="I393" s="76">
        <f>(((Table134567891011121314151617343[[#This Row],[FRA]]-VLOOKUP($U$1,A:C,3,))/VLOOKUP($U$1,A:C,3,))*100)+100</f>
        <v/>
      </c>
      <c r="J393" s="76">
        <f>(((Table134567891011121314151617343[[#This Row],[DEU]]-VLOOKUP($U$1,A:D,4,))/VLOOKUP($U$1,A:D,4,))*100)+100</f>
        <v/>
      </c>
      <c r="K393" s="76">
        <f>(((Table134567891011121314151617343[[#This Row],[ESP]]-VLOOKUP($U$1,A:E,5,))/VLOOKUP($U$1,A:E,5,))*100)+100</f>
        <v/>
      </c>
      <c r="L393" s="76">
        <f>(((Table134567891011121314151617343[[#This Row],[EA19]]-VLOOKUP($U$1,A:F,6,))/VLOOKUP($U$1,A:F,6,))*100)+100</f>
        <v/>
      </c>
      <c r="M393" s="76">
        <f>(((Table134567891011121314151617343[[#This Row],[GBR]]-VLOOKUP($U$1,A:G,7,))/VLOOKUP($U$1,A:G,7,))*100)+100</f>
        <v/>
      </c>
      <c r="N393" s="76">
        <f>IF(VLOOKUP(A393,Database!$A:$AU,MATCH($N$1,Database!$A$1:$AU$1,0),FALSE)=0,#N/A,VLOOKUP(A393,Database!$A:$AU,MATCH($N$1,Database!$A$1:$AU$1,0),FALSE))</f>
        <v/>
      </c>
      <c r="O393" s="76">
        <f>(((Table134567891011121314151617343[[#This Row],[USA]]-VLOOKUP($U$1,A:N,14,))/VLOOKUP($U$1,A:N,14,))*100)+100</f>
        <v/>
      </c>
      <c r="P393" s="76">
        <f>IF(VLOOKUP(A393,Database!$A:$AS,MATCH($P$1,Database!$A$1:$AS$1,0),FALSE)=0,#N/A,VLOOKUP(A393,Database!$A:$AS,MATCH($P$1,Database!$A$1:$AS$1,0),FALSE))</f>
        <v/>
      </c>
      <c r="Q393" s="76">
        <f>(((Table134567891011121314151617343[[#This Row],[JPN]]-VLOOKUP($U$1,A:Q,16,))/VLOOKUP($U$1,A:Q,16,))*100)+100</f>
        <v/>
      </c>
    </row>
    <row r="394" customFormat="1" s="86">
      <c r="A394" s="21" t="n">
        <v>44805</v>
      </c>
      <c r="B394" s="76">
        <f>IF(VLOOKUP(A394,Database!$A:$AS,MATCH($B$1,Database!$A$1:$AS$1,0),FALSE)=0,#N/A,VLOOKUP(A394,Database!$A:$AS,MATCH($B$1,Database!$A$1:$AS$1,0),FALSE))</f>
        <v/>
      </c>
      <c r="C394" s="76">
        <f>IF(VLOOKUP(A394,Database!$A:$AS,MATCH($C$1,Database!$A$1:$AS$1,0),FALSE)=0,#N/A,VLOOKUP(A394,Database!$A:$AS,MATCH($C$1,Database!$A$1:$AS$1,0),FALSE))</f>
        <v/>
      </c>
      <c r="D394" s="76">
        <f>IF(VLOOKUP(A394,Database!$A:$AS,MATCH($D$1,Database!$A$1:$AS$1,0),FALSE)=0,#N/A,VLOOKUP(A394,Database!$A:$AS,MATCH($D$1,Database!$A$1:$AS$1,0),FALSE))</f>
        <v/>
      </c>
      <c r="E394" s="76">
        <f>IF(VLOOKUP(A394,Database!$A:$AS,MATCH($E$1,Database!$A$1:$AS$1,0),FALSE)=0,#N/A,VLOOKUP(A394,Database!$A:$AS,MATCH($E$1,Database!$A$1:$AS$1,0),FALSE))</f>
        <v/>
      </c>
      <c r="F394" s="76">
        <f>IF(VLOOKUP(A394,Database!$A:$AS,MATCH($F$1,Database!$A$1:$AS$1,0),FALSE)=0,#N/A,VLOOKUP(A394,Database!$A:$AS,MATCH($F$1,Database!$A$1:$AS$1,0),FALSE))</f>
        <v/>
      </c>
      <c r="G394" s="76">
        <f>IF(VLOOKUP(A394,Database!$A:$AS,MATCH($G$1,Database!$A$1:$AS$1,0),FALSE)=0,#N/A,VLOOKUP(A394,Database!$A:$AS,MATCH($G$1,Database!$A$1:$AS$1,0),FALSE))</f>
        <v/>
      </c>
      <c r="H394" s="76">
        <f>(((Table134567891011121314151617343[[#This Row],[ITA]]-VLOOKUP($U$1,A:B,2,))/VLOOKUP($U$1,A:B,2,))*100)+100</f>
        <v/>
      </c>
      <c r="I394" s="76">
        <f>(((Table134567891011121314151617343[[#This Row],[FRA]]-VLOOKUP($U$1,A:C,3,))/VLOOKUP($U$1,A:C,3,))*100)+100</f>
        <v/>
      </c>
      <c r="J394" s="76">
        <f>(((Table134567891011121314151617343[[#This Row],[DEU]]-VLOOKUP($U$1,A:D,4,))/VLOOKUP($U$1,A:D,4,))*100)+100</f>
        <v/>
      </c>
      <c r="K394" s="76">
        <f>(((Table134567891011121314151617343[[#This Row],[ESP]]-VLOOKUP($U$1,A:E,5,))/VLOOKUP($U$1,A:E,5,))*100)+100</f>
        <v/>
      </c>
      <c r="L394" s="76">
        <f>(((Table134567891011121314151617343[[#This Row],[EA19]]-VLOOKUP($U$1,A:F,6,))/VLOOKUP($U$1,A:F,6,))*100)+100</f>
        <v/>
      </c>
      <c r="M394" s="76">
        <f>(((Table134567891011121314151617343[[#This Row],[GBR]]-VLOOKUP($U$1,A:G,7,))/VLOOKUP($U$1,A:G,7,))*100)+100</f>
        <v/>
      </c>
      <c r="N394" s="76">
        <f>IF(VLOOKUP(A394,Database!$A:$AU,MATCH($N$1,Database!$A$1:$AU$1,0),FALSE)=0,#N/A,VLOOKUP(A394,Database!$A:$AU,MATCH($N$1,Database!$A$1:$AU$1,0),FALSE))</f>
        <v/>
      </c>
      <c r="O394" s="76">
        <f>(((Table134567891011121314151617343[[#This Row],[USA]]-VLOOKUP($U$1,A:N,14,))/VLOOKUP($U$1,A:N,14,))*100)+100</f>
        <v/>
      </c>
      <c r="P394" s="76">
        <f>IF(VLOOKUP(A394,Database!$A:$AS,MATCH($P$1,Database!$A$1:$AS$1,0),FALSE)=0,#N/A,VLOOKUP(A394,Database!$A:$AS,MATCH($P$1,Database!$A$1:$AS$1,0),FALSE))</f>
        <v/>
      </c>
      <c r="Q394" s="76">
        <f>(((Table134567891011121314151617343[[#This Row],[JPN]]-VLOOKUP($U$1,A:Q,16,))/VLOOKUP($U$1,A:Q,16,))*100)+100</f>
        <v/>
      </c>
    </row>
    <row r="395" customFormat="1" s="86">
      <c r="A395" s="16" t="n"/>
      <c r="C395" s="35" t="n"/>
      <c r="D395" s="36" t="n"/>
    </row>
    <row r="396" customFormat="1" s="86">
      <c r="A396" s="16" t="n"/>
      <c r="C396" s="35" t="n"/>
      <c r="D396" s="36" t="n"/>
    </row>
    <row r="397" customFormat="1" s="86">
      <c r="A397" s="16" t="n"/>
      <c r="C397" s="35" t="n"/>
      <c r="D397" s="36" t="n"/>
    </row>
    <row r="398" customFormat="1" s="86">
      <c r="A398" s="16" t="n"/>
      <c r="C398" s="35" t="n"/>
      <c r="D398" s="36" t="n"/>
    </row>
    <row r="399" customFormat="1" s="86">
      <c r="A399" s="16" t="n"/>
      <c r="C399" s="35" t="n"/>
      <c r="D399" s="36" t="n"/>
    </row>
    <row r="400" customFormat="1" s="86">
      <c r="A400" s="16" t="n"/>
      <c r="C400" s="35" t="n"/>
      <c r="D400" s="36" t="n"/>
    </row>
    <row r="401" customFormat="1" s="86">
      <c r="A401" s="16" t="n"/>
      <c r="C401" s="35" t="n"/>
      <c r="D401" s="36" t="n"/>
    </row>
    <row r="402" customFormat="1" s="86">
      <c r="A402" s="16" t="n"/>
      <c r="C402" s="35" t="n"/>
      <c r="D402" s="36" t="n"/>
    </row>
    <row r="403" customFormat="1" s="86">
      <c r="A403" s="16" t="n"/>
      <c r="C403" s="35" t="n"/>
      <c r="D403" s="36" t="n"/>
    </row>
    <row r="404" customFormat="1" s="86">
      <c r="A404" s="16" t="n"/>
      <c r="C404" s="35" t="n"/>
      <c r="D404" s="36" t="n"/>
    </row>
    <row r="405" customFormat="1" s="86">
      <c r="A405" s="16" t="n"/>
      <c r="C405" s="35" t="n"/>
      <c r="D405" s="36" t="n"/>
    </row>
    <row r="406" customFormat="1" s="86">
      <c r="A406" s="16" t="n"/>
      <c r="C406" s="35" t="n"/>
      <c r="D406" s="36" t="n"/>
    </row>
    <row r="407" customFormat="1" s="86">
      <c r="A407" s="16" t="n"/>
      <c r="C407" s="35" t="n"/>
      <c r="D407" s="36" t="n"/>
    </row>
    <row r="408" customFormat="1" s="86">
      <c r="A408" s="16" t="n"/>
      <c r="C408" s="35" t="n"/>
      <c r="D408" s="36" t="n"/>
    </row>
    <row r="409" customFormat="1" s="86">
      <c r="A409" s="16" t="n"/>
      <c r="C409" s="35" t="n"/>
      <c r="D409" s="36" t="n"/>
    </row>
    <row r="410" customFormat="1" s="86">
      <c r="A410" s="16" t="n"/>
      <c r="C410" s="35" t="n"/>
      <c r="D410" s="36" t="n"/>
    </row>
    <row r="411" customFormat="1" s="86">
      <c r="A411" s="16" t="n"/>
      <c r="C411" s="35" t="n"/>
      <c r="D411" s="36" t="n"/>
    </row>
    <row r="412" customFormat="1" s="86">
      <c r="A412" s="16" t="n"/>
      <c r="C412" s="35" t="n"/>
      <c r="D412" s="36" t="n"/>
    </row>
    <row r="413" customFormat="1" s="86">
      <c r="A413" s="16" t="n"/>
      <c r="C413" s="35" t="n"/>
      <c r="D413" s="36" t="n"/>
    </row>
    <row r="414" customFormat="1" s="86">
      <c r="A414" s="16" t="n"/>
      <c r="C414" s="35" t="n"/>
      <c r="D414" s="36" t="n"/>
    </row>
    <row r="415" customFormat="1" s="86">
      <c r="A415" s="16" t="n"/>
      <c r="C415" s="35" t="n"/>
      <c r="D415" s="36" t="n"/>
    </row>
    <row r="416" customFormat="1" s="86">
      <c r="A416" s="16" t="n"/>
      <c r="C416" s="35" t="n"/>
      <c r="D416" s="36" t="n"/>
    </row>
    <row r="417" customFormat="1" s="86">
      <c r="A417" s="16" t="n"/>
      <c r="C417" s="35" t="n"/>
      <c r="D417" s="36" t="n"/>
    </row>
    <row r="418" customFormat="1" s="86">
      <c r="A418" s="16" t="n"/>
      <c r="C418" s="35" t="n"/>
      <c r="D418" s="36" t="n"/>
    </row>
    <row r="419" customFormat="1" s="86">
      <c r="A419" s="16" t="n"/>
      <c r="C419" s="35" t="n"/>
      <c r="D419" s="36" t="n"/>
    </row>
    <row r="420" customFormat="1" s="86">
      <c r="A420" s="16" t="n"/>
      <c r="C420" s="35" t="n"/>
      <c r="D420" s="36" t="n"/>
    </row>
    <row r="421" customFormat="1" s="86">
      <c r="A421" s="16" t="n"/>
      <c r="C421" s="35" t="n"/>
      <c r="D421" s="36" t="n"/>
    </row>
    <row r="422" customFormat="1" s="86">
      <c r="A422" s="16" t="n"/>
      <c r="C422" s="35" t="n"/>
      <c r="D422" s="36" t="n"/>
    </row>
    <row r="423" customFormat="1" s="86">
      <c r="A423" s="16" t="n"/>
      <c r="C423" s="35" t="n"/>
      <c r="D423" s="36" t="n"/>
    </row>
    <row r="424" customFormat="1" s="86">
      <c r="A424" s="16" t="n"/>
      <c r="C424" s="35" t="n"/>
      <c r="D424" s="36" t="n"/>
    </row>
    <row r="425" customFormat="1" s="86">
      <c r="A425" s="16" t="n"/>
      <c r="C425" s="35" t="n"/>
      <c r="D425" s="36" t="n"/>
    </row>
    <row r="426" customFormat="1" s="86">
      <c r="A426" s="16" t="n"/>
      <c r="C426" s="35" t="n"/>
      <c r="D426" s="36" t="n"/>
    </row>
    <row r="427" customFormat="1" s="86">
      <c r="A427" s="16" t="n"/>
      <c r="C427" s="35" t="n"/>
      <c r="D427" s="36" t="n"/>
    </row>
    <row r="428" customFormat="1" s="86">
      <c r="A428" s="16" t="n"/>
      <c r="C428" s="35" t="n"/>
      <c r="D428" s="36" t="n"/>
    </row>
    <row r="429" customFormat="1" s="86">
      <c r="A429" s="16" t="n"/>
      <c r="C429" s="35" t="n"/>
      <c r="D429" s="36" t="n"/>
    </row>
    <row r="430" customFormat="1" s="86">
      <c r="A430" s="16" t="n"/>
      <c r="C430" s="35" t="n"/>
      <c r="D430" s="36" t="n"/>
    </row>
    <row r="431" customFormat="1" s="86">
      <c r="A431" s="16" t="n"/>
      <c r="C431" s="35" t="n"/>
      <c r="D431" s="36" t="n"/>
    </row>
    <row r="432" customFormat="1" s="86">
      <c r="A432" s="16" t="n"/>
      <c r="C432" s="35" t="n"/>
      <c r="D432" s="36" t="n"/>
    </row>
    <row r="433" customFormat="1" s="86">
      <c r="A433" s="16" t="n"/>
      <c r="C433" s="35" t="n"/>
      <c r="D433" s="36" t="n"/>
    </row>
    <row r="434" customFormat="1" s="86">
      <c r="A434" s="16" t="n"/>
      <c r="C434" s="35" t="n"/>
      <c r="D434" s="36" t="n"/>
    </row>
    <row r="435" customFormat="1" s="86">
      <c r="A435" s="16" t="n"/>
      <c r="C435" s="35" t="n"/>
      <c r="D435" s="36" t="n"/>
    </row>
    <row r="436" customFormat="1" s="86">
      <c r="A436" s="16" t="n"/>
      <c r="C436" s="35" t="n"/>
      <c r="D436" s="36" t="n"/>
    </row>
    <row r="437" customFormat="1" s="86">
      <c r="A437" s="16" t="n"/>
      <c r="C437" s="35" t="n"/>
      <c r="D437" s="36" t="n"/>
    </row>
    <row r="438" customFormat="1" s="86">
      <c r="A438" s="16" t="n"/>
      <c r="C438" s="35" t="n"/>
      <c r="D438" s="36" t="n"/>
    </row>
    <row r="439" customFormat="1" s="86">
      <c r="A439" s="16" t="n"/>
      <c r="C439" s="35" t="n"/>
      <c r="D439" s="36" t="n"/>
    </row>
    <row r="440" customFormat="1" s="86">
      <c r="A440" s="16" t="n"/>
      <c r="C440" s="35" t="n"/>
      <c r="D440" s="36" t="n"/>
    </row>
    <row r="441" customFormat="1" s="86">
      <c r="A441" s="16" t="n"/>
      <c r="C441" s="35" t="n"/>
      <c r="D441" s="36" t="n"/>
    </row>
    <row r="442" customFormat="1" s="86">
      <c r="A442" s="16" t="n"/>
      <c r="C442" s="35" t="n"/>
      <c r="D442" s="36" t="n"/>
    </row>
    <row r="443" customFormat="1" s="86">
      <c r="A443" s="16" t="n"/>
      <c r="C443" s="35" t="n"/>
      <c r="D443" s="36" t="n"/>
    </row>
    <row r="444" customFormat="1" s="86">
      <c r="A444" s="16" t="n"/>
      <c r="C444" s="35" t="n"/>
      <c r="D444" s="36" t="n"/>
    </row>
    <row r="445" customFormat="1" s="86">
      <c r="A445" s="16" t="n"/>
      <c r="C445" s="35" t="n"/>
      <c r="D445" s="36" t="n"/>
    </row>
    <row r="446" customFormat="1" s="86">
      <c r="A446" s="16" t="n"/>
      <c r="C446" s="35" t="n"/>
      <c r="D446" s="36" t="n"/>
    </row>
    <row r="447" customFormat="1" s="86">
      <c r="A447" s="16" t="n"/>
      <c r="C447" s="35" t="n"/>
      <c r="D447" s="36" t="n"/>
    </row>
    <row r="448" customFormat="1" s="86">
      <c r="A448" s="16" t="n"/>
      <c r="C448" s="35" t="n"/>
      <c r="D448" s="36" t="n"/>
    </row>
    <row r="449" customFormat="1" s="86">
      <c r="A449" s="16" t="n"/>
      <c r="C449" s="35" t="n"/>
      <c r="D449" s="36" t="n"/>
    </row>
    <row r="450" customFormat="1" s="86">
      <c r="A450" s="16" t="n"/>
      <c r="C450" s="35" t="n"/>
      <c r="D450" s="36" t="n"/>
    </row>
    <row r="451" customFormat="1" s="86">
      <c r="A451" s="16" t="n"/>
      <c r="C451" s="35" t="n"/>
      <c r="D451" s="36" t="n"/>
    </row>
    <row r="452" customFormat="1" s="86">
      <c r="A452" s="16" t="n"/>
      <c r="C452" s="35" t="n"/>
      <c r="D452" s="36" t="n"/>
    </row>
    <row r="453" customFormat="1" s="86">
      <c r="A453" s="16" t="n"/>
      <c r="C453" s="35" t="n"/>
      <c r="D453" s="36" t="n"/>
    </row>
    <row r="454" customFormat="1" s="86">
      <c r="A454" s="16" t="n"/>
      <c r="C454" s="35" t="n"/>
      <c r="D454" s="36" t="n"/>
    </row>
    <row r="455" customFormat="1" s="86">
      <c r="A455" s="16" t="n"/>
      <c r="C455" s="35" t="n"/>
      <c r="D455" s="36" t="n"/>
    </row>
    <row r="456" customFormat="1" s="86">
      <c r="A456" s="16" t="n"/>
      <c r="C456" s="35" t="n"/>
      <c r="D456" s="36" t="n"/>
    </row>
    <row r="457" customFormat="1" s="86">
      <c r="A457" s="16" t="n"/>
      <c r="C457" s="35" t="n"/>
      <c r="D457" s="36" t="n"/>
    </row>
    <row r="458" customFormat="1" s="86">
      <c r="A458" s="16" t="n"/>
      <c r="C458" s="35" t="n"/>
      <c r="D458" s="36" t="n"/>
    </row>
    <row r="459" customFormat="1" s="86">
      <c r="A459" s="16" t="n"/>
      <c r="C459" s="35" t="n"/>
      <c r="D459" s="36" t="n"/>
    </row>
    <row r="460" customFormat="1" s="86">
      <c r="A460" s="16" t="n"/>
      <c r="C460" s="35" t="n"/>
      <c r="D460" s="36" t="n"/>
    </row>
    <row r="461" customFormat="1" s="86">
      <c r="A461" s="16" t="n"/>
      <c r="C461" s="35" t="n"/>
      <c r="D461" s="36" t="n"/>
    </row>
    <row r="462" customFormat="1" s="86">
      <c r="A462" s="16" t="n"/>
      <c r="C462" s="35" t="n"/>
      <c r="D462" s="36" t="n"/>
    </row>
    <row r="463" customFormat="1" s="86">
      <c r="A463" s="16" t="n"/>
      <c r="C463" s="35" t="n"/>
      <c r="D463" s="36" t="n"/>
    </row>
    <row r="464" customFormat="1" s="86">
      <c r="A464" s="16" t="n"/>
      <c r="C464" s="35" t="n"/>
      <c r="D464" s="36" t="n"/>
    </row>
    <row r="465" customFormat="1" s="86">
      <c r="A465" s="16" t="n"/>
      <c r="C465" s="35" t="n"/>
      <c r="D465" s="36" t="n"/>
    </row>
    <row r="466" customFormat="1" s="86">
      <c r="A466" s="16" t="n"/>
      <c r="C466" s="35" t="n"/>
      <c r="D466" s="36" t="n"/>
    </row>
    <row r="467" customFormat="1" s="86">
      <c r="A467" s="16" t="n"/>
      <c r="C467" s="35" t="n"/>
      <c r="D467" s="36" t="n"/>
    </row>
    <row r="468" customFormat="1" s="86">
      <c r="A468" s="16" t="n"/>
      <c r="C468" s="35" t="n"/>
      <c r="D468" s="36" t="n"/>
    </row>
    <row r="469" customFormat="1" s="86">
      <c r="A469" s="16" t="n"/>
      <c r="C469" s="35" t="n"/>
      <c r="D469" s="36" t="n"/>
    </row>
    <row r="470" customFormat="1" s="86">
      <c r="A470" s="16" t="n"/>
      <c r="C470" s="35" t="n"/>
      <c r="D470" s="36" t="n"/>
    </row>
    <row r="471" customFormat="1" s="86">
      <c r="A471" s="16" t="n"/>
      <c r="C471" s="35" t="n"/>
      <c r="D471" s="36" t="n"/>
    </row>
    <row r="472" customFormat="1" s="86">
      <c r="A472" s="16" t="n"/>
      <c r="C472" s="35" t="n"/>
      <c r="D472" s="36" t="n"/>
    </row>
    <row r="473" customFormat="1" s="86">
      <c r="A473" s="16" t="n"/>
      <c r="C473" s="35" t="n"/>
      <c r="D473" s="36" t="n"/>
    </row>
    <row r="474" customFormat="1" s="86">
      <c r="A474" s="16" t="n"/>
      <c r="C474" s="35" t="n"/>
      <c r="D474" s="36" t="n"/>
    </row>
    <row r="475" customFormat="1" s="86">
      <c r="A475" s="16" t="n"/>
      <c r="C475" s="35" t="n"/>
      <c r="D475" s="36" t="n"/>
    </row>
    <row r="476" customFormat="1" s="86">
      <c r="A476" s="16" t="n"/>
      <c r="C476" s="35" t="n"/>
      <c r="D476" s="36" t="n"/>
    </row>
    <row r="477" customFormat="1" s="86">
      <c r="A477" s="16" t="n"/>
      <c r="C477" s="35" t="n"/>
      <c r="D477" s="36" t="n"/>
    </row>
    <row r="478" customFormat="1" s="86">
      <c r="A478" s="16" t="n"/>
      <c r="C478" s="35" t="n"/>
      <c r="D478" s="36" t="n"/>
    </row>
    <row r="479" customFormat="1" s="86">
      <c r="A479" s="16" t="n"/>
      <c r="C479" s="35" t="n"/>
      <c r="D479" s="36" t="n"/>
    </row>
    <row r="480" customFormat="1" s="86">
      <c r="A480" s="16" t="n"/>
      <c r="C480" s="35" t="n"/>
      <c r="D480" s="36" t="n"/>
    </row>
    <row r="481" customFormat="1" s="86">
      <c r="A481" s="16" t="n"/>
      <c r="C481" s="35" t="n"/>
      <c r="D481" s="36" t="n"/>
    </row>
    <row r="482" customFormat="1" s="86">
      <c r="A482" s="16" t="n"/>
      <c r="C482" s="35" t="n"/>
      <c r="D482" s="36" t="n"/>
    </row>
    <row r="483" customFormat="1" s="86">
      <c r="A483" s="16" t="n"/>
      <c r="C483" s="35" t="n"/>
      <c r="D483" s="36" t="n"/>
    </row>
    <row r="484" customFormat="1" s="86">
      <c r="A484" s="16" t="n"/>
      <c r="C484" s="35" t="n"/>
      <c r="D484" s="36" t="n"/>
    </row>
    <row r="485" customFormat="1" s="86">
      <c r="A485" s="16" t="n"/>
      <c r="C485" s="35" t="n"/>
      <c r="D485" s="36" t="n"/>
    </row>
    <row r="486" customFormat="1" s="86">
      <c r="A486" s="16" t="n"/>
      <c r="C486" s="35" t="n"/>
      <c r="D486" s="36" t="n"/>
    </row>
    <row r="487" customFormat="1" s="86">
      <c r="A487" s="16" t="n"/>
      <c r="C487" s="35" t="n"/>
      <c r="D487" s="36" t="n"/>
    </row>
    <row r="488" customFormat="1" s="86">
      <c r="A488" s="16" t="n"/>
      <c r="C488" s="35" t="n"/>
      <c r="D488" s="36" t="n"/>
    </row>
    <row r="489" customFormat="1" s="86">
      <c r="A489" s="16" t="n"/>
      <c r="C489" s="35" t="n"/>
      <c r="D489" s="36" t="n"/>
    </row>
    <row r="490" customFormat="1" s="86">
      <c r="A490" s="16" t="n"/>
      <c r="C490" s="35" t="n"/>
      <c r="D490" s="36" t="n"/>
    </row>
    <row r="491" customFormat="1" s="86">
      <c r="A491" s="16" t="n"/>
      <c r="C491" s="35" t="n"/>
      <c r="D491" s="36" t="n"/>
    </row>
    <row r="492" customFormat="1" s="86">
      <c r="A492" s="16" t="n"/>
      <c r="C492" s="35" t="n"/>
      <c r="D492" s="36" t="n"/>
    </row>
    <row r="493" customFormat="1" s="86">
      <c r="A493" s="16" t="n"/>
      <c r="C493" s="35" t="n"/>
      <c r="D493" s="36" t="n"/>
    </row>
    <row r="494" customFormat="1" s="86">
      <c r="A494" s="16" t="n"/>
      <c r="C494" s="35" t="n"/>
      <c r="D494" s="36" t="n"/>
    </row>
    <row r="495" customFormat="1" s="86">
      <c r="A495" s="16" t="n"/>
      <c r="C495" s="35" t="n"/>
      <c r="D495" s="36" t="n"/>
    </row>
    <row r="496" customFormat="1" s="86">
      <c r="A496" s="16" t="n"/>
      <c r="C496" s="35" t="n"/>
      <c r="D496" s="36" t="n"/>
    </row>
    <row r="497" customFormat="1" s="86">
      <c r="A497" s="16" t="n"/>
      <c r="C497" s="35" t="n"/>
      <c r="D497" s="36" t="n"/>
    </row>
    <row r="498" customFormat="1" s="86">
      <c r="A498" s="16" t="n"/>
      <c r="C498" s="35" t="n"/>
      <c r="D498" s="36" t="n"/>
    </row>
    <row r="499" customFormat="1" s="86">
      <c r="A499" s="16" t="n"/>
      <c r="C499" s="35" t="n"/>
      <c r="D499" s="36" t="n"/>
    </row>
    <row r="500" customFormat="1" s="86">
      <c r="A500" s="16" t="n"/>
      <c r="C500" s="35" t="n"/>
      <c r="D500" s="36" t="n"/>
    </row>
    <row r="501" customFormat="1" s="86">
      <c r="A501" s="16" t="n"/>
      <c r="C501" s="35" t="n"/>
      <c r="D501" s="36" t="n"/>
    </row>
    <row r="502" customFormat="1" s="86">
      <c r="A502" s="16" t="n"/>
      <c r="C502" s="35" t="n"/>
      <c r="D502" s="36" t="n"/>
    </row>
    <row r="503" customFormat="1" s="86">
      <c r="A503" s="16" t="n"/>
      <c r="C503" s="35" t="n"/>
      <c r="D503" s="36" t="n"/>
    </row>
    <row r="504" customFormat="1" s="86">
      <c r="A504" s="16" t="n"/>
      <c r="C504" s="35" t="n"/>
      <c r="D504" s="36" t="n"/>
    </row>
    <row r="505" customFormat="1" s="86">
      <c r="A505" s="16" t="n"/>
      <c r="C505" s="35" t="n"/>
      <c r="D505" s="36" t="n"/>
    </row>
    <row r="506" customFormat="1" s="86">
      <c r="A506" s="16" t="n"/>
      <c r="C506" s="35" t="n"/>
      <c r="D506" s="36" t="n"/>
    </row>
    <row r="507" customFormat="1" s="86">
      <c r="A507" s="16" t="n"/>
      <c r="C507" s="35" t="n"/>
      <c r="D507" s="36" t="n"/>
    </row>
    <row r="508" customFormat="1" s="86">
      <c r="A508" s="16" t="n"/>
      <c r="C508" s="35" t="n"/>
      <c r="D508" s="36" t="n"/>
    </row>
    <row r="509" customFormat="1" s="86">
      <c r="A509" s="16" t="n"/>
      <c r="C509" s="35" t="n"/>
      <c r="D509" s="36" t="n"/>
    </row>
    <row r="510" customFormat="1" s="86">
      <c r="A510" s="16" t="n"/>
      <c r="C510" s="35" t="n"/>
      <c r="D510" s="36" t="n"/>
    </row>
    <row r="511" customFormat="1" s="86">
      <c r="A511" s="16" t="n"/>
      <c r="C511" s="35" t="n"/>
      <c r="D511" s="36" t="n"/>
    </row>
    <row r="512" customFormat="1" s="86">
      <c r="A512" s="16" t="n"/>
      <c r="C512" s="35" t="n"/>
      <c r="D512" s="36" t="n"/>
    </row>
    <row r="513" customFormat="1" s="86">
      <c r="A513" s="16" t="n"/>
      <c r="C513" s="35" t="n"/>
      <c r="D513" s="36" t="n"/>
    </row>
    <row r="514" customFormat="1" s="86">
      <c r="A514" s="16" t="n"/>
      <c r="C514" s="35" t="n"/>
      <c r="D514" s="36" t="n"/>
    </row>
    <row r="515" customFormat="1" s="86">
      <c r="A515" s="16" t="n"/>
      <c r="C515" s="35" t="n"/>
      <c r="D515" s="36" t="n"/>
    </row>
    <row r="516" customFormat="1" s="86">
      <c r="A516" s="16" t="n"/>
      <c r="C516" s="35" t="n"/>
      <c r="D516" s="36" t="n"/>
    </row>
    <row r="517" customFormat="1" s="86">
      <c r="A517" s="16" t="n"/>
      <c r="C517" s="35" t="n"/>
      <c r="D517" s="36" t="n"/>
    </row>
    <row r="518" customFormat="1" s="86">
      <c r="A518" s="16" t="n"/>
      <c r="C518" s="35" t="n"/>
      <c r="D518" s="36" t="n"/>
    </row>
    <row r="519" customFormat="1" s="86">
      <c r="A519" s="16" t="n"/>
      <c r="C519" s="35" t="n"/>
      <c r="D519" s="36" t="n"/>
    </row>
    <row r="520" customFormat="1" s="86">
      <c r="A520" s="16" t="n"/>
      <c r="C520" s="35" t="n"/>
      <c r="D520" s="36" t="n"/>
    </row>
    <row r="521" customFormat="1" s="86">
      <c r="A521" s="16" t="n"/>
      <c r="C521" s="35" t="n"/>
      <c r="D521" s="36" t="n"/>
    </row>
    <row r="522" customFormat="1" s="86">
      <c r="A522" s="16" t="n"/>
      <c r="C522" s="35" t="n"/>
      <c r="D522" s="36" t="n"/>
    </row>
    <row r="523" customFormat="1" s="86">
      <c r="A523" s="16" t="n"/>
      <c r="C523" s="35" t="n"/>
      <c r="D523" s="36" t="n"/>
    </row>
    <row r="524" customFormat="1" s="86">
      <c r="A524" s="16" t="n"/>
      <c r="C524" s="35" t="n"/>
      <c r="D524" s="36" t="n"/>
    </row>
    <row r="525" customFormat="1" s="86">
      <c r="A525" s="16" t="n"/>
      <c r="C525" s="35" t="n"/>
      <c r="D525" s="36" t="n"/>
    </row>
    <row r="526" customFormat="1" s="86">
      <c r="A526" s="16" t="n"/>
      <c r="C526" s="35" t="n"/>
      <c r="D526" s="36" t="n"/>
    </row>
    <row r="527" customFormat="1" s="86">
      <c r="A527" s="16" t="n"/>
      <c r="C527" s="35" t="n"/>
      <c r="D527" s="36" t="n"/>
    </row>
    <row r="528" customFormat="1" s="86">
      <c r="A528" s="16" t="n"/>
      <c r="C528" s="35" t="n"/>
      <c r="D528" s="36" t="n"/>
    </row>
    <row r="529" customFormat="1" s="86">
      <c r="A529" s="16" t="n"/>
      <c r="C529" s="35" t="n"/>
      <c r="D529" s="36" t="n"/>
    </row>
    <row r="530" customFormat="1" s="86">
      <c r="A530" s="16" t="n"/>
      <c r="C530" s="35" t="n"/>
      <c r="D530" s="36" t="n"/>
    </row>
    <row r="531" customFormat="1" s="86">
      <c r="A531" s="16" t="n"/>
      <c r="C531" s="35" t="n"/>
      <c r="D531" s="36" t="n"/>
    </row>
    <row r="532" customFormat="1" s="86">
      <c r="A532" s="16" t="n"/>
      <c r="C532" s="35" t="n"/>
      <c r="D532" s="36" t="n"/>
    </row>
    <row r="533" customFormat="1" s="86">
      <c r="A533" s="16" t="n"/>
      <c r="C533" s="35" t="n"/>
      <c r="D533" s="36" t="n"/>
    </row>
    <row r="534" customFormat="1" s="86">
      <c r="A534" s="16" t="n"/>
      <c r="C534" s="35" t="n"/>
      <c r="D534" s="36" t="n"/>
    </row>
    <row r="535" customFormat="1" s="86">
      <c r="A535" s="16" t="n"/>
      <c r="C535" s="35" t="n"/>
      <c r="D535" s="36" t="n"/>
    </row>
    <row r="536" customFormat="1" s="86">
      <c r="A536" s="16" t="n"/>
      <c r="C536" s="35" t="n"/>
      <c r="D536" s="36" t="n"/>
    </row>
    <row r="537" customFormat="1" s="86">
      <c r="A537" s="16" t="n"/>
      <c r="C537" s="35" t="n"/>
      <c r="D537" s="36" t="n"/>
    </row>
    <row r="538" customFormat="1" s="86">
      <c r="A538" s="16" t="n"/>
      <c r="C538" s="35" t="n"/>
      <c r="D538" s="36" t="n"/>
    </row>
    <row r="539" customFormat="1" s="86">
      <c r="A539" s="16" t="n"/>
      <c r="C539" s="35" t="n"/>
      <c r="D539" s="36" t="n"/>
    </row>
    <row r="540" customFormat="1" s="86">
      <c r="A540" s="16" t="n"/>
      <c r="C540" s="35" t="n"/>
      <c r="D540" s="36" t="n"/>
    </row>
    <row r="541" customFormat="1" s="86">
      <c r="A541" s="16" t="n"/>
      <c r="C541" s="35" t="n"/>
      <c r="D541" s="36" t="n"/>
    </row>
    <row r="542" customFormat="1" s="86">
      <c r="A542" s="16" t="n"/>
      <c r="C542" s="35" t="n"/>
      <c r="D542" s="36" t="n"/>
    </row>
    <row r="543" customFormat="1" s="86">
      <c r="A543" s="16" t="n"/>
      <c r="C543" s="35" t="n"/>
      <c r="D543" s="36" t="n"/>
    </row>
    <row r="544" customFormat="1" s="86">
      <c r="A544" s="16" t="n"/>
      <c r="C544" s="35" t="n"/>
      <c r="D544" s="36" t="n"/>
    </row>
    <row r="545" customFormat="1" s="86">
      <c r="A545" s="16" t="n"/>
      <c r="C545" s="35" t="n"/>
      <c r="D545" s="36" t="n"/>
    </row>
    <row r="546" customFormat="1" s="86">
      <c r="A546" s="16" t="n"/>
      <c r="C546" s="35" t="n"/>
      <c r="D546" s="36" t="n"/>
    </row>
    <row r="547" customFormat="1" s="86">
      <c r="A547" s="16" t="n"/>
      <c r="C547" s="35" t="n"/>
      <c r="D547" s="36" t="n"/>
    </row>
    <row r="548" customFormat="1" s="86">
      <c r="A548" s="16" t="n"/>
      <c r="C548" s="35" t="n"/>
      <c r="D548" s="36" t="n"/>
    </row>
    <row r="549" customFormat="1" s="86">
      <c r="A549" s="16" t="n"/>
      <c r="C549" s="35" t="n"/>
      <c r="D549" s="36" t="n"/>
    </row>
    <row r="550" customFormat="1" s="86">
      <c r="A550" s="16" t="n"/>
      <c r="C550" s="35" t="n"/>
      <c r="D550" s="36" t="n"/>
    </row>
    <row r="551" customFormat="1" s="86">
      <c r="A551" s="16" t="n"/>
      <c r="C551" s="35" t="n"/>
      <c r="D551" s="36" t="n"/>
    </row>
    <row r="552" customFormat="1" s="86">
      <c r="A552" s="16" t="n"/>
      <c r="C552" s="35" t="n"/>
      <c r="D552" s="36" t="n"/>
    </row>
    <row r="553" customFormat="1" s="86">
      <c r="A553" s="16" t="n"/>
      <c r="C553" s="35" t="n"/>
      <c r="D553" s="36" t="n"/>
    </row>
    <row r="554" customFormat="1" s="86">
      <c r="A554" s="16" t="n"/>
      <c r="C554" s="35" t="n"/>
      <c r="D554" s="36" t="n"/>
    </row>
    <row r="555" customFormat="1" s="86">
      <c r="A555" s="16" t="n"/>
      <c r="C555" s="35" t="n"/>
      <c r="D555" s="36" t="n"/>
    </row>
    <row r="556" customFormat="1" s="86">
      <c r="A556" s="16" t="n"/>
      <c r="C556" s="35" t="n"/>
      <c r="D556" s="36" t="n"/>
    </row>
    <row r="557" customFormat="1" s="86">
      <c r="A557" s="16" t="n"/>
      <c r="C557" s="35" t="n"/>
      <c r="D557" s="36" t="n"/>
    </row>
    <row r="558" customFormat="1" s="86">
      <c r="A558" s="16" t="n"/>
      <c r="C558" s="35" t="n"/>
      <c r="D558" s="36" t="n"/>
    </row>
    <row r="559" customFormat="1" s="86">
      <c r="A559" s="16" t="n"/>
      <c r="C559" s="35" t="n"/>
      <c r="D559" s="36" t="n"/>
    </row>
    <row r="560" customFormat="1" s="86">
      <c r="A560" s="16" t="n"/>
      <c r="C560" s="35" t="n"/>
      <c r="D560" s="36" t="n"/>
    </row>
    <row r="561" customFormat="1" s="86">
      <c r="A561" s="16" t="n"/>
      <c r="C561" s="35" t="n"/>
      <c r="D561" s="36" t="n"/>
    </row>
    <row r="562" customFormat="1" s="86">
      <c r="A562" s="16" t="n"/>
      <c r="C562" s="35" t="n"/>
      <c r="D562" s="36" t="n"/>
    </row>
    <row r="563" customFormat="1" s="86">
      <c r="A563" s="16" t="n"/>
      <c r="C563" s="35" t="n"/>
      <c r="D563" s="36" t="n"/>
    </row>
    <row r="564" customFormat="1" s="86">
      <c r="A564" s="16" t="n"/>
      <c r="C564" s="35" t="n"/>
      <c r="D564" s="36" t="n"/>
    </row>
    <row r="565" customFormat="1" s="86">
      <c r="A565" s="16" t="n"/>
      <c r="C565" s="35" t="n"/>
      <c r="D565" s="36" t="n"/>
    </row>
    <row r="566" customFormat="1" s="86">
      <c r="A566" s="16" t="n"/>
      <c r="C566" s="35" t="n"/>
      <c r="D566" s="36" t="n"/>
    </row>
    <row r="567" customFormat="1" s="86">
      <c r="A567" s="16" t="n"/>
      <c r="C567" s="35" t="n"/>
      <c r="D567" s="36" t="n"/>
    </row>
    <row r="568" customFormat="1" s="86">
      <c r="A568" s="16" t="n"/>
      <c r="C568" s="35" t="n"/>
      <c r="D568" s="36" t="n"/>
    </row>
    <row r="569" customFormat="1" s="86">
      <c r="A569" s="16" t="n"/>
      <c r="C569" s="35" t="n"/>
      <c r="D569" s="36" t="n"/>
    </row>
    <row r="570" customFormat="1" s="86">
      <c r="A570" s="16" t="n"/>
      <c r="C570" s="35" t="n"/>
      <c r="D570" s="36" t="n"/>
    </row>
    <row r="571" customFormat="1" s="86">
      <c r="A571" s="16" t="n"/>
      <c r="C571" s="35" t="n"/>
      <c r="D571" s="36" t="n"/>
    </row>
    <row r="572" customFormat="1" s="86">
      <c r="A572" s="16" t="n"/>
      <c r="C572" s="35" t="n"/>
      <c r="D572" s="36" t="n"/>
    </row>
    <row r="573" customFormat="1" s="86">
      <c r="A573" s="16" t="n"/>
      <c r="C573" s="35" t="n"/>
      <c r="D573" s="36" t="n"/>
    </row>
    <row r="574" customFormat="1" s="86">
      <c r="A574" s="16" t="n"/>
      <c r="C574" s="35" t="n"/>
      <c r="D574" s="36" t="n"/>
    </row>
    <row r="575" customFormat="1" s="86">
      <c r="A575" s="16" t="n"/>
      <c r="C575" s="35" t="n"/>
      <c r="D575" s="36" t="n"/>
    </row>
    <row r="576" customFormat="1" s="86">
      <c r="A576" s="16" t="n"/>
      <c r="C576" s="35" t="n"/>
      <c r="D576" s="36" t="n"/>
    </row>
    <row r="577" customFormat="1" s="86">
      <c r="A577" s="16" t="n"/>
      <c r="C577" s="35" t="n"/>
      <c r="D577" s="36" t="n"/>
    </row>
    <row r="578" customFormat="1" s="86">
      <c r="A578" s="16" t="n"/>
      <c r="C578" s="35" t="n"/>
      <c r="D578" s="36" t="n"/>
    </row>
    <row r="579" customFormat="1" s="86">
      <c r="A579" s="16" t="n"/>
      <c r="C579" s="35" t="n"/>
      <c r="D579" s="36" t="n"/>
    </row>
    <row r="580" customFormat="1" s="86">
      <c r="A580" s="16" t="n"/>
      <c r="C580" s="35" t="n"/>
      <c r="D580" s="36" t="n"/>
    </row>
    <row r="581" customFormat="1" s="86">
      <c r="A581" s="16" t="n"/>
      <c r="C581" s="35" t="n"/>
      <c r="D581" s="36" t="n"/>
    </row>
    <row r="582" customFormat="1" s="86">
      <c r="A582" s="16" t="n"/>
      <c r="C582" s="35" t="n"/>
      <c r="D582" s="36" t="n"/>
    </row>
    <row r="583" customFormat="1" s="86">
      <c r="A583" s="16" t="n"/>
      <c r="C583" s="35" t="n"/>
      <c r="D583" s="36" t="n"/>
    </row>
    <row r="584" customFormat="1" s="86">
      <c r="A584" s="16" t="n"/>
      <c r="C584" s="35" t="n"/>
      <c r="D584" s="36" t="n"/>
    </row>
    <row r="585" customFormat="1" s="86">
      <c r="A585" s="16" t="n"/>
      <c r="C585" s="35" t="n"/>
      <c r="D585" s="36" t="n"/>
    </row>
    <row r="586" customFormat="1" s="86">
      <c r="A586" s="16" t="n"/>
      <c r="C586" s="35" t="n"/>
      <c r="D586" s="36" t="n"/>
    </row>
    <row r="587" customFormat="1" s="86">
      <c r="A587" s="16" t="n"/>
      <c r="C587" s="35" t="n"/>
      <c r="D587" s="36" t="n"/>
    </row>
    <row r="588" customFormat="1" s="86">
      <c r="A588" s="16" t="n"/>
      <c r="C588" s="35" t="n"/>
      <c r="D588" s="36" t="n"/>
    </row>
    <row r="589" customFormat="1" s="86">
      <c r="A589" s="16" t="n"/>
      <c r="C589" s="35" t="n"/>
      <c r="D589" s="36" t="n"/>
    </row>
    <row r="590" customFormat="1" s="86">
      <c r="A590" s="16" t="n"/>
      <c r="C590" s="35" t="n"/>
      <c r="D590" s="36" t="n"/>
    </row>
    <row r="591" customFormat="1" s="86">
      <c r="A591" s="16" t="n"/>
      <c r="C591" s="35" t="n"/>
      <c r="D591" s="36" t="n"/>
    </row>
    <row r="592" customFormat="1" s="86">
      <c r="A592" s="16" t="n"/>
      <c r="C592" s="35" t="n"/>
      <c r="D592" s="36" t="n"/>
    </row>
    <row r="593" customFormat="1" s="86">
      <c r="A593" s="16" t="n"/>
      <c r="C593" s="35" t="n"/>
      <c r="D593" s="36" t="n"/>
    </row>
    <row r="594" customFormat="1" s="86">
      <c r="A594" s="16" t="n"/>
      <c r="C594" s="35" t="n"/>
      <c r="D594" s="36" t="n"/>
    </row>
    <row r="595" customFormat="1" s="86">
      <c r="A595" s="16" t="n"/>
      <c r="C595" s="35" t="n"/>
      <c r="D595" s="36" t="n"/>
    </row>
    <row r="596" customFormat="1" s="86">
      <c r="A596" s="16" t="n"/>
      <c r="C596" s="35" t="n"/>
      <c r="D596" s="36" t="n"/>
    </row>
    <row r="597" customFormat="1" s="86">
      <c r="A597" s="16" t="n"/>
      <c r="C597" s="35" t="n"/>
      <c r="D597" s="36" t="n"/>
    </row>
    <row r="598" customFormat="1" s="86">
      <c r="A598" s="16" t="n"/>
      <c r="C598" s="35" t="n"/>
      <c r="D598" s="36" t="n"/>
    </row>
    <row r="599" customFormat="1" s="86">
      <c r="A599" s="16" t="n"/>
      <c r="C599" s="35" t="n"/>
      <c r="D599" s="36" t="n"/>
    </row>
    <row r="600" customFormat="1" s="86">
      <c r="A600" s="16" t="n"/>
      <c r="C600" s="35" t="n"/>
      <c r="D600" s="36" t="n"/>
    </row>
    <row r="601" customFormat="1" s="86">
      <c r="A601" s="16" t="n"/>
      <c r="C601" s="35" t="n"/>
      <c r="D601" s="36" t="n"/>
    </row>
    <row r="602" customFormat="1" s="86">
      <c r="A602" s="16" t="n"/>
      <c r="C602" s="35" t="n"/>
      <c r="D602" s="36" t="n"/>
    </row>
    <row r="603" customFormat="1" s="86">
      <c r="A603" s="16" t="n"/>
      <c r="C603" s="35" t="n"/>
      <c r="D603" s="36" t="n"/>
    </row>
    <row r="604" customFormat="1" s="86">
      <c r="A604" s="16" t="n"/>
      <c r="C604" s="35" t="n"/>
      <c r="D604" s="36" t="n"/>
    </row>
    <row r="605" customFormat="1" s="86">
      <c r="A605" s="16" t="n"/>
      <c r="C605" s="35" t="n"/>
      <c r="D605" s="36" t="n"/>
    </row>
    <row r="606" customFormat="1" s="86">
      <c r="A606" s="16" t="n"/>
      <c r="C606" s="35" t="n"/>
      <c r="D606" s="36" t="n"/>
    </row>
    <row r="607" customFormat="1" s="86">
      <c r="A607" s="16" t="n"/>
      <c r="C607" s="35" t="n"/>
      <c r="D607" s="36" t="n"/>
    </row>
    <row r="608" customFormat="1" s="86">
      <c r="A608" s="16" t="n"/>
      <c r="C608" s="35" t="n"/>
      <c r="D608" s="36" t="n"/>
    </row>
    <row r="609" customFormat="1" s="86">
      <c r="A609" s="16" t="n"/>
      <c r="C609" s="35" t="n"/>
      <c r="D609" s="36" t="n"/>
    </row>
    <row r="610" customFormat="1" s="86">
      <c r="A610" s="16" t="n"/>
      <c r="C610" s="35" t="n"/>
      <c r="D610" s="36" t="n"/>
    </row>
    <row r="611" customFormat="1" s="86">
      <c r="A611" s="16" t="n"/>
      <c r="C611" s="35" t="n"/>
      <c r="D611" s="36" t="n"/>
    </row>
    <row r="612" customFormat="1" s="86">
      <c r="A612" s="16" t="n"/>
      <c r="C612" s="35" t="n"/>
      <c r="D612" s="36" t="n"/>
    </row>
    <row r="613" customFormat="1" s="86">
      <c r="A613" s="16" t="n"/>
      <c r="C613" s="35" t="n"/>
      <c r="D613" s="36" t="n"/>
    </row>
    <row r="614" customFormat="1" s="86">
      <c r="A614" s="16" t="n"/>
      <c r="C614" s="35" t="n"/>
      <c r="D614" s="36" t="n"/>
    </row>
    <row r="615" customFormat="1" s="86">
      <c r="A615" s="16" t="n"/>
      <c r="C615" s="35" t="n"/>
      <c r="D615" s="36" t="n"/>
    </row>
    <row r="616" customFormat="1" s="86">
      <c r="A616" s="16" t="n"/>
      <c r="C616" s="35" t="n"/>
      <c r="D616" s="36" t="n"/>
    </row>
    <row r="617" customFormat="1" s="86">
      <c r="A617" s="16" t="n"/>
      <c r="C617" s="35" t="n"/>
      <c r="D617" s="36" t="n"/>
    </row>
    <row r="618" customFormat="1" s="86">
      <c r="A618" s="16" t="n"/>
      <c r="C618" s="35" t="n"/>
      <c r="D618" s="36" t="n"/>
    </row>
    <row r="619" customFormat="1" s="86">
      <c r="A619" s="16" t="n"/>
      <c r="C619" s="35" t="n"/>
      <c r="D619" s="36" t="n"/>
    </row>
    <row r="620" customFormat="1" s="86">
      <c r="A620" s="16" t="n"/>
      <c r="C620" s="35" t="n"/>
      <c r="D620" s="36" t="n"/>
    </row>
    <row r="621" customFormat="1" s="86">
      <c r="A621" s="16" t="n"/>
      <c r="C621" s="35" t="n"/>
      <c r="D621" s="36" t="n"/>
    </row>
    <row r="622" customFormat="1" s="86">
      <c r="A622" s="16" t="n"/>
      <c r="C622" s="35" t="n"/>
      <c r="D622" s="36" t="n"/>
    </row>
    <row r="623" customFormat="1" s="86">
      <c r="A623" s="16" t="n"/>
      <c r="C623" s="35" t="n"/>
      <c r="D623" s="36" t="n"/>
    </row>
    <row r="624" customFormat="1" s="86">
      <c r="A624" s="16" t="n"/>
      <c r="C624" s="35" t="n"/>
      <c r="D624" s="36" t="n"/>
    </row>
    <row r="625" customFormat="1" s="86">
      <c r="A625" s="16" t="n"/>
      <c r="C625" s="35" t="n"/>
      <c r="D625" s="36" t="n"/>
    </row>
    <row r="626" customFormat="1" s="86">
      <c r="A626" s="16" t="n"/>
      <c r="C626" s="35" t="n"/>
      <c r="D626" s="36" t="n"/>
    </row>
    <row r="627" customFormat="1" s="86">
      <c r="A627" s="16" t="n"/>
      <c r="C627" s="35" t="n"/>
      <c r="D627" s="36" t="n"/>
    </row>
    <row r="628" customFormat="1" s="86">
      <c r="A628" s="16" t="n"/>
      <c r="C628" s="35" t="n"/>
      <c r="D628" s="36" t="n"/>
    </row>
    <row r="629" customFormat="1" s="86">
      <c r="A629" s="16" t="n"/>
      <c r="C629" s="35" t="n"/>
      <c r="D629" s="36" t="n"/>
    </row>
    <row r="630" customFormat="1" s="86">
      <c r="A630" s="16" t="n"/>
      <c r="C630" s="35" t="n"/>
      <c r="D630" s="36" t="n"/>
    </row>
    <row r="631" customFormat="1" s="86">
      <c r="A631" s="16" t="n"/>
      <c r="C631" s="35" t="n"/>
      <c r="D631" s="36" t="n"/>
    </row>
    <row r="632" customFormat="1" s="86">
      <c r="A632" s="16" t="n"/>
      <c r="C632" s="35" t="n"/>
      <c r="D632" s="36" t="n"/>
    </row>
    <row r="633" customFormat="1" s="86">
      <c r="A633" s="16" t="n"/>
      <c r="C633" s="35" t="n"/>
      <c r="D633" s="36" t="n"/>
    </row>
    <row r="634" customFormat="1" s="86">
      <c r="A634" s="16" t="n"/>
      <c r="C634" s="35" t="n"/>
      <c r="D634" s="36" t="n"/>
    </row>
    <row r="635" customFormat="1" s="86">
      <c r="A635" s="16" t="n"/>
      <c r="C635" s="35" t="n"/>
      <c r="D635" s="36" t="n"/>
    </row>
    <row r="636" customFormat="1" s="86">
      <c r="A636" s="16" t="n"/>
      <c r="C636" s="35" t="n"/>
      <c r="D636" s="36" t="n"/>
    </row>
    <row r="637" customFormat="1" s="86">
      <c r="A637" s="16" t="n"/>
      <c r="C637" s="35" t="n"/>
      <c r="D637" s="36" t="n"/>
    </row>
    <row r="638" customFormat="1" s="86">
      <c r="A638" s="16" t="n"/>
      <c r="C638" s="35" t="n"/>
      <c r="D638" s="36" t="n"/>
    </row>
    <row r="639" customFormat="1" s="86">
      <c r="A639" s="16" t="n"/>
      <c r="C639" s="35" t="n"/>
      <c r="D639" s="36" t="n"/>
    </row>
    <row r="640" customFormat="1" s="86">
      <c r="A640" s="16" t="n"/>
      <c r="C640" s="35" t="n"/>
      <c r="D640" s="36" t="n"/>
    </row>
    <row r="641" customFormat="1" s="86">
      <c r="A641" s="16" t="n"/>
      <c r="C641" s="35" t="n"/>
      <c r="D641" s="36" t="n"/>
    </row>
    <row r="642" customFormat="1" s="86">
      <c r="A642" s="16" t="n"/>
      <c r="C642" s="35" t="n"/>
      <c r="D642" s="36" t="n"/>
    </row>
    <row r="643" customFormat="1" s="86">
      <c r="A643" s="16" t="n"/>
      <c r="C643" s="35" t="n"/>
      <c r="D643" s="36" t="n"/>
    </row>
    <row r="644" customFormat="1" s="86">
      <c r="A644" s="16" t="n"/>
      <c r="C644" s="35" t="n"/>
      <c r="D644" s="36" t="n"/>
    </row>
    <row r="645" customFormat="1" s="86">
      <c r="A645" s="16" t="n"/>
      <c r="C645" s="35" t="n"/>
      <c r="D645" s="36" t="n"/>
    </row>
    <row r="646" customFormat="1" s="86">
      <c r="A646" s="16" t="n"/>
      <c r="C646" s="35" t="n"/>
      <c r="D646" s="36" t="n"/>
    </row>
    <row r="647" customFormat="1" s="86">
      <c r="A647" s="16" t="n"/>
      <c r="C647" s="35" t="n"/>
      <c r="D647" s="36" t="n"/>
    </row>
    <row r="648" customFormat="1" s="86">
      <c r="A648" s="16" t="n"/>
      <c r="C648" s="35" t="n"/>
      <c r="D648" s="36" t="n"/>
    </row>
    <row r="649" customFormat="1" s="86">
      <c r="A649" s="16" t="n"/>
      <c r="C649" s="35" t="n"/>
      <c r="D649" s="36" t="n"/>
    </row>
    <row r="650" customFormat="1" s="86">
      <c r="A650" s="16" t="n"/>
      <c r="C650" s="35" t="n"/>
      <c r="D650" s="36" t="n"/>
    </row>
    <row r="651" customFormat="1" s="86">
      <c r="A651" s="16" t="n"/>
      <c r="C651" s="35" t="n"/>
      <c r="D651" s="36" t="n"/>
    </row>
    <row r="652" customFormat="1" s="86">
      <c r="A652" s="16" t="n"/>
      <c r="C652" s="35" t="n"/>
      <c r="D652" s="36" t="n"/>
    </row>
    <row r="653" customFormat="1" s="86">
      <c r="A653" s="16" t="n"/>
      <c r="C653" s="35" t="n"/>
      <c r="D653" s="36" t="n"/>
    </row>
    <row r="654" customFormat="1" s="86">
      <c r="A654" s="16" t="n"/>
      <c r="C654" s="35" t="n"/>
      <c r="D654" s="36" t="n"/>
    </row>
    <row r="655" customFormat="1" s="86">
      <c r="A655" s="16" t="n"/>
      <c r="C655" s="35" t="n"/>
      <c r="D655" s="36" t="n"/>
    </row>
    <row r="656" customFormat="1" s="86">
      <c r="A656" s="16" t="n"/>
      <c r="C656" s="35" t="n"/>
      <c r="D656" s="36" t="n"/>
    </row>
    <row r="657" customFormat="1" s="86">
      <c r="A657" s="16" t="n"/>
      <c r="C657" s="35" t="n"/>
      <c r="D657" s="36" t="n"/>
    </row>
    <row r="658" customFormat="1" s="86">
      <c r="A658" s="16" t="n"/>
      <c r="C658" s="35" t="n"/>
      <c r="D658" s="36" t="n"/>
    </row>
    <row r="659" customFormat="1" s="86">
      <c r="A659" s="16" t="n"/>
      <c r="C659" s="35" t="n"/>
      <c r="D659" s="36" t="n"/>
    </row>
    <row r="660" customFormat="1" s="86">
      <c r="A660" s="16" t="n"/>
      <c r="C660" s="35" t="n"/>
      <c r="D660" s="36" t="n"/>
    </row>
    <row r="661" customFormat="1" s="86">
      <c r="A661" s="16" t="n"/>
      <c r="C661" s="35" t="n"/>
      <c r="D661" s="36" t="n"/>
    </row>
    <row r="662" customFormat="1" s="86">
      <c r="A662" s="16" t="n"/>
      <c r="C662" s="35" t="n"/>
      <c r="D662" s="36" t="n"/>
    </row>
    <row r="663" customFormat="1" s="86">
      <c r="A663" s="16" t="n"/>
      <c r="C663" s="35" t="n"/>
      <c r="D663" s="36" t="n"/>
    </row>
    <row r="664" customFormat="1" s="86">
      <c r="A664" s="16" t="n"/>
      <c r="C664" s="35" t="n"/>
      <c r="D664" s="36" t="n"/>
    </row>
    <row r="665" customFormat="1" s="86">
      <c r="A665" s="16" t="n"/>
      <c r="C665" s="35" t="n"/>
      <c r="D665" s="36" t="n"/>
    </row>
    <row r="666" customFormat="1" s="86">
      <c r="A666" s="16" t="n"/>
      <c r="C666" s="35" t="n"/>
      <c r="D666" s="36" t="n"/>
    </row>
    <row r="667" customFormat="1" s="86">
      <c r="A667" s="16" t="n"/>
      <c r="C667" s="35" t="n"/>
      <c r="D667" s="36" t="n"/>
    </row>
    <row r="668" customFormat="1" s="86">
      <c r="A668" s="16" t="n"/>
      <c r="C668" s="35" t="n"/>
      <c r="D668" s="36" t="n"/>
    </row>
    <row r="669" customFormat="1" s="86">
      <c r="A669" s="16" t="n"/>
      <c r="C669" s="35" t="n"/>
      <c r="D669" s="36" t="n"/>
    </row>
    <row r="670" customFormat="1" s="86">
      <c r="A670" s="16" t="n"/>
      <c r="C670" s="35" t="n"/>
      <c r="D670" s="36" t="n"/>
    </row>
    <row r="671" customFormat="1" s="86">
      <c r="A671" s="16" t="n"/>
      <c r="C671" s="35" t="n"/>
      <c r="D671" s="36" t="n"/>
    </row>
    <row r="672" customFormat="1" s="86">
      <c r="A672" s="16" t="n"/>
      <c r="C672" s="35" t="n"/>
      <c r="D672" s="36" t="n"/>
    </row>
    <row r="673" customFormat="1" s="86">
      <c r="A673" s="16" t="n"/>
      <c r="C673" s="35" t="n"/>
      <c r="D673" s="36" t="n"/>
    </row>
    <row r="674" customFormat="1" s="86">
      <c r="A674" s="16" t="n"/>
      <c r="C674" s="35" t="n"/>
      <c r="D674" s="36" t="n"/>
    </row>
    <row r="675" customFormat="1" s="86">
      <c r="A675" s="16" t="n"/>
      <c r="C675" s="35" t="n"/>
      <c r="D675" s="36" t="n"/>
    </row>
    <row r="676" customFormat="1" s="86">
      <c r="A676" s="16" t="n"/>
      <c r="C676" s="35" t="n"/>
      <c r="D676" s="36" t="n"/>
    </row>
    <row r="677" customFormat="1" s="86">
      <c r="A677" s="16" t="n"/>
      <c r="C677" s="35" t="n"/>
      <c r="D677" s="36" t="n"/>
    </row>
    <row r="678" customFormat="1" s="86">
      <c r="A678" s="16" t="n"/>
      <c r="C678" s="35" t="n"/>
      <c r="D678" s="36" t="n"/>
    </row>
    <row r="679" customFormat="1" s="86">
      <c r="A679" s="16" t="n"/>
      <c r="C679" s="35" t="n"/>
      <c r="D679" s="36" t="n"/>
    </row>
    <row r="680" customFormat="1" s="86">
      <c r="A680" s="16" t="n"/>
      <c r="C680" s="35" t="n"/>
      <c r="D680" s="36" t="n"/>
    </row>
    <row r="681" customFormat="1" s="86">
      <c r="A681" s="16" t="n"/>
      <c r="C681" s="35" t="n"/>
      <c r="D681" s="36" t="n"/>
    </row>
    <row r="682" customFormat="1" s="86">
      <c r="A682" s="16" t="n"/>
      <c r="C682" s="35" t="n"/>
      <c r="D682" s="36" t="n"/>
    </row>
    <row r="683" customFormat="1" s="86">
      <c r="A683" s="16" t="n"/>
      <c r="C683" s="35" t="n"/>
      <c r="D683" s="36" t="n"/>
    </row>
    <row r="684" customFormat="1" s="86">
      <c r="A684" s="16" t="n"/>
      <c r="C684" s="35" t="n"/>
      <c r="D684" s="36" t="n"/>
    </row>
    <row r="685" customFormat="1" s="86">
      <c r="A685" s="16" t="n"/>
      <c r="C685" s="35" t="n"/>
      <c r="D685" s="36" t="n"/>
    </row>
    <row r="686" customFormat="1" s="86">
      <c r="A686" s="16" t="n"/>
      <c r="C686" s="35" t="n"/>
      <c r="D686" s="36" t="n"/>
    </row>
    <row r="687" customFormat="1" s="86">
      <c r="A687" s="16" t="n"/>
      <c r="C687" s="35" t="n"/>
      <c r="D687" s="36" t="n"/>
    </row>
    <row r="688" customFormat="1" s="86">
      <c r="A688" s="16" t="n"/>
      <c r="C688" s="35" t="n"/>
      <c r="D688" s="36" t="n"/>
    </row>
    <row r="689" customFormat="1" s="86">
      <c r="A689" s="16" t="n"/>
      <c r="C689" s="35" t="n"/>
      <c r="D689" s="36" t="n"/>
    </row>
    <row r="690" customFormat="1" s="86">
      <c r="A690" s="16" t="n"/>
      <c r="C690" s="35" t="n"/>
      <c r="D690" s="36" t="n"/>
    </row>
    <row r="691" customFormat="1" s="86">
      <c r="A691" s="16" t="n"/>
      <c r="C691" s="35" t="n"/>
      <c r="D691" s="36" t="n"/>
    </row>
    <row r="692" customFormat="1" s="86">
      <c r="A692" s="16" t="n"/>
      <c r="C692" s="35" t="n"/>
      <c r="D692" s="36" t="n"/>
    </row>
    <row r="693" customFormat="1" s="86">
      <c r="A693" s="16" t="n"/>
      <c r="C693" s="35" t="n"/>
      <c r="D693" s="36" t="n"/>
    </row>
    <row r="694" customFormat="1" s="86">
      <c r="A694" s="16" t="n"/>
      <c r="C694" s="35" t="n"/>
      <c r="D694" s="36" t="n"/>
    </row>
    <row r="695" customFormat="1" s="86">
      <c r="A695" s="16" t="n"/>
      <c r="C695" s="35" t="n"/>
      <c r="D695" s="36" t="n"/>
    </row>
    <row r="696" customFormat="1" s="86">
      <c r="A696" s="16" t="n"/>
      <c r="C696" s="35" t="n"/>
      <c r="D696" s="36" t="n"/>
    </row>
    <row r="697" customFormat="1" s="86">
      <c r="A697" s="16" t="n"/>
      <c r="C697" s="35" t="n"/>
      <c r="D697" s="36" t="n"/>
    </row>
    <row r="698" customFormat="1" s="86">
      <c r="A698" s="16" t="n"/>
      <c r="C698" s="35" t="n"/>
      <c r="D698" s="36" t="n"/>
    </row>
    <row r="699" customFormat="1" s="86">
      <c r="A699" s="16" t="n"/>
      <c r="C699" s="35" t="n"/>
      <c r="D699" s="36" t="n"/>
    </row>
    <row r="700" customFormat="1" s="86">
      <c r="A700" s="16" t="n"/>
      <c r="C700" s="35" t="n"/>
      <c r="D700" s="36" t="n"/>
    </row>
    <row r="701" customFormat="1" s="86">
      <c r="A701" s="16" t="n"/>
      <c r="C701" s="35" t="n"/>
      <c r="D701" s="36" t="n"/>
    </row>
    <row r="702" customFormat="1" s="86">
      <c r="A702" s="16" t="n"/>
      <c r="C702" s="35" t="n"/>
      <c r="D702" s="36" t="n"/>
    </row>
    <row r="703" customFormat="1" s="86">
      <c r="A703" s="16" t="n"/>
      <c r="C703" s="35" t="n"/>
      <c r="D703" s="36" t="n"/>
    </row>
    <row r="704" customFormat="1" s="86">
      <c r="A704" s="16" t="n"/>
      <c r="C704" s="35" t="n"/>
      <c r="D704" s="36" t="n"/>
    </row>
    <row r="705" customFormat="1" s="86">
      <c r="A705" s="16" t="n"/>
      <c r="C705" s="35" t="n"/>
      <c r="D705" s="36" t="n"/>
    </row>
    <row r="706" customFormat="1" s="86">
      <c r="A706" s="16" t="n"/>
      <c r="C706" s="35" t="n"/>
      <c r="D706" s="36" t="n"/>
    </row>
    <row r="707" customFormat="1" s="86">
      <c r="A707" s="16" t="n"/>
      <c r="C707" s="35" t="n"/>
      <c r="D707" s="36" t="n"/>
    </row>
    <row r="708" customFormat="1" s="86">
      <c r="A708" s="16" t="n"/>
      <c r="C708" s="35" t="n"/>
      <c r="D708" s="36" t="n"/>
    </row>
    <row r="709" customFormat="1" s="86">
      <c r="A709" s="16" t="n"/>
      <c r="C709" s="35" t="n"/>
      <c r="D709" s="36" t="n"/>
    </row>
    <row r="710" customFormat="1" s="86">
      <c r="A710" s="16" t="n"/>
      <c r="C710" s="35" t="n"/>
      <c r="D710" s="36" t="n"/>
    </row>
    <row r="711" customFormat="1" s="86">
      <c r="A711" s="16" t="n"/>
      <c r="C711" s="35" t="n"/>
      <c r="D711" s="36" t="n"/>
    </row>
    <row r="712" customFormat="1" s="86">
      <c r="A712" s="16" t="n"/>
      <c r="C712" s="35" t="n"/>
      <c r="D712" s="36" t="n"/>
    </row>
    <row r="713" customFormat="1" s="86">
      <c r="A713" s="16" t="n"/>
      <c r="C713" s="35" t="n"/>
      <c r="D713" s="36" t="n"/>
    </row>
    <row r="714" customFormat="1" s="86">
      <c r="A714" s="16" t="n"/>
      <c r="C714" s="35" t="n"/>
      <c r="D714" s="36" t="n"/>
    </row>
    <row r="715" customFormat="1" s="86">
      <c r="A715" s="16" t="n"/>
      <c r="C715" s="35" t="n"/>
      <c r="D715" s="36" t="n"/>
    </row>
    <row r="716" customFormat="1" s="86">
      <c r="A716" s="16" t="n"/>
      <c r="C716" s="35" t="n"/>
      <c r="D716" s="36" t="n"/>
    </row>
    <row r="717" customFormat="1" s="86">
      <c r="A717" s="16" t="n"/>
      <c r="C717" s="35" t="n"/>
      <c r="D717" s="36" t="n"/>
    </row>
    <row r="718" customFormat="1" s="86">
      <c r="A718" s="16" t="n"/>
      <c r="C718" s="35" t="n"/>
      <c r="D718" s="36" t="n"/>
    </row>
    <row r="719" customFormat="1" s="86">
      <c r="A719" s="16" t="n"/>
      <c r="C719" s="35" t="n"/>
      <c r="D719" s="36" t="n"/>
    </row>
    <row r="720" customFormat="1" s="86">
      <c r="A720" s="16" t="n"/>
      <c r="C720" s="35" t="n"/>
      <c r="D720" s="36" t="n"/>
    </row>
    <row r="721" customFormat="1" s="86">
      <c r="A721" s="16" t="n"/>
      <c r="C721" s="35" t="n"/>
      <c r="D721" s="36" t="n"/>
    </row>
    <row r="722" customFormat="1" s="86">
      <c r="A722" s="16" t="n"/>
      <c r="C722" s="35" t="n"/>
      <c r="D722" s="36" t="n"/>
    </row>
    <row r="723" customFormat="1" s="86">
      <c r="A723" s="16" t="n"/>
      <c r="C723" s="35" t="n"/>
      <c r="D723" s="36" t="n"/>
    </row>
    <row r="724" customFormat="1" s="86">
      <c r="A724" s="16" t="n"/>
      <c r="C724" s="35" t="n"/>
      <c r="D724" s="36" t="n"/>
    </row>
    <row r="725" customFormat="1" s="86">
      <c r="A725" s="16" t="n"/>
      <c r="C725" s="35" t="n"/>
      <c r="D725" s="36" t="n"/>
    </row>
    <row r="726" customFormat="1" s="86">
      <c r="A726" s="16" t="n"/>
      <c r="C726" s="35" t="n"/>
      <c r="D726" s="36" t="n"/>
    </row>
    <row r="727" customFormat="1" s="86">
      <c r="A727" s="16" t="n"/>
      <c r="C727" s="35" t="n"/>
      <c r="D727" s="36" t="n"/>
    </row>
    <row r="728" customFormat="1" s="86">
      <c r="A728" s="16" t="n"/>
      <c r="C728" s="35" t="n"/>
      <c r="D728" s="36" t="n"/>
    </row>
    <row r="729" customFormat="1" s="86">
      <c r="A729" s="16" t="n"/>
      <c r="C729" s="35" t="n"/>
      <c r="D729" s="36" t="n"/>
    </row>
    <row r="730" customFormat="1" s="86">
      <c r="A730" s="16" t="n"/>
      <c r="C730" s="35" t="n"/>
      <c r="D730" s="36" t="n"/>
    </row>
    <row r="731" customFormat="1" s="86">
      <c r="A731" s="16" t="n"/>
      <c r="C731" s="35" t="n"/>
      <c r="D731" s="36" t="n"/>
    </row>
    <row r="732" customFormat="1" s="86">
      <c r="A732" s="16" t="n"/>
      <c r="C732" s="35" t="n"/>
      <c r="D732" s="36" t="n"/>
    </row>
    <row r="733" customFormat="1" s="86">
      <c r="A733" s="16" t="n"/>
      <c r="C733" s="35" t="n"/>
      <c r="D733" s="36" t="n"/>
    </row>
    <row r="734" customFormat="1" s="86">
      <c r="A734" s="16" t="n"/>
      <c r="C734" s="35" t="n"/>
      <c r="D734" s="36" t="n"/>
    </row>
    <row r="735" customFormat="1" s="86">
      <c r="A735" s="16" t="n"/>
      <c r="C735" s="35" t="n"/>
      <c r="D735" s="36" t="n"/>
    </row>
    <row r="736" customFormat="1" s="86">
      <c r="A736" s="16" t="n"/>
      <c r="C736" s="35" t="n"/>
      <c r="D736" s="36" t="n"/>
    </row>
    <row r="737" customFormat="1" s="86">
      <c r="A737" s="16" t="n"/>
      <c r="C737" s="35" t="n"/>
      <c r="D737" s="36" t="n"/>
    </row>
    <row r="738" customFormat="1" s="86">
      <c r="A738" s="16" t="n"/>
      <c r="C738" s="35" t="n"/>
      <c r="D738" s="36" t="n"/>
    </row>
    <row r="739" customFormat="1" s="86">
      <c r="A739" s="16" t="n"/>
      <c r="C739" s="35" t="n"/>
      <c r="D739" s="36" t="n"/>
    </row>
    <row r="740" customFormat="1" s="86">
      <c r="A740" s="16" t="n"/>
      <c r="C740" s="35" t="n"/>
      <c r="D740" s="36" t="n"/>
    </row>
    <row r="741" customFormat="1" s="86">
      <c r="A741" s="16" t="n"/>
      <c r="C741" s="35" t="n"/>
      <c r="D741" s="36" t="n"/>
    </row>
    <row r="742" customFormat="1" s="86">
      <c r="A742" s="16" t="n"/>
      <c r="C742" s="35" t="n"/>
      <c r="D742" s="36" t="n"/>
    </row>
    <row r="743" customFormat="1" s="86">
      <c r="A743" s="16" t="n"/>
      <c r="C743" s="35" t="n"/>
      <c r="D743" s="36" t="n"/>
    </row>
    <row r="744" customFormat="1" s="86">
      <c r="A744" s="16" t="n"/>
      <c r="C744" s="35" t="n"/>
      <c r="D744" s="36" t="n"/>
    </row>
    <row r="745" customFormat="1" s="86">
      <c r="A745" s="16" t="n"/>
      <c r="C745" s="35" t="n"/>
      <c r="D745" s="36" t="n"/>
    </row>
    <row r="746" customFormat="1" s="86">
      <c r="A746" s="16" t="n"/>
      <c r="C746" s="35" t="n"/>
      <c r="D746" s="36" t="n"/>
    </row>
    <row r="747" customFormat="1" s="86">
      <c r="A747" s="16" t="n"/>
      <c r="C747" s="35" t="n"/>
      <c r="D747" s="36" t="n"/>
    </row>
    <row r="748" customFormat="1" s="86">
      <c r="A748" s="16" t="n"/>
      <c r="C748" s="35" t="n"/>
      <c r="D748" s="36" t="n"/>
    </row>
    <row r="749" customFormat="1" s="86">
      <c r="A749" s="16" t="n"/>
      <c r="C749" s="35" t="n"/>
      <c r="D749" s="36" t="n"/>
    </row>
    <row r="750" customFormat="1" s="86">
      <c r="A750" s="16" t="n"/>
      <c r="C750" s="35" t="n"/>
      <c r="D750" s="36" t="n"/>
    </row>
    <row r="751" customFormat="1" s="86">
      <c r="A751" s="16" t="n"/>
      <c r="C751" s="35" t="n"/>
      <c r="D751" s="36" t="n"/>
    </row>
    <row r="752" customFormat="1" s="86">
      <c r="A752" s="16" t="n"/>
      <c r="C752" s="35" t="n"/>
      <c r="D752" s="36" t="n"/>
    </row>
    <row r="753" customFormat="1" s="86">
      <c r="A753" s="16" t="n"/>
      <c r="C753" s="35" t="n"/>
      <c r="D753" s="36" t="n"/>
    </row>
    <row r="754" customFormat="1" s="86">
      <c r="A754" s="16" t="n"/>
      <c r="C754" s="35" t="n"/>
      <c r="D754" s="36" t="n"/>
    </row>
    <row r="755" customFormat="1" s="86">
      <c r="A755" s="16" t="n"/>
      <c r="C755" s="35" t="n"/>
      <c r="D755" s="36" t="n"/>
    </row>
    <row r="756" customFormat="1" s="86">
      <c r="A756" s="16" t="n"/>
      <c r="C756" s="35" t="n"/>
      <c r="D756" s="36" t="n"/>
    </row>
    <row r="757" customFormat="1" s="86">
      <c r="A757" s="16" t="n"/>
      <c r="C757" s="35" t="n"/>
      <c r="D757" s="36" t="n"/>
    </row>
    <row r="758" customFormat="1" s="86">
      <c r="A758" s="16" t="n"/>
      <c r="C758" s="35" t="n"/>
      <c r="D758" s="36" t="n"/>
    </row>
    <row r="759" customFormat="1" s="86">
      <c r="A759" s="16" t="n"/>
      <c r="C759" s="35" t="n"/>
      <c r="D759" s="36" t="n"/>
    </row>
    <row r="760" customFormat="1" s="86">
      <c r="A760" s="16" t="n"/>
      <c r="C760" s="35" t="n"/>
      <c r="D760" s="36" t="n"/>
    </row>
    <row r="761" customFormat="1" s="86">
      <c r="A761" s="16" t="n"/>
      <c r="C761" s="35" t="n"/>
      <c r="D761" s="36" t="n"/>
    </row>
    <row r="762" customFormat="1" s="86">
      <c r="A762" s="16" t="n"/>
      <c r="C762" s="35" t="n"/>
      <c r="D762" s="36" t="n"/>
    </row>
    <row r="763" customFormat="1" s="86">
      <c r="A763" s="16" t="n"/>
      <c r="C763" s="35" t="n"/>
      <c r="D763" s="36" t="n"/>
    </row>
    <row r="764" customFormat="1" s="86">
      <c r="A764" s="16" t="n"/>
      <c r="C764" s="35" t="n"/>
      <c r="D764" s="36" t="n"/>
    </row>
    <row r="765" customFormat="1" s="86">
      <c r="A765" s="16" t="n"/>
      <c r="C765" s="35" t="n"/>
      <c r="D765" s="36" t="n"/>
    </row>
    <row r="766" customFormat="1" s="86">
      <c r="A766" s="16" t="n"/>
      <c r="C766" s="35" t="n"/>
      <c r="D766" s="36" t="n"/>
    </row>
    <row r="767" customFormat="1" s="86">
      <c r="A767" s="16" t="n"/>
      <c r="C767" s="35" t="n"/>
      <c r="D767" s="36" t="n"/>
    </row>
    <row r="768" customFormat="1" s="86">
      <c r="A768" s="16" t="n"/>
      <c r="C768" s="35" t="n"/>
      <c r="D768" s="36" t="n"/>
    </row>
    <row r="769" customFormat="1" s="86">
      <c r="A769" s="16" t="n"/>
      <c r="C769" s="35" t="n"/>
      <c r="D769" s="36" t="n"/>
    </row>
    <row r="770" customFormat="1" s="86">
      <c r="A770" s="16" t="n"/>
      <c r="C770" s="35" t="n"/>
      <c r="D770" s="36" t="n"/>
    </row>
    <row r="771" customFormat="1" s="86">
      <c r="A771" s="16" t="n"/>
      <c r="C771" s="35" t="n"/>
      <c r="D771" s="36" t="n"/>
    </row>
    <row r="772" customFormat="1" s="86">
      <c r="A772" s="16" t="n"/>
      <c r="C772" s="35" t="n"/>
      <c r="D772" s="36" t="n"/>
    </row>
    <row r="773" customFormat="1" s="86">
      <c r="A773" s="16" t="n"/>
      <c r="C773" s="35" t="n"/>
      <c r="D773" s="36" t="n"/>
    </row>
    <row r="774" customFormat="1" s="86">
      <c r="A774" s="16" t="n"/>
      <c r="C774" s="35" t="n"/>
      <c r="D774" s="36" t="n"/>
    </row>
    <row r="775" customFormat="1" s="86">
      <c r="A775" s="16" t="n"/>
      <c r="C775" s="35" t="n"/>
      <c r="D775" s="36" t="n"/>
    </row>
    <row r="776" customFormat="1" s="86">
      <c r="A776" s="16" t="n"/>
      <c r="C776" s="35" t="n"/>
      <c r="D776" s="36" t="n"/>
    </row>
    <row r="777" customFormat="1" s="86">
      <c r="A777" s="16" t="n"/>
      <c r="C777" s="35" t="n"/>
      <c r="D777" s="36" t="n"/>
    </row>
    <row r="778" customFormat="1" s="86">
      <c r="A778" s="16" t="n"/>
      <c r="C778" s="35" t="n"/>
      <c r="D778" s="36" t="n"/>
    </row>
    <row r="779" customFormat="1" s="86">
      <c r="A779" s="16" t="n"/>
      <c r="C779" s="35" t="n"/>
      <c r="D779" s="36" t="n"/>
    </row>
    <row r="780" customFormat="1" s="86">
      <c r="A780" s="16" t="n"/>
      <c r="C780" s="35" t="n"/>
      <c r="D780" s="36" t="n"/>
    </row>
    <row r="781" customFormat="1" s="86">
      <c r="A781" s="16" t="n"/>
      <c r="C781" s="35" t="n"/>
      <c r="D781" s="36" t="n"/>
    </row>
    <row r="782" customFormat="1" s="86">
      <c r="A782" s="16" t="n"/>
      <c r="C782" s="35" t="n"/>
      <c r="D782" s="36" t="n"/>
    </row>
    <row r="783" customFormat="1" s="86">
      <c r="A783" s="16" t="n"/>
      <c r="C783" s="35" t="n"/>
      <c r="D783" s="36" t="n"/>
    </row>
    <row r="784" customFormat="1" s="86">
      <c r="A784" s="16" t="n"/>
      <c r="C784" s="35" t="n"/>
      <c r="D784" s="36" t="n"/>
    </row>
    <row r="785" customFormat="1" s="86">
      <c r="A785" s="16" t="n"/>
      <c r="C785" s="35" t="n"/>
      <c r="D785" s="36" t="n"/>
    </row>
    <row r="786" customFormat="1" s="86">
      <c r="A786" s="16" t="n"/>
      <c r="C786" s="35" t="n"/>
      <c r="D786" s="36" t="n"/>
    </row>
    <row r="787" customFormat="1" s="86">
      <c r="A787" s="16" t="n"/>
      <c r="C787" s="35" t="n"/>
      <c r="D787" s="36" t="n"/>
    </row>
    <row r="788" customFormat="1" s="86">
      <c r="A788" s="16" t="n"/>
      <c r="C788" s="35" t="n"/>
      <c r="D788" s="36" t="n"/>
    </row>
    <row r="789" customFormat="1" s="86">
      <c r="A789" s="16" t="n"/>
      <c r="C789" s="35" t="n"/>
      <c r="D789" s="36" t="n"/>
    </row>
    <row r="790" customFormat="1" s="86">
      <c r="A790" s="16" t="n"/>
      <c r="C790" s="35" t="n"/>
      <c r="D790" s="36" t="n"/>
    </row>
    <row r="791" customFormat="1" s="86">
      <c r="A791" s="16" t="n"/>
      <c r="C791" s="35" t="n"/>
      <c r="D791" s="36" t="n"/>
    </row>
    <row r="792" customFormat="1" s="86">
      <c r="A792" s="16" t="n"/>
      <c r="C792" s="35" t="n"/>
      <c r="D792" s="36" t="n"/>
    </row>
    <row r="793" customFormat="1" s="86">
      <c r="A793" s="16" t="n"/>
      <c r="C793" s="35" t="n"/>
      <c r="D793" s="36" t="n"/>
    </row>
    <row r="794" customFormat="1" s="86">
      <c r="A794" s="16" t="n"/>
      <c r="C794" s="35" t="n"/>
      <c r="D794" s="36" t="n"/>
    </row>
    <row r="795" customFormat="1" s="86">
      <c r="A795" s="16" t="n"/>
      <c r="C795" s="35" t="n"/>
      <c r="D795" s="36" t="n"/>
    </row>
    <row r="796" customFormat="1" s="86">
      <c r="A796" s="16" t="n"/>
      <c r="C796" s="35" t="n"/>
      <c r="D796" s="36" t="n"/>
    </row>
    <row r="797" customFormat="1" s="86">
      <c r="A797" s="16" t="n"/>
      <c r="C797" s="35" t="n"/>
      <c r="D797" s="36" t="n"/>
    </row>
    <row r="798" customFormat="1" s="86">
      <c r="A798" s="16" t="n"/>
      <c r="C798" s="35" t="n"/>
      <c r="D798" s="36" t="n"/>
    </row>
    <row r="799" customFormat="1" s="86">
      <c r="A799" s="16" t="n"/>
      <c r="C799" s="35" t="n"/>
      <c r="D799" s="36" t="n"/>
    </row>
    <row r="800" customFormat="1" s="86">
      <c r="A800" s="16" t="n"/>
      <c r="C800" s="35" t="n"/>
      <c r="D800" s="36" t="n"/>
    </row>
    <row r="801" customFormat="1" s="86">
      <c r="A801" s="16" t="n"/>
      <c r="C801" s="35" t="n"/>
      <c r="D801" s="36" t="n"/>
    </row>
    <row r="802" customFormat="1" s="86">
      <c r="A802" s="16" t="n"/>
      <c r="C802" s="35" t="n"/>
      <c r="D802" s="36" t="n"/>
    </row>
    <row r="803" customFormat="1" s="86">
      <c r="A803" s="16" t="n"/>
      <c r="C803" s="35" t="n"/>
      <c r="D803" s="36" t="n"/>
    </row>
    <row r="804" customFormat="1" s="86">
      <c r="A804" s="16" t="n"/>
      <c r="C804" s="35" t="n"/>
      <c r="D804" s="36" t="n"/>
    </row>
    <row r="805" customFormat="1" s="86">
      <c r="A805" s="16" t="n"/>
      <c r="C805" s="35" t="n"/>
      <c r="D805" s="36" t="n"/>
    </row>
    <row r="806" customFormat="1" s="86">
      <c r="A806" s="16" t="n"/>
      <c r="C806" s="35" t="n"/>
      <c r="D806" s="36" t="n"/>
    </row>
    <row r="807" customFormat="1" s="86">
      <c r="A807" s="16" t="n"/>
      <c r="C807" s="35" t="n"/>
      <c r="D807" s="36" t="n"/>
    </row>
    <row r="808" customFormat="1" s="86">
      <c r="A808" s="16" t="n"/>
      <c r="C808" s="35" t="n"/>
      <c r="D808" s="36" t="n"/>
    </row>
    <row r="809" customFormat="1" s="86">
      <c r="A809" s="16" t="n"/>
      <c r="C809" s="35" t="n"/>
      <c r="D809" s="36" t="n"/>
    </row>
    <row r="810" customFormat="1" s="86">
      <c r="A810" s="16" t="n"/>
      <c r="C810" s="35" t="n"/>
      <c r="D810" s="36" t="n"/>
    </row>
    <row r="811" customFormat="1" s="86">
      <c r="A811" s="16" t="n"/>
      <c r="C811" s="35" t="n"/>
      <c r="D811" s="36" t="n"/>
    </row>
    <row r="812" customFormat="1" s="86">
      <c r="A812" s="16" t="n"/>
      <c r="C812" s="35" t="n"/>
      <c r="D812" s="36" t="n"/>
    </row>
    <row r="813" customFormat="1" s="86">
      <c r="A813" s="16" t="n"/>
      <c r="C813" s="35" t="n"/>
      <c r="D813" s="36" t="n"/>
    </row>
    <row r="814" customFormat="1" s="86">
      <c r="A814" s="16" t="n"/>
      <c r="C814" s="35" t="n"/>
      <c r="D814" s="36" t="n"/>
    </row>
    <row r="815" customFormat="1" s="86">
      <c r="A815" s="16" t="n"/>
      <c r="C815" s="35" t="n"/>
      <c r="D815" s="36" t="n"/>
    </row>
    <row r="816">
      <c r="A816" s="16" t="n"/>
      <c r="B816" s="86" t="n"/>
      <c r="C816" s="35" t="n"/>
      <c r="D816" s="36" t="n"/>
      <c r="E816" s="86" t="n"/>
      <c r="F816" s="86" t="n"/>
      <c r="G816" s="86" t="n"/>
      <c r="H816" s="86" t="n"/>
      <c r="I816" s="86" t="n"/>
      <c r="J816" s="86" t="n"/>
      <c r="K816" s="86" t="n"/>
      <c r="L816" s="86" t="n"/>
      <c r="M816" s="86" t="n"/>
      <c r="N816" s="86" t="n"/>
      <c r="O816" s="86" t="n"/>
      <c r="P816" s="86" t="n"/>
      <c r="Q816" s="86" t="n"/>
    </row>
    <row r="817">
      <c r="A817" s="16" t="n"/>
      <c r="B817" s="86" t="n"/>
      <c r="C817" s="35" t="n"/>
      <c r="D817" s="36" t="n"/>
      <c r="E817" s="86" t="n"/>
      <c r="F817" s="86" t="n"/>
      <c r="G817" s="86" t="n"/>
      <c r="H817" s="86" t="n"/>
      <c r="I817" s="86" t="n"/>
      <c r="J817" s="86" t="n"/>
      <c r="K817" s="86" t="n"/>
      <c r="L817" s="86" t="n"/>
      <c r="M817" s="86" t="n"/>
      <c r="N817" s="86" t="n"/>
      <c r="O817" s="86" t="n"/>
      <c r="P817" s="86" t="n"/>
      <c r="Q817" s="86" t="n"/>
    </row>
    <row r="818">
      <c r="A818" s="16" t="n"/>
      <c r="B818" s="86" t="n"/>
      <c r="C818" s="35" t="n"/>
      <c r="D818" s="36" t="n"/>
      <c r="E818" s="86" t="n"/>
      <c r="F818" s="86" t="n"/>
      <c r="G818" s="86" t="n"/>
      <c r="H818" s="86" t="n"/>
      <c r="I818" s="86" t="n"/>
      <c r="J818" s="86" t="n"/>
      <c r="K818" s="86" t="n"/>
      <c r="L818" s="86" t="n"/>
      <c r="M818" s="86" t="n"/>
      <c r="N818" s="86" t="n"/>
      <c r="O818" s="86" t="n"/>
      <c r="P818" s="86" t="n"/>
      <c r="Q818" s="86" t="n"/>
    </row>
    <row r="819">
      <c r="A819" s="16" t="n"/>
      <c r="B819" s="86" t="n"/>
      <c r="C819" s="35" t="n"/>
      <c r="D819" s="36" t="n"/>
      <c r="E819" s="86" t="n"/>
      <c r="F819" s="86" t="n"/>
      <c r="G819" s="86" t="n"/>
      <c r="H819" s="86" t="n"/>
      <c r="I819" s="86" t="n"/>
      <c r="J819" s="86" t="n"/>
      <c r="K819" s="86" t="n"/>
      <c r="L819" s="86" t="n"/>
      <c r="M819" s="86" t="n"/>
      <c r="N819" s="86" t="n"/>
      <c r="O819" s="86" t="n"/>
      <c r="P819" s="86" t="n"/>
      <c r="Q819" s="86" t="n"/>
    </row>
    <row r="820">
      <c r="A820" s="16" t="n"/>
      <c r="B820" s="86" t="n"/>
      <c r="C820" s="35" t="n"/>
      <c r="D820" s="36" t="n"/>
      <c r="E820" s="86" t="n"/>
      <c r="F820" s="86" t="n"/>
      <c r="G820" s="86" t="n"/>
      <c r="H820" s="86" t="n"/>
      <c r="I820" s="86" t="n"/>
      <c r="J820" s="86" t="n"/>
      <c r="K820" s="86" t="n"/>
      <c r="L820" s="86" t="n"/>
      <c r="M820" s="86" t="n"/>
      <c r="N820" s="86" t="n"/>
      <c r="O820" s="86" t="n"/>
      <c r="P820" s="86" t="n"/>
      <c r="Q820" s="86" t="n"/>
    </row>
    <row r="821">
      <c r="A821" s="16" t="n"/>
      <c r="B821" s="86" t="n"/>
      <c r="C821" s="35" t="n"/>
      <c r="D821" s="36" t="n"/>
      <c r="E821" s="86" t="n"/>
      <c r="F821" s="86" t="n"/>
      <c r="G821" s="86" t="n"/>
      <c r="H821" s="86" t="n"/>
      <c r="I821" s="86" t="n"/>
      <c r="J821" s="86" t="n"/>
      <c r="K821" s="86" t="n"/>
      <c r="L821" s="86" t="n"/>
      <c r="M821" s="86" t="n"/>
      <c r="N821" s="86" t="n"/>
      <c r="O821" s="86" t="n"/>
      <c r="P821" s="86" t="n"/>
      <c r="Q821" s="86" t="n"/>
    </row>
    <row r="822">
      <c r="A822" s="16" t="n"/>
      <c r="B822" s="86" t="n"/>
      <c r="C822" s="35" t="n"/>
      <c r="D822" s="36" t="n"/>
      <c r="E822" s="86" t="n"/>
      <c r="F822" s="86" t="n"/>
      <c r="G822" s="86" t="n"/>
      <c r="H822" s="86" t="n"/>
      <c r="I822" s="86" t="n"/>
      <c r="J822" s="86" t="n"/>
      <c r="K822" s="86" t="n"/>
      <c r="L822" s="86" t="n"/>
      <c r="M822" s="86" t="n"/>
      <c r="N822" s="86" t="n"/>
      <c r="O822" s="86" t="n"/>
      <c r="P822" s="86" t="n"/>
      <c r="Q822" s="86" t="n"/>
    </row>
    <row r="823">
      <c r="A823" s="16" t="n"/>
      <c r="B823" s="86" t="n"/>
      <c r="C823" s="35" t="n"/>
      <c r="D823" s="36" t="n"/>
      <c r="E823" s="86" t="n"/>
      <c r="F823" s="86" t="n"/>
      <c r="G823" s="86" t="n"/>
      <c r="H823" s="86" t="n"/>
      <c r="I823" s="86" t="n"/>
      <c r="J823" s="86" t="n"/>
      <c r="K823" s="86" t="n"/>
      <c r="L823" s="86" t="n"/>
      <c r="M823" s="86" t="n"/>
      <c r="N823" s="86" t="n"/>
      <c r="O823" s="86" t="n"/>
      <c r="P823" s="86" t="n"/>
      <c r="Q823" s="86" t="n"/>
    </row>
    <row r="824">
      <c r="A824" s="16" t="n"/>
      <c r="B824" s="86" t="n"/>
      <c r="C824" s="35" t="n"/>
      <c r="D824" s="36" t="n"/>
      <c r="E824" s="86" t="n"/>
      <c r="F824" s="86" t="n"/>
      <c r="G824" s="86" t="n"/>
      <c r="H824" s="86" t="n"/>
      <c r="I824" s="86" t="n"/>
      <c r="J824" s="86" t="n"/>
      <c r="K824" s="86" t="n"/>
      <c r="L824" s="86" t="n"/>
      <c r="M824" s="86" t="n"/>
      <c r="N824" s="86" t="n"/>
      <c r="O824" s="86" t="n"/>
      <c r="P824" s="86" t="n"/>
      <c r="Q824" s="86" t="n"/>
    </row>
    <row r="825">
      <c r="A825" s="16" t="n"/>
      <c r="B825" s="86" t="n"/>
      <c r="C825" s="35" t="n"/>
      <c r="D825" s="36" t="n"/>
      <c r="E825" s="86" t="n"/>
      <c r="F825" s="86" t="n"/>
      <c r="G825" s="86" t="n"/>
      <c r="H825" s="86" t="n"/>
      <c r="I825" s="86" t="n"/>
      <c r="J825" s="86" t="n"/>
      <c r="K825" s="86" t="n"/>
      <c r="L825" s="86" t="n"/>
      <c r="M825" s="86" t="n"/>
      <c r="N825" s="86" t="n"/>
      <c r="O825" s="86" t="n"/>
      <c r="P825" s="86" t="n"/>
      <c r="Q825" s="86" t="n"/>
    </row>
    <row r="826">
      <c r="A826" s="16" t="n"/>
      <c r="B826" s="86" t="n"/>
      <c r="C826" s="35" t="n"/>
      <c r="D826" s="36" t="n"/>
      <c r="E826" s="86" t="n"/>
      <c r="F826" s="86" t="n"/>
      <c r="G826" s="86" t="n"/>
      <c r="H826" s="86" t="n"/>
      <c r="I826" s="86" t="n"/>
      <c r="J826" s="86" t="n"/>
      <c r="K826" s="86" t="n"/>
      <c r="L826" s="86" t="n"/>
      <c r="M826" s="86" t="n"/>
      <c r="N826" s="86" t="n"/>
      <c r="O826" s="86" t="n"/>
      <c r="P826" s="86" t="n"/>
      <c r="Q826" s="86" t="n"/>
    </row>
    <row r="827">
      <c r="A827" s="16" t="n"/>
      <c r="B827" s="86" t="n"/>
      <c r="C827" s="35" t="n"/>
      <c r="D827" s="36" t="n"/>
      <c r="E827" s="86" t="n"/>
      <c r="F827" s="86" t="n"/>
      <c r="G827" s="86" t="n"/>
      <c r="H827" s="86" t="n"/>
      <c r="I827" s="86" t="n"/>
      <c r="J827" s="86" t="n"/>
      <c r="K827" s="86" t="n"/>
      <c r="L827" s="86" t="n"/>
      <c r="M827" s="86" t="n"/>
      <c r="N827" s="86" t="n"/>
      <c r="O827" s="86" t="n"/>
      <c r="P827" s="86" t="n"/>
      <c r="Q827" s="86" t="n"/>
    </row>
    <row r="828">
      <c r="A828" s="16" t="n"/>
      <c r="B828" s="86" t="n"/>
      <c r="C828" s="35" t="n"/>
      <c r="D828" s="36" t="n"/>
      <c r="E828" s="86" t="n"/>
      <c r="F828" s="86" t="n"/>
      <c r="G828" s="86" t="n"/>
      <c r="H828" s="86" t="n"/>
      <c r="I828" s="86" t="n"/>
      <c r="J828" s="86" t="n"/>
      <c r="K828" s="86" t="n"/>
      <c r="L828" s="86" t="n"/>
      <c r="M828" s="86" t="n"/>
      <c r="N828" s="86" t="n"/>
      <c r="O828" s="86" t="n"/>
      <c r="P828" s="86" t="n"/>
      <c r="Q828" s="86" t="n"/>
    </row>
    <row r="829">
      <c r="A829" s="16" t="n"/>
      <c r="B829" s="86" t="n"/>
      <c r="C829" s="35" t="n"/>
      <c r="D829" s="36" t="n"/>
      <c r="E829" s="86" t="n"/>
      <c r="F829" s="86" t="n"/>
      <c r="G829" s="86" t="n"/>
      <c r="H829" s="86" t="n"/>
      <c r="I829" s="86" t="n"/>
      <c r="J829" s="86" t="n"/>
      <c r="K829" s="86" t="n"/>
      <c r="L829" s="86" t="n"/>
      <c r="M829" s="86" t="n"/>
      <c r="N829" s="86" t="n"/>
      <c r="O829" s="86" t="n"/>
      <c r="P829" s="86" t="n"/>
      <c r="Q829" s="86" t="n"/>
    </row>
    <row r="830">
      <c r="A830" s="16" t="n"/>
      <c r="B830" s="86" t="n"/>
      <c r="C830" s="35" t="n"/>
      <c r="D830" s="36" t="n"/>
      <c r="E830" s="86" t="n"/>
      <c r="F830" s="86" t="n"/>
      <c r="G830" s="86" t="n"/>
      <c r="H830" s="86" t="n"/>
      <c r="I830" s="86" t="n"/>
      <c r="J830" s="86" t="n"/>
      <c r="K830" s="86" t="n"/>
      <c r="L830" s="86" t="n"/>
      <c r="M830" s="86" t="n"/>
      <c r="N830" s="86" t="n"/>
      <c r="O830" s="86" t="n"/>
      <c r="P830" s="86" t="n"/>
      <c r="Q830" s="86" t="n"/>
    </row>
    <row r="831">
      <c r="A831" s="16" t="n"/>
      <c r="B831" s="86" t="n"/>
      <c r="C831" s="35" t="n"/>
      <c r="D831" s="36" t="n"/>
      <c r="E831" s="86" t="n"/>
      <c r="F831" s="86" t="n"/>
      <c r="G831" s="86" t="n"/>
      <c r="H831" s="86" t="n"/>
      <c r="I831" s="86" t="n"/>
      <c r="J831" s="86" t="n"/>
      <c r="K831" s="86" t="n"/>
      <c r="L831" s="86" t="n"/>
      <c r="M831" s="86" t="n"/>
      <c r="N831" s="86" t="n"/>
      <c r="O831" s="86" t="n"/>
      <c r="P831" s="86" t="n"/>
      <c r="Q831" s="86" t="n"/>
    </row>
    <row r="832">
      <c r="A832" s="16" t="n"/>
      <c r="B832" s="86" t="n"/>
      <c r="C832" s="35" t="n"/>
      <c r="D832" s="36" t="n"/>
      <c r="E832" s="86" t="n"/>
      <c r="F832" s="86" t="n"/>
      <c r="G832" s="86" t="n"/>
      <c r="H832" s="86" t="n"/>
      <c r="I832" s="86" t="n"/>
      <c r="J832" s="86" t="n"/>
      <c r="K832" s="86" t="n"/>
      <c r="L832" s="86" t="n"/>
      <c r="M832" s="86" t="n"/>
      <c r="N832" s="86" t="n"/>
      <c r="O832" s="86" t="n"/>
      <c r="P832" s="86" t="n"/>
      <c r="Q832" s="86" t="n"/>
    </row>
    <row r="833">
      <c r="A833" s="16" t="n"/>
      <c r="B833" s="86" t="n"/>
      <c r="C833" s="35" t="n"/>
      <c r="D833" s="36" t="n"/>
      <c r="E833" s="86" t="n"/>
      <c r="F833" s="86" t="n"/>
      <c r="G833" s="86" t="n"/>
      <c r="H833" s="86" t="n"/>
      <c r="I833" s="86" t="n"/>
      <c r="J833" s="86" t="n"/>
      <c r="K833" s="86" t="n"/>
      <c r="L833" s="86" t="n"/>
      <c r="M833" s="86" t="n"/>
      <c r="N833" s="86" t="n"/>
      <c r="O833" s="86" t="n"/>
      <c r="P833" s="86" t="n"/>
      <c r="Q833" s="86" t="n"/>
    </row>
    <row r="834">
      <c r="A834" s="16" t="n"/>
      <c r="B834" s="86" t="n"/>
      <c r="C834" s="35" t="n"/>
      <c r="D834" s="36" t="n"/>
      <c r="E834" s="86" t="n"/>
      <c r="F834" s="86" t="n"/>
      <c r="G834" s="86" t="n"/>
      <c r="H834" s="86" t="n"/>
      <c r="I834" s="86" t="n"/>
      <c r="J834" s="86" t="n"/>
      <c r="K834" s="86" t="n"/>
      <c r="L834" s="86" t="n"/>
      <c r="M834" s="86" t="n"/>
      <c r="N834" s="86" t="n"/>
      <c r="O834" s="86" t="n"/>
      <c r="P834" s="86" t="n"/>
      <c r="Q834" s="86" t="n"/>
    </row>
    <row r="835">
      <c r="A835" s="16" t="n"/>
      <c r="B835" s="86" t="n"/>
      <c r="C835" s="35" t="n"/>
      <c r="D835" s="36" t="n"/>
      <c r="E835" s="86" t="n"/>
      <c r="F835" s="86" t="n"/>
      <c r="G835" s="86" t="n"/>
      <c r="H835" s="86" t="n"/>
      <c r="I835" s="86" t="n"/>
      <c r="J835" s="86" t="n"/>
      <c r="K835" s="86" t="n"/>
      <c r="L835" s="86" t="n"/>
      <c r="M835" s="86" t="n"/>
      <c r="N835" s="86" t="n"/>
      <c r="O835" s="86" t="n"/>
      <c r="P835" s="86" t="n"/>
      <c r="Q835" s="86" t="n"/>
    </row>
    <row r="836">
      <c r="A836" s="16" t="n"/>
      <c r="B836" s="86" t="n"/>
      <c r="C836" s="35" t="n"/>
      <c r="D836" s="36" t="n"/>
      <c r="E836" s="86" t="n"/>
      <c r="F836" s="86" t="n"/>
      <c r="G836" s="86" t="n"/>
      <c r="H836" s="86" t="n"/>
      <c r="I836" s="86" t="n"/>
      <c r="J836" s="86" t="n"/>
      <c r="K836" s="86" t="n"/>
      <c r="L836" s="86" t="n"/>
      <c r="M836" s="86" t="n"/>
      <c r="N836" s="86" t="n"/>
      <c r="O836" s="86" t="n"/>
      <c r="P836" s="86" t="n"/>
      <c r="Q836" s="86" t="n"/>
    </row>
    <row r="837">
      <c r="A837" s="16" t="n"/>
      <c r="B837" s="86" t="n"/>
      <c r="C837" s="35" t="n"/>
      <c r="D837" s="36" t="n"/>
      <c r="E837" s="86" t="n"/>
      <c r="F837" s="86" t="n"/>
      <c r="G837" s="86" t="n"/>
      <c r="H837" s="86" t="n"/>
      <c r="I837" s="86" t="n"/>
      <c r="J837" s="86" t="n"/>
      <c r="K837" s="86" t="n"/>
      <c r="L837" s="86" t="n"/>
      <c r="M837" s="86" t="n"/>
      <c r="N837" s="86" t="n"/>
      <c r="O837" s="86" t="n"/>
      <c r="P837" s="86" t="n"/>
      <c r="Q837" s="86" t="n"/>
    </row>
    <row r="838">
      <c r="A838" s="16" t="n"/>
      <c r="B838" s="86" t="n"/>
      <c r="C838" s="35" t="n"/>
      <c r="D838" s="36" t="n"/>
      <c r="E838" s="86" t="n"/>
      <c r="F838" s="86" t="n"/>
      <c r="G838" s="86" t="n"/>
      <c r="H838" s="86" t="n"/>
      <c r="I838" s="86" t="n"/>
      <c r="J838" s="86" t="n"/>
      <c r="K838" s="86" t="n"/>
      <c r="L838" s="86" t="n"/>
      <c r="M838" s="86" t="n"/>
      <c r="N838" s="86" t="n"/>
      <c r="O838" s="86" t="n"/>
      <c r="P838" s="86" t="n"/>
      <c r="Q838" s="86" t="n"/>
    </row>
    <row r="839">
      <c r="A839" s="16" t="n"/>
      <c r="B839" s="86" t="n"/>
      <c r="C839" s="35" t="n"/>
      <c r="D839" s="36" t="n"/>
      <c r="E839" s="86" t="n"/>
      <c r="F839" s="86" t="n"/>
      <c r="G839" s="86" t="n"/>
      <c r="H839" s="86" t="n"/>
      <c r="I839" s="86" t="n"/>
      <c r="J839" s="86" t="n"/>
      <c r="K839" s="86" t="n"/>
      <c r="L839" s="86" t="n"/>
      <c r="M839" s="86" t="n"/>
      <c r="N839" s="86" t="n"/>
      <c r="O839" s="86" t="n"/>
      <c r="P839" s="86" t="n"/>
      <c r="Q839" s="86" t="n"/>
    </row>
    <row r="840">
      <c r="A840" s="16" t="n"/>
      <c r="B840" s="86" t="n"/>
      <c r="C840" s="35" t="n"/>
      <c r="D840" s="36" t="n"/>
      <c r="E840" s="86" t="n"/>
      <c r="F840" s="86" t="n"/>
      <c r="G840" s="86" t="n"/>
      <c r="H840" s="86" t="n"/>
      <c r="I840" s="86" t="n"/>
      <c r="J840" s="86" t="n"/>
      <c r="K840" s="86" t="n"/>
      <c r="L840" s="86" t="n"/>
      <c r="M840" s="86" t="n"/>
      <c r="N840" s="86" t="n"/>
      <c r="O840" s="86" t="n"/>
      <c r="P840" s="86" t="n"/>
      <c r="Q840" s="86" t="n"/>
    </row>
    <row r="841">
      <c r="A841" s="16" t="n"/>
      <c r="B841" s="86" t="n"/>
      <c r="C841" s="35" t="n"/>
      <c r="D841" s="36" t="n"/>
      <c r="E841" s="86" t="n"/>
      <c r="F841" s="86" t="n"/>
      <c r="G841" s="86" t="n"/>
      <c r="H841" s="86" t="n"/>
      <c r="I841" s="86" t="n"/>
      <c r="J841" s="86" t="n"/>
      <c r="K841" s="86" t="n"/>
      <c r="L841" s="86" t="n"/>
      <c r="M841" s="86" t="n"/>
      <c r="N841" s="86" t="n"/>
      <c r="O841" s="86" t="n"/>
      <c r="P841" s="86" t="n"/>
      <c r="Q841" s="86" t="n"/>
    </row>
    <row r="842">
      <c r="A842" s="16" t="n"/>
      <c r="B842" s="86" t="n"/>
      <c r="C842" s="35" t="n"/>
      <c r="D842" s="36" t="n"/>
      <c r="E842" s="86" t="n"/>
      <c r="F842" s="86" t="n"/>
      <c r="G842" s="86" t="n"/>
      <c r="H842" s="86" t="n"/>
      <c r="I842" s="86" t="n"/>
      <c r="J842" s="86" t="n"/>
      <c r="K842" s="86" t="n"/>
      <c r="L842" s="86" t="n"/>
      <c r="M842" s="86" t="n"/>
      <c r="N842" s="86" t="n"/>
      <c r="O842" s="86" t="n"/>
      <c r="P842" s="86" t="n"/>
      <c r="Q842" s="86" t="n"/>
    </row>
    <row r="843">
      <c r="A843" s="16" t="n"/>
      <c r="B843" s="86" t="n"/>
      <c r="C843" s="35" t="n"/>
      <c r="D843" s="36" t="n"/>
      <c r="E843" s="86" t="n"/>
      <c r="F843" s="86" t="n"/>
      <c r="G843" s="86" t="n"/>
      <c r="H843" s="86" t="n"/>
      <c r="I843" s="86" t="n"/>
      <c r="J843" s="86" t="n"/>
      <c r="K843" s="86" t="n"/>
      <c r="L843" s="86" t="n"/>
      <c r="M843" s="86" t="n"/>
      <c r="N843" s="86" t="n"/>
      <c r="O843" s="86" t="n"/>
      <c r="P843" s="86" t="n"/>
      <c r="Q843" s="86" t="n"/>
    </row>
    <row r="844">
      <c r="A844" s="16" t="n"/>
      <c r="B844" s="86" t="n"/>
      <c r="C844" s="35" t="n"/>
      <c r="D844" s="36" t="n"/>
      <c r="E844" s="86" t="n"/>
      <c r="F844" s="86" t="n"/>
      <c r="G844" s="86" t="n"/>
      <c r="H844" s="86" t="n"/>
      <c r="I844" s="86" t="n"/>
      <c r="J844" s="86" t="n"/>
      <c r="K844" s="86" t="n"/>
      <c r="L844" s="86" t="n"/>
      <c r="M844" s="86" t="n"/>
      <c r="N844" s="86" t="n"/>
      <c r="O844" s="86" t="n"/>
      <c r="P844" s="86" t="n"/>
      <c r="Q844" s="86" t="n"/>
    </row>
    <row r="845">
      <c r="A845" s="16" t="n"/>
      <c r="B845" s="86" t="n"/>
      <c r="C845" s="35" t="n"/>
      <c r="D845" s="36" t="n"/>
      <c r="E845" s="86" t="n"/>
      <c r="F845" s="86" t="n"/>
      <c r="G845" s="86" t="n"/>
      <c r="H845" s="86" t="n"/>
      <c r="I845" s="86" t="n"/>
      <c r="J845" s="86" t="n"/>
      <c r="K845" s="86" t="n"/>
      <c r="L845" s="86" t="n"/>
      <c r="M845" s="86" t="n"/>
      <c r="N845" s="86" t="n"/>
      <c r="O845" s="86" t="n"/>
      <c r="P845" s="86" t="n"/>
      <c r="Q845" s="86" t="n"/>
    </row>
    <row r="846">
      <c r="A846" s="16" t="n"/>
      <c r="B846" s="86" t="n"/>
      <c r="C846" s="35" t="n"/>
      <c r="D846" s="36" t="n"/>
      <c r="E846" s="86" t="n"/>
      <c r="F846" s="86" t="n"/>
      <c r="G846" s="86" t="n"/>
      <c r="H846" s="86" t="n"/>
      <c r="I846" s="86" t="n"/>
      <c r="J846" s="86" t="n"/>
      <c r="K846" s="86" t="n"/>
      <c r="L846" s="86" t="n"/>
      <c r="M846" s="86" t="n"/>
      <c r="N846" s="86" t="n"/>
      <c r="O846" s="86" t="n"/>
      <c r="P846" s="86" t="n"/>
      <c r="Q846" s="86" t="n"/>
    </row>
    <row r="847">
      <c r="A847" s="16" t="n"/>
      <c r="B847" s="86" t="n"/>
      <c r="C847" s="35" t="n"/>
      <c r="D847" s="36" t="n"/>
      <c r="E847" s="86" t="n"/>
      <c r="F847" s="86" t="n"/>
      <c r="G847" s="86" t="n"/>
      <c r="H847" s="86" t="n"/>
      <c r="I847" s="86" t="n"/>
      <c r="J847" s="86" t="n"/>
      <c r="K847" s="86" t="n"/>
      <c r="L847" s="86" t="n"/>
      <c r="M847" s="86" t="n"/>
      <c r="N847" s="86" t="n"/>
      <c r="O847" s="86" t="n"/>
      <c r="P847" s="86" t="n"/>
      <c r="Q847" s="86" t="n"/>
    </row>
    <row r="848">
      <c r="A848" s="16" t="n"/>
      <c r="B848" s="86" t="n"/>
      <c r="C848" s="35" t="n"/>
      <c r="D848" s="36" t="n"/>
      <c r="E848" s="86" t="n"/>
      <c r="F848" s="86" t="n"/>
      <c r="G848" s="86" t="n"/>
      <c r="H848" s="86" t="n"/>
      <c r="I848" s="86" t="n"/>
      <c r="J848" s="86" t="n"/>
      <c r="K848" s="86" t="n"/>
      <c r="L848" s="86" t="n"/>
      <c r="M848" s="86" t="n"/>
      <c r="N848" s="86" t="n"/>
      <c r="O848" s="86" t="n"/>
      <c r="P848" s="86" t="n"/>
      <c r="Q848" s="86" t="n"/>
    </row>
    <row r="849">
      <c r="A849" s="16" t="n"/>
      <c r="B849" s="86" t="n"/>
      <c r="C849" s="35" t="n"/>
      <c r="D849" s="36" t="n"/>
      <c r="E849" s="86" t="n"/>
      <c r="F849" s="86" t="n"/>
      <c r="G849" s="86" t="n"/>
      <c r="H849" s="86" t="n"/>
      <c r="I849" s="86" t="n"/>
      <c r="J849" s="86" t="n"/>
      <c r="K849" s="86" t="n"/>
      <c r="L849" s="86" t="n"/>
      <c r="M849" s="86" t="n"/>
      <c r="N849" s="86" t="n"/>
      <c r="O849" s="86" t="n"/>
      <c r="P849" s="86" t="n"/>
      <c r="Q849" s="86" t="n"/>
    </row>
    <row r="850">
      <c r="A850" s="16" t="n"/>
      <c r="B850" s="86" t="n"/>
      <c r="C850" s="35" t="n"/>
      <c r="D850" s="36" t="n"/>
      <c r="E850" s="86" t="n"/>
      <c r="F850" s="86" t="n"/>
      <c r="G850" s="86" t="n"/>
      <c r="H850" s="86" t="n"/>
      <c r="I850" s="86" t="n"/>
      <c r="J850" s="86" t="n"/>
      <c r="K850" s="86" t="n"/>
      <c r="L850" s="86" t="n"/>
      <c r="M850" s="86" t="n"/>
      <c r="N850" s="86" t="n"/>
      <c r="O850" s="86" t="n"/>
      <c r="P850" s="86" t="n"/>
      <c r="Q850" s="86" t="n"/>
    </row>
    <row r="851">
      <c r="A851" s="16" t="n"/>
      <c r="B851" s="86" t="n"/>
      <c r="C851" s="35" t="n"/>
      <c r="D851" s="36" t="n"/>
      <c r="E851" s="86" t="n"/>
      <c r="F851" s="86" t="n"/>
      <c r="G851" s="86" t="n"/>
      <c r="H851" s="86" t="n"/>
      <c r="I851" s="86" t="n"/>
      <c r="J851" s="86" t="n"/>
      <c r="K851" s="86" t="n"/>
      <c r="L851" s="86" t="n"/>
      <c r="M851" s="86" t="n"/>
      <c r="N851" s="86" t="n"/>
      <c r="O851" s="86" t="n"/>
      <c r="P851" s="86" t="n"/>
      <c r="Q851" s="86" t="n"/>
    </row>
    <row r="852">
      <c r="A852" s="16" t="n"/>
      <c r="B852" s="86" t="n"/>
      <c r="C852" s="35" t="n"/>
      <c r="D852" s="36" t="n"/>
      <c r="E852" s="86" t="n"/>
      <c r="F852" s="86" t="n"/>
      <c r="G852" s="86" t="n"/>
      <c r="H852" s="86" t="n"/>
      <c r="I852" s="86" t="n"/>
      <c r="J852" s="86" t="n"/>
      <c r="K852" s="86" t="n"/>
      <c r="L852" s="86" t="n"/>
      <c r="M852" s="86" t="n"/>
      <c r="N852" s="86" t="n"/>
      <c r="O852" s="86" t="n"/>
      <c r="P852" s="86" t="n"/>
      <c r="Q852" s="86" t="n"/>
    </row>
    <row r="853">
      <c r="A853" s="16" t="n"/>
      <c r="B853" s="86" t="n"/>
      <c r="C853" s="35" t="n"/>
      <c r="D853" s="36" t="n"/>
      <c r="E853" s="86" t="n"/>
      <c r="F853" s="86" t="n"/>
      <c r="G853" s="86" t="n"/>
      <c r="H853" s="86" t="n"/>
      <c r="I853" s="86" t="n"/>
      <c r="J853" s="86" t="n"/>
      <c r="K853" s="86" t="n"/>
      <c r="L853" s="86" t="n"/>
      <c r="M853" s="86" t="n"/>
      <c r="N853" s="86" t="n"/>
      <c r="O853" s="86" t="n"/>
      <c r="P853" s="86" t="n"/>
      <c r="Q853" s="86" t="n"/>
    </row>
    <row r="854">
      <c r="A854" s="16" t="n"/>
      <c r="B854" s="86" t="n"/>
      <c r="C854" s="35" t="n"/>
      <c r="D854" s="36" t="n"/>
      <c r="E854" s="86" t="n"/>
      <c r="F854" s="86" t="n"/>
      <c r="G854" s="86" t="n"/>
      <c r="H854" s="86" t="n"/>
      <c r="I854" s="86" t="n"/>
      <c r="J854" s="86" t="n"/>
      <c r="K854" s="86" t="n"/>
      <c r="L854" s="86" t="n"/>
      <c r="M854" s="86" t="n"/>
      <c r="N854" s="86" t="n"/>
      <c r="O854" s="86" t="n"/>
      <c r="P854" s="86" t="n"/>
      <c r="Q854" s="86" t="n"/>
    </row>
    <row r="855">
      <c r="A855" s="16" t="n"/>
      <c r="B855" s="86" t="n"/>
      <c r="C855" s="35" t="n"/>
      <c r="D855" s="36" t="n"/>
      <c r="E855" s="86" t="n"/>
      <c r="F855" s="86" t="n"/>
      <c r="G855" s="86" t="n"/>
      <c r="H855" s="86" t="n"/>
      <c r="I855" s="86" t="n"/>
      <c r="J855" s="86" t="n"/>
      <c r="K855" s="86" t="n"/>
      <c r="L855" s="86" t="n"/>
      <c r="M855" s="86" t="n"/>
      <c r="N855" s="86" t="n"/>
      <c r="O855" s="86" t="n"/>
      <c r="P855" s="86" t="n"/>
      <c r="Q855" s="86" t="n"/>
    </row>
    <row r="856">
      <c r="A856" s="16" t="n"/>
      <c r="B856" s="86" t="n"/>
      <c r="C856" s="35" t="n"/>
      <c r="D856" s="36" t="n"/>
      <c r="E856" s="86" t="n"/>
      <c r="F856" s="86" t="n"/>
      <c r="G856" s="86" t="n"/>
      <c r="H856" s="86" t="n"/>
      <c r="I856" s="86" t="n"/>
      <c r="J856" s="86" t="n"/>
      <c r="K856" s="86" t="n"/>
      <c r="L856" s="86" t="n"/>
      <c r="M856" s="86" t="n"/>
      <c r="N856" s="86" t="n"/>
      <c r="O856" s="86" t="n"/>
      <c r="P856" s="86" t="n"/>
      <c r="Q856" s="86" t="n"/>
    </row>
    <row r="857">
      <c r="A857" s="16" t="n"/>
      <c r="B857" s="86" t="n"/>
      <c r="C857" s="35" t="n"/>
      <c r="D857" s="36" t="n"/>
      <c r="E857" s="86" t="n"/>
      <c r="F857" s="86" t="n"/>
      <c r="G857" s="86" t="n"/>
      <c r="H857" s="86" t="n"/>
      <c r="I857" s="86" t="n"/>
      <c r="J857" s="86" t="n"/>
      <c r="K857" s="86" t="n"/>
      <c r="L857" s="86" t="n"/>
      <c r="M857" s="86" t="n"/>
      <c r="N857" s="86" t="n"/>
      <c r="O857" s="86" t="n"/>
      <c r="P857" s="86" t="n"/>
      <c r="Q857" s="86" t="n"/>
    </row>
    <row r="858">
      <c r="A858" s="16" t="n"/>
      <c r="B858" s="86" t="n"/>
      <c r="C858" s="35" t="n"/>
      <c r="D858" s="36" t="n"/>
      <c r="E858" s="86" t="n"/>
      <c r="F858" s="86" t="n"/>
      <c r="G858" s="86" t="n"/>
      <c r="H858" s="86" t="n"/>
      <c r="I858" s="86" t="n"/>
      <c r="J858" s="86" t="n"/>
      <c r="K858" s="86" t="n"/>
      <c r="L858" s="86" t="n"/>
      <c r="M858" s="86" t="n"/>
      <c r="N858" s="86" t="n"/>
      <c r="O858" s="86" t="n"/>
      <c r="P858" s="86" t="n"/>
      <c r="Q858" s="86" t="n"/>
    </row>
    <row r="859">
      <c r="A859" s="16" t="n"/>
      <c r="B859" s="86" t="n"/>
      <c r="C859" s="35" t="n"/>
      <c r="D859" s="36" t="n"/>
      <c r="E859" s="86" t="n"/>
      <c r="F859" s="86" t="n"/>
      <c r="G859" s="86" t="n"/>
      <c r="H859" s="86" t="n"/>
      <c r="I859" s="86" t="n"/>
      <c r="J859" s="86" t="n"/>
      <c r="K859" s="86" t="n"/>
      <c r="L859" s="86" t="n"/>
      <c r="M859" s="86" t="n"/>
      <c r="N859" s="86" t="n"/>
      <c r="O859" s="86" t="n"/>
      <c r="P859" s="86" t="n"/>
      <c r="Q859" s="86" t="n"/>
    </row>
    <row r="860">
      <c r="A860" s="16" t="n"/>
      <c r="B860" s="86" t="n"/>
      <c r="C860" s="35" t="n"/>
      <c r="D860" s="36" t="n"/>
      <c r="E860" s="86" t="n"/>
      <c r="F860" s="86" t="n"/>
      <c r="G860" s="86" t="n"/>
      <c r="H860" s="86" t="n"/>
      <c r="I860" s="86" t="n"/>
      <c r="J860" s="86" t="n"/>
      <c r="K860" s="86" t="n"/>
      <c r="L860" s="86" t="n"/>
      <c r="M860" s="86" t="n"/>
      <c r="N860" s="86" t="n"/>
      <c r="O860" s="86" t="n"/>
      <c r="P860" s="86" t="n"/>
      <c r="Q860" s="86" t="n"/>
    </row>
    <row r="861">
      <c r="A861" s="16" t="n"/>
      <c r="B861" s="86" t="n"/>
      <c r="C861" s="35" t="n"/>
      <c r="D861" s="36" t="n"/>
      <c r="E861" s="86" t="n"/>
      <c r="F861" s="86" t="n"/>
      <c r="G861" s="86" t="n"/>
      <c r="H861" s="86" t="n"/>
      <c r="I861" s="86" t="n"/>
      <c r="J861" s="86" t="n"/>
      <c r="K861" s="86" t="n"/>
      <c r="L861" s="86" t="n"/>
      <c r="M861" s="86" t="n"/>
      <c r="N861" s="86" t="n"/>
      <c r="O861" s="86" t="n"/>
      <c r="P861" s="86" t="n"/>
      <c r="Q861" s="86" t="n"/>
    </row>
    <row r="862">
      <c r="A862" s="16" t="n"/>
      <c r="B862" s="86" t="n"/>
      <c r="C862" s="35" t="n"/>
      <c r="D862" s="36" t="n"/>
      <c r="E862" s="86" t="n"/>
      <c r="F862" s="86" t="n"/>
      <c r="G862" s="86" t="n"/>
      <c r="H862" s="86" t="n"/>
      <c r="I862" s="86" t="n"/>
      <c r="J862" s="86" t="n"/>
      <c r="K862" s="86" t="n"/>
      <c r="L862" s="86" t="n"/>
      <c r="M862" s="86" t="n"/>
      <c r="N862" s="86" t="n"/>
      <c r="O862" s="86" t="n"/>
      <c r="P862" s="86" t="n"/>
      <c r="Q862" s="86" t="n"/>
    </row>
    <row r="863">
      <c r="A863" s="16" t="n"/>
      <c r="B863" s="86" t="n"/>
      <c r="C863" s="35" t="n"/>
      <c r="D863" s="36" t="n"/>
      <c r="E863" s="86" t="n"/>
      <c r="F863" s="86" t="n"/>
      <c r="G863" s="86" t="n"/>
      <c r="H863" s="86" t="n"/>
      <c r="I863" s="86" t="n"/>
      <c r="J863" s="86" t="n"/>
      <c r="K863" s="86" t="n"/>
      <c r="L863" s="86" t="n"/>
      <c r="M863" s="86" t="n"/>
      <c r="N863" s="86" t="n"/>
      <c r="O863" s="86" t="n"/>
      <c r="P863" s="86" t="n"/>
      <c r="Q863" s="86" t="n"/>
    </row>
    <row r="864">
      <c r="A864" s="16" t="n"/>
      <c r="B864" s="86" t="n"/>
      <c r="C864" s="35" t="n"/>
      <c r="D864" s="36" t="n"/>
      <c r="E864" s="86" t="n"/>
      <c r="F864" s="86" t="n"/>
      <c r="G864" s="86" t="n"/>
      <c r="H864" s="86" t="n"/>
      <c r="I864" s="86" t="n"/>
      <c r="J864" s="86" t="n"/>
      <c r="K864" s="86" t="n"/>
      <c r="L864" s="86" t="n"/>
      <c r="M864" s="86" t="n"/>
      <c r="N864" s="86" t="n"/>
      <c r="O864" s="86" t="n"/>
      <c r="P864" s="86" t="n"/>
      <c r="Q864" s="86" t="n"/>
    </row>
    <row r="865">
      <c r="A865" s="16" t="n"/>
      <c r="B865" s="86" t="n"/>
      <c r="C865" s="35" t="n"/>
      <c r="D865" s="36" t="n"/>
      <c r="E865" s="86" t="n"/>
      <c r="F865" s="86" t="n"/>
      <c r="G865" s="86" t="n"/>
      <c r="H865" s="86" t="n"/>
      <c r="I865" s="86" t="n"/>
      <c r="J865" s="86" t="n"/>
      <c r="K865" s="86" t="n"/>
      <c r="L865" s="86" t="n"/>
      <c r="M865" s="86" t="n"/>
      <c r="N865" s="86" t="n"/>
      <c r="O865" s="86" t="n"/>
      <c r="P865" s="86" t="n"/>
      <c r="Q865" s="86" t="n"/>
    </row>
    <row r="866">
      <c r="A866" s="16" t="n"/>
      <c r="B866" s="86" t="n"/>
      <c r="C866" s="35" t="n"/>
      <c r="D866" s="36" t="n"/>
      <c r="E866" s="86" t="n"/>
      <c r="F866" s="86" t="n"/>
      <c r="G866" s="86" t="n"/>
      <c r="H866" s="86" t="n"/>
      <c r="I866" s="86" t="n"/>
      <c r="J866" s="86" t="n"/>
      <c r="K866" s="86" t="n"/>
      <c r="L866" s="86" t="n"/>
      <c r="M866" s="86" t="n"/>
      <c r="N866" s="86" t="n"/>
      <c r="O866" s="86" t="n"/>
      <c r="P866" s="86" t="n"/>
      <c r="Q866" s="86" t="n"/>
    </row>
    <row r="867">
      <c r="A867" s="16" t="n"/>
      <c r="B867" s="86" t="n"/>
      <c r="C867" s="35" t="n"/>
      <c r="D867" s="36" t="n"/>
      <c r="E867" s="86" t="n"/>
      <c r="F867" s="86" t="n"/>
      <c r="G867" s="86" t="n"/>
      <c r="H867" s="86" t="n"/>
      <c r="I867" s="86" t="n"/>
      <c r="J867" s="86" t="n"/>
      <c r="K867" s="86" t="n"/>
      <c r="L867" s="86" t="n"/>
      <c r="M867" s="86" t="n"/>
      <c r="N867" s="86" t="n"/>
      <c r="O867" s="86" t="n"/>
      <c r="P867" s="86" t="n"/>
      <c r="Q867" s="86" t="n"/>
    </row>
    <row r="868">
      <c r="A868" s="16" t="n"/>
      <c r="B868" s="86" t="n"/>
      <c r="C868" s="35" t="n"/>
      <c r="D868" s="36" t="n"/>
      <c r="E868" s="86" t="n"/>
      <c r="F868" s="86" t="n"/>
      <c r="G868" s="86" t="n"/>
      <c r="H868" s="86" t="n"/>
      <c r="I868" s="86" t="n"/>
      <c r="J868" s="86" t="n"/>
      <c r="K868" s="86" t="n"/>
      <c r="L868" s="86" t="n"/>
      <c r="M868" s="86" t="n"/>
      <c r="N868" s="86" t="n"/>
      <c r="O868" s="86" t="n"/>
      <c r="P868" s="86" t="n"/>
      <c r="Q868" s="86" t="n"/>
    </row>
    <row r="869">
      <c r="A869" s="16" t="n"/>
      <c r="B869" s="86" t="n"/>
      <c r="C869" s="35" t="n"/>
      <c r="D869" s="36" t="n"/>
      <c r="E869" s="86" t="n"/>
      <c r="F869" s="86" t="n"/>
      <c r="G869" s="86" t="n"/>
      <c r="H869" s="86" t="n"/>
      <c r="I869" s="86" t="n"/>
      <c r="J869" s="86" t="n"/>
      <c r="K869" s="86" t="n"/>
      <c r="L869" s="86" t="n"/>
      <c r="M869" s="86" t="n"/>
      <c r="N869" s="86" t="n"/>
      <c r="O869" s="86" t="n"/>
      <c r="P869" s="86" t="n"/>
      <c r="Q869" s="86" t="n"/>
    </row>
    <row r="870">
      <c r="A870" s="16" t="n"/>
      <c r="B870" s="86" t="n"/>
      <c r="C870" s="35" t="n"/>
      <c r="D870" s="36" t="n"/>
      <c r="E870" s="86" t="n"/>
      <c r="F870" s="86" t="n"/>
      <c r="G870" s="86" t="n"/>
      <c r="H870" s="86" t="n"/>
      <c r="I870" s="86" t="n"/>
      <c r="J870" s="86" t="n"/>
      <c r="K870" s="86" t="n"/>
      <c r="L870" s="86" t="n"/>
      <c r="M870" s="86" t="n"/>
      <c r="N870" s="86" t="n"/>
      <c r="O870" s="86" t="n"/>
      <c r="P870" s="86" t="n"/>
      <c r="Q870" s="86" t="n"/>
    </row>
    <row r="871">
      <c r="A871" s="16" t="n"/>
      <c r="B871" s="86" t="n"/>
      <c r="C871" s="35" t="n"/>
      <c r="D871" s="36" t="n"/>
      <c r="E871" s="86" t="n"/>
      <c r="F871" s="86" t="n"/>
      <c r="G871" s="86" t="n"/>
      <c r="H871" s="86" t="n"/>
      <c r="I871" s="86" t="n"/>
      <c r="J871" s="86" t="n"/>
      <c r="K871" s="86" t="n"/>
      <c r="L871" s="86" t="n"/>
      <c r="M871" s="86" t="n"/>
      <c r="N871" s="86" t="n"/>
      <c r="O871" s="86" t="n"/>
      <c r="P871" s="86" t="n"/>
      <c r="Q871" s="86" t="n"/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9.xml><?xml version="1.0" encoding="utf-8"?>
<worksheet xmlns="http://schemas.openxmlformats.org/spreadsheetml/2006/main">
  <sheetPr codeName="Sheet6">
    <tabColor theme="4" tint="0.5999938962981048"/>
    <outlinePr summaryBelow="1" summaryRight="1"/>
    <pageSetUpPr/>
  </sheetPr>
  <dimension ref="A1:DY1001"/>
  <sheetViews>
    <sheetView zoomScale="70" zoomScaleNormal="70" workbookViewId="0">
      <pane ySplit="4" topLeftCell="A366" activePane="bottomLeft" state="frozen"/>
      <selection activeCell="P16" sqref="P16"/>
      <selection pane="bottomLeft" activeCell="V394" sqref="V394"/>
    </sheetView>
  </sheetViews>
  <sheetFormatPr baseColWidth="8" defaultColWidth="8.81640625" defaultRowHeight="14.5"/>
  <cols>
    <col width="14.1796875" customWidth="1" style="1" min="1" max="1"/>
    <col width="12.6328125" bestFit="1" customWidth="1" style="80" min="2" max="2"/>
    <col width="11.6328125" customWidth="1" style="9" min="3" max="4"/>
    <col width="9.1796875" customWidth="1" style="86" min="5" max="129"/>
  </cols>
  <sheetData>
    <row r="1" customFormat="1" s="26">
      <c r="A1" s="34" t="inlineStr">
        <is>
          <t>*Country Code in B4</t>
        </is>
      </c>
      <c r="C1" s="30" t="n"/>
      <c r="D1" s="30" t="n"/>
      <c r="E1" s="27" t="n"/>
      <c r="F1" s="27" t="n"/>
      <c r="G1" s="29">
        <f>VLOOKUP(O1,Note!O:P,2,)</f>
        <v/>
      </c>
      <c r="H1" s="27" t="n"/>
      <c r="I1" s="27" t="n"/>
      <c r="J1" s="27" t="n"/>
      <c r="K1" s="27" t="n"/>
      <c r="L1" s="27" t="n"/>
      <c r="M1" s="27" t="n"/>
      <c r="N1" s="27" t="n"/>
      <c r="O1" s="31">
        <f>Table13456789101112131415161734[[#Headers],[USA]]</f>
        <v/>
      </c>
      <c r="P1" s="27" t="n"/>
      <c r="Q1" s="27" t="n"/>
      <c r="R1" s="27" t="n"/>
      <c r="S1" s="27" t="n"/>
      <c r="T1" s="27" t="n"/>
      <c r="U1" s="27" t="n"/>
      <c r="V1" s="27" t="n"/>
      <c r="W1" s="27" t="n"/>
      <c r="X1" s="27" t="n"/>
      <c r="Y1" s="27" t="n"/>
      <c r="Z1" s="27" t="n"/>
      <c r="AA1" s="27" t="n"/>
      <c r="AB1" s="27" t="n"/>
      <c r="AC1" s="27" t="n"/>
      <c r="AD1" s="27" t="n"/>
      <c r="AE1" s="27" t="n"/>
      <c r="AF1" s="27" t="n"/>
      <c r="AG1" s="27" t="n"/>
      <c r="AH1" s="27" t="n"/>
      <c r="AI1" s="27" t="n"/>
      <c r="AJ1" s="27" t="n"/>
      <c r="AK1" s="27" t="n"/>
      <c r="AL1" s="27" t="n"/>
      <c r="AM1" s="27" t="n"/>
      <c r="AN1" s="27" t="n"/>
      <c r="AO1" s="27" t="n"/>
      <c r="AP1" s="27" t="n"/>
      <c r="AQ1" s="27" t="n"/>
      <c r="AR1" s="27" t="n"/>
      <c r="AS1" s="27" t="n"/>
      <c r="AT1" s="27" t="n"/>
      <c r="AU1" s="27" t="n"/>
      <c r="AV1" s="27" t="n"/>
      <c r="AW1" s="27" t="n"/>
      <c r="AX1" s="27" t="n"/>
      <c r="AY1" s="27" t="n"/>
      <c r="AZ1" s="27" t="n"/>
      <c r="BA1" s="27" t="n"/>
      <c r="BB1" s="27" t="n"/>
      <c r="BC1" s="27" t="n"/>
      <c r="BD1" s="27" t="n"/>
      <c r="BE1" s="27" t="n"/>
      <c r="BF1" s="27" t="n"/>
      <c r="BG1" s="27" t="n"/>
      <c r="BH1" s="27" t="n"/>
      <c r="BI1" s="27" t="n"/>
      <c r="BJ1" s="27" t="n"/>
      <c r="BK1" s="27" t="n"/>
      <c r="BL1" s="27" t="n"/>
      <c r="BM1" s="27" t="n"/>
      <c r="BN1" s="27" t="n"/>
      <c r="BO1" s="27" t="n"/>
      <c r="BP1" s="27" t="n"/>
      <c r="BQ1" s="27" t="n"/>
      <c r="BR1" s="27" t="n"/>
      <c r="BS1" s="27" t="n"/>
      <c r="BT1" s="27" t="n"/>
      <c r="BU1" s="27" t="n"/>
      <c r="BV1" s="27" t="n"/>
      <c r="BW1" s="27" t="n"/>
      <c r="BX1" s="27" t="n"/>
      <c r="BY1" s="27" t="n"/>
      <c r="BZ1" s="27" t="n"/>
      <c r="CA1" s="27" t="n"/>
      <c r="CB1" s="27" t="n"/>
      <c r="CC1" s="27" t="n"/>
      <c r="CD1" s="27" t="n"/>
      <c r="CE1" s="27" t="n"/>
      <c r="CF1" s="27" t="n"/>
      <c r="CG1" s="27" t="n"/>
      <c r="CH1" s="27" t="n"/>
      <c r="CI1" s="27" t="n"/>
      <c r="CJ1" s="27" t="n"/>
      <c r="CK1" s="27" t="n"/>
      <c r="CL1" s="27" t="n"/>
      <c r="CM1" s="27" t="n"/>
      <c r="CN1" s="27" t="n"/>
      <c r="CO1" s="27" t="n"/>
      <c r="CP1" s="27" t="n"/>
      <c r="CQ1" s="27" t="n"/>
      <c r="CR1" s="27" t="n"/>
      <c r="CS1" s="27" t="n"/>
      <c r="CT1" s="27" t="n"/>
      <c r="CU1" s="27" t="n"/>
      <c r="CV1" s="27" t="n"/>
      <c r="CW1" s="27" t="n"/>
      <c r="CX1" s="27" t="n"/>
      <c r="CY1" s="27" t="n"/>
      <c r="CZ1" s="27" t="n"/>
      <c r="DA1" s="27" t="n"/>
      <c r="DB1" s="27" t="n"/>
      <c r="DC1" s="27" t="n"/>
      <c r="DD1" s="27" t="n"/>
      <c r="DE1" s="27" t="n"/>
      <c r="DF1" s="27" t="n"/>
      <c r="DG1" s="27" t="n"/>
      <c r="DH1" s="27" t="n"/>
      <c r="DI1" s="27" t="n"/>
      <c r="DJ1" s="27" t="n"/>
      <c r="DK1" s="27" t="n"/>
      <c r="DL1" s="27" t="n"/>
      <c r="DM1" s="27" t="n"/>
      <c r="DN1" s="27" t="n"/>
      <c r="DO1" s="27" t="n"/>
      <c r="DP1" s="27" t="n"/>
      <c r="DQ1" s="27" t="n"/>
      <c r="DR1" s="27" t="n"/>
      <c r="DS1" s="27" t="n"/>
      <c r="DT1" s="27" t="n"/>
      <c r="DU1" s="27" t="n"/>
      <c r="DV1" s="27" t="n"/>
      <c r="DW1" s="27" t="n"/>
      <c r="DX1" s="27" t="n"/>
      <c r="DY1" s="27" t="n"/>
    </row>
    <row r="2" customFormat="1" s="26">
      <c r="A2" s="33" t="inlineStr">
        <is>
          <t>Example FRA for France USA for the U.S.</t>
        </is>
      </c>
      <c r="B2" s="29" t="n"/>
      <c r="C2" s="30" t="n"/>
      <c r="D2" s="30" t="n"/>
      <c r="E2" s="27" t="n"/>
      <c r="F2" s="27" t="n"/>
      <c r="G2" s="29">
        <f>G1&amp;" Industrial Production mom"</f>
        <v/>
      </c>
      <c r="H2" s="27" t="n"/>
      <c r="I2" s="27" t="n"/>
      <c r="J2" s="27" t="n"/>
      <c r="K2" s="27" t="n"/>
      <c r="L2" s="27" t="n"/>
      <c r="M2" s="27" t="n"/>
      <c r="N2" s="27" t="n"/>
      <c r="O2" s="27" t="n"/>
      <c r="P2" s="27" t="n"/>
      <c r="Q2" s="27" t="n"/>
      <c r="R2" s="27" t="n"/>
      <c r="S2" s="27" t="n"/>
      <c r="T2" s="27" t="n"/>
      <c r="U2" s="27" t="n"/>
      <c r="V2" s="27" t="n"/>
      <c r="W2" s="27" t="n"/>
      <c r="X2" s="27" t="n"/>
      <c r="Y2" s="27" t="n"/>
      <c r="Z2" s="27" t="n"/>
      <c r="AA2" s="27" t="n"/>
      <c r="AB2" s="27" t="n"/>
      <c r="AC2" s="27" t="n"/>
      <c r="AD2" s="27" t="n"/>
      <c r="AE2" s="27" t="n"/>
      <c r="AF2" s="27" t="n"/>
      <c r="AG2" s="27" t="n"/>
      <c r="AH2" s="27" t="n"/>
      <c r="AI2" s="27" t="n"/>
      <c r="AJ2" s="27" t="n"/>
      <c r="AK2" s="27" t="n"/>
      <c r="AL2" s="27" t="n"/>
      <c r="AM2" s="27" t="n"/>
      <c r="AN2" s="27" t="n"/>
      <c r="AO2" s="27" t="n"/>
      <c r="AP2" s="27" t="n"/>
      <c r="AQ2" s="27" t="n"/>
      <c r="AR2" s="27" t="n"/>
      <c r="AS2" s="27" t="n"/>
      <c r="AT2" s="27" t="n"/>
      <c r="AU2" s="27" t="n"/>
      <c r="AV2" s="27" t="n"/>
      <c r="AW2" s="27" t="n"/>
      <c r="AX2" s="27" t="n"/>
      <c r="AY2" s="27" t="n"/>
      <c r="AZ2" s="27" t="n"/>
      <c r="BA2" s="27" t="n"/>
      <c r="BB2" s="27" t="n"/>
      <c r="BC2" s="27" t="n"/>
      <c r="BD2" s="27" t="n"/>
      <c r="BE2" s="27" t="n"/>
      <c r="BF2" s="27" t="n"/>
      <c r="BG2" s="27" t="n"/>
      <c r="BH2" s="27" t="n"/>
      <c r="BI2" s="27" t="n"/>
      <c r="BJ2" s="27" t="n"/>
      <c r="BK2" s="27" t="n"/>
      <c r="BL2" s="27" t="n"/>
      <c r="BM2" s="27" t="n"/>
      <c r="BN2" s="27" t="n"/>
      <c r="BO2" s="27" t="n"/>
      <c r="BP2" s="27" t="n"/>
      <c r="BQ2" s="27" t="n"/>
      <c r="BR2" s="27" t="n"/>
      <c r="BS2" s="27" t="n"/>
      <c r="BT2" s="27" t="n"/>
      <c r="BU2" s="27" t="n"/>
      <c r="BV2" s="27" t="n"/>
      <c r="BW2" s="27" t="n"/>
      <c r="BX2" s="27" t="n"/>
      <c r="BY2" s="27" t="n"/>
      <c r="BZ2" s="27" t="n"/>
      <c r="CA2" s="27" t="n"/>
      <c r="CB2" s="27" t="n"/>
      <c r="CC2" s="27" t="n"/>
      <c r="CD2" s="27" t="n"/>
      <c r="CE2" s="27" t="n"/>
      <c r="CF2" s="27" t="n"/>
      <c r="CG2" s="27" t="n"/>
      <c r="CH2" s="27" t="n"/>
      <c r="CI2" s="27" t="n"/>
      <c r="CJ2" s="27" t="n"/>
      <c r="CK2" s="27" t="n"/>
      <c r="CL2" s="27" t="n"/>
      <c r="CM2" s="27" t="n"/>
      <c r="CN2" s="27" t="n"/>
      <c r="CO2" s="27" t="n"/>
      <c r="CP2" s="27" t="n"/>
      <c r="CQ2" s="27" t="n"/>
      <c r="CR2" s="27" t="n"/>
      <c r="CS2" s="27" t="n"/>
      <c r="CT2" s="27" t="n"/>
      <c r="CU2" s="27" t="n"/>
      <c r="CV2" s="27" t="n"/>
      <c r="CW2" s="27" t="n"/>
      <c r="CX2" s="27" t="n"/>
      <c r="CY2" s="27" t="n"/>
      <c r="CZ2" s="27" t="n"/>
      <c r="DA2" s="27" t="n"/>
      <c r="DB2" s="27" t="n"/>
      <c r="DC2" s="27" t="n"/>
      <c r="DD2" s="27" t="n"/>
      <c r="DE2" s="27" t="n"/>
      <c r="DF2" s="27" t="n"/>
      <c r="DG2" s="27" t="n"/>
      <c r="DH2" s="27" t="n"/>
      <c r="DI2" s="27" t="n"/>
      <c r="DJ2" s="27" t="n"/>
      <c r="DK2" s="27" t="n"/>
      <c r="DL2" s="27" t="n"/>
      <c r="DM2" s="27" t="n"/>
      <c r="DN2" s="27" t="n"/>
      <c r="DO2" s="27" t="n"/>
      <c r="DP2" s="27" t="n"/>
      <c r="DQ2" s="27" t="n"/>
      <c r="DR2" s="27" t="n"/>
      <c r="DS2" s="27" t="n"/>
      <c r="DT2" s="27" t="n"/>
      <c r="DU2" s="27" t="n"/>
      <c r="DV2" s="27" t="n"/>
      <c r="DW2" s="27" t="n"/>
      <c r="DX2" s="27" t="n"/>
      <c r="DY2" s="27" t="n"/>
    </row>
    <row r="3" customFormat="1" s="26">
      <c r="A3" s="28" t="n"/>
      <c r="B3" s="29" t="n"/>
      <c r="C3" s="30" t="n"/>
      <c r="D3" s="30" t="n"/>
      <c r="E3" s="27" t="n"/>
      <c r="F3" s="27" t="n"/>
      <c r="G3" s="29">
        <f>G1&amp;" Industrial Production yoy"</f>
        <v/>
      </c>
      <c r="H3" s="27" t="n"/>
      <c r="I3" s="27" t="n"/>
      <c r="J3" s="27" t="n"/>
      <c r="K3" s="27" t="n"/>
      <c r="L3" s="27" t="n"/>
      <c r="M3" s="27" t="n"/>
      <c r="N3" s="27" t="n"/>
      <c r="O3" s="27" t="n"/>
      <c r="P3" s="27" t="n"/>
      <c r="Q3" s="27" t="n"/>
      <c r="R3" s="27" t="n"/>
      <c r="S3" s="27" t="n"/>
      <c r="T3" s="27" t="n"/>
      <c r="U3" s="27" t="n"/>
      <c r="V3" s="27" t="n"/>
      <c r="W3" s="27" t="n"/>
      <c r="X3" s="27" t="n"/>
      <c r="Y3" s="27" t="n"/>
      <c r="Z3" s="27" t="n"/>
      <c r="AA3" s="27" t="n"/>
      <c r="AB3" s="27" t="n"/>
      <c r="AC3" s="27" t="n"/>
      <c r="AD3" s="27" t="n"/>
      <c r="AE3" s="27" t="n"/>
      <c r="AF3" s="27" t="n"/>
      <c r="AG3" s="27" t="n"/>
      <c r="AH3" s="27" t="n"/>
      <c r="AI3" s="27" t="n"/>
      <c r="AJ3" s="27" t="n"/>
      <c r="AK3" s="27" t="n"/>
      <c r="AL3" s="27" t="n"/>
      <c r="AM3" s="27" t="n"/>
      <c r="AN3" s="27" t="n"/>
      <c r="AO3" s="27" t="n"/>
      <c r="AP3" s="27" t="n"/>
      <c r="AQ3" s="27" t="n"/>
      <c r="AR3" s="27" t="n"/>
      <c r="AS3" s="27" t="n"/>
      <c r="AT3" s="27" t="n"/>
      <c r="AU3" s="27" t="n"/>
      <c r="AV3" s="27" t="n"/>
      <c r="AW3" s="27" t="n"/>
      <c r="AX3" s="27" t="n"/>
      <c r="AY3" s="27" t="n"/>
      <c r="AZ3" s="27" t="n"/>
      <c r="BA3" s="27" t="n"/>
      <c r="BB3" s="27" t="n"/>
      <c r="BC3" s="27" t="n"/>
      <c r="BD3" s="27" t="n"/>
      <c r="BE3" s="27" t="n"/>
      <c r="BF3" s="27" t="n"/>
      <c r="BG3" s="27" t="n"/>
      <c r="BH3" s="27" t="n"/>
      <c r="BI3" s="27" t="n"/>
      <c r="BJ3" s="27" t="n"/>
      <c r="BK3" s="27" t="n"/>
      <c r="BL3" s="27" t="n"/>
      <c r="BM3" s="27" t="n"/>
      <c r="BN3" s="27" t="n"/>
      <c r="BO3" s="27" t="n"/>
      <c r="BP3" s="27" t="n"/>
      <c r="BQ3" s="27" t="n"/>
      <c r="BR3" s="27" t="n"/>
      <c r="BS3" s="27" t="n"/>
      <c r="BT3" s="27" t="n"/>
      <c r="BU3" s="27" t="n"/>
      <c r="BV3" s="27" t="n"/>
      <c r="BW3" s="27" t="n"/>
      <c r="BX3" s="27" t="n"/>
      <c r="BY3" s="27" t="n"/>
      <c r="BZ3" s="27" t="n"/>
      <c r="CA3" s="27" t="n"/>
      <c r="CB3" s="27" t="n"/>
      <c r="CC3" s="27" t="n"/>
      <c r="CD3" s="27" t="n"/>
      <c r="CE3" s="27" t="n"/>
      <c r="CF3" s="27" t="n"/>
      <c r="CG3" s="27" t="n"/>
      <c r="CH3" s="27" t="n"/>
      <c r="CI3" s="27" t="n"/>
      <c r="CJ3" s="27" t="n"/>
      <c r="CK3" s="27" t="n"/>
      <c r="CL3" s="27" t="n"/>
      <c r="CM3" s="27" t="n"/>
      <c r="CN3" s="27" t="n"/>
      <c r="CO3" s="27" t="n"/>
      <c r="CP3" s="27" t="n"/>
      <c r="CQ3" s="27" t="n"/>
      <c r="CR3" s="27" t="n"/>
      <c r="CS3" s="27" t="n"/>
      <c r="CT3" s="27" t="n"/>
      <c r="CU3" s="27" t="n"/>
      <c r="CV3" s="27" t="n"/>
      <c r="CW3" s="27" t="n"/>
      <c r="CX3" s="27" t="n"/>
      <c r="CY3" s="27" t="n"/>
      <c r="CZ3" s="27" t="n"/>
      <c r="DA3" s="27" t="n"/>
      <c r="DB3" s="27" t="n"/>
      <c r="DC3" s="27" t="n"/>
      <c r="DD3" s="27" t="n"/>
      <c r="DE3" s="27" t="n"/>
      <c r="DF3" s="27" t="n"/>
      <c r="DG3" s="27" t="n"/>
      <c r="DH3" s="27" t="n"/>
      <c r="DI3" s="27" t="n"/>
      <c r="DJ3" s="27" t="n"/>
      <c r="DK3" s="27" t="n"/>
      <c r="DL3" s="27" t="n"/>
      <c r="DM3" s="27" t="n"/>
      <c r="DN3" s="27" t="n"/>
      <c r="DO3" s="27" t="n"/>
      <c r="DP3" s="27" t="n"/>
      <c r="DQ3" s="27" t="n"/>
      <c r="DR3" s="27" t="n"/>
      <c r="DS3" s="27" t="n"/>
      <c r="DT3" s="27" t="n"/>
      <c r="DU3" s="27" t="n"/>
      <c r="DV3" s="27" t="n"/>
      <c r="DW3" s="27" t="n"/>
      <c r="DX3" s="27" t="n"/>
      <c r="DY3" s="27" t="n"/>
    </row>
    <row r="4">
      <c r="A4" s="24" t="inlineStr">
        <is>
          <t>Month</t>
        </is>
      </c>
      <c r="B4" s="32" t="inlineStr">
        <is>
          <t>USA</t>
        </is>
      </c>
      <c r="C4" s="25" t="inlineStr">
        <is>
          <t>mom</t>
        </is>
      </c>
      <c r="D4" s="25" t="inlineStr">
        <is>
          <t>yoy</t>
        </is>
      </c>
      <c r="G4" s="29">
        <f>G1&amp;" Industrial Production"</f>
        <v/>
      </c>
    </row>
    <row r="5">
      <c r="A5" s="21" t="n">
        <v>33208</v>
      </c>
      <c r="B5" s="76">
        <f>VLOOKUP(A5,Database!$A:$AU,MATCH($B$4,Database!$A$1:$AU$1,0),FALSE)</f>
        <v/>
      </c>
      <c r="C5" s="22" t="n"/>
      <c r="D5" s="23" t="n"/>
    </row>
    <row r="6">
      <c r="A6" s="21" t="n">
        <v>33239</v>
      </c>
      <c r="B6" s="76">
        <f>VLOOKUP(A6,Database!$A:$AU,MATCH($B$4,Database!$A$1:$AU$1,0),FALSE)</f>
        <v/>
      </c>
      <c r="C6" s="22">
        <f>(Table13456789101112131415161734[[#This Row],[USA]]-B5)/B5</f>
        <v/>
      </c>
      <c r="D6" s="23" t="n"/>
    </row>
    <row r="7">
      <c r="A7" s="21" t="n">
        <v>33270</v>
      </c>
      <c r="B7" s="76">
        <f>VLOOKUP(A7,Database!$A:$AU,MATCH($B$4,Database!$A$1:$AU$1,0),FALSE)</f>
        <v/>
      </c>
      <c r="C7" s="22">
        <f>(Table13456789101112131415161734[[#This Row],[USA]]-B6)/B6</f>
        <v/>
      </c>
      <c r="D7" s="23" t="n"/>
    </row>
    <row r="8">
      <c r="A8" s="21" t="n">
        <v>33298</v>
      </c>
      <c r="B8" s="76">
        <f>VLOOKUP(A8,Database!$A:$AU,MATCH($B$4,Database!$A$1:$AU$1,0),FALSE)</f>
        <v/>
      </c>
      <c r="C8" s="22">
        <f>(Table13456789101112131415161734[[#This Row],[USA]]-B7)/B7</f>
        <v/>
      </c>
      <c r="D8" s="23" t="n"/>
    </row>
    <row r="9">
      <c r="A9" s="21" t="n">
        <v>33329</v>
      </c>
      <c r="B9" s="76">
        <f>VLOOKUP(A9,Database!$A:$AU,MATCH($B$4,Database!$A$1:$AU$1,0),FALSE)</f>
        <v/>
      </c>
      <c r="C9" s="22">
        <f>(Table13456789101112131415161734[[#This Row],[USA]]-B8)/B8</f>
        <v/>
      </c>
      <c r="D9" s="23" t="n"/>
    </row>
    <row r="10">
      <c r="A10" s="21" t="n">
        <v>33359</v>
      </c>
      <c r="B10" s="76">
        <f>VLOOKUP(A10,Database!$A:$AU,MATCH($B$4,Database!$A$1:$AU$1,0),FALSE)</f>
        <v/>
      </c>
      <c r="C10" s="22">
        <f>(Table13456789101112131415161734[[#This Row],[USA]]-B9)/B9</f>
        <v/>
      </c>
      <c r="D10" s="23" t="n"/>
    </row>
    <row r="11">
      <c r="A11" s="21" t="n">
        <v>33390</v>
      </c>
      <c r="B11" s="76">
        <f>VLOOKUP(A11,Database!$A:$AU,MATCH($B$4,Database!$A$1:$AU$1,0),FALSE)</f>
        <v/>
      </c>
      <c r="C11" s="22">
        <f>(Table13456789101112131415161734[[#This Row],[USA]]-B10)/B10</f>
        <v/>
      </c>
      <c r="D11" s="23" t="n"/>
    </row>
    <row r="12">
      <c r="A12" s="21" t="n">
        <v>33420</v>
      </c>
      <c r="B12" s="76">
        <f>VLOOKUP(A12,Database!$A:$AU,MATCH($B$4,Database!$A$1:$AU$1,0),FALSE)</f>
        <v/>
      </c>
      <c r="C12" s="22">
        <f>(Table13456789101112131415161734[[#This Row],[USA]]-B11)/B11</f>
        <v/>
      </c>
      <c r="D12" s="23" t="n"/>
    </row>
    <row r="13">
      <c r="A13" s="21" t="n">
        <v>33451</v>
      </c>
      <c r="B13" s="76">
        <f>VLOOKUP(A13,Database!$A:$AU,MATCH($B$4,Database!$A$1:$AU$1,0),FALSE)</f>
        <v/>
      </c>
      <c r="C13" s="22">
        <f>(Table13456789101112131415161734[[#This Row],[USA]]-B12)/B12</f>
        <v/>
      </c>
      <c r="D13" s="23" t="n"/>
    </row>
    <row r="14">
      <c r="A14" s="21" t="n">
        <v>33482</v>
      </c>
      <c r="B14" s="76">
        <f>VLOOKUP(A14,Database!$A:$AU,MATCH($B$4,Database!$A$1:$AU$1,0),FALSE)</f>
        <v/>
      </c>
      <c r="C14" s="22">
        <f>(Table13456789101112131415161734[[#This Row],[USA]]-B13)/B13</f>
        <v/>
      </c>
      <c r="D14" s="23" t="n"/>
    </row>
    <row r="15">
      <c r="A15" s="21" t="n">
        <v>33512</v>
      </c>
      <c r="B15" s="76">
        <f>VLOOKUP(A15,Database!$A:$AU,MATCH($B$4,Database!$A$1:$AU$1,0),FALSE)</f>
        <v/>
      </c>
      <c r="C15" s="22">
        <f>(Table13456789101112131415161734[[#This Row],[USA]]-B14)/B14</f>
        <v/>
      </c>
      <c r="D15" s="23" t="n"/>
    </row>
    <row r="16">
      <c r="A16" s="21" t="n">
        <v>33543</v>
      </c>
      <c r="B16" s="76">
        <f>VLOOKUP(A16,Database!$A:$AU,MATCH($B$4,Database!$A$1:$AU$1,0),FALSE)</f>
        <v/>
      </c>
      <c r="C16" s="22">
        <f>(Table13456789101112131415161734[[#This Row],[USA]]-B15)/B15</f>
        <v/>
      </c>
      <c r="D16" s="23" t="n"/>
    </row>
    <row r="17">
      <c r="A17" s="21" t="n">
        <v>33573</v>
      </c>
      <c r="B17" s="76">
        <f>VLOOKUP(A17,Database!$A:$AU,MATCH($B$4,Database!$A$1:$AU$1,0),FALSE)</f>
        <v/>
      </c>
      <c r="C17" s="22">
        <f>(Table13456789101112131415161734[[#This Row],[USA]]-B16)/B16</f>
        <v/>
      </c>
      <c r="D17" s="23">
        <f>(Table13456789101112131415161734[[#This Row],[USA]]-B5)/B5</f>
        <v/>
      </c>
    </row>
    <row r="18">
      <c r="A18" s="21" t="n">
        <v>33604</v>
      </c>
      <c r="B18" s="76">
        <f>VLOOKUP(A18,Database!$A:$AU,MATCH($B$4,Database!$A$1:$AU$1,0),FALSE)</f>
        <v/>
      </c>
      <c r="C18" s="22">
        <f>(Table13456789101112131415161734[[#This Row],[USA]]-B17)/B17</f>
        <v/>
      </c>
      <c r="D18" s="23">
        <f>(Table13456789101112131415161734[[#This Row],[USA]]-B6)/B6</f>
        <v/>
      </c>
    </row>
    <row r="19">
      <c r="A19" s="21" t="n">
        <v>33635</v>
      </c>
      <c r="B19" s="76">
        <f>VLOOKUP(A19,Database!$A:$AU,MATCH($B$4,Database!$A$1:$AU$1,0),FALSE)</f>
        <v/>
      </c>
      <c r="C19" s="22">
        <f>(Table13456789101112131415161734[[#This Row],[USA]]-B18)/B18</f>
        <v/>
      </c>
      <c r="D19" s="23">
        <f>(Table13456789101112131415161734[[#This Row],[USA]]-B7)/B7</f>
        <v/>
      </c>
    </row>
    <row r="20">
      <c r="A20" s="21" t="n">
        <v>33664</v>
      </c>
      <c r="B20" s="76">
        <f>VLOOKUP(A20,Database!$A:$AU,MATCH($B$4,Database!$A$1:$AU$1,0),FALSE)</f>
        <v/>
      </c>
      <c r="C20" s="22">
        <f>(Table13456789101112131415161734[[#This Row],[USA]]-B19)/B19</f>
        <v/>
      </c>
      <c r="D20" s="23">
        <f>(Table13456789101112131415161734[[#This Row],[USA]]-B8)/B8</f>
        <v/>
      </c>
    </row>
    <row r="21">
      <c r="A21" s="21" t="n">
        <v>33695</v>
      </c>
      <c r="B21" s="76">
        <f>VLOOKUP(A21,Database!$A:$AU,MATCH($B$4,Database!$A$1:$AU$1,0),FALSE)</f>
        <v/>
      </c>
      <c r="C21" s="22">
        <f>(Table13456789101112131415161734[[#This Row],[USA]]-B20)/B20</f>
        <v/>
      </c>
      <c r="D21" s="23">
        <f>(Table13456789101112131415161734[[#This Row],[USA]]-B9)/B9</f>
        <v/>
      </c>
    </row>
    <row r="22">
      <c r="A22" s="21" t="n">
        <v>33725</v>
      </c>
      <c r="B22" s="76">
        <f>VLOOKUP(A22,Database!$A:$AU,MATCH($B$4,Database!$A$1:$AU$1,0),FALSE)</f>
        <v/>
      </c>
      <c r="C22" s="22">
        <f>(Table13456789101112131415161734[[#This Row],[USA]]-B21)/B21</f>
        <v/>
      </c>
      <c r="D22" s="23">
        <f>(Table13456789101112131415161734[[#This Row],[USA]]-B10)/B10</f>
        <v/>
      </c>
    </row>
    <row r="23">
      <c r="A23" s="21" t="n">
        <v>33756</v>
      </c>
      <c r="B23" s="76">
        <f>VLOOKUP(A23,Database!$A:$AU,MATCH($B$4,Database!$A$1:$AU$1,0),FALSE)</f>
        <v/>
      </c>
      <c r="C23" s="22">
        <f>(Table13456789101112131415161734[[#This Row],[USA]]-B22)/B22</f>
        <v/>
      </c>
      <c r="D23" s="23">
        <f>(Table13456789101112131415161734[[#This Row],[USA]]-B11)/B11</f>
        <v/>
      </c>
    </row>
    <row r="24">
      <c r="A24" s="21" t="n">
        <v>33786</v>
      </c>
      <c r="B24" s="76">
        <f>VLOOKUP(A24,Database!$A:$AU,MATCH($B$4,Database!$A$1:$AU$1,0),FALSE)</f>
        <v/>
      </c>
      <c r="C24" s="22">
        <f>(Table13456789101112131415161734[[#This Row],[USA]]-B23)/B23</f>
        <v/>
      </c>
      <c r="D24" s="23">
        <f>(Table13456789101112131415161734[[#This Row],[USA]]-B12)/B12</f>
        <v/>
      </c>
    </row>
    <row r="25">
      <c r="A25" s="21" t="n">
        <v>33817</v>
      </c>
      <c r="B25" s="76">
        <f>VLOOKUP(A25,Database!$A:$AU,MATCH($B$4,Database!$A$1:$AU$1,0),FALSE)</f>
        <v/>
      </c>
      <c r="C25" s="22">
        <f>(Table13456789101112131415161734[[#This Row],[USA]]-B24)/B24</f>
        <v/>
      </c>
      <c r="D25" s="23">
        <f>(Table13456789101112131415161734[[#This Row],[USA]]-B13)/B13</f>
        <v/>
      </c>
    </row>
    <row r="26">
      <c r="A26" s="21" t="n">
        <v>33848</v>
      </c>
      <c r="B26" s="76">
        <f>VLOOKUP(A26,Database!$A:$AU,MATCH($B$4,Database!$A$1:$AU$1,0),FALSE)</f>
        <v/>
      </c>
      <c r="C26" s="22">
        <f>(Table13456789101112131415161734[[#This Row],[USA]]-B25)/B25</f>
        <v/>
      </c>
      <c r="D26" s="23">
        <f>(Table13456789101112131415161734[[#This Row],[USA]]-B14)/B14</f>
        <v/>
      </c>
    </row>
    <row r="27">
      <c r="A27" s="21" t="n">
        <v>33878</v>
      </c>
      <c r="B27" s="76">
        <f>VLOOKUP(A27,Database!$A:$AU,MATCH($B$4,Database!$A$1:$AU$1,0),FALSE)</f>
        <v/>
      </c>
      <c r="C27" s="22">
        <f>(Table13456789101112131415161734[[#This Row],[USA]]-B26)/B26</f>
        <v/>
      </c>
      <c r="D27" s="23">
        <f>(Table13456789101112131415161734[[#This Row],[USA]]-B15)/B15</f>
        <v/>
      </c>
    </row>
    <row r="28">
      <c r="A28" s="21" t="n">
        <v>33909</v>
      </c>
      <c r="B28" s="76">
        <f>VLOOKUP(A28,Database!$A:$AU,MATCH($B$4,Database!$A$1:$AU$1,0),FALSE)</f>
        <v/>
      </c>
      <c r="C28" s="22">
        <f>(Table13456789101112131415161734[[#This Row],[USA]]-B27)/B27</f>
        <v/>
      </c>
      <c r="D28" s="23">
        <f>(Table13456789101112131415161734[[#This Row],[USA]]-B16)/B16</f>
        <v/>
      </c>
    </row>
    <row r="29">
      <c r="A29" s="21" t="n">
        <v>33939</v>
      </c>
      <c r="B29" s="76">
        <f>VLOOKUP(A29,Database!$A:$AU,MATCH($B$4,Database!$A$1:$AU$1,0),FALSE)</f>
        <v/>
      </c>
      <c r="C29" s="22">
        <f>(Table13456789101112131415161734[[#This Row],[USA]]-B28)/B28</f>
        <v/>
      </c>
      <c r="D29" s="23">
        <f>(Table13456789101112131415161734[[#This Row],[USA]]-B17)/B17</f>
        <v/>
      </c>
    </row>
    <row r="30">
      <c r="A30" s="21" t="n">
        <v>33970</v>
      </c>
      <c r="B30" s="76">
        <f>VLOOKUP(A30,Database!$A:$AU,MATCH($B$4,Database!$A$1:$AU$1,0),FALSE)</f>
        <v/>
      </c>
      <c r="C30" s="22">
        <f>(Table13456789101112131415161734[[#This Row],[USA]]-B29)/B29</f>
        <v/>
      </c>
      <c r="D30" s="23">
        <f>(Table13456789101112131415161734[[#This Row],[USA]]-B18)/B18</f>
        <v/>
      </c>
    </row>
    <row r="31">
      <c r="A31" s="21" t="n">
        <v>34001</v>
      </c>
      <c r="B31" s="76">
        <f>VLOOKUP(A31,Database!$A:$AU,MATCH($B$4,Database!$A$1:$AU$1,0),FALSE)</f>
        <v/>
      </c>
      <c r="C31" s="22">
        <f>(Table13456789101112131415161734[[#This Row],[USA]]-B30)/B30</f>
        <v/>
      </c>
      <c r="D31" s="23">
        <f>(Table13456789101112131415161734[[#This Row],[USA]]-B19)/B19</f>
        <v/>
      </c>
    </row>
    <row r="32">
      <c r="A32" s="21" t="n">
        <v>34029</v>
      </c>
      <c r="B32" s="76">
        <f>VLOOKUP(A32,Database!$A:$AU,MATCH($B$4,Database!$A$1:$AU$1,0),FALSE)</f>
        <v/>
      </c>
      <c r="C32" s="22">
        <f>(Table13456789101112131415161734[[#This Row],[USA]]-B31)/B31</f>
        <v/>
      </c>
      <c r="D32" s="23">
        <f>(Table13456789101112131415161734[[#This Row],[USA]]-B20)/B20</f>
        <v/>
      </c>
    </row>
    <row r="33">
      <c r="A33" s="21" t="n">
        <v>34060</v>
      </c>
      <c r="B33" s="76">
        <f>VLOOKUP(A33,Database!$A:$AU,MATCH($B$4,Database!$A$1:$AU$1,0),FALSE)</f>
        <v/>
      </c>
      <c r="C33" s="22">
        <f>(Table13456789101112131415161734[[#This Row],[USA]]-B32)/B32</f>
        <v/>
      </c>
      <c r="D33" s="23">
        <f>(Table13456789101112131415161734[[#This Row],[USA]]-B21)/B21</f>
        <v/>
      </c>
    </row>
    <row r="34">
      <c r="A34" s="21" t="n">
        <v>34090</v>
      </c>
      <c r="B34" s="76">
        <f>VLOOKUP(A34,Database!$A:$AU,MATCH($B$4,Database!$A$1:$AU$1,0),FALSE)</f>
        <v/>
      </c>
      <c r="C34" s="22">
        <f>(Table13456789101112131415161734[[#This Row],[USA]]-B33)/B33</f>
        <v/>
      </c>
      <c r="D34" s="23">
        <f>(Table13456789101112131415161734[[#This Row],[USA]]-B22)/B22</f>
        <v/>
      </c>
    </row>
    <row r="35">
      <c r="A35" s="21" t="n">
        <v>34121</v>
      </c>
      <c r="B35" s="76">
        <f>VLOOKUP(A35,Database!$A:$AU,MATCH($B$4,Database!$A$1:$AU$1,0),FALSE)</f>
        <v/>
      </c>
      <c r="C35" s="22">
        <f>(Table13456789101112131415161734[[#This Row],[USA]]-B34)/B34</f>
        <v/>
      </c>
      <c r="D35" s="23">
        <f>(Table13456789101112131415161734[[#This Row],[USA]]-B23)/B23</f>
        <v/>
      </c>
    </row>
    <row r="36">
      <c r="A36" s="21" t="n">
        <v>34151</v>
      </c>
      <c r="B36" s="76">
        <f>VLOOKUP(A36,Database!$A:$AU,MATCH($B$4,Database!$A$1:$AU$1,0),FALSE)</f>
        <v/>
      </c>
      <c r="C36" s="22">
        <f>(Table13456789101112131415161734[[#This Row],[USA]]-B35)/B35</f>
        <v/>
      </c>
      <c r="D36" s="23">
        <f>(Table13456789101112131415161734[[#This Row],[USA]]-B24)/B24</f>
        <v/>
      </c>
    </row>
    <row r="37">
      <c r="A37" s="21" t="n">
        <v>34182</v>
      </c>
      <c r="B37" s="76">
        <f>VLOOKUP(A37,Database!$A:$AU,MATCH($B$4,Database!$A$1:$AU$1,0),FALSE)</f>
        <v/>
      </c>
      <c r="C37" s="22">
        <f>(Table13456789101112131415161734[[#This Row],[USA]]-B36)/B36</f>
        <v/>
      </c>
      <c r="D37" s="23">
        <f>(Table13456789101112131415161734[[#This Row],[USA]]-B25)/B25</f>
        <v/>
      </c>
    </row>
    <row r="38">
      <c r="A38" s="21" t="n">
        <v>34213</v>
      </c>
      <c r="B38" s="76">
        <f>VLOOKUP(A38,Database!$A:$AU,MATCH($B$4,Database!$A$1:$AU$1,0),FALSE)</f>
        <v/>
      </c>
      <c r="C38" s="22">
        <f>(Table13456789101112131415161734[[#This Row],[USA]]-B37)/B37</f>
        <v/>
      </c>
      <c r="D38" s="23">
        <f>(Table13456789101112131415161734[[#This Row],[USA]]-B26)/B26</f>
        <v/>
      </c>
    </row>
    <row r="39">
      <c r="A39" s="21" t="n">
        <v>34243</v>
      </c>
      <c r="B39" s="76">
        <f>VLOOKUP(A39,Database!$A:$AU,MATCH($B$4,Database!$A$1:$AU$1,0),FALSE)</f>
        <v/>
      </c>
      <c r="C39" s="22">
        <f>(Table13456789101112131415161734[[#This Row],[USA]]-B38)/B38</f>
        <v/>
      </c>
      <c r="D39" s="23">
        <f>(Table13456789101112131415161734[[#This Row],[USA]]-B27)/B27</f>
        <v/>
      </c>
    </row>
    <row r="40">
      <c r="A40" s="21" t="n">
        <v>34274</v>
      </c>
      <c r="B40" s="76">
        <f>VLOOKUP(A40,Database!$A:$AU,MATCH($B$4,Database!$A$1:$AU$1,0),FALSE)</f>
        <v/>
      </c>
      <c r="C40" s="22">
        <f>(Table13456789101112131415161734[[#This Row],[USA]]-B39)/B39</f>
        <v/>
      </c>
      <c r="D40" s="23">
        <f>(Table13456789101112131415161734[[#This Row],[USA]]-B28)/B28</f>
        <v/>
      </c>
    </row>
    <row r="41">
      <c r="A41" s="21" t="n">
        <v>34304</v>
      </c>
      <c r="B41" s="76">
        <f>VLOOKUP(A41,Database!$A:$AU,MATCH($B$4,Database!$A$1:$AU$1,0),FALSE)</f>
        <v/>
      </c>
      <c r="C41" s="22">
        <f>(Table13456789101112131415161734[[#This Row],[USA]]-B40)/B40</f>
        <v/>
      </c>
      <c r="D41" s="23">
        <f>(Table13456789101112131415161734[[#This Row],[USA]]-B29)/B29</f>
        <v/>
      </c>
    </row>
    <row r="42">
      <c r="A42" s="21" t="n">
        <v>34335</v>
      </c>
      <c r="B42" s="76">
        <f>VLOOKUP(A42,Database!$A:$AU,MATCH($B$4,Database!$A$1:$AU$1,0),FALSE)</f>
        <v/>
      </c>
      <c r="C42" s="22">
        <f>(Table13456789101112131415161734[[#This Row],[USA]]-B41)/B41</f>
        <v/>
      </c>
      <c r="D42" s="23">
        <f>(Table13456789101112131415161734[[#This Row],[USA]]-B30)/B30</f>
        <v/>
      </c>
    </row>
    <row r="43">
      <c r="A43" s="21" t="n">
        <v>34366</v>
      </c>
      <c r="B43" s="76">
        <f>VLOOKUP(A43,Database!$A:$AU,MATCH($B$4,Database!$A$1:$AU$1,0),FALSE)</f>
        <v/>
      </c>
      <c r="C43" s="22">
        <f>(Table13456789101112131415161734[[#This Row],[USA]]-B42)/B42</f>
        <v/>
      </c>
      <c r="D43" s="23">
        <f>(Table13456789101112131415161734[[#This Row],[USA]]-B31)/B31</f>
        <v/>
      </c>
    </row>
    <row r="44">
      <c r="A44" s="21" t="n">
        <v>34394</v>
      </c>
      <c r="B44" s="76">
        <f>VLOOKUP(A44,Database!$A:$AU,MATCH($B$4,Database!$A$1:$AU$1,0),FALSE)</f>
        <v/>
      </c>
      <c r="C44" s="22">
        <f>(Table13456789101112131415161734[[#This Row],[USA]]-B43)/B43</f>
        <v/>
      </c>
      <c r="D44" s="23">
        <f>(Table13456789101112131415161734[[#This Row],[USA]]-B32)/B32</f>
        <v/>
      </c>
    </row>
    <row r="45">
      <c r="A45" s="21" t="n">
        <v>34425</v>
      </c>
      <c r="B45" s="76">
        <f>VLOOKUP(A45,Database!$A:$AU,MATCH($B$4,Database!$A$1:$AU$1,0),FALSE)</f>
        <v/>
      </c>
      <c r="C45" s="22">
        <f>(Table13456789101112131415161734[[#This Row],[USA]]-B44)/B44</f>
        <v/>
      </c>
      <c r="D45" s="23">
        <f>(Table13456789101112131415161734[[#This Row],[USA]]-B33)/B33</f>
        <v/>
      </c>
    </row>
    <row r="46">
      <c r="A46" s="21" t="n">
        <v>34455</v>
      </c>
      <c r="B46" s="76">
        <f>VLOOKUP(A46,Database!$A:$AU,MATCH($B$4,Database!$A$1:$AU$1,0),FALSE)</f>
        <v/>
      </c>
      <c r="C46" s="22">
        <f>(Table13456789101112131415161734[[#This Row],[USA]]-B45)/B45</f>
        <v/>
      </c>
      <c r="D46" s="23">
        <f>(Table13456789101112131415161734[[#This Row],[USA]]-B34)/B34</f>
        <v/>
      </c>
    </row>
    <row r="47">
      <c r="A47" s="21" t="n">
        <v>34486</v>
      </c>
      <c r="B47" s="76">
        <f>VLOOKUP(A47,Database!$A:$AU,MATCH($B$4,Database!$A$1:$AU$1,0),FALSE)</f>
        <v/>
      </c>
      <c r="C47" s="22">
        <f>(Table13456789101112131415161734[[#This Row],[USA]]-B46)/B46</f>
        <v/>
      </c>
      <c r="D47" s="23">
        <f>(Table13456789101112131415161734[[#This Row],[USA]]-B35)/B35</f>
        <v/>
      </c>
    </row>
    <row r="48">
      <c r="A48" s="21" t="n">
        <v>34516</v>
      </c>
      <c r="B48" s="76">
        <f>VLOOKUP(A48,Database!$A:$AU,MATCH($B$4,Database!$A$1:$AU$1,0),FALSE)</f>
        <v/>
      </c>
      <c r="C48" s="22">
        <f>(Table13456789101112131415161734[[#This Row],[USA]]-B47)/B47</f>
        <v/>
      </c>
      <c r="D48" s="23">
        <f>(Table13456789101112131415161734[[#This Row],[USA]]-B36)/B36</f>
        <v/>
      </c>
    </row>
    <row r="49">
      <c r="A49" s="21" t="n">
        <v>34547</v>
      </c>
      <c r="B49" s="76">
        <f>VLOOKUP(A49,Database!$A:$AU,MATCH($B$4,Database!$A$1:$AU$1,0),FALSE)</f>
        <v/>
      </c>
      <c r="C49" s="22">
        <f>(Table13456789101112131415161734[[#This Row],[USA]]-B48)/B48</f>
        <v/>
      </c>
      <c r="D49" s="23">
        <f>(Table13456789101112131415161734[[#This Row],[USA]]-B37)/B37</f>
        <v/>
      </c>
    </row>
    <row r="50">
      <c r="A50" s="21" t="n">
        <v>34578</v>
      </c>
      <c r="B50" s="76">
        <f>VLOOKUP(A50,Database!$A:$AU,MATCH($B$4,Database!$A$1:$AU$1,0),FALSE)</f>
        <v/>
      </c>
      <c r="C50" s="22">
        <f>(Table13456789101112131415161734[[#This Row],[USA]]-B49)/B49</f>
        <v/>
      </c>
      <c r="D50" s="23">
        <f>(Table13456789101112131415161734[[#This Row],[USA]]-B38)/B38</f>
        <v/>
      </c>
    </row>
    <row r="51">
      <c r="A51" s="21" t="n">
        <v>34608</v>
      </c>
      <c r="B51" s="76">
        <f>VLOOKUP(A51,Database!$A:$AU,MATCH($B$4,Database!$A$1:$AU$1,0),FALSE)</f>
        <v/>
      </c>
      <c r="C51" s="22">
        <f>(Table13456789101112131415161734[[#This Row],[USA]]-B50)/B50</f>
        <v/>
      </c>
      <c r="D51" s="23">
        <f>(Table13456789101112131415161734[[#This Row],[USA]]-B39)/B39</f>
        <v/>
      </c>
    </row>
    <row r="52">
      <c r="A52" s="21" t="n">
        <v>34639</v>
      </c>
      <c r="B52" s="76">
        <f>VLOOKUP(A52,Database!$A:$AU,MATCH($B$4,Database!$A$1:$AU$1,0),FALSE)</f>
        <v/>
      </c>
      <c r="C52" s="22">
        <f>(Table13456789101112131415161734[[#This Row],[USA]]-B51)/B51</f>
        <v/>
      </c>
      <c r="D52" s="23">
        <f>(Table13456789101112131415161734[[#This Row],[USA]]-B40)/B40</f>
        <v/>
      </c>
    </row>
    <row r="53">
      <c r="A53" s="21" t="n">
        <v>34669</v>
      </c>
      <c r="B53" s="76">
        <f>VLOOKUP(A53,Database!$A:$AU,MATCH($B$4,Database!$A$1:$AU$1,0),FALSE)</f>
        <v/>
      </c>
      <c r="C53" s="22">
        <f>(Table13456789101112131415161734[[#This Row],[USA]]-B52)/B52</f>
        <v/>
      </c>
      <c r="D53" s="23">
        <f>(Table13456789101112131415161734[[#This Row],[USA]]-B41)/B41</f>
        <v/>
      </c>
    </row>
    <row r="54">
      <c r="A54" s="21" t="n">
        <v>34700</v>
      </c>
      <c r="B54" s="76">
        <f>VLOOKUP(A54,Database!$A:$AU,MATCH($B$4,Database!$A$1:$AU$1,0),FALSE)</f>
        <v/>
      </c>
      <c r="C54" s="22">
        <f>(Table13456789101112131415161734[[#This Row],[USA]]-B53)/B53</f>
        <v/>
      </c>
      <c r="D54" s="23">
        <f>(Table13456789101112131415161734[[#This Row],[USA]]-B42)/B42</f>
        <v/>
      </c>
    </row>
    <row r="55">
      <c r="A55" s="21" t="n">
        <v>34731</v>
      </c>
      <c r="B55" s="76">
        <f>VLOOKUP(A55,Database!$A:$AU,MATCH($B$4,Database!$A$1:$AU$1,0),FALSE)</f>
        <v/>
      </c>
      <c r="C55" s="22">
        <f>(Table13456789101112131415161734[[#This Row],[USA]]-B54)/B54</f>
        <v/>
      </c>
      <c r="D55" s="23">
        <f>(Table13456789101112131415161734[[#This Row],[USA]]-B43)/B43</f>
        <v/>
      </c>
    </row>
    <row r="56">
      <c r="A56" s="21" t="n">
        <v>34759</v>
      </c>
      <c r="B56" s="76">
        <f>VLOOKUP(A56,Database!$A:$AU,MATCH($B$4,Database!$A$1:$AU$1,0),FALSE)</f>
        <v/>
      </c>
      <c r="C56" s="22">
        <f>(Table13456789101112131415161734[[#This Row],[USA]]-B55)/B55</f>
        <v/>
      </c>
      <c r="D56" s="23">
        <f>(Table13456789101112131415161734[[#This Row],[USA]]-B44)/B44</f>
        <v/>
      </c>
    </row>
    <row r="57">
      <c r="A57" s="21" t="n">
        <v>34790</v>
      </c>
      <c r="B57" s="76">
        <f>VLOOKUP(A57,Database!$A:$AU,MATCH($B$4,Database!$A$1:$AU$1,0),FALSE)</f>
        <v/>
      </c>
      <c r="C57" s="22">
        <f>(Table13456789101112131415161734[[#This Row],[USA]]-B56)/B56</f>
        <v/>
      </c>
      <c r="D57" s="23">
        <f>(Table13456789101112131415161734[[#This Row],[USA]]-B45)/B45</f>
        <v/>
      </c>
    </row>
    <row r="58">
      <c r="A58" s="21" t="n">
        <v>34820</v>
      </c>
      <c r="B58" s="76">
        <f>VLOOKUP(A58,Database!$A:$AU,MATCH($B$4,Database!$A$1:$AU$1,0),FALSE)</f>
        <v/>
      </c>
      <c r="C58" s="22">
        <f>(Table13456789101112131415161734[[#This Row],[USA]]-B57)/B57</f>
        <v/>
      </c>
      <c r="D58" s="23">
        <f>(Table13456789101112131415161734[[#This Row],[USA]]-B46)/B46</f>
        <v/>
      </c>
    </row>
    <row r="59">
      <c r="A59" s="21" t="n">
        <v>34851</v>
      </c>
      <c r="B59" s="76">
        <f>VLOOKUP(A59,Database!$A:$AU,MATCH($B$4,Database!$A$1:$AU$1,0),FALSE)</f>
        <v/>
      </c>
      <c r="C59" s="22">
        <f>(Table13456789101112131415161734[[#This Row],[USA]]-B58)/B58</f>
        <v/>
      </c>
      <c r="D59" s="23">
        <f>(Table13456789101112131415161734[[#This Row],[USA]]-B47)/B47</f>
        <v/>
      </c>
    </row>
    <row r="60">
      <c r="A60" s="21" t="n">
        <v>34881</v>
      </c>
      <c r="B60" s="76">
        <f>VLOOKUP(A60,Database!$A:$AU,MATCH($B$4,Database!$A$1:$AU$1,0),FALSE)</f>
        <v/>
      </c>
      <c r="C60" s="22">
        <f>(Table13456789101112131415161734[[#This Row],[USA]]-B59)/B59</f>
        <v/>
      </c>
      <c r="D60" s="23">
        <f>(Table13456789101112131415161734[[#This Row],[USA]]-B48)/B48</f>
        <v/>
      </c>
    </row>
    <row r="61">
      <c r="A61" s="21" t="n">
        <v>34912</v>
      </c>
      <c r="B61" s="76">
        <f>VLOOKUP(A61,Database!$A:$AU,MATCH($B$4,Database!$A$1:$AU$1,0),FALSE)</f>
        <v/>
      </c>
      <c r="C61" s="22">
        <f>(Table13456789101112131415161734[[#This Row],[USA]]-B60)/B60</f>
        <v/>
      </c>
      <c r="D61" s="23">
        <f>(Table13456789101112131415161734[[#This Row],[USA]]-B49)/B49</f>
        <v/>
      </c>
    </row>
    <row r="62">
      <c r="A62" s="21" t="n">
        <v>34943</v>
      </c>
      <c r="B62" s="76">
        <f>VLOOKUP(A62,Database!$A:$AU,MATCH($B$4,Database!$A$1:$AU$1,0),FALSE)</f>
        <v/>
      </c>
      <c r="C62" s="22">
        <f>(Table13456789101112131415161734[[#This Row],[USA]]-B61)/B61</f>
        <v/>
      </c>
      <c r="D62" s="23">
        <f>(Table13456789101112131415161734[[#This Row],[USA]]-B50)/B50</f>
        <v/>
      </c>
    </row>
    <row r="63">
      <c r="A63" s="21" t="n">
        <v>34973</v>
      </c>
      <c r="B63" s="76">
        <f>VLOOKUP(A63,Database!$A:$AU,MATCH($B$4,Database!$A$1:$AU$1,0),FALSE)</f>
        <v/>
      </c>
      <c r="C63" s="22">
        <f>(Table13456789101112131415161734[[#This Row],[USA]]-B62)/B62</f>
        <v/>
      </c>
      <c r="D63" s="23">
        <f>(Table13456789101112131415161734[[#This Row],[USA]]-B51)/B51</f>
        <v/>
      </c>
    </row>
    <row r="64">
      <c r="A64" s="21" t="n">
        <v>35004</v>
      </c>
      <c r="B64" s="76">
        <f>VLOOKUP(A64,Database!$A:$AU,MATCH($B$4,Database!$A$1:$AU$1,0),FALSE)</f>
        <v/>
      </c>
      <c r="C64" s="22">
        <f>(Table13456789101112131415161734[[#This Row],[USA]]-B63)/B63</f>
        <v/>
      </c>
      <c r="D64" s="23">
        <f>(Table13456789101112131415161734[[#This Row],[USA]]-B52)/B52</f>
        <v/>
      </c>
    </row>
    <row r="65">
      <c r="A65" s="21" t="n">
        <v>35034</v>
      </c>
      <c r="B65" s="76">
        <f>VLOOKUP(A65,Database!$A:$AU,MATCH($B$4,Database!$A$1:$AU$1,0),FALSE)</f>
        <v/>
      </c>
      <c r="C65" s="22">
        <f>(Table13456789101112131415161734[[#This Row],[USA]]-B64)/B64</f>
        <v/>
      </c>
      <c r="D65" s="23">
        <f>(Table13456789101112131415161734[[#This Row],[USA]]-B53)/B53</f>
        <v/>
      </c>
    </row>
    <row r="66">
      <c r="A66" s="21" t="n">
        <v>35065</v>
      </c>
      <c r="B66" s="76">
        <f>VLOOKUP(A66,Database!$A:$AU,MATCH($B$4,Database!$A$1:$AU$1,0),FALSE)</f>
        <v/>
      </c>
      <c r="C66" s="22">
        <f>(Table13456789101112131415161734[[#This Row],[USA]]-B65)/B65</f>
        <v/>
      </c>
      <c r="D66" s="23">
        <f>(Table13456789101112131415161734[[#This Row],[USA]]-B54)/B54</f>
        <v/>
      </c>
    </row>
    <row r="67">
      <c r="A67" s="21" t="n">
        <v>35096</v>
      </c>
      <c r="B67" s="76">
        <f>VLOOKUP(A67,Database!$A:$AU,MATCH($B$4,Database!$A$1:$AU$1,0),FALSE)</f>
        <v/>
      </c>
      <c r="C67" s="22">
        <f>(Table13456789101112131415161734[[#This Row],[USA]]-B66)/B66</f>
        <v/>
      </c>
      <c r="D67" s="23">
        <f>(Table13456789101112131415161734[[#This Row],[USA]]-B55)/B55</f>
        <v/>
      </c>
    </row>
    <row r="68">
      <c r="A68" s="21" t="n">
        <v>35125</v>
      </c>
      <c r="B68" s="76">
        <f>VLOOKUP(A68,Database!$A:$AU,MATCH($B$4,Database!$A$1:$AU$1,0),FALSE)</f>
        <v/>
      </c>
      <c r="C68" s="22">
        <f>(Table13456789101112131415161734[[#This Row],[USA]]-B67)/B67</f>
        <v/>
      </c>
      <c r="D68" s="23">
        <f>(Table13456789101112131415161734[[#This Row],[USA]]-B56)/B56</f>
        <v/>
      </c>
    </row>
    <row r="69">
      <c r="A69" s="21" t="n">
        <v>35156</v>
      </c>
      <c r="B69" s="76">
        <f>VLOOKUP(A69,Database!$A:$AU,MATCH($B$4,Database!$A$1:$AU$1,0),FALSE)</f>
        <v/>
      </c>
      <c r="C69" s="22">
        <f>(Table13456789101112131415161734[[#This Row],[USA]]-B68)/B68</f>
        <v/>
      </c>
      <c r="D69" s="23">
        <f>(Table13456789101112131415161734[[#This Row],[USA]]-B57)/B57</f>
        <v/>
      </c>
    </row>
    <row r="70">
      <c r="A70" s="21" t="n">
        <v>35186</v>
      </c>
      <c r="B70" s="76">
        <f>VLOOKUP(A70,Database!$A:$AU,MATCH($B$4,Database!$A$1:$AU$1,0),FALSE)</f>
        <v/>
      </c>
      <c r="C70" s="22">
        <f>(Table13456789101112131415161734[[#This Row],[USA]]-B69)/B69</f>
        <v/>
      </c>
      <c r="D70" s="23">
        <f>(Table13456789101112131415161734[[#This Row],[USA]]-B58)/B58</f>
        <v/>
      </c>
    </row>
    <row r="71">
      <c r="A71" s="21" t="n">
        <v>35217</v>
      </c>
      <c r="B71" s="76">
        <f>VLOOKUP(A71,Database!$A:$AU,MATCH($B$4,Database!$A$1:$AU$1,0),FALSE)</f>
        <v/>
      </c>
      <c r="C71" s="22">
        <f>(Table13456789101112131415161734[[#This Row],[USA]]-B70)/B70</f>
        <v/>
      </c>
      <c r="D71" s="23">
        <f>(Table13456789101112131415161734[[#This Row],[USA]]-B59)/B59</f>
        <v/>
      </c>
    </row>
    <row r="72">
      <c r="A72" s="21" t="n">
        <v>35247</v>
      </c>
      <c r="B72" s="76">
        <f>VLOOKUP(A72,Database!$A:$AU,MATCH($B$4,Database!$A$1:$AU$1,0),FALSE)</f>
        <v/>
      </c>
      <c r="C72" s="22">
        <f>(Table13456789101112131415161734[[#This Row],[USA]]-B71)/B71</f>
        <v/>
      </c>
      <c r="D72" s="23">
        <f>(Table13456789101112131415161734[[#This Row],[USA]]-B60)/B60</f>
        <v/>
      </c>
    </row>
    <row r="73">
      <c r="A73" s="21" t="n">
        <v>35278</v>
      </c>
      <c r="B73" s="76">
        <f>VLOOKUP(A73,Database!$A:$AU,MATCH($B$4,Database!$A$1:$AU$1,0),FALSE)</f>
        <v/>
      </c>
      <c r="C73" s="22">
        <f>(Table13456789101112131415161734[[#This Row],[USA]]-B72)/B72</f>
        <v/>
      </c>
      <c r="D73" s="23">
        <f>(Table13456789101112131415161734[[#This Row],[USA]]-B61)/B61</f>
        <v/>
      </c>
    </row>
    <row r="74">
      <c r="A74" s="21" t="n">
        <v>35309</v>
      </c>
      <c r="B74" s="76">
        <f>VLOOKUP(A74,Database!$A:$AU,MATCH($B$4,Database!$A$1:$AU$1,0),FALSE)</f>
        <v/>
      </c>
      <c r="C74" s="22">
        <f>(Table13456789101112131415161734[[#This Row],[USA]]-B73)/B73</f>
        <v/>
      </c>
      <c r="D74" s="23">
        <f>(Table13456789101112131415161734[[#This Row],[USA]]-B62)/B62</f>
        <v/>
      </c>
    </row>
    <row r="75">
      <c r="A75" s="21" t="n">
        <v>35339</v>
      </c>
      <c r="B75" s="76">
        <f>VLOOKUP(A75,Database!$A:$AU,MATCH($B$4,Database!$A$1:$AU$1,0),FALSE)</f>
        <v/>
      </c>
      <c r="C75" s="22">
        <f>(Table13456789101112131415161734[[#This Row],[USA]]-B74)/B74</f>
        <v/>
      </c>
      <c r="D75" s="23">
        <f>(Table13456789101112131415161734[[#This Row],[USA]]-B63)/B63</f>
        <v/>
      </c>
    </row>
    <row r="76">
      <c r="A76" s="21" t="n">
        <v>35370</v>
      </c>
      <c r="B76" s="76">
        <f>VLOOKUP(A76,Database!$A:$AU,MATCH($B$4,Database!$A$1:$AU$1,0),FALSE)</f>
        <v/>
      </c>
      <c r="C76" s="22">
        <f>(Table13456789101112131415161734[[#This Row],[USA]]-B75)/B75</f>
        <v/>
      </c>
      <c r="D76" s="23">
        <f>(Table13456789101112131415161734[[#This Row],[USA]]-B64)/B64</f>
        <v/>
      </c>
    </row>
    <row r="77">
      <c r="A77" s="21" t="n">
        <v>35400</v>
      </c>
      <c r="B77" s="76">
        <f>VLOOKUP(A77,Database!$A:$AU,MATCH($B$4,Database!$A$1:$AU$1,0),FALSE)</f>
        <v/>
      </c>
      <c r="C77" s="22">
        <f>(Table13456789101112131415161734[[#This Row],[USA]]-B76)/B76</f>
        <v/>
      </c>
      <c r="D77" s="23">
        <f>(Table13456789101112131415161734[[#This Row],[USA]]-B65)/B65</f>
        <v/>
      </c>
    </row>
    <row r="78">
      <c r="A78" s="21" t="n">
        <v>35431</v>
      </c>
      <c r="B78" s="76">
        <f>VLOOKUP(A78,Database!$A:$AU,MATCH($B$4,Database!$A$1:$AU$1,0),FALSE)</f>
        <v/>
      </c>
      <c r="C78" s="22">
        <f>(Table13456789101112131415161734[[#This Row],[USA]]-B77)/B77</f>
        <v/>
      </c>
      <c r="D78" s="23">
        <f>(Table13456789101112131415161734[[#This Row],[USA]]-B66)/B66</f>
        <v/>
      </c>
    </row>
    <row r="79">
      <c r="A79" s="21" t="n">
        <v>35462</v>
      </c>
      <c r="B79" s="76">
        <f>VLOOKUP(A79,Database!$A:$AU,MATCH($B$4,Database!$A$1:$AU$1,0),FALSE)</f>
        <v/>
      </c>
      <c r="C79" s="22">
        <f>(Table13456789101112131415161734[[#This Row],[USA]]-B78)/B78</f>
        <v/>
      </c>
      <c r="D79" s="23">
        <f>(Table13456789101112131415161734[[#This Row],[USA]]-B67)/B67</f>
        <v/>
      </c>
    </row>
    <row r="80">
      <c r="A80" s="21" t="n">
        <v>35490</v>
      </c>
      <c r="B80" s="76">
        <f>VLOOKUP(A80,Database!$A:$AU,MATCH($B$4,Database!$A$1:$AU$1,0),FALSE)</f>
        <v/>
      </c>
      <c r="C80" s="22">
        <f>(Table13456789101112131415161734[[#This Row],[USA]]-B79)/B79</f>
        <v/>
      </c>
      <c r="D80" s="23">
        <f>(Table13456789101112131415161734[[#This Row],[USA]]-B68)/B68</f>
        <v/>
      </c>
    </row>
    <row r="81">
      <c r="A81" s="21" t="n">
        <v>35521</v>
      </c>
      <c r="B81" s="76">
        <f>VLOOKUP(A81,Database!$A:$AU,MATCH($B$4,Database!$A$1:$AU$1,0),FALSE)</f>
        <v/>
      </c>
      <c r="C81" s="22">
        <f>(Table13456789101112131415161734[[#This Row],[USA]]-B80)/B80</f>
        <v/>
      </c>
      <c r="D81" s="23">
        <f>(Table13456789101112131415161734[[#This Row],[USA]]-B69)/B69</f>
        <v/>
      </c>
    </row>
    <row r="82">
      <c r="A82" s="21" t="n">
        <v>35551</v>
      </c>
      <c r="B82" s="76">
        <f>VLOOKUP(A82,Database!$A:$AU,MATCH($B$4,Database!$A$1:$AU$1,0),FALSE)</f>
        <v/>
      </c>
      <c r="C82" s="22">
        <f>(Table13456789101112131415161734[[#This Row],[USA]]-B81)/B81</f>
        <v/>
      </c>
      <c r="D82" s="23">
        <f>(Table13456789101112131415161734[[#This Row],[USA]]-B70)/B70</f>
        <v/>
      </c>
    </row>
    <row r="83">
      <c r="A83" s="21" t="n">
        <v>35582</v>
      </c>
      <c r="B83" s="76">
        <f>VLOOKUP(A83,Database!$A:$AU,MATCH($B$4,Database!$A$1:$AU$1,0),FALSE)</f>
        <v/>
      </c>
      <c r="C83" s="22">
        <f>(Table13456789101112131415161734[[#This Row],[USA]]-B82)/B82</f>
        <v/>
      </c>
      <c r="D83" s="23">
        <f>(Table13456789101112131415161734[[#This Row],[USA]]-B71)/B71</f>
        <v/>
      </c>
    </row>
    <row r="84">
      <c r="A84" s="21" t="n">
        <v>35612</v>
      </c>
      <c r="B84" s="76">
        <f>VLOOKUP(A84,Database!$A:$AU,MATCH($B$4,Database!$A$1:$AU$1,0),FALSE)</f>
        <v/>
      </c>
      <c r="C84" s="22">
        <f>(Table13456789101112131415161734[[#This Row],[USA]]-B83)/B83</f>
        <v/>
      </c>
      <c r="D84" s="23">
        <f>(Table13456789101112131415161734[[#This Row],[USA]]-B72)/B72</f>
        <v/>
      </c>
    </row>
    <row r="85">
      <c r="A85" s="21" t="n">
        <v>35643</v>
      </c>
      <c r="B85" s="76">
        <f>VLOOKUP(A85,Database!$A:$AU,MATCH($B$4,Database!$A$1:$AU$1,0),FALSE)</f>
        <v/>
      </c>
      <c r="C85" s="22">
        <f>(Table13456789101112131415161734[[#This Row],[USA]]-B84)/B84</f>
        <v/>
      </c>
      <c r="D85" s="23">
        <f>(Table13456789101112131415161734[[#This Row],[USA]]-B73)/B73</f>
        <v/>
      </c>
    </row>
    <row r="86">
      <c r="A86" s="21" t="n">
        <v>35674</v>
      </c>
      <c r="B86" s="76">
        <f>VLOOKUP(A86,Database!$A:$AU,MATCH($B$4,Database!$A$1:$AU$1,0),FALSE)</f>
        <v/>
      </c>
      <c r="C86" s="22">
        <f>(Table13456789101112131415161734[[#This Row],[USA]]-B85)/B85</f>
        <v/>
      </c>
      <c r="D86" s="23">
        <f>(Table13456789101112131415161734[[#This Row],[USA]]-B74)/B74</f>
        <v/>
      </c>
    </row>
    <row r="87">
      <c r="A87" s="21" t="n">
        <v>35704</v>
      </c>
      <c r="B87" s="76">
        <f>VLOOKUP(A87,Database!$A:$AU,MATCH($B$4,Database!$A$1:$AU$1,0),FALSE)</f>
        <v/>
      </c>
      <c r="C87" s="22">
        <f>(Table13456789101112131415161734[[#This Row],[USA]]-B86)/B86</f>
        <v/>
      </c>
      <c r="D87" s="23">
        <f>(Table13456789101112131415161734[[#This Row],[USA]]-B75)/B75</f>
        <v/>
      </c>
    </row>
    <row r="88">
      <c r="A88" s="21" t="n">
        <v>35735</v>
      </c>
      <c r="B88" s="76">
        <f>VLOOKUP(A88,Database!$A:$AU,MATCH($B$4,Database!$A$1:$AU$1,0),FALSE)</f>
        <v/>
      </c>
      <c r="C88" s="22">
        <f>(Table13456789101112131415161734[[#This Row],[USA]]-B87)/B87</f>
        <v/>
      </c>
      <c r="D88" s="23">
        <f>(Table13456789101112131415161734[[#This Row],[USA]]-B76)/B76</f>
        <v/>
      </c>
    </row>
    <row r="89">
      <c r="A89" s="21" t="n">
        <v>35765</v>
      </c>
      <c r="B89" s="76">
        <f>VLOOKUP(A89,Database!$A:$AU,MATCH($B$4,Database!$A$1:$AU$1,0),FALSE)</f>
        <v/>
      </c>
      <c r="C89" s="22">
        <f>(Table13456789101112131415161734[[#This Row],[USA]]-B88)/B88</f>
        <v/>
      </c>
      <c r="D89" s="23">
        <f>(Table13456789101112131415161734[[#This Row],[USA]]-B77)/B77</f>
        <v/>
      </c>
    </row>
    <row r="90">
      <c r="A90" s="21" t="n">
        <v>35796</v>
      </c>
      <c r="B90" s="76">
        <f>VLOOKUP(A90,Database!$A:$AU,MATCH($B$4,Database!$A$1:$AU$1,0),FALSE)</f>
        <v/>
      </c>
      <c r="C90" s="22">
        <f>(Table13456789101112131415161734[[#This Row],[USA]]-B89)/B89</f>
        <v/>
      </c>
      <c r="D90" s="23">
        <f>(Table13456789101112131415161734[[#This Row],[USA]]-B78)/B78</f>
        <v/>
      </c>
    </row>
    <row r="91">
      <c r="A91" s="21" t="n">
        <v>35827</v>
      </c>
      <c r="B91" s="76">
        <f>VLOOKUP(A91,Database!$A:$AU,MATCH($B$4,Database!$A$1:$AU$1,0),FALSE)</f>
        <v/>
      </c>
      <c r="C91" s="22">
        <f>(Table13456789101112131415161734[[#This Row],[USA]]-B90)/B90</f>
        <v/>
      </c>
      <c r="D91" s="23">
        <f>(Table13456789101112131415161734[[#This Row],[USA]]-B79)/B79</f>
        <v/>
      </c>
    </row>
    <row r="92">
      <c r="A92" s="21" t="n">
        <v>35855</v>
      </c>
      <c r="B92" s="76">
        <f>VLOOKUP(A92,Database!$A:$AU,MATCH($B$4,Database!$A$1:$AU$1,0),FALSE)</f>
        <v/>
      </c>
      <c r="C92" s="22">
        <f>(Table13456789101112131415161734[[#This Row],[USA]]-B91)/B91</f>
        <v/>
      </c>
      <c r="D92" s="23">
        <f>(Table13456789101112131415161734[[#This Row],[USA]]-B80)/B80</f>
        <v/>
      </c>
    </row>
    <row r="93">
      <c r="A93" s="21" t="n">
        <v>35886</v>
      </c>
      <c r="B93" s="76">
        <f>VLOOKUP(A93,Database!$A:$AU,MATCH($B$4,Database!$A$1:$AU$1,0),FALSE)</f>
        <v/>
      </c>
      <c r="C93" s="22">
        <f>(Table13456789101112131415161734[[#This Row],[USA]]-B92)/B92</f>
        <v/>
      </c>
      <c r="D93" s="23">
        <f>(Table13456789101112131415161734[[#This Row],[USA]]-B81)/B81</f>
        <v/>
      </c>
    </row>
    <row r="94">
      <c r="A94" s="21" t="n">
        <v>35916</v>
      </c>
      <c r="B94" s="76">
        <f>VLOOKUP(A94,Database!$A:$AU,MATCH($B$4,Database!$A$1:$AU$1,0),FALSE)</f>
        <v/>
      </c>
      <c r="C94" s="22">
        <f>(Table13456789101112131415161734[[#This Row],[USA]]-B93)/B93</f>
        <v/>
      </c>
      <c r="D94" s="23">
        <f>(Table13456789101112131415161734[[#This Row],[USA]]-B82)/B82</f>
        <v/>
      </c>
    </row>
    <row r="95">
      <c r="A95" s="21" t="n">
        <v>35947</v>
      </c>
      <c r="B95" s="76">
        <f>VLOOKUP(A95,Database!$A:$AU,MATCH($B$4,Database!$A$1:$AU$1,0),FALSE)</f>
        <v/>
      </c>
      <c r="C95" s="22">
        <f>(Table13456789101112131415161734[[#This Row],[USA]]-B94)/B94</f>
        <v/>
      </c>
      <c r="D95" s="23">
        <f>(Table13456789101112131415161734[[#This Row],[USA]]-B83)/B83</f>
        <v/>
      </c>
    </row>
    <row r="96">
      <c r="A96" s="21" t="n">
        <v>35977</v>
      </c>
      <c r="B96" s="76">
        <f>VLOOKUP(A96,Database!$A:$AU,MATCH($B$4,Database!$A$1:$AU$1,0),FALSE)</f>
        <v/>
      </c>
      <c r="C96" s="22">
        <f>(Table13456789101112131415161734[[#This Row],[USA]]-B95)/B95</f>
        <v/>
      </c>
      <c r="D96" s="23">
        <f>(Table13456789101112131415161734[[#This Row],[USA]]-B84)/B84</f>
        <v/>
      </c>
    </row>
    <row r="97">
      <c r="A97" s="21" t="n">
        <v>36008</v>
      </c>
      <c r="B97" s="76">
        <f>VLOOKUP(A97,Database!$A:$AU,MATCH($B$4,Database!$A$1:$AU$1,0),FALSE)</f>
        <v/>
      </c>
      <c r="C97" s="22">
        <f>(Table13456789101112131415161734[[#This Row],[USA]]-B96)/B96</f>
        <v/>
      </c>
      <c r="D97" s="23">
        <f>(Table13456789101112131415161734[[#This Row],[USA]]-B85)/B85</f>
        <v/>
      </c>
    </row>
    <row r="98">
      <c r="A98" s="21" t="n">
        <v>36039</v>
      </c>
      <c r="B98" s="76">
        <f>VLOOKUP(A98,Database!$A:$AU,MATCH($B$4,Database!$A$1:$AU$1,0),FALSE)</f>
        <v/>
      </c>
      <c r="C98" s="22">
        <f>(Table13456789101112131415161734[[#This Row],[USA]]-B97)/B97</f>
        <v/>
      </c>
      <c r="D98" s="23">
        <f>(Table13456789101112131415161734[[#This Row],[USA]]-B86)/B86</f>
        <v/>
      </c>
    </row>
    <row r="99">
      <c r="A99" s="21" t="n">
        <v>36069</v>
      </c>
      <c r="B99" s="76">
        <f>VLOOKUP(A99,Database!$A:$AU,MATCH($B$4,Database!$A$1:$AU$1,0),FALSE)</f>
        <v/>
      </c>
      <c r="C99" s="22">
        <f>(Table13456789101112131415161734[[#This Row],[USA]]-B98)/B98</f>
        <v/>
      </c>
      <c r="D99" s="23">
        <f>(Table13456789101112131415161734[[#This Row],[USA]]-B87)/B87</f>
        <v/>
      </c>
    </row>
    <row r="100">
      <c r="A100" s="21" t="n">
        <v>36100</v>
      </c>
      <c r="B100" s="76">
        <f>VLOOKUP(A100,Database!$A:$AU,MATCH($B$4,Database!$A$1:$AU$1,0),FALSE)</f>
        <v/>
      </c>
      <c r="C100" s="22">
        <f>(Table13456789101112131415161734[[#This Row],[USA]]-B99)/B99</f>
        <v/>
      </c>
      <c r="D100" s="23">
        <f>(Table13456789101112131415161734[[#This Row],[USA]]-B88)/B88</f>
        <v/>
      </c>
    </row>
    <row r="101">
      <c r="A101" s="21" t="n">
        <v>36130</v>
      </c>
      <c r="B101" s="76">
        <f>VLOOKUP(A101,Database!$A:$AU,MATCH($B$4,Database!$A$1:$AU$1,0),FALSE)</f>
        <v/>
      </c>
      <c r="C101" s="22">
        <f>(Table13456789101112131415161734[[#This Row],[USA]]-B100)/B100</f>
        <v/>
      </c>
      <c r="D101" s="23">
        <f>(Table13456789101112131415161734[[#This Row],[USA]]-B89)/B89</f>
        <v/>
      </c>
    </row>
    <row r="102">
      <c r="A102" s="21" t="n">
        <v>36161</v>
      </c>
      <c r="B102" s="76">
        <f>VLOOKUP(A102,Database!$A:$AU,MATCH($B$4,Database!$A$1:$AU$1,0),FALSE)</f>
        <v/>
      </c>
      <c r="C102" s="22">
        <f>(Table13456789101112131415161734[[#This Row],[USA]]-B101)/B101</f>
        <v/>
      </c>
      <c r="D102" s="23">
        <f>(Table13456789101112131415161734[[#This Row],[USA]]-B90)/B90</f>
        <v/>
      </c>
    </row>
    <row r="103">
      <c r="A103" s="21" t="n">
        <v>36192</v>
      </c>
      <c r="B103" s="76">
        <f>VLOOKUP(A103,Database!$A:$AU,MATCH($B$4,Database!$A$1:$AU$1,0),FALSE)</f>
        <v/>
      </c>
      <c r="C103" s="22">
        <f>(Table13456789101112131415161734[[#This Row],[USA]]-B102)/B102</f>
        <v/>
      </c>
      <c r="D103" s="23">
        <f>(Table13456789101112131415161734[[#This Row],[USA]]-B91)/B91</f>
        <v/>
      </c>
    </row>
    <row r="104">
      <c r="A104" s="21" t="n">
        <v>36220</v>
      </c>
      <c r="B104" s="76">
        <f>VLOOKUP(A104,Database!$A:$AU,MATCH($B$4,Database!$A$1:$AU$1,0),FALSE)</f>
        <v/>
      </c>
      <c r="C104" s="22">
        <f>(Table13456789101112131415161734[[#This Row],[USA]]-B103)/B103</f>
        <v/>
      </c>
      <c r="D104" s="23">
        <f>(Table13456789101112131415161734[[#This Row],[USA]]-B92)/B92</f>
        <v/>
      </c>
    </row>
    <row r="105">
      <c r="A105" s="21" t="n">
        <v>36251</v>
      </c>
      <c r="B105" s="76">
        <f>VLOOKUP(A105,Database!$A:$AU,MATCH($B$4,Database!$A$1:$AU$1,0),FALSE)</f>
        <v/>
      </c>
      <c r="C105" s="22">
        <f>(Table13456789101112131415161734[[#This Row],[USA]]-B104)/B104</f>
        <v/>
      </c>
      <c r="D105" s="23">
        <f>(Table13456789101112131415161734[[#This Row],[USA]]-B93)/B93</f>
        <v/>
      </c>
    </row>
    <row r="106">
      <c r="A106" s="21" t="n">
        <v>36281</v>
      </c>
      <c r="B106" s="76">
        <f>VLOOKUP(A106,Database!$A:$AU,MATCH($B$4,Database!$A$1:$AU$1,0),FALSE)</f>
        <v/>
      </c>
      <c r="C106" s="22">
        <f>(Table13456789101112131415161734[[#This Row],[USA]]-B105)/B105</f>
        <v/>
      </c>
      <c r="D106" s="23">
        <f>(Table13456789101112131415161734[[#This Row],[USA]]-B94)/B94</f>
        <v/>
      </c>
    </row>
    <row r="107">
      <c r="A107" s="21" t="n">
        <v>36312</v>
      </c>
      <c r="B107" s="76">
        <f>VLOOKUP(A107,Database!$A:$AU,MATCH($B$4,Database!$A$1:$AU$1,0),FALSE)</f>
        <v/>
      </c>
      <c r="C107" s="22">
        <f>(Table13456789101112131415161734[[#This Row],[USA]]-B106)/B106</f>
        <v/>
      </c>
      <c r="D107" s="23">
        <f>(Table13456789101112131415161734[[#This Row],[USA]]-B95)/B95</f>
        <v/>
      </c>
    </row>
    <row r="108">
      <c r="A108" s="21" t="n">
        <v>36342</v>
      </c>
      <c r="B108" s="76">
        <f>VLOOKUP(A108,Database!$A:$AU,MATCH($B$4,Database!$A$1:$AU$1,0),FALSE)</f>
        <v/>
      </c>
      <c r="C108" s="22">
        <f>(Table13456789101112131415161734[[#This Row],[USA]]-B107)/B107</f>
        <v/>
      </c>
      <c r="D108" s="23">
        <f>(Table13456789101112131415161734[[#This Row],[USA]]-B96)/B96</f>
        <v/>
      </c>
    </row>
    <row r="109">
      <c r="A109" s="21" t="n">
        <v>36373</v>
      </c>
      <c r="B109" s="76">
        <f>VLOOKUP(A109,Database!$A:$AU,MATCH($B$4,Database!$A$1:$AU$1,0),FALSE)</f>
        <v/>
      </c>
      <c r="C109" s="22">
        <f>(Table13456789101112131415161734[[#This Row],[USA]]-B108)/B108</f>
        <v/>
      </c>
      <c r="D109" s="23">
        <f>(Table13456789101112131415161734[[#This Row],[USA]]-B97)/B97</f>
        <v/>
      </c>
    </row>
    <row r="110">
      <c r="A110" s="21" t="n">
        <v>36404</v>
      </c>
      <c r="B110" s="76">
        <f>VLOOKUP(A110,Database!$A:$AU,MATCH($B$4,Database!$A$1:$AU$1,0),FALSE)</f>
        <v/>
      </c>
      <c r="C110" s="22">
        <f>(Table13456789101112131415161734[[#This Row],[USA]]-B109)/B109</f>
        <v/>
      </c>
      <c r="D110" s="23">
        <f>(Table13456789101112131415161734[[#This Row],[USA]]-B98)/B98</f>
        <v/>
      </c>
    </row>
    <row r="111">
      <c r="A111" s="21" t="n">
        <v>36434</v>
      </c>
      <c r="B111" s="76">
        <f>VLOOKUP(A111,Database!$A:$AU,MATCH($B$4,Database!$A$1:$AU$1,0),FALSE)</f>
        <v/>
      </c>
      <c r="C111" s="22">
        <f>(Table13456789101112131415161734[[#This Row],[USA]]-B110)/B110</f>
        <v/>
      </c>
      <c r="D111" s="23">
        <f>(Table13456789101112131415161734[[#This Row],[USA]]-B99)/B99</f>
        <v/>
      </c>
    </row>
    <row r="112">
      <c r="A112" s="21" t="n">
        <v>36465</v>
      </c>
      <c r="B112" s="76">
        <f>VLOOKUP(A112,Database!$A:$AU,MATCH($B$4,Database!$A$1:$AU$1,0),FALSE)</f>
        <v/>
      </c>
      <c r="C112" s="22">
        <f>(Table13456789101112131415161734[[#This Row],[USA]]-B111)/B111</f>
        <v/>
      </c>
      <c r="D112" s="23">
        <f>(Table13456789101112131415161734[[#This Row],[USA]]-B100)/B100</f>
        <v/>
      </c>
    </row>
    <row r="113">
      <c r="A113" s="21" t="n">
        <v>36495</v>
      </c>
      <c r="B113" s="76">
        <f>VLOOKUP(A113,Database!$A:$AU,MATCH($B$4,Database!$A$1:$AU$1,0),FALSE)</f>
        <v/>
      </c>
      <c r="C113" s="22">
        <f>(Table13456789101112131415161734[[#This Row],[USA]]-B112)/B112</f>
        <v/>
      </c>
      <c r="D113" s="23">
        <f>(Table13456789101112131415161734[[#This Row],[USA]]-B101)/B101</f>
        <v/>
      </c>
    </row>
    <row r="114">
      <c r="A114" s="21" t="n">
        <v>36526</v>
      </c>
      <c r="B114" s="76">
        <f>VLOOKUP(A114,Database!$A:$AU,MATCH($B$4,Database!$A$1:$AU$1,0),FALSE)</f>
        <v/>
      </c>
      <c r="C114" s="22">
        <f>(Table13456789101112131415161734[[#This Row],[USA]]-B113)/B113</f>
        <v/>
      </c>
      <c r="D114" s="23">
        <f>(Table13456789101112131415161734[[#This Row],[USA]]-B102)/B102</f>
        <v/>
      </c>
    </row>
    <row r="115">
      <c r="A115" s="21" t="n">
        <v>36557</v>
      </c>
      <c r="B115" s="76">
        <f>VLOOKUP(A115,Database!$A:$AU,MATCH($B$4,Database!$A$1:$AU$1,0),FALSE)</f>
        <v/>
      </c>
      <c r="C115" s="22">
        <f>(Table13456789101112131415161734[[#This Row],[USA]]-B114)/B114</f>
        <v/>
      </c>
      <c r="D115" s="23">
        <f>(Table13456789101112131415161734[[#This Row],[USA]]-B103)/B103</f>
        <v/>
      </c>
    </row>
    <row r="116">
      <c r="A116" s="21" t="n">
        <v>36586</v>
      </c>
      <c r="B116" s="76">
        <f>VLOOKUP(A116,Database!$A:$AU,MATCH($B$4,Database!$A$1:$AU$1,0),FALSE)</f>
        <v/>
      </c>
      <c r="C116" s="22">
        <f>(Table13456789101112131415161734[[#This Row],[USA]]-B115)/B115</f>
        <v/>
      </c>
      <c r="D116" s="23">
        <f>(Table13456789101112131415161734[[#This Row],[USA]]-B104)/B104</f>
        <v/>
      </c>
    </row>
    <row r="117">
      <c r="A117" s="21" t="n">
        <v>36617</v>
      </c>
      <c r="B117" s="76">
        <f>VLOOKUP(A117,Database!$A:$AU,MATCH($B$4,Database!$A$1:$AU$1,0),FALSE)</f>
        <v/>
      </c>
      <c r="C117" s="22">
        <f>(Table13456789101112131415161734[[#This Row],[USA]]-B116)/B116</f>
        <v/>
      </c>
      <c r="D117" s="23">
        <f>(Table13456789101112131415161734[[#This Row],[USA]]-B105)/B105</f>
        <v/>
      </c>
    </row>
    <row r="118">
      <c r="A118" s="21" t="n">
        <v>36647</v>
      </c>
      <c r="B118" s="76">
        <f>VLOOKUP(A118,Database!$A:$AU,MATCH($B$4,Database!$A$1:$AU$1,0),FALSE)</f>
        <v/>
      </c>
      <c r="C118" s="22">
        <f>(Table13456789101112131415161734[[#This Row],[USA]]-B117)/B117</f>
        <v/>
      </c>
      <c r="D118" s="23">
        <f>(Table13456789101112131415161734[[#This Row],[USA]]-B106)/B106</f>
        <v/>
      </c>
    </row>
    <row r="119">
      <c r="A119" s="21" t="n">
        <v>36678</v>
      </c>
      <c r="B119" s="76">
        <f>VLOOKUP(A119,Database!$A:$AU,MATCH($B$4,Database!$A$1:$AU$1,0),FALSE)</f>
        <v/>
      </c>
      <c r="C119" s="22">
        <f>(Table13456789101112131415161734[[#This Row],[USA]]-B118)/B118</f>
        <v/>
      </c>
      <c r="D119" s="23">
        <f>(Table13456789101112131415161734[[#This Row],[USA]]-B107)/B107</f>
        <v/>
      </c>
    </row>
    <row r="120">
      <c r="A120" s="21" t="n">
        <v>36708</v>
      </c>
      <c r="B120" s="76">
        <f>VLOOKUP(A120,Database!$A:$AU,MATCH($B$4,Database!$A$1:$AU$1,0),FALSE)</f>
        <v/>
      </c>
      <c r="C120" s="22">
        <f>(Table13456789101112131415161734[[#This Row],[USA]]-B119)/B119</f>
        <v/>
      </c>
      <c r="D120" s="23">
        <f>(Table13456789101112131415161734[[#This Row],[USA]]-B108)/B108</f>
        <v/>
      </c>
    </row>
    <row r="121">
      <c r="A121" s="21" t="n">
        <v>36739</v>
      </c>
      <c r="B121" s="76">
        <f>VLOOKUP(A121,Database!$A:$AU,MATCH($B$4,Database!$A$1:$AU$1,0),FALSE)</f>
        <v/>
      </c>
      <c r="C121" s="22">
        <f>(Table13456789101112131415161734[[#This Row],[USA]]-B120)/B120</f>
        <v/>
      </c>
      <c r="D121" s="23">
        <f>(Table13456789101112131415161734[[#This Row],[USA]]-B109)/B109</f>
        <v/>
      </c>
    </row>
    <row r="122">
      <c r="A122" s="21" t="n">
        <v>36770</v>
      </c>
      <c r="B122" s="76">
        <f>VLOOKUP(A122,Database!$A:$AU,MATCH($B$4,Database!$A$1:$AU$1,0),FALSE)</f>
        <v/>
      </c>
      <c r="C122" s="22">
        <f>(Table13456789101112131415161734[[#This Row],[USA]]-B121)/B121</f>
        <v/>
      </c>
      <c r="D122" s="23">
        <f>(Table13456789101112131415161734[[#This Row],[USA]]-B110)/B110</f>
        <v/>
      </c>
    </row>
    <row r="123">
      <c r="A123" s="21" t="n">
        <v>36800</v>
      </c>
      <c r="B123" s="76">
        <f>VLOOKUP(A123,Database!$A:$AU,MATCH($B$4,Database!$A$1:$AU$1,0),FALSE)</f>
        <v/>
      </c>
      <c r="C123" s="22">
        <f>(Table13456789101112131415161734[[#This Row],[USA]]-B122)/B122</f>
        <v/>
      </c>
      <c r="D123" s="23">
        <f>(Table13456789101112131415161734[[#This Row],[USA]]-B111)/B111</f>
        <v/>
      </c>
    </row>
    <row r="124">
      <c r="A124" s="21" t="n">
        <v>36831</v>
      </c>
      <c r="B124" s="76">
        <f>VLOOKUP(A124,Database!$A:$AU,MATCH($B$4,Database!$A$1:$AU$1,0),FALSE)</f>
        <v/>
      </c>
      <c r="C124" s="22">
        <f>(Table13456789101112131415161734[[#This Row],[USA]]-B123)/B123</f>
        <v/>
      </c>
      <c r="D124" s="23">
        <f>(Table13456789101112131415161734[[#This Row],[USA]]-B112)/B112</f>
        <v/>
      </c>
    </row>
    <row r="125">
      <c r="A125" s="21" t="n">
        <v>36861</v>
      </c>
      <c r="B125" s="76">
        <f>VLOOKUP(A125,Database!$A:$AU,MATCH($B$4,Database!$A$1:$AU$1,0),FALSE)</f>
        <v/>
      </c>
      <c r="C125" s="22">
        <f>(Table13456789101112131415161734[[#This Row],[USA]]-B124)/B124</f>
        <v/>
      </c>
      <c r="D125" s="23">
        <f>(Table13456789101112131415161734[[#This Row],[USA]]-B113)/B113</f>
        <v/>
      </c>
    </row>
    <row r="126">
      <c r="A126" s="21" t="n">
        <v>36892</v>
      </c>
      <c r="B126" s="76">
        <f>VLOOKUP(A126,Database!$A:$AU,MATCH($B$4,Database!$A$1:$AU$1,0),FALSE)</f>
        <v/>
      </c>
      <c r="C126" s="22">
        <f>(Table13456789101112131415161734[[#This Row],[USA]]-B125)/B125</f>
        <v/>
      </c>
      <c r="D126" s="23">
        <f>(Table13456789101112131415161734[[#This Row],[USA]]-B114)/B114</f>
        <v/>
      </c>
    </row>
    <row r="127">
      <c r="A127" s="21" t="n">
        <v>36923</v>
      </c>
      <c r="B127" s="76">
        <f>VLOOKUP(A127,Database!$A:$AU,MATCH($B$4,Database!$A$1:$AU$1,0),FALSE)</f>
        <v/>
      </c>
      <c r="C127" s="22">
        <f>(Table13456789101112131415161734[[#This Row],[USA]]-B126)/B126</f>
        <v/>
      </c>
      <c r="D127" s="23">
        <f>(Table13456789101112131415161734[[#This Row],[USA]]-B115)/B115</f>
        <v/>
      </c>
    </row>
    <row r="128">
      <c r="A128" s="21" t="n">
        <v>36951</v>
      </c>
      <c r="B128" s="76">
        <f>VLOOKUP(A128,Database!$A:$AU,MATCH($B$4,Database!$A$1:$AU$1,0),FALSE)</f>
        <v/>
      </c>
      <c r="C128" s="22">
        <f>(Table13456789101112131415161734[[#This Row],[USA]]-B127)/B127</f>
        <v/>
      </c>
      <c r="D128" s="23">
        <f>(Table13456789101112131415161734[[#This Row],[USA]]-B116)/B116</f>
        <v/>
      </c>
    </row>
    <row r="129">
      <c r="A129" s="21" t="n">
        <v>36982</v>
      </c>
      <c r="B129" s="76">
        <f>VLOOKUP(A129,Database!$A:$AU,MATCH($B$4,Database!$A$1:$AU$1,0),FALSE)</f>
        <v/>
      </c>
      <c r="C129" s="22">
        <f>(Table13456789101112131415161734[[#This Row],[USA]]-B128)/B128</f>
        <v/>
      </c>
      <c r="D129" s="23">
        <f>(Table13456789101112131415161734[[#This Row],[USA]]-B117)/B117</f>
        <v/>
      </c>
    </row>
    <row r="130">
      <c r="A130" s="21" t="n">
        <v>37012</v>
      </c>
      <c r="B130" s="76">
        <f>VLOOKUP(A130,Database!$A:$AU,MATCH($B$4,Database!$A$1:$AU$1,0),FALSE)</f>
        <v/>
      </c>
      <c r="C130" s="22">
        <f>(Table13456789101112131415161734[[#This Row],[USA]]-B129)/B129</f>
        <v/>
      </c>
      <c r="D130" s="23">
        <f>(Table13456789101112131415161734[[#This Row],[USA]]-B118)/B118</f>
        <v/>
      </c>
    </row>
    <row r="131">
      <c r="A131" s="21" t="n">
        <v>37043</v>
      </c>
      <c r="B131" s="76">
        <f>VLOOKUP(A131,Database!$A:$AU,MATCH($B$4,Database!$A$1:$AU$1,0),FALSE)</f>
        <v/>
      </c>
      <c r="C131" s="22">
        <f>(Table13456789101112131415161734[[#This Row],[USA]]-B130)/B130</f>
        <v/>
      </c>
      <c r="D131" s="23">
        <f>(Table13456789101112131415161734[[#This Row],[USA]]-B119)/B119</f>
        <v/>
      </c>
    </row>
    <row r="132">
      <c r="A132" s="21" t="n">
        <v>37073</v>
      </c>
      <c r="B132" s="76">
        <f>VLOOKUP(A132,Database!$A:$AU,MATCH($B$4,Database!$A$1:$AU$1,0),FALSE)</f>
        <v/>
      </c>
      <c r="C132" s="22">
        <f>(Table13456789101112131415161734[[#This Row],[USA]]-B131)/B131</f>
        <v/>
      </c>
      <c r="D132" s="23">
        <f>(Table13456789101112131415161734[[#This Row],[USA]]-B120)/B120</f>
        <v/>
      </c>
    </row>
    <row r="133">
      <c r="A133" s="21" t="n">
        <v>37104</v>
      </c>
      <c r="B133" s="76">
        <f>VLOOKUP(A133,Database!$A:$AU,MATCH($B$4,Database!$A$1:$AU$1,0),FALSE)</f>
        <v/>
      </c>
      <c r="C133" s="22">
        <f>(Table13456789101112131415161734[[#This Row],[USA]]-B132)/B132</f>
        <v/>
      </c>
      <c r="D133" s="23">
        <f>(Table13456789101112131415161734[[#This Row],[USA]]-B121)/B121</f>
        <v/>
      </c>
    </row>
    <row r="134">
      <c r="A134" s="21" t="n">
        <v>37135</v>
      </c>
      <c r="B134" s="76">
        <f>VLOOKUP(A134,Database!$A:$AU,MATCH($B$4,Database!$A$1:$AU$1,0),FALSE)</f>
        <v/>
      </c>
      <c r="C134" s="22">
        <f>(Table13456789101112131415161734[[#This Row],[USA]]-B133)/B133</f>
        <v/>
      </c>
      <c r="D134" s="23">
        <f>(Table13456789101112131415161734[[#This Row],[USA]]-B122)/B122</f>
        <v/>
      </c>
    </row>
    <row r="135">
      <c r="A135" s="21" t="n">
        <v>37165</v>
      </c>
      <c r="B135" s="76">
        <f>VLOOKUP(A135,Database!$A:$AU,MATCH($B$4,Database!$A$1:$AU$1,0),FALSE)</f>
        <v/>
      </c>
      <c r="C135" s="22">
        <f>(Table13456789101112131415161734[[#This Row],[USA]]-B134)/B134</f>
        <v/>
      </c>
      <c r="D135" s="23">
        <f>(Table13456789101112131415161734[[#This Row],[USA]]-B123)/B123</f>
        <v/>
      </c>
    </row>
    <row r="136">
      <c r="A136" s="21" t="n">
        <v>37196</v>
      </c>
      <c r="B136" s="76">
        <f>VLOOKUP(A136,Database!$A:$AU,MATCH($B$4,Database!$A$1:$AU$1,0),FALSE)</f>
        <v/>
      </c>
      <c r="C136" s="22">
        <f>(Table13456789101112131415161734[[#This Row],[USA]]-B135)/B135</f>
        <v/>
      </c>
      <c r="D136" s="23">
        <f>(Table13456789101112131415161734[[#This Row],[USA]]-B124)/B124</f>
        <v/>
      </c>
    </row>
    <row r="137">
      <c r="A137" s="21" t="n">
        <v>37226</v>
      </c>
      <c r="B137" s="76">
        <f>VLOOKUP(A137,Database!$A:$AU,MATCH($B$4,Database!$A$1:$AU$1,0),FALSE)</f>
        <v/>
      </c>
      <c r="C137" s="22">
        <f>(Table13456789101112131415161734[[#This Row],[USA]]-B136)/B136</f>
        <v/>
      </c>
      <c r="D137" s="23">
        <f>(Table13456789101112131415161734[[#This Row],[USA]]-B125)/B125</f>
        <v/>
      </c>
    </row>
    <row r="138">
      <c r="A138" s="21" t="n">
        <v>37257</v>
      </c>
      <c r="B138" s="76">
        <f>VLOOKUP(A138,Database!$A:$AU,MATCH($B$4,Database!$A$1:$AU$1,0),FALSE)</f>
        <v/>
      </c>
      <c r="C138" s="22">
        <f>(Table13456789101112131415161734[[#This Row],[USA]]-B137)/B137</f>
        <v/>
      </c>
      <c r="D138" s="23">
        <f>(Table13456789101112131415161734[[#This Row],[USA]]-B126)/B126</f>
        <v/>
      </c>
    </row>
    <row r="139">
      <c r="A139" s="21" t="n">
        <v>37288</v>
      </c>
      <c r="B139" s="76">
        <f>VLOOKUP(A139,Database!$A:$AU,MATCH($B$4,Database!$A$1:$AU$1,0),FALSE)</f>
        <v/>
      </c>
      <c r="C139" s="22">
        <f>(Table13456789101112131415161734[[#This Row],[USA]]-B138)/B138</f>
        <v/>
      </c>
      <c r="D139" s="23">
        <f>(Table13456789101112131415161734[[#This Row],[USA]]-B127)/B127</f>
        <v/>
      </c>
    </row>
    <row r="140">
      <c r="A140" s="21" t="n">
        <v>37316</v>
      </c>
      <c r="B140" s="76">
        <f>VLOOKUP(A140,Database!$A:$AU,MATCH($B$4,Database!$A$1:$AU$1,0),FALSE)</f>
        <v/>
      </c>
      <c r="C140" s="22">
        <f>(Table13456789101112131415161734[[#This Row],[USA]]-B139)/B139</f>
        <v/>
      </c>
      <c r="D140" s="23">
        <f>(Table13456789101112131415161734[[#This Row],[USA]]-B128)/B128</f>
        <v/>
      </c>
    </row>
    <row r="141">
      <c r="A141" s="21" t="n">
        <v>37347</v>
      </c>
      <c r="B141" s="76">
        <f>VLOOKUP(A141,Database!$A:$AU,MATCH($B$4,Database!$A$1:$AU$1,0),FALSE)</f>
        <v/>
      </c>
      <c r="C141" s="22">
        <f>(Table13456789101112131415161734[[#This Row],[USA]]-B140)/B140</f>
        <v/>
      </c>
      <c r="D141" s="23">
        <f>(Table13456789101112131415161734[[#This Row],[USA]]-B129)/B129</f>
        <v/>
      </c>
    </row>
    <row r="142">
      <c r="A142" s="21" t="n">
        <v>37377</v>
      </c>
      <c r="B142" s="76">
        <f>VLOOKUP(A142,Database!$A:$AU,MATCH($B$4,Database!$A$1:$AU$1,0),FALSE)</f>
        <v/>
      </c>
      <c r="C142" s="22">
        <f>(Table13456789101112131415161734[[#This Row],[USA]]-B141)/B141</f>
        <v/>
      </c>
      <c r="D142" s="23">
        <f>(Table13456789101112131415161734[[#This Row],[USA]]-B130)/B130</f>
        <v/>
      </c>
    </row>
    <row r="143">
      <c r="A143" s="21" t="n">
        <v>37408</v>
      </c>
      <c r="B143" s="76">
        <f>VLOOKUP(A143,Database!$A:$AU,MATCH($B$4,Database!$A$1:$AU$1,0),FALSE)</f>
        <v/>
      </c>
      <c r="C143" s="22">
        <f>(Table13456789101112131415161734[[#This Row],[USA]]-B142)/B142</f>
        <v/>
      </c>
      <c r="D143" s="23">
        <f>(Table13456789101112131415161734[[#This Row],[USA]]-B131)/B131</f>
        <v/>
      </c>
    </row>
    <row r="144">
      <c r="A144" s="21" t="n">
        <v>37438</v>
      </c>
      <c r="B144" s="76">
        <f>VLOOKUP(A144,Database!$A:$AU,MATCH($B$4,Database!$A$1:$AU$1,0),FALSE)</f>
        <v/>
      </c>
      <c r="C144" s="22">
        <f>(Table13456789101112131415161734[[#This Row],[USA]]-B143)/B143</f>
        <v/>
      </c>
      <c r="D144" s="23">
        <f>(Table13456789101112131415161734[[#This Row],[USA]]-B132)/B132</f>
        <v/>
      </c>
    </row>
    <row r="145">
      <c r="A145" s="21" t="n">
        <v>37469</v>
      </c>
      <c r="B145" s="76">
        <f>VLOOKUP(A145,Database!$A:$AU,MATCH($B$4,Database!$A$1:$AU$1,0),FALSE)</f>
        <v/>
      </c>
      <c r="C145" s="22">
        <f>(Table13456789101112131415161734[[#This Row],[USA]]-B144)/B144</f>
        <v/>
      </c>
      <c r="D145" s="23">
        <f>(Table13456789101112131415161734[[#This Row],[USA]]-B133)/B133</f>
        <v/>
      </c>
    </row>
    <row r="146">
      <c r="A146" s="21" t="n">
        <v>37500</v>
      </c>
      <c r="B146" s="76">
        <f>VLOOKUP(A146,Database!$A:$AU,MATCH($B$4,Database!$A$1:$AU$1,0),FALSE)</f>
        <v/>
      </c>
      <c r="C146" s="22">
        <f>(Table13456789101112131415161734[[#This Row],[USA]]-B145)/B145</f>
        <v/>
      </c>
      <c r="D146" s="23">
        <f>(Table13456789101112131415161734[[#This Row],[USA]]-B134)/B134</f>
        <v/>
      </c>
    </row>
    <row r="147">
      <c r="A147" s="21" t="n">
        <v>37530</v>
      </c>
      <c r="B147" s="76">
        <f>VLOOKUP(A147,Database!$A:$AU,MATCH($B$4,Database!$A$1:$AU$1,0),FALSE)</f>
        <v/>
      </c>
      <c r="C147" s="22">
        <f>(Table13456789101112131415161734[[#This Row],[USA]]-B146)/B146</f>
        <v/>
      </c>
      <c r="D147" s="23">
        <f>(Table13456789101112131415161734[[#This Row],[USA]]-B135)/B135</f>
        <v/>
      </c>
    </row>
    <row r="148">
      <c r="A148" s="21" t="n">
        <v>37561</v>
      </c>
      <c r="B148" s="76">
        <f>VLOOKUP(A148,Database!$A:$AU,MATCH($B$4,Database!$A$1:$AU$1,0),FALSE)</f>
        <v/>
      </c>
      <c r="C148" s="22">
        <f>(Table13456789101112131415161734[[#This Row],[USA]]-B147)/B147</f>
        <v/>
      </c>
      <c r="D148" s="23">
        <f>(Table13456789101112131415161734[[#This Row],[USA]]-B136)/B136</f>
        <v/>
      </c>
    </row>
    <row r="149">
      <c r="A149" s="21" t="n">
        <v>37591</v>
      </c>
      <c r="B149" s="76">
        <f>VLOOKUP(A149,Database!$A:$AU,MATCH($B$4,Database!$A$1:$AU$1,0),FALSE)</f>
        <v/>
      </c>
      <c r="C149" s="22">
        <f>(Table13456789101112131415161734[[#This Row],[USA]]-B148)/B148</f>
        <v/>
      </c>
      <c r="D149" s="23">
        <f>(Table13456789101112131415161734[[#This Row],[USA]]-B137)/B137</f>
        <v/>
      </c>
    </row>
    <row r="150">
      <c r="A150" s="21" t="n">
        <v>37622</v>
      </c>
      <c r="B150" s="76">
        <f>VLOOKUP(A150,Database!$A:$AU,MATCH($B$4,Database!$A$1:$AU$1,0),FALSE)</f>
        <v/>
      </c>
      <c r="C150" s="22">
        <f>(Table13456789101112131415161734[[#This Row],[USA]]-B149)/B149</f>
        <v/>
      </c>
      <c r="D150" s="23">
        <f>(Table13456789101112131415161734[[#This Row],[USA]]-B138)/B138</f>
        <v/>
      </c>
    </row>
    <row r="151">
      <c r="A151" s="21" t="n">
        <v>37653</v>
      </c>
      <c r="B151" s="76">
        <f>VLOOKUP(A151,Database!$A:$AU,MATCH($B$4,Database!$A$1:$AU$1,0),FALSE)</f>
        <v/>
      </c>
      <c r="C151" s="22">
        <f>(Table13456789101112131415161734[[#This Row],[USA]]-B150)/B150</f>
        <v/>
      </c>
      <c r="D151" s="23">
        <f>(Table13456789101112131415161734[[#This Row],[USA]]-B139)/B139</f>
        <v/>
      </c>
    </row>
    <row r="152">
      <c r="A152" s="21" t="n">
        <v>37681</v>
      </c>
      <c r="B152" s="76">
        <f>VLOOKUP(A152,Database!$A:$AU,MATCH($B$4,Database!$A$1:$AU$1,0),FALSE)</f>
        <v/>
      </c>
      <c r="C152" s="22">
        <f>(Table13456789101112131415161734[[#This Row],[USA]]-B151)/B151</f>
        <v/>
      </c>
      <c r="D152" s="23">
        <f>(Table13456789101112131415161734[[#This Row],[USA]]-B140)/B140</f>
        <v/>
      </c>
    </row>
    <row r="153">
      <c r="A153" s="21" t="n">
        <v>37712</v>
      </c>
      <c r="B153" s="76">
        <f>VLOOKUP(A153,Database!$A:$AU,MATCH($B$4,Database!$A$1:$AU$1,0),FALSE)</f>
        <v/>
      </c>
      <c r="C153" s="22">
        <f>(Table13456789101112131415161734[[#This Row],[USA]]-B152)/B152</f>
        <v/>
      </c>
      <c r="D153" s="23">
        <f>(Table13456789101112131415161734[[#This Row],[USA]]-B141)/B141</f>
        <v/>
      </c>
    </row>
    <row r="154">
      <c r="A154" s="21" t="n">
        <v>37742</v>
      </c>
      <c r="B154" s="76">
        <f>VLOOKUP(A154,Database!$A:$AU,MATCH($B$4,Database!$A$1:$AU$1,0),FALSE)</f>
        <v/>
      </c>
      <c r="C154" s="22">
        <f>(Table13456789101112131415161734[[#This Row],[USA]]-B153)/B153</f>
        <v/>
      </c>
      <c r="D154" s="23">
        <f>(Table13456789101112131415161734[[#This Row],[USA]]-B142)/B142</f>
        <v/>
      </c>
    </row>
    <row r="155">
      <c r="A155" s="21" t="n">
        <v>37773</v>
      </c>
      <c r="B155" s="76">
        <f>VLOOKUP(A155,Database!$A:$AU,MATCH($B$4,Database!$A$1:$AU$1,0),FALSE)</f>
        <v/>
      </c>
      <c r="C155" s="22">
        <f>(Table13456789101112131415161734[[#This Row],[USA]]-B154)/B154</f>
        <v/>
      </c>
      <c r="D155" s="23">
        <f>(Table13456789101112131415161734[[#This Row],[USA]]-B143)/B143</f>
        <v/>
      </c>
    </row>
    <row r="156">
      <c r="A156" s="21" t="n">
        <v>37803</v>
      </c>
      <c r="B156" s="76">
        <f>VLOOKUP(A156,Database!$A:$AU,MATCH($B$4,Database!$A$1:$AU$1,0),FALSE)</f>
        <v/>
      </c>
      <c r="C156" s="22">
        <f>(Table13456789101112131415161734[[#This Row],[USA]]-B155)/B155</f>
        <v/>
      </c>
      <c r="D156" s="23">
        <f>(Table13456789101112131415161734[[#This Row],[USA]]-B144)/B144</f>
        <v/>
      </c>
    </row>
    <row r="157">
      <c r="A157" s="21" t="n">
        <v>37834</v>
      </c>
      <c r="B157" s="76">
        <f>VLOOKUP(A157,Database!$A:$AU,MATCH($B$4,Database!$A$1:$AU$1,0),FALSE)</f>
        <v/>
      </c>
      <c r="C157" s="22">
        <f>(Table13456789101112131415161734[[#This Row],[USA]]-B156)/B156</f>
        <v/>
      </c>
      <c r="D157" s="23">
        <f>(Table13456789101112131415161734[[#This Row],[USA]]-B145)/B145</f>
        <v/>
      </c>
    </row>
    <row r="158">
      <c r="A158" s="21" t="n">
        <v>37865</v>
      </c>
      <c r="B158" s="76">
        <f>VLOOKUP(A158,Database!$A:$AU,MATCH($B$4,Database!$A$1:$AU$1,0),FALSE)</f>
        <v/>
      </c>
      <c r="C158" s="22">
        <f>(Table13456789101112131415161734[[#This Row],[USA]]-B157)/B157</f>
        <v/>
      </c>
      <c r="D158" s="23">
        <f>(Table13456789101112131415161734[[#This Row],[USA]]-B146)/B146</f>
        <v/>
      </c>
    </row>
    <row r="159">
      <c r="A159" s="21" t="n">
        <v>37895</v>
      </c>
      <c r="B159" s="76">
        <f>VLOOKUP(A159,Database!$A:$AU,MATCH($B$4,Database!$A$1:$AU$1,0),FALSE)</f>
        <v/>
      </c>
      <c r="C159" s="22">
        <f>(Table13456789101112131415161734[[#This Row],[USA]]-B158)/B158</f>
        <v/>
      </c>
      <c r="D159" s="23">
        <f>(Table13456789101112131415161734[[#This Row],[USA]]-B147)/B147</f>
        <v/>
      </c>
    </row>
    <row r="160">
      <c r="A160" s="21" t="n">
        <v>37926</v>
      </c>
      <c r="B160" s="76">
        <f>VLOOKUP(A160,Database!$A:$AU,MATCH($B$4,Database!$A$1:$AU$1,0),FALSE)</f>
        <v/>
      </c>
      <c r="C160" s="22">
        <f>(Table13456789101112131415161734[[#This Row],[USA]]-B159)/B159</f>
        <v/>
      </c>
      <c r="D160" s="23">
        <f>(Table13456789101112131415161734[[#This Row],[USA]]-B148)/B148</f>
        <v/>
      </c>
    </row>
    <row r="161">
      <c r="A161" s="21" t="n">
        <v>37956</v>
      </c>
      <c r="B161" s="76">
        <f>VLOOKUP(A161,Database!$A:$AU,MATCH($B$4,Database!$A$1:$AU$1,0),FALSE)</f>
        <v/>
      </c>
      <c r="C161" s="22">
        <f>(Table13456789101112131415161734[[#This Row],[USA]]-B160)/B160</f>
        <v/>
      </c>
      <c r="D161" s="23">
        <f>(Table13456789101112131415161734[[#This Row],[USA]]-B149)/B149</f>
        <v/>
      </c>
    </row>
    <row r="162">
      <c r="A162" s="21" t="n">
        <v>37987</v>
      </c>
      <c r="B162" s="76">
        <f>VLOOKUP(A162,Database!$A:$AU,MATCH($B$4,Database!$A$1:$AU$1,0),FALSE)</f>
        <v/>
      </c>
      <c r="C162" s="22">
        <f>(Table13456789101112131415161734[[#This Row],[USA]]-B161)/B161</f>
        <v/>
      </c>
      <c r="D162" s="23">
        <f>(Table13456789101112131415161734[[#This Row],[USA]]-B150)/B150</f>
        <v/>
      </c>
    </row>
    <row r="163">
      <c r="A163" s="21" t="n">
        <v>38018</v>
      </c>
      <c r="B163" s="76">
        <f>VLOOKUP(A163,Database!$A:$AU,MATCH($B$4,Database!$A$1:$AU$1,0),FALSE)</f>
        <v/>
      </c>
      <c r="C163" s="22">
        <f>(Table13456789101112131415161734[[#This Row],[USA]]-B162)/B162</f>
        <v/>
      </c>
      <c r="D163" s="23">
        <f>(Table13456789101112131415161734[[#This Row],[USA]]-B151)/B151</f>
        <v/>
      </c>
    </row>
    <row r="164">
      <c r="A164" s="21" t="n">
        <v>38047</v>
      </c>
      <c r="B164" s="76">
        <f>VLOOKUP(A164,Database!$A:$AU,MATCH($B$4,Database!$A$1:$AU$1,0),FALSE)</f>
        <v/>
      </c>
      <c r="C164" s="22">
        <f>(Table13456789101112131415161734[[#This Row],[USA]]-B163)/B163</f>
        <v/>
      </c>
      <c r="D164" s="23">
        <f>(Table13456789101112131415161734[[#This Row],[USA]]-B152)/B152</f>
        <v/>
      </c>
    </row>
    <row r="165">
      <c r="A165" s="21" t="n">
        <v>38078</v>
      </c>
      <c r="B165" s="76">
        <f>VLOOKUP(A165,Database!$A:$AU,MATCH($B$4,Database!$A$1:$AU$1,0),FALSE)</f>
        <v/>
      </c>
      <c r="C165" s="22">
        <f>(Table13456789101112131415161734[[#This Row],[USA]]-B164)/B164</f>
        <v/>
      </c>
      <c r="D165" s="23">
        <f>(Table13456789101112131415161734[[#This Row],[USA]]-B153)/B153</f>
        <v/>
      </c>
    </row>
    <row r="166">
      <c r="A166" s="21" t="n">
        <v>38108</v>
      </c>
      <c r="B166" s="76">
        <f>VLOOKUP(A166,Database!$A:$AU,MATCH($B$4,Database!$A$1:$AU$1,0),FALSE)</f>
        <v/>
      </c>
      <c r="C166" s="22">
        <f>(Table13456789101112131415161734[[#This Row],[USA]]-B165)/B165</f>
        <v/>
      </c>
      <c r="D166" s="23">
        <f>(Table13456789101112131415161734[[#This Row],[USA]]-B154)/B154</f>
        <v/>
      </c>
    </row>
    <row r="167">
      <c r="A167" s="21" t="n">
        <v>38139</v>
      </c>
      <c r="B167" s="76">
        <f>VLOOKUP(A167,Database!$A:$AU,MATCH($B$4,Database!$A$1:$AU$1,0),FALSE)</f>
        <v/>
      </c>
      <c r="C167" s="22">
        <f>(Table13456789101112131415161734[[#This Row],[USA]]-B166)/B166</f>
        <v/>
      </c>
      <c r="D167" s="23">
        <f>(Table13456789101112131415161734[[#This Row],[USA]]-B155)/B155</f>
        <v/>
      </c>
    </row>
    <row r="168">
      <c r="A168" s="21" t="n">
        <v>38169</v>
      </c>
      <c r="B168" s="76">
        <f>VLOOKUP(A168,Database!$A:$AU,MATCH($B$4,Database!$A$1:$AU$1,0),FALSE)</f>
        <v/>
      </c>
      <c r="C168" s="22">
        <f>(Table13456789101112131415161734[[#This Row],[USA]]-B167)/B167</f>
        <v/>
      </c>
      <c r="D168" s="23">
        <f>(Table13456789101112131415161734[[#This Row],[USA]]-B156)/B156</f>
        <v/>
      </c>
    </row>
    <row r="169">
      <c r="A169" s="21" t="n">
        <v>38200</v>
      </c>
      <c r="B169" s="76">
        <f>VLOOKUP(A169,Database!$A:$AU,MATCH($B$4,Database!$A$1:$AU$1,0),FALSE)</f>
        <v/>
      </c>
      <c r="C169" s="22">
        <f>(Table13456789101112131415161734[[#This Row],[USA]]-B168)/B168</f>
        <v/>
      </c>
      <c r="D169" s="23">
        <f>(Table13456789101112131415161734[[#This Row],[USA]]-B157)/B157</f>
        <v/>
      </c>
    </row>
    <row r="170">
      <c r="A170" s="21" t="n">
        <v>38231</v>
      </c>
      <c r="B170" s="76">
        <f>VLOOKUP(A170,Database!$A:$AU,MATCH($B$4,Database!$A$1:$AU$1,0),FALSE)</f>
        <v/>
      </c>
      <c r="C170" s="22">
        <f>(Table13456789101112131415161734[[#This Row],[USA]]-B169)/B169</f>
        <v/>
      </c>
      <c r="D170" s="23">
        <f>(Table13456789101112131415161734[[#This Row],[USA]]-B158)/B158</f>
        <v/>
      </c>
    </row>
    <row r="171">
      <c r="A171" s="21" t="n">
        <v>38261</v>
      </c>
      <c r="B171" s="76">
        <f>VLOOKUP(A171,Database!$A:$AU,MATCH($B$4,Database!$A$1:$AU$1,0),FALSE)</f>
        <v/>
      </c>
      <c r="C171" s="22">
        <f>(Table13456789101112131415161734[[#This Row],[USA]]-B170)/B170</f>
        <v/>
      </c>
      <c r="D171" s="23">
        <f>(Table13456789101112131415161734[[#This Row],[USA]]-B159)/B159</f>
        <v/>
      </c>
    </row>
    <row r="172">
      <c r="A172" s="21" t="n">
        <v>38292</v>
      </c>
      <c r="B172" s="76">
        <f>VLOOKUP(A172,Database!$A:$AU,MATCH($B$4,Database!$A$1:$AU$1,0),FALSE)</f>
        <v/>
      </c>
      <c r="C172" s="22">
        <f>(Table13456789101112131415161734[[#This Row],[USA]]-B171)/B171</f>
        <v/>
      </c>
      <c r="D172" s="23">
        <f>(Table13456789101112131415161734[[#This Row],[USA]]-B160)/B160</f>
        <v/>
      </c>
    </row>
    <row r="173">
      <c r="A173" s="21" t="n">
        <v>38322</v>
      </c>
      <c r="B173" s="76">
        <f>VLOOKUP(A173,Database!$A:$AU,MATCH($B$4,Database!$A$1:$AU$1,0),FALSE)</f>
        <v/>
      </c>
      <c r="C173" s="22">
        <f>(Table13456789101112131415161734[[#This Row],[USA]]-B172)/B172</f>
        <v/>
      </c>
      <c r="D173" s="23">
        <f>(Table13456789101112131415161734[[#This Row],[USA]]-B161)/B161</f>
        <v/>
      </c>
    </row>
    <row r="174">
      <c r="A174" s="21" t="n">
        <v>38353</v>
      </c>
      <c r="B174" s="76">
        <f>VLOOKUP(A174,Database!$A:$AU,MATCH($B$4,Database!$A$1:$AU$1,0),FALSE)</f>
        <v/>
      </c>
      <c r="C174" s="22">
        <f>(Table13456789101112131415161734[[#This Row],[USA]]-B173)/B173</f>
        <v/>
      </c>
      <c r="D174" s="23">
        <f>(Table13456789101112131415161734[[#This Row],[USA]]-B162)/B162</f>
        <v/>
      </c>
    </row>
    <row r="175">
      <c r="A175" s="21" t="n">
        <v>38384</v>
      </c>
      <c r="B175" s="76">
        <f>VLOOKUP(A175,Database!$A:$AU,MATCH($B$4,Database!$A$1:$AU$1,0),FALSE)</f>
        <v/>
      </c>
      <c r="C175" s="22">
        <f>(Table13456789101112131415161734[[#This Row],[USA]]-B174)/B174</f>
        <v/>
      </c>
      <c r="D175" s="23">
        <f>(Table13456789101112131415161734[[#This Row],[USA]]-B163)/B163</f>
        <v/>
      </c>
    </row>
    <row r="176">
      <c r="A176" s="21" t="n">
        <v>38412</v>
      </c>
      <c r="B176" s="76">
        <f>VLOOKUP(A176,Database!$A:$AU,MATCH($B$4,Database!$A$1:$AU$1,0),FALSE)</f>
        <v/>
      </c>
      <c r="C176" s="22">
        <f>(Table13456789101112131415161734[[#This Row],[USA]]-B175)/B175</f>
        <v/>
      </c>
      <c r="D176" s="23">
        <f>(Table13456789101112131415161734[[#This Row],[USA]]-B164)/B164</f>
        <v/>
      </c>
    </row>
    <row r="177">
      <c r="A177" s="21" t="n">
        <v>38443</v>
      </c>
      <c r="B177" s="76">
        <f>VLOOKUP(A177,Database!$A:$AU,MATCH($B$4,Database!$A$1:$AU$1,0),FALSE)</f>
        <v/>
      </c>
      <c r="C177" s="22">
        <f>(Table13456789101112131415161734[[#This Row],[USA]]-B176)/B176</f>
        <v/>
      </c>
      <c r="D177" s="23">
        <f>(Table13456789101112131415161734[[#This Row],[USA]]-B165)/B165</f>
        <v/>
      </c>
    </row>
    <row r="178">
      <c r="A178" s="21" t="n">
        <v>38473</v>
      </c>
      <c r="B178" s="76">
        <f>VLOOKUP(A178,Database!$A:$AU,MATCH($B$4,Database!$A$1:$AU$1,0),FALSE)</f>
        <v/>
      </c>
      <c r="C178" s="22">
        <f>(Table13456789101112131415161734[[#This Row],[USA]]-B177)/B177</f>
        <v/>
      </c>
      <c r="D178" s="23">
        <f>(Table13456789101112131415161734[[#This Row],[USA]]-B166)/B166</f>
        <v/>
      </c>
    </row>
    <row r="179">
      <c r="A179" s="21" t="n">
        <v>38504</v>
      </c>
      <c r="B179" s="76">
        <f>VLOOKUP(A179,Database!$A:$AU,MATCH($B$4,Database!$A$1:$AU$1,0),FALSE)</f>
        <v/>
      </c>
      <c r="C179" s="22">
        <f>(Table13456789101112131415161734[[#This Row],[USA]]-B178)/B178</f>
        <v/>
      </c>
      <c r="D179" s="23">
        <f>(Table13456789101112131415161734[[#This Row],[USA]]-B167)/B167</f>
        <v/>
      </c>
    </row>
    <row r="180">
      <c r="A180" s="21" t="n">
        <v>38534</v>
      </c>
      <c r="B180" s="76">
        <f>VLOOKUP(A180,Database!$A:$AU,MATCH($B$4,Database!$A$1:$AU$1,0),FALSE)</f>
        <v/>
      </c>
      <c r="C180" s="22">
        <f>(Table13456789101112131415161734[[#This Row],[USA]]-B179)/B179</f>
        <v/>
      </c>
      <c r="D180" s="23">
        <f>(Table13456789101112131415161734[[#This Row],[USA]]-B168)/B168</f>
        <v/>
      </c>
    </row>
    <row r="181">
      <c r="A181" s="21" t="n">
        <v>38565</v>
      </c>
      <c r="B181" s="76">
        <f>VLOOKUP(A181,Database!$A:$AU,MATCH($B$4,Database!$A$1:$AU$1,0),FALSE)</f>
        <v/>
      </c>
      <c r="C181" s="22">
        <f>(Table13456789101112131415161734[[#This Row],[USA]]-B180)/B180</f>
        <v/>
      </c>
      <c r="D181" s="23">
        <f>(Table13456789101112131415161734[[#This Row],[USA]]-B169)/B169</f>
        <v/>
      </c>
    </row>
    <row r="182">
      <c r="A182" s="21" t="n">
        <v>38596</v>
      </c>
      <c r="B182" s="76">
        <f>VLOOKUP(A182,Database!$A:$AU,MATCH($B$4,Database!$A$1:$AU$1,0),FALSE)</f>
        <v/>
      </c>
      <c r="C182" s="22">
        <f>(Table13456789101112131415161734[[#This Row],[USA]]-B181)/B181</f>
        <v/>
      </c>
      <c r="D182" s="23">
        <f>(Table13456789101112131415161734[[#This Row],[USA]]-B170)/B170</f>
        <v/>
      </c>
    </row>
    <row r="183">
      <c r="A183" s="21" t="n">
        <v>38626</v>
      </c>
      <c r="B183" s="76">
        <f>VLOOKUP(A183,Database!$A:$AU,MATCH($B$4,Database!$A$1:$AU$1,0),FALSE)</f>
        <v/>
      </c>
      <c r="C183" s="22">
        <f>(Table13456789101112131415161734[[#This Row],[USA]]-B182)/B182</f>
        <v/>
      </c>
      <c r="D183" s="23">
        <f>(Table13456789101112131415161734[[#This Row],[USA]]-B171)/B171</f>
        <v/>
      </c>
    </row>
    <row r="184">
      <c r="A184" s="21" t="n">
        <v>38657</v>
      </c>
      <c r="B184" s="76">
        <f>VLOOKUP(A184,Database!$A:$AU,MATCH($B$4,Database!$A$1:$AU$1,0),FALSE)</f>
        <v/>
      </c>
      <c r="C184" s="22">
        <f>(Table13456789101112131415161734[[#This Row],[USA]]-B183)/B183</f>
        <v/>
      </c>
      <c r="D184" s="23">
        <f>(Table13456789101112131415161734[[#This Row],[USA]]-B172)/B172</f>
        <v/>
      </c>
    </row>
    <row r="185">
      <c r="A185" s="21" t="n">
        <v>38687</v>
      </c>
      <c r="B185" s="76">
        <f>VLOOKUP(A185,Database!$A:$AU,MATCH($B$4,Database!$A$1:$AU$1,0),FALSE)</f>
        <v/>
      </c>
      <c r="C185" s="22">
        <f>(Table13456789101112131415161734[[#This Row],[USA]]-B184)/B184</f>
        <v/>
      </c>
      <c r="D185" s="23">
        <f>(Table13456789101112131415161734[[#This Row],[USA]]-B173)/B173</f>
        <v/>
      </c>
    </row>
    <row r="186">
      <c r="A186" s="21" t="n">
        <v>38718</v>
      </c>
      <c r="B186" s="76">
        <f>VLOOKUP(A186,Database!$A:$AU,MATCH($B$4,Database!$A$1:$AU$1,0),FALSE)</f>
        <v/>
      </c>
      <c r="C186" s="22">
        <f>(Table13456789101112131415161734[[#This Row],[USA]]-B185)/B185</f>
        <v/>
      </c>
      <c r="D186" s="23">
        <f>(Table13456789101112131415161734[[#This Row],[USA]]-B174)/B174</f>
        <v/>
      </c>
    </row>
    <row r="187">
      <c r="A187" s="21" t="n">
        <v>38749</v>
      </c>
      <c r="B187" s="76">
        <f>VLOOKUP(A187,Database!$A:$AU,MATCH($B$4,Database!$A$1:$AU$1,0),FALSE)</f>
        <v/>
      </c>
      <c r="C187" s="22">
        <f>(Table13456789101112131415161734[[#This Row],[USA]]-B186)/B186</f>
        <v/>
      </c>
      <c r="D187" s="23">
        <f>(Table13456789101112131415161734[[#This Row],[USA]]-B175)/B175</f>
        <v/>
      </c>
    </row>
    <row r="188">
      <c r="A188" s="21" t="n">
        <v>38777</v>
      </c>
      <c r="B188" s="76">
        <f>VLOOKUP(A188,Database!$A:$AU,MATCH($B$4,Database!$A$1:$AU$1,0),FALSE)</f>
        <v/>
      </c>
      <c r="C188" s="22">
        <f>(Table13456789101112131415161734[[#This Row],[USA]]-B187)/B187</f>
        <v/>
      </c>
      <c r="D188" s="23">
        <f>(Table13456789101112131415161734[[#This Row],[USA]]-B176)/B176</f>
        <v/>
      </c>
    </row>
    <row r="189">
      <c r="A189" s="21" t="n">
        <v>38808</v>
      </c>
      <c r="B189" s="76">
        <f>VLOOKUP(A189,Database!$A:$AU,MATCH($B$4,Database!$A$1:$AU$1,0),FALSE)</f>
        <v/>
      </c>
      <c r="C189" s="22">
        <f>(Table13456789101112131415161734[[#This Row],[USA]]-B188)/B188</f>
        <v/>
      </c>
      <c r="D189" s="23">
        <f>(Table13456789101112131415161734[[#This Row],[USA]]-B177)/B177</f>
        <v/>
      </c>
    </row>
    <row r="190">
      <c r="A190" s="21" t="n">
        <v>38838</v>
      </c>
      <c r="B190" s="76">
        <f>VLOOKUP(A190,Database!$A:$AU,MATCH($B$4,Database!$A$1:$AU$1,0),FALSE)</f>
        <v/>
      </c>
      <c r="C190" s="22">
        <f>(Table13456789101112131415161734[[#This Row],[USA]]-B189)/B189</f>
        <v/>
      </c>
      <c r="D190" s="23">
        <f>(Table13456789101112131415161734[[#This Row],[USA]]-B178)/B178</f>
        <v/>
      </c>
    </row>
    <row r="191">
      <c r="A191" s="21" t="n">
        <v>38869</v>
      </c>
      <c r="B191" s="76">
        <f>VLOOKUP(A191,Database!$A:$AU,MATCH($B$4,Database!$A$1:$AU$1,0),FALSE)</f>
        <v/>
      </c>
      <c r="C191" s="22">
        <f>(Table13456789101112131415161734[[#This Row],[USA]]-B190)/B190</f>
        <v/>
      </c>
      <c r="D191" s="23">
        <f>(Table13456789101112131415161734[[#This Row],[USA]]-B179)/B179</f>
        <v/>
      </c>
    </row>
    <row r="192">
      <c r="A192" s="21" t="n">
        <v>38899</v>
      </c>
      <c r="B192" s="76">
        <f>VLOOKUP(A192,Database!$A:$AU,MATCH($B$4,Database!$A$1:$AU$1,0),FALSE)</f>
        <v/>
      </c>
      <c r="C192" s="22">
        <f>(Table13456789101112131415161734[[#This Row],[USA]]-B191)/B191</f>
        <v/>
      </c>
      <c r="D192" s="23">
        <f>(Table13456789101112131415161734[[#This Row],[USA]]-B180)/B180</f>
        <v/>
      </c>
    </row>
    <row r="193">
      <c r="A193" s="21" t="n">
        <v>38930</v>
      </c>
      <c r="B193" s="76">
        <f>VLOOKUP(A193,Database!$A:$AU,MATCH($B$4,Database!$A$1:$AU$1,0),FALSE)</f>
        <v/>
      </c>
      <c r="C193" s="22">
        <f>(Table13456789101112131415161734[[#This Row],[USA]]-B192)/B192</f>
        <v/>
      </c>
      <c r="D193" s="23">
        <f>(Table13456789101112131415161734[[#This Row],[USA]]-B181)/B181</f>
        <v/>
      </c>
    </row>
    <row r="194">
      <c r="A194" s="21" t="n">
        <v>38961</v>
      </c>
      <c r="B194" s="76">
        <f>VLOOKUP(A194,Database!$A:$AU,MATCH($B$4,Database!$A$1:$AU$1,0),FALSE)</f>
        <v/>
      </c>
      <c r="C194" s="22">
        <f>(Table13456789101112131415161734[[#This Row],[USA]]-B193)/B193</f>
        <v/>
      </c>
      <c r="D194" s="23">
        <f>(Table13456789101112131415161734[[#This Row],[USA]]-B182)/B182</f>
        <v/>
      </c>
    </row>
    <row r="195">
      <c r="A195" s="21" t="n">
        <v>38991</v>
      </c>
      <c r="B195" s="76">
        <f>VLOOKUP(A195,Database!$A:$AU,MATCH($B$4,Database!$A$1:$AU$1,0),FALSE)</f>
        <v/>
      </c>
      <c r="C195" s="22">
        <f>(Table13456789101112131415161734[[#This Row],[USA]]-B194)/B194</f>
        <v/>
      </c>
      <c r="D195" s="23">
        <f>(Table13456789101112131415161734[[#This Row],[USA]]-B183)/B183</f>
        <v/>
      </c>
    </row>
    <row r="196">
      <c r="A196" s="21" t="n">
        <v>39022</v>
      </c>
      <c r="B196" s="76">
        <f>VLOOKUP(A196,Database!$A:$AU,MATCH($B$4,Database!$A$1:$AU$1,0),FALSE)</f>
        <v/>
      </c>
      <c r="C196" s="22">
        <f>(Table13456789101112131415161734[[#This Row],[USA]]-B195)/B195</f>
        <v/>
      </c>
      <c r="D196" s="23">
        <f>(Table13456789101112131415161734[[#This Row],[USA]]-B184)/B184</f>
        <v/>
      </c>
    </row>
    <row r="197">
      <c r="A197" s="21" t="n">
        <v>39052</v>
      </c>
      <c r="B197" s="76">
        <f>VLOOKUP(A197,Database!$A:$AU,MATCH($B$4,Database!$A$1:$AU$1,0),FALSE)</f>
        <v/>
      </c>
      <c r="C197" s="22">
        <f>(Table13456789101112131415161734[[#This Row],[USA]]-B196)/B196</f>
        <v/>
      </c>
      <c r="D197" s="23">
        <f>(Table13456789101112131415161734[[#This Row],[USA]]-B185)/B185</f>
        <v/>
      </c>
    </row>
    <row r="198">
      <c r="A198" s="21" t="n">
        <v>39083</v>
      </c>
      <c r="B198" s="76">
        <f>VLOOKUP(A198,Database!$A:$AU,MATCH($B$4,Database!$A$1:$AU$1,0),FALSE)</f>
        <v/>
      </c>
      <c r="C198" s="22">
        <f>(Table13456789101112131415161734[[#This Row],[USA]]-B197)/B197</f>
        <v/>
      </c>
      <c r="D198" s="23">
        <f>(Table13456789101112131415161734[[#This Row],[USA]]-B186)/B186</f>
        <v/>
      </c>
    </row>
    <row r="199">
      <c r="A199" s="21" t="n">
        <v>39114</v>
      </c>
      <c r="B199" s="76">
        <f>VLOOKUP(A199,Database!$A:$AU,MATCH($B$4,Database!$A$1:$AU$1,0),FALSE)</f>
        <v/>
      </c>
      <c r="C199" s="22">
        <f>(Table13456789101112131415161734[[#This Row],[USA]]-B198)/B198</f>
        <v/>
      </c>
      <c r="D199" s="23">
        <f>(Table13456789101112131415161734[[#This Row],[USA]]-B187)/B187</f>
        <v/>
      </c>
    </row>
    <row r="200">
      <c r="A200" s="21" t="n">
        <v>39142</v>
      </c>
      <c r="B200" s="76">
        <f>VLOOKUP(A200,Database!$A:$AU,MATCH($B$4,Database!$A$1:$AU$1,0),FALSE)</f>
        <v/>
      </c>
      <c r="C200" s="22">
        <f>(Table13456789101112131415161734[[#This Row],[USA]]-B199)/B199</f>
        <v/>
      </c>
      <c r="D200" s="23">
        <f>(Table13456789101112131415161734[[#This Row],[USA]]-B188)/B188</f>
        <v/>
      </c>
    </row>
    <row r="201">
      <c r="A201" s="21" t="n">
        <v>39173</v>
      </c>
      <c r="B201" s="76">
        <f>VLOOKUP(A201,Database!$A:$AU,MATCH($B$4,Database!$A$1:$AU$1,0),FALSE)</f>
        <v/>
      </c>
      <c r="C201" s="22">
        <f>(Table13456789101112131415161734[[#This Row],[USA]]-B200)/B200</f>
        <v/>
      </c>
      <c r="D201" s="23">
        <f>(Table13456789101112131415161734[[#This Row],[USA]]-B189)/B189</f>
        <v/>
      </c>
    </row>
    <row r="202">
      <c r="A202" s="21" t="n">
        <v>39203</v>
      </c>
      <c r="B202" s="76">
        <f>VLOOKUP(A202,Database!$A:$AU,MATCH($B$4,Database!$A$1:$AU$1,0),FALSE)</f>
        <v/>
      </c>
      <c r="C202" s="22">
        <f>(Table13456789101112131415161734[[#This Row],[USA]]-B201)/B201</f>
        <v/>
      </c>
      <c r="D202" s="23">
        <f>(Table13456789101112131415161734[[#This Row],[USA]]-B190)/B190</f>
        <v/>
      </c>
    </row>
    <row r="203">
      <c r="A203" s="21" t="n">
        <v>39234</v>
      </c>
      <c r="B203" s="76">
        <f>VLOOKUP(A203,Database!$A:$AU,MATCH($B$4,Database!$A$1:$AU$1,0),FALSE)</f>
        <v/>
      </c>
      <c r="C203" s="22">
        <f>(Table13456789101112131415161734[[#This Row],[USA]]-B202)/B202</f>
        <v/>
      </c>
      <c r="D203" s="23">
        <f>(Table13456789101112131415161734[[#This Row],[USA]]-B191)/B191</f>
        <v/>
      </c>
    </row>
    <row r="204">
      <c r="A204" s="21" t="n">
        <v>39264</v>
      </c>
      <c r="B204" s="76">
        <f>VLOOKUP(A204,Database!$A:$AU,MATCH($B$4,Database!$A$1:$AU$1,0),FALSE)</f>
        <v/>
      </c>
      <c r="C204" s="22">
        <f>(Table13456789101112131415161734[[#This Row],[USA]]-B203)/B203</f>
        <v/>
      </c>
      <c r="D204" s="23">
        <f>(Table13456789101112131415161734[[#This Row],[USA]]-B192)/B192</f>
        <v/>
      </c>
    </row>
    <row r="205">
      <c r="A205" s="21" t="n">
        <v>39295</v>
      </c>
      <c r="B205" s="76">
        <f>VLOOKUP(A205,Database!$A:$AU,MATCH($B$4,Database!$A$1:$AU$1,0),FALSE)</f>
        <v/>
      </c>
      <c r="C205" s="22">
        <f>(Table13456789101112131415161734[[#This Row],[USA]]-B204)/B204</f>
        <v/>
      </c>
      <c r="D205" s="23">
        <f>(Table13456789101112131415161734[[#This Row],[USA]]-B193)/B193</f>
        <v/>
      </c>
    </row>
    <row r="206">
      <c r="A206" s="21" t="n">
        <v>39326</v>
      </c>
      <c r="B206" s="76">
        <f>VLOOKUP(A206,Database!$A:$AU,MATCH($B$4,Database!$A$1:$AU$1,0),FALSE)</f>
        <v/>
      </c>
      <c r="C206" s="22">
        <f>(Table13456789101112131415161734[[#This Row],[USA]]-B205)/B205</f>
        <v/>
      </c>
      <c r="D206" s="23">
        <f>(Table13456789101112131415161734[[#This Row],[USA]]-B194)/B194</f>
        <v/>
      </c>
    </row>
    <row r="207">
      <c r="A207" s="21" t="n">
        <v>39356</v>
      </c>
      <c r="B207" s="76">
        <f>VLOOKUP(A207,Database!$A:$AU,MATCH($B$4,Database!$A$1:$AU$1,0),FALSE)</f>
        <v/>
      </c>
      <c r="C207" s="22">
        <f>(Table13456789101112131415161734[[#This Row],[USA]]-B206)/B206</f>
        <v/>
      </c>
      <c r="D207" s="23">
        <f>(Table13456789101112131415161734[[#This Row],[USA]]-B195)/B195</f>
        <v/>
      </c>
    </row>
    <row r="208">
      <c r="A208" s="21" t="n">
        <v>39387</v>
      </c>
      <c r="B208" s="76">
        <f>VLOOKUP(A208,Database!$A:$AU,MATCH($B$4,Database!$A$1:$AU$1,0),FALSE)</f>
        <v/>
      </c>
      <c r="C208" s="22">
        <f>(Table13456789101112131415161734[[#This Row],[USA]]-B207)/B207</f>
        <v/>
      </c>
      <c r="D208" s="23">
        <f>(Table13456789101112131415161734[[#This Row],[USA]]-B196)/B196</f>
        <v/>
      </c>
    </row>
    <row r="209">
      <c r="A209" s="21" t="n">
        <v>39417</v>
      </c>
      <c r="B209" s="76">
        <f>VLOOKUP(A209,Database!$A:$AU,MATCH($B$4,Database!$A$1:$AU$1,0),FALSE)</f>
        <v/>
      </c>
      <c r="C209" s="22">
        <f>(Table13456789101112131415161734[[#This Row],[USA]]-B208)/B208</f>
        <v/>
      </c>
      <c r="D209" s="23">
        <f>(Table13456789101112131415161734[[#This Row],[USA]]-B197)/B197</f>
        <v/>
      </c>
    </row>
    <row r="210">
      <c r="A210" s="21" t="n">
        <v>39448</v>
      </c>
      <c r="B210" s="76">
        <f>VLOOKUP(A210,Database!$A:$AU,MATCH($B$4,Database!$A$1:$AU$1,0),FALSE)</f>
        <v/>
      </c>
      <c r="C210" s="22">
        <f>(Table13456789101112131415161734[[#This Row],[USA]]-B209)/B209</f>
        <v/>
      </c>
      <c r="D210" s="23">
        <f>(Table13456789101112131415161734[[#This Row],[USA]]-B198)/B198</f>
        <v/>
      </c>
    </row>
    <row r="211">
      <c r="A211" s="21" t="n">
        <v>39479</v>
      </c>
      <c r="B211" s="76">
        <f>VLOOKUP(A211,Database!$A:$AU,MATCH($B$4,Database!$A$1:$AU$1,0),FALSE)</f>
        <v/>
      </c>
      <c r="C211" s="22">
        <f>(Table13456789101112131415161734[[#This Row],[USA]]-B210)/B210</f>
        <v/>
      </c>
      <c r="D211" s="23">
        <f>(Table13456789101112131415161734[[#This Row],[USA]]-B199)/B199</f>
        <v/>
      </c>
    </row>
    <row r="212">
      <c r="A212" s="21" t="n">
        <v>39508</v>
      </c>
      <c r="B212" s="76">
        <f>VLOOKUP(A212,Database!$A:$AU,MATCH($B$4,Database!$A$1:$AU$1,0),FALSE)</f>
        <v/>
      </c>
      <c r="C212" s="22">
        <f>(Table13456789101112131415161734[[#This Row],[USA]]-B211)/B211</f>
        <v/>
      </c>
      <c r="D212" s="23">
        <f>(Table13456789101112131415161734[[#This Row],[USA]]-B200)/B200</f>
        <v/>
      </c>
    </row>
    <row r="213">
      <c r="A213" s="21" t="n">
        <v>39539</v>
      </c>
      <c r="B213" s="76">
        <f>VLOOKUP(A213,Database!$A:$AU,MATCH($B$4,Database!$A$1:$AU$1,0),FALSE)</f>
        <v/>
      </c>
      <c r="C213" s="22">
        <f>(Table13456789101112131415161734[[#This Row],[USA]]-B212)/B212</f>
        <v/>
      </c>
      <c r="D213" s="23">
        <f>(Table13456789101112131415161734[[#This Row],[USA]]-B201)/B201</f>
        <v/>
      </c>
    </row>
    <row r="214">
      <c r="A214" s="21" t="n">
        <v>39569</v>
      </c>
      <c r="B214" s="76">
        <f>VLOOKUP(A214,Database!$A:$AU,MATCH($B$4,Database!$A$1:$AU$1,0),FALSE)</f>
        <v/>
      </c>
      <c r="C214" s="22">
        <f>(Table13456789101112131415161734[[#This Row],[USA]]-B213)/B213</f>
        <v/>
      </c>
      <c r="D214" s="23">
        <f>(Table13456789101112131415161734[[#This Row],[USA]]-B202)/B202</f>
        <v/>
      </c>
    </row>
    <row r="215">
      <c r="A215" s="21" t="n">
        <v>39600</v>
      </c>
      <c r="B215" s="76">
        <f>VLOOKUP(A215,Database!$A:$AU,MATCH($B$4,Database!$A$1:$AU$1,0),FALSE)</f>
        <v/>
      </c>
      <c r="C215" s="22">
        <f>(Table13456789101112131415161734[[#This Row],[USA]]-B214)/B214</f>
        <v/>
      </c>
      <c r="D215" s="23">
        <f>(Table13456789101112131415161734[[#This Row],[USA]]-B203)/B203</f>
        <v/>
      </c>
    </row>
    <row r="216">
      <c r="A216" s="21" t="n">
        <v>39630</v>
      </c>
      <c r="B216" s="76">
        <f>VLOOKUP(A216,Database!$A:$AU,MATCH($B$4,Database!$A$1:$AU$1,0),FALSE)</f>
        <v/>
      </c>
      <c r="C216" s="22">
        <f>(Table13456789101112131415161734[[#This Row],[USA]]-B215)/B215</f>
        <v/>
      </c>
      <c r="D216" s="23">
        <f>(Table13456789101112131415161734[[#This Row],[USA]]-B204)/B204</f>
        <v/>
      </c>
    </row>
    <row r="217">
      <c r="A217" s="21" t="n">
        <v>39661</v>
      </c>
      <c r="B217" s="76">
        <f>VLOOKUP(A217,Database!$A:$AU,MATCH($B$4,Database!$A$1:$AU$1,0),FALSE)</f>
        <v/>
      </c>
      <c r="C217" s="22">
        <f>(Table13456789101112131415161734[[#This Row],[USA]]-B216)/B216</f>
        <v/>
      </c>
      <c r="D217" s="23">
        <f>(Table13456789101112131415161734[[#This Row],[USA]]-B205)/B205</f>
        <v/>
      </c>
    </row>
    <row r="218">
      <c r="A218" s="21" t="n">
        <v>39692</v>
      </c>
      <c r="B218" s="76">
        <f>VLOOKUP(A218,Database!$A:$AU,MATCH($B$4,Database!$A$1:$AU$1,0),FALSE)</f>
        <v/>
      </c>
      <c r="C218" s="22">
        <f>(Table13456789101112131415161734[[#This Row],[USA]]-B217)/B217</f>
        <v/>
      </c>
      <c r="D218" s="23">
        <f>(Table13456789101112131415161734[[#This Row],[USA]]-B206)/B206</f>
        <v/>
      </c>
    </row>
    <row r="219">
      <c r="A219" s="21" t="n">
        <v>39722</v>
      </c>
      <c r="B219" s="76">
        <f>VLOOKUP(A219,Database!$A:$AU,MATCH($B$4,Database!$A$1:$AU$1,0),FALSE)</f>
        <v/>
      </c>
      <c r="C219" s="22">
        <f>(Table13456789101112131415161734[[#This Row],[USA]]-B218)/B218</f>
        <v/>
      </c>
      <c r="D219" s="23">
        <f>(Table13456789101112131415161734[[#This Row],[USA]]-B207)/B207</f>
        <v/>
      </c>
    </row>
    <row r="220">
      <c r="A220" s="21" t="n">
        <v>39753</v>
      </c>
      <c r="B220" s="76">
        <f>VLOOKUP(A220,Database!$A:$AU,MATCH($B$4,Database!$A$1:$AU$1,0),FALSE)</f>
        <v/>
      </c>
      <c r="C220" s="22">
        <f>(Table13456789101112131415161734[[#This Row],[USA]]-B219)/B219</f>
        <v/>
      </c>
      <c r="D220" s="23">
        <f>(Table13456789101112131415161734[[#This Row],[USA]]-B208)/B208</f>
        <v/>
      </c>
    </row>
    <row r="221">
      <c r="A221" s="21" t="n">
        <v>39783</v>
      </c>
      <c r="B221" s="76">
        <f>VLOOKUP(A221,Database!$A:$AU,MATCH($B$4,Database!$A$1:$AU$1,0),FALSE)</f>
        <v/>
      </c>
      <c r="C221" s="22">
        <f>(Table13456789101112131415161734[[#This Row],[USA]]-B220)/B220</f>
        <v/>
      </c>
      <c r="D221" s="23">
        <f>(Table13456789101112131415161734[[#This Row],[USA]]-B209)/B209</f>
        <v/>
      </c>
    </row>
    <row r="222">
      <c r="A222" s="21" t="n">
        <v>39814</v>
      </c>
      <c r="B222" s="76">
        <f>VLOOKUP(A222,Database!$A:$AU,MATCH($B$4,Database!$A$1:$AU$1,0),FALSE)</f>
        <v/>
      </c>
      <c r="C222" s="22">
        <f>(Table13456789101112131415161734[[#This Row],[USA]]-B221)/B221</f>
        <v/>
      </c>
      <c r="D222" s="23">
        <f>(Table13456789101112131415161734[[#This Row],[USA]]-B210)/B210</f>
        <v/>
      </c>
    </row>
    <row r="223">
      <c r="A223" s="21" t="n">
        <v>39845</v>
      </c>
      <c r="B223" s="76">
        <f>VLOOKUP(A223,Database!$A:$AU,MATCH($B$4,Database!$A$1:$AU$1,0),FALSE)</f>
        <v/>
      </c>
      <c r="C223" s="22">
        <f>(Table13456789101112131415161734[[#This Row],[USA]]-B222)/B222</f>
        <v/>
      </c>
      <c r="D223" s="23">
        <f>(Table13456789101112131415161734[[#This Row],[USA]]-B211)/B211</f>
        <v/>
      </c>
    </row>
    <row r="224">
      <c r="A224" s="21" t="n">
        <v>39873</v>
      </c>
      <c r="B224" s="76">
        <f>VLOOKUP(A224,Database!$A:$AU,MATCH($B$4,Database!$A$1:$AU$1,0),FALSE)</f>
        <v/>
      </c>
      <c r="C224" s="22">
        <f>(Table13456789101112131415161734[[#This Row],[USA]]-B223)/B223</f>
        <v/>
      </c>
      <c r="D224" s="23">
        <f>(Table13456789101112131415161734[[#This Row],[USA]]-B212)/B212</f>
        <v/>
      </c>
    </row>
    <row r="225">
      <c r="A225" s="21" t="n">
        <v>39904</v>
      </c>
      <c r="B225" s="76">
        <f>VLOOKUP(A225,Database!$A:$AU,MATCH($B$4,Database!$A$1:$AU$1,0),FALSE)</f>
        <v/>
      </c>
      <c r="C225" s="22">
        <f>(Table13456789101112131415161734[[#This Row],[USA]]-B224)/B224</f>
        <v/>
      </c>
      <c r="D225" s="23">
        <f>(Table13456789101112131415161734[[#This Row],[USA]]-B213)/B213</f>
        <v/>
      </c>
    </row>
    <row r="226">
      <c r="A226" s="21" t="n">
        <v>39934</v>
      </c>
      <c r="B226" s="76">
        <f>VLOOKUP(A226,Database!$A:$AU,MATCH($B$4,Database!$A$1:$AU$1,0),FALSE)</f>
        <v/>
      </c>
      <c r="C226" s="22">
        <f>(Table13456789101112131415161734[[#This Row],[USA]]-B225)/B225</f>
        <v/>
      </c>
      <c r="D226" s="23">
        <f>(Table13456789101112131415161734[[#This Row],[USA]]-B214)/B214</f>
        <v/>
      </c>
    </row>
    <row r="227">
      <c r="A227" s="21" t="n">
        <v>39965</v>
      </c>
      <c r="B227" s="76">
        <f>VLOOKUP(A227,Database!$A:$AU,MATCH($B$4,Database!$A$1:$AU$1,0),FALSE)</f>
        <v/>
      </c>
      <c r="C227" s="22">
        <f>(Table13456789101112131415161734[[#This Row],[USA]]-B226)/B226</f>
        <v/>
      </c>
      <c r="D227" s="23">
        <f>(Table13456789101112131415161734[[#This Row],[USA]]-B215)/B215</f>
        <v/>
      </c>
    </row>
    <row r="228">
      <c r="A228" s="21" t="n">
        <v>39995</v>
      </c>
      <c r="B228" s="76">
        <f>VLOOKUP(A228,Database!$A:$AU,MATCH($B$4,Database!$A$1:$AU$1,0),FALSE)</f>
        <v/>
      </c>
      <c r="C228" s="22">
        <f>(Table13456789101112131415161734[[#This Row],[USA]]-B227)/B227</f>
        <v/>
      </c>
      <c r="D228" s="23">
        <f>(Table13456789101112131415161734[[#This Row],[USA]]-B216)/B216</f>
        <v/>
      </c>
    </row>
    <row r="229">
      <c r="A229" s="21" t="n">
        <v>40026</v>
      </c>
      <c r="B229" s="76">
        <f>VLOOKUP(A229,Database!$A:$AU,MATCH($B$4,Database!$A$1:$AU$1,0),FALSE)</f>
        <v/>
      </c>
      <c r="C229" s="22">
        <f>(Table13456789101112131415161734[[#This Row],[USA]]-B228)/B228</f>
        <v/>
      </c>
      <c r="D229" s="23">
        <f>(Table13456789101112131415161734[[#This Row],[USA]]-B217)/B217</f>
        <v/>
      </c>
    </row>
    <row r="230">
      <c r="A230" s="21" t="n">
        <v>40057</v>
      </c>
      <c r="B230" s="76">
        <f>VLOOKUP(A230,Database!$A:$AU,MATCH($B$4,Database!$A$1:$AU$1,0),FALSE)</f>
        <v/>
      </c>
      <c r="C230" s="22">
        <f>(Table13456789101112131415161734[[#This Row],[USA]]-B229)/B229</f>
        <v/>
      </c>
      <c r="D230" s="23">
        <f>(Table13456789101112131415161734[[#This Row],[USA]]-B218)/B218</f>
        <v/>
      </c>
    </row>
    <row r="231">
      <c r="A231" s="21" t="n">
        <v>40087</v>
      </c>
      <c r="B231" s="76">
        <f>VLOOKUP(A231,Database!$A:$AU,MATCH($B$4,Database!$A$1:$AU$1,0),FALSE)</f>
        <v/>
      </c>
      <c r="C231" s="22">
        <f>(Table13456789101112131415161734[[#This Row],[USA]]-B230)/B230</f>
        <v/>
      </c>
      <c r="D231" s="23">
        <f>(Table13456789101112131415161734[[#This Row],[USA]]-B219)/B219</f>
        <v/>
      </c>
    </row>
    <row r="232">
      <c r="A232" s="21" t="n">
        <v>40118</v>
      </c>
      <c r="B232" s="76">
        <f>VLOOKUP(A232,Database!$A:$AU,MATCH($B$4,Database!$A$1:$AU$1,0),FALSE)</f>
        <v/>
      </c>
      <c r="C232" s="22">
        <f>(Table13456789101112131415161734[[#This Row],[USA]]-B231)/B231</f>
        <v/>
      </c>
      <c r="D232" s="23">
        <f>(Table13456789101112131415161734[[#This Row],[USA]]-B220)/B220</f>
        <v/>
      </c>
    </row>
    <row r="233">
      <c r="A233" s="21" t="n">
        <v>40148</v>
      </c>
      <c r="B233" s="76">
        <f>VLOOKUP(A233,Database!$A:$AU,MATCH($B$4,Database!$A$1:$AU$1,0),FALSE)</f>
        <v/>
      </c>
      <c r="C233" s="22">
        <f>(Table13456789101112131415161734[[#This Row],[USA]]-B232)/B232</f>
        <v/>
      </c>
      <c r="D233" s="23">
        <f>(Table13456789101112131415161734[[#This Row],[USA]]-B221)/B221</f>
        <v/>
      </c>
    </row>
    <row r="234">
      <c r="A234" s="21" t="n">
        <v>40179</v>
      </c>
      <c r="B234" s="76">
        <f>VLOOKUP(A234,Database!$A:$AU,MATCH($B$4,Database!$A$1:$AU$1,0),FALSE)</f>
        <v/>
      </c>
      <c r="C234" s="22">
        <f>(Table13456789101112131415161734[[#This Row],[USA]]-B233)/B233</f>
        <v/>
      </c>
      <c r="D234" s="23">
        <f>(Table13456789101112131415161734[[#This Row],[USA]]-B222)/B222</f>
        <v/>
      </c>
    </row>
    <row r="235">
      <c r="A235" s="21" t="n">
        <v>40210</v>
      </c>
      <c r="B235" s="76">
        <f>VLOOKUP(A235,Database!$A:$AU,MATCH($B$4,Database!$A$1:$AU$1,0),FALSE)</f>
        <v/>
      </c>
      <c r="C235" s="22">
        <f>(Table13456789101112131415161734[[#This Row],[USA]]-B234)/B234</f>
        <v/>
      </c>
      <c r="D235" s="23">
        <f>(Table13456789101112131415161734[[#This Row],[USA]]-B223)/B223</f>
        <v/>
      </c>
    </row>
    <row r="236">
      <c r="A236" s="21" t="n">
        <v>40238</v>
      </c>
      <c r="B236" s="76">
        <f>VLOOKUP(A236,Database!$A:$AU,MATCH($B$4,Database!$A$1:$AU$1,0),FALSE)</f>
        <v/>
      </c>
      <c r="C236" s="22">
        <f>(Table13456789101112131415161734[[#This Row],[USA]]-B235)/B235</f>
        <v/>
      </c>
      <c r="D236" s="23">
        <f>(Table13456789101112131415161734[[#This Row],[USA]]-B224)/B224</f>
        <v/>
      </c>
    </row>
    <row r="237">
      <c r="A237" s="21" t="n">
        <v>40269</v>
      </c>
      <c r="B237" s="76">
        <f>VLOOKUP(A237,Database!$A:$AU,MATCH($B$4,Database!$A$1:$AU$1,0),FALSE)</f>
        <v/>
      </c>
      <c r="C237" s="22">
        <f>(Table13456789101112131415161734[[#This Row],[USA]]-B236)/B236</f>
        <v/>
      </c>
      <c r="D237" s="23">
        <f>(Table13456789101112131415161734[[#This Row],[USA]]-B225)/B225</f>
        <v/>
      </c>
    </row>
    <row r="238">
      <c r="A238" s="21" t="n">
        <v>40299</v>
      </c>
      <c r="B238" s="76">
        <f>VLOOKUP(A238,Database!$A:$AU,MATCH($B$4,Database!$A$1:$AU$1,0),FALSE)</f>
        <v/>
      </c>
      <c r="C238" s="22">
        <f>(Table13456789101112131415161734[[#This Row],[USA]]-B237)/B237</f>
        <v/>
      </c>
      <c r="D238" s="23">
        <f>(Table13456789101112131415161734[[#This Row],[USA]]-B226)/B226</f>
        <v/>
      </c>
    </row>
    <row r="239">
      <c r="A239" s="21" t="n">
        <v>40330</v>
      </c>
      <c r="B239" s="76">
        <f>VLOOKUP(A239,Database!$A:$AU,MATCH($B$4,Database!$A$1:$AU$1,0),FALSE)</f>
        <v/>
      </c>
      <c r="C239" s="22">
        <f>(Table13456789101112131415161734[[#This Row],[USA]]-B238)/B238</f>
        <v/>
      </c>
      <c r="D239" s="23">
        <f>(Table13456789101112131415161734[[#This Row],[USA]]-B227)/B227</f>
        <v/>
      </c>
    </row>
    <row r="240">
      <c r="A240" s="21" t="n">
        <v>40360</v>
      </c>
      <c r="B240" s="76">
        <f>VLOOKUP(A240,Database!$A:$AU,MATCH($B$4,Database!$A$1:$AU$1,0),FALSE)</f>
        <v/>
      </c>
      <c r="C240" s="22">
        <f>(Table13456789101112131415161734[[#This Row],[USA]]-B239)/B239</f>
        <v/>
      </c>
      <c r="D240" s="23">
        <f>(Table13456789101112131415161734[[#This Row],[USA]]-B228)/B228</f>
        <v/>
      </c>
    </row>
    <row r="241">
      <c r="A241" s="21" t="n">
        <v>40391</v>
      </c>
      <c r="B241" s="76">
        <f>VLOOKUP(A241,Database!$A:$AU,MATCH($B$4,Database!$A$1:$AU$1,0),FALSE)</f>
        <v/>
      </c>
      <c r="C241" s="22">
        <f>(Table13456789101112131415161734[[#This Row],[USA]]-B240)/B240</f>
        <v/>
      </c>
      <c r="D241" s="23">
        <f>(Table13456789101112131415161734[[#This Row],[USA]]-B229)/B229</f>
        <v/>
      </c>
    </row>
    <row r="242">
      <c r="A242" s="21" t="n">
        <v>40422</v>
      </c>
      <c r="B242" s="76">
        <f>VLOOKUP(A242,Database!$A:$AU,MATCH($B$4,Database!$A$1:$AU$1,0),FALSE)</f>
        <v/>
      </c>
      <c r="C242" s="22">
        <f>(Table13456789101112131415161734[[#This Row],[USA]]-B241)/B241</f>
        <v/>
      </c>
      <c r="D242" s="23">
        <f>(Table13456789101112131415161734[[#This Row],[USA]]-B230)/B230</f>
        <v/>
      </c>
    </row>
    <row r="243">
      <c r="A243" s="21" t="n">
        <v>40452</v>
      </c>
      <c r="B243" s="76">
        <f>VLOOKUP(A243,Database!$A:$AU,MATCH($B$4,Database!$A$1:$AU$1,0),FALSE)</f>
        <v/>
      </c>
      <c r="C243" s="22">
        <f>(Table13456789101112131415161734[[#This Row],[USA]]-B242)/B242</f>
        <v/>
      </c>
      <c r="D243" s="23">
        <f>(Table13456789101112131415161734[[#This Row],[USA]]-B231)/B231</f>
        <v/>
      </c>
    </row>
    <row r="244">
      <c r="A244" s="21" t="n">
        <v>40483</v>
      </c>
      <c r="B244" s="76">
        <f>VLOOKUP(A244,Database!$A:$AU,MATCH($B$4,Database!$A$1:$AU$1,0),FALSE)</f>
        <v/>
      </c>
      <c r="C244" s="22">
        <f>(Table13456789101112131415161734[[#This Row],[USA]]-B243)/B243</f>
        <v/>
      </c>
      <c r="D244" s="23">
        <f>(Table13456789101112131415161734[[#This Row],[USA]]-B232)/B232</f>
        <v/>
      </c>
    </row>
    <row r="245">
      <c r="A245" s="21" t="n">
        <v>40513</v>
      </c>
      <c r="B245" s="76">
        <f>VLOOKUP(A245,Database!$A:$AU,MATCH($B$4,Database!$A$1:$AU$1,0),FALSE)</f>
        <v/>
      </c>
      <c r="C245" s="22">
        <f>(Table13456789101112131415161734[[#This Row],[USA]]-B244)/B244</f>
        <v/>
      </c>
      <c r="D245" s="23">
        <f>(Table13456789101112131415161734[[#This Row],[USA]]-B233)/B233</f>
        <v/>
      </c>
    </row>
    <row r="246">
      <c r="A246" s="21" t="n">
        <v>40544</v>
      </c>
      <c r="B246" s="76">
        <f>VLOOKUP(A246,Database!$A:$AU,MATCH($B$4,Database!$A$1:$AU$1,0),FALSE)</f>
        <v/>
      </c>
      <c r="C246" s="22">
        <f>(Table13456789101112131415161734[[#This Row],[USA]]-B245)/B245</f>
        <v/>
      </c>
      <c r="D246" s="23">
        <f>(Table13456789101112131415161734[[#This Row],[USA]]-B234)/B234</f>
        <v/>
      </c>
    </row>
    <row r="247">
      <c r="A247" s="21" t="n">
        <v>40575</v>
      </c>
      <c r="B247" s="76">
        <f>VLOOKUP(A247,Database!$A:$AU,MATCH($B$4,Database!$A$1:$AU$1,0),FALSE)</f>
        <v/>
      </c>
      <c r="C247" s="22">
        <f>(Table13456789101112131415161734[[#This Row],[USA]]-B246)/B246</f>
        <v/>
      </c>
      <c r="D247" s="23">
        <f>(Table13456789101112131415161734[[#This Row],[USA]]-B235)/B235</f>
        <v/>
      </c>
    </row>
    <row r="248">
      <c r="A248" s="21" t="n">
        <v>40603</v>
      </c>
      <c r="B248" s="76">
        <f>VLOOKUP(A248,Database!$A:$AU,MATCH($B$4,Database!$A$1:$AU$1,0),FALSE)</f>
        <v/>
      </c>
      <c r="C248" s="22">
        <f>(Table13456789101112131415161734[[#This Row],[USA]]-B247)/B247</f>
        <v/>
      </c>
      <c r="D248" s="23">
        <f>(Table13456789101112131415161734[[#This Row],[USA]]-B236)/B236</f>
        <v/>
      </c>
    </row>
    <row r="249">
      <c r="A249" s="21" t="n">
        <v>40634</v>
      </c>
      <c r="B249" s="76">
        <f>VLOOKUP(A249,Database!$A:$AU,MATCH($B$4,Database!$A$1:$AU$1,0),FALSE)</f>
        <v/>
      </c>
      <c r="C249" s="22">
        <f>(Table13456789101112131415161734[[#This Row],[USA]]-B248)/B248</f>
        <v/>
      </c>
      <c r="D249" s="23">
        <f>(Table13456789101112131415161734[[#This Row],[USA]]-B237)/B237</f>
        <v/>
      </c>
    </row>
    <row r="250">
      <c r="A250" s="21" t="n">
        <v>40664</v>
      </c>
      <c r="B250" s="76">
        <f>VLOOKUP(A250,Database!$A:$AU,MATCH($B$4,Database!$A$1:$AU$1,0),FALSE)</f>
        <v/>
      </c>
      <c r="C250" s="22">
        <f>(Table13456789101112131415161734[[#This Row],[USA]]-B249)/B249</f>
        <v/>
      </c>
      <c r="D250" s="23">
        <f>(Table13456789101112131415161734[[#This Row],[USA]]-B238)/B238</f>
        <v/>
      </c>
    </row>
    <row r="251">
      <c r="A251" s="21" t="n">
        <v>40695</v>
      </c>
      <c r="B251" s="76">
        <f>VLOOKUP(A251,Database!$A:$AU,MATCH($B$4,Database!$A$1:$AU$1,0),FALSE)</f>
        <v/>
      </c>
      <c r="C251" s="22">
        <f>(Table13456789101112131415161734[[#This Row],[USA]]-B250)/B250</f>
        <v/>
      </c>
      <c r="D251" s="23">
        <f>(Table13456789101112131415161734[[#This Row],[USA]]-B239)/B239</f>
        <v/>
      </c>
    </row>
    <row r="252">
      <c r="A252" s="21" t="n">
        <v>40725</v>
      </c>
      <c r="B252" s="76">
        <f>VLOOKUP(A252,Database!$A:$AU,MATCH($B$4,Database!$A$1:$AU$1,0),FALSE)</f>
        <v/>
      </c>
      <c r="C252" s="22">
        <f>(Table13456789101112131415161734[[#This Row],[USA]]-B251)/B251</f>
        <v/>
      </c>
      <c r="D252" s="23">
        <f>(Table13456789101112131415161734[[#This Row],[USA]]-B240)/B240</f>
        <v/>
      </c>
    </row>
    <row r="253">
      <c r="A253" s="21" t="n">
        <v>40756</v>
      </c>
      <c r="B253" s="76">
        <f>VLOOKUP(A253,Database!$A:$AU,MATCH($B$4,Database!$A$1:$AU$1,0),FALSE)</f>
        <v/>
      </c>
      <c r="C253" s="22">
        <f>(Table13456789101112131415161734[[#This Row],[USA]]-B252)/B252</f>
        <v/>
      </c>
      <c r="D253" s="23">
        <f>(Table13456789101112131415161734[[#This Row],[USA]]-B241)/B241</f>
        <v/>
      </c>
    </row>
    <row r="254">
      <c r="A254" s="21" t="n">
        <v>40787</v>
      </c>
      <c r="B254" s="76">
        <f>VLOOKUP(A254,Database!$A:$AU,MATCH($B$4,Database!$A$1:$AU$1,0),FALSE)</f>
        <v/>
      </c>
      <c r="C254" s="22">
        <f>(Table13456789101112131415161734[[#This Row],[USA]]-B253)/B253</f>
        <v/>
      </c>
      <c r="D254" s="23">
        <f>(Table13456789101112131415161734[[#This Row],[USA]]-B242)/B242</f>
        <v/>
      </c>
    </row>
    <row r="255">
      <c r="A255" s="21" t="n">
        <v>40817</v>
      </c>
      <c r="B255" s="76">
        <f>VLOOKUP(A255,Database!$A:$AU,MATCH($B$4,Database!$A$1:$AU$1,0),FALSE)</f>
        <v/>
      </c>
      <c r="C255" s="22">
        <f>(Table13456789101112131415161734[[#This Row],[USA]]-B254)/B254</f>
        <v/>
      </c>
      <c r="D255" s="23">
        <f>(Table13456789101112131415161734[[#This Row],[USA]]-B243)/B243</f>
        <v/>
      </c>
    </row>
    <row r="256">
      <c r="A256" s="21" t="n">
        <v>40848</v>
      </c>
      <c r="B256" s="76">
        <f>VLOOKUP(A256,Database!$A:$AU,MATCH($B$4,Database!$A$1:$AU$1,0),FALSE)</f>
        <v/>
      </c>
      <c r="C256" s="22">
        <f>(Table13456789101112131415161734[[#This Row],[USA]]-B255)/B255</f>
        <v/>
      </c>
      <c r="D256" s="23">
        <f>(Table13456789101112131415161734[[#This Row],[USA]]-B244)/B244</f>
        <v/>
      </c>
    </row>
    <row r="257">
      <c r="A257" s="21" t="n">
        <v>40878</v>
      </c>
      <c r="B257" s="76">
        <f>VLOOKUP(A257,Database!$A:$AU,MATCH($B$4,Database!$A$1:$AU$1,0),FALSE)</f>
        <v/>
      </c>
      <c r="C257" s="22">
        <f>(Table13456789101112131415161734[[#This Row],[USA]]-B256)/B256</f>
        <v/>
      </c>
      <c r="D257" s="23">
        <f>(Table13456789101112131415161734[[#This Row],[USA]]-B245)/B245</f>
        <v/>
      </c>
    </row>
    <row r="258">
      <c r="A258" s="21" t="n">
        <v>40909</v>
      </c>
      <c r="B258" s="76">
        <f>VLOOKUP(A258,Database!$A:$AU,MATCH($B$4,Database!$A$1:$AU$1,0),FALSE)</f>
        <v/>
      </c>
      <c r="C258" s="22">
        <f>(Table13456789101112131415161734[[#This Row],[USA]]-B257)/B257</f>
        <v/>
      </c>
      <c r="D258" s="23">
        <f>(Table13456789101112131415161734[[#This Row],[USA]]-B246)/B246</f>
        <v/>
      </c>
    </row>
    <row r="259">
      <c r="A259" s="21" t="n">
        <v>40940</v>
      </c>
      <c r="B259" s="76">
        <f>VLOOKUP(A259,Database!$A:$AU,MATCH($B$4,Database!$A$1:$AU$1,0),FALSE)</f>
        <v/>
      </c>
      <c r="C259" s="22">
        <f>(Table13456789101112131415161734[[#This Row],[USA]]-B258)/B258</f>
        <v/>
      </c>
      <c r="D259" s="23">
        <f>(Table13456789101112131415161734[[#This Row],[USA]]-B247)/B247</f>
        <v/>
      </c>
    </row>
    <row r="260">
      <c r="A260" s="21" t="n">
        <v>40969</v>
      </c>
      <c r="B260" s="76">
        <f>VLOOKUP(A260,Database!$A:$AU,MATCH($B$4,Database!$A$1:$AU$1,0),FALSE)</f>
        <v/>
      </c>
      <c r="C260" s="22">
        <f>(Table13456789101112131415161734[[#This Row],[USA]]-B259)/B259</f>
        <v/>
      </c>
      <c r="D260" s="23">
        <f>(Table13456789101112131415161734[[#This Row],[USA]]-B248)/B248</f>
        <v/>
      </c>
    </row>
    <row r="261">
      <c r="A261" s="21" t="n">
        <v>41000</v>
      </c>
      <c r="B261" s="76">
        <f>VLOOKUP(A261,Database!$A:$AU,MATCH($B$4,Database!$A$1:$AU$1,0),FALSE)</f>
        <v/>
      </c>
      <c r="C261" s="22">
        <f>(Table13456789101112131415161734[[#This Row],[USA]]-B260)/B260</f>
        <v/>
      </c>
      <c r="D261" s="23">
        <f>(Table13456789101112131415161734[[#This Row],[USA]]-B249)/B249</f>
        <v/>
      </c>
    </row>
    <row r="262">
      <c r="A262" s="21" t="n">
        <v>41030</v>
      </c>
      <c r="B262" s="76">
        <f>VLOOKUP(A262,Database!$A:$AU,MATCH($B$4,Database!$A$1:$AU$1,0),FALSE)</f>
        <v/>
      </c>
      <c r="C262" s="22">
        <f>(Table13456789101112131415161734[[#This Row],[USA]]-B261)/B261</f>
        <v/>
      </c>
      <c r="D262" s="23">
        <f>(Table13456789101112131415161734[[#This Row],[USA]]-B250)/B250</f>
        <v/>
      </c>
    </row>
    <row r="263">
      <c r="A263" s="21" t="n">
        <v>41061</v>
      </c>
      <c r="B263" s="76">
        <f>VLOOKUP(A263,Database!$A:$AU,MATCH($B$4,Database!$A$1:$AU$1,0),FALSE)</f>
        <v/>
      </c>
      <c r="C263" s="22">
        <f>(Table13456789101112131415161734[[#This Row],[USA]]-B262)/B262</f>
        <v/>
      </c>
      <c r="D263" s="23">
        <f>(Table13456789101112131415161734[[#This Row],[USA]]-B251)/B251</f>
        <v/>
      </c>
    </row>
    <row r="264">
      <c r="A264" s="21" t="n">
        <v>41091</v>
      </c>
      <c r="B264" s="76">
        <f>VLOOKUP(A264,Database!$A:$AU,MATCH($B$4,Database!$A$1:$AU$1,0),FALSE)</f>
        <v/>
      </c>
      <c r="C264" s="22">
        <f>(Table13456789101112131415161734[[#This Row],[USA]]-B263)/B263</f>
        <v/>
      </c>
      <c r="D264" s="23">
        <f>(Table13456789101112131415161734[[#This Row],[USA]]-B252)/B252</f>
        <v/>
      </c>
    </row>
    <row r="265">
      <c r="A265" s="21" t="n">
        <v>41122</v>
      </c>
      <c r="B265" s="76">
        <f>VLOOKUP(A265,Database!$A:$AU,MATCH($B$4,Database!$A$1:$AU$1,0),FALSE)</f>
        <v/>
      </c>
      <c r="C265" s="22">
        <f>(Table13456789101112131415161734[[#This Row],[USA]]-B264)/B264</f>
        <v/>
      </c>
      <c r="D265" s="23">
        <f>(Table13456789101112131415161734[[#This Row],[USA]]-B253)/B253</f>
        <v/>
      </c>
    </row>
    <row r="266">
      <c r="A266" s="21" t="n">
        <v>41153</v>
      </c>
      <c r="B266" s="76">
        <f>VLOOKUP(A266,Database!$A:$AU,MATCH($B$4,Database!$A$1:$AU$1,0),FALSE)</f>
        <v/>
      </c>
      <c r="C266" s="22">
        <f>(Table13456789101112131415161734[[#This Row],[USA]]-B265)/B265</f>
        <v/>
      </c>
      <c r="D266" s="23">
        <f>(Table13456789101112131415161734[[#This Row],[USA]]-B254)/B254</f>
        <v/>
      </c>
    </row>
    <row r="267">
      <c r="A267" s="21" t="n">
        <v>41183</v>
      </c>
      <c r="B267" s="76">
        <f>VLOOKUP(A267,Database!$A:$AU,MATCH($B$4,Database!$A$1:$AU$1,0),FALSE)</f>
        <v/>
      </c>
      <c r="C267" s="22">
        <f>(Table13456789101112131415161734[[#This Row],[USA]]-B266)/B266</f>
        <v/>
      </c>
      <c r="D267" s="23">
        <f>(Table13456789101112131415161734[[#This Row],[USA]]-B255)/B255</f>
        <v/>
      </c>
    </row>
    <row r="268">
      <c r="A268" s="21" t="n">
        <v>41214</v>
      </c>
      <c r="B268" s="76">
        <f>VLOOKUP(A268,Database!$A:$AU,MATCH($B$4,Database!$A$1:$AU$1,0),FALSE)</f>
        <v/>
      </c>
      <c r="C268" s="22">
        <f>(Table13456789101112131415161734[[#This Row],[USA]]-B267)/B267</f>
        <v/>
      </c>
      <c r="D268" s="23">
        <f>(Table13456789101112131415161734[[#This Row],[USA]]-B256)/B256</f>
        <v/>
      </c>
    </row>
    <row r="269">
      <c r="A269" s="21" t="n">
        <v>41244</v>
      </c>
      <c r="B269" s="76">
        <f>VLOOKUP(A269,Database!$A:$AU,MATCH($B$4,Database!$A$1:$AU$1,0),FALSE)</f>
        <v/>
      </c>
      <c r="C269" s="22">
        <f>(Table13456789101112131415161734[[#This Row],[USA]]-B268)/B268</f>
        <v/>
      </c>
      <c r="D269" s="23">
        <f>(Table13456789101112131415161734[[#This Row],[USA]]-B257)/B257</f>
        <v/>
      </c>
    </row>
    <row r="270">
      <c r="A270" s="21" t="n">
        <v>41275</v>
      </c>
      <c r="B270" s="76">
        <f>VLOOKUP(A270,Database!$A:$AU,MATCH($B$4,Database!$A$1:$AU$1,0),FALSE)</f>
        <v/>
      </c>
      <c r="C270" s="22">
        <f>(Table13456789101112131415161734[[#This Row],[USA]]-B269)/B269</f>
        <v/>
      </c>
      <c r="D270" s="23">
        <f>(Table13456789101112131415161734[[#This Row],[USA]]-B258)/B258</f>
        <v/>
      </c>
    </row>
    <row r="271">
      <c r="A271" s="21" t="n">
        <v>41306</v>
      </c>
      <c r="B271" s="76">
        <f>VLOOKUP(A271,Database!$A:$AU,MATCH($B$4,Database!$A$1:$AU$1,0),FALSE)</f>
        <v/>
      </c>
      <c r="C271" s="22">
        <f>(Table13456789101112131415161734[[#This Row],[USA]]-B270)/B270</f>
        <v/>
      </c>
      <c r="D271" s="23">
        <f>(Table13456789101112131415161734[[#This Row],[USA]]-B259)/B259</f>
        <v/>
      </c>
    </row>
    <row r="272">
      <c r="A272" s="21" t="n">
        <v>41334</v>
      </c>
      <c r="B272" s="76">
        <f>VLOOKUP(A272,Database!$A:$AU,MATCH($B$4,Database!$A$1:$AU$1,0),FALSE)</f>
        <v/>
      </c>
      <c r="C272" s="22">
        <f>(Table13456789101112131415161734[[#This Row],[USA]]-B271)/B271</f>
        <v/>
      </c>
      <c r="D272" s="23">
        <f>(Table13456789101112131415161734[[#This Row],[USA]]-B260)/B260</f>
        <v/>
      </c>
    </row>
    <row r="273">
      <c r="A273" s="21" t="n">
        <v>41365</v>
      </c>
      <c r="B273" s="76">
        <f>VLOOKUP(A273,Database!$A:$AU,MATCH($B$4,Database!$A$1:$AU$1,0),FALSE)</f>
        <v/>
      </c>
      <c r="C273" s="22">
        <f>(Table13456789101112131415161734[[#This Row],[USA]]-B272)/B272</f>
        <v/>
      </c>
      <c r="D273" s="23">
        <f>(Table13456789101112131415161734[[#This Row],[USA]]-B261)/B261</f>
        <v/>
      </c>
    </row>
    <row r="274">
      <c r="A274" s="21" t="n">
        <v>41395</v>
      </c>
      <c r="B274" s="76">
        <f>VLOOKUP(A274,Database!$A:$AU,MATCH($B$4,Database!$A$1:$AU$1,0),FALSE)</f>
        <v/>
      </c>
      <c r="C274" s="22">
        <f>(Table13456789101112131415161734[[#This Row],[USA]]-B273)/B273</f>
        <v/>
      </c>
      <c r="D274" s="23">
        <f>(Table13456789101112131415161734[[#This Row],[USA]]-B262)/B262</f>
        <v/>
      </c>
    </row>
    <row r="275">
      <c r="A275" s="21" t="n">
        <v>41426</v>
      </c>
      <c r="B275" s="76">
        <f>VLOOKUP(A275,Database!$A:$AU,MATCH($B$4,Database!$A$1:$AU$1,0),FALSE)</f>
        <v/>
      </c>
      <c r="C275" s="22">
        <f>(Table13456789101112131415161734[[#This Row],[USA]]-B274)/B274</f>
        <v/>
      </c>
      <c r="D275" s="23">
        <f>(Table13456789101112131415161734[[#This Row],[USA]]-B263)/B263</f>
        <v/>
      </c>
    </row>
    <row r="276">
      <c r="A276" s="21" t="n">
        <v>41456</v>
      </c>
      <c r="B276" s="76">
        <f>VLOOKUP(A276,Database!$A:$AU,MATCH($B$4,Database!$A$1:$AU$1,0),FALSE)</f>
        <v/>
      </c>
      <c r="C276" s="22">
        <f>(Table13456789101112131415161734[[#This Row],[USA]]-B275)/B275</f>
        <v/>
      </c>
      <c r="D276" s="23">
        <f>(Table13456789101112131415161734[[#This Row],[USA]]-B264)/B264</f>
        <v/>
      </c>
    </row>
    <row r="277">
      <c r="A277" s="21" t="n">
        <v>41487</v>
      </c>
      <c r="B277" s="76">
        <f>VLOOKUP(A277,Database!$A:$AU,MATCH($B$4,Database!$A$1:$AU$1,0),FALSE)</f>
        <v/>
      </c>
      <c r="C277" s="22">
        <f>(Table13456789101112131415161734[[#This Row],[USA]]-B276)/B276</f>
        <v/>
      </c>
      <c r="D277" s="23">
        <f>(Table13456789101112131415161734[[#This Row],[USA]]-B265)/B265</f>
        <v/>
      </c>
    </row>
    <row r="278">
      <c r="A278" s="21" t="n">
        <v>41518</v>
      </c>
      <c r="B278" s="76">
        <f>VLOOKUP(A278,Database!$A:$AU,MATCH($B$4,Database!$A$1:$AU$1,0),FALSE)</f>
        <v/>
      </c>
      <c r="C278" s="22">
        <f>(Table13456789101112131415161734[[#This Row],[USA]]-B277)/B277</f>
        <v/>
      </c>
      <c r="D278" s="23">
        <f>(Table13456789101112131415161734[[#This Row],[USA]]-B266)/B266</f>
        <v/>
      </c>
    </row>
    <row r="279">
      <c r="A279" s="21" t="n">
        <v>41548</v>
      </c>
      <c r="B279" s="76">
        <f>VLOOKUP(A279,Database!$A:$AU,MATCH($B$4,Database!$A$1:$AU$1,0),FALSE)</f>
        <v/>
      </c>
      <c r="C279" s="22">
        <f>(Table13456789101112131415161734[[#This Row],[USA]]-B278)/B278</f>
        <v/>
      </c>
      <c r="D279" s="23">
        <f>(Table13456789101112131415161734[[#This Row],[USA]]-B267)/B267</f>
        <v/>
      </c>
    </row>
    <row r="280">
      <c r="A280" s="21" t="n">
        <v>41579</v>
      </c>
      <c r="B280" s="76">
        <f>VLOOKUP(A280,Database!$A:$AU,MATCH($B$4,Database!$A$1:$AU$1,0),FALSE)</f>
        <v/>
      </c>
      <c r="C280" s="22">
        <f>(Table13456789101112131415161734[[#This Row],[USA]]-B279)/B279</f>
        <v/>
      </c>
      <c r="D280" s="23">
        <f>(Table13456789101112131415161734[[#This Row],[USA]]-B268)/B268</f>
        <v/>
      </c>
    </row>
    <row r="281">
      <c r="A281" s="21" t="n">
        <v>41609</v>
      </c>
      <c r="B281" s="76">
        <f>VLOOKUP(A281,Database!$A:$AU,MATCH($B$4,Database!$A$1:$AU$1,0),FALSE)</f>
        <v/>
      </c>
      <c r="C281" s="22">
        <f>(Table13456789101112131415161734[[#This Row],[USA]]-B280)/B280</f>
        <v/>
      </c>
      <c r="D281" s="23">
        <f>(Table13456789101112131415161734[[#This Row],[USA]]-B269)/B269</f>
        <v/>
      </c>
    </row>
    <row r="282">
      <c r="A282" s="21" t="n">
        <v>41640</v>
      </c>
      <c r="B282" s="76">
        <f>VLOOKUP(A282,Database!$A:$AU,MATCH($B$4,Database!$A$1:$AU$1,0),FALSE)</f>
        <v/>
      </c>
      <c r="C282" s="22">
        <f>(Table13456789101112131415161734[[#This Row],[USA]]-B281)/B281</f>
        <v/>
      </c>
      <c r="D282" s="23">
        <f>(Table13456789101112131415161734[[#This Row],[USA]]-B270)/B270</f>
        <v/>
      </c>
    </row>
    <row r="283">
      <c r="A283" s="21" t="n">
        <v>41671</v>
      </c>
      <c r="B283" s="76">
        <f>VLOOKUP(A283,Database!$A:$AU,MATCH($B$4,Database!$A$1:$AU$1,0),FALSE)</f>
        <v/>
      </c>
      <c r="C283" s="22">
        <f>(Table13456789101112131415161734[[#This Row],[USA]]-B282)/B282</f>
        <v/>
      </c>
      <c r="D283" s="23">
        <f>(Table13456789101112131415161734[[#This Row],[USA]]-B271)/B271</f>
        <v/>
      </c>
    </row>
    <row r="284">
      <c r="A284" s="21" t="n">
        <v>41699</v>
      </c>
      <c r="B284" s="76">
        <f>VLOOKUP(A284,Database!$A:$AU,MATCH($B$4,Database!$A$1:$AU$1,0),FALSE)</f>
        <v/>
      </c>
      <c r="C284" s="22">
        <f>(Table13456789101112131415161734[[#This Row],[USA]]-B283)/B283</f>
        <v/>
      </c>
      <c r="D284" s="23">
        <f>(Table13456789101112131415161734[[#This Row],[USA]]-B272)/B272</f>
        <v/>
      </c>
    </row>
    <row r="285">
      <c r="A285" s="21" t="n">
        <v>41730</v>
      </c>
      <c r="B285" s="76">
        <f>VLOOKUP(A285,Database!$A:$AU,MATCH($B$4,Database!$A$1:$AU$1,0),FALSE)</f>
        <v/>
      </c>
      <c r="C285" s="22">
        <f>(Table13456789101112131415161734[[#This Row],[USA]]-B284)/B284</f>
        <v/>
      </c>
      <c r="D285" s="23">
        <f>(Table13456789101112131415161734[[#This Row],[USA]]-B273)/B273</f>
        <v/>
      </c>
    </row>
    <row r="286">
      <c r="A286" s="21" t="n">
        <v>41760</v>
      </c>
      <c r="B286" s="76">
        <f>VLOOKUP(A286,Database!$A:$AU,MATCH($B$4,Database!$A$1:$AU$1,0),FALSE)</f>
        <v/>
      </c>
      <c r="C286" s="22">
        <f>(Table13456789101112131415161734[[#This Row],[USA]]-B285)/B285</f>
        <v/>
      </c>
      <c r="D286" s="23">
        <f>(Table13456789101112131415161734[[#This Row],[USA]]-B274)/B274</f>
        <v/>
      </c>
    </row>
    <row r="287">
      <c r="A287" s="21" t="n">
        <v>41791</v>
      </c>
      <c r="B287" s="76">
        <f>VLOOKUP(A287,Database!$A:$AU,MATCH($B$4,Database!$A$1:$AU$1,0),FALSE)</f>
        <v/>
      </c>
      <c r="C287" s="22">
        <f>(Table13456789101112131415161734[[#This Row],[USA]]-B286)/B286</f>
        <v/>
      </c>
      <c r="D287" s="23">
        <f>(Table13456789101112131415161734[[#This Row],[USA]]-B275)/B275</f>
        <v/>
      </c>
    </row>
    <row r="288">
      <c r="A288" s="21" t="n">
        <v>41821</v>
      </c>
      <c r="B288" s="76">
        <f>VLOOKUP(A288,Database!$A:$AU,MATCH($B$4,Database!$A$1:$AU$1,0),FALSE)</f>
        <v/>
      </c>
      <c r="C288" s="22">
        <f>(Table13456789101112131415161734[[#This Row],[USA]]-B287)/B287</f>
        <v/>
      </c>
      <c r="D288" s="23">
        <f>(Table13456789101112131415161734[[#This Row],[USA]]-B276)/B276</f>
        <v/>
      </c>
    </row>
    <row r="289">
      <c r="A289" s="21" t="n">
        <v>41852</v>
      </c>
      <c r="B289" s="76">
        <f>VLOOKUP(A289,Database!$A:$AU,MATCH($B$4,Database!$A$1:$AU$1,0),FALSE)</f>
        <v/>
      </c>
      <c r="C289" s="22">
        <f>(Table13456789101112131415161734[[#This Row],[USA]]-B288)/B288</f>
        <v/>
      </c>
      <c r="D289" s="23">
        <f>(Table13456789101112131415161734[[#This Row],[USA]]-B277)/B277</f>
        <v/>
      </c>
    </row>
    <row r="290">
      <c r="A290" s="21" t="n">
        <v>41883</v>
      </c>
      <c r="B290" s="76">
        <f>VLOOKUP(A290,Database!$A:$AU,MATCH($B$4,Database!$A$1:$AU$1,0),FALSE)</f>
        <v/>
      </c>
      <c r="C290" s="22">
        <f>(Table13456789101112131415161734[[#This Row],[USA]]-B289)/B289</f>
        <v/>
      </c>
      <c r="D290" s="23">
        <f>(Table13456789101112131415161734[[#This Row],[USA]]-B278)/B278</f>
        <v/>
      </c>
    </row>
    <row r="291">
      <c r="A291" s="21" t="n">
        <v>41913</v>
      </c>
      <c r="B291" s="76">
        <f>VLOOKUP(A291,Database!$A:$AU,MATCH($B$4,Database!$A$1:$AU$1,0),FALSE)</f>
        <v/>
      </c>
      <c r="C291" s="22">
        <f>(Table13456789101112131415161734[[#This Row],[USA]]-B290)/B290</f>
        <v/>
      </c>
      <c r="D291" s="23">
        <f>(Table13456789101112131415161734[[#This Row],[USA]]-B279)/B279</f>
        <v/>
      </c>
    </row>
    <row r="292">
      <c r="A292" s="21" t="n">
        <v>41944</v>
      </c>
      <c r="B292" s="76">
        <f>VLOOKUP(A292,Database!$A:$AU,MATCH($B$4,Database!$A$1:$AU$1,0),FALSE)</f>
        <v/>
      </c>
      <c r="C292" s="22">
        <f>(Table13456789101112131415161734[[#This Row],[USA]]-B291)/B291</f>
        <v/>
      </c>
      <c r="D292" s="23">
        <f>(Table13456789101112131415161734[[#This Row],[USA]]-B280)/B280</f>
        <v/>
      </c>
    </row>
    <row r="293">
      <c r="A293" s="21" t="n">
        <v>41974</v>
      </c>
      <c r="B293" s="76">
        <f>VLOOKUP(A293,Database!$A:$AU,MATCH($B$4,Database!$A$1:$AU$1,0),FALSE)</f>
        <v/>
      </c>
      <c r="C293" s="22">
        <f>(Table13456789101112131415161734[[#This Row],[USA]]-B292)/B292</f>
        <v/>
      </c>
      <c r="D293" s="23">
        <f>(Table13456789101112131415161734[[#This Row],[USA]]-B281)/B281</f>
        <v/>
      </c>
    </row>
    <row r="294">
      <c r="A294" s="21" t="n">
        <v>42005</v>
      </c>
      <c r="B294" s="76">
        <f>VLOOKUP(A294,Database!$A:$AU,MATCH($B$4,Database!$A$1:$AU$1,0),FALSE)</f>
        <v/>
      </c>
      <c r="C294" s="22">
        <f>(Table13456789101112131415161734[[#This Row],[USA]]-B293)/B293</f>
        <v/>
      </c>
      <c r="D294" s="23">
        <f>(Table13456789101112131415161734[[#This Row],[USA]]-B282)/B282</f>
        <v/>
      </c>
    </row>
    <row r="295">
      <c r="A295" s="21" t="n">
        <v>42036</v>
      </c>
      <c r="B295" s="76">
        <f>VLOOKUP(A295,Database!$A:$AU,MATCH($B$4,Database!$A$1:$AU$1,0),FALSE)</f>
        <v/>
      </c>
      <c r="C295" s="22">
        <f>(Table13456789101112131415161734[[#This Row],[USA]]-B294)/B294</f>
        <v/>
      </c>
      <c r="D295" s="23">
        <f>(Table13456789101112131415161734[[#This Row],[USA]]-B283)/B283</f>
        <v/>
      </c>
    </row>
    <row r="296">
      <c r="A296" s="21" t="n">
        <v>42064</v>
      </c>
      <c r="B296" s="76">
        <f>VLOOKUP(A296,Database!$A:$AU,MATCH($B$4,Database!$A$1:$AU$1,0),FALSE)</f>
        <v/>
      </c>
      <c r="C296" s="22">
        <f>(Table13456789101112131415161734[[#This Row],[USA]]-B295)/B295</f>
        <v/>
      </c>
      <c r="D296" s="23">
        <f>(Table13456789101112131415161734[[#This Row],[USA]]-B284)/B284</f>
        <v/>
      </c>
    </row>
    <row r="297">
      <c r="A297" s="21" t="n">
        <v>42095</v>
      </c>
      <c r="B297" s="76">
        <f>VLOOKUP(A297,Database!$A:$AU,MATCH($B$4,Database!$A$1:$AU$1,0),FALSE)</f>
        <v/>
      </c>
      <c r="C297" s="22">
        <f>(Table13456789101112131415161734[[#This Row],[USA]]-B296)/B296</f>
        <v/>
      </c>
      <c r="D297" s="23">
        <f>(Table13456789101112131415161734[[#This Row],[USA]]-B285)/B285</f>
        <v/>
      </c>
    </row>
    <row r="298">
      <c r="A298" s="21" t="n">
        <v>42125</v>
      </c>
      <c r="B298" s="76">
        <f>VLOOKUP(A298,Database!$A:$AU,MATCH($B$4,Database!$A$1:$AU$1,0),FALSE)</f>
        <v/>
      </c>
      <c r="C298" s="22">
        <f>(Table13456789101112131415161734[[#This Row],[USA]]-B297)/B297</f>
        <v/>
      </c>
      <c r="D298" s="23">
        <f>(Table13456789101112131415161734[[#This Row],[USA]]-B286)/B286</f>
        <v/>
      </c>
    </row>
    <row r="299">
      <c r="A299" s="21" t="n">
        <v>42156</v>
      </c>
      <c r="B299" s="76">
        <f>VLOOKUP(A299,Database!$A:$AU,MATCH($B$4,Database!$A$1:$AU$1,0),FALSE)</f>
        <v/>
      </c>
      <c r="C299" s="22">
        <f>(Table13456789101112131415161734[[#This Row],[USA]]-B298)/B298</f>
        <v/>
      </c>
      <c r="D299" s="23">
        <f>(Table13456789101112131415161734[[#This Row],[USA]]-B287)/B287</f>
        <v/>
      </c>
    </row>
    <row r="300">
      <c r="A300" s="21" t="n">
        <v>42186</v>
      </c>
      <c r="B300" s="76">
        <f>VLOOKUP(A300,Database!$A:$AU,MATCH($B$4,Database!$A$1:$AU$1,0),FALSE)</f>
        <v/>
      </c>
      <c r="C300" s="22">
        <f>(Table13456789101112131415161734[[#This Row],[USA]]-B299)/B299</f>
        <v/>
      </c>
      <c r="D300" s="23">
        <f>(Table13456789101112131415161734[[#This Row],[USA]]-B288)/B288</f>
        <v/>
      </c>
    </row>
    <row r="301">
      <c r="A301" s="21" t="n">
        <v>42217</v>
      </c>
      <c r="B301" s="76">
        <f>VLOOKUP(A301,Database!$A:$AU,MATCH($B$4,Database!$A$1:$AU$1,0),FALSE)</f>
        <v/>
      </c>
      <c r="C301" s="22">
        <f>(Table13456789101112131415161734[[#This Row],[USA]]-B300)/B300</f>
        <v/>
      </c>
      <c r="D301" s="23">
        <f>(Table13456789101112131415161734[[#This Row],[USA]]-B289)/B289</f>
        <v/>
      </c>
    </row>
    <row r="302">
      <c r="A302" s="21" t="n">
        <v>42248</v>
      </c>
      <c r="B302" s="76">
        <f>VLOOKUP(A302,Database!$A:$AU,MATCH($B$4,Database!$A$1:$AU$1,0),FALSE)</f>
        <v/>
      </c>
      <c r="C302" s="22">
        <f>(Table13456789101112131415161734[[#This Row],[USA]]-B301)/B301</f>
        <v/>
      </c>
      <c r="D302" s="23">
        <f>(Table13456789101112131415161734[[#This Row],[USA]]-B290)/B290</f>
        <v/>
      </c>
    </row>
    <row r="303">
      <c r="A303" s="21" t="n">
        <v>42278</v>
      </c>
      <c r="B303" s="76">
        <f>VLOOKUP(A303,Database!$A:$AU,MATCH($B$4,Database!$A$1:$AU$1,0),FALSE)</f>
        <v/>
      </c>
      <c r="C303" s="22">
        <f>(Table13456789101112131415161734[[#This Row],[USA]]-B302)/B302</f>
        <v/>
      </c>
      <c r="D303" s="23">
        <f>(Table13456789101112131415161734[[#This Row],[USA]]-B291)/B291</f>
        <v/>
      </c>
    </row>
    <row r="304">
      <c r="A304" s="21" t="n">
        <v>42309</v>
      </c>
      <c r="B304" s="76">
        <f>VLOOKUP(A304,Database!$A:$AU,MATCH($B$4,Database!$A$1:$AU$1,0),FALSE)</f>
        <v/>
      </c>
      <c r="C304" s="22">
        <f>(Table13456789101112131415161734[[#This Row],[USA]]-B303)/B303</f>
        <v/>
      </c>
      <c r="D304" s="23">
        <f>(Table13456789101112131415161734[[#This Row],[USA]]-B292)/B292</f>
        <v/>
      </c>
    </row>
    <row r="305">
      <c r="A305" s="21" t="n">
        <v>42339</v>
      </c>
      <c r="B305" s="76">
        <f>VLOOKUP(A305,Database!$A:$AU,MATCH($B$4,Database!$A$1:$AU$1,0),FALSE)</f>
        <v/>
      </c>
      <c r="C305" s="22">
        <f>(Table13456789101112131415161734[[#This Row],[USA]]-B304)/B304</f>
        <v/>
      </c>
      <c r="D305" s="23">
        <f>(Table13456789101112131415161734[[#This Row],[USA]]-B293)/B293</f>
        <v/>
      </c>
    </row>
    <row r="306" customFormat="1" s="86">
      <c r="A306" s="21" t="n">
        <v>42370</v>
      </c>
      <c r="B306" s="76">
        <f>VLOOKUP(A306,Database!$A:$AU,MATCH($B$4,Database!$A$1:$AU$1,0),FALSE)</f>
        <v/>
      </c>
      <c r="C306" s="22">
        <f>(Table13456789101112131415161734[[#This Row],[USA]]-B305)/B305</f>
        <v/>
      </c>
      <c r="D306" s="23">
        <f>(Table13456789101112131415161734[[#This Row],[USA]]-B294)/B294</f>
        <v/>
      </c>
    </row>
    <row r="307" customFormat="1" s="86">
      <c r="A307" s="21" t="n">
        <v>42401</v>
      </c>
      <c r="B307" s="76">
        <f>VLOOKUP(A307,Database!$A:$AU,MATCH($B$4,Database!$A$1:$AU$1,0),FALSE)</f>
        <v/>
      </c>
      <c r="C307" s="22">
        <f>(Table13456789101112131415161734[[#This Row],[USA]]-B306)/B306</f>
        <v/>
      </c>
      <c r="D307" s="23">
        <f>(Table13456789101112131415161734[[#This Row],[USA]]-B295)/B295</f>
        <v/>
      </c>
    </row>
    <row r="308" customFormat="1" s="86">
      <c r="A308" s="21" t="n">
        <v>42430</v>
      </c>
      <c r="B308" s="76">
        <f>VLOOKUP(A308,Database!$A:$AU,MATCH($B$4,Database!$A$1:$AU$1,0),FALSE)</f>
        <v/>
      </c>
      <c r="C308" s="22">
        <f>(Table13456789101112131415161734[[#This Row],[USA]]-B307)/B307</f>
        <v/>
      </c>
      <c r="D308" s="23">
        <f>(Table13456789101112131415161734[[#This Row],[USA]]-B296)/B296</f>
        <v/>
      </c>
    </row>
    <row r="309" customFormat="1" s="86">
      <c r="A309" s="21" t="n">
        <v>42461</v>
      </c>
      <c r="B309" s="76">
        <f>VLOOKUP(A309,Database!$A:$AU,MATCH($B$4,Database!$A$1:$AU$1,0),FALSE)</f>
        <v/>
      </c>
      <c r="C309" s="22">
        <f>(Table13456789101112131415161734[[#This Row],[USA]]-B308)/B308</f>
        <v/>
      </c>
      <c r="D309" s="23">
        <f>(Table13456789101112131415161734[[#This Row],[USA]]-B297)/B297</f>
        <v/>
      </c>
    </row>
    <row r="310" customFormat="1" s="86">
      <c r="A310" s="21" t="n">
        <v>42491</v>
      </c>
      <c r="B310" s="76">
        <f>VLOOKUP(A310,Database!$A:$AU,MATCH($B$4,Database!$A$1:$AU$1,0),FALSE)</f>
        <v/>
      </c>
      <c r="C310" s="22">
        <f>(Table13456789101112131415161734[[#This Row],[USA]]-B309)/B309</f>
        <v/>
      </c>
      <c r="D310" s="23">
        <f>(Table13456789101112131415161734[[#This Row],[USA]]-B298)/B298</f>
        <v/>
      </c>
    </row>
    <row r="311" customFormat="1" s="86">
      <c r="A311" s="21" t="n">
        <v>42522</v>
      </c>
      <c r="B311" s="76">
        <f>VLOOKUP(A311,Database!$A:$AU,MATCH($B$4,Database!$A$1:$AU$1,0),FALSE)</f>
        <v/>
      </c>
      <c r="C311" s="22">
        <f>(Table13456789101112131415161734[[#This Row],[USA]]-B310)/B310</f>
        <v/>
      </c>
      <c r="D311" s="23">
        <f>(Table13456789101112131415161734[[#This Row],[USA]]-B299)/B299</f>
        <v/>
      </c>
    </row>
    <row r="312" customFormat="1" s="86">
      <c r="A312" s="21" t="n">
        <v>42552</v>
      </c>
      <c r="B312" s="76">
        <f>VLOOKUP(A312,Database!$A:$AU,MATCH($B$4,Database!$A$1:$AU$1,0),FALSE)</f>
        <v/>
      </c>
      <c r="C312" s="22">
        <f>(Table13456789101112131415161734[[#This Row],[USA]]-B311)/B311</f>
        <v/>
      </c>
      <c r="D312" s="23">
        <f>(Table13456789101112131415161734[[#This Row],[USA]]-B300)/B300</f>
        <v/>
      </c>
    </row>
    <row r="313" customFormat="1" s="86">
      <c r="A313" s="21" t="n">
        <v>42583</v>
      </c>
      <c r="B313" s="76">
        <f>VLOOKUP(A313,Database!$A:$AU,MATCH($B$4,Database!$A$1:$AU$1,0),FALSE)</f>
        <v/>
      </c>
      <c r="C313" s="22">
        <f>(Table13456789101112131415161734[[#This Row],[USA]]-B312)/B312</f>
        <v/>
      </c>
      <c r="D313" s="23">
        <f>(Table13456789101112131415161734[[#This Row],[USA]]-B301)/B301</f>
        <v/>
      </c>
    </row>
    <row r="314" customFormat="1" s="86">
      <c r="A314" s="21" t="n">
        <v>42614</v>
      </c>
      <c r="B314" s="76">
        <f>VLOOKUP(A314,Database!$A:$AU,MATCH($B$4,Database!$A$1:$AU$1,0),FALSE)</f>
        <v/>
      </c>
      <c r="C314" s="22">
        <f>(Table13456789101112131415161734[[#This Row],[USA]]-B313)/B313</f>
        <v/>
      </c>
      <c r="D314" s="23">
        <f>(Table13456789101112131415161734[[#This Row],[USA]]-B302)/B302</f>
        <v/>
      </c>
    </row>
    <row r="315" customFormat="1" s="86">
      <c r="A315" s="21" t="n">
        <v>42644</v>
      </c>
      <c r="B315" s="76">
        <f>VLOOKUP(A315,Database!$A:$AU,MATCH($B$4,Database!$A$1:$AU$1,0),FALSE)</f>
        <v/>
      </c>
      <c r="C315" s="22">
        <f>(Table13456789101112131415161734[[#This Row],[USA]]-B314)/B314</f>
        <v/>
      </c>
      <c r="D315" s="23">
        <f>(Table13456789101112131415161734[[#This Row],[USA]]-B303)/B303</f>
        <v/>
      </c>
    </row>
    <row r="316" customFormat="1" s="86">
      <c r="A316" s="21" t="n">
        <v>42675</v>
      </c>
      <c r="B316" s="76">
        <f>VLOOKUP(A316,Database!$A:$AU,MATCH($B$4,Database!$A$1:$AU$1,0),FALSE)</f>
        <v/>
      </c>
      <c r="C316" s="22">
        <f>(Table13456789101112131415161734[[#This Row],[USA]]-B315)/B315</f>
        <v/>
      </c>
      <c r="D316" s="23">
        <f>(Table13456789101112131415161734[[#This Row],[USA]]-B304)/B304</f>
        <v/>
      </c>
    </row>
    <row r="317" customFormat="1" s="86">
      <c r="A317" s="21" t="n">
        <v>42705</v>
      </c>
      <c r="B317" s="76">
        <f>VLOOKUP(A317,Database!$A:$AU,MATCH($B$4,Database!$A$1:$AU$1,0),FALSE)</f>
        <v/>
      </c>
      <c r="C317" s="22">
        <f>(Table13456789101112131415161734[[#This Row],[USA]]-B316)/B316</f>
        <v/>
      </c>
      <c r="D317" s="23">
        <f>(Table13456789101112131415161734[[#This Row],[USA]]-B305)/B305</f>
        <v/>
      </c>
    </row>
    <row r="318" customFormat="1" s="86">
      <c r="A318" s="21" t="n">
        <v>42736</v>
      </c>
      <c r="B318" s="76">
        <f>VLOOKUP(A318,Database!$A:$AU,MATCH($B$4,Database!$A$1:$AU$1,0),FALSE)</f>
        <v/>
      </c>
      <c r="C318" s="22">
        <f>(Table13456789101112131415161734[[#This Row],[USA]]-B317)/B317</f>
        <v/>
      </c>
      <c r="D318" s="23">
        <f>(Table13456789101112131415161734[[#This Row],[USA]]-B306)/B306</f>
        <v/>
      </c>
    </row>
    <row r="319" customFormat="1" s="86">
      <c r="A319" s="21" t="n">
        <v>42767</v>
      </c>
      <c r="B319" s="76">
        <f>VLOOKUP(A319,Database!$A:$AU,MATCH($B$4,Database!$A$1:$AU$1,0),FALSE)</f>
        <v/>
      </c>
      <c r="C319" s="22">
        <f>(Table13456789101112131415161734[[#This Row],[USA]]-B318)/B318</f>
        <v/>
      </c>
      <c r="D319" s="23">
        <f>(Table13456789101112131415161734[[#This Row],[USA]]-B307)/B307</f>
        <v/>
      </c>
    </row>
    <row r="320" customFormat="1" s="86">
      <c r="A320" s="21" t="n">
        <v>42795</v>
      </c>
      <c r="B320" s="76">
        <f>VLOOKUP(A320,Database!$A:$AU,MATCH($B$4,Database!$A$1:$AU$1,0),FALSE)</f>
        <v/>
      </c>
      <c r="C320" s="22">
        <f>(Table13456789101112131415161734[[#This Row],[USA]]-B319)/B319</f>
        <v/>
      </c>
      <c r="D320" s="23">
        <f>(Table13456789101112131415161734[[#This Row],[USA]]-B308)/B308</f>
        <v/>
      </c>
    </row>
    <row r="321" customFormat="1" s="86">
      <c r="A321" s="21" t="n">
        <v>42826</v>
      </c>
      <c r="B321" s="76">
        <f>VLOOKUP(A321,Database!$A:$AU,MATCH($B$4,Database!$A$1:$AU$1,0),FALSE)</f>
        <v/>
      </c>
      <c r="C321" s="22">
        <f>(Table13456789101112131415161734[[#This Row],[USA]]-B320)/B320</f>
        <v/>
      </c>
      <c r="D321" s="23">
        <f>(Table13456789101112131415161734[[#This Row],[USA]]-B309)/B309</f>
        <v/>
      </c>
    </row>
    <row r="322" customFormat="1" s="86">
      <c r="A322" s="21" t="n">
        <v>42856</v>
      </c>
      <c r="B322" s="76">
        <f>VLOOKUP(A322,Database!$A:$AU,MATCH($B$4,Database!$A$1:$AU$1,0),FALSE)</f>
        <v/>
      </c>
      <c r="C322" s="22">
        <f>(Table13456789101112131415161734[[#This Row],[USA]]-B321)/B321</f>
        <v/>
      </c>
      <c r="D322" s="23">
        <f>(Table13456789101112131415161734[[#This Row],[USA]]-B310)/B310</f>
        <v/>
      </c>
    </row>
    <row r="323" customFormat="1" s="86">
      <c r="A323" s="21" t="n">
        <v>42887</v>
      </c>
      <c r="B323" s="76">
        <f>VLOOKUP(A323,Database!$A:$AU,MATCH($B$4,Database!$A$1:$AU$1,0),FALSE)</f>
        <v/>
      </c>
      <c r="C323" s="22">
        <f>(Table13456789101112131415161734[[#This Row],[USA]]-B322)/B322</f>
        <v/>
      </c>
      <c r="D323" s="23">
        <f>(Table13456789101112131415161734[[#This Row],[USA]]-B311)/B311</f>
        <v/>
      </c>
    </row>
    <row r="324" customFormat="1" s="86">
      <c r="A324" s="21" t="n">
        <v>42917</v>
      </c>
      <c r="B324" s="76">
        <f>VLOOKUP(A324,Database!$A:$AU,MATCH($B$4,Database!$A$1:$AU$1,0),FALSE)</f>
        <v/>
      </c>
      <c r="C324" s="22">
        <f>(Table13456789101112131415161734[[#This Row],[USA]]-B323)/B323</f>
        <v/>
      </c>
      <c r="D324" s="23">
        <f>(Table13456789101112131415161734[[#This Row],[USA]]-B312)/B312</f>
        <v/>
      </c>
    </row>
    <row r="325" customFormat="1" s="86">
      <c r="A325" s="21" t="n">
        <v>42948</v>
      </c>
      <c r="B325" s="76">
        <f>VLOOKUP(A325,Database!$A:$AU,MATCH($B$4,Database!$A$1:$AU$1,0),FALSE)</f>
        <v/>
      </c>
      <c r="C325" s="22">
        <f>(Table13456789101112131415161734[[#This Row],[USA]]-B324)/B324</f>
        <v/>
      </c>
      <c r="D325" s="23">
        <f>(Table13456789101112131415161734[[#This Row],[USA]]-B313)/B313</f>
        <v/>
      </c>
    </row>
    <row r="326" customFormat="1" s="86">
      <c r="A326" s="21" t="n">
        <v>42979</v>
      </c>
      <c r="B326" s="76">
        <f>VLOOKUP(A326,Database!$A:$AU,MATCH($B$4,Database!$A$1:$AU$1,0),FALSE)</f>
        <v/>
      </c>
      <c r="C326" s="22">
        <f>(Table13456789101112131415161734[[#This Row],[USA]]-B325)/B325</f>
        <v/>
      </c>
      <c r="D326" s="23">
        <f>(Table13456789101112131415161734[[#This Row],[USA]]-B314)/B314</f>
        <v/>
      </c>
    </row>
    <row r="327" customFormat="1" s="86">
      <c r="A327" s="21" t="n">
        <v>43009</v>
      </c>
      <c r="B327" s="76">
        <f>VLOOKUP(A327,Database!$A:$AU,MATCH($B$4,Database!$A$1:$AU$1,0),FALSE)</f>
        <v/>
      </c>
      <c r="C327" s="22">
        <f>(Table13456789101112131415161734[[#This Row],[USA]]-B326)/B326</f>
        <v/>
      </c>
      <c r="D327" s="23">
        <f>(Table13456789101112131415161734[[#This Row],[USA]]-B315)/B315</f>
        <v/>
      </c>
    </row>
    <row r="328" customFormat="1" s="86">
      <c r="A328" s="21" t="n">
        <v>43040</v>
      </c>
      <c r="B328" s="76">
        <f>VLOOKUP(A328,Database!$A:$AU,MATCH($B$4,Database!$A$1:$AU$1,0),FALSE)</f>
        <v/>
      </c>
      <c r="C328" s="22">
        <f>(Table13456789101112131415161734[[#This Row],[USA]]-B327)/B327</f>
        <v/>
      </c>
      <c r="D328" s="23">
        <f>(Table13456789101112131415161734[[#This Row],[USA]]-B316)/B316</f>
        <v/>
      </c>
    </row>
    <row r="329" customFormat="1" s="86">
      <c r="A329" s="21" t="n">
        <v>43070</v>
      </c>
      <c r="B329" s="76">
        <f>VLOOKUP(A329,Database!$A:$AU,MATCH($B$4,Database!$A$1:$AU$1,0),FALSE)</f>
        <v/>
      </c>
      <c r="C329" s="22">
        <f>(Table13456789101112131415161734[[#This Row],[USA]]-B328)/B328</f>
        <v/>
      </c>
      <c r="D329" s="23">
        <f>(Table13456789101112131415161734[[#This Row],[USA]]-B317)/B317</f>
        <v/>
      </c>
    </row>
    <row r="330" customFormat="1" s="86">
      <c r="A330" s="21" t="n">
        <v>43101</v>
      </c>
      <c r="B330" s="76">
        <f>VLOOKUP(A330,Database!$A:$AU,MATCH($B$4,Database!$A$1:$AU$1,0),FALSE)</f>
        <v/>
      </c>
      <c r="C330" s="22">
        <f>(Table13456789101112131415161734[[#This Row],[USA]]-B329)/B329</f>
        <v/>
      </c>
      <c r="D330" s="23">
        <f>(Table13456789101112131415161734[[#This Row],[USA]]-B318)/B318</f>
        <v/>
      </c>
    </row>
    <row r="331" customFormat="1" s="86">
      <c r="A331" s="21" t="n">
        <v>43132</v>
      </c>
      <c r="B331" s="76">
        <f>VLOOKUP(A331,Database!$A:$AU,MATCH($B$4,Database!$A$1:$AU$1,0),FALSE)</f>
        <v/>
      </c>
      <c r="C331" s="22">
        <f>(Table13456789101112131415161734[[#This Row],[USA]]-B330)/B330</f>
        <v/>
      </c>
      <c r="D331" s="23">
        <f>(Table13456789101112131415161734[[#This Row],[USA]]-B319)/B319</f>
        <v/>
      </c>
    </row>
    <row r="332" customFormat="1" s="86">
      <c r="A332" s="21" t="n">
        <v>43160</v>
      </c>
      <c r="B332" s="76">
        <f>VLOOKUP(A332,Database!$A:$AU,MATCH($B$4,Database!$A$1:$AU$1,0),FALSE)</f>
        <v/>
      </c>
      <c r="C332" s="22">
        <f>(Table13456789101112131415161734[[#This Row],[USA]]-B331)/B331</f>
        <v/>
      </c>
      <c r="D332" s="23">
        <f>(Table13456789101112131415161734[[#This Row],[USA]]-B320)/B320</f>
        <v/>
      </c>
    </row>
    <row r="333" customFormat="1" s="86">
      <c r="A333" s="21" t="n">
        <v>43191</v>
      </c>
      <c r="B333" s="76">
        <f>VLOOKUP(A333,Database!$A:$AU,MATCH($B$4,Database!$A$1:$AU$1,0),FALSE)</f>
        <v/>
      </c>
      <c r="C333" s="22">
        <f>(Table13456789101112131415161734[[#This Row],[USA]]-B332)/B332</f>
        <v/>
      </c>
      <c r="D333" s="23">
        <f>(Table13456789101112131415161734[[#This Row],[USA]]-B321)/B321</f>
        <v/>
      </c>
    </row>
    <row r="334" customFormat="1" s="86">
      <c r="A334" s="21" t="n">
        <v>43221</v>
      </c>
      <c r="B334" s="76">
        <f>VLOOKUP(A334,Database!$A:$AU,MATCH($B$4,Database!$A$1:$AU$1,0),FALSE)</f>
        <v/>
      </c>
      <c r="C334" s="22">
        <f>(Table13456789101112131415161734[[#This Row],[USA]]-B333)/B333</f>
        <v/>
      </c>
      <c r="D334" s="23">
        <f>(Table13456789101112131415161734[[#This Row],[USA]]-B322)/B322</f>
        <v/>
      </c>
    </row>
    <row r="335" customFormat="1" s="86">
      <c r="A335" s="21" t="n">
        <v>43252</v>
      </c>
      <c r="B335" s="76">
        <f>VLOOKUP(A335,Database!$A:$AU,MATCH($B$4,Database!$A$1:$AU$1,0),FALSE)</f>
        <v/>
      </c>
      <c r="C335" s="22">
        <f>(Table13456789101112131415161734[[#This Row],[USA]]-B334)/B334</f>
        <v/>
      </c>
      <c r="D335" s="23">
        <f>(Table13456789101112131415161734[[#This Row],[USA]]-B323)/B323</f>
        <v/>
      </c>
    </row>
    <row r="336" customFormat="1" s="86">
      <c r="A336" s="21" t="n">
        <v>43282</v>
      </c>
      <c r="B336" s="76">
        <f>VLOOKUP(A336,Database!$A:$AU,MATCH($B$4,Database!$A$1:$AU$1,0),FALSE)</f>
        <v/>
      </c>
      <c r="C336" s="22">
        <f>(Table13456789101112131415161734[[#This Row],[USA]]-B335)/B335</f>
        <v/>
      </c>
      <c r="D336" s="23">
        <f>(Table13456789101112131415161734[[#This Row],[USA]]-B324)/B324</f>
        <v/>
      </c>
    </row>
    <row r="337" customFormat="1" s="86">
      <c r="A337" s="21" t="n">
        <v>43313</v>
      </c>
      <c r="B337" s="76">
        <f>VLOOKUP(A337,Database!$A:$AU,MATCH($B$4,Database!$A$1:$AU$1,0),FALSE)</f>
        <v/>
      </c>
      <c r="C337" s="22">
        <f>(Table13456789101112131415161734[[#This Row],[USA]]-B336)/B336</f>
        <v/>
      </c>
      <c r="D337" s="23">
        <f>(Table13456789101112131415161734[[#This Row],[USA]]-B325)/B325</f>
        <v/>
      </c>
    </row>
    <row r="338" customFormat="1" s="86">
      <c r="A338" s="21" t="n">
        <v>43344</v>
      </c>
      <c r="B338" s="76">
        <f>VLOOKUP(A338,Database!$A:$AU,MATCH($B$4,Database!$A$1:$AU$1,0),FALSE)</f>
        <v/>
      </c>
      <c r="C338" s="22">
        <f>(Table13456789101112131415161734[[#This Row],[USA]]-B337)/B337</f>
        <v/>
      </c>
      <c r="D338" s="23">
        <f>(Table13456789101112131415161734[[#This Row],[USA]]-B326)/B326</f>
        <v/>
      </c>
    </row>
    <row r="339" customFormat="1" s="86">
      <c r="A339" s="21" t="n">
        <v>43374</v>
      </c>
      <c r="B339" s="76">
        <f>VLOOKUP(A339,Database!$A:$AU,MATCH($B$4,Database!$A$1:$AU$1,0),FALSE)</f>
        <v/>
      </c>
      <c r="C339" s="22">
        <f>(Table13456789101112131415161734[[#This Row],[USA]]-B338)/B338</f>
        <v/>
      </c>
      <c r="D339" s="23">
        <f>(Table13456789101112131415161734[[#This Row],[USA]]-B327)/B327</f>
        <v/>
      </c>
    </row>
    <row r="340" customFormat="1" s="86">
      <c r="A340" s="21" t="n">
        <v>43405</v>
      </c>
      <c r="B340" s="76">
        <f>VLOOKUP(A340,Database!$A:$AU,MATCH($B$4,Database!$A$1:$AU$1,0),FALSE)</f>
        <v/>
      </c>
      <c r="C340" s="22">
        <f>(Table13456789101112131415161734[[#This Row],[USA]]-B339)/B339</f>
        <v/>
      </c>
      <c r="D340" s="23">
        <f>(Table13456789101112131415161734[[#This Row],[USA]]-B328)/B328</f>
        <v/>
      </c>
    </row>
    <row r="341" customFormat="1" s="86">
      <c r="A341" s="21" t="n">
        <v>43435</v>
      </c>
      <c r="B341" s="76">
        <f>VLOOKUP(A341,Database!$A:$AU,MATCH($B$4,Database!$A$1:$AU$1,0),FALSE)</f>
        <v/>
      </c>
      <c r="C341" s="22">
        <f>(Table13456789101112131415161734[[#This Row],[USA]]-B340)/B340</f>
        <v/>
      </c>
      <c r="D341" s="23">
        <f>(Table13456789101112131415161734[[#This Row],[USA]]-B329)/B329</f>
        <v/>
      </c>
    </row>
    <row r="342" customFormat="1" s="86">
      <c r="A342" s="21" t="n">
        <v>43466</v>
      </c>
      <c r="B342" s="76">
        <f>VLOOKUP(A342,Database!$A:$AU,MATCH($B$4,Database!$A$1:$AU$1,0),FALSE)</f>
        <v/>
      </c>
      <c r="C342" s="22">
        <f>(Table13456789101112131415161734[[#This Row],[USA]]-B341)/B341</f>
        <v/>
      </c>
      <c r="D342" s="23">
        <f>(Table13456789101112131415161734[[#This Row],[USA]]-B330)/B330</f>
        <v/>
      </c>
    </row>
    <row r="343" customFormat="1" s="86">
      <c r="A343" s="21" t="n">
        <v>43497</v>
      </c>
      <c r="B343" s="76">
        <f>VLOOKUP(A343,Database!$A:$AU,MATCH($B$4,Database!$A$1:$AU$1,0),FALSE)</f>
        <v/>
      </c>
      <c r="C343" s="22">
        <f>(Table13456789101112131415161734[[#This Row],[USA]]-B342)/B342</f>
        <v/>
      </c>
      <c r="D343" s="23">
        <f>(Table13456789101112131415161734[[#This Row],[USA]]-B331)/B331</f>
        <v/>
      </c>
    </row>
    <row r="344" customFormat="1" s="86">
      <c r="A344" s="21" t="n">
        <v>43525</v>
      </c>
      <c r="B344" s="76">
        <f>VLOOKUP(A344,Database!$A:$AU,MATCH($B$4,Database!$A$1:$AU$1,0),FALSE)</f>
        <v/>
      </c>
      <c r="C344" s="22">
        <f>(Table13456789101112131415161734[[#This Row],[USA]]-B343)/B343</f>
        <v/>
      </c>
      <c r="D344" s="23">
        <f>(Table13456789101112131415161734[[#This Row],[USA]]-B332)/B332</f>
        <v/>
      </c>
    </row>
    <row r="345" customFormat="1" s="86">
      <c r="A345" s="21" t="n">
        <v>43556</v>
      </c>
      <c r="B345" s="76">
        <f>VLOOKUP(A345,Database!$A:$AU,MATCH($B$4,Database!$A$1:$AU$1,0),FALSE)</f>
        <v/>
      </c>
      <c r="C345" s="22">
        <f>(Table13456789101112131415161734[[#This Row],[USA]]-B344)/B344</f>
        <v/>
      </c>
      <c r="D345" s="23">
        <f>(Table13456789101112131415161734[[#This Row],[USA]]-B333)/B333</f>
        <v/>
      </c>
    </row>
    <row r="346" customFormat="1" s="86">
      <c r="A346" s="21" t="n">
        <v>43586</v>
      </c>
      <c r="B346" s="76">
        <f>VLOOKUP(A346,Database!$A:$AU,MATCH($B$4,Database!$A$1:$AU$1,0),FALSE)</f>
        <v/>
      </c>
      <c r="C346" s="22">
        <f>(Table13456789101112131415161734[[#This Row],[USA]]-B345)/B345</f>
        <v/>
      </c>
      <c r="D346" s="23">
        <f>(Table13456789101112131415161734[[#This Row],[USA]]-B334)/B334</f>
        <v/>
      </c>
    </row>
    <row r="347" customFormat="1" s="86">
      <c r="A347" s="21" t="n">
        <v>43617</v>
      </c>
      <c r="B347" s="76">
        <f>VLOOKUP(A347,Database!$A:$AU,MATCH($B$4,Database!$A$1:$AU$1,0),FALSE)</f>
        <v/>
      </c>
      <c r="C347" s="22">
        <f>(Table13456789101112131415161734[[#This Row],[USA]]-B346)/B346</f>
        <v/>
      </c>
      <c r="D347" s="23">
        <f>(Table13456789101112131415161734[[#This Row],[USA]]-B335)/B335</f>
        <v/>
      </c>
    </row>
    <row r="348" customFormat="1" s="86">
      <c r="A348" s="21" t="n">
        <v>43647</v>
      </c>
      <c r="B348" s="76">
        <f>VLOOKUP(A348,Database!$A:$AU,MATCH($B$4,Database!$A$1:$AU$1,0),FALSE)</f>
        <v/>
      </c>
      <c r="C348" s="22">
        <f>(Table13456789101112131415161734[[#This Row],[USA]]-B347)/B347</f>
        <v/>
      </c>
      <c r="D348" s="23">
        <f>(Table13456789101112131415161734[[#This Row],[USA]]-B336)/B336</f>
        <v/>
      </c>
    </row>
    <row r="349" customFormat="1" s="86">
      <c r="A349" s="21" t="n">
        <v>43678</v>
      </c>
      <c r="B349" s="76">
        <f>VLOOKUP(A349,Database!$A:$AU,MATCH($B$4,Database!$A$1:$AU$1,0),FALSE)</f>
        <v/>
      </c>
      <c r="C349" s="22">
        <f>(Table13456789101112131415161734[[#This Row],[USA]]-B348)/B348</f>
        <v/>
      </c>
      <c r="D349" s="23">
        <f>(Table13456789101112131415161734[[#This Row],[USA]]-B337)/B337</f>
        <v/>
      </c>
    </row>
    <row r="350" customFormat="1" s="86">
      <c r="A350" s="21" t="n">
        <v>43709</v>
      </c>
      <c r="B350" s="76">
        <f>VLOOKUP(A350,Database!$A:$AU,MATCH($B$4,Database!$A$1:$AU$1,0),FALSE)</f>
        <v/>
      </c>
      <c r="C350" s="22">
        <f>(Table13456789101112131415161734[[#This Row],[USA]]-B349)/B349</f>
        <v/>
      </c>
      <c r="D350" s="23">
        <f>(Table13456789101112131415161734[[#This Row],[USA]]-B338)/B338</f>
        <v/>
      </c>
    </row>
    <row r="351" customFormat="1" s="86">
      <c r="A351" s="21" t="n">
        <v>43739</v>
      </c>
      <c r="B351" s="76">
        <f>VLOOKUP(A351,Database!$A:$AU,MATCH($B$4,Database!$A$1:$AU$1,0),FALSE)</f>
        <v/>
      </c>
      <c r="C351" s="22">
        <f>(Table13456789101112131415161734[[#This Row],[USA]]-B350)/B350</f>
        <v/>
      </c>
      <c r="D351" s="23">
        <f>(Table13456789101112131415161734[[#This Row],[USA]]-B339)/B339</f>
        <v/>
      </c>
    </row>
    <row r="352" customFormat="1" s="86">
      <c r="A352" s="21" t="n">
        <v>43770</v>
      </c>
      <c r="B352" s="76">
        <f>VLOOKUP(A352,Database!$A:$AU,MATCH($B$4,Database!$A$1:$AU$1,0),FALSE)</f>
        <v/>
      </c>
      <c r="C352" s="22">
        <f>(Table13456789101112131415161734[[#This Row],[USA]]-B351)/B351</f>
        <v/>
      </c>
      <c r="D352" s="23">
        <f>(Table13456789101112131415161734[[#This Row],[USA]]-B340)/B340</f>
        <v/>
      </c>
    </row>
    <row r="353" customFormat="1" s="86">
      <c r="A353" s="21" t="n">
        <v>43800</v>
      </c>
      <c r="B353" s="76">
        <f>VLOOKUP(A353,Database!$A:$AU,MATCH($B$4,Database!$A$1:$AU$1,0),FALSE)</f>
        <v/>
      </c>
      <c r="C353" s="22">
        <f>(Table13456789101112131415161734[[#This Row],[USA]]-B352)/B352</f>
        <v/>
      </c>
      <c r="D353" s="23">
        <f>(Table13456789101112131415161734[[#This Row],[USA]]-B341)/B341</f>
        <v/>
      </c>
    </row>
    <row r="354" customFormat="1" s="86">
      <c r="A354" s="21" t="n">
        <v>43831</v>
      </c>
      <c r="B354" s="76">
        <f>VLOOKUP(A354,Database!$A:$AU,MATCH($B$4,Database!$A$1:$AU$1,0),FALSE)</f>
        <v/>
      </c>
      <c r="C354" s="22">
        <f>(Table13456789101112131415161734[[#This Row],[USA]]-B353)/B353</f>
        <v/>
      </c>
      <c r="D354" s="23">
        <f>(Table13456789101112131415161734[[#This Row],[USA]]-B342)/B342</f>
        <v/>
      </c>
    </row>
    <row r="355" customFormat="1" s="86">
      <c r="A355" s="21" t="n">
        <v>43862</v>
      </c>
      <c r="B355" s="76">
        <f>VLOOKUP(A355,Database!$A:$AU,MATCH($B$4,Database!$A$1:$AU$1,0),FALSE)</f>
        <v/>
      </c>
      <c r="C355" s="22">
        <f>(Table13456789101112131415161734[[#This Row],[USA]]-B354)/B354</f>
        <v/>
      </c>
      <c r="D355" s="23">
        <f>(Table13456789101112131415161734[[#This Row],[USA]]-B343)/B343</f>
        <v/>
      </c>
    </row>
    <row r="356" customFormat="1" s="86">
      <c r="A356" s="21" t="n">
        <v>43891</v>
      </c>
      <c r="B356" s="76">
        <f>VLOOKUP(A356,Database!$A:$AU,MATCH($B$4,Database!$A$1:$AU$1,0),FALSE)</f>
        <v/>
      </c>
      <c r="C356" s="22">
        <f>(Table13456789101112131415161734[[#This Row],[USA]]-B355)/B355</f>
        <v/>
      </c>
      <c r="D356" s="23">
        <f>(Table13456789101112131415161734[[#This Row],[USA]]-B344)/B344</f>
        <v/>
      </c>
    </row>
    <row r="357" customFormat="1" s="86">
      <c r="A357" s="21" t="n">
        <v>43922</v>
      </c>
      <c r="B357" s="76">
        <f>VLOOKUP(A357,Database!$A:$AU,MATCH($B$4,Database!$A$1:$AU$1,0),FALSE)</f>
        <v/>
      </c>
      <c r="C357" s="22">
        <f>(Table13456789101112131415161734[[#This Row],[USA]]-B356)/B356</f>
        <v/>
      </c>
      <c r="D357" s="23">
        <f>(Table13456789101112131415161734[[#This Row],[USA]]-B345)/B345</f>
        <v/>
      </c>
    </row>
    <row r="358" customFormat="1" s="86">
      <c r="A358" s="21" t="n">
        <v>43952</v>
      </c>
      <c r="B358" s="76">
        <f>VLOOKUP(A358,Database!$A:$AU,MATCH($B$4,Database!$A$1:$AU$1,0),FALSE)</f>
        <v/>
      </c>
      <c r="C358" s="22">
        <f>(Table13456789101112131415161734[[#This Row],[USA]]-B357)/B357</f>
        <v/>
      </c>
      <c r="D358" s="23">
        <f>(Table13456789101112131415161734[[#This Row],[USA]]-B346)/B346</f>
        <v/>
      </c>
    </row>
    <row r="359" customFormat="1" s="86">
      <c r="A359" s="21" t="n">
        <v>43983</v>
      </c>
      <c r="B359" s="76">
        <f>VLOOKUP(A359,Database!$A:$AU,MATCH($B$4,Database!$A$1:$AU$1,0),FALSE)</f>
        <v/>
      </c>
      <c r="C359" s="22">
        <f>(Table13456789101112131415161734[[#This Row],[USA]]-B358)/B358</f>
        <v/>
      </c>
      <c r="D359" s="23">
        <f>(Table13456789101112131415161734[[#This Row],[USA]]-B347)/B347</f>
        <v/>
      </c>
    </row>
    <row r="360" customFormat="1" s="86">
      <c r="A360" s="21" t="n">
        <v>44013</v>
      </c>
      <c r="B360" s="76">
        <f>VLOOKUP(A360,Database!$A:$AU,MATCH($B$4,Database!$A$1:$AU$1,0),FALSE)</f>
        <v/>
      </c>
      <c r="C360" s="22">
        <f>(Table13456789101112131415161734[[#This Row],[USA]]-B359)/B359</f>
        <v/>
      </c>
      <c r="D360" s="23">
        <f>(Table13456789101112131415161734[[#This Row],[USA]]-B348)/B348</f>
        <v/>
      </c>
    </row>
    <row r="361" customFormat="1" s="86">
      <c r="A361" s="21" t="n">
        <v>44044</v>
      </c>
      <c r="B361" s="76">
        <f>VLOOKUP(A361,Database!$A:$AU,MATCH($B$4,Database!$A$1:$AU$1,0),FALSE)</f>
        <v/>
      </c>
      <c r="C361" s="22">
        <f>(Table13456789101112131415161734[[#This Row],[USA]]-B360)/B360</f>
        <v/>
      </c>
      <c r="D361" s="23">
        <f>(Table13456789101112131415161734[[#This Row],[USA]]-B349)/B349</f>
        <v/>
      </c>
    </row>
    <row r="362" customFormat="1" s="86">
      <c r="A362" s="21" t="n">
        <v>44075</v>
      </c>
      <c r="B362" s="76">
        <f>VLOOKUP(A362,Database!$A:$AU,MATCH($B$4,Database!$A$1:$AU$1,0),FALSE)</f>
        <v/>
      </c>
      <c r="C362" s="22">
        <f>(Table13456789101112131415161734[[#This Row],[USA]]-B361)/B361</f>
        <v/>
      </c>
      <c r="D362" s="23">
        <f>(Table13456789101112131415161734[[#This Row],[USA]]-B350)/B350</f>
        <v/>
      </c>
    </row>
    <row r="363" customFormat="1" s="86">
      <c r="A363" s="21" t="n">
        <v>44105</v>
      </c>
      <c r="B363" s="76">
        <f>VLOOKUP(A363,Database!$A:$AU,MATCH($B$4,Database!$A$1:$AU$1,0),FALSE)</f>
        <v/>
      </c>
      <c r="C363" s="22">
        <f>(Table13456789101112131415161734[[#This Row],[USA]]-B362)/B362</f>
        <v/>
      </c>
      <c r="D363" s="23">
        <f>(Table13456789101112131415161734[[#This Row],[USA]]-B351)/B351</f>
        <v/>
      </c>
    </row>
    <row r="364" customFormat="1" s="86">
      <c r="A364" s="21" t="n">
        <v>44136</v>
      </c>
      <c r="B364" s="76">
        <f>VLOOKUP(A364,Database!$A:$AU,MATCH($B$4,Database!$A$1:$AU$1,0),FALSE)</f>
        <v/>
      </c>
      <c r="C364" s="22">
        <f>(Table13456789101112131415161734[[#This Row],[USA]]-B363)/B363</f>
        <v/>
      </c>
      <c r="D364" s="23">
        <f>(Table13456789101112131415161734[[#This Row],[USA]]-B352)/B352</f>
        <v/>
      </c>
    </row>
    <row r="365" customFormat="1" s="86">
      <c r="A365" s="21" t="n">
        <v>44166</v>
      </c>
      <c r="B365" s="76">
        <f>VLOOKUP(A365,Database!$A:$AU,MATCH($B$4,Database!$A$1:$AU$1,0),FALSE)</f>
        <v/>
      </c>
      <c r="C365" s="22">
        <f>(Table13456789101112131415161734[[#This Row],[USA]]-B364)/B364</f>
        <v/>
      </c>
      <c r="D365" s="23">
        <f>(Table13456789101112131415161734[[#This Row],[USA]]-B353)/B353</f>
        <v/>
      </c>
    </row>
    <row r="366" customFormat="1" s="86">
      <c r="A366" s="21" t="n">
        <v>44197</v>
      </c>
      <c r="B366" s="76">
        <f>VLOOKUP(A366,Database!$A:$AU,MATCH($B$4,Database!$A$1:$AU$1,0),FALSE)</f>
        <v/>
      </c>
      <c r="C366" s="22">
        <f>(Table13456789101112131415161734[[#This Row],[USA]]-B365)/B365</f>
        <v/>
      </c>
      <c r="D366" s="23">
        <f>(Table13456789101112131415161734[[#This Row],[USA]]-B354)/B354</f>
        <v/>
      </c>
    </row>
    <row r="367" customFormat="1" s="86">
      <c r="A367" s="21" t="n">
        <v>44228</v>
      </c>
      <c r="B367" s="76">
        <f>VLOOKUP(A367,Database!$A:$AU,MATCH($B$4,Database!$A$1:$AU$1,0),FALSE)</f>
        <v/>
      </c>
      <c r="C367" s="22">
        <f>(Table13456789101112131415161734[[#This Row],[USA]]-B366)/B366</f>
        <v/>
      </c>
      <c r="D367" s="23">
        <f>(Table13456789101112131415161734[[#This Row],[USA]]-B355)/B355</f>
        <v/>
      </c>
    </row>
    <row r="368" customFormat="1" s="86">
      <c r="A368" s="21" t="n">
        <v>44256</v>
      </c>
      <c r="B368" s="76">
        <f>VLOOKUP(A368,Database!$A:$AU,MATCH($B$4,Database!$A$1:$AU$1,0),FALSE)</f>
        <v/>
      </c>
      <c r="C368" s="22">
        <f>(Table13456789101112131415161734[[#This Row],[USA]]-B367)/B367</f>
        <v/>
      </c>
      <c r="D368" s="23">
        <f>(Table13456789101112131415161734[[#This Row],[USA]]-B356)/B356</f>
        <v/>
      </c>
    </row>
    <row r="369" customFormat="1" s="86">
      <c r="A369" s="21" t="n">
        <v>44287</v>
      </c>
      <c r="B369" s="76">
        <f>VLOOKUP(A369,Database!$A:$AU,MATCH($B$4,Database!$A$1:$AU$1,0),FALSE)</f>
        <v/>
      </c>
      <c r="C369" s="22">
        <f>(Table13456789101112131415161734[[#This Row],[USA]]-B368)/B368</f>
        <v/>
      </c>
      <c r="D369" s="23">
        <f>(Table13456789101112131415161734[[#This Row],[USA]]-B357)/B357</f>
        <v/>
      </c>
    </row>
    <row r="370" customFormat="1" s="86">
      <c r="A370" s="21" t="n">
        <v>44317</v>
      </c>
      <c r="B370" s="76">
        <f>VLOOKUP(A370,Database!$A:$AU,MATCH($B$4,Database!$A$1:$AU$1,0),FALSE)</f>
        <v/>
      </c>
      <c r="C370" s="22">
        <f>(Table13456789101112131415161734[[#This Row],[USA]]-B369)/B369</f>
        <v/>
      </c>
      <c r="D370" s="23">
        <f>(Table13456789101112131415161734[[#This Row],[USA]]-B358)/B358</f>
        <v/>
      </c>
    </row>
    <row r="371" customFormat="1" s="86">
      <c r="A371" s="21" t="n">
        <v>44348</v>
      </c>
      <c r="B371" s="76">
        <f>VLOOKUP(A371,Database!$A:$AU,MATCH($B$4,Database!$A$1:$AU$1,0),FALSE)</f>
        <v/>
      </c>
      <c r="C371" s="22">
        <f>(Table13456789101112131415161734[[#This Row],[USA]]-B370)/B370</f>
        <v/>
      </c>
      <c r="D371" s="23">
        <f>(Table13456789101112131415161734[[#This Row],[USA]]-B359)/B359</f>
        <v/>
      </c>
    </row>
    <row r="372" customFormat="1" s="86">
      <c r="A372" s="21" t="n">
        <v>44378</v>
      </c>
      <c r="B372" s="76">
        <f>VLOOKUP(A372,Database!$A:$AU,MATCH($B$4,Database!$A$1:$AU$1,0),FALSE)</f>
        <v/>
      </c>
      <c r="C372" s="22">
        <f>(Table13456789101112131415161734[[#This Row],[USA]]-B371)/B371</f>
        <v/>
      </c>
      <c r="D372" s="23">
        <f>(Table13456789101112131415161734[[#This Row],[USA]]-B360)/B360</f>
        <v/>
      </c>
    </row>
    <row r="373" customFormat="1" s="86">
      <c r="A373" s="21" t="n">
        <v>44409</v>
      </c>
      <c r="B373" s="76">
        <f>VLOOKUP(A373,Database!$A:$AU,MATCH($B$4,Database!$A$1:$AU$1,0),FALSE)</f>
        <v/>
      </c>
      <c r="C373" s="22">
        <f>(Table13456789101112131415161734[[#This Row],[USA]]-B372)/B372</f>
        <v/>
      </c>
      <c r="D373" s="23">
        <f>(Table13456789101112131415161734[[#This Row],[USA]]-B361)/B361</f>
        <v/>
      </c>
    </row>
    <row r="374" customFormat="1" s="86">
      <c r="A374" s="21" t="n">
        <v>44440</v>
      </c>
      <c r="B374" s="76">
        <f>VLOOKUP(A374,Database!$A:$AU,MATCH($B$4,Database!$A$1:$AU$1,0),FALSE)</f>
        <v/>
      </c>
      <c r="C374" s="22">
        <f>(Table13456789101112131415161734[[#This Row],[USA]]-B373)/B373</f>
        <v/>
      </c>
      <c r="D374" s="23">
        <f>(Table13456789101112131415161734[[#This Row],[USA]]-B362)/B362</f>
        <v/>
      </c>
    </row>
    <row r="375" customFormat="1" s="86">
      <c r="A375" s="21" t="n">
        <v>44470</v>
      </c>
      <c r="B375" s="76">
        <f>VLOOKUP(A375,Database!$A:$AU,MATCH($B$4,Database!$A$1:$AU$1,0),FALSE)</f>
        <v/>
      </c>
      <c r="C375" s="22">
        <f>(Table13456789101112131415161734[[#This Row],[USA]]-B374)/B374</f>
        <v/>
      </c>
      <c r="D375" s="23">
        <f>(Table13456789101112131415161734[[#This Row],[USA]]-B363)/B363</f>
        <v/>
      </c>
    </row>
    <row r="376" customFormat="1" s="86">
      <c r="A376" s="21" t="n">
        <v>44501</v>
      </c>
      <c r="B376" s="76">
        <f>VLOOKUP(A376,Database!$A:$AU,MATCH($B$4,Database!$A$1:$AU$1,0),FALSE)</f>
        <v/>
      </c>
      <c r="C376" s="22">
        <f>(Table13456789101112131415161734[[#This Row],[USA]]-B375)/B375</f>
        <v/>
      </c>
      <c r="D376" s="23">
        <f>(Table13456789101112131415161734[[#This Row],[USA]]-B364)/B364</f>
        <v/>
      </c>
    </row>
    <row r="377" customFormat="1" s="86">
      <c r="A377" s="21" t="n">
        <v>44531</v>
      </c>
      <c r="B377" s="76">
        <f>VLOOKUP(A377,Database!$A:$AU,MATCH($B$4,Database!$A$1:$AU$1,0),FALSE)</f>
        <v/>
      </c>
      <c r="C377" s="22">
        <f>(Table13456789101112131415161734[[#This Row],[USA]]-B376)/B376</f>
        <v/>
      </c>
      <c r="D377" s="23">
        <f>(Table13456789101112131415161734[[#This Row],[USA]]-B365)/B365</f>
        <v/>
      </c>
    </row>
    <row r="378" customFormat="1" s="86">
      <c r="A378" s="21" t="n">
        <v>44562</v>
      </c>
      <c r="B378" s="76">
        <f>VLOOKUP(A378,Database!$A:$AU,MATCH($B$4,Database!$A$1:$AU$1,0),FALSE)</f>
        <v/>
      </c>
      <c r="C378" s="22">
        <f>(Table13456789101112131415161734[[#This Row],[USA]]-B377)/B377</f>
        <v/>
      </c>
      <c r="D378" s="23">
        <f>(Table13456789101112131415161734[[#This Row],[USA]]-B366)/B366</f>
        <v/>
      </c>
    </row>
    <row r="379" customFormat="1" s="86">
      <c r="A379" s="21" t="n">
        <v>44593</v>
      </c>
      <c r="B379" s="76">
        <f>VLOOKUP(A379,Database!$A:$AU,MATCH($B$4,Database!$A$1:$AU$1,0),FALSE)</f>
        <v/>
      </c>
      <c r="C379" s="22">
        <f>(Table13456789101112131415161734[[#This Row],[USA]]-B378)/B378</f>
        <v/>
      </c>
      <c r="D379" s="23">
        <f>(Table13456789101112131415161734[[#This Row],[USA]]-B367)/B367</f>
        <v/>
      </c>
    </row>
    <row r="380" customFormat="1" s="86">
      <c r="A380" s="21" t="n">
        <v>44621</v>
      </c>
      <c r="B380" s="76">
        <f>VLOOKUP(A380,Database!$A:$AU,MATCH($B$4,Database!$A$1:$AU$1,0),FALSE)</f>
        <v/>
      </c>
      <c r="C380" s="22">
        <f>(Table13456789101112131415161734[[#This Row],[USA]]-B379)/B379</f>
        <v/>
      </c>
      <c r="D380" s="23">
        <f>(Table13456789101112131415161734[[#This Row],[USA]]-B368)/B368</f>
        <v/>
      </c>
    </row>
    <row r="381" customFormat="1" s="86">
      <c r="A381" s="21" t="n">
        <v>44652</v>
      </c>
      <c r="B381" s="76">
        <f>VLOOKUP(A381,Database!$A:$AU,MATCH($B$4,Database!$A$1:$AU$1,0),FALSE)</f>
        <v/>
      </c>
      <c r="C381" s="22">
        <f>(Table13456789101112131415161734[[#This Row],[USA]]-B380)/B380</f>
        <v/>
      </c>
      <c r="D381" s="23">
        <f>(Table13456789101112131415161734[[#This Row],[USA]]-B369)/B369</f>
        <v/>
      </c>
    </row>
    <row r="382" customFormat="1" s="86">
      <c r="A382" s="21" t="n">
        <v>44682</v>
      </c>
      <c r="B382" s="76">
        <f>VLOOKUP(A382,Database!$A:$AU,MATCH($B$4,Database!$A$1:$AU$1,0),FALSE)</f>
        <v/>
      </c>
      <c r="C382" s="22">
        <f>(Table13456789101112131415161734[[#This Row],[USA]]-B381)/B381</f>
        <v/>
      </c>
      <c r="D382" s="23">
        <f>(Table13456789101112131415161734[[#This Row],[USA]]-B370)/B370</f>
        <v/>
      </c>
    </row>
    <row r="383" customFormat="1" s="86">
      <c r="A383" s="21" t="n">
        <v>44713</v>
      </c>
      <c r="B383" s="76">
        <f>VLOOKUP(A383,Database!$A:$AU,MATCH($B$4,Database!$A$1:$AU$1,0),FALSE)</f>
        <v/>
      </c>
      <c r="C383" s="22">
        <f>(Table13456789101112131415161734[[#This Row],[USA]]-B382)/B382</f>
        <v/>
      </c>
      <c r="D383" s="23">
        <f>(Table13456789101112131415161734[[#This Row],[USA]]-B371)/B371</f>
        <v/>
      </c>
    </row>
    <row r="384" customFormat="1" s="86">
      <c r="A384" s="21" t="n">
        <v>44743</v>
      </c>
      <c r="B384" s="76">
        <f>VLOOKUP(A384,Database!$A:$AU,MATCH($B$4,Database!$A$1:$AU$1,0),FALSE)</f>
        <v/>
      </c>
      <c r="C384" s="22">
        <f>(Table13456789101112131415161734[[#This Row],[USA]]-B383)/B383</f>
        <v/>
      </c>
      <c r="D384" s="23">
        <f>(Table13456789101112131415161734[[#This Row],[USA]]-B372)/B372</f>
        <v/>
      </c>
    </row>
    <row r="385" customFormat="1" s="86">
      <c r="A385" s="21" t="n">
        <v>44774</v>
      </c>
      <c r="B385" s="76">
        <f>VLOOKUP(A385,Database!$A:$AU,MATCH($B$4,Database!$A$1:$AU$1,0),FALSE)</f>
        <v/>
      </c>
      <c r="C385" s="22">
        <f>(Table13456789101112131415161734[[#This Row],[USA]]-B384)/B384</f>
        <v/>
      </c>
      <c r="D385" s="23">
        <f>(Table13456789101112131415161734[[#This Row],[USA]]-B373)/B373</f>
        <v/>
      </c>
    </row>
    <row r="386" customFormat="1" s="86">
      <c r="A386" s="21" t="n">
        <v>44805</v>
      </c>
      <c r="B386" s="76">
        <f>VLOOKUP(A386,Database!$A:$AU,MATCH($B$4,Database!$A$1:$AU$1,0),FALSE)</f>
        <v/>
      </c>
      <c r="C386" s="22">
        <f>(Table13456789101112131415161734[[#This Row],[USA]]-B385)/B385</f>
        <v/>
      </c>
      <c r="D386" s="23">
        <f>(Table13456789101112131415161734[[#This Row],[USA]]-B374)/B374</f>
        <v/>
      </c>
    </row>
    <row r="387" customFormat="1" s="86">
      <c r="A387" s="21" t="n">
        <v>44835</v>
      </c>
      <c r="B387" s="76">
        <f>VLOOKUP(A387,Database!$A:$AU,MATCH($B$4,Database!$A$1:$AU$1,0),FALSE)</f>
        <v/>
      </c>
      <c r="C387" s="22">
        <f>(Table13456789101112131415161734[[#This Row],[USA]]-B386)/B386</f>
        <v/>
      </c>
      <c r="D387" s="23">
        <f>(Table13456789101112131415161734[[#This Row],[USA]]-B375)/B375</f>
        <v/>
      </c>
    </row>
    <row r="388" customFormat="1" s="86">
      <c r="A388" s="16" t="n"/>
      <c r="C388" s="19" t="n"/>
      <c r="D388" s="19" t="n"/>
    </row>
    <row r="389" customFormat="1" s="86">
      <c r="A389" s="16" t="n"/>
      <c r="C389" s="19" t="n"/>
      <c r="D389" s="19" t="n"/>
    </row>
    <row r="390" customFormat="1" s="86">
      <c r="A390" s="16" t="n"/>
      <c r="C390" s="19" t="n"/>
      <c r="D390" s="19" t="n"/>
    </row>
    <row r="391" customFormat="1" s="86">
      <c r="A391" s="16" t="n"/>
      <c r="C391" s="19" t="n"/>
      <c r="D391" s="19" t="n"/>
    </row>
    <row r="392" customFormat="1" s="86">
      <c r="A392" s="16" t="n"/>
      <c r="C392" s="19" t="n"/>
      <c r="D392" s="19" t="n"/>
    </row>
    <row r="393" customFormat="1" s="86">
      <c r="A393" s="16" t="n"/>
      <c r="C393" s="19" t="n"/>
      <c r="D393" s="19" t="n"/>
    </row>
    <row r="394" customFormat="1" s="86">
      <c r="A394" s="16" t="n"/>
      <c r="C394" s="19" t="n"/>
      <c r="D394" s="19" t="n"/>
    </row>
    <row r="395" customFormat="1" s="86">
      <c r="A395" s="16" t="n"/>
      <c r="C395" s="19" t="n"/>
      <c r="D395" s="19" t="n"/>
    </row>
    <row r="396" customFormat="1" s="86">
      <c r="A396" s="16" t="n"/>
      <c r="C396" s="19" t="n"/>
      <c r="D396" s="19" t="n"/>
    </row>
    <row r="397" customFormat="1" s="86">
      <c r="A397" s="16" t="n"/>
      <c r="C397" s="19" t="n"/>
      <c r="D397" s="19" t="n"/>
    </row>
    <row r="398" customFormat="1" s="86">
      <c r="A398" s="16" t="n"/>
      <c r="C398" s="19" t="n"/>
      <c r="D398" s="19" t="n"/>
    </row>
    <row r="399" customFormat="1" s="86">
      <c r="A399" s="16" t="n"/>
      <c r="C399" s="19" t="n"/>
      <c r="D399" s="19" t="n"/>
    </row>
    <row r="400" customFormat="1" s="86">
      <c r="A400" s="16" t="n"/>
      <c r="C400" s="19" t="n"/>
      <c r="D400" s="19" t="n"/>
    </row>
    <row r="401" customFormat="1" s="86">
      <c r="A401" s="16" t="n"/>
      <c r="C401" s="19" t="n"/>
      <c r="D401" s="19" t="n"/>
    </row>
    <row r="402" customFormat="1" s="86">
      <c r="A402" s="16" t="n"/>
      <c r="C402" s="19" t="n"/>
      <c r="D402" s="19" t="n"/>
    </row>
    <row r="403" customFormat="1" s="86">
      <c r="A403" s="16" t="n"/>
      <c r="C403" s="19" t="n"/>
      <c r="D403" s="19" t="n"/>
    </row>
    <row r="404" customFormat="1" s="86">
      <c r="A404" s="16" t="n"/>
      <c r="C404" s="19" t="n"/>
      <c r="D404" s="19" t="n"/>
    </row>
    <row r="405" customFormat="1" s="86">
      <c r="A405" s="16" t="n"/>
      <c r="C405" s="19" t="n"/>
      <c r="D405" s="19" t="n"/>
    </row>
    <row r="406" customFormat="1" s="86">
      <c r="A406" s="16" t="n"/>
      <c r="C406" s="19" t="n"/>
      <c r="D406" s="19" t="n"/>
    </row>
    <row r="407" customFormat="1" s="86">
      <c r="A407" s="16" t="n"/>
      <c r="C407" s="19" t="n"/>
      <c r="D407" s="19" t="n"/>
    </row>
    <row r="408" customFormat="1" s="86">
      <c r="A408" s="16" t="n"/>
      <c r="C408" s="19" t="n"/>
      <c r="D408" s="19" t="n"/>
    </row>
    <row r="409" customFormat="1" s="86">
      <c r="A409" s="16" t="n"/>
      <c r="C409" s="19" t="n"/>
      <c r="D409" s="19" t="n"/>
    </row>
    <row r="410" customFormat="1" s="86">
      <c r="A410" s="16" t="n"/>
      <c r="C410" s="19" t="n"/>
      <c r="D410" s="19" t="n"/>
    </row>
    <row r="411" customFormat="1" s="86">
      <c r="A411" s="16" t="n"/>
      <c r="C411" s="19" t="n"/>
      <c r="D411" s="19" t="n"/>
    </row>
    <row r="412" customFormat="1" s="86">
      <c r="A412" s="16" t="n"/>
      <c r="C412" s="19" t="n"/>
      <c r="D412" s="19" t="n"/>
    </row>
    <row r="413" customFormat="1" s="86">
      <c r="A413" s="16" t="n"/>
      <c r="C413" s="19" t="n"/>
      <c r="D413" s="19" t="n"/>
    </row>
    <row r="414" customFormat="1" s="86">
      <c r="A414" s="16" t="n"/>
      <c r="C414" s="19" t="n"/>
      <c r="D414" s="19" t="n"/>
    </row>
    <row r="415" customFormat="1" s="86">
      <c r="A415" s="16" t="n"/>
      <c r="C415" s="19" t="n"/>
      <c r="D415" s="19" t="n"/>
    </row>
    <row r="416" customFormat="1" s="86">
      <c r="A416" s="16" t="n"/>
      <c r="C416" s="19" t="n"/>
      <c r="D416" s="19" t="n"/>
    </row>
    <row r="417" customFormat="1" s="86">
      <c r="A417" s="16" t="n"/>
      <c r="C417" s="19" t="n"/>
      <c r="D417" s="19" t="n"/>
    </row>
    <row r="418" customFormat="1" s="86">
      <c r="A418" s="16" t="n"/>
      <c r="C418" s="19" t="n"/>
      <c r="D418" s="19" t="n"/>
    </row>
    <row r="419" customFormat="1" s="86">
      <c r="A419" s="16" t="n"/>
      <c r="C419" s="19" t="n"/>
      <c r="D419" s="19" t="n"/>
    </row>
    <row r="420" customFormat="1" s="86">
      <c r="A420" s="16" t="n"/>
      <c r="C420" s="19" t="n"/>
      <c r="D420" s="19" t="n"/>
    </row>
    <row r="421" customFormat="1" s="86">
      <c r="A421" s="16" t="n"/>
      <c r="C421" s="19" t="n"/>
      <c r="D421" s="19" t="n"/>
    </row>
    <row r="422" customFormat="1" s="86">
      <c r="A422" s="16" t="n"/>
      <c r="C422" s="19" t="n"/>
      <c r="D422" s="19" t="n"/>
    </row>
    <row r="423" customFormat="1" s="86">
      <c r="A423" s="16" t="n"/>
      <c r="C423" s="19" t="n"/>
      <c r="D423" s="19" t="n"/>
    </row>
    <row r="424" customFormat="1" s="86">
      <c r="A424" s="16" t="n"/>
      <c r="C424" s="19" t="n"/>
      <c r="D424" s="19" t="n"/>
    </row>
    <row r="425" customFormat="1" s="86">
      <c r="A425" s="16" t="n"/>
      <c r="C425" s="19" t="n"/>
      <c r="D425" s="19" t="n"/>
    </row>
    <row r="426" customFormat="1" s="86">
      <c r="A426" s="16" t="n"/>
      <c r="C426" s="19" t="n"/>
      <c r="D426" s="19" t="n"/>
    </row>
    <row r="427" customFormat="1" s="86">
      <c r="A427" s="16" t="n"/>
      <c r="C427" s="19" t="n"/>
      <c r="D427" s="19" t="n"/>
    </row>
    <row r="428" customFormat="1" s="86">
      <c r="A428" s="16" t="n"/>
      <c r="C428" s="19" t="n"/>
      <c r="D428" s="19" t="n"/>
    </row>
    <row r="429" customFormat="1" s="86">
      <c r="A429" s="16" t="n"/>
      <c r="C429" s="19" t="n"/>
      <c r="D429" s="19" t="n"/>
    </row>
    <row r="430" customFormat="1" s="86">
      <c r="A430" s="16" t="n"/>
      <c r="C430" s="19" t="n"/>
      <c r="D430" s="19" t="n"/>
    </row>
    <row r="431" customFormat="1" s="86">
      <c r="A431" s="16" t="n"/>
      <c r="C431" s="19" t="n"/>
      <c r="D431" s="19" t="n"/>
    </row>
    <row r="432" customFormat="1" s="86">
      <c r="A432" s="16" t="n"/>
      <c r="C432" s="19" t="n"/>
      <c r="D432" s="19" t="n"/>
    </row>
    <row r="433" customFormat="1" s="86">
      <c r="A433" s="16" t="n"/>
      <c r="C433" s="19" t="n"/>
      <c r="D433" s="19" t="n"/>
    </row>
    <row r="434" customFormat="1" s="86">
      <c r="A434" s="16" t="n"/>
      <c r="C434" s="19" t="n"/>
      <c r="D434" s="19" t="n"/>
    </row>
    <row r="435" customFormat="1" s="86">
      <c r="A435" s="16" t="n"/>
      <c r="C435" s="19" t="n"/>
      <c r="D435" s="19" t="n"/>
    </row>
    <row r="436" customFormat="1" s="86">
      <c r="A436" s="16" t="n"/>
      <c r="C436" s="19" t="n"/>
      <c r="D436" s="19" t="n"/>
    </row>
    <row r="437" customFormat="1" s="86">
      <c r="A437" s="16" t="n"/>
      <c r="C437" s="19" t="n"/>
      <c r="D437" s="19" t="n"/>
    </row>
    <row r="438" customFormat="1" s="86">
      <c r="A438" s="16" t="n"/>
      <c r="C438" s="19" t="n"/>
      <c r="D438" s="19" t="n"/>
    </row>
    <row r="439" customFormat="1" s="86">
      <c r="A439" s="16" t="n"/>
      <c r="C439" s="19" t="n"/>
      <c r="D439" s="19" t="n"/>
    </row>
    <row r="440" customFormat="1" s="86">
      <c r="A440" s="16" t="n"/>
      <c r="C440" s="19" t="n"/>
      <c r="D440" s="19" t="n"/>
    </row>
    <row r="441" customFormat="1" s="86">
      <c r="A441" s="16" t="n"/>
      <c r="C441" s="19" t="n"/>
      <c r="D441" s="19" t="n"/>
    </row>
    <row r="442" customFormat="1" s="86">
      <c r="A442" s="16" t="n"/>
      <c r="C442" s="19" t="n"/>
      <c r="D442" s="19" t="n"/>
    </row>
    <row r="443" customFormat="1" s="86">
      <c r="A443" s="16" t="n"/>
      <c r="C443" s="19" t="n"/>
      <c r="D443" s="19" t="n"/>
    </row>
    <row r="444" customFormat="1" s="86">
      <c r="A444" s="16" t="n"/>
      <c r="C444" s="19" t="n"/>
      <c r="D444" s="19" t="n"/>
    </row>
    <row r="445" customFormat="1" s="86">
      <c r="A445" s="16" t="n"/>
      <c r="C445" s="19" t="n"/>
      <c r="D445" s="19" t="n"/>
    </row>
    <row r="446" customFormat="1" s="86">
      <c r="A446" s="16" t="n"/>
      <c r="C446" s="19" t="n"/>
      <c r="D446" s="19" t="n"/>
    </row>
    <row r="447" customFormat="1" s="86">
      <c r="A447" s="16" t="n"/>
      <c r="C447" s="19" t="n"/>
      <c r="D447" s="19" t="n"/>
    </row>
    <row r="448" customFormat="1" s="86">
      <c r="A448" s="16" t="n"/>
      <c r="C448" s="19" t="n"/>
      <c r="D448" s="19" t="n"/>
    </row>
    <row r="449" customFormat="1" s="86">
      <c r="A449" s="16" t="n"/>
      <c r="C449" s="19" t="n"/>
      <c r="D449" s="19" t="n"/>
    </row>
    <row r="450" customFormat="1" s="86">
      <c r="A450" s="16" t="n"/>
      <c r="C450" s="19" t="n"/>
      <c r="D450" s="19" t="n"/>
    </row>
    <row r="451" customFormat="1" s="86">
      <c r="A451" s="16" t="n"/>
      <c r="C451" s="19" t="n"/>
      <c r="D451" s="19" t="n"/>
    </row>
    <row r="452" customFormat="1" s="86">
      <c r="A452" s="16" t="n"/>
      <c r="C452" s="19" t="n"/>
      <c r="D452" s="19" t="n"/>
    </row>
    <row r="453" customFormat="1" s="86">
      <c r="A453" s="16" t="n"/>
      <c r="C453" s="19" t="n"/>
      <c r="D453" s="19" t="n"/>
    </row>
    <row r="454" customFormat="1" s="86">
      <c r="A454" s="16" t="n"/>
      <c r="C454" s="19" t="n"/>
      <c r="D454" s="19" t="n"/>
    </row>
    <row r="455" customFormat="1" s="86">
      <c r="A455" s="16" t="n"/>
      <c r="C455" s="19" t="n"/>
      <c r="D455" s="19" t="n"/>
    </row>
    <row r="456" customFormat="1" s="86">
      <c r="A456" s="16" t="n"/>
      <c r="C456" s="19" t="n"/>
      <c r="D456" s="19" t="n"/>
    </row>
    <row r="457" customFormat="1" s="86">
      <c r="A457" s="16" t="n"/>
      <c r="C457" s="19" t="n"/>
      <c r="D457" s="19" t="n"/>
    </row>
    <row r="458" customFormat="1" s="86">
      <c r="A458" s="16" t="n"/>
      <c r="C458" s="19" t="n"/>
      <c r="D458" s="19" t="n"/>
    </row>
    <row r="459" customFormat="1" s="86">
      <c r="A459" s="16" t="n"/>
      <c r="C459" s="19" t="n"/>
      <c r="D459" s="19" t="n"/>
    </row>
    <row r="460" customFormat="1" s="86">
      <c r="A460" s="16" t="n"/>
      <c r="C460" s="19" t="n"/>
      <c r="D460" s="19" t="n"/>
    </row>
    <row r="461" customFormat="1" s="86">
      <c r="A461" s="16" t="n"/>
      <c r="C461" s="19" t="n"/>
      <c r="D461" s="19" t="n"/>
    </row>
    <row r="462" customFormat="1" s="86">
      <c r="A462" s="16" t="n"/>
      <c r="C462" s="19" t="n"/>
      <c r="D462" s="19" t="n"/>
    </row>
    <row r="463" customFormat="1" s="86">
      <c r="A463" s="16" t="n"/>
      <c r="C463" s="19" t="n"/>
      <c r="D463" s="19" t="n"/>
    </row>
    <row r="464" customFormat="1" s="86">
      <c r="A464" s="16" t="n"/>
      <c r="C464" s="19" t="n"/>
      <c r="D464" s="19" t="n"/>
    </row>
    <row r="465" customFormat="1" s="86">
      <c r="A465" s="16" t="n"/>
      <c r="C465" s="19" t="n"/>
      <c r="D465" s="19" t="n"/>
    </row>
    <row r="466" customFormat="1" s="86">
      <c r="A466" s="16" t="n"/>
      <c r="C466" s="19" t="n"/>
      <c r="D466" s="19" t="n"/>
    </row>
    <row r="467" customFormat="1" s="86">
      <c r="A467" s="16" t="n"/>
      <c r="C467" s="19" t="n"/>
      <c r="D467" s="19" t="n"/>
    </row>
    <row r="468" customFormat="1" s="86">
      <c r="A468" s="16" t="n"/>
      <c r="C468" s="19" t="n"/>
      <c r="D468" s="19" t="n"/>
    </row>
    <row r="469" customFormat="1" s="86">
      <c r="A469" s="16" t="n"/>
      <c r="C469" s="19" t="n"/>
      <c r="D469" s="19" t="n"/>
    </row>
    <row r="470" customFormat="1" s="86">
      <c r="A470" s="16" t="n"/>
      <c r="C470" s="19" t="n"/>
      <c r="D470" s="19" t="n"/>
    </row>
    <row r="471" customFormat="1" s="86">
      <c r="A471" s="16" t="n"/>
      <c r="C471" s="19" t="n"/>
      <c r="D471" s="19" t="n"/>
    </row>
    <row r="472" customFormat="1" s="86">
      <c r="A472" s="16" t="n"/>
      <c r="C472" s="19" t="n"/>
      <c r="D472" s="19" t="n"/>
    </row>
    <row r="473" customFormat="1" s="86">
      <c r="A473" s="16" t="n"/>
      <c r="C473" s="19" t="n"/>
      <c r="D473" s="19" t="n"/>
    </row>
    <row r="474" customFormat="1" s="86">
      <c r="A474" s="16" t="n"/>
      <c r="C474" s="19" t="n"/>
      <c r="D474" s="19" t="n"/>
    </row>
    <row r="475" customFormat="1" s="86">
      <c r="A475" s="16" t="n"/>
      <c r="C475" s="19" t="n"/>
      <c r="D475" s="19" t="n"/>
    </row>
    <row r="476" customFormat="1" s="86">
      <c r="A476" s="16" t="n"/>
      <c r="C476" s="19" t="n"/>
      <c r="D476" s="19" t="n"/>
    </row>
    <row r="477" customFormat="1" s="86">
      <c r="A477" s="16" t="n"/>
      <c r="C477" s="19" t="n"/>
      <c r="D477" s="19" t="n"/>
    </row>
    <row r="478" customFormat="1" s="86">
      <c r="A478" s="16" t="n"/>
      <c r="C478" s="19" t="n"/>
      <c r="D478" s="19" t="n"/>
    </row>
    <row r="479" customFormat="1" s="86">
      <c r="A479" s="16" t="n"/>
      <c r="C479" s="19" t="n"/>
      <c r="D479" s="19" t="n"/>
    </row>
    <row r="480" customFormat="1" s="86">
      <c r="A480" s="16" t="n"/>
      <c r="C480" s="19" t="n"/>
      <c r="D480" s="19" t="n"/>
    </row>
    <row r="481" customFormat="1" s="86">
      <c r="A481" s="16" t="n"/>
      <c r="C481" s="19" t="n"/>
      <c r="D481" s="19" t="n"/>
    </row>
    <row r="482" customFormat="1" s="86">
      <c r="A482" s="16" t="n"/>
      <c r="C482" s="19" t="n"/>
      <c r="D482" s="19" t="n"/>
    </row>
    <row r="483" customFormat="1" s="86">
      <c r="A483" s="16" t="n"/>
      <c r="C483" s="19" t="n"/>
      <c r="D483" s="19" t="n"/>
    </row>
    <row r="484" customFormat="1" s="86">
      <c r="A484" s="16" t="n"/>
      <c r="C484" s="19" t="n"/>
      <c r="D484" s="19" t="n"/>
    </row>
    <row r="485" customFormat="1" s="86">
      <c r="A485" s="16" t="n"/>
      <c r="C485" s="19" t="n"/>
      <c r="D485" s="19" t="n"/>
    </row>
    <row r="486" customFormat="1" s="86">
      <c r="A486" s="16" t="n"/>
      <c r="C486" s="19" t="n"/>
      <c r="D486" s="19" t="n"/>
    </row>
    <row r="487" customFormat="1" s="86">
      <c r="A487" s="16" t="n"/>
      <c r="C487" s="19" t="n"/>
      <c r="D487" s="19" t="n"/>
    </row>
    <row r="488" customFormat="1" s="86">
      <c r="A488" s="16" t="n"/>
      <c r="C488" s="19" t="n"/>
      <c r="D488" s="19" t="n"/>
    </row>
    <row r="489" customFormat="1" s="86">
      <c r="A489" s="16" t="n"/>
      <c r="C489" s="19" t="n"/>
      <c r="D489" s="19" t="n"/>
    </row>
    <row r="490" customFormat="1" s="86">
      <c r="A490" s="16" t="n"/>
      <c r="C490" s="19" t="n"/>
      <c r="D490" s="19" t="n"/>
    </row>
    <row r="491" customFormat="1" s="86">
      <c r="A491" s="16" t="n"/>
      <c r="C491" s="19" t="n"/>
      <c r="D491" s="19" t="n"/>
    </row>
    <row r="492" customFormat="1" s="86">
      <c r="A492" s="16" t="n"/>
      <c r="C492" s="19" t="n"/>
      <c r="D492" s="19" t="n"/>
    </row>
    <row r="493" customFormat="1" s="86">
      <c r="A493" s="16" t="n"/>
      <c r="C493" s="19" t="n"/>
      <c r="D493" s="19" t="n"/>
    </row>
    <row r="494" customFormat="1" s="86">
      <c r="A494" s="16" t="n"/>
      <c r="C494" s="19" t="n"/>
      <c r="D494" s="19" t="n"/>
    </row>
    <row r="495" customFormat="1" s="86">
      <c r="A495" s="16" t="n"/>
      <c r="C495" s="19" t="n"/>
      <c r="D495" s="19" t="n"/>
    </row>
    <row r="496" customFormat="1" s="86">
      <c r="A496" s="16" t="n"/>
      <c r="C496" s="19" t="n"/>
      <c r="D496" s="19" t="n"/>
    </row>
    <row r="497" customFormat="1" s="86">
      <c r="A497" s="16" t="n"/>
      <c r="C497" s="19" t="n"/>
      <c r="D497" s="19" t="n"/>
    </row>
    <row r="498" customFormat="1" s="86">
      <c r="A498" s="16" t="n"/>
      <c r="C498" s="19" t="n"/>
      <c r="D498" s="19" t="n"/>
    </row>
    <row r="499" customFormat="1" s="86">
      <c r="A499" s="16" t="n"/>
      <c r="C499" s="19" t="n"/>
      <c r="D499" s="19" t="n"/>
    </row>
    <row r="500" customFormat="1" s="86">
      <c r="A500" s="16" t="n"/>
      <c r="C500" s="19" t="n"/>
      <c r="D500" s="19" t="n"/>
    </row>
    <row r="501" customFormat="1" s="86">
      <c r="A501" s="16" t="n"/>
      <c r="C501" s="19" t="n"/>
      <c r="D501" s="19" t="n"/>
    </row>
    <row r="502" customFormat="1" s="86">
      <c r="A502" s="16" t="n"/>
      <c r="C502" s="19" t="n"/>
      <c r="D502" s="19" t="n"/>
    </row>
    <row r="503" customFormat="1" s="86">
      <c r="A503" s="16" t="n"/>
      <c r="C503" s="19" t="n"/>
      <c r="D503" s="19" t="n"/>
    </row>
    <row r="504" customFormat="1" s="86">
      <c r="A504" s="16" t="n"/>
      <c r="C504" s="19" t="n"/>
      <c r="D504" s="19" t="n"/>
    </row>
    <row r="505" customFormat="1" s="86">
      <c r="A505" s="16" t="n"/>
      <c r="C505" s="19" t="n"/>
      <c r="D505" s="19" t="n"/>
    </row>
    <row r="506" customFormat="1" s="86">
      <c r="A506" s="16" t="n"/>
      <c r="C506" s="19" t="n"/>
      <c r="D506" s="19" t="n"/>
    </row>
    <row r="507" customFormat="1" s="86">
      <c r="A507" s="16" t="n"/>
      <c r="C507" s="19" t="n"/>
      <c r="D507" s="19" t="n"/>
    </row>
    <row r="508" customFormat="1" s="86">
      <c r="A508" s="16" t="n"/>
      <c r="C508" s="19" t="n"/>
      <c r="D508" s="19" t="n"/>
    </row>
    <row r="509" customFormat="1" s="86">
      <c r="A509" s="16" t="n"/>
      <c r="C509" s="19" t="n"/>
      <c r="D509" s="19" t="n"/>
    </row>
    <row r="510" customFormat="1" s="86">
      <c r="A510" s="16" t="n"/>
      <c r="C510" s="19" t="n"/>
      <c r="D510" s="19" t="n"/>
    </row>
    <row r="511" customFormat="1" s="86">
      <c r="A511" s="16" t="n"/>
      <c r="C511" s="19" t="n"/>
      <c r="D511" s="19" t="n"/>
    </row>
    <row r="512" customFormat="1" s="86">
      <c r="A512" s="16" t="n"/>
      <c r="C512" s="19" t="n"/>
      <c r="D512" s="19" t="n"/>
    </row>
    <row r="513" customFormat="1" s="86">
      <c r="A513" s="16" t="n"/>
      <c r="C513" s="19" t="n"/>
      <c r="D513" s="19" t="n"/>
    </row>
    <row r="514" customFormat="1" s="86">
      <c r="A514" s="16" t="n"/>
      <c r="C514" s="19" t="n"/>
      <c r="D514" s="19" t="n"/>
    </row>
    <row r="515" customFormat="1" s="86">
      <c r="A515" s="16" t="n"/>
      <c r="C515" s="19" t="n"/>
      <c r="D515" s="19" t="n"/>
    </row>
    <row r="516" customFormat="1" s="86">
      <c r="A516" s="16" t="n"/>
      <c r="C516" s="19" t="n"/>
      <c r="D516" s="19" t="n"/>
    </row>
    <row r="517" customFormat="1" s="86">
      <c r="A517" s="16" t="n"/>
      <c r="C517" s="19" t="n"/>
      <c r="D517" s="19" t="n"/>
    </row>
    <row r="518" customFormat="1" s="86">
      <c r="A518" s="16" t="n"/>
      <c r="C518" s="19" t="n"/>
      <c r="D518" s="19" t="n"/>
    </row>
    <row r="519" customFormat="1" s="86">
      <c r="A519" s="16" t="n"/>
      <c r="C519" s="19" t="n"/>
      <c r="D519" s="19" t="n"/>
    </row>
    <row r="520" customFormat="1" s="86">
      <c r="A520" s="16" t="n"/>
      <c r="C520" s="19" t="n"/>
      <c r="D520" s="19" t="n"/>
    </row>
    <row r="521" customFormat="1" s="86">
      <c r="A521" s="16" t="n"/>
      <c r="C521" s="19" t="n"/>
      <c r="D521" s="19" t="n"/>
    </row>
    <row r="522" customFormat="1" s="86">
      <c r="A522" s="16" t="n"/>
      <c r="C522" s="19" t="n"/>
      <c r="D522" s="19" t="n"/>
    </row>
    <row r="523" customFormat="1" s="86">
      <c r="A523" s="16" t="n"/>
      <c r="C523" s="19" t="n"/>
      <c r="D523" s="19" t="n"/>
    </row>
    <row r="524" customFormat="1" s="86">
      <c r="A524" s="16" t="n"/>
      <c r="C524" s="19" t="n"/>
      <c r="D524" s="19" t="n"/>
    </row>
    <row r="525" customFormat="1" s="86">
      <c r="A525" s="16" t="n"/>
      <c r="C525" s="19" t="n"/>
      <c r="D525" s="19" t="n"/>
    </row>
    <row r="526" customFormat="1" s="86">
      <c r="A526" s="16" t="n"/>
      <c r="C526" s="19" t="n"/>
      <c r="D526" s="19" t="n"/>
    </row>
    <row r="527" customFormat="1" s="86">
      <c r="A527" s="16" t="n"/>
      <c r="C527" s="19" t="n"/>
      <c r="D527" s="19" t="n"/>
    </row>
    <row r="528" customFormat="1" s="86">
      <c r="A528" s="16" t="n"/>
      <c r="C528" s="19" t="n"/>
      <c r="D528" s="19" t="n"/>
    </row>
    <row r="529" customFormat="1" s="86">
      <c r="A529" s="16" t="n"/>
      <c r="C529" s="19" t="n"/>
      <c r="D529" s="19" t="n"/>
    </row>
    <row r="530" customFormat="1" s="86">
      <c r="A530" s="16" t="n"/>
      <c r="C530" s="19" t="n"/>
      <c r="D530" s="19" t="n"/>
    </row>
    <row r="531" customFormat="1" s="86">
      <c r="A531" s="16" t="n"/>
      <c r="C531" s="19" t="n"/>
      <c r="D531" s="19" t="n"/>
    </row>
    <row r="532" customFormat="1" s="86">
      <c r="A532" s="16" t="n"/>
      <c r="C532" s="19" t="n"/>
      <c r="D532" s="19" t="n"/>
    </row>
    <row r="533" customFormat="1" s="86">
      <c r="A533" s="16" t="n"/>
      <c r="C533" s="19" t="n"/>
      <c r="D533" s="19" t="n"/>
    </row>
    <row r="534" customFormat="1" s="86">
      <c r="A534" s="16" t="n"/>
      <c r="C534" s="19" t="n"/>
      <c r="D534" s="19" t="n"/>
    </row>
    <row r="535" customFormat="1" s="86">
      <c r="A535" s="16" t="n"/>
      <c r="C535" s="19" t="n"/>
      <c r="D535" s="19" t="n"/>
    </row>
    <row r="536" customFormat="1" s="86">
      <c r="A536" s="16" t="n"/>
      <c r="C536" s="19" t="n"/>
      <c r="D536" s="19" t="n"/>
    </row>
    <row r="537" customFormat="1" s="86">
      <c r="A537" s="16" t="n"/>
      <c r="C537" s="19" t="n"/>
      <c r="D537" s="19" t="n"/>
    </row>
    <row r="538" customFormat="1" s="86">
      <c r="A538" s="16" t="n"/>
      <c r="C538" s="19" t="n"/>
      <c r="D538" s="19" t="n"/>
    </row>
    <row r="539" customFormat="1" s="86">
      <c r="A539" s="16" t="n"/>
      <c r="C539" s="19" t="n"/>
      <c r="D539" s="19" t="n"/>
    </row>
    <row r="540" customFormat="1" s="86">
      <c r="A540" s="16" t="n"/>
      <c r="C540" s="19" t="n"/>
      <c r="D540" s="19" t="n"/>
    </row>
    <row r="541" customFormat="1" s="86">
      <c r="A541" s="16" t="n"/>
      <c r="C541" s="19" t="n"/>
      <c r="D541" s="19" t="n"/>
    </row>
    <row r="542" customFormat="1" s="86">
      <c r="A542" s="16" t="n"/>
      <c r="C542" s="19" t="n"/>
      <c r="D542" s="19" t="n"/>
    </row>
    <row r="543" customFormat="1" s="86">
      <c r="A543" s="16" t="n"/>
      <c r="C543" s="19" t="n"/>
      <c r="D543" s="19" t="n"/>
    </row>
    <row r="544" customFormat="1" s="86">
      <c r="A544" s="16" t="n"/>
      <c r="C544" s="19" t="n"/>
      <c r="D544" s="19" t="n"/>
    </row>
    <row r="545" customFormat="1" s="86">
      <c r="A545" s="16" t="n"/>
      <c r="C545" s="19" t="n"/>
      <c r="D545" s="19" t="n"/>
    </row>
    <row r="546" customFormat="1" s="86">
      <c r="A546" s="16" t="n"/>
      <c r="C546" s="19" t="n"/>
      <c r="D546" s="19" t="n"/>
    </row>
    <row r="547" customFormat="1" s="86">
      <c r="A547" s="16" t="n"/>
      <c r="C547" s="19" t="n"/>
      <c r="D547" s="19" t="n"/>
    </row>
    <row r="548" customFormat="1" s="86">
      <c r="A548" s="16" t="n"/>
      <c r="C548" s="19" t="n"/>
      <c r="D548" s="19" t="n"/>
    </row>
    <row r="549" customFormat="1" s="86">
      <c r="A549" s="16" t="n"/>
      <c r="C549" s="19" t="n"/>
      <c r="D549" s="19" t="n"/>
    </row>
    <row r="550" customFormat="1" s="86">
      <c r="A550" s="16" t="n"/>
      <c r="C550" s="19" t="n"/>
      <c r="D550" s="19" t="n"/>
    </row>
    <row r="551" customFormat="1" s="86">
      <c r="A551" s="16" t="n"/>
      <c r="C551" s="19" t="n"/>
      <c r="D551" s="19" t="n"/>
    </row>
    <row r="552" customFormat="1" s="86">
      <c r="A552" s="16" t="n"/>
      <c r="C552" s="19" t="n"/>
      <c r="D552" s="19" t="n"/>
    </row>
    <row r="553" customFormat="1" s="86">
      <c r="A553" s="16" t="n"/>
      <c r="C553" s="19" t="n"/>
      <c r="D553" s="19" t="n"/>
    </row>
    <row r="554" customFormat="1" s="86">
      <c r="A554" s="16" t="n"/>
      <c r="C554" s="19" t="n"/>
      <c r="D554" s="19" t="n"/>
    </row>
    <row r="555" customFormat="1" s="86">
      <c r="A555" s="16" t="n"/>
      <c r="C555" s="19" t="n"/>
      <c r="D555" s="19" t="n"/>
    </row>
    <row r="556" customFormat="1" s="86">
      <c r="A556" s="16" t="n"/>
      <c r="C556" s="19" t="n"/>
      <c r="D556" s="19" t="n"/>
    </row>
    <row r="557" customFormat="1" s="86">
      <c r="A557" s="16" t="n"/>
      <c r="C557" s="19" t="n"/>
      <c r="D557" s="19" t="n"/>
    </row>
    <row r="558" customFormat="1" s="86">
      <c r="A558" s="16" t="n"/>
      <c r="C558" s="19" t="n"/>
      <c r="D558" s="19" t="n"/>
    </row>
    <row r="559" customFormat="1" s="86">
      <c r="A559" s="16" t="n"/>
      <c r="C559" s="19" t="n"/>
      <c r="D559" s="19" t="n"/>
    </row>
    <row r="560" customFormat="1" s="86">
      <c r="A560" s="16" t="n"/>
      <c r="C560" s="19" t="n"/>
      <c r="D560" s="19" t="n"/>
    </row>
    <row r="561" customFormat="1" s="86">
      <c r="A561" s="16" t="n"/>
      <c r="C561" s="19" t="n"/>
      <c r="D561" s="19" t="n"/>
    </row>
    <row r="562" customFormat="1" s="86">
      <c r="A562" s="16" t="n"/>
      <c r="C562" s="19" t="n"/>
      <c r="D562" s="19" t="n"/>
    </row>
    <row r="563" customFormat="1" s="86">
      <c r="A563" s="16" t="n"/>
      <c r="C563" s="19" t="n"/>
      <c r="D563" s="19" t="n"/>
    </row>
    <row r="564" customFormat="1" s="86">
      <c r="A564" s="16" t="n"/>
      <c r="C564" s="19" t="n"/>
      <c r="D564" s="19" t="n"/>
    </row>
    <row r="565" customFormat="1" s="86">
      <c r="A565" s="16" t="n"/>
      <c r="C565" s="19" t="n"/>
      <c r="D565" s="19" t="n"/>
    </row>
    <row r="566" customFormat="1" s="86">
      <c r="A566" s="16" t="n"/>
      <c r="C566" s="19" t="n"/>
      <c r="D566" s="19" t="n"/>
    </row>
    <row r="567" customFormat="1" s="86">
      <c r="A567" s="16" t="n"/>
      <c r="C567" s="19" t="n"/>
      <c r="D567" s="19" t="n"/>
    </row>
    <row r="568" customFormat="1" s="86">
      <c r="A568" s="16" t="n"/>
      <c r="C568" s="19" t="n"/>
      <c r="D568" s="19" t="n"/>
    </row>
    <row r="569" customFormat="1" s="86">
      <c r="A569" s="16" t="n"/>
      <c r="C569" s="19" t="n"/>
      <c r="D569" s="19" t="n"/>
    </row>
    <row r="570" customFormat="1" s="86">
      <c r="A570" s="16" t="n"/>
      <c r="C570" s="19" t="n"/>
      <c r="D570" s="19" t="n"/>
    </row>
    <row r="571" customFormat="1" s="86">
      <c r="A571" s="16" t="n"/>
      <c r="C571" s="19" t="n"/>
      <c r="D571" s="19" t="n"/>
    </row>
    <row r="572" customFormat="1" s="86">
      <c r="A572" s="16" t="n"/>
      <c r="C572" s="19" t="n"/>
      <c r="D572" s="19" t="n"/>
    </row>
    <row r="573" customFormat="1" s="86">
      <c r="A573" s="16" t="n"/>
      <c r="C573" s="19" t="n"/>
      <c r="D573" s="19" t="n"/>
    </row>
    <row r="574" customFormat="1" s="86">
      <c r="A574" s="16" t="n"/>
      <c r="C574" s="19" t="n"/>
      <c r="D574" s="19" t="n"/>
    </row>
    <row r="575" customFormat="1" s="86">
      <c r="A575" s="16" t="n"/>
      <c r="C575" s="19" t="n"/>
      <c r="D575" s="19" t="n"/>
    </row>
    <row r="576" customFormat="1" s="86">
      <c r="A576" s="16" t="n"/>
      <c r="C576" s="19" t="n"/>
      <c r="D576" s="19" t="n"/>
    </row>
    <row r="577" customFormat="1" s="86">
      <c r="A577" s="16" t="n"/>
      <c r="C577" s="19" t="n"/>
      <c r="D577" s="19" t="n"/>
    </row>
    <row r="578" customFormat="1" s="86">
      <c r="A578" s="16" t="n"/>
      <c r="C578" s="19" t="n"/>
      <c r="D578" s="19" t="n"/>
    </row>
    <row r="579" customFormat="1" s="86">
      <c r="A579" s="16" t="n"/>
      <c r="C579" s="19" t="n"/>
      <c r="D579" s="19" t="n"/>
    </row>
    <row r="580" customFormat="1" s="86">
      <c r="A580" s="16" t="n"/>
      <c r="C580" s="19" t="n"/>
      <c r="D580" s="19" t="n"/>
    </row>
    <row r="581" customFormat="1" s="86">
      <c r="A581" s="16" t="n"/>
      <c r="C581" s="19" t="n"/>
      <c r="D581" s="19" t="n"/>
    </row>
    <row r="582" customFormat="1" s="86">
      <c r="A582" s="16" t="n"/>
      <c r="C582" s="19" t="n"/>
      <c r="D582" s="19" t="n"/>
    </row>
    <row r="583" customFormat="1" s="86">
      <c r="A583" s="16" t="n"/>
      <c r="C583" s="19" t="n"/>
      <c r="D583" s="19" t="n"/>
    </row>
    <row r="584" customFormat="1" s="86">
      <c r="A584" s="16" t="n"/>
      <c r="C584" s="19" t="n"/>
      <c r="D584" s="19" t="n"/>
    </row>
    <row r="585" customFormat="1" s="86">
      <c r="A585" s="16" t="n"/>
      <c r="C585" s="19" t="n"/>
      <c r="D585" s="19" t="n"/>
    </row>
    <row r="586" customFormat="1" s="86">
      <c r="A586" s="16" t="n"/>
      <c r="C586" s="19" t="n"/>
      <c r="D586" s="19" t="n"/>
    </row>
    <row r="587" customFormat="1" s="86">
      <c r="A587" s="16" t="n"/>
      <c r="C587" s="19" t="n"/>
      <c r="D587" s="19" t="n"/>
    </row>
    <row r="588" customFormat="1" s="86">
      <c r="A588" s="16" t="n"/>
      <c r="C588" s="19" t="n"/>
      <c r="D588" s="19" t="n"/>
    </row>
    <row r="589" customFormat="1" s="86">
      <c r="A589" s="16" t="n"/>
      <c r="C589" s="19" t="n"/>
      <c r="D589" s="19" t="n"/>
    </row>
    <row r="590" customFormat="1" s="86">
      <c r="A590" s="16" t="n"/>
      <c r="C590" s="19" t="n"/>
      <c r="D590" s="19" t="n"/>
    </row>
    <row r="591" customFormat="1" s="86">
      <c r="A591" s="16" t="n"/>
      <c r="C591" s="19" t="n"/>
      <c r="D591" s="19" t="n"/>
    </row>
    <row r="592" customFormat="1" s="86">
      <c r="A592" s="16" t="n"/>
      <c r="C592" s="19" t="n"/>
      <c r="D592" s="19" t="n"/>
    </row>
    <row r="593" customFormat="1" s="86">
      <c r="A593" s="16" t="n"/>
      <c r="C593" s="19" t="n"/>
      <c r="D593" s="19" t="n"/>
    </row>
    <row r="594" customFormat="1" s="86">
      <c r="A594" s="16" t="n"/>
      <c r="C594" s="19" t="n"/>
      <c r="D594" s="19" t="n"/>
    </row>
    <row r="595" customFormat="1" s="86">
      <c r="A595" s="16" t="n"/>
      <c r="C595" s="19" t="n"/>
      <c r="D595" s="19" t="n"/>
    </row>
    <row r="596" customFormat="1" s="86">
      <c r="A596" s="16" t="n"/>
      <c r="C596" s="19" t="n"/>
      <c r="D596" s="19" t="n"/>
    </row>
    <row r="597" customFormat="1" s="86">
      <c r="A597" s="16" t="n"/>
      <c r="C597" s="19" t="n"/>
      <c r="D597" s="19" t="n"/>
    </row>
    <row r="598" customFormat="1" s="86">
      <c r="A598" s="16" t="n"/>
      <c r="C598" s="19" t="n"/>
      <c r="D598" s="19" t="n"/>
    </row>
    <row r="599" customFormat="1" s="86">
      <c r="A599" s="16" t="n"/>
      <c r="C599" s="19" t="n"/>
      <c r="D599" s="19" t="n"/>
    </row>
    <row r="600" customFormat="1" s="86">
      <c r="A600" s="16" t="n"/>
      <c r="C600" s="19" t="n"/>
      <c r="D600" s="19" t="n"/>
    </row>
    <row r="601" customFormat="1" s="86">
      <c r="A601" s="16" t="n"/>
      <c r="C601" s="19" t="n"/>
      <c r="D601" s="19" t="n"/>
    </row>
    <row r="602" customFormat="1" s="86">
      <c r="A602" s="16" t="n"/>
      <c r="C602" s="19" t="n"/>
      <c r="D602" s="19" t="n"/>
    </row>
    <row r="603" customFormat="1" s="86">
      <c r="A603" s="16" t="n"/>
      <c r="C603" s="19" t="n"/>
      <c r="D603" s="19" t="n"/>
    </row>
    <row r="604" customFormat="1" s="86">
      <c r="A604" s="16" t="n"/>
      <c r="C604" s="19" t="n"/>
      <c r="D604" s="19" t="n"/>
    </row>
    <row r="605" customFormat="1" s="86">
      <c r="A605" s="16" t="n"/>
      <c r="C605" s="19" t="n"/>
      <c r="D605" s="19" t="n"/>
    </row>
    <row r="606" customFormat="1" s="86">
      <c r="A606" s="16" t="n"/>
      <c r="C606" s="19" t="n"/>
      <c r="D606" s="19" t="n"/>
    </row>
    <row r="607" customFormat="1" s="86">
      <c r="A607" s="16" t="n"/>
      <c r="C607" s="19" t="n"/>
      <c r="D607" s="19" t="n"/>
    </row>
    <row r="608" customFormat="1" s="86">
      <c r="A608" s="16" t="n"/>
      <c r="C608" s="19" t="n"/>
      <c r="D608" s="19" t="n"/>
    </row>
    <row r="609" customFormat="1" s="86">
      <c r="A609" s="16" t="n"/>
      <c r="C609" s="19" t="n"/>
      <c r="D609" s="19" t="n"/>
    </row>
    <row r="610" customFormat="1" s="86">
      <c r="A610" s="16" t="n"/>
      <c r="C610" s="19" t="n"/>
      <c r="D610" s="19" t="n"/>
    </row>
    <row r="611" customFormat="1" s="86">
      <c r="A611" s="16" t="n"/>
      <c r="C611" s="19" t="n"/>
      <c r="D611" s="19" t="n"/>
    </row>
    <row r="612" customFormat="1" s="86">
      <c r="A612" s="16" t="n"/>
      <c r="C612" s="19" t="n"/>
      <c r="D612" s="19" t="n"/>
    </row>
    <row r="613" customFormat="1" s="86">
      <c r="A613" s="16" t="n"/>
      <c r="C613" s="19" t="n"/>
      <c r="D613" s="19" t="n"/>
    </row>
    <row r="614" customFormat="1" s="86">
      <c r="A614" s="16" t="n"/>
      <c r="C614" s="19" t="n"/>
      <c r="D614" s="19" t="n"/>
    </row>
    <row r="615" customFormat="1" s="86">
      <c r="A615" s="16" t="n"/>
      <c r="C615" s="19" t="n"/>
      <c r="D615" s="19" t="n"/>
    </row>
    <row r="616" customFormat="1" s="86">
      <c r="A616" s="16" t="n"/>
      <c r="C616" s="19" t="n"/>
      <c r="D616" s="19" t="n"/>
    </row>
    <row r="617" customFormat="1" s="86">
      <c r="A617" s="16" t="n"/>
      <c r="C617" s="19" t="n"/>
      <c r="D617" s="19" t="n"/>
    </row>
    <row r="618" customFormat="1" s="86">
      <c r="A618" s="16" t="n"/>
      <c r="C618" s="19" t="n"/>
      <c r="D618" s="19" t="n"/>
    </row>
    <row r="619" customFormat="1" s="86">
      <c r="A619" s="16" t="n"/>
      <c r="C619" s="19" t="n"/>
      <c r="D619" s="19" t="n"/>
    </row>
    <row r="620" customFormat="1" s="86">
      <c r="A620" s="16" t="n"/>
      <c r="C620" s="19" t="n"/>
      <c r="D620" s="19" t="n"/>
    </row>
    <row r="621" customFormat="1" s="86">
      <c r="A621" s="16" t="n"/>
      <c r="C621" s="19" t="n"/>
      <c r="D621" s="19" t="n"/>
    </row>
    <row r="622" customFormat="1" s="86">
      <c r="A622" s="16" t="n"/>
      <c r="C622" s="19" t="n"/>
      <c r="D622" s="19" t="n"/>
    </row>
    <row r="623" customFormat="1" s="86">
      <c r="A623" s="16" t="n"/>
      <c r="C623" s="19" t="n"/>
      <c r="D623" s="19" t="n"/>
    </row>
    <row r="624" customFormat="1" s="86">
      <c r="A624" s="16" t="n"/>
      <c r="C624" s="19" t="n"/>
      <c r="D624" s="19" t="n"/>
    </row>
    <row r="625" customFormat="1" s="86">
      <c r="A625" s="16" t="n"/>
      <c r="C625" s="19" t="n"/>
      <c r="D625" s="19" t="n"/>
    </row>
    <row r="626" customFormat="1" s="86">
      <c r="A626" s="16" t="n"/>
      <c r="C626" s="19" t="n"/>
      <c r="D626" s="19" t="n"/>
    </row>
    <row r="627" customFormat="1" s="86">
      <c r="A627" s="16" t="n"/>
      <c r="C627" s="19" t="n"/>
      <c r="D627" s="19" t="n"/>
    </row>
    <row r="628" customFormat="1" s="86">
      <c r="A628" s="16" t="n"/>
      <c r="C628" s="19" t="n"/>
      <c r="D628" s="19" t="n"/>
    </row>
    <row r="629" customFormat="1" s="86">
      <c r="A629" s="16" t="n"/>
      <c r="C629" s="19" t="n"/>
      <c r="D629" s="19" t="n"/>
    </row>
    <row r="630" customFormat="1" s="86">
      <c r="A630" s="16" t="n"/>
      <c r="C630" s="19" t="n"/>
      <c r="D630" s="19" t="n"/>
    </row>
    <row r="631" customFormat="1" s="86">
      <c r="A631" s="16" t="n"/>
      <c r="C631" s="19" t="n"/>
      <c r="D631" s="19" t="n"/>
    </row>
    <row r="632" customFormat="1" s="86">
      <c r="A632" s="16" t="n"/>
      <c r="C632" s="19" t="n"/>
      <c r="D632" s="19" t="n"/>
    </row>
    <row r="633" customFormat="1" s="86">
      <c r="A633" s="16" t="n"/>
      <c r="C633" s="19" t="n"/>
      <c r="D633" s="19" t="n"/>
    </row>
    <row r="634" customFormat="1" s="86">
      <c r="A634" s="16" t="n"/>
      <c r="C634" s="19" t="n"/>
      <c r="D634" s="19" t="n"/>
    </row>
    <row r="635" customFormat="1" s="86">
      <c r="A635" s="16" t="n"/>
      <c r="C635" s="19" t="n"/>
      <c r="D635" s="19" t="n"/>
    </row>
    <row r="636" customFormat="1" s="86">
      <c r="A636" s="16" t="n"/>
      <c r="C636" s="19" t="n"/>
      <c r="D636" s="19" t="n"/>
    </row>
    <row r="637" customFormat="1" s="86">
      <c r="A637" s="16" t="n"/>
      <c r="C637" s="19" t="n"/>
      <c r="D637" s="19" t="n"/>
    </row>
    <row r="638" customFormat="1" s="86">
      <c r="A638" s="16" t="n"/>
      <c r="C638" s="19" t="n"/>
      <c r="D638" s="19" t="n"/>
    </row>
    <row r="639" customFormat="1" s="86">
      <c r="A639" s="16" t="n"/>
      <c r="C639" s="19" t="n"/>
      <c r="D639" s="19" t="n"/>
    </row>
    <row r="640" customFormat="1" s="86">
      <c r="A640" s="16" t="n"/>
      <c r="C640" s="19" t="n"/>
      <c r="D640" s="19" t="n"/>
    </row>
    <row r="641" customFormat="1" s="86">
      <c r="A641" s="16" t="n"/>
      <c r="C641" s="19" t="n"/>
      <c r="D641" s="19" t="n"/>
    </row>
    <row r="642" customFormat="1" s="86">
      <c r="A642" s="16" t="n"/>
      <c r="C642" s="19" t="n"/>
      <c r="D642" s="19" t="n"/>
    </row>
    <row r="643" customFormat="1" s="86">
      <c r="A643" s="16" t="n"/>
      <c r="C643" s="19" t="n"/>
      <c r="D643" s="19" t="n"/>
    </row>
    <row r="644" customFormat="1" s="86">
      <c r="A644" s="16" t="n"/>
      <c r="C644" s="19" t="n"/>
      <c r="D644" s="19" t="n"/>
    </row>
    <row r="645" customFormat="1" s="86">
      <c r="A645" s="16" t="n"/>
      <c r="C645" s="19" t="n"/>
      <c r="D645" s="19" t="n"/>
    </row>
    <row r="646" customFormat="1" s="86">
      <c r="A646" s="16" t="n"/>
      <c r="C646" s="19" t="n"/>
      <c r="D646" s="19" t="n"/>
    </row>
    <row r="647" customFormat="1" s="86">
      <c r="A647" s="16" t="n"/>
      <c r="C647" s="19" t="n"/>
      <c r="D647" s="19" t="n"/>
    </row>
    <row r="648" customFormat="1" s="86">
      <c r="A648" s="16" t="n"/>
      <c r="C648" s="19" t="n"/>
      <c r="D648" s="19" t="n"/>
    </row>
    <row r="649" customFormat="1" s="86">
      <c r="A649" s="16" t="n"/>
      <c r="C649" s="19" t="n"/>
      <c r="D649" s="19" t="n"/>
    </row>
    <row r="650" customFormat="1" s="86">
      <c r="A650" s="16" t="n"/>
      <c r="C650" s="19" t="n"/>
      <c r="D650" s="19" t="n"/>
    </row>
    <row r="651" customFormat="1" s="86">
      <c r="A651" s="16" t="n"/>
      <c r="C651" s="19" t="n"/>
      <c r="D651" s="19" t="n"/>
    </row>
    <row r="652" customFormat="1" s="86">
      <c r="A652" s="16" t="n"/>
      <c r="C652" s="19" t="n"/>
      <c r="D652" s="19" t="n"/>
    </row>
    <row r="653" customFormat="1" s="86">
      <c r="A653" s="16" t="n"/>
      <c r="C653" s="19" t="n"/>
      <c r="D653" s="19" t="n"/>
    </row>
    <row r="654" customFormat="1" s="86">
      <c r="A654" s="16" t="n"/>
      <c r="C654" s="19" t="n"/>
      <c r="D654" s="19" t="n"/>
    </row>
    <row r="655" customFormat="1" s="86">
      <c r="A655" s="16" t="n"/>
      <c r="C655" s="19" t="n"/>
      <c r="D655" s="19" t="n"/>
    </row>
    <row r="656" customFormat="1" s="86">
      <c r="A656" s="16" t="n"/>
      <c r="C656" s="19" t="n"/>
      <c r="D656" s="19" t="n"/>
    </row>
    <row r="657" customFormat="1" s="86">
      <c r="A657" s="16" t="n"/>
      <c r="C657" s="19" t="n"/>
      <c r="D657" s="19" t="n"/>
    </row>
    <row r="658" customFormat="1" s="86">
      <c r="A658" s="16" t="n"/>
      <c r="C658" s="19" t="n"/>
      <c r="D658" s="19" t="n"/>
    </row>
    <row r="659" customFormat="1" s="86">
      <c r="A659" s="16" t="n"/>
      <c r="C659" s="19" t="n"/>
      <c r="D659" s="19" t="n"/>
    </row>
    <row r="660" customFormat="1" s="86">
      <c r="A660" s="16" t="n"/>
      <c r="C660" s="19" t="n"/>
      <c r="D660" s="19" t="n"/>
    </row>
    <row r="661" customFormat="1" s="86">
      <c r="A661" s="16" t="n"/>
      <c r="C661" s="19" t="n"/>
      <c r="D661" s="19" t="n"/>
    </row>
    <row r="662" customFormat="1" s="86">
      <c r="A662" s="16" t="n"/>
      <c r="C662" s="19" t="n"/>
      <c r="D662" s="19" t="n"/>
    </row>
    <row r="663" customFormat="1" s="86">
      <c r="A663" s="16" t="n"/>
      <c r="C663" s="19" t="n"/>
      <c r="D663" s="19" t="n"/>
    </row>
    <row r="664" customFormat="1" s="86">
      <c r="A664" s="16" t="n"/>
      <c r="C664" s="19" t="n"/>
      <c r="D664" s="19" t="n"/>
    </row>
    <row r="665" customFormat="1" s="86">
      <c r="A665" s="16" t="n"/>
      <c r="C665" s="19" t="n"/>
      <c r="D665" s="19" t="n"/>
    </row>
    <row r="666" customFormat="1" s="86">
      <c r="A666" s="16" t="n"/>
      <c r="C666" s="19" t="n"/>
      <c r="D666" s="19" t="n"/>
    </row>
    <row r="667" customFormat="1" s="86">
      <c r="A667" s="16" t="n"/>
      <c r="C667" s="19" t="n"/>
      <c r="D667" s="19" t="n"/>
    </row>
    <row r="668" customFormat="1" s="86">
      <c r="A668" s="16" t="n"/>
      <c r="C668" s="19" t="n"/>
      <c r="D668" s="19" t="n"/>
    </row>
    <row r="669" customFormat="1" s="86">
      <c r="A669" s="16" t="n"/>
      <c r="C669" s="19" t="n"/>
      <c r="D669" s="19" t="n"/>
    </row>
    <row r="670" customFormat="1" s="86">
      <c r="A670" s="16" t="n"/>
      <c r="C670" s="19" t="n"/>
      <c r="D670" s="19" t="n"/>
    </row>
    <row r="671" customFormat="1" s="86">
      <c r="A671" s="16" t="n"/>
      <c r="C671" s="19" t="n"/>
      <c r="D671" s="19" t="n"/>
    </row>
    <row r="672" customFormat="1" s="86">
      <c r="A672" s="16" t="n"/>
      <c r="C672" s="19" t="n"/>
      <c r="D672" s="19" t="n"/>
    </row>
    <row r="673" customFormat="1" s="86">
      <c r="A673" s="16" t="n"/>
      <c r="C673" s="19" t="n"/>
      <c r="D673" s="19" t="n"/>
    </row>
    <row r="674" customFormat="1" s="86">
      <c r="A674" s="16" t="n"/>
      <c r="C674" s="19" t="n"/>
      <c r="D674" s="19" t="n"/>
    </row>
    <row r="675" customFormat="1" s="86">
      <c r="A675" s="16" t="n"/>
      <c r="C675" s="19" t="n"/>
      <c r="D675" s="19" t="n"/>
    </row>
    <row r="676" customFormat="1" s="86">
      <c r="A676" s="16" t="n"/>
      <c r="C676" s="19" t="n"/>
      <c r="D676" s="19" t="n"/>
    </row>
    <row r="677" customFormat="1" s="86">
      <c r="A677" s="16" t="n"/>
      <c r="C677" s="19" t="n"/>
      <c r="D677" s="19" t="n"/>
    </row>
    <row r="678" customFormat="1" s="86">
      <c r="A678" s="16" t="n"/>
      <c r="C678" s="19" t="n"/>
      <c r="D678" s="19" t="n"/>
    </row>
    <row r="679" customFormat="1" s="86">
      <c r="A679" s="16" t="n"/>
      <c r="C679" s="19" t="n"/>
      <c r="D679" s="19" t="n"/>
    </row>
    <row r="680" customFormat="1" s="86">
      <c r="A680" s="16" t="n"/>
      <c r="C680" s="19" t="n"/>
      <c r="D680" s="19" t="n"/>
    </row>
    <row r="681" customFormat="1" s="86">
      <c r="A681" s="16" t="n"/>
      <c r="C681" s="19" t="n"/>
      <c r="D681" s="19" t="n"/>
    </row>
    <row r="682" customFormat="1" s="86">
      <c r="A682" s="16" t="n"/>
      <c r="C682" s="19" t="n"/>
      <c r="D682" s="19" t="n"/>
    </row>
    <row r="683" customFormat="1" s="86">
      <c r="A683" s="16" t="n"/>
      <c r="C683" s="19" t="n"/>
      <c r="D683" s="19" t="n"/>
    </row>
    <row r="684" customFormat="1" s="86">
      <c r="A684" s="16" t="n"/>
      <c r="C684" s="19" t="n"/>
      <c r="D684" s="19" t="n"/>
    </row>
    <row r="685" customFormat="1" s="86">
      <c r="A685" s="16" t="n"/>
      <c r="C685" s="19" t="n"/>
      <c r="D685" s="19" t="n"/>
    </row>
    <row r="686" customFormat="1" s="86">
      <c r="A686" s="16" t="n"/>
      <c r="C686" s="19" t="n"/>
      <c r="D686" s="19" t="n"/>
    </row>
    <row r="687" customFormat="1" s="86">
      <c r="A687" s="16" t="n"/>
      <c r="C687" s="19" t="n"/>
      <c r="D687" s="19" t="n"/>
    </row>
    <row r="688" customFormat="1" s="86">
      <c r="A688" s="16" t="n"/>
      <c r="C688" s="19" t="n"/>
      <c r="D688" s="19" t="n"/>
    </row>
    <row r="689" customFormat="1" s="86">
      <c r="A689" s="16" t="n"/>
      <c r="C689" s="19" t="n"/>
      <c r="D689" s="19" t="n"/>
    </row>
    <row r="690" customFormat="1" s="86">
      <c r="A690" s="16" t="n"/>
      <c r="C690" s="19" t="n"/>
      <c r="D690" s="19" t="n"/>
    </row>
    <row r="691" customFormat="1" s="86">
      <c r="A691" s="16" t="n"/>
      <c r="C691" s="19" t="n"/>
      <c r="D691" s="19" t="n"/>
    </row>
    <row r="692" customFormat="1" s="86">
      <c r="A692" s="16" t="n"/>
      <c r="C692" s="19" t="n"/>
      <c r="D692" s="19" t="n"/>
    </row>
    <row r="693" customFormat="1" s="86">
      <c r="A693" s="16" t="n"/>
      <c r="C693" s="19" t="n"/>
      <c r="D693" s="19" t="n"/>
    </row>
    <row r="694" customFormat="1" s="86">
      <c r="A694" s="16" t="n"/>
      <c r="C694" s="19" t="n"/>
      <c r="D694" s="19" t="n"/>
    </row>
    <row r="695" customFormat="1" s="86">
      <c r="A695" s="16" t="n"/>
      <c r="C695" s="19" t="n"/>
      <c r="D695" s="19" t="n"/>
    </row>
    <row r="696" customFormat="1" s="86">
      <c r="A696" s="16" t="n"/>
      <c r="C696" s="19" t="n"/>
      <c r="D696" s="19" t="n"/>
    </row>
    <row r="697" customFormat="1" s="86">
      <c r="A697" s="16" t="n"/>
      <c r="C697" s="19" t="n"/>
      <c r="D697" s="19" t="n"/>
    </row>
    <row r="698" customFormat="1" s="86">
      <c r="A698" s="16" t="n"/>
      <c r="C698" s="19" t="n"/>
      <c r="D698" s="19" t="n"/>
    </row>
    <row r="699" customFormat="1" s="86">
      <c r="A699" s="16" t="n"/>
      <c r="C699" s="19" t="n"/>
      <c r="D699" s="19" t="n"/>
    </row>
    <row r="700" customFormat="1" s="86">
      <c r="A700" s="16" t="n"/>
      <c r="C700" s="19" t="n"/>
      <c r="D700" s="19" t="n"/>
    </row>
    <row r="701" customFormat="1" s="86">
      <c r="A701" s="16" t="n"/>
      <c r="C701" s="19" t="n"/>
      <c r="D701" s="19" t="n"/>
    </row>
    <row r="702" customFormat="1" s="86">
      <c r="A702" s="16" t="n"/>
      <c r="C702" s="19" t="n"/>
      <c r="D702" s="19" t="n"/>
    </row>
    <row r="703" customFormat="1" s="86">
      <c r="A703" s="16" t="n"/>
      <c r="C703" s="19" t="n"/>
      <c r="D703" s="19" t="n"/>
    </row>
    <row r="704" customFormat="1" s="86">
      <c r="A704" s="16" t="n"/>
      <c r="C704" s="19" t="n"/>
      <c r="D704" s="19" t="n"/>
    </row>
    <row r="705" customFormat="1" s="86">
      <c r="A705" s="16" t="n"/>
      <c r="C705" s="19" t="n"/>
      <c r="D705" s="19" t="n"/>
    </row>
    <row r="706" customFormat="1" s="86">
      <c r="A706" s="16" t="n"/>
      <c r="C706" s="19" t="n"/>
      <c r="D706" s="19" t="n"/>
    </row>
    <row r="707" customFormat="1" s="86">
      <c r="A707" s="16" t="n"/>
      <c r="C707" s="19" t="n"/>
      <c r="D707" s="19" t="n"/>
    </row>
    <row r="708" customFormat="1" s="86">
      <c r="A708" s="16" t="n"/>
      <c r="C708" s="19" t="n"/>
      <c r="D708" s="19" t="n"/>
    </row>
    <row r="709" customFormat="1" s="86">
      <c r="A709" s="16" t="n"/>
      <c r="C709" s="19" t="n"/>
      <c r="D709" s="19" t="n"/>
    </row>
    <row r="710" customFormat="1" s="86">
      <c r="A710" s="16" t="n"/>
      <c r="C710" s="19" t="n"/>
      <c r="D710" s="19" t="n"/>
    </row>
    <row r="711" customFormat="1" s="86">
      <c r="A711" s="16" t="n"/>
      <c r="C711" s="19" t="n"/>
      <c r="D711" s="19" t="n"/>
    </row>
    <row r="712" customFormat="1" s="86">
      <c r="A712" s="16" t="n"/>
      <c r="C712" s="19" t="n"/>
      <c r="D712" s="19" t="n"/>
    </row>
    <row r="713" customFormat="1" s="86">
      <c r="A713" s="16" t="n"/>
      <c r="C713" s="19" t="n"/>
      <c r="D713" s="19" t="n"/>
    </row>
    <row r="714" customFormat="1" s="86">
      <c r="A714" s="16" t="n"/>
      <c r="C714" s="19" t="n"/>
      <c r="D714" s="19" t="n"/>
    </row>
    <row r="715" customFormat="1" s="86">
      <c r="A715" s="16" t="n"/>
      <c r="C715" s="19" t="n"/>
      <c r="D715" s="19" t="n"/>
    </row>
    <row r="716" customFormat="1" s="86">
      <c r="A716" s="16" t="n"/>
      <c r="C716" s="19" t="n"/>
      <c r="D716" s="19" t="n"/>
    </row>
    <row r="717" customFormat="1" s="86">
      <c r="A717" s="16" t="n"/>
      <c r="C717" s="19" t="n"/>
      <c r="D717" s="19" t="n"/>
    </row>
    <row r="718" customFormat="1" s="86">
      <c r="A718" s="16" t="n"/>
      <c r="C718" s="19" t="n"/>
      <c r="D718" s="19" t="n"/>
    </row>
    <row r="719" customFormat="1" s="86">
      <c r="A719" s="16" t="n"/>
      <c r="C719" s="19" t="n"/>
      <c r="D719" s="19" t="n"/>
    </row>
    <row r="720" customFormat="1" s="86">
      <c r="A720" s="16" t="n"/>
      <c r="C720" s="19" t="n"/>
      <c r="D720" s="19" t="n"/>
    </row>
    <row r="721" customFormat="1" s="86">
      <c r="A721" s="16" t="n"/>
      <c r="C721" s="19" t="n"/>
      <c r="D721" s="19" t="n"/>
    </row>
    <row r="722" customFormat="1" s="86">
      <c r="A722" s="16" t="n"/>
      <c r="C722" s="19" t="n"/>
      <c r="D722" s="19" t="n"/>
    </row>
    <row r="723" customFormat="1" s="86">
      <c r="A723" s="16" t="n"/>
      <c r="C723" s="19" t="n"/>
      <c r="D723" s="19" t="n"/>
    </row>
    <row r="724" customFormat="1" s="86">
      <c r="A724" s="16" t="n"/>
      <c r="C724" s="19" t="n"/>
      <c r="D724" s="19" t="n"/>
    </row>
    <row r="725" customFormat="1" s="86">
      <c r="A725" s="16" t="n"/>
      <c r="C725" s="19" t="n"/>
      <c r="D725" s="19" t="n"/>
    </row>
    <row r="726" customFormat="1" s="86">
      <c r="A726" s="16" t="n"/>
      <c r="C726" s="19" t="n"/>
      <c r="D726" s="19" t="n"/>
    </row>
    <row r="727" customFormat="1" s="86">
      <c r="A727" s="16" t="n"/>
      <c r="C727" s="19" t="n"/>
      <c r="D727" s="19" t="n"/>
    </row>
    <row r="728" customFormat="1" s="86">
      <c r="A728" s="16" t="n"/>
      <c r="C728" s="19" t="n"/>
      <c r="D728" s="19" t="n"/>
    </row>
    <row r="729" customFormat="1" s="86">
      <c r="A729" s="16" t="n"/>
      <c r="C729" s="19" t="n"/>
      <c r="D729" s="19" t="n"/>
    </row>
    <row r="730" customFormat="1" s="86">
      <c r="A730" s="16" t="n"/>
      <c r="C730" s="19" t="n"/>
      <c r="D730" s="19" t="n"/>
    </row>
    <row r="731" customFormat="1" s="86">
      <c r="A731" s="16" t="n"/>
      <c r="C731" s="19" t="n"/>
      <c r="D731" s="19" t="n"/>
    </row>
    <row r="732" customFormat="1" s="86">
      <c r="A732" s="16" t="n"/>
      <c r="C732" s="19" t="n"/>
      <c r="D732" s="19" t="n"/>
    </row>
    <row r="733" customFormat="1" s="86">
      <c r="A733" s="16" t="n"/>
      <c r="C733" s="19" t="n"/>
      <c r="D733" s="19" t="n"/>
    </row>
    <row r="734" customFormat="1" s="86">
      <c r="A734" s="16" t="n"/>
      <c r="C734" s="19" t="n"/>
      <c r="D734" s="19" t="n"/>
    </row>
    <row r="735" customFormat="1" s="86">
      <c r="A735" s="16" t="n"/>
      <c r="C735" s="19" t="n"/>
      <c r="D735" s="19" t="n"/>
    </row>
    <row r="736" customFormat="1" s="86">
      <c r="A736" s="16" t="n"/>
      <c r="C736" s="19" t="n"/>
      <c r="D736" s="19" t="n"/>
    </row>
    <row r="737" customFormat="1" s="86">
      <c r="A737" s="16" t="n"/>
      <c r="C737" s="19" t="n"/>
      <c r="D737" s="19" t="n"/>
    </row>
    <row r="738" customFormat="1" s="86">
      <c r="A738" s="16" t="n"/>
      <c r="C738" s="19" t="n"/>
      <c r="D738" s="19" t="n"/>
    </row>
    <row r="739" customFormat="1" s="86">
      <c r="A739" s="16" t="n"/>
      <c r="C739" s="19" t="n"/>
      <c r="D739" s="19" t="n"/>
    </row>
    <row r="740" customFormat="1" s="86">
      <c r="A740" s="16" t="n"/>
      <c r="C740" s="19" t="n"/>
      <c r="D740" s="19" t="n"/>
    </row>
    <row r="741" customFormat="1" s="86">
      <c r="A741" s="16" t="n"/>
      <c r="C741" s="19" t="n"/>
      <c r="D741" s="19" t="n"/>
    </row>
    <row r="742" customFormat="1" s="86">
      <c r="A742" s="16" t="n"/>
      <c r="C742" s="19" t="n"/>
      <c r="D742" s="19" t="n"/>
    </row>
    <row r="743" customFormat="1" s="86">
      <c r="A743" s="16" t="n"/>
      <c r="C743" s="19" t="n"/>
      <c r="D743" s="19" t="n"/>
    </row>
    <row r="744" customFormat="1" s="86">
      <c r="A744" s="16" t="n"/>
      <c r="C744" s="19" t="n"/>
      <c r="D744" s="19" t="n"/>
    </row>
    <row r="745" customFormat="1" s="86">
      <c r="A745" s="16" t="n"/>
      <c r="C745" s="19" t="n"/>
      <c r="D745" s="19" t="n"/>
    </row>
    <row r="746" customFormat="1" s="86">
      <c r="A746" s="16" t="n"/>
      <c r="C746" s="19" t="n"/>
      <c r="D746" s="19" t="n"/>
    </row>
    <row r="747" customFormat="1" s="86">
      <c r="A747" s="16" t="n"/>
      <c r="C747" s="19" t="n"/>
      <c r="D747" s="19" t="n"/>
    </row>
    <row r="748" customFormat="1" s="86">
      <c r="A748" s="16" t="n"/>
      <c r="C748" s="19" t="n"/>
      <c r="D748" s="19" t="n"/>
    </row>
    <row r="749" customFormat="1" s="86">
      <c r="A749" s="16" t="n"/>
      <c r="C749" s="19" t="n"/>
      <c r="D749" s="19" t="n"/>
    </row>
    <row r="750" customFormat="1" s="86">
      <c r="A750" s="16" t="n"/>
      <c r="C750" s="19" t="n"/>
      <c r="D750" s="19" t="n"/>
    </row>
    <row r="751" customFormat="1" s="86">
      <c r="A751" s="16" t="n"/>
      <c r="C751" s="19" t="n"/>
      <c r="D751" s="19" t="n"/>
    </row>
    <row r="752" customFormat="1" s="86">
      <c r="A752" s="16" t="n"/>
      <c r="C752" s="19" t="n"/>
      <c r="D752" s="19" t="n"/>
    </row>
    <row r="753" customFormat="1" s="86">
      <c r="A753" s="16" t="n"/>
      <c r="C753" s="19" t="n"/>
      <c r="D753" s="19" t="n"/>
    </row>
    <row r="754" customFormat="1" s="86">
      <c r="A754" s="16" t="n"/>
      <c r="C754" s="19" t="n"/>
      <c r="D754" s="19" t="n"/>
    </row>
    <row r="755" customFormat="1" s="86">
      <c r="A755" s="16" t="n"/>
      <c r="C755" s="19" t="n"/>
      <c r="D755" s="19" t="n"/>
    </row>
    <row r="756" customFormat="1" s="86">
      <c r="A756" s="16" t="n"/>
      <c r="C756" s="19" t="n"/>
      <c r="D756" s="19" t="n"/>
    </row>
    <row r="757" customFormat="1" s="86">
      <c r="A757" s="16" t="n"/>
      <c r="C757" s="19" t="n"/>
      <c r="D757" s="19" t="n"/>
    </row>
    <row r="758" customFormat="1" s="86">
      <c r="A758" s="16" t="n"/>
      <c r="C758" s="19" t="n"/>
      <c r="D758" s="19" t="n"/>
    </row>
    <row r="759" customFormat="1" s="86">
      <c r="A759" s="16" t="n"/>
      <c r="C759" s="19" t="n"/>
      <c r="D759" s="19" t="n"/>
    </row>
    <row r="760" customFormat="1" s="86">
      <c r="A760" s="16" t="n"/>
      <c r="C760" s="19" t="n"/>
      <c r="D760" s="19" t="n"/>
    </row>
    <row r="761" customFormat="1" s="86">
      <c r="A761" s="16" t="n"/>
      <c r="C761" s="19" t="n"/>
      <c r="D761" s="19" t="n"/>
    </row>
    <row r="762" customFormat="1" s="86">
      <c r="A762" s="16" t="n"/>
      <c r="C762" s="19" t="n"/>
      <c r="D762" s="19" t="n"/>
    </row>
    <row r="763" customFormat="1" s="86">
      <c r="A763" s="16" t="n"/>
      <c r="C763" s="19" t="n"/>
      <c r="D763" s="19" t="n"/>
    </row>
    <row r="764" customFormat="1" s="86">
      <c r="A764" s="16" t="n"/>
      <c r="C764" s="19" t="n"/>
      <c r="D764" s="19" t="n"/>
    </row>
    <row r="765" customFormat="1" s="86">
      <c r="A765" s="16" t="n"/>
      <c r="C765" s="19" t="n"/>
      <c r="D765" s="19" t="n"/>
    </row>
    <row r="766" customFormat="1" s="86">
      <c r="A766" s="16" t="n"/>
      <c r="C766" s="19" t="n"/>
      <c r="D766" s="19" t="n"/>
    </row>
    <row r="767" customFormat="1" s="86">
      <c r="A767" s="16" t="n"/>
      <c r="C767" s="19" t="n"/>
      <c r="D767" s="19" t="n"/>
    </row>
    <row r="768" customFormat="1" s="86">
      <c r="A768" s="16" t="n"/>
      <c r="C768" s="19" t="n"/>
      <c r="D768" s="19" t="n"/>
    </row>
    <row r="769" customFormat="1" s="86">
      <c r="A769" s="16" t="n"/>
      <c r="C769" s="19" t="n"/>
      <c r="D769" s="19" t="n"/>
    </row>
    <row r="770" customFormat="1" s="86">
      <c r="A770" s="16" t="n"/>
      <c r="C770" s="19" t="n"/>
      <c r="D770" s="19" t="n"/>
    </row>
    <row r="771" customFormat="1" s="86">
      <c r="A771" s="16" t="n"/>
      <c r="C771" s="19" t="n"/>
      <c r="D771" s="19" t="n"/>
    </row>
    <row r="772" customFormat="1" s="86">
      <c r="A772" s="16" t="n"/>
      <c r="C772" s="19" t="n"/>
      <c r="D772" s="19" t="n"/>
    </row>
    <row r="773" customFormat="1" s="86">
      <c r="A773" s="16" t="n"/>
      <c r="C773" s="19" t="n"/>
      <c r="D773" s="19" t="n"/>
    </row>
    <row r="774" customFormat="1" s="86">
      <c r="A774" s="16" t="n"/>
      <c r="C774" s="19" t="n"/>
      <c r="D774" s="19" t="n"/>
    </row>
    <row r="775" customFormat="1" s="86">
      <c r="A775" s="16" t="n"/>
      <c r="C775" s="19" t="n"/>
      <c r="D775" s="19" t="n"/>
    </row>
    <row r="776" customFormat="1" s="86">
      <c r="A776" s="16" t="n"/>
      <c r="C776" s="19" t="n"/>
      <c r="D776" s="19" t="n"/>
    </row>
    <row r="777" customFormat="1" s="86">
      <c r="A777" s="16" t="n"/>
      <c r="C777" s="19" t="n"/>
      <c r="D777" s="19" t="n"/>
    </row>
    <row r="778" customFormat="1" s="86">
      <c r="A778" s="16" t="n"/>
      <c r="C778" s="19" t="n"/>
      <c r="D778" s="19" t="n"/>
    </row>
    <row r="779" customFormat="1" s="86">
      <c r="A779" s="16" t="n"/>
      <c r="C779" s="19" t="n"/>
      <c r="D779" s="19" t="n"/>
    </row>
    <row r="780" customFormat="1" s="86">
      <c r="A780" s="16" t="n"/>
      <c r="C780" s="19" t="n"/>
      <c r="D780" s="19" t="n"/>
    </row>
    <row r="781" customFormat="1" s="86">
      <c r="A781" s="16" t="n"/>
      <c r="C781" s="19" t="n"/>
      <c r="D781" s="19" t="n"/>
    </row>
    <row r="782" customFormat="1" s="86">
      <c r="A782" s="16" t="n"/>
      <c r="C782" s="19" t="n"/>
      <c r="D782" s="19" t="n"/>
    </row>
    <row r="783" customFormat="1" s="86">
      <c r="A783" s="16" t="n"/>
      <c r="C783" s="19" t="n"/>
      <c r="D783" s="19" t="n"/>
    </row>
    <row r="784" customFormat="1" s="86">
      <c r="A784" s="16" t="n"/>
      <c r="C784" s="19" t="n"/>
      <c r="D784" s="19" t="n"/>
    </row>
    <row r="785" customFormat="1" s="86">
      <c r="A785" s="16" t="n"/>
      <c r="C785" s="19" t="n"/>
      <c r="D785" s="19" t="n"/>
    </row>
    <row r="786" customFormat="1" s="86">
      <c r="A786" s="16" t="n"/>
      <c r="C786" s="19" t="n"/>
      <c r="D786" s="19" t="n"/>
    </row>
    <row r="787" customFormat="1" s="86">
      <c r="A787" s="16" t="n"/>
      <c r="C787" s="19" t="n"/>
      <c r="D787" s="19" t="n"/>
    </row>
    <row r="788" customFormat="1" s="86">
      <c r="A788" s="16" t="n"/>
      <c r="C788" s="19" t="n"/>
      <c r="D788" s="19" t="n"/>
    </row>
    <row r="789" customFormat="1" s="86">
      <c r="A789" s="16" t="n"/>
      <c r="C789" s="19" t="n"/>
      <c r="D789" s="19" t="n"/>
    </row>
    <row r="790" customFormat="1" s="86">
      <c r="A790" s="16" t="n"/>
      <c r="C790" s="19" t="n"/>
      <c r="D790" s="19" t="n"/>
    </row>
    <row r="791" customFormat="1" s="86">
      <c r="A791" s="16" t="n"/>
      <c r="C791" s="19" t="n"/>
      <c r="D791" s="19" t="n"/>
    </row>
    <row r="792" customFormat="1" s="86">
      <c r="A792" s="16" t="n"/>
      <c r="C792" s="19" t="n"/>
      <c r="D792" s="19" t="n"/>
    </row>
    <row r="793" customFormat="1" s="86">
      <c r="A793" s="16" t="n"/>
      <c r="C793" s="19" t="n"/>
      <c r="D793" s="19" t="n"/>
    </row>
    <row r="794" customFormat="1" s="86">
      <c r="A794" s="16" t="n"/>
      <c r="C794" s="19" t="n"/>
      <c r="D794" s="19" t="n"/>
    </row>
    <row r="795" customFormat="1" s="86">
      <c r="A795" s="16" t="n"/>
      <c r="C795" s="19" t="n"/>
      <c r="D795" s="19" t="n"/>
    </row>
    <row r="796" customFormat="1" s="86">
      <c r="A796" s="16" t="n"/>
      <c r="C796" s="19" t="n"/>
      <c r="D796" s="19" t="n"/>
    </row>
    <row r="797" customFormat="1" s="86">
      <c r="A797" s="16" t="n"/>
      <c r="C797" s="19" t="n"/>
      <c r="D797" s="19" t="n"/>
    </row>
    <row r="798" customFormat="1" s="86">
      <c r="A798" s="16" t="n"/>
      <c r="C798" s="19" t="n"/>
      <c r="D798" s="19" t="n"/>
    </row>
    <row r="799" customFormat="1" s="86">
      <c r="A799" s="16" t="n"/>
      <c r="C799" s="19" t="n"/>
      <c r="D799" s="19" t="n"/>
    </row>
    <row r="800" customFormat="1" s="86">
      <c r="A800" s="16" t="n"/>
      <c r="C800" s="19" t="n"/>
      <c r="D800" s="19" t="n"/>
    </row>
    <row r="801" customFormat="1" s="86">
      <c r="A801" s="16" t="n"/>
      <c r="C801" s="19" t="n"/>
      <c r="D801" s="19" t="n"/>
    </row>
    <row r="802" customFormat="1" s="86">
      <c r="A802" s="16" t="n"/>
      <c r="C802" s="19" t="n"/>
      <c r="D802" s="19" t="n"/>
    </row>
    <row r="803" customFormat="1" s="86">
      <c r="A803" s="16" t="n"/>
      <c r="C803" s="19" t="n"/>
      <c r="D803" s="19" t="n"/>
    </row>
    <row r="804" customFormat="1" s="86">
      <c r="A804" s="16" t="n"/>
      <c r="C804" s="19" t="n"/>
      <c r="D804" s="19" t="n"/>
    </row>
    <row r="805" customFormat="1" s="86">
      <c r="A805" s="16" t="n"/>
      <c r="C805" s="19" t="n"/>
      <c r="D805" s="19" t="n"/>
    </row>
    <row r="806" customFormat="1" s="86">
      <c r="A806" s="16" t="n"/>
      <c r="C806" s="19" t="n"/>
      <c r="D806" s="19" t="n"/>
    </row>
    <row r="807" customFormat="1" s="86">
      <c r="A807" s="16" t="n"/>
      <c r="C807" s="19" t="n"/>
      <c r="D807" s="19" t="n"/>
    </row>
    <row r="808" customFormat="1" s="86">
      <c r="A808" s="16" t="n"/>
      <c r="C808" s="19" t="n"/>
      <c r="D808" s="19" t="n"/>
    </row>
    <row r="809" customFormat="1" s="86">
      <c r="A809" s="16" t="n"/>
      <c r="C809" s="19" t="n"/>
      <c r="D809" s="19" t="n"/>
    </row>
    <row r="810" customFormat="1" s="86">
      <c r="A810" s="16" t="n"/>
      <c r="C810" s="19" t="n"/>
      <c r="D810" s="19" t="n"/>
    </row>
    <row r="811" customFormat="1" s="86">
      <c r="A811" s="16" t="n"/>
      <c r="C811" s="19" t="n"/>
      <c r="D811" s="19" t="n"/>
    </row>
    <row r="812" customFormat="1" s="86">
      <c r="A812" s="16" t="n"/>
      <c r="C812" s="19" t="n"/>
      <c r="D812" s="19" t="n"/>
    </row>
    <row r="813" customFormat="1" s="86">
      <c r="A813" s="16" t="n"/>
      <c r="C813" s="19" t="n"/>
      <c r="D813" s="19" t="n"/>
    </row>
    <row r="814" customFormat="1" s="86">
      <c r="A814" s="16" t="n"/>
      <c r="C814" s="19" t="n"/>
      <c r="D814" s="19" t="n"/>
    </row>
    <row r="815" customFormat="1" s="86">
      <c r="A815" s="16" t="n"/>
      <c r="C815" s="19" t="n"/>
      <c r="D815" s="19" t="n"/>
    </row>
    <row r="816" customFormat="1" s="86">
      <c r="A816" s="16" t="n"/>
      <c r="C816" s="19" t="n"/>
      <c r="D816" s="19" t="n"/>
    </row>
    <row r="817" customFormat="1" s="86">
      <c r="A817" s="16" t="n"/>
      <c r="C817" s="19" t="n"/>
      <c r="D817" s="19" t="n"/>
    </row>
    <row r="818" customFormat="1" s="86">
      <c r="A818" s="16" t="n"/>
      <c r="C818" s="19" t="n"/>
      <c r="D818" s="19" t="n"/>
    </row>
    <row r="819" customFormat="1" s="86">
      <c r="A819" s="16" t="n"/>
      <c r="C819" s="19" t="n"/>
      <c r="D819" s="19" t="n"/>
    </row>
    <row r="820" customFormat="1" s="86">
      <c r="A820" s="16" t="n"/>
      <c r="C820" s="19" t="n"/>
      <c r="D820" s="19" t="n"/>
    </row>
    <row r="821" customFormat="1" s="86">
      <c r="A821" s="16" t="n"/>
      <c r="C821" s="19" t="n"/>
      <c r="D821" s="19" t="n"/>
    </row>
    <row r="822" customFormat="1" s="86">
      <c r="A822" s="16" t="n"/>
      <c r="C822" s="19" t="n"/>
      <c r="D822" s="19" t="n"/>
    </row>
    <row r="823" customFormat="1" s="86">
      <c r="A823" s="16" t="n"/>
      <c r="C823" s="19" t="n"/>
      <c r="D823" s="19" t="n"/>
    </row>
    <row r="824" customFormat="1" s="86">
      <c r="A824" s="16" t="n"/>
      <c r="C824" s="19" t="n"/>
      <c r="D824" s="19" t="n"/>
    </row>
    <row r="825" customFormat="1" s="86">
      <c r="A825" s="16" t="n"/>
      <c r="C825" s="19" t="n"/>
      <c r="D825" s="19" t="n"/>
    </row>
    <row r="826" customFormat="1" s="86">
      <c r="A826" s="16" t="n"/>
      <c r="C826" s="19" t="n"/>
      <c r="D826" s="19" t="n"/>
    </row>
    <row r="827" customFormat="1" s="86">
      <c r="A827" s="16" t="n"/>
      <c r="C827" s="19" t="n"/>
      <c r="D827" s="19" t="n"/>
    </row>
    <row r="828" customFormat="1" s="86">
      <c r="A828" s="16" t="n"/>
      <c r="C828" s="19" t="n"/>
      <c r="D828" s="19" t="n"/>
    </row>
    <row r="829" customFormat="1" s="86">
      <c r="A829" s="16" t="n"/>
      <c r="C829" s="19" t="n"/>
      <c r="D829" s="19" t="n"/>
    </row>
    <row r="830" customFormat="1" s="86">
      <c r="A830" s="16" t="n"/>
      <c r="C830" s="19" t="n"/>
      <c r="D830" s="19" t="n"/>
    </row>
    <row r="831" customFormat="1" s="86">
      <c r="A831" s="16" t="n"/>
      <c r="C831" s="19" t="n"/>
      <c r="D831" s="19" t="n"/>
    </row>
    <row r="832" customFormat="1" s="86">
      <c r="A832" s="16" t="n"/>
      <c r="C832" s="19" t="n"/>
      <c r="D832" s="19" t="n"/>
    </row>
    <row r="833" customFormat="1" s="86">
      <c r="A833" s="16" t="n"/>
      <c r="C833" s="19" t="n"/>
      <c r="D833" s="19" t="n"/>
    </row>
    <row r="834" customFormat="1" s="86">
      <c r="A834" s="16" t="n"/>
      <c r="C834" s="19" t="n"/>
      <c r="D834" s="19" t="n"/>
    </row>
    <row r="835" customFormat="1" s="86">
      <c r="A835" s="16" t="n"/>
      <c r="C835" s="19" t="n"/>
      <c r="D835" s="19" t="n"/>
    </row>
    <row r="836" customFormat="1" s="86">
      <c r="A836" s="16" t="n"/>
      <c r="C836" s="19" t="n"/>
      <c r="D836" s="19" t="n"/>
    </row>
    <row r="837" customFormat="1" s="86">
      <c r="A837" s="16" t="n"/>
      <c r="C837" s="19" t="n"/>
      <c r="D837" s="19" t="n"/>
    </row>
    <row r="838" customFormat="1" s="86">
      <c r="A838" s="16" t="n"/>
      <c r="C838" s="19" t="n"/>
      <c r="D838" s="19" t="n"/>
    </row>
    <row r="839" customFormat="1" s="86">
      <c r="A839" s="16" t="n"/>
      <c r="C839" s="19" t="n"/>
      <c r="D839" s="19" t="n"/>
    </row>
    <row r="840" customFormat="1" s="86">
      <c r="A840" s="16" t="n"/>
      <c r="C840" s="19" t="n"/>
      <c r="D840" s="19" t="n"/>
    </row>
    <row r="841" customFormat="1" s="86">
      <c r="A841" s="16" t="n"/>
      <c r="C841" s="19" t="n"/>
      <c r="D841" s="19" t="n"/>
    </row>
    <row r="842" customFormat="1" s="86">
      <c r="A842" s="16" t="n"/>
      <c r="C842" s="19" t="n"/>
      <c r="D842" s="19" t="n"/>
    </row>
    <row r="843" customFormat="1" s="86">
      <c r="A843" s="16" t="n"/>
      <c r="C843" s="19" t="n"/>
      <c r="D843" s="19" t="n"/>
    </row>
    <row r="844" customFormat="1" s="86">
      <c r="A844" s="16" t="n"/>
      <c r="C844" s="19" t="n"/>
      <c r="D844" s="19" t="n"/>
    </row>
    <row r="845" customFormat="1" s="86">
      <c r="A845" s="16" t="n"/>
      <c r="C845" s="19" t="n"/>
      <c r="D845" s="19" t="n"/>
    </row>
    <row r="846" customFormat="1" s="86">
      <c r="A846" s="16" t="n"/>
      <c r="C846" s="19" t="n"/>
      <c r="D846" s="19" t="n"/>
    </row>
    <row r="847" customFormat="1" s="86">
      <c r="A847" s="16" t="n"/>
      <c r="C847" s="19" t="n"/>
      <c r="D847" s="19" t="n"/>
    </row>
    <row r="848" customFormat="1" s="86">
      <c r="A848" s="16" t="n"/>
      <c r="C848" s="19" t="n"/>
      <c r="D848" s="19" t="n"/>
    </row>
    <row r="849" customFormat="1" s="86">
      <c r="A849" s="16" t="n"/>
      <c r="C849" s="19" t="n"/>
      <c r="D849" s="19" t="n"/>
    </row>
    <row r="850" customFormat="1" s="86">
      <c r="A850" s="16" t="n"/>
      <c r="C850" s="19" t="n"/>
      <c r="D850" s="19" t="n"/>
    </row>
    <row r="851" customFormat="1" s="86">
      <c r="A851" s="16" t="n"/>
      <c r="C851" s="19" t="n"/>
      <c r="D851" s="19" t="n"/>
    </row>
    <row r="852" customFormat="1" s="86">
      <c r="A852" s="16" t="n"/>
      <c r="C852" s="19" t="n"/>
      <c r="D852" s="19" t="n"/>
    </row>
    <row r="853" customFormat="1" s="86">
      <c r="A853" s="16" t="n"/>
      <c r="C853" s="19" t="n"/>
      <c r="D853" s="19" t="n"/>
    </row>
    <row r="854" customFormat="1" s="86">
      <c r="A854" s="16" t="n"/>
      <c r="C854" s="19" t="n"/>
      <c r="D854" s="19" t="n"/>
    </row>
    <row r="855" customFormat="1" s="86">
      <c r="A855" s="16" t="n"/>
      <c r="C855" s="19" t="n"/>
      <c r="D855" s="19" t="n"/>
    </row>
    <row r="856" customFormat="1" s="86">
      <c r="A856" s="16" t="n"/>
      <c r="C856" s="19" t="n"/>
      <c r="D856" s="19" t="n"/>
    </row>
    <row r="857" customFormat="1" s="86">
      <c r="A857" s="16" t="n"/>
      <c r="C857" s="19" t="n"/>
      <c r="D857" s="19" t="n"/>
    </row>
    <row r="858" customFormat="1" s="86">
      <c r="A858" s="16" t="n"/>
      <c r="C858" s="19" t="n"/>
      <c r="D858" s="19" t="n"/>
    </row>
    <row r="859" customFormat="1" s="86">
      <c r="A859" s="16" t="n"/>
      <c r="C859" s="19" t="n"/>
      <c r="D859" s="19" t="n"/>
    </row>
    <row r="860" customFormat="1" s="86">
      <c r="A860" s="16" t="n"/>
      <c r="C860" s="19" t="n"/>
      <c r="D860" s="19" t="n"/>
    </row>
    <row r="861" customFormat="1" s="86">
      <c r="A861" s="16" t="n"/>
      <c r="C861" s="19" t="n"/>
      <c r="D861" s="19" t="n"/>
    </row>
    <row r="862" customFormat="1" s="86">
      <c r="A862" s="16" t="n"/>
      <c r="C862" s="19" t="n"/>
      <c r="D862" s="19" t="n"/>
    </row>
    <row r="863" customFormat="1" s="86">
      <c r="A863" s="16" t="n"/>
      <c r="C863" s="19" t="n"/>
      <c r="D863" s="19" t="n"/>
    </row>
    <row r="864" customFormat="1" s="86">
      <c r="A864" s="16" t="n"/>
      <c r="C864" s="19" t="n"/>
      <c r="D864" s="19" t="n"/>
    </row>
    <row r="865" customFormat="1" s="86">
      <c r="A865" s="16" t="n"/>
      <c r="C865" s="19" t="n"/>
      <c r="D865" s="19" t="n"/>
    </row>
    <row r="866" customFormat="1" s="86">
      <c r="A866" s="16" t="n"/>
      <c r="C866" s="19" t="n"/>
      <c r="D866" s="19" t="n"/>
    </row>
    <row r="867" customFormat="1" s="86">
      <c r="A867" s="16" t="n"/>
      <c r="C867" s="19" t="n"/>
      <c r="D867" s="19" t="n"/>
    </row>
    <row r="868" customFormat="1" s="86">
      <c r="A868" s="16" t="n"/>
      <c r="C868" s="19" t="n"/>
      <c r="D868" s="19" t="n"/>
    </row>
    <row r="869" customFormat="1" s="86">
      <c r="A869" s="16" t="n"/>
      <c r="C869" s="19" t="n"/>
      <c r="D869" s="19" t="n"/>
    </row>
    <row r="870" customFormat="1" s="86">
      <c r="A870" s="16" t="n"/>
      <c r="C870" s="19" t="n"/>
      <c r="D870" s="19" t="n"/>
    </row>
    <row r="871" customFormat="1" s="86">
      <c r="A871" s="16" t="n"/>
      <c r="C871" s="19" t="n"/>
      <c r="D871" s="19" t="n"/>
    </row>
    <row r="872" customFormat="1" s="86">
      <c r="A872" s="16" t="n"/>
      <c r="C872" s="19" t="n"/>
      <c r="D872" s="19" t="n"/>
    </row>
    <row r="873" customFormat="1" s="86">
      <c r="A873" s="16" t="n"/>
      <c r="C873" s="19" t="n"/>
      <c r="D873" s="19" t="n"/>
    </row>
    <row r="874" customFormat="1" s="86">
      <c r="A874" s="16" t="n"/>
      <c r="C874" s="19" t="n"/>
      <c r="D874" s="19" t="n"/>
    </row>
    <row r="875" customFormat="1" s="86">
      <c r="A875" s="16" t="n"/>
      <c r="C875" s="19" t="n"/>
      <c r="D875" s="19" t="n"/>
    </row>
    <row r="876" customFormat="1" s="86">
      <c r="A876" s="16" t="n"/>
      <c r="C876" s="19" t="n"/>
      <c r="D876" s="19" t="n"/>
    </row>
    <row r="877" customFormat="1" s="86">
      <c r="A877" s="16" t="n"/>
      <c r="C877" s="19" t="n"/>
      <c r="D877" s="19" t="n"/>
    </row>
    <row r="878" customFormat="1" s="86">
      <c r="A878" s="16" t="n"/>
      <c r="C878" s="19" t="n"/>
      <c r="D878" s="19" t="n"/>
    </row>
    <row r="879" customFormat="1" s="86">
      <c r="A879" s="16" t="n"/>
      <c r="C879" s="19" t="n"/>
      <c r="D879" s="19" t="n"/>
    </row>
    <row r="880" customFormat="1" s="86">
      <c r="A880" s="16" t="n"/>
      <c r="C880" s="19" t="n"/>
      <c r="D880" s="19" t="n"/>
    </row>
    <row r="881" customFormat="1" s="86">
      <c r="A881" s="16" t="n"/>
      <c r="C881" s="19" t="n"/>
      <c r="D881" s="19" t="n"/>
    </row>
    <row r="882" customFormat="1" s="86">
      <c r="A882" s="16" t="n"/>
      <c r="C882" s="19" t="n"/>
      <c r="D882" s="19" t="n"/>
    </row>
    <row r="883" customFormat="1" s="86">
      <c r="A883" s="16" t="n"/>
      <c r="C883" s="19" t="n"/>
      <c r="D883" s="19" t="n"/>
    </row>
    <row r="884" customFormat="1" s="86">
      <c r="A884" s="16" t="n"/>
      <c r="C884" s="19" t="n"/>
      <c r="D884" s="19" t="n"/>
    </row>
    <row r="885" customFormat="1" s="86">
      <c r="A885" s="16" t="n"/>
      <c r="C885" s="19" t="n"/>
      <c r="D885" s="19" t="n"/>
    </row>
    <row r="886" customFormat="1" s="86">
      <c r="A886" s="16" t="n"/>
      <c r="C886" s="19" t="n"/>
      <c r="D886" s="19" t="n"/>
    </row>
    <row r="887" customFormat="1" s="86">
      <c r="A887" s="16" t="n"/>
      <c r="C887" s="19" t="n"/>
      <c r="D887" s="19" t="n"/>
    </row>
    <row r="888" customFormat="1" s="86">
      <c r="A888" s="16" t="n"/>
      <c r="C888" s="19" t="n"/>
      <c r="D888" s="19" t="n"/>
    </row>
    <row r="889" customFormat="1" s="86">
      <c r="A889" s="16" t="n"/>
      <c r="C889" s="19" t="n"/>
      <c r="D889" s="19" t="n"/>
    </row>
    <row r="890" customFormat="1" s="86">
      <c r="A890" s="16" t="n"/>
      <c r="C890" s="19" t="n"/>
      <c r="D890" s="19" t="n"/>
    </row>
    <row r="891" customFormat="1" s="86">
      <c r="A891" s="16" t="n"/>
      <c r="C891" s="19" t="n"/>
      <c r="D891" s="19" t="n"/>
    </row>
    <row r="892" customFormat="1" s="86">
      <c r="A892" s="16" t="n"/>
      <c r="C892" s="19" t="n"/>
      <c r="D892" s="19" t="n"/>
    </row>
    <row r="893" customFormat="1" s="86">
      <c r="A893" s="16" t="n"/>
      <c r="C893" s="19" t="n"/>
      <c r="D893" s="19" t="n"/>
    </row>
    <row r="894" customFormat="1" s="86">
      <c r="A894" s="16" t="n"/>
      <c r="C894" s="19" t="n"/>
      <c r="D894" s="19" t="n"/>
    </row>
    <row r="895" customFormat="1" s="86">
      <c r="A895" s="16" t="n"/>
      <c r="C895" s="19" t="n"/>
      <c r="D895" s="19" t="n"/>
    </row>
    <row r="896" customFormat="1" s="86">
      <c r="A896" s="16" t="n"/>
      <c r="C896" s="19" t="n"/>
      <c r="D896" s="19" t="n"/>
    </row>
    <row r="897" customFormat="1" s="86">
      <c r="A897" s="16" t="n"/>
      <c r="C897" s="19" t="n"/>
      <c r="D897" s="19" t="n"/>
    </row>
    <row r="898" customFormat="1" s="86">
      <c r="A898" s="16" t="n"/>
      <c r="C898" s="19" t="n"/>
      <c r="D898" s="19" t="n"/>
    </row>
    <row r="899" customFormat="1" s="86">
      <c r="A899" s="16" t="n"/>
      <c r="C899" s="19" t="n"/>
      <c r="D899" s="19" t="n"/>
    </row>
    <row r="900" customFormat="1" s="86">
      <c r="A900" s="16" t="n"/>
      <c r="C900" s="19" t="n"/>
      <c r="D900" s="19" t="n"/>
    </row>
    <row r="901" customFormat="1" s="86">
      <c r="A901" s="16" t="n"/>
      <c r="C901" s="19" t="n"/>
      <c r="D901" s="19" t="n"/>
    </row>
    <row r="902" customFormat="1" s="86">
      <c r="A902" s="16" t="n"/>
      <c r="C902" s="19" t="n"/>
      <c r="D902" s="19" t="n"/>
    </row>
    <row r="903" customFormat="1" s="86">
      <c r="A903" s="16" t="n"/>
      <c r="C903" s="19" t="n"/>
      <c r="D903" s="19" t="n"/>
    </row>
    <row r="904" customFormat="1" s="86">
      <c r="A904" s="16" t="n"/>
      <c r="C904" s="19" t="n"/>
      <c r="D904" s="19" t="n"/>
    </row>
    <row r="905" customFormat="1" s="86">
      <c r="A905" s="16" t="n"/>
      <c r="C905" s="19" t="n"/>
      <c r="D905" s="19" t="n"/>
    </row>
    <row r="906" customFormat="1" s="86">
      <c r="A906" s="16" t="n"/>
      <c r="C906" s="19" t="n"/>
      <c r="D906" s="19" t="n"/>
    </row>
    <row r="907" customFormat="1" s="86">
      <c r="A907" s="16" t="n"/>
      <c r="C907" s="19" t="n"/>
      <c r="D907" s="19" t="n"/>
    </row>
    <row r="908" customFormat="1" s="86">
      <c r="A908" s="16" t="n"/>
      <c r="C908" s="19" t="n"/>
      <c r="D908" s="19" t="n"/>
    </row>
    <row r="909" customFormat="1" s="86">
      <c r="A909" s="16" t="n"/>
      <c r="C909" s="19" t="n"/>
      <c r="D909" s="19" t="n"/>
    </row>
    <row r="910" customFormat="1" s="86">
      <c r="A910" s="16" t="n"/>
      <c r="C910" s="19" t="n"/>
      <c r="D910" s="19" t="n"/>
    </row>
    <row r="911" customFormat="1" s="86">
      <c r="A911" s="16" t="n"/>
      <c r="C911" s="19" t="n"/>
      <c r="D911" s="19" t="n"/>
    </row>
    <row r="912" customFormat="1" s="86">
      <c r="A912" s="16" t="n"/>
      <c r="C912" s="19" t="n"/>
      <c r="D912" s="19" t="n"/>
    </row>
    <row r="913" customFormat="1" s="86">
      <c r="A913" s="16" t="n"/>
      <c r="C913" s="19" t="n"/>
      <c r="D913" s="19" t="n"/>
    </row>
    <row r="914" customFormat="1" s="86">
      <c r="A914" s="16" t="n"/>
      <c r="C914" s="19" t="n"/>
      <c r="D914" s="19" t="n"/>
    </row>
    <row r="915" customFormat="1" s="86">
      <c r="A915" s="16" t="n"/>
      <c r="C915" s="19" t="n"/>
      <c r="D915" s="19" t="n"/>
    </row>
    <row r="916" customFormat="1" s="86">
      <c r="A916" s="16" t="n"/>
      <c r="C916" s="19" t="n"/>
      <c r="D916" s="19" t="n"/>
    </row>
    <row r="917" customFormat="1" s="86">
      <c r="A917" s="16" t="n"/>
      <c r="C917" s="19" t="n"/>
      <c r="D917" s="19" t="n"/>
    </row>
    <row r="918" customFormat="1" s="86">
      <c r="A918" s="16" t="n"/>
      <c r="C918" s="19" t="n"/>
      <c r="D918" s="19" t="n"/>
    </row>
    <row r="919" customFormat="1" s="86">
      <c r="A919" s="16" t="n"/>
      <c r="C919" s="19" t="n"/>
      <c r="D919" s="19" t="n"/>
    </row>
    <row r="920" customFormat="1" s="86">
      <c r="A920" s="16" t="n"/>
      <c r="C920" s="19" t="n"/>
      <c r="D920" s="19" t="n"/>
    </row>
    <row r="921" customFormat="1" s="86">
      <c r="A921" s="16" t="n"/>
      <c r="C921" s="19" t="n"/>
      <c r="D921" s="19" t="n"/>
    </row>
    <row r="922" customFormat="1" s="86">
      <c r="A922" s="16" t="n"/>
      <c r="C922" s="19" t="n"/>
      <c r="D922" s="19" t="n"/>
    </row>
    <row r="923" customFormat="1" s="86">
      <c r="A923" s="16" t="n"/>
      <c r="C923" s="19" t="n"/>
      <c r="D923" s="19" t="n"/>
    </row>
    <row r="924" customFormat="1" s="86">
      <c r="A924" s="16" t="n"/>
      <c r="C924" s="19" t="n"/>
      <c r="D924" s="19" t="n"/>
    </row>
    <row r="925" customFormat="1" s="86">
      <c r="A925" s="16" t="n"/>
      <c r="C925" s="19" t="n"/>
      <c r="D925" s="19" t="n"/>
    </row>
    <row r="926" customFormat="1" s="86">
      <c r="A926" s="16" t="n"/>
      <c r="C926" s="19" t="n"/>
      <c r="D926" s="19" t="n"/>
    </row>
    <row r="927" customFormat="1" s="86">
      <c r="A927" s="16" t="n"/>
      <c r="C927" s="19" t="n"/>
      <c r="D927" s="19" t="n"/>
    </row>
    <row r="928" customFormat="1" s="86">
      <c r="A928" s="16" t="n"/>
      <c r="C928" s="19" t="n"/>
      <c r="D928" s="19" t="n"/>
    </row>
    <row r="929" customFormat="1" s="86">
      <c r="A929" s="16" t="n"/>
      <c r="C929" s="19" t="n"/>
      <c r="D929" s="19" t="n"/>
    </row>
    <row r="930" customFormat="1" s="86">
      <c r="A930" s="16" t="n"/>
      <c r="C930" s="19" t="n"/>
      <c r="D930" s="19" t="n"/>
    </row>
    <row r="931" customFormat="1" s="86">
      <c r="A931" s="16" t="n"/>
      <c r="C931" s="19" t="n"/>
      <c r="D931" s="19" t="n"/>
    </row>
    <row r="932" customFormat="1" s="86">
      <c r="A932" s="16" t="n"/>
      <c r="C932" s="19" t="n"/>
      <c r="D932" s="19" t="n"/>
    </row>
    <row r="933" customFormat="1" s="86">
      <c r="A933" s="16" t="n"/>
      <c r="C933" s="19" t="n"/>
      <c r="D933" s="19" t="n"/>
    </row>
    <row r="934" customFormat="1" s="86">
      <c r="A934" s="16" t="n"/>
      <c r="C934" s="19" t="n"/>
      <c r="D934" s="19" t="n"/>
    </row>
    <row r="935" customFormat="1" s="86">
      <c r="A935" s="16" t="n"/>
      <c r="C935" s="19" t="n"/>
      <c r="D935" s="19" t="n"/>
    </row>
    <row r="936" customFormat="1" s="86">
      <c r="A936" s="16" t="n"/>
      <c r="C936" s="19" t="n"/>
      <c r="D936" s="19" t="n"/>
    </row>
    <row r="937" customFormat="1" s="86">
      <c r="A937" s="16" t="n"/>
      <c r="C937" s="19" t="n"/>
      <c r="D937" s="19" t="n"/>
    </row>
    <row r="938" customFormat="1" s="86">
      <c r="A938" s="16" t="n"/>
      <c r="C938" s="19" t="n"/>
      <c r="D938" s="19" t="n"/>
    </row>
    <row r="939" customFormat="1" s="86">
      <c r="A939" s="16" t="n"/>
      <c r="C939" s="19" t="n"/>
      <c r="D939" s="19" t="n"/>
    </row>
    <row r="940" customFormat="1" s="86">
      <c r="A940" s="16" t="n"/>
      <c r="C940" s="19" t="n"/>
      <c r="D940" s="19" t="n"/>
    </row>
    <row r="941" customFormat="1" s="86">
      <c r="A941" s="16" t="n"/>
      <c r="C941" s="19" t="n"/>
      <c r="D941" s="19" t="n"/>
    </row>
    <row r="942" customFormat="1" s="86">
      <c r="A942" s="16" t="n"/>
      <c r="C942" s="19" t="n"/>
      <c r="D942" s="19" t="n"/>
    </row>
    <row r="943" customFormat="1" s="86">
      <c r="A943" s="16" t="n"/>
      <c r="C943" s="19" t="n"/>
      <c r="D943" s="19" t="n"/>
    </row>
    <row r="944" customFormat="1" s="86">
      <c r="A944" s="16" t="n"/>
      <c r="C944" s="19" t="n"/>
      <c r="D944" s="19" t="n"/>
    </row>
    <row r="945" customFormat="1" s="86">
      <c r="A945" s="16" t="n"/>
      <c r="C945" s="19" t="n"/>
      <c r="D945" s="19" t="n"/>
    </row>
    <row r="946" customFormat="1" s="86">
      <c r="A946" s="16" t="n"/>
      <c r="C946" s="19" t="n"/>
      <c r="D946" s="19" t="n"/>
    </row>
    <row r="947" customFormat="1" s="86">
      <c r="A947" s="16" t="n"/>
      <c r="C947" s="19" t="n"/>
      <c r="D947" s="19" t="n"/>
    </row>
    <row r="948" customFormat="1" s="86">
      <c r="A948" s="16" t="n"/>
      <c r="C948" s="19" t="n"/>
      <c r="D948" s="19" t="n"/>
    </row>
    <row r="949" customFormat="1" s="86">
      <c r="A949" s="16" t="n"/>
      <c r="C949" s="19" t="n"/>
      <c r="D949" s="19" t="n"/>
    </row>
    <row r="950" customFormat="1" s="86">
      <c r="A950" s="16" t="n"/>
      <c r="C950" s="19" t="n"/>
      <c r="D950" s="19" t="n"/>
    </row>
    <row r="951" customFormat="1" s="86">
      <c r="A951" s="16" t="n"/>
      <c r="C951" s="19" t="n"/>
      <c r="D951" s="19" t="n"/>
    </row>
    <row r="952" customFormat="1" s="86">
      <c r="A952" s="16" t="n"/>
      <c r="C952" s="19" t="n"/>
      <c r="D952" s="19" t="n"/>
    </row>
    <row r="953" customFormat="1" s="86">
      <c r="A953" s="16" t="n"/>
      <c r="C953" s="19" t="n"/>
      <c r="D953" s="19" t="n"/>
    </row>
    <row r="954" customFormat="1" s="86">
      <c r="A954" s="16" t="n"/>
      <c r="C954" s="19" t="n"/>
      <c r="D954" s="19" t="n"/>
    </row>
    <row r="955" customFormat="1" s="86">
      <c r="A955" s="16" t="n"/>
      <c r="C955" s="19" t="n"/>
      <c r="D955" s="19" t="n"/>
    </row>
    <row r="956" customFormat="1" s="86">
      <c r="A956" s="16" t="n"/>
      <c r="C956" s="19" t="n"/>
      <c r="D956" s="19" t="n"/>
    </row>
    <row r="957" customFormat="1" s="86">
      <c r="A957" s="16" t="n"/>
      <c r="C957" s="19" t="n"/>
      <c r="D957" s="19" t="n"/>
    </row>
    <row r="958" customFormat="1" s="86">
      <c r="A958" s="16" t="n"/>
      <c r="C958" s="19" t="n"/>
      <c r="D958" s="19" t="n"/>
    </row>
    <row r="959" customFormat="1" s="86">
      <c r="A959" s="16" t="n"/>
      <c r="C959" s="19" t="n"/>
      <c r="D959" s="19" t="n"/>
    </row>
    <row r="960" customFormat="1" s="86">
      <c r="A960" s="16" t="n"/>
      <c r="C960" s="19" t="n"/>
      <c r="D960" s="19" t="n"/>
    </row>
    <row r="961" customFormat="1" s="86">
      <c r="A961" s="16" t="n"/>
      <c r="C961" s="19" t="n"/>
      <c r="D961" s="19" t="n"/>
    </row>
    <row r="962" customFormat="1" s="86">
      <c r="A962" s="16" t="n"/>
      <c r="C962" s="19" t="n"/>
      <c r="D962" s="19" t="n"/>
    </row>
    <row r="963" customFormat="1" s="86">
      <c r="A963" s="16" t="n"/>
      <c r="C963" s="19" t="n"/>
      <c r="D963" s="19" t="n"/>
    </row>
    <row r="964" customFormat="1" s="86">
      <c r="A964" s="16" t="n"/>
      <c r="C964" s="19" t="n"/>
      <c r="D964" s="19" t="n"/>
    </row>
    <row r="965" customFormat="1" s="86">
      <c r="A965" s="16" t="n"/>
      <c r="C965" s="19" t="n"/>
      <c r="D965" s="19" t="n"/>
    </row>
    <row r="966" customFormat="1" s="86">
      <c r="A966" s="16" t="n"/>
      <c r="C966" s="19" t="n"/>
      <c r="D966" s="19" t="n"/>
    </row>
    <row r="967" customFormat="1" s="86">
      <c r="A967" s="16" t="n"/>
      <c r="C967" s="19" t="n"/>
      <c r="D967" s="19" t="n"/>
    </row>
    <row r="968" customFormat="1" s="86">
      <c r="A968" s="16" t="n"/>
      <c r="C968" s="19" t="n"/>
      <c r="D968" s="19" t="n"/>
    </row>
    <row r="969" customFormat="1" s="86">
      <c r="A969" s="16" t="n"/>
      <c r="C969" s="19" t="n"/>
      <c r="D969" s="19" t="n"/>
    </row>
    <row r="970" customFormat="1" s="86">
      <c r="A970" s="16" t="n"/>
      <c r="C970" s="19" t="n"/>
      <c r="D970" s="19" t="n"/>
    </row>
    <row r="971" customFormat="1" s="86">
      <c r="A971" s="16" t="n"/>
      <c r="C971" s="19" t="n"/>
      <c r="D971" s="19" t="n"/>
    </row>
    <row r="972" customFormat="1" s="86">
      <c r="A972" s="16" t="n"/>
      <c r="C972" s="19" t="n"/>
      <c r="D972" s="19" t="n"/>
    </row>
    <row r="973" customFormat="1" s="86">
      <c r="A973" s="16" t="n"/>
      <c r="C973" s="19" t="n"/>
      <c r="D973" s="19" t="n"/>
    </row>
    <row r="974" customFormat="1" s="86">
      <c r="A974" s="16" t="n"/>
      <c r="C974" s="19" t="n"/>
      <c r="D974" s="19" t="n"/>
    </row>
    <row r="975" customFormat="1" s="86">
      <c r="A975" s="16" t="n"/>
      <c r="C975" s="19" t="n"/>
      <c r="D975" s="19" t="n"/>
    </row>
    <row r="976" customFormat="1" s="86">
      <c r="A976" s="16" t="n"/>
      <c r="C976" s="19" t="n"/>
      <c r="D976" s="19" t="n"/>
    </row>
    <row r="977" customFormat="1" s="86">
      <c r="A977" s="16" t="n"/>
      <c r="C977" s="19" t="n"/>
      <c r="D977" s="19" t="n"/>
    </row>
    <row r="978" customFormat="1" s="86">
      <c r="A978" s="16" t="n"/>
      <c r="C978" s="19" t="n"/>
      <c r="D978" s="19" t="n"/>
    </row>
    <row r="979" customFormat="1" s="86">
      <c r="A979" s="16" t="n"/>
      <c r="C979" s="19" t="n"/>
      <c r="D979" s="19" t="n"/>
    </row>
    <row r="980" customFormat="1" s="86">
      <c r="A980" s="16" t="n"/>
      <c r="C980" s="19" t="n"/>
      <c r="D980" s="19" t="n"/>
    </row>
    <row r="981" customFormat="1" s="86">
      <c r="A981" s="16" t="n"/>
      <c r="C981" s="19" t="n"/>
      <c r="D981" s="19" t="n"/>
    </row>
    <row r="982" customFormat="1" s="86">
      <c r="A982" s="16" t="n"/>
      <c r="C982" s="19" t="n"/>
      <c r="D982" s="19" t="n"/>
    </row>
    <row r="983" customFormat="1" s="86">
      <c r="A983" s="16" t="n"/>
      <c r="C983" s="19" t="n"/>
      <c r="D983" s="19" t="n"/>
    </row>
    <row r="984" customFormat="1" s="86">
      <c r="A984" s="16" t="n"/>
      <c r="C984" s="19" t="n"/>
      <c r="D984" s="19" t="n"/>
    </row>
    <row r="985" customFormat="1" s="86">
      <c r="A985" s="16" t="n"/>
      <c r="C985" s="19" t="n"/>
      <c r="D985" s="19" t="n"/>
    </row>
    <row r="986" customFormat="1" s="86">
      <c r="A986" s="16" t="n"/>
      <c r="C986" s="19" t="n"/>
      <c r="D986" s="19" t="n"/>
    </row>
    <row r="987" customFormat="1" s="86">
      <c r="A987" s="16" t="n"/>
      <c r="C987" s="19" t="n"/>
      <c r="D987" s="19" t="n"/>
    </row>
    <row r="988" customFormat="1" s="86">
      <c r="A988" s="16" t="n"/>
      <c r="C988" s="19" t="n"/>
      <c r="D988" s="19" t="n"/>
    </row>
    <row r="989" customFormat="1" s="86">
      <c r="A989" s="16" t="n"/>
      <c r="C989" s="19" t="n"/>
      <c r="D989" s="19" t="n"/>
    </row>
    <row r="990" customFormat="1" s="86">
      <c r="A990" s="16" t="n"/>
      <c r="C990" s="19" t="n"/>
      <c r="D990" s="19" t="n"/>
    </row>
    <row r="991" customFormat="1" s="86">
      <c r="A991" s="16" t="n"/>
      <c r="C991" s="19" t="n"/>
      <c r="D991" s="19" t="n"/>
    </row>
    <row r="992" customFormat="1" s="86">
      <c r="A992" s="16" t="n"/>
      <c r="C992" s="19" t="n"/>
      <c r="D992" s="19" t="n"/>
    </row>
    <row r="993" customFormat="1" s="86">
      <c r="A993" s="16" t="n"/>
      <c r="C993" s="19" t="n"/>
      <c r="D993" s="19" t="n"/>
    </row>
    <row r="994" customFormat="1" s="86">
      <c r="A994" s="16" t="n"/>
      <c r="C994" s="19" t="n"/>
      <c r="D994" s="19" t="n"/>
    </row>
    <row r="995" customFormat="1" s="86">
      <c r="A995" s="16" t="n"/>
      <c r="C995" s="19" t="n"/>
      <c r="D995" s="19" t="n"/>
    </row>
    <row r="996" customFormat="1" s="86">
      <c r="A996" s="16" t="n"/>
      <c r="C996" s="19" t="n"/>
      <c r="D996" s="19" t="n"/>
    </row>
    <row r="997" customFormat="1" s="86">
      <c r="A997" s="16" t="n"/>
      <c r="C997" s="19" t="n"/>
      <c r="D997" s="19" t="n"/>
    </row>
    <row r="998" customFormat="1" s="86">
      <c r="A998" s="16" t="n"/>
      <c r="C998" s="19" t="n"/>
      <c r="D998" s="19" t="n"/>
    </row>
    <row r="999" customFormat="1" s="86">
      <c r="A999" s="16" t="n"/>
      <c r="C999" s="19" t="n"/>
      <c r="D999" s="19" t="n"/>
    </row>
    <row r="1000" customFormat="1" s="86">
      <c r="A1000" s="16" t="n"/>
      <c r="C1000" s="19" t="n"/>
      <c r="D1000" s="19" t="n"/>
    </row>
    <row r="1001" customFormat="1" s="86">
      <c r="A1001" s="16" t="n"/>
      <c r="C1001" s="19" t="n"/>
      <c r="D1001" s="19" t="n"/>
    </row>
  </sheetData>
  <conditionalFormatting sqref="C234:C387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34:D38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 codeName="Sheet8">
    <tabColor theme="4" tint="0.5999938962981048"/>
    <outlinePr summaryBelow="1" summaryRight="1"/>
    <pageSetUpPr/>
  </sheetPr>
  <dimension ref="A1:C385"/>
  <sheetViews>
    <sheetView tabSelected="1" zoomScale="80" zoomScaleNormal="80" workbookViewId="0">
      <pane ySplit="7" topLeftCell="A363" activePane="bottomLeft" state="frozen"/>
      <selection activeCell="H30" sqref="H30:H31"/>
      <selection pane="bottomLeft" activeCell="S390" sqref="S390"/>
    </sheetView>
  </sheetViews>
  <sheetFormatPr baseColWidth="8" defaultColWidth="9.1796875" defaultRowHeight="14.5"/>
  <cols>
    <col width="11.36328125" customWidth="1" style="43" min="1" max="1"/>
    <col width="23.1796875" customWidth="1" style="78" min="2" max="2"/>
    <col width="15.6328125" customWidth="1" style="79" min="3" max="3"/>
    <col width="10.6328125" bestFit="1" customWidth="1" style="86" min="4" max="4"/>
    <col width="9.1796875" customWidth="1" style="86" min="5" max="48"/>
    <col width="9.1796875" customWidth="1" style="86" min="49" max="16384"/>
  </cols>
  <sheetData>
    <row r="1">
      <c r="A1" s="72" t="inlineStr">
        <is>
          <t>https://www.investing.com/economic-calendar/chinese-industrial-production-462</t>
        </is>
      </c>
    </row>
    <row r="6" ht="16" customHeight="1" s="80" thickBot="1"/>
    <row r="7" ht="44.25" customHeight="1" s="80" thickBot="1">
      <c r="A7" s="45" t="inlineStr">
        <is>
          <t>Date</t>
        </is>
      </c>
      <c r="B7" s="44" t="inlineStr">
        <is>
          <t>China Industrial Production YoY</t>
        </is>
      </c>
      <c r="C7" s="46" t="inlineStr">
        <is>
          <t>HSBC China PMI</t>
        </is>
      </c>
    </row>
    <row r="8">
      <c r="A8" s="74" t="n">
        <v>32963</v>
      </c>
      <c r="B8" s="67">
        <f>VLOOKUP(A8,'China Production data'!$A$1:$C$508,3,FALSE)</f>
        <v/>
      </c>
    </row>
    <row r="9">
      <c r="A9" s="73" t="n">
        <v>32993</v>
      </c>
      <c r="B9" s="67">
        <f>VLOOKUP(A9,'China Production data'!$A$1:$C$508,3,FALSE)</f>
        <v/>
      </c>
    </row>
    <row r="10">
      <c r="A10" s="74" t="n">
        <v>33024</v>
      </c>
      <c r="B10" s="67">
        <f>VLOOKUP(A10,'China Production data'!$A$1:$C$508,3,FALSE)</f>
        <v/>
      </c>
    </row>
    <row r="11">
      <c r="A11" s="73" t="n">
        <v>33054</v>
      </c>
      <c r="B11" s="67">
        <f>VLOOKUP(A11,'China Production data'!$A$1:$C$508,3,FALSE)</f>
        <v/>
      </c>
    </row>
    <row r="12">
      <c r="A12" s="74" t="n">
        <v>33085</v>
      </c>
      <c r="B12" s="67">
        <f>VLOOKUP(A12,'China Production data'!$A$1:$C$508,3,FALSE)</f>
        <v/>
      </c>
    </row>
    <row r="13">
      <c r="A13" s="73" t="n">
        <v>33116</v>
      </c>
      <c r="B13" s="67">
        <f>VLOOKUP(A13,'China Production data'!$A$1:$C$508,3,FALSE)</f>
        <v/>
      </c>
    </row>
    <row r="14">
      <c r="A14" s="74" t="n">
        <v>33146</v>
      </c>
      <c r="B14" s="67">
        <f>VLOOKUP(A14,'China Production data'!$A$1:$C$508,3,FALSE)</f>
        <v/>
      </c>
    </row>
    <row r="15">
      <c r="A15" s="73" t="n">
        <v>33177</v>
      </c>
      <c r="B15" s="67">
        <f>VLOOKUP(A15,'China Production data'!$A$1:$C$508,3,FALSE)</f>
        <v/>
      </c>
    </row>
    <row r="16">
      <c r="A16" s="74" t="n">
        <v>33207</v>
      </c>
      <c r="B16" s="67">
        <f>VLOOKUP(A16,'China Production data'!$A$1:$C$508,3,FALSE)</f>
        <v/>
      </c>
    </row>
    <row r="17">
      <c r="A17" s="73" t="n">
        <v>33238</v>
      </c>
      <c r="B17" s="67">
        <f>VLOOKUP(A17,'China Production data'!$A$1:$C$508,3,FALSE)</f>
        <v/>
      </c>
    </row>
    <row r="18">
      <c r="A18" s="74" t="n">
        <v>33269</v>
      </c>
      <c r="B18" s="67">
        <f>VLOOKUP(A18,'China Production data'!$A$1:$C$508,3,FALSE)</f>
        <v/>
      </c>
    </row>
    <row r="19">
      <c r="A19" s="73" t="n">
        <v>33297</v>
      </c>
      <c r="B19" s="67">
        <f>VLOOKUP(A19,'China Production data'!$A$1:$C$508,3,FALSE)</f>
        <v/>
      </c>
    </row>
    <row r="20">
      <c r="A20" s="74" t="n">
        <v>33328</v>
      </c>
      <c r="B20" s="67">
        <f>VLOOKUP(A20,'China Production data'!$A$1:$C$508,3,FALSE)</f>
        <v/>
      </c>
    </row>
    <row r="21">
      <c r="A21" s="73" t="n">
        <v>33358</v>
      </c>
      <c r="B21" s="67">
        <f>VLOOKUP(A21,'China Production data'!$A$1:$C$508,3,FALSE)</f>
        <v/>
      </c>
    </row>
    <row r="22">
      <c r="A22" s="74" t="n">
        <v>33389</v>
      </c>
      <c r="B22" s="67">
        <f>VLOOKUP(A22,'China Production data'!$A$1:$C$508,3,FALSE)</f>
        <v/>
      </c>
    </row>
    <row r="23">
      <c r="A23" s="73" t="n">
        <v>33419</v>
      </c>
      <c r="B23" s="67">
        <f>VLOOKUP(A23,'China Production data'!$A$1:$C$508,3,FALSE)</f>
        <v/>
      </c>
    </row>
    <row r="24">
      <c r="A24" s="74" t="n">
        <v>33450</v>
      </c>
      <c r="B24" s="67">
        <f>VLOOKUP(A24,'China Production data'!$A$1:$C$508,3,FALSE)</f>
        <v/>
      </c>
    </row>
    <row r="25">
      <c r="A25" s="73" t="n">
        <v>33481</v>
      </c>
      <c r="B25" s="67">
        <f>VLOOKUP(A25,'China Production data'!$A$1:$C$508,3,FALSE)</f>
        <v/>
      </c>
    </row>
    <row r="26">
      <c r="A26" s="74" t="n">
        <v>33511</v>
      </c>
      <c r="B26" s="67">
        <f>VLOOKUP(A26,'China Production data'!$A$1:$C$508,3,FALSE)</f>
        <v/>
      </c>
    </row>
    <row r="27">
      <c r="A27" s="73" t="n">
        <v>33542</v>
      </c>
      <c r="B27" s="67">
        <f>VLOOKUP(A27,'China Production data'!$A$1:$C$508,3,FALSE)</f>
        <v/>
      </c>
    </row>
    <row r="28">
      <c r="A28" s="74" t="n">
        <v>33572</v>
      </c>
      <c r="B28" s="67">
        <f>VLOOKUP(A28,'China Production data'!$A$1:$C$508,3,FALSE)</f>
        <v/>
      </c>
    </row>
    <row r="29">
      <c r="A29" s="73" t="n">
        <v>33603</v>
      </c>
      <c r="B29" s="67">
        <f>VLOOKUP(A29,'China Production data'!$A$1:$C$508,3,FALSE)</f>
        <v/>
      </c>
    </row>
    <row r="30">
      <c r="A30" s="74" t="n">
        <v>33634</v>
      </c>
      <c r="B30" s="67">
        <f>VLOOKUP(A30,'China Production data'!$A$1:$C$508,3,FALSE)</f>
        <v/>
      </c>
    </row>
    <row r="31">
      <c r="A31" s="73" t="n">
        <v>33663</v>
      </c>
      <c r="B31" s="67">
        <f>VLOOKUP(A31,'China Production data'!$A$1:$C$508,3,FALSE)</f>
        <v/>
      </c>
    </row>
    <row r="32">
      <c r="A32" s="74" t="n">
        <v>33694</v>
      </c>
      <c r="B32" s="67">
        <f>VLOOKUP(A32,'China Production data'!$A$1:$C$508,3,FALSE)</f>
        <v/>
      </c>
    </row>
    <row r="33">
      <c r="A33" s="73" t="n">
        <v>33724</v>
      </c>
      <c r="B33" s="67">
        <f>VLOOKUP(A33,'China Production data'!$A$1:$C$508,3,FALSE)</f>
        <v/>
      </c>
    </row>
    <row r="34">
      <c r="A34" s="74" t="n">
        <v>33755</v>
      </c>
      <c r="B34" s="67">
        <f>VLOOKUP(A34,'China Production data'!$A$1:$C$508,3,FALSE)</f>
        <v/>
      </c>
    </row>
    <row r="35">
      <c r="A35" s="73" t="n">
        <v>33785</v>
      </c>
      <c r="B35" s="67">
        <f>VLOOKUP(A35,'China Production data'!$A$1:$C$508,3,FALSE)</f>
        <v/>
      </c>
    </row>
    <row r="36">
      <c r="A36" s="74" t="n">
        <v>33816</v>
      </c>
      <c r="B36" s="67">
        <f>VLOOKUP(A36,'China Production data'!$A$1:$C$508,3,FALSE)</f>
        <v/>
      </c>
    </row>
    <row r="37">
      <c r="A37" s="73" t="n">
        <v>33847</v>
      </c>
      <c r="B37" s="67">
        <f>VLOOKUP(A37,'China Production data'!$A$1:$C$508,3,FALSE)</f>
        <v/>
      </c>
    </row>
    <row r="38">
      <c r="A38" s="74" t="n">
        <v>33877</v>
      </c>
      <c r="B38" s="67">
        <f>VLOOKUP(A38,'China Production data'!$A$1:$C$508,3,FALSE)</f>
        <v/>
      </c>
    </row>
    <row r="39">
      <c r="A39" s="73" t="n">
        <v>33908</v>
      </c>
      <c r="B39" s="67">
        <f>VLOOKUP(A39,'China Production data'!$A$1:$C$508,3,FALSE)</f>
        <v/>
      </c>
    </row>
    <row r="40">
      <c r="A40" s="74" t="n">
        <v>33938</v>
      </c>
      <c r="B40" s="67">
        <f>VLOOKUP(A40,'China Production data'!$A$1:$C$508,3,FALSE)</f>
        <v/>
      </c>
    </row>
    <row r="41">
      <c r="A41" s="73" t="n">
        <v>33969</v>
      </c>
      <c r="B41" s="67">
        <f>VLOOKUP(A41,'China Production data'!$A$1:$C$508,3,FALSE)</f>
        <v/>
      </c>
    </row>
    <row r="42">
      <c r="A42" s="74" t="n">
        <v>34000</v>
      </c>
      <c r="B42" s="67">
        <f>VLOOKUP(A42,'China Production data'!$A$1:$C$508,3,FALSE)</f>
        <v/>
      </c>
    </row>
    <row r="43">
      <c r="A43" s="73" t="n">
        <v>34028</v>
      </c>
      <c r="B43" s="67">
        <f>VLOOKUP(A43,'China Production data'!$A$1:$C$508,3,FALSE)</f>
        <v/>
      </c>
    </row>
    <row r="44">
      <c r="A44" s="74" t="n">
        <v>34059</v>
      </c>
      <c r="B44" s="67">
        <f>VLOOKUP(A44,'China Production data'!$A$1:$C$508,3,FALSE)</f>
        <v/>
      </c>
    </row>
    <row r="45">
      <c r="A45" s="73" t="n">
        <v>34089</v>
      </c>
      <c r="B45" s="67">
        <f>VLOOKUP(A45,'China Production data'!$A$1:$C$508,3,FALSE)</f>
        <v/>
      </c>
    </row>
    <row r="46">
      <c r="A46" s="74" t="n">
        <v>34120</v>
      </c>
      <c r="B46" s="67">
        <f>VLOOKUP(A46,'China Production data'!$A$1:$C$508,3,FALSE)</f>
        <v/>
      </c>
    </row>
    <row r="47">
      <c r="A47" s="73" t="n">
        <v>34150</v>
      </c>
      <c r="B47" s="67">
        <f>VLOOKUP(A47,'China Production data'!$A$1:$C$508,3,FALSE)</f>
        <v/>
      </c>
    </row>
    <row r="48">
      <c r="A48" s="74" t="n">
        <v>34181</v>
      </c>
      <c r="B48" s="67">
        <f>VLOOKUP(A48,'China Production data'!$A$1:$C$508,3,FALSE)</f>
        <v/>
      </c>
    </row>
    <row r="49">
      <c r="A49" s="73" t="n">
        <v>34212</v>
      </c>
      <c r="B49" s="67">
        <f>VLOOKUP(A49,'China Production data'!$A$1:$C$508,3,FALSE)</f>
        <v/>
      </c>
    </row>
    <row r="50">
      <c r="A50" s="74" t="n">
        <v>34242</v>
      </c>
      <c r="B50" s="67">
        <f>VLOOKUP(A50,'China Production data'!$A$1:$C$508,3,FALSE)</f>
        <v/>
      </c>
    </row>
    <row r="51">
      <c r="A51" s="73" t="n">
        <v>34273</v>
      </c>
      <c r="B51" s="67">
        <f>VLOOKUP(A51,'China Production data'!$A$1:$C$508,3,FALSE)</f>
        <v/>
      </c>
    </row>
    <row r="52">
      <c r="A52" s="74" t="n">
        <v>34303</v>
      </c>
      <c r="B52" s="67">
        <f>VLOOKUP(A52,'China Production data'!$A$1:$C$508,3,FALSE)</f>
        <v/>
      </c>
    </row>
    <row r="53">
      <c r="A53" s="73" t="n">
        <v>34334</v>
      </c>
      <c r="B53" s="67">
        <f>VLOOKUP(A53,'China Production data'!$A$1:$C$508,3,FALSE)</f>
        <v/>
      </c>
    </row>
    <row r="54">
      <c r="A54" s="74" t="n">
        <v>34365</v>
      </c>
      <c r="B54" s="67">
        <f>VLOOKUP(A54,'China Production data'!$A$1:$C$508,3,FALSE)</f>
        <v/>
      </c>
    </row>
    <row r="55">
      <c r="A55" s="73" t="n">
        <v>34393</v>
      </c>
      <c r="B55" s="67">
        <f>VLOOKUP(A55,'China Production data'!$A$1:$C$508,3,FALSE)</f>
        <v/>
      </c>
    </row>
    <row r="56">
      <c r="A56" s="74" t="n">
        <v>34424</v>
      </c>
      <c r="B56" s="67">
        <f>VLOOKUP(A56,'China Production data'!$A$1:$C$508,3,FALSE)</f>
        <v/>
      </c>
    </row>
    <row r="57">
      <c r="A57" s="73" t="n">
        <v>34454</v>
      </c>
      <c r="B57" s="67">
        <f>VLOOKUP(A57,'China Production data'!$A$1:$C$508,3,FALSE)</f>
        <v/>
      </c>
    </row>
    <row r="58">
      <c r="A58" s="74" t="n">
        <v>34485</v>
      </c>
      <c r="B58" s="67">
        <f>VLOOKUP(A58,'China Production data'!$A$1:$C$508,3,FALSE)</f>
        <v/>
      </c>
    </row>
    <row r="59">
      <c r="A59" s="73" t="n">
        <v>34515</v>
      </c>
      <c r="B59" s="67">
        <f>VLOOKUP(A59,'China Production data'!$A$1:$C$508,3,FALSE)</f>
        <v/>
      </c>
    </row>
    <row r="60">
      <c r="A60" s="74" t="n">
        <v>34546</v>
      </c>
      <c r="B60" s="67">
        <f>VLOOKUP(A60,'China Production data'!$A$1:$C$508,3,FALSE)</f>
        <v/>
      </c>
    </row>
    <row r="61">
      <c r="A61" s="73" t="n">
        <v>34577</v>
      </c>
      <c r="B61" s="67">
        <f>VLOOKUP(A61,'China Production data'!$A$1:$C$508,3,FALSE)</f>
        <v/>
      </c>
    </row>
    <row r="62">
      <c r="A62" s="74" t="n">
        <v>34607</v>
      </c>
      <c r="B62" s="67">
        <f>VLOOKUP(A62,'China Production data'!$A$1:$C$508,3,FALSE)</f>
        <v/>
      </c>
    </row>
    <row r="63">
      <c r="A63" s="73" t="n">
        <v>34638</v>
      </c>
      <c r="B63" s="67">
        <f>VLOOKUP(A63,'China Production data'!$A$1:$C$508,3,FALSE)</f>
        <v/>
      </c>
    </row>
    <row r="64">
      <c r="A64" s="74" t="n">
        <v>34668</v>
      </c>
      <c r="B64" s="67">
        <f>VLOOKUP(A64,'China Production data'!$A$1:$C$508,3,FALSE)</f>
        <v/>
      </c>
    </row>
    <row r="65">
      <c r="A65" s="73" t="n">
        <v>34699</v>
      </c>
      <c r="B65" s="67">
        <f>VLOOKUP(A65,'China Production data'!$A$1:$C$508,3,FALSE)</f>
        <v/>
      </c>
    </row>
    <row r="66">
      <c r="A66" s="74" t="n">
        <v>34730</v>
      </c>
      <c r="B66" s="67">
        <f>VLOOKUP(A66,'China Production data'!$A$1:$C$508,3,FALSE)</f>
        <v/>
      </c>
    </row>
    <row r="67">
      <c r="A67" s="73" t="n">
        <v>34758</v>
      </c>
      <c r="B67" s="67">
        <f>VLOOKUP(A67,'China Production data'!$A$1:$C$508,3,FALSE)</f>
        <v/>
      </c>
    </row>
    <row r="68">
      <c r="A68" s="74" t="n">
        <v>34789</v>
      </c>
      <c r="B68" s="67">
        <f>VLOOKUP(A68,'China Production data'!$A$1:$C$508,3,FALSE)</f>
        <v/>
      </c>
    </row>
    <row r="69">
      <c r="A69" s="73" t="n">
        <v>34819</v>
      </c>
      <c r="B69" s="67">
        <f>VLOOKUP(A69,'China Production data'!$A$1:$C$508,3,FALSE)</f>
        <v/>
      </c>
    </row>
    <row r="70">
      <c r="A70" s="74" t="n">
        <v>34850</v>
      </c>
      <c r="B70" s="67">
        <f>VLOOKUP(A70,'China Production data'!$A$1:$C$508,3,FALSE)</f>
        <v/>
      </c>
    </row>
    <row r="71">
      <c r="A71" s="73" t="n">
        <v>34880</v>
      </c>
      <c r="B71" s="67">
        <f>VLOOKUP(A71,'China Production data'!$A$1:$C$508,3,FALSE)</f>
        <v/>
      </c>
    </row>
    <row r="72">
      <c r="A72" s="74" t="n">
        <v>34911</v>
      </c>
      <c r="B72" s="67">
        <f>VLOOKUP(A72,'China Production data'!$A$1:$C$508,3,FALSE)</f>
        <v/>
      </c>
    </row>
    <row r="73">
      <c r="A73" s="73" t="n">
        <v>34942</v>
      </c>
      <c r="B73" s="67">
        <f>VLOOKUP(A73,'China Production data'!$A$1:$C$508,3,FALSE)</f>
        <v/>
      </c>
    </row>
    <row r="74">
      <c r="A74" s="74" t="n">
        <v>34972</v>
      </c>
      <c r="B74" s="67">
        <f>VLOOKUP(A74,'China Production data'!$A$1:$C$508,3,FALSE)</f>
        <v/>
      </c>
    </row>
    <row r="75">
      <c r="A75" s="73" t="n">
        <v>35003</v>
      </c>
      <c r="B75" s="67">
        <f>VLOOKUP(A75,'China Production data'!$A$1:$C$508,3,FALSE)</f>
        <v/>
      </c>
    </row>
    <row r="76">
      <c r="A76" s="74" t="n">
        <v>35033</v>
      </c>
      <c r="B76" s="67">
        <f>VLOOKUP(A76,'China Production data'!$A$1:$C$508,3,FALSE)</f>
        <v/>
      </c>
    </row>
    <row r="77">
      <c r="A77" s="73" t="n">
        <v>35064</v>
      </c>
      <c r="B77" s="67">
        <f>VLOOKUP(A77,'China Production data'!$A$1:$C$508,3,FALSE)</f>
        <v/>
      </c>
    </row>
    <row r="78">
      <c r="A78" s="74" t="n">
        <v>35095</v>
      </c>
      <c r="B78" s="67">
        <f>VLOOKUP(A78,'China Production data'!$A$1:$C$508,3,FALSE)</f>
        <v/>
      </c>
    </row>
    <row r="79">
      <c r="A79" s="73" t="n">
        <v>35124</v>
      </c>
      <c r="B79" s="67">
        <f>VLOOKUP(A79,'China Production data'!$A$1:$C$508,3,FALSE)</f>
        <v/>
      </c>
    </row>
    <row r="80">
      <c r="A80" s="74" t="n">
        <v>35155</v>
      </c>
      <c r="B80" s="67">
        <f>VLOOKUP(A80,'China Production data'!$A$1:$C$508,3,FALSE)</f>
        <v/>
      </c>
    </row>
    <row r="81">
      <c r="A81" s="73" t="n">
        <v>35185</v>
      </c>
      <c r="B81" s="67">
        <f>VLOOKUP(A81,'China Production data'!$A$1:$C$508,3,FALSE)</f>
        <v/>
      </c>
    </row>
    <row r="82">
      <c r="A82" s="74" t="n">
        <v>35216</v>
      </c>
      <c r="B82" s="67">
        <f>VLOOKUP(A82,'China Production data'!$A$1:$C$508,3,FALSE)</f>
        <v/>
      </c>
    </row>
    <row r="83">
      <c r="A83" s="73" t="n">
        <v>35246</v>
      </c>
      <c r="B83" s="67">
        <f>VLOOKUP(A83,'China Production data'!$A$1:$C$508,3,FALSE)</f>
        <v/>
      </c>
    </row>
    <row r="84">
      <c r="A84" s="74" t="n">
        <v>35277</v>
      </c>
      <c r="B84" s="67">
        <f>VLOOKUP(A84,'China Production data'!$A$1:$C$508,3,FALSE)</f>
        <v/>
      </c>
    </row>
    <row r="85">
      <c r="A85" s="73" t="n">
        <v>35308</v>
      </c>
      <c r="B85" s="67">
        <f>VLOOKUP(A85,'China Production data'!$A$1:$C$508,3,FALSE)</f>
        <v/>
      </c>
    </row>
    <row r="86">
      <c r="A86" s="74" t="n">
        <v>35338</v>
      </c>
      <c r="B86" s="67">
        <f>VLOOKUP(A86,'China Production data'!$A$1:$C$508,3,FALSE)</f>
        <v/>
      </c>
    </row>
    <row r="87">
      <c r="A87" s="73" t="n">
        <v>35369</v>
      </c>
      <c r="B87" s="67">
        <f>VLOOKUP(A87,'China Production data'!$A$1:$C$508,3,FALSE)</f>
        <v/>
      </c>
    </row>
    <row r="88">
      <c r="A88" s="74" t="n">
        <v>35399</v>
      </c>
      <c r="B88" s="67">
        <f>VLOOKUP(A88,'China Production data'!$A$1:$C$508,3,FALSE)</f>
        <v/>
      </c>
    </row>
    <row r="89">
      <c r="A89" s="73" t="n">
        <v>35430</v>
      </c>
      <c r="B89" s="67">
        <f>VLOOKUP(A89,'China Production data'!$A$1:$C$508,3,FALSE)</f>
        <v/>
      </c>
    </row>
    <row r="90">
      <c r="A90" s="74" t="n">
        <v>35461</v>
      </c>
      <c r="B90" s="67">
        <f>VLOOKUP(A90,'China Production data'!$A$1:$C$508,3,FALSE)</f>
        <v/>
      </c>
    </row>
    <row r="91">
      <c r="A91" s="73" t="n">
        <v>35489</v>
      </c>
      <c r="B91" s="67">
        <f>VLOOKUP(A91,'China Production data'!$A$1:$C$508,3,FALSE)</f>
        <v/>
      </c>
    </row>
    <row r="92">
      <c r="A92" s="74" t="n">
        <v>35520</v>
      </c>
      <c r="B92" s="67">
        <f>VLOOKUP(A92,'China Production data'!$A$1:$C$508,3,FALSE)</f>
        <v/>
      </c>
    </row>
    <row r="93">
      <c r="A93" s="73" t="n">
        <v>35550</v>
      </c>
      <c r="B93" s="67">
        <f>VLOOKUP(A93,'China Production data'!$A$1:$C$508,3,FALSE)</f>
        <v/>
      </c>
    </row>
    <row r="94">
      <c r="A94" s="74" t="n">
        <v>35581</v>
      </c>
      <c r="B94" s="67">
        <f>VLOOKUP(A94,'China Production data'!$A$1:$C$508,3,FALSE)</f>
        <v/>
      </c>
    </row>
    <row r="95">
      <c r="A95" s="73" t="n">
        <v>35611</v>
      </c>
      <c r="B95" s="67">
        <f>VLOOKUP(A95,'China Production data'!$A$1:$C$508,3,FALSE)</f>
        <v/>
      </c>
    </row>
    <row r="96">
      <c r="A96" s="74" t="n">
        <v>35642</v>
      </c>
      <c r="B96" s="67">
        <f>VLOOKUP(A96,'China Production data'!$A$1:$C$508,3,FALSE)</f>
        <v/>
      </c>
    </row>
    <row r="97">
      <c r="A97" s="73" t="n">
        <v>35673</v>
      </c>
      <c r="B97" s="67">
        <f>VLOOKUP(A97,'China Production data'!$A$1:$C$508,3,FALSE)</f>
        <v/>
      </c>
    </row>
    <row r="98">
      <c r="A98" s="74" t="n">
        <v>35703</v>
      </c>
      <c r="B98" s="67">
        <f>VLOOKUP(A98,'China Production data'!$A$1:$C$508,3,FALSE)</f>
        <v/>
      </c>
    </row>
    <row r="99">
      <c r="A99" s="73" t="n">
        <v>35734</v>
      </c>
      <c r="B99" s="67">
        <f>VLOOKUP(A99,'China Production data'!$A$1:$C$508,3,FALSE)</f>
        <v/>
      </c>
    </row>
    <row r="100">
      <c r="A100" s="74" t="n">
        <v>35764</v>
      </c>
      <c r="B100" s="67">
        <f>VLOOKUP(A100,'China Production data'!$A$1:$C$508,3,FALSE)</f>
        <v/>
      </c>
    </row>
    <row r="101">
      <c r="A101" s="73" t="n">
        <v>35795</v>
      </c>
      <c r="B101" s="67">
        <f>VLOOKUP(A101,'China Production data'!$A$1:$C$508,3,FALSE)</f>
        <v/>
      </c>
    </row>
    <row r="102">
      <c r="A102" s="74" t="n">
        <v>35826</v>
      </c>
      <c r="B102" s="67">
        <f>VLOOKUP(A102,'China Production data'!$A$1:$C$508,3,FALSE)</f>
        <v/>
      </c>
    </row>
    <row r="103">
      <c r="A103" s="73" t="n">
        <v>35854</v>
      </c>
      <c r="B103" s="67">
        <f>VLOOKUP(A103,'China Production data'!$A$1:$C$508,3,FALSE)</f>
        <v/>
      </c>
    </row>
    <row r="104">
      <c r="A104" s="74" t="n">
        <v>35885</v>
      </c>
      <c r="B104" s="67">
        <f>VLOOKUP(A104,'China Production data'!$A$1:$C$508,3,FALSE)</f>
        <v/>
      </c>
    </row>
    <row r="105">
      <c r="A105" s="73" t="n">
        <v>35915</v>
      </c>
      <c r="B105" s="67">
        <f>VLOOKUP(A105,'China Production data'!$A$1:$C$508,3,FALSE)</f>
        <v/>
      </c>
    </row>
    <row r="106">
      <c r="A106" s="74" t="n">
        <v>35946</v>
      </c>
      <c r="B106" s="67">
        <f>VLOOKUP(A106,'China Production data'!$A$1:$C$508,3,FALSE)</f>
        <v/>
      </c>
    </row>
    <row r="107">
      <c r="A107" s="73" t="n">
        <v>35976</v>
      </c>
      <c r="B107" s="67">
        <f>VLOOKUP(A107,'China Production data'!$A$1:$C$508,3,FALSE)</f>
        <v/>
      </c>
    </row>
    <row r="108">
      <c r="A108" s="74" t="n">
        <v>36007</v>
      </c>
      <c r="B108" s="67">
        <f>VLOOKUP(A108,'China Production data'!$A$1:$C$508,3,FALSE)</f>
        <v/>
      </c>
    </row>
    <row r="109">
      <c r="A109" s="73" t="n">
        <v>36038</v>
      </c>
      <c r="B109" s="67">
        <f>VLOOKUP(A109,'China Production data'!$A$1:$C$508,3,FALSE)</f>
        <v/>
      </c>
    </row>
    <row r="110">
      <c r="A110" s="74" t="n">
        <v>36068</v>
      </c>
      <c r="B110" s="67">
        <f>VLOOKUP(A110,'China Production data'!$A$1:$C$508,3,FALSE)</f>
        <v/>
      </c>
    </row>
    <row r="111">
      <c r="A111" s="73" t="n">
        <v>36099</v>
      </c>
      <c r="B111" s="67">
        <f>VLOOKUP(A111,'China Production data'!$A$1:$C$508,3,FALSE)</f>
        <v/>
      </c>
    </row>
    <row r="112">
      <c r="A112" s="74" t="n">
        <v>36129</v>
      </c>
      <c r="B112" s="67">
        <f>VLOOKUP(A112,'China Production data'!$A$1:$C$508,3,FALSE)</f>
        <v/>
      </c>
    </row>
    <row r="113">
      <c r="A113" s="73" t="n">
        <v>36160</v>
      </c>
      <c r="B113" s="67">
        <f>VLOOKUP(A113,'China Production data'!$A$1:$C$508,3,FALSE)</f>
        <v/>
      </c>
    </row>
    <row r="114">
      <c r="A114" s="74" t="n">
        <v>36191</v>
      </c>
      <c r="B114" s="67">
        <f>VLOOKUP(A114,'China Production data'!$A$1:$C$508,3,FALSE)</f>
        <v/>
      </c>
    </row>
    <row r="115">
      <c r="A115" s="73" t="n">
        <v>36219</v>
      </c>
      <c r="B115" s="67">
        <f>VLOOKUP(A115,'China Production data'!$A$1:$C$508,3,FALSE)</f>
        <v/>
      </c>
    </row>
    <row r="116">
      <c r="A116" s="74" t="n">
        <v>36250</v>
      </c>
      <c r="B116" s="67">
        <f>VLOOKUP(A116,'China Production data'!$A$1:$C$508,3,FALSE)</f>
        <v/>
      </c>
    </row>
    <row r="117">
      <c r="A117" s="73" t="n">
        <v>36280</v>
      </c>
      <c r="B117" s="67">
        <f>VLOOKUP(A117,'China Production data'!$A$1:$C$508,3,FALSE)</f>
        <v/>
      </c>
    </row>
    <row r="118">
      <c r="A118" s="74" t="n">
        <v>36311</v>
      </c>
      <c r="B118" s="67">
        <f>VLOOKUP(A118,'China Production data'!$A$1:$C$508,3,FALSE)</f>
        <v/>
      </c>
    </row>
    <row r="119">
      <c r="A119" s="73" t="n">
        <v>36341</v>
      </c>
      <c r="B119" s="67">
        <f>VLOOKUP(A119,'China Production data'!$A$1:$C$508,3,FALSE)</f>
        <v/>
      </c>
    </row>
    <row r="120">
      <c r="A120" s="74" t="n">
        <v>36372</v>
      </c>
      <c r="B120" s="67">
        <f>VLOOKUP(A120,'China Production data'!$A$1:$C$508,3,FALSE)</f>
        <v/>
      </c>
    </row>
    <row r="121">
      <c r="A121" s="73" t="n">
        <v>36403</v>
      </c>
      <c r="B121" s="67">
        <f>VLOOKUP(A121,'China Production data'!$A$1:$C$508,3,FALSE)</f>
        <v/>
      </c>
    </row>
    <row r="122">
      <c r="A122" s="74" t="n">
        <v>36433</v>
      </c>
      <c r="B122" s="67">
        <f>VLOOKUP(A122,'China Production data'!$A$1:$C$508,3,FALSE)</f>
        <v/>
      </c>
    </row>
    <row r="123">
      <c r="A123" s="73" t="n">
        <v>36464</v>
      </c>
      <c r="B123" s="67">
        <f>VLOOKUP(A123,'China Production data'!$A$1:$C$508,3,FALSE)</f>
        <v/>
      </c>
    </row>
    <row r="124">
      <c r="A124" s="74" t="n">
        <v>36494</v>
      </c>
      <c r="B124" s="67">
        <f>VLOOKUP(A124,'China Production data'!$A$1:$C$508,3,FALSE)</f>
        <v/>
      </c>
    </row>
    <row r="125">
      <c r="A125" s="73" t="n">
        <v>36525</v>
      </c>
      <c r="B125" s="67">
        <f>VLOOKUP(A125,'China Production data'!$A$1:$C$508,3,FALSE)</f>
        <v/>
      </c>
    </row>
    <row r="126">
      <c r="A126" s="74" t="n">
        <v>36556</v>
      </c>
      <c r="B126" s="67">
        <f>VLOOKUP(A126,'China Production data'!$A$1:$C$508,3,FALSE)</f>
        <v/>
      </c>
    </row>
    <row r="127">
      <c r="A127" s="73" t="n">
        <v>36585</v>
      </c>
      <c r="B127" s="67">
        <f>VLOOKUP(A127,'China Production data'!$A$1:$C$508,3,FALSE)</f>
        <v/>
      </c>
    </row>
    <row r="128">
      <c r="A128" s="74" t="n">
        <v>36616</v>
      </c>
      <c r="B128" s="67">
        <f>VLOOKUP(A128,'China Production data'!$A$1:$C$508,3,FALSE)</f>
        <v/>
      </c>
    </row>
    <row r="129">
      <c r="A129" s="73" t="n">
        <v>36646</v>
      </c>
      <c r="B129" s="67">
        <f>VLOOKUP(A129,'China Production data'!$A$1:$C$508,3,FALSE)</f>
        <v/>
      </c>
    </row>
    <row r="130">
      <c r="A130" s="74" t="n">
        <v>36677</v>
      </c>
      <c r="B130" s="67">
        <f>VLOOKUP(A130,'China Production data'!$A$1:$C$508,3,FALSE)</f>
        <v/>
      </c>
    </row>
    <row r="131">
      <c r="A131" s="73" t="n">
        <v>36707</v>
      </c>
      <c r="B131" s="67">
        <f>VLOOKUP(A131,'China Production data'!$A$1:$C$508,3,FALSE)</f>
        <v/>
      </c>
    </row>
    <row r="132">
      <c r="A132" s="74" t="n">
        <v>36738</v>
      </c>
      <c r="B132" s="67">
        <f>VLOOKUP(A132,'China Production data'!$A$1:$C$508,3,FALSE)</f>
        <v/>
      </c>
    </row>
    <row r="133">
      <c r="A133" s="73" t="n">
        <v>36769</v>
      </c>
      <c r="B133" s="67">
        <f>VLOOKUP(A133,'China Production data'!$A$1:$C$508,3,FALSE)</f>
        <v/>
      </c>
    </row>
    <row r="134">
      <c r="A134" s="74" t="n">
        <v>36799</v>
      </c>
      <c r="B134" s="67">
        <f>VLOOKUP(A134,'China Production data'!$A$1:$C$508,3,FALSE)</f>
        <v/>
      </c>
    </row>
    <row r="135">
      <c r="A135" s="73" t="n">
        <v>36830</v>
      </c>
      <c r="B135" s="67">
        <f>VLOOKUP(A135,'China Production data'!$A$1:$C$508,3,FALSE)</f>
        <v/>
      </c>
    </row>
    <row r="136">
      <c r="A136" s="74" t="n">
        <v>36860</v>
      </c>
      <c r="B136" s="67">
        <f>VLOOKUP(A136,'China Production data'!$A$1:$C$508,3,FALSE)</f>
        <v/>
      </c>
    </row>
    <row r="137">
      <c r="A137" s="73" t="n">
        <v>36891</v>
      </c>
      <c r="B137" s="67">
        <f>VLOOKUP(A137,'China Production data'!$A$1:$C$508,3,FALSE)</f>
        <v/>
      </c>
    </row>
    <row r="138">
      <c r="A138" s="74" t="n">
        <v>36922</v>
      </c>
      <c r="B138" s="67">
        <f>VLOOKUP(A138,'China Production data'!$A$1:$C$508,3,FALSE)</f>
        <v/>
      </c>
    </row>
    <row r="139">
      <c r="A139" s="73" t="n">
        <v>36950</v>
      </c>
      <c r="B139" s="67">
        <f>VLOOKUP(A139,'China Production data'!$A$1:$C$508,3,FALSE)</f>
        <v/>
      </c>
    </row>
    <row r="140">
      <c r="A140" s="74" t="n">
        <v>36981</v>
      </c>
      <c r="B140" s="67">
        <f>VLOOKUP(A140,'China Production data'!$A$1:$C$508,3,FALSE)</f>
        <v/>
      </c>
    </row>
    <row r="141">
      <c r="A141" s="73" t="n">
        <v>37011</v>
      </c>
      <c r="B141" s="67">
        <f>VLOOKUP(A141,'China Production data'!$A$1:$C$508,3,FALSE)</f>
        <v/>
      </c>
    </row>
    <row r="142">
      <c r="A142" s="74" t="n">
        <v>37042</v>
      </c>
      <c r="B142" s="67">
        <f>VLOOKUP(A142,'China Production data'!$A$1:$C$508,3,FALSE)</f>
        <v/>
      </c>
    </row>
    <row r="143">
      <c r="A143" s="73" t="n">
        <v>37072</v>
      </c>
      <c r="B143" s="67">
        <f>VLOOKUP(A143,'China Production data'!$A$1:$C$508,3,FALSE)</f>
        <v/>
      </c>
    </row>
    <row r="144">
      <c r="A144" s="74" t="n">
        <v>37103</v>
      </c>
      <c r="B144" s="67">
        <f>VLOOKUP(A144,'China Production data'!$A$1:$C$508,3,FALSE)</f>
        <v/>
      </c>
    </row>
    <row r="145">
      <c r="A145" s="73" t="n">
        <v>37134</v>
      </c>
      <c r="B145" s="67">
        <f>VLOOKUP(A145,'China Production data'!$A$1:$C$508,3,FALSE)</f>
        <v/>
      </c>
    </row>
    <row r="146">
      <c r="A146" s="74" t="n">
        <v>37164</v>
      </c>
      <c r="B146" s="67">
        <f>VLOOKUP(A146,'China Production data'!$A$1:$C$508,3,FALSE)</f>
        <v/>
      </c>
    </row>
    <row r="147">
      <c r="A147" s="73" t="n">
        <v>37195</v>
      </c>
      <c r="B147" s="67">
        <f>VLOOKUP(A147,'China Production data'!$A$1:$C$508,3,FALSE)</f>
        <v/>
      </c>
    </row>
    <row r="148">
      <c r="A148" s="74" t="n">
        <v>37225</v>
      </c>
      <c r="B148" s="67">
        <f>VLOOKUP(A148,'China Production data'!$A$1:$C$508,3,FALSE)</f>
        <v/>
      </c>
    </row>
    <row r="149">
      <c r="A149" s="73" t="n">
        <v>37256</v>
      </c>
      <c r="B149" s="67">
        <f>VLOOKUP(A149,'China Production data'!$A$1:$C$508,3,FALSE)</f>
        <v/>
      </c>
    </row>
    <row r="150">
      <c r="A150" s="74" t="n">
        <v>37287</v>
      </c>
      <c r="B150" s="67">
        <f>VLOOKUP(A150,'China Production data'!$A$1:$C$508,3,FALSE)</f>
        <v/>
      </c>
    </row>
    <row r="151">
      <c r="A151" s="73" t="n">
        <v>37315</v>
      </c>
      <c r="B151" s="67">
        <f>VLOOKUP(A151,'China Production data'!$A$1:$C$508,3,FALSE)</f>
        <v/>
      </c>
    </row>
    <row r="152">
      <c r="A152" s="74" t="n">
        <v>37346</v>
      </c>
      <c r="B152" s="67">
        <f>VLOOKUP(A152,'China Production data'!$A$1:$C$508,3,FALSE)</f>
        <v/>
      </c>
    </row>
    <row r="153">
      <c r="A153" s="73" t="n">
        <v>37376</v>
      </c>
      <c r="B153" s="67">
        <f>VLOOKUP(A153,'China Production data'!$A$1:$C$508,3,FALSE)</f>
        <v/>
      </c>
    </row>
    <row r="154">
      <c r="A154" s="74" t="n">
        <v>37407</v>
      </c>
      <c r="B154" s="67">
        <f>VLOOKUP(A154,'China Production data'!$A$1:$C$508,3,FALSE)</f>
        <v/>
      </c>
    </row>
    <row r="155">
      <c r="A155" s="73" t="n">
        <v>37437</v>
      </c>
      <c r="B155" s="67">
        <f>VLOOKUP(A155,'China Production data'!$A$1:$C$508,3,FALSE)</f>
        <v/>
      </c>
    </row>
    <row r="156">
      <c r="A156" s="74" t="n">
        <v>37468</v>
      </c>
      <c r="B156" s="67">
        <f>VLOOKUP(A156,'China Production data'!$A$1:$C$508,3,FALSE)</f>
        <v/>
      </c>
    </row>
    <row r="157">
      <c r="A157" s="73" t="n">
        <v>37499</v>
      </c>
      <c r="B157" s="67">
        <f>VLOOKUP(A157,'China Production data'!$A$1:$C$508,3,FALSE)</f>
        <v/>
      </c>
    </row>
    <row r="158">
      <c r="A158" s="74" t="n">
        <v>37529</v>
      </c>
      <c r="B158" s="67">
        <f>VLOOKUP(A158,'China Production data'!$A$1:$C$508,3,FALSE)</f>
        <v/>
      </c>
    </row>
    <row r="159">
      <c r="A159" s="68" t="n">
        <v>37560</v>
      </c>
      <c r="B159" s="67">
        <f>VLOOKUP(A159,'China Production data'!$A$1:$C$508,3,FALSE)</f>
        <v/>
      </c>
    </row>
    <row r="160">
      <c r="A160" s="75" t="n">
        <v>37590</v>
      </c>
      <c r="B160" s="67">
        <f>VLOOKUP(A160,'China Production data'!$A$1:$C$508,3,FALSE)</f>
        <v/>
      </c>
      <c r="C160" s="76" t="n"/>
    </row>
    <row r="161">
      <c r="A161" s="77" t="n">
        <v>37621</v>
      </c>
      <c r="B161" s="67">
        <f>VLOOKUP(A161,'China Production data'!$A$1:$C$508,3,FALSE)</f>
        <v/>
      </c>
      <c r="C161" s="76" t="n"/>
    </row>
    <row r="162">
      <c r="A162" s="75" t="n">
        <v>37652</v>
      </c>
      <c r="B162" s="67">
        <f>VLOOKUP(A162,'China Production data'!$A$1:$C$508,3,FALSE)</f>
        <v/>
      </c>
      <c r="C162" s="76" t="n"/>
    </row>
    <row r="163">
      <c r="A163" s="77" t="n">
        <v>37680</v>
      </c>
      <c r="B163" s="67">
        <f>VLOOKUP(A163,'China Production data'!$A$1:$C$508,3,FALSE)</f>
        <v/>
      </c>
      <c r="C163" s="76" t="n"/>
    </row>
    <row r="164">
      <c r="A164" s="75" t="n">
        <v>37711</v>
      </c>
      <c r="B164" s="67">
        <f>VLOOKUP(A164,'China Production data'!$A$1:$C$508,3,FALSE)</f>
        <v/>
      </c>
      <c r="C164" s="76" t="n"/>
    </row>
    <row r="165">
      <c r="A165" s="77" t="n">
        <v>37741</v>
      </c>
      <c r="B165" s="67">
        <f>VLOOKUP(A165,'China Production data'!$A$1:$C$508,3,FALSE)</f>
        <v/>
      </c>
      <c r="C165" s="76" t="n"/>
    </row>
    <row r="166">
      <c r="A166" s="75" t="n">
        <v>37772</v>
      </c>
      <c r="B166" s="67">
        <f>VLOOKUP(A166,'China Production data'!$A$1:$C$508,3,FALSE)</f>
        <v/>
      </c>
      <c r="C166" s="76" t="n"/>
    </row>
    <row r="167">
      <c r="A167" s="77" t="n">
        <v>37802</v>
      </c>
      <c r="B167" s="67">
        <f>VLOOKUP(A167,'China Production data'!$A$1:$C$508,3,FALSE)</f>
        <v/>
      </c>
      <c r="C167" s="76" t="n"/>
    </row>
    <row r="168">
      <c r="A168" s="75" t="n">
        <v>37833</v>
      </c>
      <c r="B168" s="67">
        <f>VLOOKUP(A168,'China Production data'!$A$1:$C$508,3,FALSE)</f>
        <v/>
      </c>
      <c r="C168" s="76" t="n"/>
    </row>
    <row r="169">
      <c r="A169" s="77" t="n">
        <v>37864</v>
      </c>
      <c r="B169" s="67">
        <f>VLOOKUP(A169,'China Production data'!$A$1:$C$508,3,FALSE)</f>
        <v/>
      </c>
      <c r="C169" s="76" t="n"/>
    </row>
    <row r="170">
      <c r="A170" s="75" t="n">
        <v>37894</v>
      </c>
      <c r="B170" s="67">
        <f>VLOOKUP(A170,'China Production data'!$A$1:$C$508,3,FALSE)</f>
        <v/>
      </c>
      <c r="C170" s="76" t="n"/>
    </row>
    <row r="171">
      <c r="A171" s="77" t="n">
        <v>37925</v>
      </c>
      <c r="B171" s="67">
        <f>VLOOKUP(A171,'China Production data'!$A$1:$C$508,3,FALSE)</f>
        <v/>
      </c>
      <c r="C171" s="76" t="n"/>
    </row>
    <row r="172">
      <c r="A172" s="75" t="n">
        <v>37955</v>
      </c>
      <c r="B172" s="67">
        <f>VLOOKUP(A172,'China Production data'!$A$1:$C$508,3,FALSE)</f>
        <v/>
      </c>
      <c r="C172" s="76" t="n"/>
    </row>
    <row r="173">
      <c r="A173" s="77" t="n">
        <v>37986</v>
      </c>
      <c r="B173" s="67">
        <f>VLOOKUP(A173,'China Production data'!$A$1:$C$508,3,FALSE)</f>
        <v/>
      </c>
      <c r="C173" s="76" t="n"/>
    </row>
    <row r="174">
      <c r="A174" s="75" t="n">
        <v>38017</v>
      </c>
      <c r="B174" s="67">
        <f>VLOOKUP(A174,'China Production data'!$A$1:$C$508,3,FALSE)</f>
        <v/>
      </c>
      <c r="C174" s="76" t="n"/>
    </row>
    <row r="175">
      <c r="A175" s="77" t="n">
        <v>38046</v>
      </c>
      <c r="B175" s="67">
        <f>VLOOKUP(A175,'China Production data'!$A$1:$C$508,3,FALSE)</f>
        <v/>
      </c>
      <c r="C175" s="76" t="n"/>
    </row>
    <row r="176">
      <c r="A176" s="75" t="n">
        <v>38077</v>
      </c>
      <c r="B176" s="67">
        <f>VLOOKUP(A176,'China Production data'!$A$1:$C$508,3,FALSE)</f>
        <v/>
      </c>
      <c r="C176" s="76" t="n"/>
    </row>
    <row r="177">
      <c r="A177" s="77" t="n">
        <v>38107</v>
      </c>
      <c r="B177" s="67">
        <f>VLOOKUP(A177,'China Production data'!$A$1:$C$508,3,FALSE)</f>
        <v/>
      </c>
      <c r="C177" s="76" t="n"/>
    </row>
    <row r="178">
      <c r="A178" s="75" t="n">
        <v>38138</v>
      </c>
      <c r="B178" s="67">
        <f>VLOOKUP(A178,'China Production data'!$A$1:$C$508,3,FALSE)</f>
        <v/>
      </c>
      <c r="C178" s="76" t="n"/>
    </row>
    <row r="179">
      <c r="A179" s="77" t="n">
        <v>38168</v>
      </c>
      <c r="B179" s="67">
        <f>VLOOKUP(A179,'China Production data'!$A$1:$C$508,3,FALSE)</f>
        <v/>
      </c>
      <c r="C179" s="76" t="n"/>
    </row>
    <row r="180">
      <c r="A180" s="75" t="n">
        <v>38199</v>
      </c>
      <c r="B180" s="67">
        <f>VLOOKUP(A180,'China Production data'!$A$1:$C$508,3,FALSE)</f>
        <v/>
      </c>
      <c r="C180" s="76" t="n"/>
    </row>
    <row r="181">
      <c r="A181" s="77" t="n">
        <v>38230</v>
      </c>
      <c r="B181" s="67">
        <f>VLOOKUP(A181,'China Production data'!$A$1:$C$508,3,FALSE)</f>
        <v/>
      </c>
      <c r="C181" s="76" t="n"/>
    </row>
    <row r="182">
      <c r="A182" s="75" t="n">
        <v>38260</v>
      </c>
      <c r="B182" s="67">
        <f>VLOOKUP(A182,'China Production data'!$A$1:$C$508,3,FALSE)</f>
        <v/>
      </c>
      <c r="C182" s="76" t="n"/>
    </row>
    <row r="183">
      <c r="A183" s="77" t="n">
        <v>38291</v>
      </c>
      <c r="B183" s="67">
        <f>VLOOKUP(A183,'China Production data'!$A$1:$C$508,3,FALSE)</f>
        <v/>
      </c>
      <c r="C183" s="76" t="n"/>
    </row>
    <row r="184">
      <c r="A184" s="75" t="n">
        <v>38321</v>
      </c>
      <c r="B184" s="67">
        <f>VLOOKUP(A184,'China Production data'!$A$1:$C$508,3,FALSE)</f>
        <v/>
      </c>
      <c r="C184" s="76" t="n"/>
    </row>
    <row r="185">
      <c r="A185" s="77" t="n">
        <v>38352</v>
      </c>
      <c r="B185" s="67">
        <f>VLOOKUP(A185,'China Production data'!$A$1:$C$508,3,FALSE)</f>
        <v/>
      </c>
      <c r="C185" s="76" t="n"/>
    </row>
    <row r="186">
      <c r="A186" s="75" t="n">
        <v>38383</v>
      </c>
      <c r="B186" s="67">
        <f>VLOOKUP(A186,'China Production data'!$A$1:$C$508,3,FALSE)</f>
        <v/>
      </c>
      <c r="C186" s="76">
        <f>VLOOKUP(A186,'China Production data'!$A$1:$C$508,2,FALSE)</f>
        <v/>
      </c>
    </row>
    <row r="187">
      <c r="A187" s="75" t="n">
        <v>38411</v>
      </c>
      <c r="B187" s="67">
        <f>VLOOKUP(A187,'China Production data'!$A$1:$C$508,3,FALSE)</f>
        <v/>
      </c>
      <c r="C187" s="76">
        <f>VLOOKUP(A187,'China Production data'!$A$1:$C$508,2,FALSE)</f>
        <v/>
      </c>
    </row>
    <row r="188">
      <c r="A188" s="77" t="n">
        <v>38442</v>
      </c>
      <c r="B188" s="67">
        <f>VLOOKUP(A188,'China Production data'!$A$1:$C$508,3,FALSE)</f>
        <v/>
      </c>
      <c r="C188" s="76">
        <f>VLOOKUP(A188,'China Production data'!$A$1:$C$508,2,FALSE)</f>
        <v/>
      </c>
    </row>
    <row r="189">
      <c r="A189" s="75" t="n">
        <v>38472</v>
      </c>
      <c r="B189" s="67">
        <f>VLOOKUP(A189,'China Production data'!$A$1:$C$508,3,FALSE)</f>
        <v/>
      </c>
      <c r="C189" s="76">
        <f>VLOOKUP(A189,'China Production data'!$A$1:$C$508,2,FALSE)</f>
        <v/>
      </c>
    </row>
    <row r="190">
      <c r="A190" s="77" t="n">
        <v>38503</v>
      </c>
      <c r="B190" s="67">
        <f>VLOOKUP(A190,'China Production data'!$A$1:$C$508,3,FALSE)</f>
        <v/>
      </c>
      <c r="C190" s="76">
        <f>VLOOKUP(A190,'China Production data'!$A$1:$C$508,2,FALSE)</f>
        <v/>
      </c>
    </row>
    <row r="191">
      <c r="A191" s="75" t="n">
        <v>38533</v>
      </c>
      <c r="B191" s="67">
        <f>VLOOKUP(A191,'China Production data'!$A$1:$C$508,3,FALSE)</f>
        <v/>
      </c>
      <c r="C191" s="76">
        <f>VLOOKUP(A191,'China Production data'!$A$1:$C$508,2,FALSE)</f>
        <v/>
      </c>
    </row>
    <row r="192">
      <c r="A192" s="77" t="n">
        <v>38564</v>
      </c>
      <c r="B192" s="67">
        <f>VLOOKUP(A192,'China Production data'!$A$1:$C$508,3,FALSE)</f>
        <v/>
      </c>
      <c r="C192" s="76">
        <f>VLOOKUP(A192,'China Production data'!$A$1:$C$508,2,FALSE)</f>
        <v/>
      </c>
    </row>
    <row r="193">
      <c r="A193" s="75" t="n">
        <v>38595</v>
      </c>
      <c r="B193" s="67">
        <f>VLOOKUP(A193,'China Production data'!$A$1:$C$508,3,FALSE)</f>
        <v/>
      </c>
      <c r="C193" s="76">
        <f>VLOOKUP(A193,'China Production data'!$A$1:$C$508,2,FALSE)</f>
        <v/>
      </c>
    </row>
    <row r="194">
      <c r="A194" s="77" t="n">
        <v>38625</v>
      </c>
      <c r="B194" s="67">
        <f>VLOOKUP(A194,'China Production data'!$A$1:$C$508,3,FALSE)</f>
        <v/>
      </c>
      <c r="C194" s="76">
        <f>VLOOKUP(A194,'China Production data'!$A$1:$C$508,2,FALSE)</f>
        <v/>
      </c>
    </row>
    <row r="195">
      <c r="A195" s="75" t="n">
        <v>38656</v>
      </c>
      <c r="B195" s="67">
        <f>VLOOKUP(A195,'China Production data'!$A$1:$C$508,3,FALSE)</f>
        <v/>
      </c>
      <c r="C195" s="76">
        <f>VLOOKUP(A195,'China Production data'!$A$1:$C$508,2,FALSE)</f>
        <v/>
      </c>
    </row>
    <row r="196">
      <c r="A196" s="77" t="n">
        <v>38686</v>
      </c>
      <c r="B196" s="67">
        <f>VLOOKUP(A196,'China Production data'!$A$1:$C$508,3,FALSE)</f>
        <v/>
      </c>
      <c r="C196" s="76">
        <f>VLOOKUP(A196,'China Production data'!$A$1:$C$508,2,FALSE)</f>
        <v/>
      </c>
    </row>
    <row r="197">
      <c r="A197" s="75" t="n">
        <v>38717</v>
      </c>
      <c r="B197" s="67">
        <f>VLOOKUP(A197,'China Production data'!$A$1:$C$508,3,FALSE)</f>
        <v/>
      </c>
      <c r="C197" s="76">
        <f>VLOOKUP(A197,'China Production data'!$A$1:$C$508,2,FALSE)</f>
        <v/>
      </c>
    </row>
    <row r="198">
      <c r="A198" s="75" t="n">
        <v>38776</v>
      </c>
      <c r="B198" s="67">
        <f>VLOOKUP(A198,'China Production data'!$A$1:$C$508,3,FALSE)</f>
        <v/>
      </c>
      <c r="C198" s="76">
        <f>VLOOKUP(A198,'China Production data'!$A$1:$C$508,2,FALSE)</f>
        <v/>
      </c>
    </row>
    <row r="199">
      <c r="A199" s="77" t="n">
        <v>38807</v>
      </c>
      <c r="B199" s="67">
        <f>VLOOKUP(A199,'China Production data'!$A$1:$C$508,3,FALSE)</f>
        <v/>
      </c>
      <c r="C199" s="76">
        <f>VLOOKUP(A199,'China Production data'!$A$1:$C$508,2,FALSE)</f>
        <v/>
      </c>
    </row>
    <row r="200">
      <c r="A200" s="75" t="n">
        <v>38837</v>
      </c>
      <c r="B200" s="67">
        <f>VLOOKUP(A200,'China Production data'!$A$1:$C$508,3,FALSE)</f>
        <v/>
      </c>
      <c r="C200" s="76">
        <f>VLOOKUP(A200,'China Production data'!$A$1:$C$508,2,FALSE)</f>
        <v/>
      </c>
    </row>
    <row r="201">
      <c r="A201" s="77" t="n">
        <v>38868</v>
      </c>
      <c r="B201" s="67">
        <f>VLOOKUP(A201,'China Production data'!$A$1:$C$508,3,FALSE)</f>
        <v/>
      </c>
      <c r="C201" s="76">
        <f>VLOOKUP(A201,'China Production data'!$A$1:$C$508,2,FALSE)</f>
        <v/>
      </c>
    </row>
    <row r="202">
      <c r="A202" s="75" t="n">
        <v>38898</v>
      </c>
      <c r="B202" s="67">
        <f>VLOOKUP(A202,'China Production data'!$A$1:$C$508,3,FALSE)</f>
        <v/>
      </c>
      <c r="C202" s="76">
        <f>VLOOKUP(A202,'China Production data'!$A$1:$C$508,2,FALSE)</f>
        <v/>
      </c>
    </row>
    <row r="203">
      <c r="A203" s="77" t="n">
        <v>38929</v>
      </c>
      <c r="B203" s="67">
        <f>VLOOKUP(A203,'China Production data'!$A$1:$C$508,3,FALSE)</f>
        <v/>
      </c>
      <c r="C203" s="76">
        <f>VLOOKUP(A203,'China Production data'!$A$1:$C$508,2,FALSE)</f>
        <v/>
      </c>
    </row>
    <row r="204">
      <c r="A204" s="75" t="n">
        <v>38960</v>
      </c>
      <c r="B204" s="67">
        <f>VLOOKUP(A204,'China Production data'!$A$1:$C$508,3,FALSE)</f>
        <v/>
      </c>
      <c r="C204" s="76">
        <f>VLOOKUP(A204,'China Production data'!$A$1:$C$508,2,FALSE)</f>
        <v/>
      </c>
    </row>
    <row r="205">
      <c r="A205" s="77" t="n">
        <v>38990</v>
      </c>
      <c r="B205" s="67">
        <f>VLOOKUP(A205,'China Production data'!$A$1:$C$508,3,FALSE)</f>
        <v/>
      </c>
      <c r="C205" s="76">
        <f>VLOOKUP(A205,'China Production data'!$A$1:$C$508,2,FALSE)</f>
        <v/>
      </c>
    </row>
    <row r="206">
      <c r="A206" s="75" t="n">
        <v>39021</v>
      </c>
      <c r="B206" s="67">
        <f>VLOOKUP(A206,'China Production data'!$A$1:$C$508,3,FALSE)</f>
        <v/>
      </c>
      <c r="C206" s="76">
        <f>VLOOKUP(A206,'China Production data'!$A$1:$C$508,2,FALSE)</f>
        <v/>
      </c>
    </row>
    <row r="207">
      <c r="A207" s="77" t="n">
        <v>39051</v>
      </c>
      <c r="B207" s="67">
        <f>VLOOKUP(A207,'China Production data'!$A$1:$C$508,3,FALSE)</f>
        <v/>
      </c>
      <c r="C207" s="76">
        <f>VLOOKUP(A207,'China Production data'!$A$1:$C$508,2,FALSE)</f>
        <v/>
      </c>
    </row>
    <row r="208">
      <c r="A208" s="75" t="n">
        <v>39082</v>
      </c>
      <c r="B208" s="67">
        <f>VLOOKUP(A208,'China Production data'!$A$1:$C$508,3,FALSE)</f>
        <v/>
      </c>
      <c r="C208" s="76">
        <f>VLOOKUP(A208,'China Production data'!$A$1:$C$508,2,FALSE)</f>
        <v/>
      </c>
    </row>
    <row r="209">
      <c r="A209" s="77" t="n">
        <v>39141</v>
      </c>
      <c r="B209" s="67">
        <f>VLOOKUP(A209,'China Production data'!$A$1:$C$508,3,FALSE)</f>
        <v/>
      </c>
      <c r="C209" s="76">
        <f>VLOOKUP(A209,'China Production data'!$A$1:$C$508,2,FALSE)</f>
        <v/>
      </c>
    </row>
    <row r="210">
      <c r="A210" s="77" t="n">
        <v>39172</v>
      </c>
      <c r="B210" s="67">
        <f>VLOOKUP(A210,'China Production data'!$A$1:$C$508,3,FALSE)</f>
        <v/>
      </c>
      <c r="C210" s="76">
        <f>VLOOKUP(A210,'China Production data'!$A$1:$C$508,2,FALSE)</f>
        <v/>
      </c>
    </row>
    <row r="211">
      <c r="A211" s="75" t="n">
        <v>39202</v>
      </c>
      <c r="B211" s="67">
        <f>VLOOKUP(A211,'China Production data'!$A$1:$C$508,3,FALSE)</f>
        <v/>
      </c>
      <c r="C211" s="76">
        <f>VLOOKUP(A211,'China Production data'!$A$1:$C$508,2,FALSE)</f>
        <v/>
      </c>
    </row>
    <row r="212">
      <c r="A212" s="77" t="n">
        <v>39233</v>
      </c>
      <c r="B212" s="67">
        <f>VLOOKUP(A212,'China Production data'!$A$1:$C$508,3,FALSE)</f>
        <v/>
      </c>
      <c r="C212" s="76">
        <f>VLOOKUP(A212,'China Production data'!$A$1:$C$508,2,FALSE)</f>
        <v/>
      </c>
    </row>
    <row r="213">
      <c r="A213" s="75" t="n">
        <v>39263</v>
      </c>
      <c r="B213" s="67">
        <f>VLOOKUP(A213,'China Production data'!$A$1:$C$508,3,FALSE)</f>
        <v/>
      </c>
      <c r="C213" s="76">
        <f>VLOOKUP(A213,'China Production data'!$A$1:$C$508,2,FALSE)</f>
        <v/>
      </c>
    </row>
    <row r="214">
      <c r="A214" s="77" t="n">
        <v>39294</v>
      </c>
      <c r="B214" s="67">
        <f>VLOOKUP(A214,'China Production data'!$A$1:$C$508,3,FALSE)</f>
        <v/>
      </c>
      <c r="C214" s="76">
        <f>VLOOKUP(A214,'China Production data'!$A$1:$C$508,2,FALSE)</f>
        <v/>
      </c>
    </row>
    <row r="215">
      <c r="A215" s="75" t="n">
        <v>39325</v>
      </c>
      <c r="B215" s="67">
        <f>VLOOKUP(A215,'China Production data'!$A$1:$C$508,3,FALSE)</f>
        <v/>
      </c>
      <c r="C215" s="76">
        <f>VLOOKUP(A215,'China Production data'!$A$1:$C$508,2,FALSE)</f>
        <v/>
      </c>
    </row>
    <row r="216">
      <c r="A216" s="77" t="n">
        <v>39355</v>
      </c>
      <c r="B216" s="67">
        <f>VLOOKUP(A216,'China Production data'!$A$1:$C$508,3,FALSE)</f>
        <v/>
      </c>
      <c r="C216" s="76">
        <f>VLOOKUP(A216,'China Production data'!$A$1:$C$508,2,FALSE)</f>
        <v/>
      </c>
    </row>
    <row r="217">
      <c r="A217" s="75" t="n">
        <v>39386</v>
      </c>
      <c r="B217" s="67">
        <f>VLOOKUP(A217,'China Production data'!$A$1:$C$508,3,FALSE)</f>
        <v/>
      </c>
      <c r="C217" s="76">
        <f>VLOOKUP(A217,'China Production data'!$A$1:$C$508,2,FALSE)</f>
        <v/>
      </c>
    </row>
    <row r="218">
      <c r="A218" s="77" t="n">
        <v>39416</v>
      </c>
      <c r="B218" s="67">
        <f>VLOOKUP(A218,'China Production data'!$A$1:$C$508,3,FALSE)</f>
        <v/>
      </c>
      <c r="C218" s="76">
        <f>VLOOKUP(A218,'China Production data'!$A$1:$C$508,2,FALSE)</f>
        <v/>
      </c>
    </row>
    <row r="219">
      <c r="A219" s="75" t="n">
        <v>39447</v>
      </c>
      <c r="B219" s="67">
        <f>VLOOKUP(A219,'China Production data'!$A$1:$C$508,3,FALSE)</f>
        <v/>
      </c>
      <c r="C219" s="76">
        <f>VLOOKUP(A219,'China Production data'!$A$1:$C$508,2,FALSE)</f>
        <v/>
      </c>
    </row>
    <row r="220">
      <c r="A220" s="77" t="n">
        <v>39507</v>
      </c>
      <c r="B220" s="67">
        <f>VLOOKUP(A220,'China Production data'!$A$1:$C$508,3,FALSE)</f>
        <v/>
      </c>
      <c r="C220" s="76">
        <f>VLOOKUP(A220,'China Production data'!$A$1:$C$508,2,FALSE)</f>
        <v/>
      </c>
    </row>
    <row r="221">
      <c r="A221" s="75" t="n">
        <v>39538</v>
      </c>
      <c r="B221" s="67">
        <f>VLOOKUP(A221,'China Production data'!$A$1:$C$508,3,FALSE)</f>
        <v/>
      </c>
      <c r="C221" s="76">
        <f>VLOOKUP(A221,'China Production data'!$A$1:$C$508,2,FALSE)</f>
        <v/>
      </c>
    </row>
    <row r="222">
      <c r="A222" s="77" t="n">
        <v>39568</v>
      </c>
      <c r="B222" s="67">
        <f>VLOOKUP(A222,'China Production data'!$A$1:$C$508,3,FALSE)</f>
        <v/>
      </c>
      <c r="C222" s="76">
        <f>VLOOKUP(A222,'China Production data'!$A$1:$C$508,2,FALSE)</f>
        <v/>
      </c>
    </row>
    <row r="223">
      <c r="A223" s="75" t="n">
        <v>39599</v>
      </c>
      <c r="B223" s="67">
        <f>VLOOKUP(A223,'China Production data'!$A$1:$C$508,3,FALSE)</f>
        <v/>
      </c>
      <c r="C223" s="76">
        <f>VLOOKUP(A223,'China Production data'!$A$1:$C$508,2,FALSE)</f>
        <v/>
      </c>
    </row>
    <row r="224">
      <c r="A224" s="77" t="n">
        <v>39629</v>
      </c>
      <c r="B224" s="67">
        <f>VLOOKUP(A224,'China Production data'!$A$1:$C$508,3,FALSE)</f>
        <v/>
      </c>
      <c r="C224" s="76">
        <f>VLOOKUP(A224,'China Production data'!$A$1:$C$508,2,FALSE)</f>
        <v/>
      </c>
    </row>
    <row r="225">
      <c r="A225" s="75" t="n">
        <v>39660</v>
      </c>
      <c r="B225" s="67">
        <f>VLOOKUP(A225,'China Production data'!$A$1:$C$508,3,FALSE)</f>
        <v/>
      </c>
      <c r="C225" s="76">
        <f>VLOOKUP(A225,'China Production data'!$A$1:$C$508,2,FALSE)</f>
        <v/>
      </c>
    </row>
    <row r="226">
      <c r="A226" s="77" t="n">
        <v>39691</v>
      </c>
      <c r="B226" s="67">
        <f>VLOOKUP(A226,'China Production data'!$A$1:$C$508,3,FALSE)</f>
        <v/>
      </c>
      <c r="C226" s="76">
        <f>VLOOKUP(A226,'China Production data'!$A$1:$C$508,2,FALSE)</f>
        <v/>
      </c>
    </row>
    <row r="227">
      <c r="A227" s="75" t="n">
        <v>39721</v>
      </c>
      <c r="B227" s="67">
        <f>VLOOKUP(A227,'China Production data'!$A$1:$C$508,3,FALSE)</f>
        <v/>
      </c>
      <c r="C227" s="76">
        <f>VLOOKUP(A227,'China Production data'!$A$1:$C$508,2,FALSE)</f>
        <v/>
      </c>
    </row>
    <row r="228">
      <c r="A228" s="77" t="n">
        <v>39752</v>
      </c>
      <c r="B228" s="67">
        <f>VLOOKUP(A228,'China Production data'!$A$1:$C$508,3,FALSE)</f>
        <v/>
      </c>
      <c r="C228" s="76">
        <f>VLOOKUP(A228,'China Production data'!$A$1:$C$508,2,FALSE)</f>
        <v/>
      </c>
    </row>
    <row r="229">
      <c r="A229" s="75" t="n">
        <v>39782</v>
      </c>
      <c r="B229" s="67">
        <f>VLOOKUP(A229,'China Production data'!$A$1:$C$508,3,FALSE)</f>
        <v/>
      </c>
      <c r="C229" s="76">
        <f>VLOOKUP(A229,'China Production data'!$A$1:$C$508,2,FALSE)</f>
        <v/>
      </c>
    </row>
    <row r="230">
      <c r="A230" s="77" t="n">
        <v>39813</v>
      </c>
      <c r="B230" s="67">
        <f>VLOOKUP(A230,'China Production data'!$A$1:$C$508,3,FALSE)</f>
        <v/>
      </c>
      <c r="C230" s="76">
        <f>VLOOKUP(A230,'China Production data'!$A$1:$C$508,2,FALSE)</f>
        <v/>
      </c>
    </row>
    <row r="231">
      <c r="A231" s="75" t="n">
        <v>39872</v>
      </c>
      <c r="B231" s="67">
        <f>VLOOKUP(A231,'China Production data'!$A$1:$C$508,3,FALSE)</f>
        <v/>
      </c>
      <c r="C231" s="76">
        <f>VLOOKUP(A231,'China Production data'!$A$1:$C$508,2,FALSE)</f>
        <v/>
      </c>
    </row>
    <row r="232">
      <c r="A232" s="75" t="n">
        <v>39903</v>
      </c>
      <c r="B232" s="67">
        <f>VLOOKUP(A232,'China Production data'!$A$1:$C$508,3,FALSE)</f>
        <v/>
      </c>
      <c r="C232" s="76">
        <f>VLOOKUP(A232,'China Production data'!$A$1:$C$508,2,FALSE)</f>
        <v/>
      </c>
    </row>
    <row r="233">
      <c r="A233" s="77" t="n">
        <v>39933</v>
      </c>
      <c r="B233" s="67">
        <f>VLOOKUP(A233,'China Production data'!$A$1:$C$508,3,FALSE)</f>
        <v/>
      </c>
      <c r="C233" s="76">
        <f>VLOOKUP(A233,'China Production data'!$A$1:$C$508,2,FALSE)</f>
        <v/>
      </c>
    </row>
    <row r="234">
      <c r="A234" s="75" t="n">
        <v>39964</v>
      </c>
      <c r="B234" s="67">
        <f>VLOOKUP(A234,'China Production data'!$A$1:$C$508,3,FALSE)</f>
        <v/>
      </c>
      <c r="C234" s="76">
        <f>VLOOKUP(A234,'China Production data'!$A$1:$C$508,2,FALSE)</f>
        <v/>
      </c>
    </row>
    <row r="235">
      <c r="A235" s="77" t="n">
        <v>39994</v>
      </c>
      <c r="B235" s="67">
        <f>VLOOKUP(A235,'China Production data'!$A$1:$C$508,3,FALSE)</f>
        <v/>
      </c>
      <c r="C235" s="76">
        <f>VLOOKUP(A235,'China Production data'!$A$1:$C$508,2,FALSE)</f>
        <v/>
      </c>
    </row>
    <row r="236">
      <c r="A236" s="75" t="n">
        <v>40025</v>
      </c>
      <c r="B236" s="67">
        <f>VLOOKUP(A236,'China Production data'!$A$1:$C$508,3,FALSE)</f>
        <v/>
      </c>
      <c r="C236" s="76">
        <f>VLOOKUP(A236,'China Production data'!$A$1:$C$508,2,FALSE)</f>
        <v/>
      </c>
    </row>
    <row r="237">
      <c r="A237" s="77" t="n">
        <v>40056</v>
      </c>
      <c r="B237" s="67">
        <f>VLOOKUP(A237,'China Production data'!$A$1:$C$508,3,FALSE)</f>
        <v/>
      </c>
      <c r="C237" s="76">
        <f>VLOOKUP(A237,'China Production data'!$A$1:$C$508,2,FALSE)</f>
        <v/>
      </c>
    </row>
    <row r="238">
      <c r="A238" s="75" t="n">
        <v>40086</v>
      </c>
      <c r="B238" s="67">
        <f>VLOOKUP(A238,'China Production data'!$A$1:$C$508,3,FALSE)</f>
        <v/>
      </c>
      <c r="C238" s="76">
        <f>VLOOKUP(A238,'China Production data'!$A$1:$C$508,2,FALSE)</f>
        <v/>
      </c>
    </row>
    <row r="239">
      <c r="A239" s="77" t="n">
        <v>40117</v>
      </c>
      <c r="B239" s="67">
        <f>VLOOKUP(A239,'China Production data'!$A$1:$C$508,3,FALSE)</f>
        <v/>
      </c>
      <c r="C239" s="76">
        <f>VLOOKUP(A239,'China Production data'!$A$1:$C$508,2,FALSE)</f>
        <v/>
      </c>
    </row>
    <row r="240">
      <c r="A240" s="75" t="n">
        <v>40147</v>
      </c>
      <c r="B240" s="67">
        <f>VLOOKUP(A240,'China Production data'!$A$1:$C$508,3,FALSE)</f>
        <v/>
      </c>
      <c r="C240" s="76">
        <f>VLOOKUP(A240,'China Production data'!$A$1:$C$508,2,FALSE)</f>
        <v/>
      </c>
    </row>
    <row r="241">
      <c r="A241" s="77" t="n">
        <v>40178</v>
      </c>
      <c r="B241" s="67">
        <f>VLOOKUP(A241,'China Production data'!$A$1:$C$508,3,FALSE)</f>
        <v/>
      </c>
      <c r="C241" s="76">
        <f>VLOOKUP(A241,'China Production data'!$A$1:$C$508,2,FALSE)</f>
        <v/>
      </c>
    </row>
    <row r="242">
      <c r="A242" s="77" t="n">
        <v>40237</v>
      </c>
      <c r="B242" s="67">
        <f>VLOOKUP(A242,'China Production data'!$A$1:$C$508,3,FALSE)</f>
        <v/>
      </c>
      <c r="C242" s="76">
        <f>VLOOKUP(A242,'China Production data'!$A$1:$C$508,2,FALSE)</f>
        <v/>
      </c>
    </row>
    <row r="243">
      <c r="A243" s="75" t="n">
        <v>40268</v>
      </c>
      <c r="B243" s="67">
        <f>VLOOKUP(A243,'China Production data'!$A$1:$C$508,3,FALSE)</f>
        <v/>
      </c>
      <c r="C243" s="76">
        <f>VLOOKUP(A243,'China Production data'!$A$1:$C$508,2,FALSE)</f>
        <v/>
      </c>
    </row>
    <row r="244">
      <c r="A244" s="77" t="n">
        <v>40298</v>
      </c>
      <c r="B244" s="67">
        <f>VLOOKUP(A244,'China Production data'!$A$1:$C$508,3,FALSE)</f>
        <v/>
      </c>
      <c r="C244" s="76">
        <f>VLOOKUP(A244,'China Production data'!$A$1:$C$508,2,FALSE)</f>
        <v/>
      </c>
    </row>
    <row r="245">
      <c r="A245" s="75" t="n">
        <v>40329</v>
      </c>
      <c r="B245" s="67">
        <f>VLOOKUP(A245,'China Production data'!$A$1:$C$508,3,FALSE)</f>
        <v/>
      </c>
      <c r="C245" s="76">
        <f>VLOOKUP(A245,'China Production data'!$A$1:$C$508,2,FALSE)</f>
        <v/>
      </c>
    </row>
    <row r="246">
      <c r="A246" s="77" t="n">
        <v>40359</v>
      </c>
      <c r="B246" s="67">
        <f>VLOOKUP(A246,'China Production data'!$A$1:$C$508,3,FALSE)</f>
        <v/>
      </c>
      <c r="C246" s="76">
        <f>VLOOKUP(A246,'China Production data'!$A$1:$C$508,2,FALSE)</f>
        <v/>
      </c>
    </row>
    <row r="247">
      <c r="A247" s="75" t="n">
        <v>40390</v>
      </c>
      <c r="B247" s="67">
        <f>VLOOKUP(A247,'China Production data'!$A$1:$C$508,3,FALSE)</f>
        <v/>
      </c>
      <c r="C247" s="76">
        <f>VLOOKUP(A247,'China Production data'!$A$1:$C$508,2,FALSE)</f>
        <v/>
      </c>
    </row>
    <row r="248">
      <c r="A248" s="77" t="n">
        <v>40421</v>
      </c>
      <c r="B248" s="67">
        <f>VLOOKUP(A248,'China Production data'!$A$1:$C$508,3,FALSE)</f>
        <v/>
      </c>
      <c r="C248" s="76">
        <f>VLOOKUP(A248,'China Production data'!$A$1:$C$508,2,FALSE)</f>
        <v/>
      </c>
    </row>
    <row r="249">
      <c r="A249" s="75" t="n">
        <v>40451</v>
      </c>
      <c r="B249" s="67">
        <f>VLOOKUP(A249,'China Production data'!$A$1:$C$508,3,FALSE)</f>
        <v/>
      </c>
      <c r="C249" s="76">
        <f>VLOOKUP(A249,'China Production data'!$A$1:$C$508,2,FALSE)</f>
        <v/>
      </c>
    </row>
    <row r="250">
      <c r="A250" s="77" t="n">
        <v>40482</v>
      </c>
      <c r="B250" s="67">
        <f>VLOOKUP(A250,'China Production data'!$A$1:$C$508,3,FALSE)</f>
        <v/>
      </c>
      <c r="C250" s="76">
        <f>VLOOKUP(A250,'China Production data'!$A$1:$C$508,2,FALSE)</f>
        <v/>
      </c>
    </row>
    <row r="251">
      <c r="A251" s="75" t="n">
        <v>40512</v>
      </c>
      <c r="B251" s="67">
        <f>VLOOKUP(A251,'China Production data'!$A$1:$C$508,3,FALSE)</f>
        <v/>
      </c>
      <c r="C251" s="76">
        <f>VLOOKUP(A251,'China Production data'!$A$1:$C$508,2,FALSE)</f>
        <v/>
      </c>
    </row>
    <row r="252">
      <c r="A252" s="77" t="n">
        <v>40543</v>
      </c>
      <c r="B252" s="67">
        <f>VLOOKUP(A252,'China Production data'!$A$1:$C$508,3,FALSE)</f>
        <v/>
      </c>
      <c r="C252" s="76">
        <f>VLOOKUP(A252,'China Production data'!$A$1:$C$508,2,FALSE)</f>
        <v/>
      </c>
    </row>
    <row r="253">
      <c r="A253" s="75" t="n">
        <v>40602</v>
      </c>
      <c r="B253" s="67">
        <f>VLOOKUP(A253,'China Production data'!$A$1:$C$508,3,FALSE)</f>
        <v/>
      </c>
      <c r="C253" s="76">
        <f>VLOOKUP(A253,'China Production data'!$A$1:$C$508,2,FALSE)</f>
        <v/>
      </c>
    </row>
    <row r="254">
      <c r="A254" s="75" t="n">
        <v>40633</v>
      </c>
      <c r="B254" s="67">
        <f>VLOOKUP(A254,'China Production data'!$A$1:$C$508,3,FALSE)</f>
        <v/>
      </c>
      <c r="C254" s="76">
        <f>VLOOKUP(A254,'China Production data'!$A$1:$C$508,2,FALSE)</f>
        <v/>
      </c>
    </row>
    <row r="255">
      <c r="A255" s="77" t="n">
        <v>40663</v>
      </c>
      <c r="B255" s="67">
        <f>VLOOKUP(A255,'China Production data'!$A$1:$C$508,3,FALSE)</f>
        <v/>
      </c>
      <c r="C255" s="76">
        <f>VLOOKUP(A255,'China Production data'!$A$1:$C$508,2,FALSE)</f>
        <v/>
      </c>
    </row>
    <row r="256">
      <c r="A256" s="75" t="n">
        <v>40694</v>
      </c>
      <c r="B256" s="67">
        <f>VLOOKUP(A256,'China Production data'!$A$1:$C$508,3,FALSE)</f>
        <v/>
      </c>
      <c r="C256" s="76">
        <f>VLOOKUP(A256,'China Production data'!$A$1:$C$508,2,FALSE)</f>
        <v/>
      </c>
    </row>
    <row r="257">
      <c r="A257" s="77" t="n">
        <v>40724</v>
      </c>
      <c r="B257" s="67">
        <f>VLOOKUP(A257,'China Production data'!$A$1:$C$508,3,FALSE)</f>
        <v/>
      </c>
      <c r="C257" s="76">
        <f>VLOOKUP(A257,'China Production data'!$A$1:$C$508,2,FALSE)</f>
        <v/>
      </c>
    </row>
    <row r="258">
      <c r="A258" s="75" t="n">
        <v>40755</v>
      </c>
      <c r="B258" s="67">
        <f>VLOOKUP(A258,'China Production data'!$A$1:$C$508,3,FALSE)</f>
        <v/>
      </c>
      <c r="C258" s="76">
        <f>VLOOKUP(A258,'China Production data'!$A$1:$C$508,2,FALSE)</f>
        <v/>
      </c>
    </row>
    <row r="259">
      <c r="A259" s="77" t="n">
        <v>40786</v>
      </c>
      <c r="B259" s="67">
        <f>VLOOKUP(A259,'China Production data'!$A$1:$C$508,3,FALSE)</f>
        <v/>
      </c>
      <c r="C259" s="76">
        <f>VLOOKUP(A259,'China Production data'!$A$1:$C$508,2,FALSE)</f>
        <v/>
      </c>
    </row>
    <row r="260">
      <c r="A260" s="75" t="n">
        <v>40816</v>
      </c>
      <c r="B260" s="67">
        <f>VLOOKUP(A260,'China Production data'!$A$1:$C$508,3,FALSE)</f>
        <v/>
      </c>
      <c r="C260" s="76">
        <f>VLOOKUP(A260,'China Production data'!$A$1:$C$508,2,FALSE)</f>
        <v/>
      </c>
    </row>
    <row r="261">
      <c r="A261" s="77" t="n">
        <v>40847</v>
      </c>
      <c r="B261" s="67">
        <f>VLOOKUP(A261,'China Production data'!$A$1:$C$508,3,FALSE)</f>
        <v/>
      </c>
      <c r="C261" s="76">
        <f>VLOOKUP(A261,'China Production data'!$A$1:$C$508,2,FALSE)</f>
        <v/>
      </c>
    </row>
    <row r="262">
      <c r="A262" s="75" t="n">
        <v>40877</v>
      </c>
      <c r="B262" s="67">
        <f>VLOOKUP(A262,'China Production data'!$A$1:$C$508,3,FALSE)</f>
        <v/>
      </c>
      <c r="C262" s="76">
        <f>VLOOKUP(A262,'China Production data'!$A$1:$C$508,2,FALSE)</f>
        <v/>
      </c>
    </row>
    <row r="263">
      <c r="A263" s="77" t="n">
        <v>40908</v>
      </c>
      <c r="B263" s="67">
        <f>VLOOKUP(A263,'China Production data'!$A$1:$C$508,3,FALSE)</f>
        <v/>
      </c>
      <c r="C263" s="76">
        <f>VLOOKUP(A263,'China Production data'!$A$1:$C$508,2,FALSE)</f>
        <v/>
      </c>
    </row>
    <row r="264">
      <c r="A264" s="75" t="n">
        <v>40968</v>
      </c>
      <c r="B264" s="67">
        <f>VLOOKUP(A264,'China Production data'!$A$1:$C$508,3,FALSE)</f>
        <v/>
      </c>
      <c r="C264" s="76">
        <f>VLOOKUP(A264,'China Production data'!$A$1:$C$508,2,FALSE)</f>
        <v/>
      </c>
    </row>
    <row r="265">
      <c r="A265" s="77" t="n">
        <v>40999</v>
      </c>
      <c r="B265" s="67">
        <f>VLOOKUP(A265,'China Production data'!$A$1:$C$508,3,FALSE)</f>
        <v/>
      </c>
      <c r="C265" s="76">
        <f>VLOOKUP(A265,'China Production data'!$A$1:$C$508,2,FALSE)</f>
        <v/>
      </c>
    </row>
    <row r="266">
      <c r="A266" s="75" t="n">
        <v>41029</v>
      </c>
      <c r="B266" s="67">
        <f>VLOOKUP(A266,'China Production data'!$A$1:$C$508,3,FALSE)</f>
        <v/>
      </c>
      <c r="C266" s="76">
        <f>VLOOKUP(A266,'China Production data'!$A$1:$C$508,2,FALSE)</f>
        <v/>
      </c>
    </row>
    <row r="267">
      <c r="A267" s="77" t="n">
        <v>41060</v>
      </c>
      <c r="B267" s="67">
        <f>VLOOKUP(A267,'China Production data'!$A$1:$C$508,3,FALSE)</f>
        <v/>
      </c>
      <c r="C267" s="76">
        <f>VLOOKUP(A267,'China Production data'!$A$1:$C$508,2,FALSE)</f>
        <v/>
      </c>
    </row>
    <row r="268">
      <c r="A268" s="75" t="n">
        <v>41090</v>
      </c>
      <c r="B268" s="67">
        <f>VLOOKUP(A268,'China Production data'!$A$1:$C$508,3,FALSE)</f>
        <v/>
      </c>
      <c r="C268" s="76">
        <f>VLOOKUP(A268,'China Production data'!$A$1:$C$508,2,FALSE)</f>
        <v/>
      </c>
    </row>
    <row r="269">
      <c r="A269" s="77" t="n">
        <v>41121</v>
      </c>
      <c r="B269" s="67">
        <f>VLOOKUP(A269,'China Production data'!$A$1:$C$508,3,FALSE)</f>
        <v/>
      </c>
      <c r="C269" s="76">
        <f>VLOOKUP(A269,'China Production data'!$A$1:$C$508,2,FALSE)</f>
        <v/>
      </c>
    </row>
    <row r="270">
      <c r="A270" s="75" t="n">
        <v>41152</v>
      </c>
      <c r="B270" s="67">
        <f>VLOOKUP(A270,'China Production data'!$A$1:$C$508,3,FALSE)</f>
        <v/>
      </c>
      <c r="C270" s="76">
        <f>VLOOKUP(A270,'China Production data'!$A$1:$C$508,2,FALSE)</f>
        <v/>
      </c>
    </row>
    <row r="271">
      <c r="A271" s="77" t="n">
        <v>41182</v>
      </c>
      <c r="B271" s="67">
        <f>VLOOKUP(A271,'China Production data'!$A$1:$C$508,3,FALSE)</f>
        <v/>
      </c>
      <c r="C271" s="76">
        <f>VLOOKUP(A271,'China Production data'!$A$1:$C$508,2,FALSE)</f>
        <v/>
      </c>
    </row>
    <row r="272">
      <c r="A272" s="75" t="n">
        <v>41213</v>
      </c>
      <c r="B272" s="67">
        <f>VLOOKUP(A272,'China Production data'!$A$1:$C$508,3,FALSE)</f>
        <v/>
      </c>
      <c r="C272" s="76">
        <f>VLOOKUP(A272,'China Production data'!$A$1:$C$508,2,FALSE)</f>
        <v/>
      </c>
    </row>
    <row r="273">
      <c r="A273" s="77" t="n">
        <v>41243</v>
      </c>
      <c r="B273" s="67">
        <f>VLOOKUP(A273,'China Production data'!$A$1:$C$508,3,FALSE)</f>
        <v/>
      </c>
      <c r="C273" s="76">
        <f>VLOOKUP(A273,'China Production data'!$A$1:$C$508,2,FALSE)</f>
        <v/>
      </c>
    </row>
    <row r="274">
      <c r="A274" s="75" t="n">
        <v>41274</v>
      </c>
      <c r="B274" s="67">
        <f>VLOOKUP(A274,'China Production data'!$A$1:$C$508,3,FALSE)</f>
        <v/>
      </c>
      <c r="C274" s="76">
        <f>VLOOKUP(A274,'China Production data'!$A$1:$C$508,2,FALSE)</f>
        <v/>
      </c>
    </row>
    <row r="275">
      <c r="A275" s="77" t="n">
        <v>41333</v>
      </c>
      <c r="B275" s="67">
        <f>VLOOKUP(A275,'China Production data'!$A$1:$C$508,3,FALSE)</f>
        <v/>
      </c>
      <c r="C275" s="76">
        <f>VLOOKUP(A275,'China Production data'!$A$1:$C$508,2,FALSE)</f>
        <v/>
      </c>
    </row>
    <row r="276">
      <c r="A276" s="75" t="n">
        <v>41364</v>
      </c>
      <c r="B276" s="67">
        <f>VLOOKUP(A276,'China Production data'!$A$1:$C$508,3,FALSE)</f>
        <v/>
      </c>
      <c r="C276" s="76">
        <f>VLOOKUP(A276,'China Production data'!$A$1:$C$508,2,FALSE)</f>
        <v/>
      </c>
    </row>
    <row r="277">
      <c r="A277" s="77" t="n">
        <v>41394</v>
      </c>
      <c r="B277" s="67">
        <f>VLOOKUP(A277,'China Production data'!$A$1:$C$508,3,FALSE)</f>
        <v/>
      </c>
      <c r="C277" s="76">
        <f>VLOOKUP(A277,'China Production data'!$A$1:$C$508,2,FALSE)</f>
        <v/>
      </c>
    </row>
    <row r="278">
      <c r="A278" s="75" t="n">
        <v>41425</v>
      </c>
      <c r="B278" s="67">
        <f>VLOOKUP(A278,'China Production data'!$A$1:$C$508,3,FALSE)</f>
        <v/>
      </c>
      <c r="C278" s="76">
        <f>VLOOKUP(A278,'China Production data'!$A$1:$C$508,2,FALSE)</f>
        <v/>
      </c>
    </row>
    <row r="279">
      <c r="A279" s="77" t="n">
        <v>41455</v>
      </c>
      <c r="B279" s="67">
        <f>VLOOKUP(A279,'China Production data'!$A$1:$C$508,3,FALSE)</f>
        <v/>
      </c>
      <c r="C279" s="76">
        <f>VLOOKUP(A279,'China Production data'!$A$1:$C$508,2,FALSE)</f>
        <v/>
      </c>
    </row>
    <row r="280">
      <c r="A280" s="75" t="n">
        <v>41486</v>
      </c>
      <c r="B280" s="67">
        <f>VLOOKUP(A280,'China Production data'!$A$1:$C$508,3,FALSE)</f>
        <v/>
      </c>
      <c r="C280" s="76">
        <f>VLOOKUP(A280,'China Production data'!$A$1:$C$508,2,FALSE)</f>
        <v/>
      </c>
    </row>
    <row r="281">
      <c r="A281" s="77" t="n">
        <v>41517</v>
      </c>
      <c r="B281" s="67">
        <f>VLOOKUP(A281,'China Production data'!$A$1:$C$508,3,FALSE)</f>
        <v/>
      </c>
      <c r="C281" s="76">
        <f>VLOOKUP(A281,'China Production data'!$A$1:$C$508,2,FALSE)</f>
        <v/>
      </c>
    </row>
    <row r="282">
      <c r="A282" s="75" t="n">
        <v>41547</v>
      </c>
      <c r="B282" s="67">
        <f>VLOOKUP(A282,'China Production data'!$A$1:$C$508,3,FALSE)</f>
        <v/>
      </c>
      <c r="C282" s="76">
        <f>VLOOKUP(A282,'China Production data'!$A$1:$C$508,2,FALSE)</f>
        <v/>
      </c>
    </row>
    <row r="283">
      <c r="A283" s="77" t="n">
        <v>41578</v>
      </c>
      <c r="B283" s="67">
        <f>VLOOKUP(A283,'China Production data'!$A$1:$C$508,3,FALSE)</f>
        <v/>
      </c>
      <c r="C283" s="76">
        <f>VLOOKUP(A283,'China Production data'!$A$1:$C$508,2,FALSE)</f>
        <v/>
      </c>
    </row>
    <row r="284">
      <c r="A284" s="75" t="n">
        <v>41608</v>
      </c>
      <c r="B284" s="67">
        <f>VLOOKUP(A284,'China Production data'!$A$1:$C$508,3,FALSE)</f>
        <v/>
      </c>
      <c r="C284" s="76">
        <f>VLOOKUP(A284,'China Production data'!$A$1:$C$508,2,FALSE)</f>
        <v/>
      </c>
    </row>
    <row r="285">
      <c r="A285" s="77" t="n">
        <v>41639</v>
      </c>
      <c r="B285" s="67">
        <f>VLOOKUP(A285,'China Production data'!$A$1:$C$508,3,FALSE)</f>
        <v/>
      </c>
      <c r="C285" s="76">
        <f>VLOOKUP(A285,'China Production data'!$A$1:$C$508,2,FALSE)</f>
        <v/>
      </c>
    </row>
    <row r="286">
      <c r="A286" s="75" t="n">
        <v>41698</v>
      </c>
      <c r="B286" s="67">
        <f>VLOOKUP(A286,'China Production data'!$A$1:$C$508,3,FALSE)</f>
        <v/>
      </c>
      <c r="C286" s="76">
        <f>VLOOKUP(A286,'China Production data'!$A$1:$C$508,2,FALSE)</f>
        <v/>
      </c>
    </row>
    <row r="287">
      <c r="A287" s="77" t="n">
        <v>41729</v>
      </c>
      <c r="B287" s="67">
        <f>VLOOKUP(A287,'China Production data'!$A$1:$C$508,3,FALSE)</f>
        <v/>
      </c>
      <c r="C287" s="76">
        <f>VLOOKUP(A287,'China Production data'!$A$1:$C$508,2,FALSE)</f>
        <v/>
      </c>
    </row>
    <row r="288">
      <c r="A288" s="75" t="n">
        <v>41759</v>
      </c>
      <c r="B288" s="67">
        <f>VLOOKUP(A288,'China Production data'!$A$1:$C$508,3,FALSE)</f>
        <v/>
      </c>
      <c r="C288" s="76">
        <f>VLOOKUP(A288,'China Production data'!$A$1:$C$508,2,FALSE)</f>
        <v/>
      </c>
    </row>
    <row r="289">
      <c r="A289" s="77" t="n">
        <v>41790</v>
      </c>
      <c r="B289" s="67">
        <f>VLOOKUP(A289,'China Production data'!$A$1:$C$508,3,FALSE)</f>
        <v/>
      </c>
      <c r="C289" s="76">
        <f>VLOOKUP(A289,'China Production data'!$A$1:$C$508,2,FALSE)</f>
        <v/>
      </c>
    </row>
    <row r="290">
      <c r="A290" s="75" t="n">
        <v>41820</v>
      </c>
      <c r="B290" s="67">
        <f>VLOOKUP(A290,'China Production data'!$A$1:$C$508,3,FALSE)</f>
        <v/>
      </c>
      <c r="C290" s="76">
        <f>VLOOKUP(A290,'China Production data'!$A$1:$C$508,2,FALSE)</f>
        <v/>
      </c>
    </row>
    <row r="291">
      <c r="A291" s="77" t="n">
        <v>41851</v>
      </c>
      <c r="B291" s="67">
        <f>VLOOKUP(A291,'China Production data'!$A$1:$C$508,3,FALSE)</f>
        <v/>
      </c>
      <c r="C291" s="76">
        <f>VLOOKUP(A291,'China Production data'!$A$1:$C$508,2,FALSE)</f>
        <v/>
      </c>
    </row>
    <row r="292">
      <c r="A292" s="75" t="n">
        <v>41882</v>
      </c>
      <c r="B292" s="67">
        <f>VLOOKUP(A292,'China Production data'!$A$1:$C$508,3,FALSE)</f>
        <v/>
      </c>
      <c r="C292" s="76">
        <f>VLOOKUP(A292,'China Production data'!$A$1:$C$508,2,FALSE)</f>
        <v/>
      </c>
    </row>
    <row r="293">
      <c r="A293" s="77" t="n">
        <v>41912</v>
      </c>
      <c r="B293" s="67">
        <f>VLOOKUP(A293,'China Production data'!$A$1:$C$508,3,FALSE)</f>
        <v/>
      </c>
      <c r="C293" s="76">
        <f>VLOOKUP(A293,'China Production data'!$A$1:$C$508,2,FALSE)</f>
        <v/>
      </c>
    </row>
    <row r="294">
      <c r="A294" s="75" t="n">
        <v>41943</v>
      </c>
      <c r="B294" s="67">
        <f>VLOOKUP(A294,'China Production data'!$A$1:$C$508,3,FALSE)</f>
        <v/>
      </c>
      <c r="C294" s="76">
        <f>VLOOKUP(A294,'China Production data'!$A$1:$C$508,2,FALSE)</f>
        <v/>
      </c>
    </row>
    <row r="295">
      <c r="A295" s="77" t="n">
        <v>41973</v>
      </c>
      <c r="B295" s="67">
        <f>VLOOKUP(A295,'China Production data'!$A$1:$C$508,3,FALSE)</f>
        <v/>
      </c>
      <c r="C295" s="76">
        <f>VLOOKUP(A295,'China Production data'!$A$1:$C$508,2,FALSE)</f>
        <v/>
      </c>
    </row>
    <row r="296">
      <c r="A296" s="75" t="n">
        <v>42004</v>
      </c>
      <c r="B296" s="67">
        <f>VLOOKUP(A296,'China Production data'!$A$1:$C$508,3,FALSE)</f>
        <v/>
      </c>
      <c r="C296" s="76">
        <f>VLOOKUP(A296,'China Production data'!$A$1:$C$508,2,FALSE)</f>
        <v/>
      </c>
    </row>
    <row r="297">
      <c r="A297" s="77" t="n">
        <v>42063</v>
      </c>
      <c r="B297" s="67">
        <f>VLOOKUP(A297,'China Production data'!$A$1:$C$508,3,FALSE)</f>
        <v/>
      </c>
      <c r="C297" s="76">
        <f>VLOOKUP(A297,'China Production data'!$A$1:$C$508,2,FALSE)</f>
        <v/>
      </c>
    </row>
    <row r="298">
      <c r="A298" s="75" t="n">
        <v>42094</v>
      </c>
      <c r="B298" s="67">
        <f>VLOOKUP(A298,'China Production data'!$A$1:$C$508,3,FALSE)</f>
        <v/>
      </c>
      <c r="C298" s="76">
        <f>VLOOKUP(A298,'China Production data'!$A$1:$C$508,2,FALSE)</f>
        <v/>
      </c>
    </row>
    <row r="299">
      <c r="A299" s="77" t="n">
        <v>42124</v>
      </c>
      <c r="B299" s="67">
        <f>VLOOKUP(A299,'China Production data'!$A$1:$C$508,3,FALSE)</f>
        <v/>
      </c>
      <c r="C299" s="76">
        <f>VLOOKUP(A299,'China Production data'!$A$1:$C$508,2,FALSE)</f>
        <v/>
      </c>
    </row>
    <row r="300">
      <c r="A300" s="75" t="n">
        <v>42155</v>
      </c>
      <c r="B300" s="67">
        <f>VLOOKUP(A300,'China Production data'!$A$1:$C$508,3,FALSE)</f>
        <v/>
      </c>
      <c r="C300" s="76">
        <f>VLOOKUP(A300,'China Production data'!$A$1:$C$508,2,FALSE)</f>
        <v/>
      </c>
    </row>
    <row r="301">
      <c r="A301" s="77" t="n">
        <v>42185</v>
      </c>
      <c r="B301" s="67">
        <f>VLOOKUP(A301,'China Production data'!$A$1:$C$508,3,FALSE)</f>
        <v/>
      </c>
      <c r="C301" s="76">
        <f>VLOOKUP(A301,'China Production data'!$A$1:$C$508,2,FALSE)</f>
        <v/>
      </c>
    </row>
    <row r="302">
      <c r="A302" s="75" t="n">
        <v>42216</v>
      </c>
      <c r="B302" s="67">
        <f>VLOOKUP(A302,'China Production data'!$A$1:$C$508,3,FALSE)</f>
        <v/>
      </c>
      <c r="C302" s="76">
        <f>VLOOKUP(A302,'China Production data'!$A$1:$C$508,2,FALSE)</f>
        <v/>
      </c>
    </row>
    <row r="303">
      <c r="A303" s="77" t="n">
        <v>42247</v>
      </c>
      <c r="B303" s="67">
        <f>VLOOKUP(A303,'China Production data'!$A$1:$C$508,3,FALSE)</f>
        <v/>
      </c>
      <c r="C303" s="76">
        <f>VLOOKUP(A303,'China Production data'!$A$1:$C$508,2,FALSE)</f>
        <v/>
      </c>
    </row>
    <row r="304">
      <c r="A304" s="75" t="n">
        <v>42277</v>
      </c>
      <c r="B304" s="67">
        <f>VLOOKUP(A304,'China Production data'!$A$1:$C$508,3,FALSE)</f>
        <v/>
      </c>
      <c r="C304" s="76">
        <f>VLOOKUP(A304,'China Production data'!$A$1:$C$508,2,FALSE)</f>
        <v/>
      </c>
    </row>
    <row r="305">
      <c r="A305" s="77" t="n">
        <v>42308</v>
      </c>
      <c r="B305" s="67">
        <f>VLOOKUP(A305,'China Production data'!$A$1:$C$508,3,FALSE)</f>
        <v/>
      </c>
      <c r="C305" s="76">
        <f>VLOOKUP(A305,'China Production data'!$A$1:$C$508,2,FALSE)</f>
        <v/>
      </c>
    </row>
    <row r="306">
      <c r="A306" s="75" t="n">
        <v>42338</v>
      </c>
      <c r="B306" s="67">
        <f>VLOOKUP(A306,'China Production data'!$A$1:$C$508,3,FALSE)</f>
        <v/>
      </c>
      <c r="C306" s="76">
        <f>VLOOKUP(A306,'China Production data'!$A$1:$C$508,2,FALSE)</f>
        <v/>
      </c>
    </row>
    <row r="307">
      <c r="A307" s="77" t="n">
        <v>42369</v>
      </c>
      <c r="B307" s="67">
        <f>VLOOKUP(A307,'China Production data'!$A$1:$C$508,3,FALSE)</f>
        <v/>
      </c>
      <c r="C307" s="76">
        <f>VLOOKUP(A307,'China Production data'!$A$1:$C$508,2,FALSE)</f>
        <v/>
      </c>
    </row>
    <row r="308">
      <c r="A308" s="75" t="n">
        <v>42400</v>
      </c>
      <c r="B308" s="67">
        <f>VLOOKUP(A308,'China Production data'!$A$1:$C$508,3,FALSE)</f>
        <v/>
      </c>
      <c r="C308" s="76">
        <f>VLOOKUP(A308,'China Production data'!$A$1:$C$508,2,FALSE)</f>
        <v/>
      </c>
    </row>
    <row r="309">
      <c r="A309" s="77" t="n">
        <v>42460</v>
      </c>
      <c r="B309" s="67">
        <f>VLOOKUP(A309,'China Production data'!$A$1:$C$508,3,FALSE)</f>
        <v/>
      </c>
      <c r="C309" s="76">
        <f>VLOOKUP(A309,'China Production data'!$A$1:$C$508,2,FALSE)</f>
        <v/>
      </c>
    </row>
    <row r="310">
      <c r="A310" s="75" t="n">
        <v>42490</v>
      </c>
      <c r="B310" s="67">
        <f>VLOOKUP(A310,'China Production data'!$A$1:$C$508,3,FALSE)</f>
        <v/>
      </c>
      <c r="C310" s="76">
        <f>VLOOKUP(A310,'China Production data'!$A$1:$C$508,2,FALSE)</f>
        <v/>
      </c>
    </row>
    <row r="311">
      <c r="A311" s="77" t="n">
        <v>42521</v>
      </c>
      <c r="B311" s="67">
        <f>VLOOKUP(A311,'China Production data'!$A$1:$C$508,3,FALSE)</f>
        <v/>
      </c>
      <c r="C311" s="76">
        <f>VLOOKUP(A311,'China Production data'!$A$1:$C$508,2,FALSE)</f>
        <v/>
      </c>
    </row>
    <row r="312">
      <c r="A312" s="75" t="n">
        <v>42551</v>
      </c>
      <c r="B312" s="67">
        <f>VLOOKUP(A312,'China Production data'!$A$1:$C$508,3,FALSE)</f>
        <v/>
      </c>
      <c r="C312" s="76">
        <f>VLOOKUP(A312,'China Production data'!$A$1:$C$508,2,FALSE)</f>
        <v/>
      </c>
    </row>
    <row r="313">
      <c r="A313" s="77" t="n">
        <v>42582</v>
      </c>
      <c r="B313" s="67">
        <f>VLOOKUP(A313,'China Production data'!$A$1:$C$508,3,FALSE)</f>
        <v/>
      </c>
      <c r="C313" s="76">
        <f>VLOOKUP(A313,'China Production data'!$A$1:$C$508,2,FALSE)</f>
        <v/>
      </c>
    </row>
    <row r="314">
      <c r="A314" s="75" t="n">
        <v>42613</v>
      </c>
      <c r="B314" s="67">
        <f>VLOOKUP(A314,'China Production data'!$A$1:$C$508,3,FALSE)</f>
        <v/>
      </c>
      <c r="C314" s="76">
        <f>VLOOKUP(A314,'China Production data'!$A$1:$C$508,2,FALSE)</f>
        <v/>
      </c>
    </row>
    <row r="315">
      <c r="A315" s="77" t="n">
        <v>42643</v>
      </c>
      <c r="B315" s="67">
        <f>VLOOKUP(A315,'China Production data'!$A$1:$C$508,3,FALSE)</f>
        <v/>
      </c>
      <c r="C315" s="76">
        <f>VLOOKUP(A315,'China Production data'!$A$1:$C$508,2,FALSE)</f>
        <v/>
      </c>
    </row>
    <row r="316">
      <c r="A316" s="75" t="n">
        <v>42674</v>
      </c>
      <c r="B316" s="67">
        <f>VLOOKUP(A316,'China Production data'!$A$1:$C$508,3,FALSE)</f>
        <v/>
      </c>
      <c r="C316" s="76">
        <f>VLOOKUP(A316,'China Production data'!$A$1:$C$508,2,FALSE)</f>
        <v/>
      </c>
    </row>
    <row r="317">
      <c r="A317" s="77" t="n">
        <v>42704</v>
      </c>
      <c r="B317" s="67">
        <f>VLOOKUP(A317,'China Production data'!$A$1:$C$508,3,FALSE)</f>
        <v/>
      </c>
      <c r="C317" s="76">
        <f>VLOOKUP(A317,'China Production data'!$A$1:$C$508,2,FALSE)</f>
        <v/>
      </c>
    </row>
    <row r="318">
      <c r="A318" s="75" t="n">
        <v>42735</v>
      </c>
      <c r="B318" s="67">
        <f>VLOOKUP(A318,'China Production data'!$A$1:$C$508,3,FALSE)</f>
        <v/>
      </c>
      <c r="C318" s="76">
        <f>VLOOKUP(A318,'China Production data'!$A$1:$C$508,2,FALSE)</f>
        <v/>
      </c>
    </row>
    <row r="319">
      <c r="A319" s="77" t="n">
        <v>42766</v>
      </c>
      <c r="B319" s="67">
        <f>VLOOKUP(A319,'China Production data'!$A$1:$C$508,3,FALSE)</f>
        <v/>
      </c>
      <c r="C319" s="76">
        <f>VLOOKUP(A319,'China Production data'!$A$1:$C$508,2,FALSE)</f>
        <v/>
      </c>
    </row>
    <row r="320">
      <c r="A320" s="75" t="n">
        <v>42825</v>
      </c>
      <c r="B320" s="67">
        <f>VLOOKUP(A320,'China Production data'!$A$1:$C$508,3,FALSE)</f>
        <v/>
      </c>
      <c r="C320" s="76">
        <f>VLOOKUP(A320,'China Production data'!$A$1:$C$508,2,FALSE)</f>
        <v/>
      </c>
    </row>
    <row r="321">
      <c r="A321" s="77" t="n">
        <v>42855</v>
      </c>
      <c r="B321" s="67">
        <f>VLOOKUP(A321,'China Production data'!$A$1:$C$508,3,FALSE)</f>
        <v/>
      </c>
      <c r="C321" s="76">
        <f>VLOOKUP(A321,'China Production data'!$A$1:$C$508,2,FALSE)</f>
        <v/>
      </c>
    </row>
    <row r="322">
      <c r="A322" s="75" t="n">
        <v>42886</v>
      </c>
      <c r="B322" s="67">
        <f>VLOOKUP(A322,'China Production data'!$A$1:$C$508,3,FALSE)</f>
        <v/>
      </c>
      <c r="C322" s="76">
        <f>VLOOKUP(A322,'China Production data'!$A$1:$C$508,2,FALSE)</f>
        <v/>
      </c>
    </row>
    <row r="323">
      <c r="A323" s="77" t="n">
        <v>42916</v>
      </c>
      <c r="B323" s="67">
        <f>VLOOKUP(A323,'China Production data'!$A$1:$C$508,3,FALSE)</f>
        <v/>
      </c>
      <c r="C323" s="76">
        <f>VLOOKUP(A323,'China Production data'!$A$1:$C$508,2,FALSE)</f>
        <v/>
      </c>
    </row>
    <row r="324">
      <c r="A324" s="75" t="n">
        <v>42947</v>
      </c>
      <c r="B324" s="67">
        <f>VLOOKUP(A324,'China Production data'!$A$1:$C$508,3,FALSE)</f>
        <v/>
      </c>
      <c r="C324" s="76">
        <f>VLOOKUP(A324,'China Production data'!$A$1:$C$508,2,FALSE)</f>
        <v/>
      </c>
    </row>
    <row r="325">
      <c r="A325" s="77" t="n">
        <v>42978</v>
      </c>
      <c r="B325" s="67">
        <f>VLOOKUP(A325,'China Production data'!$A$1:$C$508,3,FALSE)</f>
        <v/>
      </c>
      <c r="C325" s="76">
        <f>VLOOKUP(A325,'China Production data'!$A$1:$C$508,2,FALSE)</f>
        <v/>
      </c>
    </row>
    <row r="326">
      <c r="A326" s="75" t="n">
        <v>43008</v>
      </c>
      <c r="B326" s="67">
        <f>VLOOKUP(A326,'China Production data'!$A$1:$C$508,3,FALSE)</f>
        <v/>
      </c>
      <c r="C326" s="76">
        <f>VLOOKUP(A326,'China Production data'!$A$1:$C$508,2,FALSE)</f>
        <v/>
      </c>
    </row>
    <row r="327">
      <c r="A327" s="77" t="n">
        <v>43039</v>
      </c>
      <c r="B327" s="67">
        <f>VLOOKUP(A327,'China Production data'!$A$1:$C$508,3,FALSE)</f>
        <v/>
      </c>
      <c r="C327" s="76">
        <f>VLOOKUP(A327,'China Production data'!$A$1:$C$508,2,FALSE)</f>
        <v/>
      </c>
    </row>
    <row r="328">
      <c r="A328" s="75" t="n">
        <v>43069</v>
      </c>
      <c r="B328" s="67">
        <f>VLOOKUP(A328,'China Production data'!$A$1:$C$508,3,FALSE)</f>
        <v/>
      </c>
      <c r="C328" s="76">
        <f>VLOOKUP(A328,'China Production data'!$A$1:$C$508,2,FALSE)</f>
        <v/>
      </c>
    </row>
    <row r="329">
      <c r="A329" s="77" t="n">
        <v>43100</v>
      </c>
      <c r="B329" s="67">
        <f>VLOOKUP(A329,'China Production data'!$A$1:$C$508,3,FALSE)</f>
        <v/>
      </c>
      <c r="C329" s="76">
        <f>VLOOKUP(A329,'China Production data'!$A$1:$C$508,2,FALSE)</f>
        <v/>
      </c>
    </row>
    <row r="330">
      <c r="A330" s="75" t="n">
        <v>43159</v>
      </c>
      <c r="B330" s="67">
        <f>VLOOKUP(A330,'China Production data'!$A$1:$C$508,3,FALSE)</f>
        <v/>
      </c>
      <c r="C330" s="76">
        <f>VLOOKUP(A330,'China Production data'!$A$1:$C$508,2,FALSE)</f>
        <v/>
      </c>
    </row>
    <row r="331">
      <c r="A331" s="77" t="n">
        <v>43190</v>
      </c>
      <c r="B331" s="67">
        <f>VLOOKUP(A331,'China Production data'!$A$1:$C$508,3,FALSE)</f>
        <v/>
      </c>
      <c r="C331" s="76">
        <f>VLOOKUP(A331,'China Production data'!$A$1:$C$508,2,FALSE)</f>
        <v/>
      </c>
    </row>
    <row r="332">
      <c r="A332" s="75" t="n">
        <v>43220</v>
      </c>
      <c r="B332" s="67">
        <f>VLOOKUP(A332,'China Production data'!$A$1:$C$508,3,FALSE)</f>
        <v/>
      </c>
      <c r="C332" s="76">
        <f>VLOOKUP(A332,'China Production data'!$A$1:$C$508,2,FALSE)</f>
        <v/>
      </c>
    </row>
    <row r="333">
      <c r="A333" s="77" t="n">
        <v>43251</v>
      </c>
      <c r="B333" s="67">
        <f>VLOOKUP(A333,'China Production data'!$A$1:$C$508,3,FALSE)</f>
        <v/>
      </c>
      <c r="C333" s="76">
        <f>VLOOKUP(A333,'China Production data'!$A$1:$C$508,2,FALSE)</f>
        <v/>
      </c>
    </row>
    <row r="334">
      <c r="A334" s="75" t="n">
        <v>43281</v>
      </c>
      <c r="B334" s="67">
        <f>VLOOKUP(A334,'China Production data'!$A$1:$C$508,3,FALSE)</f>
        <v/>
      </c>
      <c r="C334" s="76">
        <f>VLOOKUP(A334,'China Production data'!$A$1:$C$508,2,FALSE)</f>
        <v/>
      </c>
    </row>
    <row r="335">
      <c r="A335" s="77" t="n">
        <v>43312</v>
      </c>
      <c r="B335" s="67">
        <f>VLOOKUP(A335,'China Production data'!$A$1:$C$508,3,FALSE)</f>
        <v/>
      </c>
      <c r="C335" s="76">
        <f>VLOOKUP(A335,'China Production data'!$A$1:$C$508,2,FALSE)</f>
        <v/>
      </c>
    </row>
    <row r="336">
      <c r="A336" s="75" t="n">
        <v>43343</v>
      </c>
      <c r="B336" s="67">
        <f>VLOOKUP(A336,'China Production data'!$A$1:$C$508,3,FALSE)</f>
        <v/>
      </c>
      <c r="C336" s="76">
        <f>VLOOKUP(A336,'China Production data'!$A$1:$C$508,2,FALSE)</f>
        <v/>
      </c>
    </row>
    <row r="337">
      <c r="A337" s="77" t="n">
        <v>43373</v>
      </c>
      <c r="B337" s="67">
        <f>VLOOKUP(A337,'China Production data'!$A$1:$C$508,3,FALSE)</f>
        <v/>
      </c>
      <c r="C337" s="76">
        <f>VLOOKUP(A337,'China Production data'!$A$1:$C$508,2,FALSE)</f>
        <v/>
      </c>
    </row>
    <row r="338">
      <c r="A338" s="75" t="n">
        <v>43404</v>
      </c>
      <c r="B338" s="67">
        <f>VLOOKUP(A338,'China Production data'!$A$1:$C$508,3,FALSE)</f>
        <v/>
      </c>
      <c r="C338" s="76">
        <f>VLOOKUP(A338,'China Production data'!$A$1:$C$508,2,FALSE)</f>
        <v/>
      </c>
    </row>
    <row r="339">
      <c r="A339" s="77" t="n">
        <v>43434</v>
      </c>
      <c r="B339" s="67">
        <f>VLOOKUP(A339,'China Production data'!$A$1:$C$508,3,FALSE)</f>
        <v/>
      </c>
      <c r="C339" s="76">
        <f>VLOOKUP(A339,'China Production data'!$A$1:$C$508,2,FALSE)</f>
        <v/>
      </c>
    </row>
    <row r="340">
      <c r="A340" s="75" t="n">
        <v>43465</v>
      </c>
      <c r="B340" s="67">
        <f>VLOOKUP(A340,'China Production data'!$A$1:$C$508,3,FALSE)</f>
        <v/>
      </c>
      <c r="C340" s="76">
        <f>VLOOKUP(A340,'China Production data'!$A$1:$C$508,2,FALSE)</f>
        <v/>
      </c>
    </row>
    <row r="341">
      <c r="A341" s="77" t="n">
        <v>43496</v>
      </c>
      <c r="B341" s="67">
        <f>VLOOKUP(A341,'China Production data'!$A$1:$C$508,3,FALSE)</f>
        <v/>
      </c>
      <c r="C341" s="76">
        <f>VLOOKUP(A341,'China Production data'!$A$1:$C$508,2,FALSE)</f>
        <v/>
      </c>
    </row>
    <row r="342">
      <c r="A342" s="75" t="n">
        <v>43524</v>
      </c>
      <c r="B342" s="67">
        <f>VLOOKUP(A342,'China Production data'!$A$1:$C$508,3,FALSE)</f>
        <v/>
      </c>
      <c r="C342" s="76">
        <f>VLOOKUP(A342,'China Production data'!$A$1:$C$508,2,FALSE)</f>
        <v/>
      </c>
    </row>
    <row r="343">
      <c r="A343" s="77" t="n">
        <v>43555</v>
      </c>
      <c r="B343" s="67">
        <f>VLOOKUP(A343,'China Production data'!$A$1:$C$508,3,FALSE)</f>
        <v/>
      </c>
      <c r="C343" s="76">
        <f>VLOOKUP(A343,'China Production data'!$A$1:$C$508,2,FALSE)</f>
        <v/>
      </c>
    </row>
    <row r="344">
      <c r="A344" s="77" t="n">
        <v>43585</v>
      </c>
      <c r="B344" s="67">
        <f>VLOOKUP(A344,'China Production data'!$A$1:$C$508,3,FALSE)</f>
        <v/>
      </c>
      <c r="C344" s="76">
        <f>VLOOKUP(A344,'China Production data'!$A$1:$C$508,2,FALSE)</f>
        <v/>
      </c>
    </row>
    <row r="345">
      <c r="A345" s="75" t="n">
        <v>43616</v>
      </c>
      <c r="B345" s="67">
        <f>VLOOKUP(A345,'China Production data'!$A$1:$C$508,3,FALSE)</f>
        <v/>
      </c>
      <c r="C345" s="76">
        <f>VLOOKUP(A345,'China Production data'!$A$1:$C$508,2,FALSE)</f>
        <v/>
      </c>
    </row>
    <row r="346">
      <c r="A346" s="75" t="n">
        <v>43646</v>
      </c>
      <c r="B346" s="67">
        <f>VLOOKUP(A346,'China Production data'!$A$1:$C$508,3,FALSE)</f>
        <v/>
      </c>
      <c r="C346" s="76">
        <f>VLOOKUP(A346,'China Production data'!$A$1:$C$508,2,FALSE)</f>
        <v/>
      </c>
    </row>
    <row r="347">
      <c r="A347" s="77" t="n">
        <v>43677</v>
      </c>
      <c r="B347" s="67">
        <f>VLOOKUP(A347,'China Production data'!$A$1:$C$508,3,FALSE)</f>
        <v/>
      </c>
      <c r="C347" s="76">
        <f>VLOOKUP(A347,'China Production data'!$A$1:$C$508,2,FALSE)</f>
        <v/>
      </c>
    </row>
    <row r="348">
      <c r="A348" s="75" t="n">
        <v>43708</v>
      </c>
      <c r="B348" s="67">
        <f>VLOOKUP(A348,'China Production data'!$A$1:$C$508,3,FALSE)</f>
        <v/>
      </c>
      <c r="C348" s="76">
        <f>VLOOKUP(A348,'China Production data'!$A$1:$C$508,2,FALSE)</f>
        <v/>
      </c>
    </row>
    <row r="349">
      <c r="A349" s="77" t="n">
        <v>43738</v>
      </c>
      <c r="B349" s="67">
        <f>VLOOKUP(A349,'China Production data'!$A$1:$C$508,3,FALSE)</f>
        <v/>
      </c>
      <c r="C349" s="76">
        <f>VLOOKUP(A349,'China Production data'!$A$1:$C$508,2,FALSE)</f>
        <v/>
      </c>
    </row>
    <row r="350">
      <c r="A350" s="75" t="n">
        <v>43769</v>
      </c>
      <c r="B350" s="67">
        <f>VLOOKUP(A350,'China Production data'!$A$1:$C$508,3,FALSE)</f>
        <v/>
      </c>
      <c r="C350" s="76">
        <f>VLOOKUP(A350,'China Production data'!$A$1:$C$508,2,FALSE)</f>
        <v/>
      </c>
    </row>
    <row r="351">
      <c r="A351" s="75" t="n">
        <v>43799</v>
      </c>
      <c r="B351" s="67">
        <f>VLOOKUP(A351,'China Production data'!$A$1:$C$508,3,FALSE)</f>
        <v/>
      </c>
      <c r="C351" s="76">
        <f>VLOOKUP(A351,'China Production data'!$A$1:$C$508,2,FALSE)</f>
        <v/>
      </c>
    </row>
    <row r="352">
      <c r="A352" s="75" t="n">
        <v>43830</v>
      </c>
      <c r="B352" s="67">
        <f>VLOOKUP(A352,'China Production data'!$A$1:$C$508,3,FALSE)</f>
        <v/>
      </c>
      <c r="C352" s="76">
        <f>VLOOKUP(A352,'China Production data'!$A$1:$C$508,2,FALSE)</f>
        <v/>
      </c>
    </row>
    <row r="353">
      <c r="A353" s="75" t="n">
        <v>43890</v>
      </c>
      <c r="B353" s="67">
        <f>VLOOKUP(A353,'China Production data'!$A$1:$C$508,3,FALSE)</f>
        <v/>
      </c>
      <c r="C353" s="76">
        <f>VLOOKUP(A353,'China Production data'!$A$1:$C$508,2,FALSE)</f>
        <v/>
      </c>
    </row>
    <row r="354">
      <c r="A354" s="75" t="n">
        <v>43921</v>
      </c>
      <c r="B354" s="67">
        <f>VLOOKUP(A354,'China Production data'!$A$1:$C$508,3,FALSE)</f>
        <v/>
      </c>
      <c r="C354" s="76">
        <f>VLOOKUP(A354,'China Production data'!$A$1:$C$508,2,FALSE)</f>
        <v/>
      </c>
    </row>
    <row r="355">
      <c r="A355" s="75" t="n">
        <v>43951</v>
      </c>
      <c r="B355" s="67">
        <f>VLOOKUP(A355,'China Production data'!$A$1:$C$508,3,FALSE)</f>
        <v/>
      </c>
      <c r="C355" s="76">
        <f>VLOOKUP(A355,'China Production data'!$A$1:$C$508,2,FALSE)</f>
        <v/>
      </c>
    </row>
    <row r="356">
      <c r="A356" s="75" t="n">
        <v>43982</v>
      </c>
      <c r="B356" s="67">
        <f>VLOOKUP(A356,'China Production data'!$A$1:$C$508,3,FALSE)</f>
        <v/>
      </c>
      <c r="C356" s="76">
        <f>VLOOKUP(A356,'China Production data'!$A$1:$C$508,2,FALSE)</f>
        <v/>
      </c>
    </row>
    <row r="357">
      <c r="A357" s="75" t="n">
        <v>44012</v>
      </c>
      <c r="B357" s="67">
        <f>VLOOKUP(A357,'China Production data'!$A$1:$C$508,3,FALSE)</f>
        <v/>
      </c>
      <c r="C357" s="76">
        <f>VLOOKUP(A357,'China Production data'!$A$1:$C$508,2,FALSE)</f>
        <v/>
      </c>
    </row>
    <row r="358">
      <c r="A358" s="75" t="n">
        <v>44043</v>
      </c>
      <c r="B358" s="67">
        <f>VLOOKUP(A358,'China Production data'!$A$1:$C$508,3,FALSE)</f>
        <v/>
      </c>
      <c r="C358" s="76">
        <f>VLOOKUP(A358,'China Production data'!$A$1:$C$508,2,FALSE)</f>
        <v/>
      </c>
    </row>
    <row r="359">
      <c r="A359" s="75" t="n">
        <v>44074</v>
      </c>
      <c r="B359" s="67">
        <f>VLOOKUP(A359,'China Production data'!$A$1:$C$508,3,FALSE)</f>
        <v/>
      </c>
      <c r="C359" s="76">
        <f>VLOOKUP(A359,'China Production data'!$A$1:$C$508,2,FALSE)</f>
        <v/>
      </c>
    </row>
    <row r="360">
      <c r="A360" s="75" t="n">
        <v>44104</v>
      </c>
      <c r="B360" s="67">
        <f>VLOOKUP(A360,'China Production data'!$A$1:$C$508,3,FALSE)</f>
        <v/>
      </c>
      <c r="C360" s="76">
        <f>VLOOKUP(A360,'China Production data'!$A$1:$C$508,2,FALSE)</f>
        <v/>
      </c>
    </row>
    <row r="361">
      <c r="A361" s="75" t="n">
        <v>44135</v>
      </c>
      <c r="B361" s="67">
        <f>VLOOKUP(A361,'China Production data'!$A$1:$C$508,3,FALSE)</f>
        <v/>
      </c>
      <c r="C361" s="76">
        <f>VLOOKUP(A361,'China Production data'!$A$1:$C$508,2,FALSE)</f>
        <v/>
      </c>
    </row>
    <row r="362">
      <c r="A362" s="75" t="n">
        <v>44165</v>
      </c>
      <c r="B362" s="67">
        <f>VLOOKUP(A362,'China Production data'!$A$1:$C$508,3,FALSE)</f>
        <v/>
      </c>
      <c r="C362" s="76">
        <f>VLOOKUP(A362,'China Production data'!$A$1:$C$508,2,FALSE)</f>
        <v/>
      </c>
    </row>
    <row r="363">
      <c r="A363" s="75" t="n">
        <v>44196</v>
      </c>
      <c r="B363" s="67">
        <f>VLOOKUP(A363,'China Production data'!$A$1:$C$508,3,FALSE)</f>
        <v/>
      </c>
      <c r="C363" s="76">
        <f>VLOOKUP(A363,'China Production data'!$A$1:$C$508,2,FALSE)</f>
        <v/>
      </c>
    </row>
    <row r="364">
      <c r="A364" s="75" t="n">
        <v>44227</v>
      </c>
      <c r="B364" s="67">
        <f>VLOOKUP(A364,'China Production data'!$A$1:$C$508,3,FALSE)</f>
        <v/>
      </c>
      <c r="C364" s="76">
        <f>VLOOKUP(A364,'China Production data'!$A$1:$C$508,2,FALSE)</f>
        <v/>
      </c>
    </row>
    <row r="365">
      <c r="A365" s="75" t="n">
        <v>44255</v>
      </c>
      <c r="B365" s="67">
        <f>VLOOKUP(A365,'China Production data'!$A$1:$C$508,3,FALSE)</f>
        <v/>
      </c>
      <c r="C365" s="76">
        <f>VLOOKUP(A365,'China Production data'!$A$1:$C$508,2,FALSE)</f>
        <v/>
      </c>
    </row>
    <row r="366">
      <c r="A366" s="75" t="n">
        <v>44286</v>
      </c>
      <c r="B366" s="67">
        <f>VLOOKUP(A366,'China Production data'!$A$1:$C$508,3,FALSE)</f>
        <v/>
      </c>
      <c r="C366" s="76">
        <f>VLOOKUP(A366,'China Production data'!$A$1:$C$508,2,FALSE)</f>
        <v/>
      </c>
    </row>
    <row r="367">
      <c r="A367" s="75" t="n">
        <v>44316</v>
      </c>
      <c r="B367" s="67">
        <f>VLOOKUP(A367,'China Production data'!$A$1:$C$508,3,FALSE)</f>
        <v/>
      </c>
      <c r="C367" s="76">
        <f>VLOOKUP(A367,'China Production data'!$A$1:$C$508,2,FALSE)</f>
        <v/>
      </c>
    </row>
    <row r="368">
      <c r="A368" s="75" t="n">
        <v>44347</v>
      </c>
      <c r="B368" s="67">
        <f>VLOOKUP(A368,'China Production data'!$A$1:$C$508,3,FALSE)</f>
        <v/>
      </c>
      <c r="C368" s="76">
        <f>VLOOKUP(A368,'China Production data'!$A$1:$C$508,2,FALSE)</f>
        <v/>
      </c>
    </row>
    <row r="369">
      <c r="A369" s="75" t="n">
        <v>44377</v>
      </c>
      <c r="B369" s="67">
        <f>VLOOKUP(A369,'China Production data'!$A$1:$C$508,3,FALSE)</f>
        <v/>
      </c>
      <c r="C369" s="76">
        <f>VLOOKUP(A369,'China Production data'!$A$1:$C$508,2,FALSE)</f>
        <v/>
      </c>
    </row>
    <row r="370">
      <c r="A370" s="75" t="n">
        <v>44408</v>
      </c>
      <c r="B370" s="67">
        <f>VLOOKUP(A370,'China Production data'!$A$1:$C$508,3,FALSE)</f>
        <v/>
      </c>
      <c r="C370" s="76">
        <f>VLOOKUP(A370,'China Production data'!$A$1:$C$508,2,FALSE)</f>
        <v/>
      </c>
    </row>
    <row r="371">
      <c r="A371" s="75" t="n">
        <v>44439</v>
      </c>
      <c r="B371" s="67">
        <f>VLOOKUP(A371,'China Production data'!$A$1:$C$508,3,FALSE)</f>
        <v/>
      </c>
      <c r="C371" s="76">
        <f>VLOOKUP(A371,'China Production data'!$A$1:$C$508,2,FALSE)</f>
        <v/>
      </c>
    </row>
    <row r="372">
      <c r="A372" s="75" t="n">
        <v>44469</v>
      </c>
      <c r="B372" s="67">
        <f>VLOOKUP(A372,'China Production data'!$A$1:$C$508,3,FALSE)</f>
        <v/>
      </c>
      <c r="C372" s="76">
        <f>VLOOKUP(A372,'China Production data'!$A$1:$C$508,2,FALSE)</f>
        <v/>
      </c>
    </row>
    <row r="373">
      <c r="A373" s="75" t="n">
        <v>44500</v>
      </c>
      <c r="B373" s="67">
        <f>VLOOKUP(A373,'China Production data'!$A$1:$C$508,3,FALSE)</f>
        <v/>
      </c>
      <c r="C373" s="76">
        <f>VLOOKUP(A373,'China Production data'!$A$1:$C$508,2,FALSE)</f>
        <v/>
      </c>
    </row>
    <row r="374">
      <c r="A374" s="75" t="n">
        <v>44530</v>
      </c>
      <c r="B374" s="67">
        <f>VLOOKUP(A374,'China Production data'!$A$1:$C$508,3,FALSE)</f>
        <v/>
      </c>
      <c r="C374" s="76">
        <f>VLOOKUP(A374,'China Production data'!$A$1:$C$508,2,FALSE)</f>
        <v/>
      </c>
    </row>
    <row r="375">
      <c r="A375" s="75" t="n">
        <v>44561</v>
      </c>
      <c r="B375" s="67">
        <f>VLOOKUP(A375,'China Production data'!$A$1:$C$508,3,FALSE)</f>
        <v/>
      </c>
      <c r="C375" s="76">
        <f>VLOOKUP(A375,'China Production data'!$A$1:$C$508,2,FALSE)</f>
        <v/>
      </c>
    </row>
    <row r="376">
      <c r="A376" s="75" t="n">
        <v>44592</v>
      </c>
      <c r="B376" s="67">
        <f>VLOOKUP(A376,'China Production data'!$A$1:$C$508,3,FALSE)</f>
        <v/>
      </c>
      <c r="C376" s="76">
        <f>VLOOKUP(A376,'China Production data'!$A$1:$C$508,2,FALSE)</f>
        <v/>
      </c>
    </row>
    <row r="377">
      <c r="A377" s="75" t="n">
        <v>44620</v>
      </c>
      <c r="B377" s="67">
        <f>VLOOKUP(A377,'China Production data'!$A$1:$C$508,3,FALSE)</f>
        <v/>
      </c>
      <c r="C377" s="76">
        <f>VLOOKUP(A377,'China Production data'!$A$1:$C$508,2,FALSE)</f>
        <v/>
      </c>
    </row>
    <row r="378">
      <c r="A378" s="75" t="n">
        <v>44651</v>
      </c>
      <c r="B378" s="67">
        <f>VLOOKUP(A378,'China Production data'!$A$1:$C$508,3,FALSE)</f>
        <v/>
      </c>
      <c r="C378" s="76">
        <f>VLOOKUP(A378,'China Production data'!$A$1:$C$508,2,FALSE)</f>
        <v/>
      </c>
    </row>
    <row r="379">
      <c r="A379" s="75" t="n">
        <v>44681</v>
      </c>
      <c r="B379" s="67">
        <f>VLOOKUP(A379,'China Production data'!$A$1:$C$508,3,FALSE)</f>
        <v/>
      </c>
      <c r="C379" s="76">
        <f>VLOOKUP(A379,'China Production data'!$A$1:$C$508,2,FALSE)</f>
        <v/>
      </c>
    </row>
    <row r="380">
      <c r="A380" s="75" t="n">
        <v>44712</v>
      </c>
      <c r="B380" s="67">
        <f>VLOOKUP(A380,'China Production data'!$A$1:$C$508,3,FALSE)</f>
        <v/>
      </c>
      <c r="C380" s="76">
        <f>VLOOKUP(A380,'China Production data'!$A$1:$C$508,2,FALSE)</f>
        <v/>
      </c>
    </row>
    <row r="381">
      <c r="A381" s="75" t="n">
        <v>44742</v>
      </c>
      <c r="B381" s="67">
        <f>VLOOKUP(A381,'China Production data'!$A$1:$C$508,3,FALSE)</f>
        <v/>
      </c>
      <c r="C381" s="76">
        <f>VLOOKUP(A381,'China Production data'!$A$1:$C$508,2,FALSE)</f>
        <v/>
      </c>
    </row>
    <row r="382">
      <c r="A382" s="75" t="n">
        <v>44773</v>
      </c>
      <c r="B382" s="67">
        <f>VLOOKUP(A382,'China Production data'!$A$1:$C$508,3,FALSE)</f>
        <v/>
      </c>
      <c r="C382" s="76">
        <f>VLOOKUP(A382,'China Production data'!$A$1:$C$508,2,FALSE)</f>
        <v/>
      </c>
    </row>
    <row r="383">
      <c r="A383" s="75" t="n">
        <v>44804</v>
      </c>
      <c r="B383" s="67">
        <f>VLOOKUP(A383,'China Production data'!$A$1:$C$508,3,FALSE)</f>
        <v/>
      </c>
      <c r="C383" s="76">
        <f>VLOOKUP(A383,'China Production data'!$A$1:$C$508,2,FALSE)</f>
        <v/>
      </c>
    </row>
    <row r="384">
      <c r="A384" s="75" t="n">
        <v>44834</v>
      </c>
      <c r="B384" s="67">
        <f>VLOOKUP(A384,'China Production data'!$A$1:$C$508,3,FALSE)</f>
        <v/>
      </c>
      <c r="C384" s="76">
        <f>VLOOKUP(A384,'China Production data'!$A$1:$C$508,2,FALSE)</f>
        <v/>
      </c>
    </row>
    <row r="385">
      <c r="A385" s="75" t="n">
        <v>44865</v>
      </c>
      <c r="B385" s="67">
        <f>VLOOKUP(A385,'China Production data'!$A$1:$C$508,3,FALSE)</f>
        <v/>
      </c>
      <c r="C385" s="76">
        <f>VLOOKUP(A385,'China Production data'!$A$1:$C$508,2,FALSE)</f>
        <v/>
      </c>
    </row>
  </sheetData>
  <conditionalFormatting sqref="B242:B38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2018-12-14T12:31:30Z</dcterms:created>
  <dcterms:modified xmlns:dcterms="http://purl.org/dc/terms/" xmlns:xsi="http://www.w3.org/2001/XMLSchema-instance" xsi:type="dcterms:W3CDTF">2022-12-03T12:59:46Z</dcterms:modified>
  <cp:lastModifiedBy>Mark Mukherjee</cp:lastModifiedBy>
</cp:coreProperties>
</file>